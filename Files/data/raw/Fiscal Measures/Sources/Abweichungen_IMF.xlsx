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f6dcfa39c5054bb9/Studium/Wirtschaftswissenschaften/Doktorat/Master-Thesis/New/Working/New Data 2025/Count Policies/"/>
    </mc:Choice>
  </mc:AlternateContent>
  <xr:revisionPtr revIDLastSave="0" documentId="8_{35078B89-2B61-4017-8B32-B17709BE62EA}" xr6:coauthVersionLast="47" xr6:coauthVersionMax="47" xr10:uidLastSave="{00000000-0000-0000-0000-000000000000}"/>
  <bookViews>
    <workbookView xWindow="-110" yWindow="-110" windowWidth="19420" windowHeight="11500" xr2:uid="{5A1BE0E8-C2CE-4748-9D05-8B2C8450F484}"/>
  </bookViews>
  <sheets>
    <sheet name="Abweichungen" sheetId="1" r:id="rId1"/>
  </sheets>
  <externalReferences>
    <externalReference r:id="rId2"/>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6" i="1" l="1"/>
  <c r="D46" i="1"/>
  <c r="A46" i="1"/>
  <c r="D45" i="1"/>
  <c r="C45" i="1"/>
  <c r="E45" i="1" s="1"/>
  <c r="B45" i="1"/>
  <c r="A45" i="1"/>
  <c r="B44" i="1"/>
  <c r="E44" i="1" s="1"/>
  <c r="A44" i="1"/>
  <c r="E43" i="1"/>
  <c r="D43" i="1"/>
  <c r="A43" i="1"/>
  <c r="E42" i="1"/>
  <c r="D42" i="1"/>
  <c r="A42" i="1"/>
  <c r="E41" i="1"/>
  <c r="D41" i="1"/>
  <c r="A41" i="1"/>
  <c r="E40" i="1"/>
  <c r="D40" i="1"/>
  <c r="A40" i="1"/>
  <c r="C39" i="1"/>
  <c r="E39" i="1" s="1"/>
  <c r="B39" i="1"/>
  <c r="A39" i="1"/>
  <c r="E38" i="1"/>
  <c r="D38" i="1"/>
  <c r="A38" i="1"/>
  <c r="B37" i="1"/>
  <c r="E37" i="1" s="1"/>
  <c r="A37" i="1"/>
  <c r="C36" i="1"/>
  <c r="E36" i="1" s="1"/>
  <c r="A36" i="1"/>
  <c r="E35" i="1"/>
  <c r="D35" i="1"/>
  <c r="A35" i="1"/>
  <c r="E34" i="1"/>
  <c r="D34" i="1"/>
  <c r="A34" i="1"/>
  <c r="E33" i="1"/>
  <c r="D33" i="1"/>
  <c r="A33" i="1"/>
  <c r="B32" i="1"/>
  <c r="E32" i="1" s="1"/>
  <c r="A32" i="1"/>
  <c r="B31" i="1"/>
  <c r="E31" i="1" s="1"/>
  <c r="A31" i="1"/>
  <c r="B30" i="1"/>
  <c r="E30" i="1" s="1"/>
  <c r="A30" i="1"/>
  <c r="E29" i="1"/>
  <c r="D29" i="1"/>
  <c r="A29" i="1"/>
  <c r="E28" i="1"/>
  <c r="D28" i="1"/>
  <c r="B28" i="1"/>
  <c r="A28" i="1"/>
  <c r="B27" i="1"/>
  <c r="E27" i="1" s="1"/>
  <c r="A27" i="1"/>
  <c r="E26" i="1"/>
  <c r="D26" i="1"/>
  <c r="A26" i="1"/>
  <c r="E25" i="1"/>
  <c r="D25" i="1"/>
  <c r="B25" i="1"/>
  <c r="A25" i="1"/>
  <c r="E24" i="1"/>
  <c r="B24" i="1"/>
  <c r="D24" i="1" s="1"/>
  <c r="A24" i="1"/>
  <c r="E23" i="1"/>
  <c r="D23" i="1"/>
  <c r="C23" i="1"/>
  <c r="A23" i="1"/>
  <c r="E22" i="1"/>
  <c r="D22" i="1"/>
  <c r="C22" i="1"/>
  <c r="B22" i="1"/>
  <c r="A22" i="1"/>
  <c r="B21" i="1"/>
  <c r="E21" i="1" s="1"/>
  <c r="A21" i="1"/>
  <c r="E20" i="1"/>
  <c r="D20" i="1"/>
  <c r="A20" i="1"/>
  <c r="E19" i="1"/>
  <c r="D19" i="1"/>
  <c r="A19" i="1"/>
  <c r="D18" i="1"/>
  <c r="B18" i="1"/>
  <c r="E18" i="1" s="1"/>
  <c r="A18" i="1"/>
  <c r="B17" i="1"/>
  <c r="D17" i="1" s="1"/>
  <c r="A17" i="1"/>
  <c r="C16" i="1"/>
  <c r="D16" i="1" s="1"/>
  <c r="B16" i="1"/>
  <c r="A16" i="1"/>
  <c r="E15" i="1"/>
  <c r="D15" i="1"/>
  <c r="A15" i="1"/>
  <c r="E14" i="1"/>
  <c r="D14" i="1"/>
  <c r="A14" i="1"/>
  <c r="B13" i="1"/>
  <c r="D13" i="1" s="1"/>
  <c r="A13" i="1"/>
  <c r="C12" i="1"/>
  <c r="E12" i="1" s="1"/>
  <c r="B12" i="1"/>
  <c r="A12" i="1"/>
  <c r="C11" i="1"/>
  <c r="D11" i="1" s="1"/>
  <c r="B11" i="1"/>
  <c r="A11" i="1"/>
  <c r="E10" i="1"/>
  <c r="D10" i="1"/>
  <c r="A10" i="1"/>
  <c r="E9" i="1"/>
  <c r="D9" i="1"/>
  <c r="A9" i="1"/>
  <c r="E13" i="1" l="1"/>
  <c r="E11" i="1"/>
  <c r="D30" i="1"/>
  <c r="E16" i="1"/>
  <c r="E17" i="1"/>
  <c r="D21" i="1"/>
  <c r="D27" i="1"/>
  <c r="D37" i="1"/>
  <c r="D44" i="1"/>
  <c r="D12" i="1"/>
  <c r="D31" i="1"/>
  <c r="D32" i="1"/>
  <c r="D36" i="1"/>
  <c r="D39" i="1"/>
</calcChain>
</file>

<file path=xl/sharedStrings.xml><?xml version="1.0" encoding="utf-8"?>
<sst xmlns="http://schemas.openxmlformats.org/spreadsheetml/2006/main" count="23" uniqueCount="23">
  <si>
    <t>AP Link für GDP Werte</t>
  </si>
  <si>
    <t>https://api.worldbank.org/v2/country/AUS;CAN;FRA;DEU;ITA;JPN;KOR;ESP;GBR;USA;MEX;TUR;AUT;BEL;CZE;DNK;EST;FIN;GRC;ISL;IRL;ISR;LVA;LTU;LUX;NLD;NZL;NOR;PRT;SVK;SVN;SWE;CHE;CHL;COL;CRI;HUN;POL/indicator/NY.GDP.MKTP.KD?date=2019:2019&amp;downloadformat=excel</t>
  </si>
  <si>
    <t>Country</t>
  </si>
  <si>
    <t>Werte IMF</t>
  </si>
  <si>
    <t>Werte Datenbank</t>
  </si>
  <si>
    <t>Differenz in PP</t>
  </si>
  <si>
    <t>Description of the differences</t>
  </si>
  <si>
    <t>Others than health has also consist spending of 2022. As we do not record those elements we have to subtract it, the subtraction of those 30 bn leads to almost a perfect hit</t>
  </si>
  <si>
    <t>All measures are reliable and matching IMF estimates, th eonly part is I do not count the Quasi-fiscal operations (noncommercial activity of public corporations on behalf of government) as it is not a government spending as well as not special backed by the government-&gt; this would increase the share to the numbers of the IMF</t>
  </si>
  <si>
    <t>Difference is due to FX differences and the fact that IMF counted also the automatic stabilizaotr as extra spending despite this was in the regular budget. Especially they only record the % of GDP and gives no decription of the measures in the categorys. Checking the Tracker shows that I have included all https://www.imf.org/en/topics/imf-and-covid19/policy-responses-to-covid-19?path=Topics&amp;path=imf-and-covid19&amp;path=Policy-Responses-to-COVID-19</t>
  </si>
  <si>
    <t>IMF Data is wrong, they completely miss out the health spending, I've got all the sources that perfectly add up to 500</t>
  </si>
  <si>
    <t>Difference is the tax deferral https://news.err.ee/1073742/supplementary-budget-passes-its-first-riigikogu-reading who is completely missed out in the IMF document. When withdrawing thi smeasure I will be around 11%</t>
  </si>
  <si>
    <t>Effectiv number were lot lower, official report and budget/statement of government proving that as well as ESRB https://www.esrb.europa.eu/home/search/coronavirus/countries/html/esrb.covidpmc_Ireland.en.html</t>
  </si>
  <si>
    <t>The sum of all listed measures are simply wrong in the IMF database (overestimate it by 6 pp.
Wage subsidies was effective used by 18bn and IMF onli records the first bracket swith 13.9bn.  This can be shown in the official report https://www.msd.govt.nz/documents/about-msd-and-our-work/publications-resources/statistics/covid-19/who-received-the-2021-covid-19-wage-subsidies.pdf.
Another difference arised in the loans, the IMF do not ocunt the spoken loan amounts of 2.26bn but is clearly statet in the official report https://www.taxpolicy.ird.govt.nz/-/media/project/ir/tp/publications/2021/2021-ir-crsp-activation/2021-ir-crsp-activation.pdf?modified=20210728054252
As well as the wrong numbers in the guarantee section that is also documented in official sources: https://www.treasury.govt.nz/news-and-events/news/business-finance-guarantee-scheme-open-business</t>
  </si>
  <si>
    <t>This all adds up to a difference of like 9bn what woul leave us with the exact same amount from the imf-&gt;e.g., 42bn</t>
  </si>
  <si>
    <t>Difference is due to the wrong counted value of the guarantees in the IMF document-&gt; when we adjust it to the IMF values we hit 12.5%-&gt; see here: https://ec.europa.eu/competition/state_aid/cases1/202015/285326_2145493_24_2.pdf#:~:text=,its%20approval%20until%2031%20DecemberEC:%20https://ec.europa.eu/commission/presscorner/detail/en/ip_20_599EC%20detail:%20https://ec.europa.eu/competition/state_aid/cases1/202015/285326_2145493_24_2.pdfGovt:%20https://www.portugal.gov.pt/pt/gc22/comunicacao/noticia?i=linha-de-credito-covid-19-acessivel-a-todos-os-setores-economicos-e-a-empresarios-individuais</t>
  </si>
  <si>
    <t>IMF has to low Guarantee sheme with about 2.4bn https://ec.europa.eu/commission/presscorner/detail/en/mex_20_1132</t>
  </si>
  <si>
    <t>Differenz ist aufgrund von viel zu überhöhten Tax Deferrals des IMF-&gt; rund 200bn SEK zu hoch wie effektiv. Dafür aber ca. 150 zu tiefe Guarantees envelope. Bereinigt um diese elemente sind die zahlen konsistent-&gt; Source: https://www.riksrevisionen.se/en/news-archive/nyhetsarkiv-eng/2025-02-20-deferred-tax-payments-more-costly-than-expected.html</t>
  </si>
  <si>
    <t>Differenz entsteht durch die falsche angabe vom IMF bezüglich der Kurzarbeit (Ankündigung) und Loan an das IMF-&gt; Keine inlädnische Wirkung. Der Bund trug 2020–2022 laut Bundesratsbericht rund 82 % der Corona-bedingten öffentlichen Ausgaben, der Rest entfiel auf Kantone/Gemeinden.</t>
  </si>
  <si>
    <t>Informe de Gestión y Sostenibilidad 2021</t>
  </si>
  <si>
    <t>Differences are due to different estimation about "other than health" spending where the IMF used the announced values and: IMF list equity injection "Equity injection for capitalization of Findeter and Bancoldex (Colombian Development Banks) for the purpose of credit lines" whom is not belegbar mit quellen, weder from the government side nor from the bank sid. find in the following th ststements of both banks from 2021 where we do not see a change in equity.</t>
  </si>
  <si>
    <t>bancoldex_estados_financieros_separados_2021-2020_0.pdf</t>
  </si>
  <si>
    <t>Differences are due to the differences between FX rate and also IMF uses onli announced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</si>
</sst>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0"/>
      <color theme="1"/>
      <name val="Arial"/>
      <family val="2"/>
    </font>
    <font>
      <u/>
      <sz val="10"/>
      <color theme="10"/>
      <name val="Arial"/>
      <family val="2"/>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10" fontId="0" fillId="0" borderId="0" xfId="0" applyNumberFormat="1"/>
    <xf numFmtId="10" fontId="0" fillId="2" borderId="0" xfId="0" applyNumberFormat="1" applyFill="1"/>
    <xf numFmtId="164" fontId="0" fillId="0" borderId="0" xfId="0" applyNumberFormat="1"/>
    <xf numFmtId="0" fontId="1" fillId="0" borderId="0" xfId="1"/>
  </cellXfs>
  <cellStyles count="2">
    <cellStyle name="Hyperlink" xfId="1" builtinId="8"/>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6dcfa39c5054bb9/Studium/Wirtschaftswissenschaften/Doktorat/Master-Thesis/New/Working/New%20Data%202025/Count%20Policies/october-2021-country-fiscal-measures-database-publication%20(1).xlsx" TargetMode="External"/><Relationship Id="rId1" Type="http://schemas.openxmlformats.org/officeDocument/2006/relationships/externalLinkPath" Target="october-2021-country-fiscal-measures-database-publicat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for SF_for publication"/>
      <sheetName val="Abweichungen"/>
      <sheetName val="Database"/>
      <sheetName val="Sheet1"/>
      <sheetName val="Database.Jun12"/>
      <sheetName val="Database.With SEE"/>
      <sheetName val="country list"/>
      <sheetName val="Summary.Global"/>
      <sheetName val="Figure"/>
      <sheetName val="Database.Jan 12 to SEC"/>
      <sheetName val="Summary.Global. Jan12 to SEC"/>
      <sheetName val="SEE - Bryn"/>
      <sheetName val="Summary.DeptComments"/>
      <sheetName val="Summary.Global.ToMgt"/>
      <sheetName val="Summary Table"/>
      <sheetName val="Summary.Global_Sep1"/>
      <sheetName val="Sheet3"/>
      <sheetName val="RES_G20Type"/>
      <sheetName val="RES_Notes"/>
      <sheetName val="SF Table_May1"/>
      <sheetName val="US measures"/>
      <sheetName val="USD_Billion"/>
      <sheetName val="PctGDP"/>
      <sheetName val="SF Table _FM Apr 8"/>
      <sheetName val="WKG"/>
    </sheetNames>
    <sheetDataSet>
      <sheetData sheetId="0"/>
      <sheetData sheetId="1"/>
      <sheetData sheetId="2"/>
      <sheetData sheetId="3"/>
      <sheetData sheetId="4"/>
      <sheetData sheetId="5"/>
      <sheetData sheetId="6"/>
      <sheetData sheetId="7">
        <row r="9">
          <cell r="B9" t="str">
            <v>Australia</v>
          </cell>
        </row>
        <row r="10">
          <cell r="B10" t="str">
            <v>Canada</v>
          </cell>
        </row>
        <row r="11">
          <cell r="B11" t="str">
            <v>France</v>
          </cell>
          <cell r="Q11">
            <v>0.25003381710959827</v>
          </cell>
          <cell r="R11">
            <v>0.26119999999999999</v>
          </cell>
        </row>
        <row r="12">
          <cell r="B12" t="str">
            <v>Germany</v>
          </cell>
          <cell r="Q12">
            <v>0.44833032690913915</v>
          </cell>
          <cell r="R12">
            <v>0.45950000000000002</v>
          </cell>
        </row>
        <row r="13">
          <cell r="B13" t="str">
            <v>Italy</v>
          </cell>
          <cell r="Q13">
            <v>0.45259745659348366</v>
          </cell>
        </row>
        <row r="14">
          <cell r="B14" t="str">
            <v>Japan</v>
          </cell>
        </row>
        <row r="15">
          <cell r="B15" t="str">
            <v>Korea</v>
          </cell>
        </row>
        <row r="16">
          <cell r="B16" t="str">
            <v>Spain</v>
          </cell>
          <cell r="Q16">
            <v>0.21857252443057779</v>
          </cell>
          <cell r="R16">
            <v>0.22570000000000001</v>
          </cell>
        </row>
        <row r="17">
          <cell r="B17" t="str">
            <v>United Kingdom</v>
          </cell>
          <cell r="Q17">
            <v>0.30887124185111864</v>
          </cell>
        </row>
        <row r="18">
          <cell r="B18" t="str">
            <v>United States</v>
          </cell>
          <cell r="Q18">
            <v>0.28960396039603964</v>
          </cell>
        </row>
        <row r="19">
          <cell r="B19" t="str">
            <v>Mexico</v>
          </cell>
        </row>
        <row r="20">
          <cell r="B20" t="str">
            <v>Turkey</v>
          </cell>
        </row>
        <row r="21">
          <cell r="B21" t="str">
            <v>Austria</v>
          </cell>
          <cell r="Q21">
            <v>0.18857317623385234</v>
          </cell>
        </row>
        <row r="22">
          <cell r="B22" t="str">
            <v>Belgium</v>
          </cell>
          <cell r="Q22">
            <v>0.20903867288317007</v>
          </cell>
          <cell r="R22">
            <v>0.214</v>
          </cell>
        </row>
        <row r="23">
          <cell r="B23" t="str">
            <v>Czech republic</v>
          </cell>
          <cell r="R23">
            <v>0.24640000000000001</v>
          </cell>
        </row>
        <row r="24">
          <cell r="B24" t="str">
            <v>Denmark</v>
          </cell>
          <cell r="Q24">
            <v>0.20422753451319836</v>
          </cell>
        </row>
        <row r="25">
          <cell r="B25" t="str">
            <v>Estonia</v>
          </cell>
          <cell r="Q25">
            <v>0.1085456853521439</v>
          </cell>
        </row>
        <row r="26">
          <cell r="B26" t="str">
            <v>Finland</v>
          </cell>
        </row>
        <row r="27">
          <cell r="B27" t="str">
            <v>Greece</v>
          </cell>
          <cell r="Q27">
            <v>0.19442998579518758</v>
          </cell>
        </row>
        <row r="28">
          <cell r="B28" t="str">
            <v>Iceland</v>
          </cell>
          <cell r="Q28">
            <v>0.11765786855509389</v>
          </cell>
        </row>
        <row r="29">
          <cell r="B29" t="str">
            <v>Ireland</v>
          </cell>
        </row>
        <row r="30">
          <cell r="B30" t="str">
            <v>Israel</v>
          </cell>
          <cell r="Q30">
            <v>0.16311979214838856</v>
          </cell>
        </row>
        <row r="31">
          <cell r="B31" t="str">
            <v>Latvia</v>
          </cell>
          <cell r="Q31">
            <v>0.14379269897957542</v>
          </cell>
        </row>
        <row r="32">
          <cell r="B32" t="str">
            <v>Lithuania</v>
          </cell>
          <cell r="Q32">
            <v>0.1219328484617246</v>
          </cell>
        </row>
        <row r="33">
          <cell r="B33" t="str">
            <v>Luxembourg</v>
          </cell>
        </row>
        <row r="34">
          <cell r="B34" t="str">
            <v>The Netherlands</v>
          </cell>
        </row>
        <row r="35">
          <cell r="B35" t="str">
            <v>New Zealand</v>
          </cell>
        </row>
        <row r="36">
          <cell r="B36" t="str">
            <v>Norway</v>
          </cell>
          <cell r="R36">
            <v>9.8799999999999999E-2</v>
          </cell>
        </row>
        <row r="37">
          <cell r="B37" t="str">
            <v>Portugal</v>
          </cell>
          <cell r="Q37">
            <v>0.12139873563666419</v>
          </cell>
        </row>
        <row r="38">
          <cell r="B38" t="str">
            <v>Slovak Republic</v>
          </cell>
        </row>
        <row r="39">
          <cell r="B39" t="str">
            <v>Slovenia</v>
          </cell>
          <cell r="Q39">
            <v>0.17399102845536207</v>
          </cell>
          <cell r="R39">
            <v>0.1769</v>
          </cell>
        </row>
        <row r="40">
          <cell r="B40" t="str">
            <v>Sweden</v>
          </cell>
        </row>
        <row r="41">
          <cell r="B41" t="str">
            <v>Switzerland</v>
          </cell>
        </row>
        <row r="42">
          <cell r="B42" t="str">
            <v>Chile</v>
          </cell>
        </row>
        <row r="43">
          <cell r="B43" t="str">
            <v>Colombia</v>
          </cell>
        </row>
        <row r="44">
          <cell r="B44" t="str">
            <v>Costa Rica</v>
          </cell>
          <cell r="Q44">
            <v>1.5532172409408282E-2</v>
          </cell>
        </row>
        <row r="45">
          <cell r="B45" t="str">
            <v>Hungary</v>
          </cell>
          <cell r="Q45">
            <v>0.16392115594770715</v>
          </cell>
          <cell r="R45">
            <v>0.15590000000000001</v>
          </cell>
        </row>
        <row r="46">
          <cell r="B46" t="str">
            <v>Poland</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ancoldex.com/sites/default/files/bancoldex_estados_financieros_separados_2021-2020_0.pdf" TargetMode="External"/><Relationship Id="rId1" Type="http://schemas.openxmlformats.org/officeDocument/2006/relationships/hyperlink" Target="https://bibliotecadigital.findeter.metabiblioteca.com/entities/publication/60a2cbf5-cd66-43ac-83dc-d977dd10037f/ful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C9363-9AE8-400F-B2FC-360A97B8FDEB}">
  <sheetPr>
    <tabColor rgb="FFFF0000"/>
  </sheetPr>
  <dimension ref="A3:G46"/>
  <sheetViews>
    <sheetView tabSelected="1" topLeftCell="A3" zoomScale="91" workbookViewId="0">
      <selection activeCell="F32" sqref="F32"/>
    </sheetView>
  </sheetViews>
  <sheetFormatPr defaultRowHeight="12.5" x14ac:dyDescent="0.25"/>
  <cols>
    <col min="1" max="1" width="23.7265625" customWidth="1"/>
    <col min="2" max="2" width="16.6328125" customWidth="1"/>
    <col min="3" max="3" width="15.08984375" customWidth="1"/>
    <col min="4" max="5" width="14.81640625" customWidth="1"/>
    <col min="7" max="7" width="20.81640625" bestFit="1" customWidth="1"/>
  </cols>
  <sheetData>
    <row r="3" spans="1:7" x14ac:dyDescent="0.25">
      <c r="B3" t="s">
        <v>0</v>
      </c>
      <c r="D3" t="s">
        <v>1</v>
      </c>
    </row>
    <row r="8" spans="1:7" x14ac:dyDescent="0.25">
      <c r="A8" t="s">
        <v>2</v>
      </c>
      <c r="B8" t="s">
        <v>3</v>
      </c>
      <c r="C8" t="s">
        <v>4</v>
      </c>
      <c r="D8" t="s">
        <v>5</v>
      </c>
      <c r="F8" t="s">
        <v>6</v>
      </c>
    </row>
    <row r="9" spans="1:7" x14ac:dyDescent="0.25">
      <c r="A9" t="str">
        <f>[1]Summary.Global!B9</f>
        <v>Australia</v>
      </c>
      <c r="B9" s="1">
        <v>0.19900000000000001</v>
      </c>
      <c r="C9" s="1">
        <v>0.18410000000000001</v>
      </c>
      <c r="D9" s="1">
        <f>C9-B9</f>
        <v>-1.4899999999999997E-2</v>
      </c>
      <c r="E9" s="2">
        <f>(C9-B9)/B9</f>
        <v>-7.4874371859296462E-2</v>
      </c>
      <c r="F9" t="s">
        <v>7</v>
      </c>
    </row>
    <row r="10" spans="1:7" x14ac:dyDescent="0.25">
      <c r="A10" t="str">
        <f>[1]Summary.Global!B10</f>
        <v>Canada</v>
      </c>
      <c r="B10" s="1">
        <v>0.22700000000000001</v>
      </c>
      <c r="C10" s="1">
        <v>0.216</v>
      </c>
      <c r="D10" s="1">
        <f t="shared" ref="D10:D46" si="0">C10-B10</f>
        <v>-1.100000000000001E-2</v>
      </c>
      <c r="E10" s="2">
        <f t="shared" ref="E10:E46" si="1">(C10-B10)/B10</f>
        <v>-4.8458149779735726E-2</v>
      </c>
    </row>
    <row r="11" spans="1:7" x14ac:dyDescent="0.25">
      <c r="A11" t="str">
        <f>[1]Summary.Global!B11</f>
        <v>France</v>
      </c>
      <c r="B11" s="1">
        <f>[1]Summary.Global!Q11</f>
        <v>0.25003381710959827</v>
      </c>
      <c r="C11" s="1">
        <f>[1]Summary.Global!R11</f>
        <v>0.26119999999999999</v>
      </c>
      <c r="D11" s="1">
        <f t="shared" si="0"/>
        <v>1.1166182890401721E-2</v>
      </c>
      <c r="E11" s="2">
        <f t="shared" si="1"/>
        <v>4.4658690650261942E-2</v>
      </c>
    </row>
    <row r="12" spans="1:7" x14ac:dyDescent="0.25">
      <c r="A12" t="str">
        <f>[1]Summary.Global!B12</f>
        <v>Germany</v>
      </c>
      <c r="B12" s="1">
        <f>[1]Summary.Global!Q12</f>
        <v>0.44833032690913915</v>
      </c>
      <c r="C12" s="1">
        <f>[1]Summary.Global!R12</f>
        <v>0.45950000000000002</v>
      </c>
      <c r="D12" s="1">
        <f t="shared" si="0"/>
        <v>1.1169673090860865E-2</v>
      </c>
      <c r="E12" s="2">
        <f t="shared" si="1"/>
        <v>2.4913936043243774E-2</v>
      </c>
    </row>
    <row r="13" spans="1:7" x14ac:dyDescent="0.25">
      <c r="A13" t="str">
        <f>[1]Summary.Global!B13</f>
        <v>Italy</v>
      </c>
      <c r="B13" s="1">
        <f>[1]Summary.Global!Q13</f>
        <v>0.45259745659348366</v>
      </c>
      <c r="C13" s="1">
        <v>0.4466</v>
      </c>
      <c r="D13" s="1">
        <f t="shared" si="0"/>
        <v>-5.9974565934836632E-3</v>
      </c>
      <c r="E13" s="2">
        <f t="shared" si="1"/>
        <v>-1.3251193761944823E-2</v>
      </c>
      <c r="F13" s="1"/>
      <c r="G13" s="3"/>
    </row>
    <row r="14" spans="1:7" x14ac:dyDescent="0.25">
      <c r="A14" t="str">
        <f>[1]Summary.Global!B14</f>
        <v>Japan</v>
      </c>
      <c r="B14" s="1">
        <v>0.44350000000000001</v>
      </c>
      <c r="C14" s="1">
        <v>0.43030000000000002</v>
      </c>
      <c r="D14" s="1">
        <f t="shared" si="0"/>
        <v>-1.319999999999999E-2</v>
      </c>
      <c r="E14" s="2">
        <f t="shared" si="1"/>
        <v>-2.9763246899661758E-2</v>
      </c>
      <c r="F14" s="1"/>
    </row>
    <row r="15" spans="1:7" x14ac:dyDescent="0.25">
      <c r="A15" t="str">
        <f>[1]Summary.Global!B15</f>
        <v>Korea</v>
      </c>
      <c r="B15" s="1">
        <v>0.1653</v>
      </c>
      <c r="C15" s="1">
        <v>0.16</v>
      </c>
      <c r="D15" s="1">
        <f t="shared" si="0"/>
        <v>-5.2999999999999992E-3</v>
      </c>
      <c r="E15" s="2">
        <f t="shared" si="1"/>
        <v>-3.2062915910465811E-2</v>
      </c>
    </row>
    <row r="16" spans="1:7" x14ac:dyDescent="0.25">
      <c r="A16" t="str">
        <f>[1]Summary.Global!B16</f>
        <v>Spain</v>
      </c>
      <c r="B16" s="1">
        <f>[1]Summary.Global!Q16</f>
        <v>0.21857252443057779</v>
      </c>
      <c r="C16" s="1">
        <f>[1]Summary.Global!R16</f>
        <v>0.22570000000000001</v>
      </c>
      <c r="D16" s="1">
        <f t="shared" si="0"/>
        <v>7.1274755694222258E-3</v>
      </c>
      <c r="E16" s="2">
        <f t="shared" si="1"/>
        <v>3.2609201856411869E-2</v>
      </c>
    </row>
    <row r="17" spans="1:7" x14ac:dyDescent="0.25">
      <c r="A17" t="str">
        <f>[1]Summary.Global!B17</f>
        <v>United Kingdom</v>
      </c>
      <c r="B17" s="1">
        <f>[1]Summary.Global!Q17</f>
        <v>0.30887124185111864</v>
      </c>
      <c r="C17" s="1">
        <v>0.31990000000000002</v>
      </c>
      <c r="D17" s="1">
        <f t="shared" si="0"/>
        <v>1.1028758148881379E-2</v>
      </c>
      <c r="E17" s="2">
        <f t="shared" si="1"/>
        <v>3.5706652658188988E-2</v>
      </c>
    </row>
    <row r="18" spans="1:7" x14ac:dyDescent="0.25">
      <c r="A18" t="str">
        <f>[1]Summary.Global!B18</f>
        <v>United States</v>
      </c>
      <c r="B18" s="1">
        <f>[1]Summary.Global!Q18</f>
        <v>0.28960396039603964</v>
      </c>
      <c r="C18" s="1">
        <v>0.28299999999999997</v>
      </c>
      <c r="D18" s="1">
        <f t="shared" si="0"/>
        <v>-6.6039603960396653E-3</v>
      </c>
      <c r="E18" s="2">
        <f t="shared" si="1"/>
        <v>-2.2803418803419014E-2</v>
      </c>
    </row>
    <row r="19" spans="1:7" x14ac:dyDescent="0.25">
      <c r="A19" t="str">
        <f>[1]Summary.Global!B19</f>
        <v>Mexico</v>
      </c>
      <c r="B19" s="1">
        <v>2.1899999999999999E-2</v>
      </c>
      <c r="C19" s="1">
        <v>2.1919999999999999E-2</v>
      </c>
      <c r="D19" s="1">
        <f t="shared" si="0"/>
        <v>1.9999999999999185E-5</v>
      </c>
      <c r="E19" s="2">
        <f t="shared" si="1"/>
        <v>9.1324200913238287E-4</v>
      </c>
    </row>
    <row r="20" spans="1:7" x14ac:dyDescent="0.25">
      <c r="A20" t="str">
        <f>[1]Summary.Global!B20</f>
        <v>Turkey</v>
      </c>
      <c r="B20" s="1">
        <v>0.16719999999999999</v>
      </c>
      <c r="C20" s="1">
        <v>0.14199999999999999</v>
      </c>
      <c r="D20" s="1">
        <f t="shared" si="0"/>
        <v>-2.52E-2</v>
      </c>
      <c r="E20" s="2">
        <f t="shared" si="1"/>
        <v>-0.15071770334928231</v>
      </c>
      <c r="F20" t="s">
        <v>8</v>
      </c>
    </row>
    <row r="21" spans="1:7" x14ac:dyDescent="0.25">
      <c r="A21" t="str">
        <f>[1]Summary.Global!B21</f>
        <v>Austria</v>
      </c>
      <c r="B21" s="1">
        <f>[1]Summary.Global!Q21</f>
        <v>0.18857317623385234</v>
      </c>
      <c r="C21" s="1">
        <v>0.1762</v>
      </c>
      <c r="D21" s="1">
        <f t="shared" si="0"/>
        <v>-1.237317623385234E-2</v>
      </c>
      <c r="E21" s="2">
        <f t="shared" si="1"/>
        <v>-6.5614720401740406E-2</v>
      </c>
      <c r="F21" s="1">
        <v>0.1762</v>
      </c>
      <c r="G21" t="s">
        <v>9</v>
      </c>
    </row>
    <row r="22" spans="1:7" x14ac:dyDescent="0.25">
      <c r="A22" t="str">
        <f>[1]Summary.Global!B22</f>
        <v>Belgium</v>
      </c>
      <c r="B22" s="1">
        <f>[1]Summary.Global!Q22</f>
        <v>0.20903867288317007</v>
      </c>
      <c r="C22" s="1">
        <f>[1]Summary.Global!R22</f>
        <v>0.214</v>
      </c>
      <c r="D22" s="1">
        <f t="shared" si="0"/>
        <v>4.9613271168299222E-3</v>
      </c>
      <c r="E22" s="2">
        <f t="shared" si="1"/>
        <v>2.3734015569467214E-2</v>
      </c>
    </row>
    <row r="23" spans="1:7" x14ac:dyDescent="0.25">
      <c r="A23" t="str">
        <f>[1]Summary.Global!B23</f>
        <v>Czech republic</v>
      </c>
      <c r="B23" s="1">
        <v>0.247</v>
      </c>
      <c r="C23" s="1">
        <f>[1]Summary.Global!R23</f>
        <v>0.24640000000000001</v>
      </c>
      <c r="D23" s="1">
        <f t="shared" si="0"/>
        <v>-5.9999999999998943E-4</v>
      </c>
      <c r="E23" s="2">
        <f t="shared" si="1"/>
        <v>-2.4291497975708074E-3</v>
      </c>
    </row>
    <row r="24" spans="1:7" x14ac:dyDescent="0.25">
      <c r="A24" t="str">
        <f>[1]Summary.Global!B24</f>
        <v>Denmark</v>
      </c>
      <c r="B24" s="1">
        <f>[1]Summary.Global!Q24</f>
        <v>0.20422753451319836</v>
      </c>
      <c r="C24" s="1">
        <v>0.20830000000000001</v>
      </c>
      <c r="D24" s="1">
        <f t="shared" si="0"/>
        <v>4.0724654868016519E-3</v>
      </c>
      <c r="E24" s="2">
        <f t="shared" si="1"/>
        <v>1.9940824808510164E-2</v>
      </c>
      <c r="F24" s="1">
        <v>0.20830000000000001</v>
      </c>
      <c r="G24" t="s">
        <v>10</v>
      </c>
    </row>
    <row r="25" spans="1:7" x14ac:dyDescent="0.25">
      <c r="A25" t="str">
        <f>[1]Summary.Global!B25</f>
        <v>Estonia</v>
      </c>
      <c r="B25" s="1">
        <f>[1]Summary.Global!Q25</f>
        <v>0.1085456853521439</v>
      </c>
      <c r="C25" s="1">
        <v>0.1578</v>
      </c>
      <c r="D25" s="1">
        <f t="shared" si="0"/>
        <v>4.9254314647856096E-2</v>
      </c>
      <c r="E25" s="2">
        <f t="shared" si="1"/>
        <v>0.453765752992072</v>
      </c>
      <c r="F25" s="1">
        <v>0.1578</v>
      </c>
      <c r="G25" t="s">
        <v>11</v>
      </c>
    </row>
    <row r="26" spans="1:7" x14ac:dyDescent="0.25">
      <c r="A26" t="str">
        <f>[1]Summary.Global!B26</f>
        <v>Finland</v>
      </c>
      <c r="B26" s="1">
        <v>0.14199999999999999</v>
      </c>
      <c r="C26" s="1">
        <v>0.1489</v>
      </c>
      <c r="D26" s="1">
        <f t="shared" si="0"/>
        <v>6.9000000000000172E-3</v>
      </c>
      <c r="E26" s="2">
        <f t="shared" si="1"/>
        <v>4.8591549295774771E-2</v>
      </c>
    </row>
    <row r="27" spans="1:7" x14ac:dyDescent="0.25">
      <c r="A27" t="str">
        <f>[1]Summary.Global!B27</f>
        <v>Greece</v>
      </c>
      <c r="B27" s="1">
        <f>[1]Summary.Global!Q27</f>
        <v>0.19442998579518758</v>
      </c>
      <c r="C27" s="1">
        <v>0.188</v>
      </c>
      <c r="D27" s="1">
        <f t="shared" si="0"/>
        <v>-6.4299857951875816E-3</v>
      </c>
      <c r="E27" s="2">
        <f t="shared" si="1"/>
        <v>-3.3070957490893019E-2</v>
      </c>
    </row>
    <row r="28" spans="1:7" x14ac:dyDescent="0.25">
      <c r="A28" t="str">
        <f>[1]Summary.Global!B28</f>
        <v>Iceland</v>
      </c>
      <c r="B28" s="1">
        <f>[1]Summary.Global!Q28</f>
        <v>0.11765786855509389</v>
      </c>
      <c r="C28" s="1">
        <v>0.112</v>
      </c>
      <c r="D28" s="1">
        <f t="shared" si="0"/>
        <v>-5.657868555093884E-3</v>
      </c>
      <c r="E28" s="2">
        <f t="shared" si="1"/>
        <v>-4.8087464311361024E-2</v>
      </c>
    </row>
    <row r="29" spans="1:7" x14ac:dyDescent="0.25">
      <c r="A29" t="str">
        <f>[1]Summary.Global!B29</f>
        <v>Ireland</v>
      </c>
      <c r="B29" s="1">
        <v>0.14299999999999999</v>
      </c>
      <c r="C29" s="1">
        <v>0.125</v>
      </c>
      <c r="D29" s="1">
        <f t="shared" si="0"/>
        <v>-1.7999999999999988E-2</v>
      </c>
      <c r="E29" s="2">
        <f t="shared" si="1"/>
        <v>-0.1258741258741258</v>
      </c>
      <c r="F29" t="s">
        <v>12</v>
      </c>
    </row>
    <row r="30" spans="1:7" x14ac:dyDescent="0.25">
      <c r="A30" t="str">
        <f>[1]Summary.Global!B30</f>
        <v>Israel</v>
      </c>
      <c r="B30" s="1">
        <f>[1]Summary.Global!Q30</f>
        <v>0.16311979214838856</v>
      </c>
      <c r="C30" s="1">
        <v>0.1636</v>
      </c>
      <c r="D30" s="1">
        <f t="shared" si="0"/>
        <v>4.8020785161143054E-4</v>
      </c>
      <c r="E30" s="2">
        <f t="shared" si="1"/>
        <v>2.9438969072164457E-3</v>
      </c>
    </row>
    <row r="31" spans="1:7" x14ac:dyDescent="0.25">
      <c r="A31" t="str">
        <f>[1]Summary.Global!B31</f>
        <v>Latvia</v>
      </c>
      <c r="B31" s="1">
        <f>[1]Summary.Global!Q31</f>
        <v>0.14379269897957542</v>
      </c>
      <c r="C31" s="1">
        <v>0.14410000000000001</v>
      </c>
      <c r="D31" s="1">
        <f t="shared" si="0"/>
        <v>3.0730102042458851E-4</v>
      </c>
      <c r="E31" s="2">
        <f t="shared" si="1"/>
        <v>2.1371114291987669E-3</v>
      </c>
    </row>
    <row r="32" spans="1:7" x14ac:dyDescent="0.25">
      <c r="A32" t="str">
        <f>[1]Summary.Global!B32</f>
        <v>Lithuania</v>
      </c>
      <c r="B32" s="1">
        <f>[1]Summary.Global!Q32</f>
        <v>0.1219328484617246</v>
      </c>
      <c r="C32" s="1">
        <v>0.11700000000000001</v>
      </c>
      <c r="D32" s="1">
        <f t="shared" si="0"/>
        <v>-4.9328484617245927E-3</v>
      </c>
      <c r="E32" s="2">
        <f t="shared" si="1"/>
        <v>-4.0455451701130733E-2</v>
      </c>
    </row>
    <row r="33" spans="1:7" x14ac:dyDescent="0.25">
      <c r="A33" t="str">
        <f>[1]Summary.Global!B33</f>
        <v>Luxembourg</v>
      </c>
      <c r="B33" s="1">
        <v>0.109</v>
      </c>
      <c r="C33" s="1">
        <v>0.104</v>
      </c>
      <c r="D33" s="1">
        <f t="shared" si="0"/>
        <v>-5.0000000000000044E-3</v>
      </c>
      <c r="E33" s="2">
        <f t="shared" si="1"/>
        <v>-4.5871559633027567E-2</v>
      </c>
    </row>
    <row r="34" spans="1:7" x14ac:dyDescent="0.25">
      <c r="A34" t="str">
        <f>[1]Summary.Global!B34</f>
        <v>The Netherlands</v>
      </c>
      <c r="B34" s="1">
        <v>0.159</v>
      </c>
      <c r="C34" s="1">
        <v>0.15970000000000001</v>
      </c>
      <c r="D34" s="1">
        <f t="shared" si="0"/>
        <v>7.0000000000000617E-4</v>
      </c>
      <c r="E34" s="2">
        <f t="shared" si="1"/>
        <v>4.4025157232704792E-3</v>
      </c>
    </row>
    <row r="35" spans="1:7" x14ac:dyDescent="0.25">
      <c r="A35" t="str">
        <f>[1]Summary.Global!B35</f>
        <v>New Zealand</v>
      </c>
      <c r="B35" s="1">
        <v>0.1535</v>
      </c>
      <c r="C35" s="1">
        <v>0.17</v>
      </c>
      <c r="D35" s="1">
        <f t="shared" si="0"/>
        <v>1.6500000000000015E-2</v>
      </c>
      <c r="E35" s="2">
        <f t="shared" si="1"/>
        <v>0.10749185667752453</v>
      </c>
      <c r="F35" t="s">
        <v>13</v>
      </c>
      <c r="G35" t="s">
        <v>14</v>
      </c>
    </row>
    <row r="36" spans="1:7" x14ac:dyDescent="0.25">
      <c r="A36" t="str">
        <f>[1]Summary.Global!B36</f>
        <v>Norway</v>
      </c>
      <c r="B36" s="1">
        <v>0.10199999999999999</v>
      </c>
      <c r="C36" s="1">
        <f>[1]Summary.Global!R36</f>
        <v>9.8799999999999999E-2</v>
      </c>
      <c r="D36" s="1">
        <f t="shared" si="0"/>
        <v>-3.1999999999999945E-3</v>
      </c>
      <c r="E36" s="2">
        <f t="shared" si="1"/>
        <v>-3.1372549019607794E-2</v>
      </c>
    </row>
    <row r="37" spans="1:7" x14ac:dyDescent="0.25">
      <c r="A37" t="str">
        <f>[1]Summary.Global!B37</f>
        <v>Portugal</v>
      </c>
      <c r="B37" s="1">
        <f>[1]Summary.Global!Q37</f>
        <v>0.12139873563666419</v>
      </c>
      <c r="C37" s="1">
        <v>0.14899999999999999</v>
      </c>
      <c r="D37" s="1">
        <f t="shared" si="0"/>
        <v>2.7601264363335806E-2</v>
      </c>
      <c r="E37" s="2">
        <f t="shared" si="1"/>
        <v>0.22736039398255334</v>
      </c>
      <c r="F37" s="1">
        <v>0.14899999999999999</v>
      </c>
      <c r="G37" t="s">
        <v>15</v>
      </c>
    </row>
    <row r="38" spans="1:7" x14ac:dyDescent="0.25">
      <c r="A38" t="str">
        <f>[1]Summary.Global!B38</f>
        <v>Slovak Republic</v>
      </c>
      <c r="B38" s="1">
        <v>8.6999999999999994E-2</v>
      </c>
      <c r="C38" s="1">
        <v>0.11700000000000001</v>
      </c>
      <c r="D38" s="1">
        <f t="shared" si="0"/>
        <v>3.0000000000000013E-2</v>
      </c>
      <c r="E38" s="2">
        <f>(C38-B38)/B38</f>
        <v>0.34482758620689674</v>
      </c>
      <c r="F38" t="s">
        <v>16</v>
      </c>
    </row>
    <row r="39" spans="1:7" x14ac:dyDescent="0.25">
      <c r="A39" t="str">
        <f>[1]Summary.Global!B39</f>
        <v>Slovenia</v>
      </c>
      <c r="B39" s="1">
        <f>[1]Summary.Global!Q39</f>
        <v>0.17399102845536207</v>
      </c>
      <c r="C39" s="1">
        <f>[1]Summary.Global!R39</f>
        <v>0.1769</v>
      </c>
      <c r="D39" s="1">
        <f t="shared" si="0"/>
        <v>2.9089715446379283E-3</v>
      </c>
      <c r="E39" s="2">
        <f t="shared" si="1"/>
        <v>1.6719089314333434E-2</v>
      </c>
    </row>
    <row r="40" spans="1:7" x14ac:dyDescent="0.25">
      <c r="A40" t="str">
        <f>[1]Summary.Global!B40</f>
        <v>Sweden</v>
      </c>
      <c r="B40" s="1">
        <v>0.1603</v>
      </c>
      <c r="C40" s="1">
        <v>0.13500000000000001</v>
      </c>
      <c r="D40" s="1">
        <f t="shared" si="0"/>
        <v>-2.5299999999999989E-2</v>
      </c>
      <c r="E40" s="2">
        <f t="shared" si="1"/>
        <v>-0.15782907049282588</v>
      </c>
      <c r="F40" t="s">
        <v>17</v>
      </c>
    </row>
    <row r="41" spans="1:7" x14ac:dyDescent="0.25">
      <c r="A41" t="str">
        <f>[1]Summary.Global!B41</f>
        <v>Switzerland</v>
      </c>
      <c r="B41" s="1">
        <v>0.13700000000000001</v>
      </c>
      <c r="C41" s="1">
        <v>0.126</v>
      </c>
      <c r="D41" s="1">
        <f t="shared" si="0"/>
        <v>-1.100000000000001E-2</v>
      </c>
      <c r="E41" s="2">
        <f t="shared" si="1"/>
        <v>-8.0291970802919777E-2</v>
      </c>
      <c r="F41" t="s">
        <v>18</v>
      </c>
    </row>
    <row r="42" spans="1:7" x14ac:dyDescent="0.25">
      <c r="A42" t="str">
        <f>[1]Summary.Global!B42</f>
        <v>Chile</v>
      </c>
      <c r="B42" s="1">
        <v>0.16930000000000001</v>
      </c>
      <c r="C42" s="1">
        <v>0.28799999999999998</v>
      </c>
      <c r="D42" s="1">
        <f t="shared" si="0"/>
        <v>0.11869999999999997</v>
      </c>
      <c r="E42" s="2">
        <f t="shared" si="1"/>
        <v>0.70112226816302403</v>
      </c>
      <c r="F42" s="1">
        <v>0.28799999999999998</v>
      </c>
      <c r="G42" s="4" t="s">
        <v>19</v>
      </c>
    </row>
    <row r="43" spans="1:7" x14ac:dyDescent="0.25">
      <c r="A43" t="str">
        <f>[1]Summary.Global!B43</f>
        <v>Colombia</v>
      </c>
      <c r="B43" s="1">
        <v>9.6100000000000005E-2</v>
      </c>
      <c r="C43" s="1">
        <v>8.5000000000000006E-2</v>
      </c>
      <c r="D43" s="1">
        <f t="shared" si="0"/>
        <v>-1.1099999999999999E-2</v>
      </c>
      <c r="E43" s="2">
        <f t="shared" si="1"/>
        <v>-0.11550468262226846</v>
      </c>
      <c r="F43" t="s">
        <v>20</v>
      </c>
      <c r="G43" s="4" t="s">
        <v>21</v>
      </c>
    </row>
    <row r="44" spans="1:7" x14ac:dyDescent="0.25">
      <c r="A44" t="str">
        <f>[1]Summary.Global!B44</f>
        <v>Costa Rica</v>
      </c>
      <c r="B44" s="1">
        <f>[1]Summary.Global!Q44</f>
        <v>1.5532172409408282E-2</v>
      </c>
      <c r="C44" s="1">
        <v>1.7600000000000001E-2</v>
      </c>
      <c r="D44" s="1">
        <f t="shared" si="0"/>
        <v>2.0678275905917191E-3</v>
      </c>
      <c r="E44" s="2">
        <f>(C44-B44)/B44</f>
        <v>0.13313189784960003</v>
      </c>
      <c r="F44" s="1" t="s">
        <v>22</v>
      </c>
    </row>
    <row r="45" spans="1:7" x14ac:dyDescent="0.25">
      <c r="A45" t="str">
        <f>[1]Summary.Global!B45</f>
        <v>Hungary</v>
      </c>
      <c r="B45" s="1">
        <f>[1]Summary.Global!Q45</f>
        <v>0.16392115594770715</v>
      </c>
      <c r="C45" s="1">
        <f>[1]Summary.Global!R45</f>
        <v>0.15590000000000001</v>
      </c>
      <c r="D45" s="1">
        <f t="shared" si="0"/>
        <v>-8.021155947707137E-3</v>
      </c>
      <c r="E45" s="2">
        <f t="shared" si="1"/>
        <v>-4.8933012345679067E-2</v>
      </c>
    </row>
    <row r="46" spans="1:7" x14ac:dyDescent="0.25">
      <c r="A46" t="str">
        <f>[1]Summary.Global!B46</f>
        <v>Poland</v>
      </c>
      <c r="B46" s="1">
        <v>0.1153</v>
      </c>
      <c r="C46" s="1">
        <v>0.1143</v>
      </c>
      <c r="D46" s="1">
        <f t="shared" si="0"/>
        <v>-1.0000000000000009E-3</v>
      </c>
      <c r="E46" s="2">
        <f t="shared" si="1"/>
        <v>-8.6730268863833559E-3</v>
      </c>
    </row>
  </sheetData>
  <conditionalFormatting sqref="D9:D46">
    <cfRule type="cellIs" dxfId="3" priority="3" operator="greaterThan">
      <formula>0.02</formula>
    </cfRule>
    <cfRule type="cellIs" dxfId="2" priority="4" operator="lessThan">
      <formula>-0.02</formula>
    </cfRule>
  </conditionalFormatting>
  <conditionalFormatting sqref="E9:E24 E26:E34 E36 E39:E41 E43 E45:E46">
    <cfRule type="cellIs" dxfId="1" priority="1" operator="lessThan">
      <formula>-5</formula>
    </cfRule>
    <cfRule type="cellIs" dxfId="0" priority="2" operator="greaterThan">
      <formula>0.05</formula>
    </cfRule>
  </conditionalFormatting>
  <hyperlinks>
    <hyperlink ref="G42" r:id="rId1" display="https://bibliotecadigital.findeter.metabiblioteca.com/entities/publication/60a2cbf5-cd66-43ac-83dc-d977dd10037f/full" xr:uid="{1244D331-0A5E-4A39-87E0-5515D3D528A7}"/>
    <hyperlink ref="G43" r:id="rId2" display="https://www.bancoldex.com/sites/default/files/bancoldex_estados_financieros_separados_2021-2020_0.pdf" xr:uid="{2453A3F3-CBD2-4162-BDD5-0B71E80303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Abweichungen</vt:lpstr>
    </vt:vector>
  </TitlesOfParts>
  <Company>University of Basel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aulis pesenti</dc:creator>
  <cp:lastModifiedBy>aulis pesenti</cp:lastModifiedBy>
  <dcterms:created xsi:type="dcterms:W3CDTF">2025-11-19T07:41:08Z</dcterms:created>
  <dcterms:modified xsi:type="dcterms:W3CDTF">2025-11-19T07:41:30Z</dcterms:modified>
</cp:coreProperties>
</file>