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9.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Backup/"/>
    </mc:Choice>
  </mc:AlternateContent>
  <xr:revisionPtr revIDLastSave="4100" documentId="13_ncr:1_{C9A92832-AD96-409C-8656-76CAE2C375E0}" xr6:coauthVersionLast="47" xr6:coauthVersionMax="47" xr10:uidLastSave="{D2966A32-3CFB-470C-8867-7881546A9251}"/>
  <bookViews>
    <workbookView xWindow="12270" yWindow="-18110" windowWidth="29020" windowHeight="17500" tabRatio="866" xr2:uid="{00000000-000D-0000-FFFF-FFFF00000000}"/>
  </bookViews>
  <sheets>
    <sheet name="Data" sheetId="1" r:id="rId1"/>
    <sheet name="Mapping" sheetId="22" r:id="rId2"/>
    <sheet name="Makro Analysis Count per 2 " sheetId="21" r:id="rId3"/>
    <sheet name="Makro Analysis Count per" sheetId="18" r:id="rId4"/>
    <sheet name="PolicyLegende" sheetId="17" r:id="rId5"/>
    <sheet name="Introduction" sheetId="13" r:id="rId6"/>
    <sheet name="Sample Selection" sheetId="2" r:id="rId7"/>
    <sheet name="Sample Select backend" sheetId="3" r:id="rId8"/>
    <sheet name="MPO Data" sheetId="14" r:id="rId9"/>
    <sheet name="Policy Choices within Sample" sheetId="4" r:id="rId10"/>
    <sheet name="Policy Choices across Samples" sheetId="5" r:id="rId11"/>
    <sheet name="Performance within Sample" sheetId="7" r:id="rId12"/>
    <sheet name="Performance within backend" sheetId="8" state="hidden" r:id="rId13"/>
    <sheet name="Performance across Samples" sheetId="9" r:id="rId14"/>
    <sheet name="Performance across Policies" sheetId="11" r:id="rId15"/>
    <sheet name="Perf. across Policies backend" sheetId="12" state="hidden" r:id="rId16"/>
    <sheet name="Performance across backend" sheetId="10" state="hidden" r:id="rId17"/>
    <sheet name="Policy select backend" sheetId="6" state="hidden" r:id="rId18"/>
  </sheets>
  <definedNames>
    <definedName name="_xlnm._FilterDatabase" localSheetId="0" hidden="1">Data!$B$1:$AK$1624</definedName>
    <definedName name="FCV_added">OFFSET('Policy select backend'!$O$52,,,2+'Policy select backend'!$B$52)</definedName>
    <definedName name="FCV_Scores">OFFSET('Performance across backend'!$H$39,,,2+'Performance across backend'!$P$3)</definedName>
    <definedName name="Income_added">OFFSET('Policy select backend'!$O$37,,,4+'Policy select backend'!$B$52)</definedName>
    <definedName name="Income_scores">OFFSET('Performance across backend'!$H$24,,,4+'Performance across backend'!$P$3)</definedName>
    <definedName name="Lending_added">OFFSET('Policy select backend'!$O$31,,,3+'Policy select backend'!$B$52)</definedName>
    <definedName name="Lending_scores">OFFSET('Performance across backend'!$H$18,,,3+'Performance across backend'!$P$3)</definedName>
    <definedName name="Regions_added">OFFSET('Policy select backend'!$O$43,,,7+'Policy select backend'!$B$52)</definedName>
    <definedName name="Regions_scores">OFFSET('Performance across backend'!$H$30,,,7+'Performance across backend'!$P$3)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7" i="21" l="1"/>
  <c r="C76" i="21" s="1"/>
  <c r="D77" i="21"/>
  <c r="D76" i="21" s="1"/>
  <c r="F1426" i="1"/>
  <c r="AA1426" i="1"/>
  <c r="AB1426" i="1"/>
  <c r="AC1426" i="1"/>
  <c r="AD1426" i="1"/>
  <c r="AE1426" i="1"/>
  <c r="AF1426" i="1"/>
  <c r="AG1426" i="1"/>
  <c r="AH1426" i="1"/>
  <c r="AI1426" i="1"/>
  <c r="AJ1426" i="1"/>
  <c r="AK1426" i="1"/>
  <c r="I45" i="21"/>
  <c r="J45" i="21"/>
  <c r="K45" i="21"/>
  <c r="L45" i="21"/>
  <c r="M45" i="21"/>
  <c r="N45" i="21"/>
  <c r="G45" i="21"/>
  <c r="H45" i="21"/>
  <c r="E45" i="21"/>
  <c r="F45" i="21" s="1"/>
  <c r="H2" i="21"/>
  <c r="F1616" i="1"/>
  <c r="F1617" i="1"/>
  <c r="F1618" i="1"/>
  <c r="F1619" i="1"/>
  <c r="F1620" i="1"/>
  <c r="F1621" i="1"/>
  <c r="F1622" i="1"/>
  <c r="F1623" i="1"/>
  <c r="F1624" i="1"/>
  <c r="F1589" i="1"/>
  <c r="AJ1589" i="1"/>
  <c r="F1601" i="1"/>
  <c r="F1602" i="1"/>
  <c r="F1603" i="1"/>
  <c r="F1604" i="1"/>
  <c r="F1605" i="1"/>
  <c r="F1606" i="1"/>
  <c r="F1607" i="1"/>
  <c r="F1608" i="1"/>
  <c r="F1609" i="1"/>
  <c r="F1610" i="1"/>
  <c r="F1611" i="1"/>
  <c r="F1612" i="1"/>
  <c r="F1613" i="1"/>
  <c r="F1614" i="1"/>
  <c r="F1615" i="1"/>
  <c r="F1596" i="1"/>
  <c r="F1597" i="1"/>
  <c r="F1598" i="1"/>
  <c r="F1599" i="1"/>
  <c r="F1600" i="1"/>
  <c r="F1529" i="1"/>
  <c r="F1530" i="1"/>
  <c r="F1531" i="1"/>
  <c r="F1532" i="1"/>
  <c r="F1533" i="1"/>
  <c r="F1534" i="1"/>
  <c r="F1535" i="1"/>
  <c r="AJ1524" i="1"/>
  <c r="AJ1523" i="1"/>
  <c r="AJ1522" i="1"/>
  <c r="AJ1521" i="1"/>
  <c r="AJ1520" i="1"/>
  <c r="AJ1519" i="1"/>
  <c r="AJ1482" i="1"/>
  <c r="AJ1481" i="1"/>
  <c r="AJ1480" i="1"/>
  <c r="AJ1479" i="1"/>
  <c r="AJ1478" i="1"/>
  <c r="AJ1477" i="1"/>
  <c r="AJ1476" i="1"/>
  <c r="AJ1475" i="1"/>
  <c r="F1519" i="1"/>
  <c r="F1520" i="1"/>
  <c r="F1521" i="1"/>
  <c r="F1522" i="1"/>
  <c r="F1523" i="1"/>
  <c r="F1524" i="1"/>
  <c r="F1525" i="1"/>
  <c r="F1526" i="1"/>
  <c r="F1527" i="1"/>
  <c r="F1528" i="1"/>
  <c r="F1475" i="1"/>
  <c r="F1476" i="1"/>
  <c r="F1477" i="1"/>
  <c r="F1478" i="1"/>
  <c r="F1479" i="1"/>
  <c r="F1480" i="1"/>
  <c r="F1481" i="1"/>
  <c r="F1482" i="1"/>
  <c r="F1438" i="1"/>
  <c r="F1439" i="1"/>
  <c r="AJ1439" i="1"/>
  <c r="AJ1438" i="1"/>
  <c r="F1401" i="1"/>
  <c r="F1402" i="1"/>
  <c r="F1403" i="1"/>
  <c r="F1404" i="1"/>
  <c r="F1405" i="1"/>
  <c r="F1406" i="1"/>
  <c r="F1407" i="1"/>
  <c r="F1408" i="1"/>
  <c r="F1409" i="1"/>
  <c r="F1410" i="1"/>
  <c r="F1362" i="1"/>
  <c r="F1363" i="1"/>
  <c r="F1364" i="1"/>
  <c r="F1365" i="1"/>
  <c r="F1366" i="1"/>
  <c r="F1367" i="1"/>
  <c r="F1368" i="1"/>
  <c r="F1369" i="1"/>
  <c r="F1370" i="1"/>
  <c r="AJ1362" i="1"/>
  <c r="F1311" i="1"/>
  <c r="F1312" i="1"/>
  <c r="F1313" i="1"/>
  <c r="F1314" i="1"/>
  <c r="F1315"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11" i="1"/>
  <c r="F1412" i="1"/>
  <c r="F1413" i="1"/>
  <c r="F1414" i="1"/>
  <c r="F1415" i="1"/>
  <c r="F1416" i="1"/>
  <c r="F1417" i="1"/>
  <c r="F1418" i="1"/>
  <c r="F1419" i="1"/>
  <c r="F1420" i="1"/>
  <c r="F1421" i="1"/>
  <c r="F1422" i="1"/>
  <c r="F1423" i="1"/>
  <c r="F1424" i="1"/>
  <c r="F1425" i="1"/>
  <c r="F1427" i="1"/>
  <c r="F1428" i="1"/>
  <c r="F1429" i="1"/>
  <c r="F1430" i="1"/>
  <c r="F1431" i="1"/>
  <c r="F1432" i="1"/>
  <c r="F1433" i="1"/>
  <c r="F1434" i="1"/>
  <c r="F1435" i="1"/>
  <c r="F1436" i="1"/>
  <c r="F1437"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90" i="1"/>
  <c r="F1591" i="1"/>
  <c r="F1592" i="1"/>
  <c r="F1593" i="1"/>
  <c r="F1594" i="1"/>
  <c r="F1595" i="1"/>
  <c r="AJ1248" i="1"/>
  <c r="AJ1247" i="1"/>
  <c r="AJ1246" i="1"/>
  <c r="AJ1245" i="1"/>
  <c r="AJ1244" i="1"/>
  <c r="AJ1243" i="1"/>
  <c r="F1203" i="1"/>
  <c r="F1204" i="1"/>
  <c r="F1205" i="1"/>
  <c r="F1206" i="1"/>
  <c r="F1207" i="1"/>
  <c r="F1208" i="1"/>
  <c r="F1209" i="1"/>
  <c r="AJ1203" i="1"/>
  <c r="F1144" i="1"/>
  <c r="F1145" i="1"/>
  <c r="F1146" i="1"/>
  <c r="F1147" i="1"/>
  <c r="F1148" i="1"/>
  <c r="F1149" i="1"/>
  <c r="AJ1146" i="1"/>
  <c r="AJ1145" i="1"/>
  <c r="AJ1144" i="1"/>
  <c r="F1100" i="1"/>
  <c r="F1101" i="1"/>
  <c r="F1102" i="1"/>
  <c r="F1103" i="1"/>
  <c r="F1104" i="1"/>
  <c r="F1105" i="1"/>
  <c r="AJ1105" i="1"/>
  <c r="AJ1104" i="1"/>
  <c r="AJ1103" i="1"/>
  <c r="AJ1102" i="1"/>
  <c r="AJ1101" i="1"/>
  <c r="AJ1100" i="1"/>
  <c r="F1099" i="1"/>
  <c r="AJ1099" i="1"/>
  <c r="AK1099" i="1"/>
  <c r="F1059" i="1"/>
  <c r="F1060" i="1"/>
  <c r="F1061" i="1"/>
  <c r="F1062" i="1"/>
  <c r="F1063" i="1"/>
  <c r="F1064" i="1"/>
  <c r="F1065" i="1"/>
  <c r="F1066" i="1"/>
  <c r="F1067" i="1"/>
  <c r="F1068" i="1"/>
  <c r="F1069" i="1"/>
  <c r="AJ1064" i="1"/>
  <c r="AJ1063" i="1"/>
  <c r="AJ1062" i="1"/>
  <c r="AJ1061" i="1"/>
  <c r="AJ1060" i="1"/>
  <c r="AJ1059" i="1"/>
  <c r="F1024" i="1"/>
  <c r="F1025" i="1"/>
  <c r="F1026" i="1"/>
  <c r="F1027" i="1"/>
  <c r="AJ1027" i="1"/>
  <c r="AJ1026" i="1"/>
  <c r="AJ1025" i="1"/>
  <c r="AJ1024" i="1"/>
  <c r="F996" i="1"/>
  <c r="F997" i="1"/>
  <c r="F998" i="1"/>
  <c r="F999" i="1"/>
  <c r="F1000" i="1"/>
  <c r="F1001" i="1"/>
  <c r="F1002" i="1"/>
  <c r="AJ1002" i="1"/>
  <c r="AJ1001" i="1"/>
  <c r="AJ1000" i="1"/>
  <c r="AJ999" i="1"/>
  <c r="AJ998" i="1"/>
  <c r="AJ997" i="1"/>
  <c r="AJ996" i="1"/>
  <c r="F960" i="1"/>
  <c r="F961" i="1"/>
  <c r="F962" i="1"/>
  <c r="F963" i="1"/>
  <c r="F964" i="1"/>
  <c r="F965" i="1"/>
  <c r="F966" i="1"/>
  <c r="F967" i="1"/>
  <c r="F968" i="1"/>
  <c r="AJ961" i="1"/>
  <c r="AJ960" i="1"/>
  <c r="F925" i="1"/>
  <c r="F926" i="1"/>
  <c r="F927" i="1"/>
  <c r="F928" i="1"/>
  <c r="F929" i="1"/>
  <c r="F930" i="1"/>
  <c r="F931" i="1"/>
  <c r="F905" i="1"/>
  <c r="F906" i="1"/>
  <c r="F907" i="1"/>
  <c r="F908" i="1"/>
  <c r="F909" i="1"/>
  <c r="F910" i="1"/>
  <c r="F911" i="1"/>
  <c r="F912" i="1"/>
  <c r="AJ907" i="1"/>
  <c r="AJ906" i="1"/>
  <c r="AJ905" i="1"/>
  <c r="F858" i="1"/>
  <c r="F859" i="1"/>
  <c r="F860" i="1"/>
  <c r="F861" i="1"/>
  <c r="F862" i="1"/>
  <c r="F863" i="1"/>
  <c r="F864" i="1"/>
  <c r="F865" i="1"/>
  <c r="F866" i="1"/>
  <c r="F867" i="1"/>
  <c r="F868" i="1"/>
  <c r="F869" i="1"/>
  <c r="F870" i="1"/>
  <c r="F766" i="1"/>
  <c r="F767" i="1"/>
  <c r="F768" i="1"/>
  <c r="F769" i="1"/>
  <c r="F770" i="1"/>
  <c r="F771" i="1"/>
  <c r="F826" i="1"/>
  <c r="F827" i="1"/>
  <c r="F828" i="1"/>
  <c r="F829" i="1"/>
  <c r="F830" i="1"/>
  <c r="F831" i="1"/>
  <c r="F832" i="1"/>
  <c r="F833" i="1"/>
  <c r="F834" i="1"/>
  <c r="F835" i="1"/>
  <c r="F836" i="1"/>
  <c r="F837" i="1"/>
  <c r="F838" i="1"/>
  <c r="F839" i="1"/>
  <c r="F840" i="1"/>
  <c r="F841" i="1"/>
  <c r="AJ827" i="1"/>
  <c r="AJ826" i="1"/>
  <c r="AJ768" i="1" l="1"/>
  <c r="AJ767" i="1"/>
  <c r="AJ766" i="1"/>
  <c r="F734" i="1"/>
  <c r="F735" i="1"/>
  <c r="F736" i="1"/>
  <c r="F737" i="1"/>
  <c r="F738" i="1"/>
  <c r="F739" i="1"/>
  <c r="F740" i="1"/>
  <c r="F741" i="1"/>
  <c r="F742" i="1"/>
  <c r="F743" i="1"/>
  <c r="F744" i="1"/>
  <c r="F745" i="1"/>
  <c r="AJ736" i="1"/>
  <c r="AJ735" i="1"/>
  <c r="AJ734" i="1"/>
  <c r="F696" i="1"/>
  <c r="F697" i="1"/>
  <c r="F698" i="1"/>
  <c r="F699" i="1"/>
  <c r="AJ699" i="1"/>
  <c r="AJ698" i="1"/>
  <c r="AJ697" i="1"/>
  <c r="AJ696" i="1"/>
  <c r="F659" i="1"/>
  <c r="F660" i="1"/>
  <c r="F661" i="1"/>
  <c r="F662" i="1"/>
  <c r="F663" i="1"/>
  <c r="F664" i="1"/>
  <c r="F665" i="1"/>
  <c r="F617" i="1"/>
  <c r="F618" i="1"/>
  <c r="F619" i="1"/>
  <c r="F620" i="1"/>
  <c r="F621" i="1"/>
  <c r="F622" i="1"/>
  <c r="F623" i="1"/>
  <c r="F624" i="1"/>
  <c r="AJ620" i="1" l="1"/>
  <c r="AJ619" i="1"/>
  <c r="AJ618" i="1"/>
  <c r="AJ617" i="1"/>
  <c r="F575" i="1"/>
  <c r="F576" i="1"/>
  <c r="F577" i="1"/>
  <c r="F578" i="1"/>
  <c r="F579" i="1"/>
  <c r="F580" i="1"/>
  <c r="F581" i="1"/>
  <c r="F217" i="1"/>
  <c r="F218" i="1"/>
  <c r="F219" i="1"/>
  <c r="F220" i="1"/>
  <c r="F514" i="1"/>
  <c r="F515" i="1"/>
  <c r="F516" i="1"/>
  <c r="F517" i="1"/>
  <c r="F518" i="1"/>
  <c r="F519" i="1"/>
  <c r="F520" i="1"/>
  <c r="F472" i="1"/>
  <c r="F473" i="1"/>
  <c r="F474" i="1"/>
  <c r="F475" i="1"/>
  <c r="F420" i="1"/>
  <c r="F421" i="1"/>
  <c r="F422" i="1"/>
  <c r="F423" i="1"/>
  <c r="F424" i="1"/>
  <c r="F425" i="1"/>
  <c r="F426" i="1"/>
  <c r="F390" i="1"/>
  <c r="F391" i="1"/>
  <c r="AJ390" i="1"/>
  <c r="F348" i="1"/>
  <c r="AJ348" i="1"/>
  <c r="F300" i="1"/>
  <c r="F298" i="1"/>
  <c r="F299" i="1"/>
  <c r="F270" i="1"/>
  <c r="F271" i="1"/>
  <c r="F272" i="1"/>
  <c r="AJ220" i="1"/>
  <c r="AJ219" i="1"/>
  <c r="AJ218" i="1"/>
  <c r="AJ217" i="1"/>
  <c r="F168" i="1"/>
  <c r="F169" i="1"/>
  <c r="F170" i="1"/>
  <c r="F171" i="1"/>
  <c r="F172" i="1"/>
  <c r="F126" i="1"/>
  <c r="F127" i="1"/>
  <c r="F128" i="1"/>
  <c r="F79" i="1"/>
  <c r="F80" i="1"/>
  <c r="F40" i="1"/>
  <c r="F41" i="1"/>
  <c r="F42" i="1"/>
  <c r="AJ42" i="1"/>
  <c r="AJ41" i="1"/>
  <c r="AJ40" i="1"/>
  <c r="F959" i="1"/>
  <c r="F969" i="1"/>
  <c r="AJ959" i="1" l="1"/>
  <c r="AJ1202" i="1"/>
  <c r="F1202" i="1"/>
  <c r="F1210" i="1"/>
  <c r="AJ1201" i="1"/>
  <c r="F1201" i="1"/>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46" i="1"/>
  <c r="F747" i="1"/>
  <c r="F748" i="1"/>
  <c r="F749" i="1"/>
  <c r="F750" i="1"/>
  <c r="F751" i="1"/>
  <c r="F752" i="1"/>
  <c r="F753" i="1"/>
  <c r="F754" i="1"/>
  <c r="F755" i="1"/>
  <c r="F756" i="1"/>
  <c r="F757" i="1"/>
  <c r="F758" i="1"/>
  <c r="F759" i="1"/>
  <c r="F760" i="1"/>
  <c r="F761" i="1"/>
  <c r="F762" i="1"/>
  <c r="F763" i="1"/>
  <c r="F764" i="1"/>
  <c r="F765"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42" i="1"/>
  <c r="F843" i="1"/>
  <c r="F844" i="1"/>
  <c r="F845" i="1"/>
  <c r="F846" i="1"/>
  <c r="F847" i="1"/>
  <c r="F848" i="1"/>
  <c r="F849" i="1"/>
  <c r="F850" i="1"/>
  <c r="F851" i="1"/>
  <c r="F852" i="1"/>
  <c r="F853" i="1"/>
  <c r="F854" i="1"/>
  <c r="F855" i="1"/>
  <c r="F856" i="1"/>
  <c r="F857"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13" i="1"/>
  <c r="F914" i="1"/>
  <c r="F915" i="1"/>
  <c r="F916" i="1"/>
  <c r="F917" i="1"/>
  <c r="F918" i="1"/>
  <c r="F919" i="1"/>
  <c r="F920" i="1"/>
  <c r="F921" i="1"/>
  <c r="F922" i="1"/>
  <c r="F923" i="1"/>
  <c r="F924"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1003" i="1"/>
  <c r="F1004" i="1"/>
  <c r="F1005" i="1"/>
  <c r="F1006" i="1"/>
  <c r="F1007" i="1"/>
  <c r="F1008" i="1"/>
  <c r="F1009" i="1"/>
  <c r="F1010" i="1"/>
  <c r="F1011" i="1"/>
  <c r="F1012" i="1"/>
  <c r="F1013" i="1"/>
  <c r="F1014" i="1"/>
  <c r="F1015" i="1"/>
  <c r="F1016" i="1"/>
  <c r="F1017" i="1"/>
  <c r="F1018" i="1"/>
  <c r="F1019" i="1"/>
  <c r="F1020" i="1"/>
  <c r="F1021" i="1"/>
  <c r="F1022" i="1"/>
  <c r="F1023"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2" i="1"/>
  <c r="AJ166" i="1"/>
  <c r="AJ165" i="1"/>
  <c r="AJ164" i="1"/>
  <c r="AJ163" i="1"/>
  <c r="AJ162" i="1"/>
  <c r="AJ39" i="1" l="1"/>
  <c r="AJ38" i="1"/>
  <c r="AJ37" i="1"/>
  <c r="AJ216" i="1"/>
  <c r="AK365" i="1"/>
  <c r="AJ365" i="1"/>
  <c r="AK364" i="1"/>
  <c r="AJ364" i="1"/>
  <c r="AK363" i="1"/>
  <c r="AJ363" i="1"/>
  <c r="AK362" i="1"/>
  <c r="AJ362" i="1"/>
  <c r="AK361" i="1"/>
  <c r="AJ361" i="1"/>
  <c r="AI361" i="1"/>
  <c r="AH361" i="1"/>
  <c r="AG361" i="1"/>
  <c r="AF361" i="1"/>
  <c r="AE361" i="1"/>
  <c r="AD361" i="1"/>
  <c r="AC361" i="1"/>
  <c r="AB361" i="1"/>
  <c r="AA361" i="1"/>
  <c r="AK360" i="1"/>
  <c r="AJ360" i="1"/>
  <c r="AI360" i="1"/>
  <c r="AH360" i="1"/>
  <c r="AG360" i="1"/>
  <c r="AF360" i="1"/>
  <c r="AE360" i="1"/>
  <c r="AD360" i="1"/>
  <c r="AC360" i="1"/>
  <c r="AB360" i="1"/>
  <c r="AA360" i="1"/>
  <c r="AK359" i="1"/>
  <c r="AJ359" i="1"/>
  <c r="AI359" i="1"/>
  <c r="AH359" i="1"/>
  <c r="AG359" i="1"/>
  <c r="AF359" i="1"/>
  <c r="AE359" i="1"/>
  <c r="AD359" i="1"/>
  <c r="AC359" i="1"/>
  <c r="AB359" i="1"/>
  <c r="AA359" i="1"/>
  <c r="AK358" i="1"/>
  <c r="AJ358" i="1"/>
  <c r="AI358" i="1"/>
  <c r="AH358" i="1"/>
  <c r="AG358" i="1"/>
  <c r="AF358" i="1"/>
  <c r="AE358" i="1"/>
  <c r="AD358" i="1"/>
  <c r="AC358" i="1"/>
  <c r="AB358" i="1"/>
  <c r="AA358" i="1"/>
  <c r="AK357" i="1"/>
  <c r="AJ357" i="1"/>
  <c r="AI357" i="1"/>
  <c r="AH357" i="1"/>
  <c r="AG357" i="1"/>
  <c r="AF357" i="1"/>
  <c r="AE357" i="1"/>
  <c r="AD357" i="1"/>
  <c r="AC357" i="1"/>
  <c r="AB357" i="1"/>
  <c r="AA357" i="1"/>
  <c r="AK356" i="1"/>
  <c r="AJ356" i="1"/>
  <c r="AI356" i="1"/>
  <c r="AH356" i="1"/>
  <c r="AG356" i="1"/>
  <c r="AF356" i="1"/>
  <c r="AE356" i="1"/>
  <c r="AD356" i="1"/>
  <c r="AC356" i="1"/>
  <c r="AB356" i="1"/>
  <c r="AA356" i="1"/>
  <c r="AK355" i="1"/>
  <c r="AJ355" i="1"/>
  <c r="AI355" i="1"/>
  <c r="AH355" i="1"/>
  <c r="AG355" i="1"/>
  <c r="AF355" i="1"/>
  <c r="AE355" i="1"/>
  <c r="AD355" i="1"/>
  <c r="AC355" i="1"/>
  <c r="AB355" i="1"/>
  <c r="AA355" i="1"/>
  <c r="AK354" i="1"/>
  <c r="AJ354" i="1"/>
  <c r="AI354" i="1"/>
  <c r="AH354" i="1"/>
  <c r="AG354" i="1"/>
  <c r="AF354" i="1"/>
  <c r="AE354" i="1"/>
  <c r="AD354" i="1"/>
  <c r="AC354" i="1"/>
  <c r="AB354" i="1"/>
  <c r="AA354" i="1"/>
  <c r="AK353" i="1"/>
  <c r="AJ353" i="1"/>
  <c r="AI353" i="1"/>
  <c r="AH353" i="1"/>
  <c r="AG353" i="1"/>
  <c r="AF353" i="1"/>
  <c r="AE353" i="1"/>
  <c r="AD353" i="1"/>
  <c r="AC353" i="1"/>
  <c r="AB353" i="1"/>
  <c r="AA353" i="1"/>
  <c r="AJ366" i="1"/>
  <c r="AK366" i="1"/>
  <c r="AJ367" i="1"/>
  <c r="AK367" i="1"/>
  <c r="AJ368" i="1"/>
  <c r="AK368" i="1"/>
  <c r="AJ369" i="1"/>
  <c r="AK369" i="1"/>
  <c r="AJ389" i="1" l="1"/>
  <c r="AJ419" i="1"/>
  <c r="AJ470" i="1"/>
  <c r="AJ469" i="1"/>
  <c r="AJ468" i="1"/>
  <c r="AJ825" i="1"/>
  <c r="AJ824" i="1"/>
  <c r="AJ823" i="1"/>
  <c r="AJ822" i="1"/>
  <c r="AJ995" i="1"/>
  <c r="AJ994" i="1"/>
  <c r="AJ993" i="1"/>
  <c r="AJ1242" i="1"/>
  <c r="AJ1437" i="1"/>
  <c r="AJ1474" i="1"/>
  <c r="AJ1518" i="1"/>
  <c r="AJ1517" i="1"/>
  <c r="AJ1516" i="1"/>
  <c r="AJ1515" i="1"/>
  <c r="AJ1595" i="1"/>
  <c r="AJ1594" i="1"/>
  <c r="AJ1593" i="1"/>
  <c r="AJ1592" i="1"/>
  <c r="AJ1591" i="1"/>
  <c r="AJ1590" i="1"/>
  <c r="AJ1361" i="1"/>
  <c r="AJ1143" i="1"/>
  <c r="AJ1142" i="1"/>
  <c r="AJ765" i="1"/>
  <c r="AJ569" i="1"/>
  <c r="AJ568" i="1"/>
  <c r="AJ347" i="1"/>
  <c r="AJ346" i="1"/>
  <c r="AJ345" i="1"/>
  <c r="AJ344" i="1"/>
  <c r="AJ343" i="1"/>
  <c r="AJ342" i="1"/>
  <c r="AJ341" i="1"/>
  <c r="AJ340" i="1"/>
  <c r="AJ339" i="1"/>
  <c r="AJ269" i="1"/>
  <c r="AJ215" i="1"/>
  <c r="AJ36" i="1"/>
  <c r="AJ35" i="1"/>
  <c r="AJ34" i="1"/>
  <c r="AJ33" i="1"/>
  <c r="E6" i="21" l="1"/>
  <c r="F6" i="21" s="1"/>
  <c r="I33" i="21"/>
  <c r="J33" i="21"/>
  <c r="K33" i="21"/>
  <c r="L33" i="21"/>
  <c r="M33" i="21"/>
  <c r="N33" i="21"/>
  <c r="I34" i="21"/>
  <c r="J34" i="21"/>
  <c r="K34" i="21"/>
  <c r="L34" i="21"/>
  <c r="M34" i="21"/>
  <c r="N34" i="21"/>
  <c r="I35" i="21"/>
  <c r="J35" i="21"/>
  <c r="K35" i="21"/>
  <c r="L35" i="21"/>
  <c r="M35" i="21"/>
  <c r="N35" i="21"/>
  <c r="I36" i="21"/>
  <c r="J36" i="21"/>
  <c r="K36" i="21"/>
  <c r="L36" i="21"/>
  <c r="M36" i="21"/>
  <c r="N36" i="21"/>
  <c r="I37" i="21"/>
  <c r="J37" i="21"/>
  <c r="K37" i="21"/>
  <c r="L37" i="21"/>
  <c r="M37" i="21"/>
  <c r="N37" i="21"/>
  <c r="I38" i="21"/>
  <c r="J38" i="21"/>
  <c r="K38" i="21"/>
  <c r="L38" i="21"/>
  <c r="M38" i="21"/>
  <c r="N38" i="21"/>
  <c r="I39" i="21"/>
  <c r="J39" i="21"/>
  <c r="K39" i="21"/>
  <c r="L39" i="21"/>
  <c r="M39" i="21"/>
  <c r="N39" i="21"/>
  <c r="I40" i="21"/>
  <c r="J40" i="21"/>
  <c r="K40" i="21"/>
  <c r="L40" i="21"/>
  <c r="M40" i="21"/>
  <c r="N40" i="21"/>
  <c r="I41" i="21"/>
  <c r="J41" i="21"/>
  <c r="K41" i="21"/>
  <c r="L41" i="21"/>
  <c r="M41" i="21"/>
  <c r="N41" i="21"/>
  <c r="I42" i="21"/>
  <c r="J42" i="21"/>
  <c r="K42" i="21"/>
  <c r="L42" i="21"/>
  <c r="M42" i="21"/>
  <c r="N42" i="21"/>
  <c r="I43" i="21"/>
  <c r="J43" i="21"/>
  <c r="K43" i="21"/>
  <c r="L43" i="21"/>
  <c r="M43" i="21"/>
  <c r="N43" i="21"/>
  <c r="I44" i="21"/>
  <c r="J44" i="21"/>
  <c r="K44" i="21"/>
  <c r="L44" i="21"/>
  <c r="M44" i="21"/>
  <c r="N44" i="21"/>
  <c r="I32" i="21"/>
  <c r="J32" i="21"/>
  <c r="K32" i="21"/>
  <c r="L32" i="21"/>
  <c r="M32" i="21"/>
  <c r="N32" i="21"/>
  <c r="H32" i="21"/>
  <c r="H33" i="21"/>
  <c r="H34" i="21"/>
  <c r="H35" i="21"/>
  <c r="H36" i="21"/>
  <c r="H37" i="21"/>
  <c r="H38" i="21"/>
  <c r="H39" i="21"/>
  <c r="H40" i="21"/>
  <c r="H41" i="21"/>
  <c r="H42" i="21"/>
  <c r="H43" i="21"/>
  <c r="H44" i="21"/>
  <c r="G32" i="21"/>
  <c r="G33" i="21"/>
  <c r="G34" i="21"/>
  <c r="G35" i="21"/>
  <c r="G36" i="21"/>
  <c r="G37" i="21"/>
  <c r="G38" i="21"/>
  <c r="G39" i="21"/>
  <c r="G40" i="21"/>
  <c r="G41" i="21"/>
  <c r="G42" i="21"/>
  <c r="G43" i="21"/>
  <c r="G44" i="21"/>
  <c r="E32" i="21"/>
  <c r="F32" i="21" s="1"/>
  <c r="E33" i="21"/>
  <c r="F33" i="21" s="1"/>
  <c r="E34" i="21"/>
  <c r="F34" i="21" s="1"/>
  <c r="E35" i="21"/>
  <c r="F35" i="21" s="1"/>
  <c r="E36" i="21"/>
  <c r="F36" i="21" s="1"/>
  <c r="E37" i="21"/>
  <c r="F37" i="21" s="1"/>
  <c r="E38" i="21"/>
  <c r="F38" i="21" s="1"/>
  <c r="E39" i="21"/>
  <c r="F39" i="21" s="1"/>
  <c r="E40" i="21"/>
  <c r="F40" i="21" s="1"/>
  <c r="E41" i="21"/>
  <c r="F41" i="21" s="1"/>
  <c r="E42" i="21"/>
  <c r="F42" i="21" s="1"/>
  <c r="E43" i="21"/>
  <c r="F43" i="21" s="1"/>
  <c r="E44" i="21"/>
  <c r="F44" i="21" s="1"/>
  <c r="F81" i="21"/>
  <c r="E81" i="21"/>
  <c r="F80" i="21"/>
  <c r="E80" i="21"/>
  <c r="N31" i="21"/>
  <c r="M31" i="21"/>
  <c r="L31" i="21"/>
  <c r="K31" i="21"/>
  <c r="J31" i="21"/>
  <c r="I31" i="21"/>
  <c r="H31" i="21"/>
  <c r="G31" i="21"/>
  <c r="E31" i="21"/>
  <c r="F31" i="21" s="1"/>
  <c r="N30" i="21"/>
  <c r="M30" i="21"/>
  <c r="L30" i="21"/>
  <c r="K30" i="21"/>
  <c r="J30" i="21"/>
  <c r="I30" i="21"/>
  <c r="H30" i="21"/>
  <c r="G30" i="21"/>
  <c r="E30" i="21"/>
  <c r="F30" i="21" s="1"/>
  <c r="N29" i="21"/>
  <c r="M29" i="21"/>
  <c r="L29" i="21"/>
  <c r="K29" i="21"/>
  <c r="J29" i="21"/>
  <c r="I29" i="21"/>
  <c r="H29" i="21"/>
  <c r="G29" i="21"/>
  <c r="E29" i="21"/>
  <c r="F29" i="21" s="1"/>
  <c r="N28" i="21"/>
  <c r="M28" i="21"/>
  <c r="L28" i="21"/>
  <c r="K28" i="21"/>
  <c r="J28" i="21"/>
  <c r="I28" i="21"/>
  <c r="H28" i="21"/>
  <c r="G28" i="21"/>
  <c r="E28" i="21"/>
  <c r="F28" i="21" s="1"/>
  <c r="N27" i="21"/>
  <c r="M27" i="21"/>
  <c r="L27" i="21"/>
  <c r="K27" i="21"/>
  <c r="J27" i="21"/>
  <c r="I27" i="21"/>
  <c r="H27" i="21"/>
  <c r="G27" i="21"/>
  <c r="E27" i="21"/>
  <c r="F27" i="21" s="1"/>
  <c r="N26" i="21"/>
  <c r="M26" i="21"/>
  <c r="L26" i="21"/>
  <c r="K26" i="21"/>
  <c r="J26" i="21"/>
  <c r="I26" i="21"/>
  <c r="H26" i="21"/>
  <c r="G26" i="21"/>
  <c r="E26" i="21"/>
  <c r="F26" i="21" s="1"/>
  <c r="N25" i="21"/>
  <c r="M25" i="21"/>
  <c r="L25" i="21"/>
  <c r="K25" i="21"/>
  <c r="J25" i="21"/>
  <c r="I25" i="21"/>
  <c r="H25" i="21"/>
  <c r="G25" i="21"/>
  <c r="E25" i="21"/>
  <c r="F25" i="21" s="1"/>
  <c r="N24" i="21"/>
  <c r="M24" i="21"/>
  <c r="L24" i="21"/>
  <c r="K24" i="21"/>
  <c r="J24" i="21"/>
  <c r="I24" i="21"/>
  <c r="H24" i="21"/>
  <c r="G24" i="21"/>
  <c r="E24" i="21"/>
  <c r="F24" i="21" s="1"/>
  <c r="N23" i="21"/>
  <c r="M23" i="21"/>
  <c r="L23" i="21"/>
  <c r="K23" i="21"/>
  <c r="J23" i="21"/>
  <c r="I23" i="21"/>
  <c r="H23" i="21"/>
  <c r="G23" i="21"/>
  <c r="E23" i="21"/>
  <c r="F23" i="21" s="1"/>
  <c r="N22" i="21"/>
  <c r="M22" i="21"/>
  <c r="L22" i="21"/>
  <c r="K22" i="21"/>
  <c r="J22" i="21"/>
  <c r="I22" i="21"/>
  <c r="H22" i="21"/>
  <c r="G22" i="21"/>
  <c r="E22" i="21"/>
  <c r="F22" i="21" s="1"/>
  <c r="N21" i="21"/>
  <c r="M21" i="21"/>
  <c r="L21" i="21"/>
  <c r="K21" i="21"/>
  <c r="J21" i="21"/>
  <c r="I21" i="21"/>
  <c r="H21" i="21"/>
  <c r="G21" i="21"/>
  <c r="E21" i="21"/>
  <c r="F21" i="21" s="1"/>
  <c r="N20" i="21"/>
  <c r="M20" i="21"/>
  <c r="L20" i="21"/>
  <c r="K20" i="21"/>
  <c r="J20" i="21"/>
  <c r="I20" i="21"/>
  <c r="H20" i="21"/>
  <c r="G20" i="21"/>
  <c r="E20" i="21"/>
  <c r="F20" i="21" s="1"/>
  <c r="N19" i="21"/>
  <c r="M19" i="21"/>
  <c r="L19" i="21"/>
  <c r="K19" i="21"/>
  <c r="J19" i="21"/>
  <c r="I19" i="21"/>
  <c r="H19" i="21"/>
  <c r="G19" i="21"/>
  <c r="E19" i="21"/>
  <c r="F19" i="21" s="1"/>
  <c r="N18" i="21"/>
  <c r="M18" i="21"/>
  <c r="L18" i="21"/>
  <c r="K18" i="21"/>
  <c r="J18" i="21"/>
  <c r="I18" i="21"/>
  <c r="H18" i="21"/>
  <c r="G18" i="21"/>
  <c r="E18" i="21"/>
  <c r="F18" i="21" s="1"/>
  <c r="N17" i="21"/>
  <c r="M17" i="21"/>
  <c r="L17" i="21"/>
  <c r="K17" i="21"/>
  <c r="J17" i="21"/>
  <c r="I17" i="21"/>
  <c r="H17" i="21"/>
  <c r="G17" i="21"/>
  <c r="E17" i="21"/>
  <c r="F17" i="21" s="1"/>
  <c r="N16" i="21"/>
  <c r="M16" i="21"/>
  <c r="L16" i="21"/>
  <c r="K16" i="21"/>
  <c r="J16" i="21"/>
  <c r="I16" i="21"/>
  <c r="H16" i="21"/>
  <c r="G16" i="21"/>
  <c r="E16" i="21"/>
  <c r="F16" i="21" s="1"/>
  <c r="N15" i="21"/>
  <c r="M15" i="21"/>
  <c r="L15" i="21"/>
  <c r="K15" i="21"/>
  <c r="J15" i="21"/>
  <c r="I15" i="21"/>
  <c r="H15" i="21"/>
  <c r="G15" i="21"/>
  <c r="E15" i="21"/>
  <c r="F15" i="21" s="1"/>
  <c r="N14" i="21"/>
  <c r="M14" i="21"/>
  <c r="L14" i="21"/>
  <c r="K14" i="21"/>
  <c r="J14" i="21"/>
  <c r="I14" i="21"/>
  <c r="H14" i="21"/>
  <c r="G14" i="21"/>
  <c r="E14" i="21"/>
  <c r="F14" i="21" s="1"/>
  <c r="N13" i="21"/>
  <c r="M13" i="21"/>
  <c r="L13" i="21"/>
  <c r="K13" i="21"/>
  <c r="J13" i="21"/>
  <c r="I13" i="21"/>
  <c r="H13" i="21"/>
  <c r="G13" i="21"/>
  <c r="E13" i="21"/>
  <c r="F13" i="21" s="1"/>
  <c r="N12" i="21"/>
  <c r="M12" i="21"/>
  <c r="L12" i="21"/>
  <c r="K12" i="21"/>
  <c r="J12" i="21"/>
  <c r="I12" i="21"/>
  <c r="H12" i="21"/>
  <c r="G12" i="21"/>
  <c r="E12" i="21"/>
  <c r="F12" i="21" s="1"/>
  <c r="N11" i="21"/>
  <c r="M11" i="21"/>
  <c r="L11" i="21"/>
  <c r="K11" i="21"/>
  <c r="J11" i="21"/>
  <c r="I11" i="21"/>
  <c r="H11" i="21"/>
  <c r="G11" i="21"/>
  <c r="E11" i="21"/>
  <c r="F11" i="21" s="1"/>
  <c r="N10" i="21"/>
  <c r="M10" i="21"/>
  <c r="L10" i="21"/>
  <c r="K10" i="21"/>
  <c r="J10" i="21"/>
  <c r="I10" i="21"/>
  <c r="H10" i="21"/>
  <c r="G10" i="21"/>
  <c r="E10" i="21"/>
  <c r="F10" i="21" s="1"/>
  <c r="N9" i="21"/>
  <c r="M9" i="21"/>
  <c r="L9" i="21"/>
  <c r="K9" i="21"/>
  <c r="J9" i="21"/>
  <c r="I9" i="21"/>
  <c r="H9" i="21"/>
  <c r="G9" i="21"/>
  <c r="E9" i="21"/>
  <c r="F9" i="21" s="1"/>
  <c r="N8" i="21"/>
  <c r="M8" i="21"/>
  <c r="L8" i="21"/>
  <c r="K8" i="21"/>
  <c r="J8" i="21"/>
  <c r="I8" i="21"/>
  <c r="H8" i="21"/>
  <c r="G8" i="21"/>
  <c r="E8" i="21"/>
  <c r="F8" i="21" s="1"/>
  <c r="N7" i="21"/>
  <c r="M7" i="21"/>
  <c r="L7" i="21"/>
  <c r="K7" i="21"/>
  <c r="J7" i="21"/>
  <c r="I7" i="21"/>
  <c r="H7" i="21"/>
  <c r="G7" i="21"/>
  <c r="E7" i="21"/>
  <c r="F7" i="21" s="1"/>
  <c r="N6" i="21"/>
  <c r="M6" i="21"/>
  <c r="L6" i="21"/>
  <c r="K6" i="21"/>
  <c r="J6" i="21"/>
  <c r="I6" i="21"/>
  <c r="H6" i="21"/>
  <c r="G6" i="21"/>
  <c r="N5" i="21"/>
  <c r="M5" i="21"/>
  <c r="L5" i="21"/>
  <c r="K5" i="21"/>
  <c r="J5" i="21"/>
  <c r="I5" i="21"/>
  <c r="H5" i="21"/>
  <c r="G5" i="21"/>
  <c r="E5" i="21"/>
  <c r="F5" i="21" s="1"/>
  <c r="N4" i="21"/>
  <c r="M4" i="21"/>
  <c r="L4" i="21"/>
  <c r="K4" i="21"/>
  <c r="J4" i="21"/>
  <c r="I4" i="21"/>
  <c r="H4" i="21"/>
  <c r="G4" i="21"/>
  <c r="E4" i="21"/>
  <c r="F4" i="21" s="1"/>
  <c r="N3" i="21"/>
  <c r="M3" i="21"/>
  <c r="L3" i="21"/>
  <c r="K3" i="21"/>
  <c r="J3" i="21"/>
  <c r="I3" i="21"/>
  <c r="H3" i="21"/>
  <c r="G3" i="21"/>
  <c r="E3" i="21"/>
  <c r="F3" i="21" s="1"/>
  <c r="N2" i="21"/>
  <c r="M2" i="21"/>
  <c r="L2" i="21"/>
  <c r="K2" i="21"/>
  <c r="J2" i="21"/>
  <c r="I2" i="21"/>
  <c r="G2" i="21"/>
  <c r="E2" i="21"/>
  <c r="F2" i="21" s="1"/>
  <c r="P3" i="18"/>
  <c r="P4" i="18"/>
  <c r="P5" i="18"/>
  <c r="P6" i="18"/>
  <c r="P7"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2" i="18"/>
  <c r="O3" i="18"/>
  <c r="O4" i="18"/>
  <c r="O5" i="18"/>
  <c r="O6" i="18"/>
  <c r="O7" i="18"/>
  <c r="O8" i="18"/>
  <c r="O9" i="18"/>
  <c r="O10" i="18"/>
  <c r="O11" i="18"/>
  <c r="O12" i="18"/>
  <c r="O13" i="18"/>
  <c r="O14" i="18"/>
  <c r="O15" i="18"/>
  <c r="O16" i="18"/>
  <c r="O17" i="18"/>
  <c r="O18" i="18"/>
  <c r="O19" i="18"/>
  <c r="O20" i="18"/>
  <c r="O21" i="18"/>
  <c r="O22" i="18"/>
  <c r="O23" i="18"/>
  <c r="O24" i="18"/>
  <c r="O25" i="18"/>
  <c r="O26" i="18"/>
  <c r="O27" i="18"/>
  <c r="O28" i="18"/>
  <c r="O29" i="18"/>
  <c r="O30" i="18"/>
  <c r="O31" i="18"/>
  <c r="O32" i="18"/>
  <c r="O33" i="18"/>
  <c r="O34" i="18"/>
  <c r="O35" i="18"/>
  <c r="O36" i="18"/>
  <c r="O37" i="18"/>
  <c r="O38" i="18"/>
  <c r="O39" i="18"/>
  <c r="O40" i="18"/>
  <c r="E46" i="18"/>
  <c r="E45" i="18"/>
  <c r="O2" i="18"/>
  <c r="F46" i="18"/>
  <c r="F45" i="18"/>
  <c r="I2" i="18"/>
  <c r="N2" i="18"/>
  <c r="N3" i="18"/>
  <c r="N4" i="18"/>
  <c r="N5" i="18"/>
  <c r="N6" i="18"/>
  <c r="N7" i="18"/>
  <c r="N8" i="18"/>
  <c r="N9" i="18"/>
  <c r="N10" i="18"/>
  <c r="N11" i="18"/>
  <c r="N12" i="18"/>
  <c r="N13" i="18"/>
  <c r="N14" i="18"/>
  <c r="N15" i="18"/>
  <c r="N16" i="18"/>
  <c r="N17" i="18"/>
  <c r="N18" i="18"/>
  <c r="N19" i="18"/>
  <c r="N20" i="18"/>
  <c r="N21" i="18"/>
  <c r="N22" i="18"/>
  <c r="N23" i="18"/>
  <c r="N24" i="18"/>
  <c r="N25" i="18"/>
  <c r="N26" i="18"/>
  <c r="N27" i="18"/>
  <c r="N28" i="18"/>
  <c r="N29" i="18"/>
  <c r="N30" i="18"/>
  <c r="N31" i="18"/>
  <c r="N32" i="18"/>
  <c r="N33" i="18"/>
  <c r="N34" i="18"/>
  <c r="N35" i="18"/>
  <c r="N36" i="18"/>
  <c r="N37" i="18"/>
  <c r="N38" i="18"/>
  <c r="N39" i="18"/>
  <c r="N40"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J8" i="18"/>
  <c r="I4" i="18"/>
  <c r="L19" i="18"/>
  <c r="J5" i="18"/>
  <c r="J6" i="18"/>
  <c r="J7" i="18"/>
  <c r="J13" i="18"/>
  <c r="J14" i="18"/>
  <c r="J15" i="18"/>
  <c r="J21" i="18"/>
  <c r="J22" i="18"/>
  <c r="J23" i="18"/>
  <c r="J29" i="18"/>
  <c r="J30" i="18"/>
  <c r="J31" i="18"/>
  <c r="J37" i="18"/>
  <c r="J38" i="18"/>
  <c r="J39" i="18"/>
  <c r="C42" i="18"/>
  <c r="D42" i="18"/>
  <c r="L3" i="18"/>
  <c r="L4" i="18"/>
  <c r="L5" i="18"/>
  <c r="L6" i="18"/>
  <c r="L7" i="18"/>
  <c r="L8" i="18"/>
  <c r="L9" i="18"/>
  <c r="L10" i="18"/>
  <c r="L11" i="18"/>
  <c r="L12" i="18"/>
  <c r="L13" i="18"/>
  <c r="L14" i="18"/>
  <c r="L15" i="18"/>
  <c r="L16" i="18"/>
  <c r="L17" i="18"/>
  <c r="L18" i="18"/>
  <c r="L20" i="18"/>
  <c r="L21" i="18"/>
  <c r="L22" i="18"/>
  <c r="L23" i="18"/>
  <c r="L24" i="18"/>
  <c r="L25" i="18"/>
  <c r="L26" i="18"/>
  <c r="L27" i="18"/>
  <c r="L28" i="18"/>
  <c r="L29" i="18"/>
  <c r="L30" i="18"/>
  <c r="L31" i="18"/>
  <c r="L32" i="18"/>
  <c r="L33" i="18"/>
  <c r="L34" i="18"/>
  <c r="L35" i="18"/>
  <c r="L36" i="18"/>
  <c r="L37" i="18"/>
  <c r="L38" i="18"/>
  <c r="L39" i="18"/>
  <c r="L40"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2" i="18"/>
  <c r="L2" i="18"/>
  <c r="I3" i="18"/>
  <c r="I5" i="18"/>
  <c r="I9" i="18"/>
  <c r="I10" i="18"/>
  <c r="I11" i="18"/>
  <c r="I13" i="18"/>
  <c r="I15" i="18"/>
  <c r="I17" i="18"/>
  <c r="I18" i="18"/>
  <c r="I19" i="18"/>
  <c r="I21" i="18"/>
  <c r="I23" i="18"/>
  <c r="I25" i="18"/>
  <c r="I26" i="18"/>
  <c r="I27" i="18"/>
  <c r="I29" i="18"/>
  <c r="I31" i="18"/>
  <c r="I33" i="18"/>
  <c r="I34" i="18"/>
  <c r="I35" i="18"/>
  <c r="I37" i="18"/>
  <c r="I39" i="18"/>
  <c r="O31" i="21" l="1"/>
  <c r="O45" i="21"/>
  <c r="P31" i="21"/>
  <c r="P45" i="21"/>
  <c r="P13" i="21"/>
  <c r="P8" i="21"/>
  <c r="P9" i="21"/>
  <c r="P24" i="21"/>
  <c r="O11" i="21"/>
  <c r="P19" i="21"/>
  <c r="P41" i="21"/>
  <c r="O36" i="21"/>
  <c r="P7" i="21"/>
  <c r="P40" i="21"/>
  <c r="P34" i="21"/>
  <c r="P33" i="21"/>
  <c r="P39" i="21"/>
  <c r="P32" i="21"/>
  <c r="P38" i="21"/>
  <c r="P44" i="21"/>
  <c r="P43" i="21"/>
  <c r="P35" i="21"/>
  <c r="O44" i="21"/>
  <c r="O41" i="21"/>
  <c r="O39" i="21"/>
  <c r="O35" i="21"/>
  <c r="O34" i="21"/>
  <c r="O32" i="21"/>
  <c r="O27" i="21"/>
  <c r="O40" i="21"/>
  <c r="O33" i="21"/>
  <c r="O38" i="21"/>
  <c r="P42" i="21"/>
  <c r="P37" i="21"/>
  <c r="O42" i="21"/>
  <c r="O37" i="21"/>
  <c r="O43" i="21"/>
  <c r="O6" i="21"/>
  <c r="P36" i="21"/>
  <c r="P29" i="21"/>
  <c r="P30" i="21"/>
  <c r="P5" i="21"/>
  <c r="P2" i="21"/>
  <c r="P14" i="21"/>
  <c r="P21" i="21"/>
  <c r="P6" i="21"/>
  <c r="P10" i="21"/>
  <c r="P25" i="21"/>
  <c r="P3" i="21"/>
  <c r="P22" i="21"/>
  <c r="P4" i="21"/>
  <c r="P11" i="21"/>
  <c r="P15" i="21"/>
  <c r="O10" i="21"/>
  <c r="O5" i="21"/>
  <c r="O17" i="21"/>
  <c r="P16" i="21"/>
  <c r="P23" i="21"/>
  <c r="P26" i="21"/>
  <c r="P28" i="21"/>
  <c r="P12" i="21"/>
  <c r="O15" i="21"/>
  <c r="P20" i="21"/>
  <c r="P17" i="21"/>
  <c r="O21" i="21"/>
  <c r="P27" i="21"/>
  <c r="P18" i="21"/>
  <c r="O20" i="21"/>
  <c r="O24" i="21"/>
  <c r="O3" i="21"/>
  <c r="O8" i="21"/>
  <c r="O13" i="21"/>
  <c r="O23" i="21"/>
  <c r="O18" i="21"/>
  <c r="O25" i="21"/>
  <c r="O9" i="21"/>
  <c r="O16" i="21"/>
  <c r="O29" i="21"/>
  <c r="O4" i="21"/>
  <c r="O14" i="21"/>
  <c r="O19" i="21"/>
  <c r="O26" i="21"/>
  <c r="O2" i="21"/>
  <c r="O7" i="21"/>
  <c r="O12" i="21"/>
  <c r="O22" i="21"/>
  <c r="O28" i="21"/>
  <c r="O30" i="21"/>
  <c r="J36" i="18"/>
  <c r="J28" i="18"/>
  <c r="J20" i="18"/>
  <c r="J12" i="18"/>
  <c r="J4" i="18"/>
  <c r="J35" i="18"/>
  <c r="J27" i="18"/>
  <c r="J19" i="18"/>
  <c r="J11" i="18"/>
  <c r="J3" i="18"/>
  <c r="J34" i="18"/>
  <c r="J26" i="18"/>
  <c r="J18" i="18"/>
  <c r="J10" i="18"/>
  <c r="J2" i="18"/>
  <c r="J33" i="18"/>
  <c r="J25" i="18"/>
  <c r="J17" i="18"/>
  <c r="J9" i="18"/>
  <c r="J40" i="18"/>
  <c r="J32" i="18"/>
  <c r="J24" i="18"/>
  <c r="J16" i="18"/>
  <c r="I40" i="18"/>
  <c r="I32" i="18"/>
  <c r="I24" i="18"/>
  <c r="I16" i="18"/>
  <c r="I8" i="18"/>
  <c r="I7" i="18"/>
  <c r="I38" i="18"/>
  <c r="I30" i="18"/>
  <c r="I22" i="18"/>
  <c r="I14" i="18"/>
  <c r="I6" i="18"/>
  <c r="I36" i="18"/>
  <c r="I28" i="18"/>
  <c r="I20" i="18"/>
  <c r="I12" i="18"/>
  <c r="H40" i="18" l="1"/>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2"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2" i="18"/>
  <c r="E3" i="18"/>
  <c r="F3" i="18" s="1"/>
  <c r="E4" i="18"/>
  <c r="F4" i="18" s="1"/>
  <c r="E5" i="18"/>
  <c r="F5" i="18" s="1"/>
  <c r="E6" i="18"/>
  <c r="F6" i="18" s="1"/>
  <c r="E7" i="18"/>
  <c r="F7" i="18" s="1"/>
  <c r="E8" i="18"/>
  <c r="F8" i="18" s="1"/>
  <c r="E9" i="18"/>
  <c r="F9" i="18" s="1"/>
  <c r="E10" i="18"/>
  <c r="F10" i="18" s="1"/>
  <c r="E11" i="18"/>
  <c r="F11" i="18" s="1"/>
  <c r="E12" i="18"/>
  <c r="F12" i="18" s="1"/>
  <c r="E13" i="18"/>
  <c r="F13" i="18" s="1"/>
  <c r="E14" i="18"/>
  <c r="F14" i="18" s="1"/>
  <c r="E15" i="18"/>
  <c r="F15" i="18" s="1"/>
  <c r="E16" i="18"/>
  <c r="F16" i="18" s="1"/>
  <c r="E17" i="18"/>
  <c r="F17" i="18" s="1"/>
  <c r="E18" i="18"/>
  <c r="F18" i="18" s="1"/>
  <c r="E19" i="18"/>
  <c r="F19" i="18" s="1"/>
  <c r="E20" i="18"/>
  <c r="F20" i="18" s="1"/>
  <c r="E21" i="18"/>
  <c r="F21" i="18" s="1"/>
  <c r="E22" i="18"/>
  <c r="F22" i="18" s="1"/>
  <c r="E23" i="18"/>
  <c r="F23" i="18" s="1"/>
  <c r="E24" i="18"/>
  <c r="F24" i="18" s="1"/>
  <c r="E25" i="18"/>
  <c r="F25" i="18" s="1"/>
  <c r="E26" i="18"/>
  <c r="F26" i="18" s="1"/>
  <c r="E27" i="18"/>
  <c r="F27" i="18" s="1"/>
  <c r="E28" i="18"/>
  <c r="F28" i="18" s="1"/>
  <c r="E29" i="18"/>
  <c r="F29" i="18" s="1"/>
  <c r="E30" i="18"/>
  <c r="F30" i="18" s="1"/>
  <c r="E31" i="18"/>
  <c r="F31" i="18" s="1"/>
  <c r="E32" i="18"/>
  <c r="F32" i="18" s="1"/>
  <c r="E33" i="18"/>
  <c r="F33" i="18" s="1"/>
  <c r="E34" i="18"/>
  <c r="F34" i="18" s="1"/>
  <c r="E35" i="18"/>
  <c r="F35" i="18" s="1"/>
  <c r="E36" i="18"/>
  <c r="F36" i="18" s="1"/>
  <c r="E37" i="18"/>
  <c r="F37" i="18" s="1"/>
  <c r="E38" i="18"/>
  <c r="F38" i="18" s="1"/>
  <c r="E39" i="18"/>
  <c r="F39" i="18" s="1"/>
  <c r="E40" i="18"/>
  <c r="F40" i="18" s="1"/>
  <c r="E2" i="18"/>
  <c r="F2" i="18" s="1"/>
  <c r="AJ44" i="1"/>
  <c r="H54" i="6"/>
  <c r="G54" i="6"/>
  <c r="H50" i="6"/>
  <c r="G50" i="6"/>
  <c r="H41" i="6"/>
  <c r="G41" i="6"/>
  <c r="I24" i="8" l="1"/>
  <c r="H24" i="8"/>
  <c r="G24" i="8"/>
  <c r="F24" i="8"/>
  <c r="E24" i="8"/>
  <c r="D24" i="8"/>
  <c r="C24" i="8"/>
  <c r="B24" i="8"/>
  <c r="A24" i="8"/>
  <c r="G26" i="3"/>
  <c r="M3" i="3"/>
  <c r="F26" i="3"/>
  <c r="I9" i="3"/>
  <c r="E26" i="3"/>
  <c r="I2" i="3"/>
  <c r="D26" i="3"/>
  <c r="F3" i="3"/>
  <c r="C26" i="3"/>
  <c r="C3" i="3"/>
  <c r="G25" i="3"/>
  <c r="M2" i="3"/>
  <c r="G10" i="3"/>
  <c r="I7" i="3"/>
  <c r="D25" i="3"/>
  <c r="F2" i="3"/>
  <c r="C25" i="3"/>
  <c r="C2" i="3"/>
  <c r="E37" i="10" l="1"/>
  <c r="E28" i="10"/>
  <c r="G21" i="10"/>
  <c r="E41" i="10"/>
  <c r="F54" i="6"/>
  <c r="F50" i="6"/>
  <c r="H34" i="6"/>
  <c r="F41" i="6"/>
  <c r="AK1588" i="1" l="1"/>
  <c r="AJ1588" i="1"/>
  <c r="AK1587" i="1"/>
  <c r="AJ1587" i="1"/>
  <c r="AK1586" i="1"/>
  <c r="AJ1586" i="1"/>
  <c r="AK1585" i="1"/>
  <c r="AJ1585" i="1"/>
  <c r="AK1584" i="1"/>
  <c r="AJ1584" i="1"/>
  <c r="AK1583" i="1"/>
  <c r="AJ1583" i="1"/>
  <c r="AK1582" i="1"/>
  <c r="AJ1582" i="1"/>
  <c r="AK1581" i="1"/>
  <c r="AJ1581" i="1"/>
  <c r="AK1580" i="1"/>
  <c r="AJ1580" i="1"/>
  <c r="AK1579" i="1"/>
  <c r="AJ1579" i="1"/>
  <c r="AK1578" i="1"/>
  <c r="AJ1578" i="1"/>
  <c r="AK1577" i="1"/>
  <c r="AJ1577" i="1"/>
  <c r="AK1576" i="1"/>
  <c r="AJ1576" i="1"/>
  <c r="AK1575" i="1"/>
  <c r="AJ1575" i="1"/>
  <c r="AK1574" i="1"/>
  <c r="AJ1574" i="1"/>
  <c r="AK1573" i="1"/>
  <c r="AJ1573" i="1"/>
  <c r="AK1572" i="1"/>
  <c r="AJ1572" i="1"/>
  <c r="AK1571" i="1"/>
  <c r="AJ1571" i="1"/>
  <c r="AK1570" i="1"/>
  <c r="AJ1570" i="1"/>
  <c r="AK1569" i="1"/>
  <c r="AJ1569" i="1"/>
  <c r="AK1568" i="1"/>
  <c r="AJ1568" i="1"/>
  <c r="AK1567" i="1"/>
  <c r="AJ1567" i="1"/>
  <c r="AK1566" i="1"/>
  <c r="AJ1566" i="1"/>
  <c r="AK1565" i="1"/>
  <c r="AJ1565" i="1"/>
  <c r="AK1564" i="1"/>
  <c r="AJ1564" i="1"/>
  <c r="AK1563" i="1"/>
  <c r="AJ1563" i="1"/>
  <c r="AK1562" i="1"/>
  <c r="AJ1562" i="1"/>
  <c r="AK1561" i="1"/>
  <c r="AJ1561" i="1"/>
  <c r="AK1560" i="1"/>
  <c r="AJ1560" i="1"/>
  <c r="AK1559" i="1"/>
  <c r="AJ1559" i="1"/>
  <c r="AK1558" i="1"/>
  <c r="AJ1558" i="1"/>
  <c r="AK1557" i="1"/>
  <c r="AJ1557" i="1"/>
  <c r="AK1556" i="1"/>
  <c r="AJ1556" i="1"/>
  <c r="AK1555" i="1"/>
  <c r="AJ1555" i="1"/>
  <c r="AK1554" i="1"/>
  <c r="AJ1554" i="1"/>
  <c r="AK1553" i="1"/>
  <c r="AJ1553" i="1"/>
  <c r="AK1552" i="1"/>
  <c r="AJ1552" i="1"/>
  <c r="AK1551" i="1"/>
  <c r="AJ1551" i="1"/>
  <c r="AK1550" i="1"/>
  <c r="AJ1550" i="1"/>
  <c r="AK1549" i="1"/>
  <c r="AJ1549" i="1"/>
  <c r="AK1548" i="1"/>
  <c r="AJ1548" i="1"/>
  <c r="AK1547" i="1"/>
  <c r="AJ1547" i="1"/>
  <c r="AK1546" i="1"/>
  <c r="AJ1546" i="1"/>
  <c r="AK1545" i="1"/>
  <c r="AJ1545" i="1"/>
  <c r="AK1544" i="1"/>
  <c r="AJ1544" i="1"/>
  <c r="AK1543" i="1"/>
  <c r="AJ1543" i="1"/>
  <c r="AK1542" i="1"/>
  <c r="AJ1542" i="1"/>
  <c r="AK1541" i="1"/>
  <c r="AJ1541" i="1"/>
  <c r="AK1540" i="1"/>
  <c r="AJ1540" i="1"/>
  <c r="AK1539" i="1"/>
  <c r="AJ1539" i="1"/>
  <c r="AK1538" i="1"/>
  <c r="AJ1538" i="1"/>
  <c r="AK1537" i="1"/>
  <c r="AJ1537" i="1"/>
  <c r="AK1536" i="1"/>
  <c r="AJ1536" i="1"/>
  <c r="AK1514" i="1"/>
  <c r="AJ1514" i="1"/>
  <c r="AK1513" i="1"/>
  <c r="AJ1513" i="1"/>
  <c r="AK1512" i="1"/>
  <c r="AJ1512" i="1"/>
  <c r="AK1511" i="1"/>
  <c r="AJ1511" i="1"/>
  <c r="AK1510" i="1"/>
  <c r="AJ1510" i="1"/>
  <c r="AK1509" i="1"/>
  <c r="AJ1509" i="1"/>
  <c r="AK1508" i="1"/>
  <c r="AJ1508" i="1"/>
  <c r="AK1507" i="1"/>
  <c r="AJ1507" i="1"/>
  <c r="AK1506" i="1"/>
  <c r="AJ1506" i="1"/>
  <c r="AK1505" i="1"/>
  <c r="AJ1505" i="1"/>
  <c r="AK1504" i="1"/>
  <c r="AJ1504" i="1"/>
  <c r="AK1503" i="1"/>
  <c r="AJ1503" i="1"/>
  <c r="AK1502" i="1"/>
  <c r="AJ1502" i="1"/>
  <c r="AK1501" i="1"/>
  <c r="AJ1501" i="1"/>
  <c r="AK1500" i="1"/>
  <c r="AJ1500" i="1"/>
  <c r="AK1499" i="1"/>
  <c r="AJ1499" i="1"/>
  <c r="AK1498" i="1"/>
  <c r="AJ1498" i="1"/>
  <c r="AK1497" i="1"/>
  <c r="AJ1497" i="1"/>
  <c r="AK1496" i="1"/>
  <c r="AJ1496" i="1"/>
  <c r="AK1495" i="1"/>
  <c r="AJ1495" i="1"/>
  <c r="AK1494" i="1"/>
  <c r="AJ1494" i="1"/>
  <c r="AK1493" i="1"/>
  <c r="AJ1493" i="1"/>
  <c r="AK1492" i="1"/>
  <c r="AJ1492" i="1"/>
  <c r="AK1491" i="1"/>
  <c r="AJ1491" i="1"/>
  <c r="AK1490" i="1"/>
  <c r="AJ1490" i="1"/>
  <c r="AK1489" i="1"/>
  <c r="AJ1489" i="1"/>
  <c r="AK1488" i="1"/>
  <c r="AJ1488" i="1"/>
  <c r="AK1487" i="1"/>
  <c r="AJ1487" i="1"/>
  <c r="AK1486" i="1"/>
  <c r="AJ1486" i="1"/>
  <c r="AK1485" i="1"/>
  <c r="AJ1485" i="1"/>
  <c r="AK1484" i="1"/>
  <c r="AJ1484" i="1"/>
  <c r="AK1483" i="1"/>
  <c r="AJ1483" i="1"/>
  <c r="AK1473" i="1"/>
  <c r="AJ1473" i="1"/>
  <c r="AK1472" i="1"/>
  <c r="AJ1472" i="1"/>
  <c r="AK1471" i="1"/>
  <c r="AJ1471" i="1"/>
  <c r="AK1470" i="1"/>
  <c r="AJ1470" i="1"/>
  <c r="AK1469" i="1"/>
  <c r="AJ1469" i="1"/>
  <c r="AK1468" i="1"/>
  <c r="AJ1468" i="1"/>
  <c r="AK1467" i="1"/>
  <c r="AJ1467" i="1"/>
  <c r="AK1466" i="1"/>
  <c r="AJ1466" i="1"/>
  <c r="AK1465" i="1"/>
  <c r="AJ1465" i="1"/>
  <c r="AK1464" i="1"/>
  <c r="AJ1464" i="1"/>
  <c r="AK1463" i="1"/>
  <c r="AJ1463" i="1"/>
  <c r="AK1462" i="1"/>
  <c r="AJ1462" i="1"/>
  <c r="AK1461" i="1"/>
  <c r="AJ1461" i="1"/>
  <c r="AK1460" i="1"/>
  <c r="AJ1460" i="1"/>
  <c r="AK1459" i="1"/>
  <c r="AJ1459" i="1"/>
  <c r="AK1458" i="1"/>
  <c r="AJ1458" i="1"/>
  <c r="AK1457" i="1"/>
  <c r="AJ1457" i="1"/>
  <c r="AK1456" i="1"/>
  <c r="AJ1456" i="1"/>
  <c r="AK1455" i="1"/>
  <c r="AJ1455" i="1"/>
  <c r="AK1454" i="1"/>
  <c r="AJ1454" i="1"/>
  <c r="AK1453" i="1"/>
  <c r="AJ1453" i="1"/>
  <c r="AK1452" i="1"/>
  <c r="AJ1452" i="1"/>
  <c r="AK1451" i="1"/>
  <c r="AJ1451" i="1"/>
  <c r="AK1450" i="1"/>
  <c r="AJ1450" i="1"/>
  <c r="AK1449" i="1"/>
  <c r="AJ1449" i="1"/>
  <c r="AK1448" i="1"/>
  <c r="AJ1448" i="1"/>
  <c r="AK1447" i="1"/>
  <c r="AJ1447" i="1"/>
  <c r="AK1446" i="1"/>
  <c r="AJ1446" i="1"/>
  <c r="AK1445" i="1"/>
  <c r="AJ1445" i="1"/>
  <c r="AK1444" i="1"/>
  <c r="AJ1444" i="1"/>
  <c r="AK1443" i="1"/>
  <c r="AJ1443" i="1"/>
  <c r="AK1442" i="1"/>
  <c r="AJ1442" i="1"/>
  <c r="AK1441" i="1"/>
  <c r="AJ1441" i="1"/>
  <c r="AK1440" i="1"/>
  <c r="AJ1440" i="1"/>
  <c r="AK1436" i="1"/>
  <c r="AJ1436" i="1"/>
  <c r="AK1435" i="1"/>
  <c r="AJ1435" i="1"/>
  <c r="AK1434" i="1"/>
  <c r="AJ1434" i="1"/>
  <c r="AK1433" i="1"/>
  <c r="AJ1433" i="1"/>
  <c r="AK1432" i="1"/>
  <c r="AJ1432" i="1"/>
  <c r="AK1431" i="1"/>
  <c r="AJ1431" i="1"/>
  <c r="AK1430" i="1"/>
  <c r="AJ1430" i="1"/>
  <c r="AK1429" i="1"/>
  <c r="AJ1429" i="1"/>
  <c r="AK1428" i="1"/>
  <c r="AJ1428" i="1"/>
  <c r="AK1427" i="1"/>
  <c r="AJ1427" i="1"/>
  <c r="AK1425" i="1"/>
  <c r="AJ1425" i="1"/>
  <c r="AK1424" i="1"/>
  <c r="AJ1424" i="1"/>
  <c r="AK1423" i="1"/>
  <c r="AJ1423" i="1"/>
  <c r="AK1422" i="1"/>
  <c r="AJ1422" i="1"/>
  <c r="AK1421" i="1"/>
  <c r="AJ1421" i="1"/>
  <c r="AK1420" i="1"/>
  <c r="AJ1420" i="1"/>
  <c r="AK1419" i="1"/>
  <c r="AJ1419" i="1"/>
  <c r="AK1418" i="1"/>
  <c r="AJ1418" i="1"/>
  <c r="AK1417" i="1"/>
  <c r="AJ1417" i="1"/>
  <c r="AK1416" i="1"/>
  <c r="AJ1416" i="1"/>
  <c r="AK1415" i="1"/>
  <c r="AJ1415" i="1"/>
  <c r="AK1414" i="1"/>
  <c r="AJ1414" i="1"/>
  <c r="AK1413" i="1"/>
  <c r="AJ1413" i="1"/>
  <c r="AK1412" i="1"/>
  <c r="AJ1412" i="1"/>
  <c r="AK1411" i="1"/>
  <c r="AJ1411" i="1"/>
  <c r="AK1400" i="1"/>
  <c r="AJ1400" i="1"/>
  <c r="AK1399" i="1"/>
  <c r="AJ1399" i="1"/>
  <c r="AK1398" i="1"/>
  <c r="AJ1398" i="1"/>
  <c r="AK1397" i="1"/>
  <c r="AJ1397" i="1"/>
  <c r="AK1396" i="1"/>
  <c r="AJ1396" i="1"/>
  <c r="AK1395" i="1"/>
  <c r="AJ1395" i="1"/>
  <c r="AK1394" i="1"/>
  <c r="AJ1394" i="1"/>
  <c r="AK1393" i="1"/>
  <c r="AJ1393" i="1"/>
  <c r="AK1392" i="1"/>
  <c r="AJ1392" i="1"/>
  <c r="AK1391" i="1"/>
  <c r="AJ1391" i="1"/>
  <c r="AK1390" i="1"/>
  <c r="AJ1390" i="1"/>
  <c r="AK1389" i="1"/>
  <c r="AJ1389" i="1"/>
  <c r="AK1388" i="1"/>
  <c r="AJ1388" i="1"/>
  <c r="AK1387" i="1"/>
  <c r="AJ1387" i="1"/>
  <c r="AK1386" i="1"/>
  <c r="AJ1386" i="1"/>
  <c r="AK1385" i="1"/>
  <c r="AJ1385" i="1"/>
  <c r="AK1384" i="1"/>
  <c r="AJ1384" i="1"/>
  <c r="AK1383" i="1"/>
  <c r="AJ1383" i="1"/>
  <c r="AK1382" i="1"/>
  <c r="AJ1382" i="1"/>
  <c r="AK1381" i="1"/>
  <c r="AJ1381" i="1"/>
  <c r="AK1380" i="1"/>
  <c r="AJ1380" i="1"/>
  <c r="AK1379" i="1"/>
  <c r="AJ1379" i="1"/>
  <c r="AK1378" i="1"/>
  <c r="AJ1378" i="1"/>
  <c r="AK1377" i="1"/>
  <c r="AJ1377" i="1"/>
  <c r="AK1376" i="1"/>
  <c r="AJ1376" i="1"/>
  <c r="AK1375" i="1"/>
  <c r="AJ1375" i="1"/>
  <c r="AK1374" i="1"/>
  <c r="AJ1374" i="1"/>
  <c r="AK1373" i="1"/>
  <c r="AJ1373" i="1"/>
  <c r="AK1372" i="1"/>
  <c r="AJ1372" i="1"/>
  <c r="AK1371" i="1"/>
  <c r="AJ1371" i="1"/>
  <c r="AK1360" i="1"/>
  <c r="AJ1360" i="1"/>
  <c r="AK1359" i="1"/>
  <c r="AJ1359" i="1"/>
  <c r="AK1358" i="1"/>
  <c r="AJ1358" i="1"/>
  <c r="AK1357" i="1"/>
  <c r="AJ1357" i="1"/>
  <c r="AK1356" i="1"/>
  <c r="AJ1356" i="1"/>
  <c r="AK1355" i="1"/>
  <c r="AJ1355" i="1"/>
  <c r="AK1354" i="1"/>
  <c r="AJ1354" i="1"/>
  <c r="AK1353" i="1"/>
  <c r="AJ1353" i="1"/>
  <c r="AK1352" i="1"/>
  <c r="AJ1352" i="1"/>
  <c r="AK1351" i="1"/>
  <c r="AJ1351" i="1"/>
  <c r="AK1350" i="1"/>
  <c r="AJ1350" i="1"/>
  <c r="AK1349" i="1"/>
  <c r="AJ1349" i="1"/>
  <c r="AK1348" i="1"/>
  <c r="AJ1348" i="1"/>
  <c r="AK1347" i="1"/>
  <c r="AJ1347" i="1"/>
  <c r="AK1346" i="1"/>
  <c r="AJ1346" i="1"/>
  <c r="AK1345" i="1"/>
  <c r="AJ1345" i="1"/>
  <c r="AK1344" i="1"/>
  <c r="AJ1344" i="1"/>
  <c r="AK1343" i="1"/>
  <c r="AJ1343" i="1"/>
  <c r="AK1342" i="1"/>
  <c r="AJ1342" i="1"/>
  <c r="AK1341" i="1"/>
  <c r="AJ1341" i="1"/>
  <c r="AK1340" i="1"/>
  <c r="AJ1340" i="1"/>
  <c r="AK1339" i="1"/>
  <c r="AJ1339" i="1"/>
  <c r="AK1338" i="1"/>
  <c r="AJ1338" i="1"/>
  <c r="AK1337" i="1"/>
  <c r="AJ1337" i="1"/>
  <c r="AK1336" i="1"/>
  <c r="AJ1336" i="1"/>
  <c r="AK1335" i="1"/>
  <c r="AJ1335" i="1"/>
  <c r="AK1334" i="1"/>
  <c r="AJ1334" i="1"/>
  <c r="AK1333" i="1"/>
  <c r="AJ1333" i="1"/>
  <c r="AK1332" i="1"/>
  <c r="AJ1332" i="1"/>
  <c r="AK1331" i="1"/>
  <c r="AJ1331" i="1"/>
  <c r="AK1330" i="1"/>
  <c r="AJ1330" i="1"/>
  <c r="AK1329" i="1"/>
  <c r="AJ1329" i="1"/>
  <c r="AK1328" i="1"/>
  <c r="AJ1328" i="1"/>
  <c r="AK1327" i="1"/>
  <c r="AJ1327" i="1"/>
  <c r="AK1326" i="1"/>
  <c r="AJ1326" i="1"/>
  <c r="AK1325" i="1"/>
  <c r="AJ1325" i="1"/>
  <c r="AK1324" i="1"/>
  <c r="AJ1324" i="1"/>
  <c r="AK1323" i="1"/>
  <c r="AJ1323" i="1"/>
  <c r="AK1322" i="1"/>
  <c r="AJ1322" i="1"/>
  <c r="AK1321" i="1"/>
  <c r="AJ1321" i="1"/>
  <c r="AK1320" i="1"/>
  <c r="AJ1320" i="1"/>
  <c r="AK1319" i="1"/>
  <c r="AJ1319" i="1"/>
  <c r="AK1318" i="1"/>
  <c r="AJ1318" i="1"/>
  <c r="AK1317" i="1"/>
  <c r="AJ1317" i="1"/>
  <c r="AK1316" i="1"/>
  <c r="AJ1316" i="1"/>
  <c r="AK1309" i="1"/>
  <c r="AJ1309" i="1"/>
  <c r="AK1308" i="1"/>
  <c r="AJ1308" i="1"/>
  <c r="AK1307" i="1"/>
  <c r="AJ1307" i="1"/>
  <c r="AK1306" i="1"/>
  <c r="AJ1306" i="1"/>
  <c r="AK1305" i="1"/>
  <c r="AJ1305" i="1"/>
  <c r="AK1304" i="1"/>
  <c r="AJ1304" i="1"/>
  <c r="AK1303" i="1"/>
  <c r="AJ1303" i="1"/>
  <c r="AK1302" i="1"/>
  <c r="AJ1302" i="1"/>
  <c r="AK1301" i="1"/>
  <c r="AJ1301" i="1"/>
  <c r="AK1300" i="1"/>
  <c r="AJ1300" i="1"/>
  <c r="AK1299" i="1"/>
  <c r="AJ1299" i="1"/>
  <c r="AK1298" i="1"/>
  <c r="AJ1298" i="1"/>
  <c r="AK1297" i="1"/>
  <c r="AJ1297" i="1"/>
  <c r="AK1296" i="1"/>
  <c r="AJ1296" i="1"/>
  <c r="AK1295" i="1"/>
  <c r="AJ1295" i="1"/>
  <c r="AK1294" i="1"/>
  <c r="AJ1294" i="1"/>
  <c r="AK1293" i="1"/>
  <c r="AJ1293" i="1"/>
  <c r="AK1292" i="1"/>
  <c r="AJ1292" i="1"/>
  <c r="AK1291" i="1"/>
  <c r="AJ1291" i="1"/>
  <c r="AK1290" i="1"/>
  <c r="AJ1290" i="1"/>
  <c r="AK1289" i="1"/>
  <c r="AJ1289" i="1"/>
  <c r="AK1288" i="1"/>
  <c r="AJ1288" i="1"/>
  <c r="AK1287" i="1"/>
  <c r="AJ1287" i="1"/>
  <c r="AK1286" i="1"/>
  <c r="AJ1286" i="1"/>
  <c r="AK1285" i="1"/>
  <c r="AJ1285" i="1"/>
  <c r="AK1284" i="1"/>
  <c r="AJ1284" i="1"/>
  <c r="AK1283" i="1"/>
  <c r="AJ1283" i="1"/>
  <c r="AK1274" i="1"/>
  <c r="AJ1274" i="1"/>
  <c r="AK1273" i="1"/>
  <c r="AJ1273" i="1"/>
  <c r="AK1272" i="1"/>
  <c r="AJ1272" i="1"/>
  <c r="AK1271" i="1"/>
  <c r="AJ1271" i="1"/>
  <c r="AK1270" i="1"/>
  <c r="AJ1270" i="1"/>
  <c r="AK1269" i="1"/>
  <c r="AJ1269" i="1"/>
  <c r="AK1268" i="1"/>
  <c r="AJ1268" i="1"/>
  <c r="AK1267" i="1"/>
  <c r="AJ1267" i="1"/>
  <c r="AK1266" i="1"/>
  <c r="AJ1266" i="1"/>
  <c r="AK1265" i="1"/>
  <c r="AJ1265" i="1"/>
  <c r="AK1264" i="1"/>
  <c r="AJ1264" i="1"/>
  <c r="AK1263" i="1"/>
  <c r="AJ1263" i="1"/>
  <c r="AK1262" i="1"/>
  <c r="AJ1262" i="1"/>
  <c r="AK1261" i="1"/>
  <c r="AJ1261" i="1"/>
  <c r="AK1260" i="1"/>
  <c r="AJ1260" i="1"/>
  <c r="AK1259" i="1"/>
  <c r="AJ1259" i="1"/>
  <c r="AK1258" i="1"/>
  <c r="AJ1258" i="1"/>
  <c r="AK1257" i="1"/>
  <c r="AJ1257" i="1"/>
  <c r="AK1256" i="1"/>
  <c r="AJ1256" i="1"/>
  <c r="AK1255" i="1"/>
  <c r="AJ1255" i="1"/>
  <c r="AK1254" i="1"/>
  <c r="AJ1254" i="1"/>
  <c r="AK1253" i="1"/>
  <c r="AJ1253" i="1"/>
  <c r="AK1252" i="1"/>
  <c r="AJ1252" i="1"/>
  <c r="AK1241" i="1"/>
  <c r="AJ1241" i="1"/>
  <c r="AK1240" i="1"/>
  <c r="AJ1240" i="1"/>
  <c r="AK1239" i="1"/>
  <c r="AJ1239" i="1"/>
  <c r="AK1238" i="1"/>
  <c r="AJ1238" i="1"/>
  <c r="AK1237" i="1"/>
  <c r="AJ1237" i="1"/>
  <c r="AK1236" i="1"/>
  <c r="AJ1236" i="1"/>
  <c r="AK1235" i="1"/>
  <c r="AJ1235" i="1"/>
  <c r="AK1234" i="1"/>
  <c r="AJ1234" i="1"/>
  <c r="AK1233" i="1"/>
  <c r="AJ1233" i="1"/>
  <c r="AK1232" i="1"/>
  <c r="AJ1232" i="1"/>
  <c r="AK1231" i="1"/>
  <c r="AJ1231" i="1"/>
  <c r="AK1230" i="1"/>
  <c r="AJ1230" i="1"/>
  <c r="AK1229" i="1"/>
  <c r="AJ1229" i="1"/>
  <c r="AK1228" i="1"/>
  <c r="AJ1228" i="1"/>
  <c r="AK1227" i="1"/>
  <c r="AJ1227" i="1"/>
  <c r="AK1226" i="1"/>
  <c r="AJ1226" i="1"/>
  <c r="AK1225" i="1"/>
  <c r="AJ1225" i="1"/>
  <c r="AK1224" i="1"/>
  <c r="AJ1224" i="1"/>
  <c r="AK1223" i="1"/>
  <c r="AJ1223" i="1"/>
  <c r="AK1222" i="1"/>
  <c r="AJ1222" i="1"/>
  <c r="AK1221" i="1"/>
  <c r="AJ1221" i="1"/>
  <c r="AK1220" i="1"/>
  <c r="AJ1220" i="1"/>
  <c r="AK1219" i="1"/>
  <c r="AJ1219" i="1"/>
  <c r="AK1218" i="1"/>
  <c r="AJ1218" i="1"/>
  <c r="AK1217" i="1"/>
  <c r="AJ1217" i="1"/>
  <c r="AK1216" i="1"/>
  <c r="AJ1216" i="1"/>
  <c r="AK1215" i="1"/>
  <c r="AJ1215" i="1"/>
  <c r="AK1214" i="1"/>
  <c r="AJ1214" i="1"/>
  <c r="AK1213" i="1"/>
  <c r="AJ1213" i="1"/>
  <c r="AK1212" i="1"/>
  <c r="AJ1212" i="1"/>
  <c r="AK1211" i="1"/>
  <c r="AJ1211" i="1"/>
  <c r="AK1210" i="1"/>
  <c r="AJ1210" i="1"/>
  <c r="AK1200" i="1"/>
  <c r="AJ1200" i="1"/>
  <c r="AK1199" i="1"/>
  <c r="AJ1199" i="1"/>
  <c r="AK1198" i="1"/>
  <c r="AJ1198" i="1"/>
  <c r="AK1197" i="1"/>
  <c r="AJ1197" i="1"/>
  <c r="AK1196" i="1"/>
  <c r="AJ1196" i="1"/>
  <c r="AK1195" i="1"/>
  <c r="AJ1195" i="1"/>
  <c r="AK1194" i="1"/>
  <c r="AJ1194" i="1"/>
  <c r="AK1193" i="1"/>
  <c r="AJ1193" i="1"/>
  <c r="AK1192" i="1"/>
  <c r="AJ1192" i="1"/>
  <c r="AK1191" i="1"/>
  <c r="AJ1191" i="1"/>
  <c r="AK1190" i="1"/>
  <c r="AJ1190" i="1"/>
  <c r="AK1189" i="1"/>
  <c r="AJ1189" i="1"/>
  <c r="AK1188" i="1"/>
  <c r="AJ1188" i="1"/>
  <c r="AK1187" i="1"/>
  <c r="AJ1187" i="1"/>
  <c r="AK1186" i="1"/>
  <c r="AJ1186" i="1"/>
  <c r="AK1185" i="1"/>
  <c r="AJ1185" i="1"/>
  <c r="AK1184" i="1"/>
  <c r="AJ1184" i="1"/>
  <c r="AK1183" i="1"/>
  <c r="AJ1183" i="1"/>
  <c r="AK1182" i="1"/>
  <c r="AJ1182" i="1"/>
  <c r="AK1181" i="1"/>
  <c r="AJ1181" i="1"/>
  <c r="AK1180" i="1"/>
  <c r="AJ1180" i="1"/>
  <c r="AK1179" i="1"/>
  <c r="AJ1179" i="1"/>
  <c r="AK1178" i="1"/>
  <c r="AJ1178" i="1"/>
  <c r="AK1177" i="1"/>
  <c r="AJ1177" i="1"/>
  <c r="AK1176" i="1"/>
  <c r="AJ1176" i="1"/>
  <c r="AK1175" i="1"/>
  <c r="AJ1175" i="1"/>
  <c r="AK1174" i="1"/>
  <c r="AJ1174" i="1"/>
  <c r="AK1173" i="1"/>
  <c r="AJ1173" i="1"/>
  <c r="AK1172" i="1"/>
  <c r="AJ1172" i="1"/>
  <c r="AK1171" i="1"/>
  <c r="AJ1171" i="1"/>
  <c r="AK1170" i="1"/>
  <c r="AJ1170" i="1"/>
  <c r="AK1169" i="1"/>
  <c r="AJ1169" i="1"/>
  <c r="AK1168" i="1"/>
  <c r="AJ1168" i="1"/>
  <c r="AK1167" i="1"/>
  <c r="AJ1167" i="1"/>
  <c r="AK1166" i="1"/>
  <c r="AJ1166" i="1"/>
  <c r="AK1165" i="1"/>
  <c r="AJ1165" i="1"/>
  <c r="AK1164" i="1"/>
  <c r="AJ1164" i="1"/>
  <c r="AK1163" i="1"/>
  <c r="AJ1163" i="1"/>
  <c r="AK1162" i="1"/>
  <c r="AJ1162" i="1"/>
  <c r="AK1161" i="1"/>
  <c r="AJ1161" i="1"/>
  <c r="AK1160" i="1"/>
  <c r="AJ1160" i="1"/>
  <c r="AK1159" i="1"/>
  <c r="AJ1159" i="1"/>
  <c r="AK1158" i="1"/>
  <c r="AJ1158" i="1"/>
  <c r="AK1157" i="1"/>
  <c r="AJ1157" i="1"/>
  <c r="AK1156" i="1"/>
  <c r="AJ1156" i="1"/>
  <c r="AK1155" i="1"/>
  <c r="AJ1155" i="1"/>
  <c r="AK1154" i="1"/>
  <c r="AJ1154" i="1"/>
  <c r="AK1153" i="1"/>
  <c r="AJ1153" i="1"/>
  <c r="AK1152" i="1"/>
  <c r="AJ1152" i="1"/>
  <c r="AK1151" i="1"/>
  <c r="AJ1151" i="1"/>
  <c r="AK1150" i="1"/>
  <c r="AJ1150" i="1"/>
  <c r="AK1141" i="1"/>
  <c r="AJ1141" i="1"/>
  <c r="AK1140" i="1"/>
  <c r="AJ1140" i="1"/>
  <c r="AK1139" i="1"/>
  <c r="AJ1139" i="1"/>
  <c r="AK1138" i="1"/>
  <c r="AJ1138" i="1"/>
  <c r="AK1137" i="1"/>
  <c r="AJ1137" i="1"/>
  <c r="AK1136" i="1"/>
  <c r="AJ1136" i="1"/>
  <c r="AK1135" i="1"/>
  <c r="AJ1135" i="1"/>
  <c r="AK1134" i="1"/>
  <c r="AJ1134" i="1"/>
  <c r="AK1133" i="1"/>
  <c r="AJ1133" i="1"/>
  <c r="AK1132" i="1"/>
  <c r="AJ1132" i="1"/>
  <c r="AK1131" i="1"/>
  <c r="AJ1131" i="1"/>
  <c r="AK1130" i="1"/>
  <c r="AJ1130" i="1"/>
  <c r="AK1129" i="1"/>
  <c r="AJ1129" i="1"/>
  <c r="AK1128" i="1"/>
  <c r="AJ1128" i="1"/>
  <c r="AK1127" i="1"/>
  <c r="AJ1127" i="1"/>
  <c r="AK1126" i="1"/>
  <c r="AJ1126" i="1"/>
  <c r="AK1125" i="1"/>
  <c r="AJ1125" i="1"/>
  <c r="AK1124" i="1"/>
  <c r="AJ1124" i="1"/>
  <c r="AK1123" i="1"/>
  <c r="AJ1123" i="1"/>
  <c r="AK1122" i="1"/>
  <c r="AJ1122" i="1"/>
  <c r="AK1121" i="1"/>
  <c r="AJ1121" i="1"/>
  <c r="AK1120" i="1"/>
  <c r="AJ1120" i="1"/>
  <c r="AK1119" i="1"/>
  <c r="AJ1119" i="1"/>
  <c r="AK1118" i="1"/>
  <c r="AJ1118" i="1"/>
  <c r="AK1117" i="1"/>
  <c r="AJ1117" i="1"/>
  <c r="AK1116" i="1"/>
  <c r="AJ1116" i="1"/>
  <c r="AK1115" i="1"/>
  <c r="AJ1115" i="1"/>
  <c r="AK1114" i="1"/>
  <c r="AJ1114" i="1"/>
  <c r="AK1113" i="1"/>
  <c r="AJ1113" i="1"/>
  <c r="AK1112" i="1"/>
  <c r="AJ1112" i="1"/>
  <c r="AK1111" i="1"/>
  <c r="AJ1111" i="1"/>
  <c r="AK1110" i="1"/>
  <c r="AJ1110" i="1"/>
  <c r="AK1109" i="1"/>
  <c r="AJ1109" i="1"/>
  <c r="AK1108" i="1"/>
  <c r="AJ1108" i="1"/>
  <c r="AK1107" i="1"/>
  <c r="AJ1107" i="1"/>
  <c r="AK1106" i="1"/>
  <c r="AJ1106" i="1"/>
  <c r="AK1098" i="1"/>
  <c r="AJ1098" i="1"/>
  <c r="AK1097" i="1"/>
  <c r="AJ1097" i="1"/>
  <c r="AK1096" i="1"/>
  <c r="AJ1096" i="1"/>
  <c r="AK1095" i="1"/>
  <c r="AJ1095" i="1"/>
  <c r="AK1094" i="1"/>
  <c r="AJ1094" i="1"/>
  <c r="AK1093" i="1"/>
  <c r="AJ1093" i="1"/>
  <c r="AK1092" i="1"/>
  <c r="AJ1092" i="1"/>
  <c r="AK1091" i="1"/>
  <c r="AJ1091" i="1"/>
  <c r="AK1090" i="1"/>
  <c r="AJ1090" i="1"/>
  <c r="AK1089" i="1"/>
  <c r="AJ1089" i="1"/>
  <c r="AK1088" i="1"/>
  <c r="AJ1088" i="1"/>
  <c r="AK1087" i="1"/>
  <c r="AJ1087" i="1"/>
  <c r="AK1086" i="1"/>
  <c r="AJ1086" i="1"/>
  <c r="AK1085" i="1"/>
  <c r="AJ1085" i="1"/>
  <c r="AK1084" i="1"/>
  <c r="AJ1084" i="1"/>
  <c r="AK1083" i="1"/>
  <c r="AJ1083" i="1"/>
  <c r="AK1082" i="1"/>
  <c r="AJ1082" i="1"/>
  <c r="AK1081" i="1"/>
  <c r="AJ1081" i="1"/>
  <c r="AK1080" i="1"/>
  <c r="AJ1080" i="1"/>
  <c r="AK1079" i="1"/>
  <c r="AJ1079" i="1"/>
  <c r="AK1078" i="1"/>
  <c r="AJ1078" i="1"/>
  <c r="AK1077" i="1"/>
  <c r="AJ1077" i="1"/>
  <c r="AK1076" i="1"/>
  <c r="AJ1076" i="1"/>
  <c r="AK1075" i="1"/>
  <c r="AJ1075" i="1"/>
  <c r="AK1074" i="1"/>
  <c r="AJ1074" i="1"/>
  <c r="AK1073" i="1"/>
  <c r="AJ1073" i="1"/>
  <c r="AK1072" i="1"/>
  <c r="AJ1072" i="1"/>
  <c r="AK1071" i="1"/>
  <c r="AJ1071" i="1"/>
  <c r="AK1070" i="1"/>
  <c r="AJ1070" i="1"/>
  <c r="AK1058" i="1"/>
  <c r="AJ1058" i="1"/>
  <c r="AK1057" i="1"/>
  <c r="AJ1057" i="1"/>
  <c r="AK1056" i="1"/>
  <c r="AJ1056" i="1"/>
  <c r="AK1055" i="1"/>
  <c r="AJ1055" i="1"/>
  <c r="AK1054" i="1"/>
  <c r="AJ1054" i="1"/>
  <c r="AK1053" i="1"/>
  <c r="AJ1053" i="1"/>
  <c r="AK1052" i="1"/>
  <c r="AJ1052" i="1"/>
  <c r="AK1051" i="1"/>
  <c r="AJ1051" i="1"/>
  <c r="AK1050" i="1"/>
  <c r="AJ1050" i="1"/>
  <c r="AK1049" i="1"/>
  <c r="AJ1049" i="1"/>
  <c r="AK1048" i="1"/>
  <c r="AJ1048" i="1"/>
  <c r="AK1047" i="1"/>
  <c r="AJ1047" i="1"/>
  <c r="AK1046" i="1"/>
  <c r="AJ1046" i="1"/>
  <c r="AK1045" i="1"/>
  <c r="AJ1045" i="1"/>
  <c r="AK1044" i="1"/>
  <c r="AJ1044" i="1"/>
  <c r="AK1043" i="1"/>
  <c r="AJ1043" i="1"/>
  <c r="AK1042" i="1"/>
  <c r="AJ1042" i="1"/>
  <c r="AK1041" i="1"/>
  <c r="AJ1041" i="1"/>
  <c r="AK1040" i="1"/>
  <c r="AJ1040" i="1"/>
  <c r="AK1039" i="1"/>
  <c r="AJ1039" i="1"/>
  <c r="AK1038" i="1"/>
  <c r="AJ1038" i="1"/>
  <c r="AK1037" i="1"/>
  <c r="AJ1037" i="1"/>
  <c r="AK1036" i="1"/>
  <c r="AJ1036" i="1"/>
  <c r="AK1035" i="1"/>
  <c r="AJ1035" i="1"/>
  <c r="AK1034" i="1"/>
  <c r="AJ1034" i="1"/>
  <c r="AK1033" i="1"/>
  <c r="AJ1033" i="1"/>
  <c r="AK1032" i="1"/>
  <c r="AJ1032" i="1"/>
  <c r="AK1031" i="1"/>
  <c r="AJ1031" i="1"/>
  <c r="AK1030" i="1"/>
  <c r="AJ1030" i="1"/>
  <c r="AK1029" i="1"/>
  <c r="AJ1029" i="1"/>
  <c r="AK1028" i="1"/>
  <c r="AJ1028" i="1"/>
  <c r="H13" i="10" l="1"/>
  <c r="G13" i="10"/>
  <c r="F13" i="10"/>
  <c r="E13" i="10"/>
  <c r="AU10" i="8" l="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U46" i="8" s="1"/>
  <c r="AU47" i="8" s="1"/>
  <c r="AU48" i="8" s="1"/>
  <c r="AU49" i="8" s="1"/>
  <c r="AU50" i="8" s="1"/>
  <c r="AU51" i="8" s="1"/>
  <c r="AU52" i="8" s="1"/>
  <c r="AU53" i="8" s="1"/>
  <c r="AU54" i="8" s="1"/>
  <c r="AU55" i="8" s="1"/>
  <c r="AU56" i="8" s="1"/>
  <c r="AU57" i="8" s="1"/>
  <c r="AU58" i="8" s="1"/>
  <c r="AU59" i="8" s="1"/>
  <c r="AU60" i="8" s="1"/>
  <c r="AU61" i="8" s="1"/>
  <c r="AU62" i="8" s="1"/>
  <c r="AU63" i="8" s="1"/>
  <c r="AU64" i="8" s="1"/>
  <c r="AU65" i="8" s="1"/>
  <c r="AU66" i="8" s="1"/>
  <c r="AU67" i="8" s="1"/>
  <c r="AU68" i="8" s="1"/>
  <c r="AU69" i="8" s="1"/>
  <c r="AU70" i="8" s="1"/>
  <c r="AU71" i="8" s="1"/>
  <c r="AU72" i="8" s="1"/>
  <c r="AU73" i="8" s="1"/>
  <c r="AU74" i="8" s="1"/>
  <c r="AU75" i="8" s="1"/>
  <c r="AU76" i="8" s="1"/>
  <c r="AU77" i="8" s="1"/>
  <c r="AU78" i="8" s="1"/>
  <c r="AU79" i="8" s="1"/>
  <c r="AU80" i="8" s="1"/>
  <c r="AU81" i="8" s="1"/>
  <c r="AU82" i="8" s="1"/>
  <c r="AU83" i="8" s="1"/>
  <c r="AU84" i="8" s="1"/>
  <c r="AU85" i="8" s="1"/>
  <c r="AU86" i="8" s="1"/>
  <c r="AU87" i="8" s="1"/>
  <c r="AU88" i="8" s="1"/>
  <c r="AU89" i="8" s="1"/>
  <c r="AU90" i="8" s="1"/>
  <c r="AU91" i="8" s="1"/>
  <c r="AU92" i="8" s="1"/>
  <c r="AU93" i="8" s="1"/>
  <c r="AU94" i="8" s="1"/>
  <c r="AU95" i="8" s="1"/>
  <c r="AU96" i="8" s="1"/>
  <c r="AU97" i="8" s="1"/>
  <c r="AU98" i="8" s="1"/>
  <c r="AU99" i="8" s="1"/>
  <c r="AU100" i="8" s="1"/>
  <c r="AU101" i="8" s="1"/>
  <c r="AU102" i="8" s="1"/>
  <c r="AU103" i="8" s="1"/>
  <c r="AU104" i="8" s="1"/>
  <c r="AU105" i="8" s="1"/>
  <c r="AU106" i="8" s="1"/>
  <c r="AU107" i="8" s="1"/>
  <c r="AU108" i="8" s="1"/>
  <c r="AU109" i="8" s="1"/>
  <c r="AU110" i="8" s="1"/>
  <c r="AU111" i="8" s="1"/>
  <c r="AU112" i="8" s="1"/>
  <c r="AU113" i="8" s="1"/>
  <c r="AU114" i="8" s="1"/>
  <c r="AU115" i="8" s="1"/>
  <c r="AU116" i="8" s="1"/>
  <c r="AU117" i="8" s="1"/>
  <c r="AU118" i="8" s="1"/>
  <c r="AU119" i="8" s="1"/>
  <c r="AU120" i="8" s="1"/>
  <c r="AU121" i="8" s="1"/>
  <c r="AU122" i="8" s="1"/>
  <c r="AU123" i="8" s="1"/>
  <c r="AU124" i="8" s="1"/>
  <c r="AU125" i="8" s="1"/>
  <c r="AU126" i="8" s="1"/>
  <c r="AU127" i="8" s="1"/>
  <c r="AU128" i="8" s="1"/>
  <c r="AU129" i="8" s="1"/>
  <c r="AU130" i="8" s="1"/>
  <c r="AU131" i="8" s="1"/>
  <c r="AU132" i="8" s="1"/>
  <c r="AU133" i="8" s="1"/>
  <c r="AU134" i="8" s="1"/>
  <c r="AU135" i="8" s="1"/>
  <c r="AU136" i="8" s="1"/>
  <c r="AU137" i="8" s="1"/>
  <c r="AU138" i="8" s="1"/>
  <c r="AU139" i="8" s="1"/>
  <c r="AU140" i="8" s="1"/>
  <c r="AU141" i="8" s="1"/>
  <c r="AU142" i="8" s="1"/>
  <c r="AU143" i="8" s="1"/>
  <c r="AU144" i="8" s="1"/>
  <c r="AU145" i="8" s="1"/>
  <c r="AU146" i="8" s="1"/>
  <c r="AU147" i="8" s="1"/>
  <c r="AU148" i="8" s="1"/>
  <c r="AU149" i="8" s="1"/>
  <c r="AU150" i="8" s="1"/>
  <c r="AU151" i="8" s="1"/>
  <c r="AU152" i="8" s="1"/>
  <c r="AU153" i="8" s="1"/>
  <c r="AU154" i="8" s="1"/>
  <c r="AU155" i="8" s="1"/>
  <c r="AU156" i="8" s="1"/>
  <c r="AU157" i="8" s="1"/>
  <c r="AU158" i="8" s="1"/>
  <c r="AU159" i="8" s="1"/>
  <c r="AU160" i="8" s="1"/>
  <c r="AU161" i="8" s="1"/>
  <c r="AU162" i="8" s="1"/>
  <c r="AU163" i="8" s="1"/>
  <c r="AU164" i="8" s="1"/>
  <c r="AU165" i="8" s="1"/>
  <c r="AU166" i="8" s="1"/>
  <c r="AU167" i="8" s="1"/>
  <c r="AU168" i="8" s="1"/>
  <c r="AU169" i="8" s="1"/>
  <c r="AU170" i="8" s="1"/>
  <c r="AU171" i="8" s="1"/>
  <c r="AU172" i="8" s="1"/>
  <c r="AU173" i="8" s="1"/>
  <c r="AU174" i="8" s="1"/>
  <c r="AU175" i="8" s="1"/>
  <c r="AU176" i="8" s="1"/>
  <c r="AU177" i="8" s="1"/>
  <c r="AU178" i="8" s="1"/>
  <c r="AU179" i="8" s="1"/>
  <c r="AU180" i="8" s="1"/>
  <c r="AU181" i="8" s="1"/>
  <c r="AU182" i="8" s="1"/>
  <c r="AU183" i="8" s="1"/>
  <c r="AU184" i="8" s="1"/>
  <c r="AU185" i="8" s="1"/>
  <c r="AU186" i="8" s="1"/>
  <c r="AU187" i="8" s="1"/>
  <c r="AU188" i="8" s="1"/>
  <c r="AU189" i="8" s="1"/>
  <c r="AU190" i="8" s="1"/>
  <c r="AU191" i="8" s="1"/>
  <c r="AU192" i="8" s="1"/>
  <c r="AU193" i="8" s="1"/>
  <c r="AU194" i="8" s="1"/>
  <c r="AU195" i="8" s="1"/>
  <c r="AU196" i="8" s="1"/>
  <c r="AU197" i="8" s="1"/>
  <c r="AU198" i="8" s="1"/>
  <c r="AU199" i="8" s="1"/>
  <c r="AU200" i="8" s="1"/>
  <c r="AU201" i="8" s="1"/>
  <c r="AU202" i="8" s="1"/>
  <c r="AU203" i="8" s="1"/>
  <c r="AU204" i="8" s="1"/>
  <c r="AU205" i="8" s="1"/>
  <c r="AU206" i="8" s="1"/>
  <c r="BV9" i="8"/>
  <c r="AK9" i="8" l="1"/>
  <c r="J10" i="8"/>
  <c r="J11" i="8" s="1"/>
  <c r="J12" i="8" s="1"/>
  <c r="J13" i="8" s="1"/>
  <c r="J14" i="8" s="1"/>
  <c r="J15" i="8" s="1"/>
  <c r="J16" i="8" s="1"/>
  <c r="J17" i="8" s="1"/>
  <c r="J18" i="8" s="1"/>
  <c r="J19" i="8" s="1"/>
  <c r="J20" i="8" s="1"/>
  <c r="J21" i="8" s="1"/>
  <c r="J22" i="8" s="1"/>
  <c r="J23" i="8" s="1"/>
  <c r="J24" i="8" s="1"/>
  <c r="J25" i="8" s="1"/>
  <c r="J26" i="8" s="1"/>
  <c r="J27" i="8" s="1"/>
  <c r="J28" i="8" s="1"/>
  <c r="J29" i="8" s="1"/>
  <c r="J30" i="8" s="1"/>
  <c r="J31" i="8" s="1"/>
  <c r="J32" i="8" s="1"/>
  <c r="J33" i="8" s="1"/>
  <c r="J34" i="8" s="1"/>
  <c r="J35" i="8" s="1"/>
  <c r="J36" i="8" s="1"/>
  <c r="J37" i="8" s="1"/>
  <c r="J38" i="8" s="1"/>
  <c r="J39" i="8" s="1"/>
  <c r="J40" i="8" s="1"/>
  <c r="J41" i="8" s="1"/>
  <c r="J42" i="8" s="1"/>
  <c r="J43" i="8" s="1"/>
  <c r="J44" i="8" s="1"/>
  <c r="J45" i="8" s="1"/>
  <c r="J46" i="8" s="1"/>
  <c r="J47" i="8" s="1"/>
  <c r="J48" i="8" s="1"/>
  <c r="J49" i="8" s="1"/>
  <c r="J50" i="8" s="1"/>
  <c r="J51" i="8" s="1"/>
  <c r="J52" i="8" s="1"/>
  <c r="J53" i="8" s="1"/>
  <c r="J54" i="8" s="1"/>
  <c r="J55" i="8" s="1"/>
  <c r="J56" i="8" s="1"/>
  <c r="J57" i="8" s="1"/>
  <c r="J58" i="8" s="1"/>
  <c r="J59" i="8" s="1"/>
  <c r="J60" i="8" s="1"/>
  <c r="J61" i="8" s="1"/>
  <c r="J62" i="8" s="1"/>
  <c r="J63" i="8" s="1"/>
  <c r="J64" i="8" s="1"/>
  <c r="J65" i="8" s="1"/>
  <c r="J66" i="8" s="1"/>
  <c r="J67" i="8" s="1"/>
  <c r="J68" i="8" s="1"/>
  <c r="J69" i="8" s="1"/>
  <c r="J70" i="8" s="1"/>
  <c r="J71" i="8" s="1"/>
  <c r="J72" i="8" s="1"/>
  <c r="J73" i="8" s="1"/>
  <c r="J74" i="8" s="1"/>
  <c r="J75" i="8" s="1"/>
  <c r="J76" i="8" s="1"/>
  <c r="J77" i="8" s="1"/>
  <c r="J78" i="8" s="1"/>
  <c r="J79" i="8" s="1"/>
  <c r="J80" i="8" s="1"/>
  <c r="J81" i="8" s="1"/>
  <c r="J82" i="8" s="1"/>
  <c r="J83" i="8" s="1"/>
  <c r="J84" i="8" s="1"/>
  <c r="J85" i="8" s="1"/>
  <c r="J86" i="8" s="1"/>
  <c r="J87" i="8" s="1"/>
  <c r="J88" i="8" s="1"/>
  <c r="J89" i="8" s="1"/>
  <c r="J90" i="8" s="1"/>
  <c r="J91" i="8" s="1"/>
  <c r="J92" i="8" s="1"/>
  <c r="J93" i="8" s="1"/>
  <c r="J94" i="8" s="1"/>
  <c r="J95" i="8" s="1"/>
  <c r="J96" i="8" s="1"/>
  <c r="J97" i="8" s="1"/>
  <c r="J98" i="8" s="1"/>
  <c r="J99" i="8" s="1"/>
  <c r="J100" i="8" s="1"/>
  <c r="J101" i="8" s="1"/>
  <c r="J102" i="8" s="1"/>
  <c r="J103" i="8" s="1"/>
  <c r="J104" i="8" s="1"/>
  <c r="J105" i="8" s="1"/>
  <c r="J106" i="8" s="1"/>
  <c r="J107" i="8" s="1"/>
  <c r="J108" i="8" s="1"/>
  <c r="J109" i="8" s="1"/>
  <c r="J110" i="8" s="1"/>
  <c r="J111" i="8" s="1"/>
  <c r="J112" i="8" s="1"/>
  <c r="J113" i="8" s="1"/>
  <c r="J114" i="8" s="1"/>
  <c r="J115" i="8" s="1"/>
  <c r="J116" i="8" s="1"/>
  <c r="J117" i="8" s="1"/>
  <c r="J118" i="8" s="1"/>
  <c r="J119" i="8" s="1"/>
  <c r="J120" i="8" s="1"/>
  <c r="J121" i="8" s="1"/>
  <c r="J122" i="8" s="1"/>
  <c r="J123" i="8" s="1"/>
  <c r="J124" i="8" s="1"/>
  <c r="J125" i="8" s="1"/>
  <c r="J126" i="8" s="1"/>
  <c r="J127" i="8" s="1"/>
  <c r="J128" i="8" s="1"/>
  <c r="J129" i="8" s="1"/>
  <c r="J130" i="8" s="1"/>
  <c r="J131" i="8" s="1"/>
  <c r="J132" i="8" s="1"/>
  <c r="J133" i="8" s="1"/>
  <c r="J134" i="8" s="1"/>
  <c r="J135" i="8" s="1"/>
  <c r="J136" i="8" s="1"/>
  <c r="J137" i="8" s="1"/>
  <c r="J138" i="8" s="1"/>
  <c r="J139" i="8" s="1"/>
  <c r="J140" i="8" s="1"/>
  <c r="J141" i="8" s="1"/>
  <c r="J142" i="8" s="1"/>
  <c r="J143" i="8" s="1"/>
  <c r="J144" i="8" s="1"/>
  <c r="J145" i="8" s="1"/>
  <c r="J146" i="8" s="1"/>
  <c r="J147" i="8" s="1"/>
  <c r="J148" i="8" s="1"/>
  <c r="J149" i="8" s="1"/>
  <c r="J150" i="8" s="1"/>
  <c r="J151" i="8" s="1"/>
  <c r="J152" i="8" s="1"/>
  <c r="J153" i="8" s="1"/>
  <c r="J154" i="8" s="1"/>
  <c r="J155" i="8" s="1"/>
  <c r="J156" i="8" s="1"/>
  <c r="J157" i="8" s="1"/>
  <c r="J158" i="8" s="1"/>
  <c r="J159" i="8" s="1"/>
  <c r="J160" i="8" s="1"/>
  <c r="J161" i="8" s="1"/>
  <c r="J162" i="8" s="1"/>
  <c r="J163" i="8" s="1"/>
  <c r="J164" i="8" s="1"/>
  <c r="J165" i="8" s="1"/>
  <c r="J166" i="8" s="1"/>
  <c r="J167" i="8" s="1"/>
  <c r="J168" i="8" s="1"/>
  <c r="J169" i="8" s="1"/>
  <c r="J170" i="8" s="1"/>
  <c r="J171" i="8" s="1"/>
  <c r="J172" i="8" s="1"/>
  <c r="J173" i="8" s="1"/>
  <c r="J174" i="8" s="1"/>
  <c r="J175" i="8" s="1"/>
  <c r="J176" i="8" s="1"/>
  <c r="J177" i="8" s="1"/>
  <c r="J178" i="8" s="1"/>
  <c r="J179" i="8" s="1"/>
  <c r="J180" i="8" s="1"/>
  <c r="J181" i="8" s="1"/>
  <c r="J182" i="8" s="1"/>
  <c r="J183" i="8" s="1"/>
  <c r="J184" i="8" s="1"/>
  <c r="J185" i="8" s="1"/>
  <c r="J186" i="8" s="1"/>
  <c r="J187" i="8" s="1"/>
  <c r="J188" i="8" s="1"/>
  <c r="J189" i="8" s="1"/>
  <c r="J190" i="8" s="1"/>
  <c r="J191" i="8" s="1"/>
  <c r="J192" i="8" s="1"/>
  <c r="J193" i="8" s="1"/>
  <c r="J194" i="8" s="1"/>
  <c r="J195" i="8" s="1"/>
  <c r="J196" i="8" s="1"/>
  <c r="J197" i="8" s="1"/>
  <c r="J198" i="8" s="1"/>
  <c r="J199" i="8" s="1"/>
  <c r="J200" i="8" s="1"/>
  <c r="J201" i="8" s="1"/>
  <c r="J202" i="8" s="1"/>
  <c r="J203" i="8" s="1"/>
  <c r="J204" i="8" s="1"/>
  <c r="J205" i="8" s="1"/>
  <c r="J206" i="8" s="1"/>
  <c r="K3" i="10" l="1"/>
  <c r="AB65" i="3"/>
  <c r="AB66" i="3" s="1"/>
  <c r="Z59" i="3"/>
  <c r="AE55" i="3"/>
  <c r="AE54" i="3"/>
  <c r="AE53" i="3"/>
  <c r="AE51" i="3"/>
  <c r="AE50" i="3"/>
  <c r="AE49" i="3"/>
  <c r="AE48" i="3"/>
  <c r="AE47" i="3"/>
  <c r="AE46" i="3"/>
  <c r="AE45" i="3"/>
  <c r="AE44" i="3"/>
  <c r="AE43" i="3"/>
  <c r="AE42" i="3"/>
  <c r="AE41" i="3"/>
  <c r="AE40" i="3"/>
  <c r="AE39" i="3"/>
  <c r="AE38" i="3"/>
  <c r="AE36" i="3"/>
  <c r="AE35" i="3"/>
  <c r="AE34" i="3"/>
  <c r="AE33" i="3"/>
  <c r="AE32" i="3"/>
  <c r="AE31" i="3"/>
  <c r="AE30" i="3"/>
  <c r="AE29" i="3"/>
  <c r="AE27" i="3"/>
  <c r="AE26" i="3"/>
  <c r="AE25" i="3"/>
  <c r="AE23" i="3"/>
  <c r="AE22" i="3"/>
  <c r="AE21" i="3"/>
  <c r="AE19" i="3"/>
  <c r="AE18" i="3"/>
  <c r="AE17" i="3"/>
  <c r="AE16" i="3"/>
  <c r="AE15" i="3"/>
  <c r="AE13" i="3"/>
  <c r="AE12" i="3"/>
  <c r="AE11" i="3"/>
  <c r="AE10" i="3"/>
  <c r="AE9" i="3"/>
  <c r="AE8" i="3"/>
  <c r="AE6" i="3"/>
  <c r="AE5" i="3"/>
  <c r="AE4" i="3"/>
  <c r="AE3" i="3"/>
  <c r="L18" i="12"/>
  <c r="J12" i="12"/>
  <c r="J11" i="12"/>
  <c r="N9" i="12" l="1"/>
  <c r="N4" i="12" s="1"/>
  <c r="N8" i="12"/>
  <c r="N3" i="12" s="1"/>
  <c r="M9" i="12"/>
  <c r="M8" i="12"/>
  <c r="L9" i="12"/>
  <c r="L4" i="12" s="1"/>
  <c r="L8" i="12"/>
  <c r="L3" i="12" s="1"/>
  <c r="K9" i="12"/>
  <c r="K4" i="12" s="1"/>
  <c r="K8" i="12"/>
  <c r="K3" i="12" s="1"/>
  <c r="M4" i="12" l="1"/>
  <c r="M3" i="12"/>
  <c r="E9" i="6" l="1"/>
  <c r="AK1023" i="1" l="1"/>
  <c r="AK1022" i="1"/>
  <c r="AK1021" i="1"/>
  <c r="AK1020" i="1"/>
  <c r="AK1019" i="1"/>
  <c r="AK1018" i="1"/>
  <c r="AK1017" i="1"/>
  <c r="AK1016" i="1"/>
  <c r="AK1015" i="1"/>
  <c r="AK1014" i="1"/>
  <c r="AK1013" i="1"/>
  <c r="AK1012" i="1"/>
  <c r="AK1011" i="1"/>
  <c r="AK1010" i="1"/>
  <c r="AK1009" i="1"/>
  <c r="AK1008" i="1"/>
  <c r="AK1007" i="1"/>
  <c r="AK1006" i="1"/>
  <c r="AK1005" i="1"/>
  <c r="AK1004" i="1"/>
  <c r="AK1003" i="1"/>
  <c r="AK992" i="1"/>
  <c r="AK991" i="1"/>
  <c r="AK990" i="1"/>
  <c r="AK989" i="1"/>
  <c r="AK988" i="1"/>
  <c r="AK987" i="1"/>
  <c r="AK986" i="1"/>
  <c r="AK985" i="1"/>
  <c r="AK984" i="1"/>
  <c r="AK983" i="1"/>
  <c r="AK982" i="1"/>
  <c r="AK981" i="1"/>
  <c r="AK980" i="1"/>
  <c r="AK979" i="1"/>
  <c r="AK978" i="1"/>
  <c r="AK977" i="1"/>
  <c r="AK976" i="1"/>
  <c r="AK975" i="1"/>
  <c r="AK974" i="1"/>
  <c r="AK973" i="1"/>
  <c r="AK972" i="1"/>
  <c r="AK971" i="1"/>
  <c r="AK970" i="1"/>
  <c r="AK969" i="1"/>
  <c r="AK958" i="1"/>
  <c r="AK957" i="1"/>
  <c r="AK956" i="1"/>
  <c r="AK955" i="1"/>
  <c r="AK954" i="1"/>
  <c r="AK953" i="1"/>
  <c r="AK952" i="1"/>
  <c r="AK951" i="1"/>
  <c r="AK950" i="1"/>
  <c r="AK949" i="1"/>
  <c r="AK948" i="1"/>
  <c r="AK947" i="1"/>
  <c r="AK946" i="1"/>
  <c r="AK945" i="1"/>
  <c r="AK944" i="1"/>
  <c r="AK943" i="1"/>
  <c r="AK942" i="1"/>
  <c r="AK941" i="1"/>
  <c r="AK940" i="1"/>
  <c r="AK939" i="1"/>
  <c r="AK938" i="1"/>
  <c r="AK937" i="1"/>
  <c r="AK936" i="1"/>
  <c r="AK935" i="1"/>
  <c r="AK934" i="1"/>
  <c r="AK933" i="1"/>
  <c r="AK932" i="1"/>
  <c r="AK924" i="1"/>
  <c r="AK923" i="1"/>
  <c r="AK922" i="1"/>
  <c r="AK921" i="1"/>
  <c r="AK920" i="1"/>
  <c r="AK919" i="1"/>
  <c r="AK918" i="1"/>
  <c r="AK917" i="1"/>
  <c r="AK916" i="1"/>
  <c r="AK915" i="1"/>
  <c r="AK914" i="1"/>
  <c r="AK913" i="1"/>
  <c r="AK904" i="1"/>
  <c r="AK903" i="1"/>
  <c r="AK902" i="1"/>
  <c r="AK901" i="1"/>
  <c r="AK900" i="1"/>
  <c r="AK899" i="1"/>
  <c r="AK898" i="1"/>
  <c r="AK897" i="1"/>
  <c r="AK896" i="1"/>
  <c r="AK895" i="1"/>
  <c r="AK894" i="1"/>
  <c r="AK893" i="1"/>
  <c r="AK892" i="1"/>
  <c r="AK891" i="1"/>
  <c r="AK890" i="1"/>
  <c r="AK889" i="1"/>
  <c r="AK888" i="1"/>
  <c r="AK887" i="1"/>
  <c r="AK886" i="1"/>
  <c r="AK885" i="1"/>
  <c r="AK884" i="1"/>
  <c r="AK883" i="1"/>
  <c r="AK882" i="1"/>
  <c r="AK881" i="1"/>
  <c r="AK880" i="1"/>
  <c r="AK879" i="1"/>
  <c r="AK878" i="1"/>
  <c r="AK877" i="1"/>
  <c r="AK876" i="1"/>
  <c r="AK875" i="1"/>
  <c r="AK874" i="1"/>
  <c r="AK873" i="1"/>
  <c r="AK872" i="1"/>
  <c r="AK871" i="1"/>
  <c r="AK857" i="1"/>
  <c r="AK856" i="1"/>
  <c r="AK855" i="1"/>
  <c r="AK854" i="1"/>
  <c r="AK853" i="1"/>
  <c r="AK852" i="1"/>
  <c r="AK851" i="1"/>
  <c r="AK850" i="1"/>
  <c r="AK849" i="1"/>
  <c r="AK848" i="1"/>
  <c r="AK847" i="1"/>
  <c r="AK846" i="1"/>
  <c r="AK845" i="1"/>
  <c r="AK844" i="1"/>
  <c r="AK843" i="1"/>
  <c r="AK842" i="1"/>
  <c r="AK821" i="1"/>
  <c r="AK820" i="1"/>
  <c r="AK819" i="1"/>
  <c r="AK818" i="1"/>
  <c r="AK817" i="1"/>
  <c r="AK816" i="1"/>
  <c r="AK815" i="1"/>
  <c r="AK814" i="1"/>
  <c r="AK813" i="1"/>
  <c r="AK812" i="1"/>
  <c r="AK811" i="1"/>
  <c r="AK810" i="1"/>
  <c r="AK809" i="1"/>
  <c r="AK808" i="1"/>
  <c r="AK807" i="1"/>
  <c r="AK806" i="1"/>
  <c r="AK805" i="1"/>
  <c r="AK804" i="1"/>
  <c r="AK803" i="1"/>
  <c r="AK802" i="1"/>
  <c r="AK801" i="1"/>
  <c r="AK800" i="1"/>
  <c r="AK799" i="1"/>
  <c r="AK798" i="1"/>
  <c r="AK797" i="1"/>
  <c r="AK796" i="1"/>
  <c r="AK795" i="1"/>
  <c r="AK794" i="1"/>
  <c r="AK793" i="1"/>
  <c r="AK792" i="1"/>
  <c r="AK791" i="1"/>
  <c r="AK790" i="1"/>
  <c r="AK789" i="1"/>
  <c r="AK788" i="1"/>
  <c r="AK787" i="1"/>
  <c r="AK786" i="1"/>
  <c r="AK785" i="1"/>
  <c r="AK784" i="1"/>
  <c r="AK783" i="1"/>
  <c r="AK782" i="1"/>
  <c r="AK781" i="1"/>
  <c r="AK780" i="1"/>
  <c r="AK779" i="1"/>
  <c r="AK778" i="1"/>
  <c r="AK777" i="1"/>
  <c r="AK776" i="1"/>
  <c r="AK775" i="1"/>
  <c r="AK774" i="1"/>
  <c r="AK773" i="1"/>
  <c r="AK772" i="1"/>
  <c r="AK764" i="1"/>
  <c r="AK763" i="1"/>
  <c r="AK762" i="1"/>
  <c r="AK761" i="1"/>
  <c r="AK760" i="1"/>
  <c r="AK759" i="1"/>
  <c r="AK758" i="1"/>
  <c r="AK757" i="1"/>
  <c r="AK756" i="1"/>
  <c r="AK755" i="1"/>
  <c r="AK754" i="1"/>
  <c r="AK753" i="1"/>
  <c r="AK752" i="1"/>
  <c r="AK751" i="1"/>
  <c r="AK750" i="1"/>
  <c r="AK749" i="1"/>
  <c r="AK748" i="1"/>
  <c r="AK747" i="1"/>
  <c r="AK746" i="1"/>
  <c r="AK733" i="1"/>
  <c r="AK732" i="1"/>
  <c r="AK731" i="1"/>
  <c r="AK730" i="1"/>
  <c r="AK729" i="1"/>
  <c r="AK728" i="1"/>
  <c r="AK727" i="1"/>
  <c r="AK726" i="1"/>
  <c r="AK725" i="1"/>
  <c r="AK724" i="1"/>
  <c r="AK723" i="1"/>
  <c r="AK722" i="1"/>
  <c r="AK721" i="1"/>
  <c r="AK720" i="1"/>
  <c r="AK719" i="1"/>
  <c r="AK718" i="1"/>
  <c r="AK717" i="1"/>
  <c r="AK716" i="1"/>
  <c r="AK715" i="1"/>
  <c r="AK714" i="1"/>
  <c r="AK713" i="1"/>
  <c r="AK712" i="1"/>
  <c r="AK711" i="1"/>
  <c r="AK710" i="1"/>
  <c r="AK709" i="1"/>
  <c r="AK708" i="1"/>
  <c r="AK707" i="1"/>
  <c r="AK706" i="1"/>
  <c r="AK705" i="1"/>
  <c r="AK704" i="1"/>
  <c r="AK703" i="1"/>
  <c r="AK702" i="1"/>
  <c r="AK701" i="1"/>
  <c r="AK700" i="1"/>
  <c r="AK695" i="1"/>
  <c r="AK694" i="1"/>
  <c r="AK693" i="1"/>
  <c r="AK692" i="1"/>
  <c r="AK691" i="1"/>
  <c r="AK690" i="1"/>
  <c r="AK689" i="1"/>
  <c r="AK688" i="1"/>
  <c r="AK687" i="1"/>
  <c r="AK686" i="1"/>
  <c r="AK685" i="1"/>
  <c r="AK684" i="1"/>
  <c r="AK683" i="1"/>
  <c r="AK682" i="1"/>
  <c r="AK681" i="1"/>
  <c r="AK680" i="1"/>
  <c r="AK679" i="1"/>
  <c r="AK678" i="1"/>
  <c r="AK677" i="1"/>
  <c r="AK676" i="1"/>
  <c r="AK675" i="1"/>
  <c r="AK674" i="1"/>
  <c r="AK673" i="1"/>
  <c r="AK672" i="1"/>
  <c r="AK671" i="1"/>
  <c r="AK670" i="1"/>
  <c r="AK669" i="1"/>
  <c r="AK668" i="1"/>
  <c r="AK667" i="1"/>
  <c r="AK666" i="1"/>
  <c r="AK658" i="1"/>
  <c r="AK657" i="1"/>
  <c r="AK656" i="1"/>
  <c r="AK655" i="1"/>
  <c r="AK654" i="1"/>
  <c r="AK653" i="1"/>
  <c r="AK652" i="1"/>
  <c r="AK651" i="1"/>
  <c r="AK650" i="1"/>
  <c r="AK649" i="1"/>
  <c r="AK648" i="1"/>
  <c r="AK647" i="1"/>
  <c r="AK646" i="1"/>
  <c r="AK645" i="1"/>
  <c r="AK644" i="1"/>
  <c r="AK643" i="1"/>
  <c r="AK642" i="1"/>
  <c r="AK641" i="1"/>
  <c r="AK640" i="1"/>
  <c r="AK639" i="1"/>
  <c r="AK638" i="1"/>
  <c r="AK637" i="1"/>
  <c r="AK636" i="1"/>
  <c r="AK635" i="1"/>
  <c r="AK634" i="1"/>
  <c r="AK633" i="1"/>
  <c r="AK632" i="1"/>
  <c r="AK631" i="1"/>
  <c r="AK630" i="1"/>
  <c r="AK629" i="1"/>
  <c r="AK628" i="1"/>
  <c r="AK627" i="1"/>
  <c r="AK626" i="1"/>
  <c r="AK625" i="1"/>
  <c r="AK616" i="1"/>
  <c r="AK615" i="1"/>
  <c r="AK614" i="1"/>
  <c r="AK613" i="1"/>
  <c r="AK612" i="1"/>
  <c r="AK611" i="1"/>
  <c r="AK610" i="1"/>
  <c r="AK609" i="1"/>
  <c r="AK608" i="1"/>
  <c r="AK607" i="1"/>
  <c r="AK606" i="1"/>
  <c r="AK605" i="1"/>
  <c r="AK604" i="1"/>
  <c r="AK603" i="1"/>
  <c r="AK602" i="1"/>
  <c r="AK601" i="1"/>
  <c r="AK600" i="1"/>
  <c r="AK599" i="1"/>
  <c r="AK598" i="1"/>
  <c r="AK597" i="1"/>
  <c r="AK596" i="1"/>
  <c r="AK595" i="1"/>
  <c r="AK594" i="1"/>
  <c r="AK593" i="1"/>
  <c r="AK592" i="1"/>
  <c r="AK591" i="1"/>
  <c r="AK590" i="1"/>
  <c r="AK589" i="1"/>
  <c r="AK588" i="1"/>
  <c r="AK587" i="1"/>
  <c r="AK586" i="1"/>
  <c r="AK585" i="1"/>
  <c r="AK584" i="1"/>
  <c r="AK583" i="1"/>
  <c r="AK582" i="1"/>
  <c r="AK567" i="1"/>
  <c r="AK566" i="1"/>
  <c r="AK565" i="1"/>
  <c r="AK564" i="1"/>
  <c r="AK563" i="1"/>
  <c r="AK562" i="1"/>
  <c r="AK561" i="1"/>
  <c r="AK560" i="1"/>
  <c r="AK559" i="1"/>
  <c r="AK558" i="1"/>
  <c r="AK557" i="1"/>
  <c r="AK556" i="1"/>
  <c r="AK555" i="1"/>
  <c r="AK554" i="1"/>
  <c r="AK553" i="1"/>
  <c r="AK552" i="1"/>
  <c r="AK551" i="1"/>
  <c r="AK550" i="1"/>
  <c r="AK549" i="1"/>
  <c r="AK548" i="1"/>
  <c r="AK547" i="1"/>
  <c r="AK546" i="1"/>
  <c r="AK545" i="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18" i="1"/>
  <c r="AK417" i="1"/>
  <c r="AK416" i="1"/>
  <c r="AK415" i="1"/>
  <c r="AK414" i="1"/>
  <c r="AK413" i="1"/>
  <c r="AK412" i="1"/>
  <c r="AK411" i="1"/>
  <c r="AK410" i="1"/>
  <c r="AK409" i="1"/>
  <c r="AK408" i="1"/>
  <c r="AK407" i="1"/>
  <c r="AK406" i="1"/>
  <c r="AK405" i="1"/>
  <c r="AK404" i="1"/>
  <c r="AK403" i="1"/>
  <c r="AK402" i="1"/>
  <c r="AK401" i="1"/>
  <c r="AK400" i="1"/>
  <c r="AK399" i="1"/>
  <c r="AK398" i="1"/>
  <c r="AK397" i="1"/>
  <c r="AK396" i="1"/>
  <c r="AK395" i="1"/>
  <c r="AK394" i="1"/>
  <c r="AK393" i="1"/>
  <c r="AK392" i="1"/>
  <c r="AK388" i="1"/>
  <c r="AK387" i="1"/>
  <c r="AK386" i="1"/>
  <c r="AK385" i="1"/>
  <c r="AK384" i="1"/>
  <c r="AK383" i="1"/>
  <c r="AK382" i="1"/>
  <c r="AK381" i="1"/>
  <c r="AK380" i="1"/>
  <c r="AK379" i="1"/>
  <c r="AK378" i="1"/>
  <c r="AK377" i="1"/>
  <c r="AK376" i="1"/>
  <c r="AK375" i="1"/>
  <c r="AK374" i="1"/>
  <c r="AK373" i="1"/>
  <c r="AK372" i="1"/>
  <c r="AK371" i="1"/>
  <c r="AK370" i="1"/>
  <c r="AK352" i="1"/>
  <c r="AK351" i="1"/>
  <c r="AK350" i="1"/>
  <c r="AK34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7" i="1"/>
  <c r="AK186" i="1"/>
  <c r="AK185" i="1"/>
  <c r="AK184" i="1"/>
  <c r="AK183" i="1"/>
  <c r="AK182" i="1"/>
  <c r="AK181" i="1"/>
  <c r="AK180" i="1"/>
  <c r="AK179" i="1"/>
  <c r="AK178" i="1"/>
  <c r="AK177" i="1"/>
  <c r="AK176" i="1"/>
  <c r="AK175" i="1"/>
  <c r="AK174" i="1"/>
  <c r="AK173"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K50" i="1"/>
  <c r="AK49" i="1"/>
  <c r="AK48" i="1"/>
  <c r="AK47" i="1"/>
  <c r="AK46" i="1"/>
  <c r="AK45" i="1"/>
  <c r="AK44" i="1"/>
  <c r="AK4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K3" i="1"/>
  <c r="AK2" i="1"/>
  <c r="C3" i="10"/>
  <c r="H17" i="10" s="1"/>
  <c r="AI1571" i="1" l="1"/>
  <c r="AH1571" i="1"/>
  <c r="AG1571" i="1"/>
  <c r="AF1571" i="1"/>
  <c r="AE1571" i="1"/>
  <c r="AD1571" i="1"/>
  <c r="AC1571" i="1"/>
  <c r="AB1571" i="1"/>
  <c r="AA1571" i="1"/>
  <c r="AI1570" i="1"/>
  <c r="AH1570" i="1"/>
  <c r="AG1570" i="1"/>
  <c r="AF1570" i="1"/>
  <c r="AE1570" i="1"/>
  <c r="AD1570" i="1"/>
  <c r="AC1570" i="1"/>
  <c r="AB1570" i="1"/>
  <c r="AA1570" i="1"/>
  <c r="AI1569" i="1"/>
  <c r="AH1569" i="1"/>
  <c r="AG1569" i="1"/>
  <c r="AF1569" i="1"/>
  <c r="AE1569" i="1"/>
  <c r="AD1569" i="1"/>
  <c r="AC1569" i="1"/>
  <c r="AB1569" i="1"/>
  <c r="AA1569" i="1"/>
  <c r="AI1568" i="1"/>
  <c r="AH1568" i="1"/>
  <c r="AG1568" i="1"/>
  <c r="AF1568" i="1"/>
  <c r="AE1568" i="1"/>
  <c r="AD1568" i="1"/>
  <c r="AC1568" i="1"/>
  <c r="AB1568" i="1"/>
  <c r="AA1568" i="1"/>
  <c r="AI1567" i="1"/>
  <c r="AH1567" i="1"/>
  <c r="AG1567" i="1"/>
  <c r="AF1567" i="1"/>
  <c r="AE1567" i="1"/>
  <c r="AD1567" i="1"/>
  <c r="AC1567" i="1"/>
  <c r="AB1567" i="1"/>
  <c r="AA1567" i="1"/>
  <c r="AI1566" i="1"/>
  <c r="AH1566" i="1"/>
  <c r="AG1566" i="1"/>
  <c r="AF1566" i="1"/>
  <c r="AE1566" i="1"/>
  <c r="AD1566" i="1"/>
  <c r="AC1566" i="1"/>
  <c r="AB1566" i="1"/>
  <c r="AA1566" i="1"/>
  <c r="AI1565" i="1"/>
  <c r="AH1565" i="1"/>
  <c r="AG1565" i="1"/>
  <c r="AF1565" i="1"/>
  <c r="AE1565" i="1"/>
  <c r="AD1565" i="1"/>
  <c r="AC1565" i="1"/>
  <c r="AB1565" i="1"/>
  <c r="AA1565" i="1"/>
  <c r="AI1564" i="1"/>
  <c r="AH1564" i="1"/>
  <c r="AG1564" i="1"/>
  <c r="AF1564" i="1"/>
  <c r="AE1564" i="1"/>
  <c r="AD1564" i="1"/>
  <c r="AC1564" i="1"/>
  <c r="AB1564" i="1"/>
  <c r="AA1564" i="1"/>
  <c r="AI1563" i="1"/>
  <c r="AH1563" i="1"/>
  <c r="AG1563" i="1"/>
  <c r="AF1563" i="1"/>
  <c r="AE1563" i="1"/>
  <c r="AD1563" i="1"/>
  <c r="AC1563" i="1"/>
  <c r="AB1563" i="1"/>
  <c r="AA1563" i="1"/>
  <c r="AI1562" i="1"/>
  <c r="AH1562" i="1"/>
  <c r="AG1562" i="1"/>
  <c r="AF1562" i="1"/>
  <c r="AE1562" i="1"/>
  <c r="AD1562" i="1"/>
  <c r="AC1562" i="1"/>
  <c r="AB1562" i="1"/>
  <c r="AA1562" i="1"/>
  <c r="AI1561" i="1"/>
  <c r="AH1561" i="1"/>
  <c r="AG1561" i="1"/>
  <c r="AF1561" i="1"/>
  <c r="AE1561" i="1"/>
  <c r="AD1561" i="1"/>
  <c r="AC1561" i="1"/>
  <c r="AB1561" i="1"/>
  <c r="AA1561" i="1"/>
  <c r="AI1560" i="1"/>
  <c r="AH1560" i="1"/>
  <c r="AG1560" i="1"/>
  <c r="AF1560" i="1"/>
  <c r="AE1560" i="1"/>
  <c r="AD1560" i="1"/>
  <c r="AC1560" i="1"/>
  <c r="AB1560" i="1"/>
  <c r="AA1560" i="1"/>
  <c r="AI1559" i="1"/>
  <c r="AH1559" i="1"/>
  <c r="AG1559" i="1"/>
  <c r="AF1559" i="1"/>
  <c r="AE1559" i="1"/>
  <c r="AD1559" i="1"/>
  <c r="AC1559" i="1"/>
  <c r="AB1559" i="1"/>
  <c r="AA1559" i="1"/>
  <c r="AI1558" i="1"/>
  <c r="AH1558" i="1"/>
  <c r="AG1558" i="1"/>
  <c r="AF1558" i="1"/>
  <c r="AE1558" i="1"/>
  <c r="AD1558" i="1"/>
  <c r="AC1558" i="1"/>
  <c r="AB1558" i="1"/>
  <c r="AA1558" i="1"/>
  <c r="AI1557" i="1"/>
  <c r="AH1557" i="1"/>
  <c r="AG1557" i="1"/>
  <c r="AF1557" i="1"/>
  <c r="AE1557" i="1"/>
  <c r="AD1557" i="1"/>
  <c r="AC1557" i="1"/>
  <c r="AB1557" i="1"/>
  <c r="AA1557" i="1"/>
  <c r="AI1556" i="1"/>
  <c r="AH1556" i="1"/>
  <c r="AG1556" i="1"/>
  <c r="AF1556" i="1"/>
  <c r="AE1556" i="1"/>
  <c r="AD1556" i="1"/>
  <c r="AC1556" i="1"/>
  <c r="AB1556" i="1"/>
  <c r="AA1556" i="1"/>
  <c r="AI1555" i="1"/>
  <c r="AH1555" i="1"/>
  <c r="AG1555" i="1"/>
  <c r="AF1555" i="1"/>
  <c r="AE1555" i="1"/>
  <c r="AD1555" i="1"/>
  <c r="AC1555" i="1"/>
  <c r="AB1555" i="1"/>
  <c r="AA1555" i="1"/>
  <c r="AI1554" i="1"/>
  <c r="AH1554" i="1"/>
  <c r="AG1554" i="1"/>
  <c r="AF1554" i="1"/>
  <c r="AE1554" i="1"/>
  <c r="AD1554" i="1"/>
  <c r="AC1554" i="1"/>
  <c r="AB1554" i="1"/>
  <c r="AA1554" i="1"/>
  <c r="AI1553" i="1"/>
  <c r="AH1553" i="1"/>
  <c r="AG1553" i="1"/>
  <c r="AF1553" i="1"/>
  <c r="AE1553" i="1"/>
  <c r="AD1553" i="1"/>
  <c r="AC1553" i="1"/>
  <c r="AB1553" i="1"/>
  <c r="AA1553" i="1"/>
  <c r="AI1552" i="1"/>
  <c r="AH1552" i="1"/>
  <c r="AG1552" i="1"/>
  <c r="AF1552" i="1"/>
  <c r="AE1552" i="1"/>
  <c r="AD1552" i="1"/>
  <c r="AC1552" i="1"/>
  <c r="AB1552" i="1"/>
  <c r="AA1552" i="1"/>
  <c r="AI1551" i="1"/>
  <c r="AH1551" i="1"/>
  <c r="AG1551" i="1"/>
  <c r="AF1551" i="1"/>
  <c r="AE1551" i="1"/>
  <c r="AD1551" i="1"/>
  <c r="AC1551" i="1"/>
  <c r="AB1551" i="1"/>
  <c r="AA1551" i="1"/>
  <c r="AI1550" i="1"/>
  <c r="AH1550" i="1"/>
  <c r="AG1550" i="1"/>
  <c r="AF1550" i="1"/>
  <c r="AE1550" i="1"/>
  <c r="AD1550" i="1"/>
  <c r="AC1550" i="1"/>
  <c r="AB1550" i="1"/>
  <c r="AA1550" i="1"/>
  <c r="AI1549" i="1"/>
  <c r="AH1549" i="1"/>
  <c r="AG1549" i="1"/>
  <c r="AF1549" i="1"/>
  <c r="AE1549" i="1"/>
  <c r="AD1549" i="1"/>
  <c r="AC1549" i="1"/>
  <c r="AB1549" i="1"/>
  <c r="AA1549" i="1"/>
  <c r="AI1548" i="1"/>
  <c r="AH1548" i="1"/>
  <c r="AG1548" i="1"/>
  <c r="AF1548" i="1"/>
  <c r="AE1548" i="1"/>
  <c r="AD1548" i="1"/>
  <c r="AC1548" i="1"/>
  <c r="AB1548" i="1"/>
  <c r="AA1548" i="1"/>
  <c r="AI1547" i="1"/>
  <c r="AH1547" i="1"/>
  <c r="AG1547" i="1"/>
  <c r="AF1547" i="1"/>
  <c r="AE1547" i="1"/>
  <c r="AD1547" i="1"/>
  <c r="AC1547" i="1"/>
  <c r="AB1547" i="1"/>
  <c r="AA1547" i="1"/>
  <c r="AI1546" i="1"/>
  <c r="AH1546" i="1"/>
  <c r="AG1546" i="1"/>
  <c r="AF1546" i="1"/>
  <c r="AE1546" i="1"/>
  <c r="AD1546" i="1"/>
  <c r="AC1546" i="1"/>
  <c r="AB1546" i="1"/>
  <c r="AA1546" i="1"/>
  <c r="AI1545" i="1"/>
  <c r="AH1545" i="1"/>
  <c r="AG1545" i="1"/>
  <c r="AF1545" i="1"/>
  <c r="AE1545" i="1"/>
  <c r="AD1545" i="1"/>
  <c r="AC1545" i="1"/>
  <c r="AB1545" i="1"/>
  <c r="AA1545" i="1"/>
  <c r="AI1544" i="1"/>
  <c r="AH1544" i="1"/>
  <c r="AG1544" i="1"/>
  <c r="AF1544" i="1"/>
  <c r="AE1544" i="1"/>
  <c r="AD1544" i="1"/>
  <c r="AC1544" i="1"/>
  <c r="AB1544" i="1"/>
  <c r="AA1544" i="1"/>
  <c r="AI1543" i="1"/>
  <c r="AH1543" i="1"/>
  <c r="AG1543" i="1"/>
  <c r="AF1543" i="1"/>
  <c r="AE1543" i="1"/>
  <c r="AD1543" i="1"/>
  <c r="AC1543" i="1"/>
  <c r="AB1543" i="1"/>
  <c r="AA1543" i="1"/>
  <c r="AI1542" i="1"/>
  <c r="AH1542" i="1"/>
  <c r="AG1542" i="1"/>
  <c r="AF1542" i="1"/>
  <c r="AE1542" i="1"/>
  <c r="AD1542" i="1"/>
  <c r="AC1542" i="1"/>
  <c r="AB1542" i="1"/>
  <c r="AA1542" i="1"/>
  <c r="AI1541" i="1"/>
  <c r="AH1541" i="1"/>
  <c r="AG1541" i="1"/>
  <c r="AF1541" i="1"/>
  <c r="AE1541" i="1"/>
  <c r="AD1541" i="1"/>
  <c r="AC1541" i="1"/>
  <c r="AB1541" i="1"/>
  <c r="AA1541" i="1"/>
  <c r="AI1540" i="1"/>
  <c r="AH1540" i="1"/>
  <c r="AG1540" i="1"/>
  <c r="AF1540" i="1"/>
  <c r="AE1540" i="1"/>
  <c r="AD1540" i="1"/>
  <c r="AC1540" i="1"/>
  <c r="AB1540" i="1"/>
  <c r="AA1540" i="1"/>
  <c r="AI1539" i="1"/>
  <c r="AH1539" i="1"/>
  <c r="AG1539" i="1"/>
  <c r="AF1539" i="1"/>
  <c r="AE1539" i="1"/>
  <c r="AD1539" i="1"/>
  <c r="AC1539" i="1"/>
  <c r="AB1539" i="1"/>
  <c r="AA1539" i="1"/>
  <c r="AI1538" i="1"/>
  <c r="AH1538" i="1"/>
  <c r="AG1538" i="1"/>
  <c r="AF1538" i="1"/>
  <c r="AE1538" i="1"/>
  <c r="AD1538" i="1"/>
  <c r="AC1538" i="1"/>
  <c r="AB1538" i="1"/>
  <c r="AA1538" i="1"/>
  <c r="AI1537" i="1"/>
  <c r="AH1537" i="1"/>
  <c r="AG1537" i="1"/>
  <c r="AF1537" i="1"/>
  <c r="AE1537" i="1"/>
  <c r="AD1537" i="1"/>
  <c r="AC1537" i="1"/>
  <c r="AB1537" i="1"/>
  <c r="AA1537" i="1"/>
  <c r="AI1536" i="1"/>
  <c r="AH1536" i="1"/>
  <c r="AG1536" i="1"/>
  <c r="AF1536" i="1"/>
  <c r="AE1536" i="1"/>
  <c r="AD1536" i="1"/>
  <c r="AC1536" i="1"/>
  <c r="AB1536" i="1"/>
  <c r="AA1536" i="1"/>
  <c r="AI1463" i="1"/>
  <c r="AH1463" i="1"/>
  <c r="AG1463" i="1"/>
  <c r="AF1463" i="1"/>
  <c r="AE1463" i="1"/>
  <c r="AD1463" i="1"/>
  <c r="AC1463" i="1"/>
  <c r="AB1463" i="1"/>
  <c r="AA1463" i="1"/>
  <c r="AI1462" i="1"/>
  <c r="AH1462" i="1"/>
  <c r="AG1462" i="1"/>
  <c r="AF1462" i="1"/>
  <c r="AE1462" i="1"/>
  <c r="AD1462" i="1"/>
  <c r="AC1462" i="1"/>
  <c r="AB1462" i="1"/>
  <c r="AA1462" i="1"/>
  <c r="AI1461" i="1"/>
  <c r="AH1461" i="1"/>
  <c r="AG1461" i="1"/>
  <c r="AF1461" i="1"/>
  <c r="AE1461" i="1"/>
  <c r="AD1461" i="1"/>
  <c r="AC1461" i="1"/>
  <c r="AB1461" i="1"/>
  <c r="AA1461" i="1"/>
  <c r="AI1460" i="1"/>
  <c r="AH1460" i="1"/>
  <c r="AG1460" i="1"/>
  <c r="AF1460" i="1"/>
  <c r="AE1460" i="1"/>
  <c r="AD1460" i="1"/>
  <c r="AC1460" i="1"/>
  <c r="AB1460" i="1"/>
  <c r="AA1460" i="1"/>
  <c r="AI1459" i="1"/>
  <c r="AH1459" i="1"/>
  <c r="AG1459" i="1"/>
  <c r="AF1459" i="1"/>
  <c r="AE1459" i="1"/>
  <c r="AD1459" i="1"/>
  <c r="AC1459" i="1"/>
  <c r="AB1459" i="1"/>
  <c r="AA1459" i="1"/>
  <c r="AI1458" i="1"/>
  <c r="AH1458" i="1"/>
  <c r="AG1458" i="1"/>
  <c r="AF1458" i="1"/>
  <c r="AE1458" i="1"/>
  <c r="AD1458" i="1"/>
  <c r="AC1458" i="1"/>
  <c r="AB1458" i="1"/>
  <c r="AA1458" i="1"/>
  <c r="AI1457" i="1"/>
  <c r="AH1457" i="1"/>
  <c r="AG1457" i="1"/>
  <c r="AF1457" i="1"/>
  <c r="AE1457" i="1"/>
  <c r="AD1457" i="1"/>
  <c r="AC1457" i="1"/>
  <c r="AB1457" i="1"/>
  <c r="AA1457" i="1"/>
  <c r="AI1456" i="1"/>
  <c r="AH1456" i="1"/>
  <c r="AG1456" i="1"/>
  <c r="AF1456" i="1"/>
  <c r="AE1456" i="1"/>
  <c r="AD1456" i="1"/>
  <c r="AC1456" i="1"/>
  <c r="AB1456" i="1"/>
  <c r="AA1456" i="1"/>
  <c r="AI1455" i="1"/>
  <c r="AH1455" i="1"/>
  <c r="AG1455" i="1"/>
  <c r="AF1455" i="1"/>
  <c r="AE1455" i="1"/>
  <c r="AD1455" i="1"/>
  <c r="AC1455" i="1"/>
  <c r="AB1455" i="1"/>
  <c r="AA1455" i="1"/>
  <c r="AI1454" i="1"/>
  <c r="AH1454" i="1"/>
  <c r="AG1454" i="1"/>
  <c r="AF1454" i="1"/>
  <c r="AE1454" i="1"/>
  <c r="AD1454" i="1"/>
  <c r="AC1454" i="1"/>
  <c r="AB1454" i="1"/>
  <c r="AA1454" i="1"/>
  <c r="AI1453" i="1"/>
  <c r="AH1453" i="1"/>
  <c r="AG1453" i="1"/>
  <c r="AF1453" i="1"/>
  <c r="AE1453" i="1"/>
  <c r="AD1453" i="1"/>
  <c r="AC1453" i="1"/>
  <c r="AB1453" i="1"/>
  <c r="AA1453" i="1"/>
  <c r="AI1452" i="1"/>
  <c r="AH1452" i="1"/>
  <c r="AG1452" i="1"/>
  <c r="AF1452" i="1"/>
  <c r="AE1452" i="1"/>
  <c r="AD1452" i="1"/>
  <c r="AC1452" i="1"/>
  <c r="AB1452" i="1"/>
  <c r="AA1452" i="1"/>
  <c r="AI1451" i="1"/>
  <c r="AH1451" i="1"/>
  <c r="AG1451" i="1"/>
  <c r="AF1451" i="1"/>
  <c r="AE1451" i="1"/>
  <c r="AD1451" i="1"/>
  <c r="AC1451" i="1"/>
  <c r="AB1451" i="1"/>
  <c r="AA1451" i="1"/>
  <c r="AI1450" i="1"/>
  <c r="AH1450" i="1"/>
  <c r="AG1450" i="1"/>
  <c r="AF1450" i="1"/>
  <c r="AE1450" i="1"/>
  <c r="AD1450" i="1"/>
  <c r="AC1450" i="1"/>
  <c r="AB1450" i="1"/>
  <c r="AA1450" i="1"/>
  <c r="AI1449" i="1"/>
  <c r="AH1449" i="1"/>
  <c r="AG1449" i="1"/>
  <c r="AF1449" i="1"/>
  <c r="AE1449" i="1"/>
  <c r="AD1449" i="1"/>
  <c r="AC1449" i="1"/>
  <c r="AB1449" i="1"/>
  <c r="AA1449" i="1"/>
  <c r="AI1448" i="1"/>
  <c r="AH1448" i="1"/>
  <c r="AG1448" i="1"/>
  <c r="AF1448" i="1"/>
  <c r="AE1448" i="1"/>
  <c r="AD1448" i="1"/>
  <c r="AC1448" i="1"/>
  <c r="AB1448" i="1"/>
  <c r="AA1448" i="1"/>
  <c r="AI1447" i="1"/>
  <c r="AH1447" i="1"/>
  <c r="AG1447" i="1"/>
  <c r="AF1447" i="1"/>
  <c r="AE1447" i="1"/>
  <c r="AD1447" i="1"/>
  <c r="AC1447" i="1"/>
  <c r="AB1447" i="1"/>
  <c r="AA1447" i="1"/>
  <c r="AI1446" i="1"/>
  <c r="AH1446" i="1"/>
  <c r="AG1446" i="1"/>
  <c r="AF1446" i="1"/>
  <c r="AE1446" i="1"/>
  <c r="AD1446" i="1"/>
  <c r="AC1446" i="1"/>
  <c r="AB1446" i="1"/>
  <c r="AA1446" i="1"/>
  <c r="AI1445" i="1"/>
  <c r="AH1445" i="1"/>
  <c r="AG1445" i="1"/>
  <c r="AF1445" i="1"/>
  <c r="AE1445" i="1"/>
  <c r="AD1445" i="1"/>
  <c r="AC1445" i="1"/>
  <c r="AB1445" i="1"/>
  <c r="AA1445" i="1"/>
  <c r="AI1444" i="1"/>
  <c r="AH1444" i="1"/>
  <c r="AG1444" i="1"/>
  <c r="AF1444" i="1"/>
  <c r="AE1444" i="1"/>
  <c r="AD1444" i="1"/>
  <c r="AC1444" i="1"/>
  <c r="AB1444" i="1"/>
  <c r="AA1444" i="1"/>
  <c r="AI1443" i="1"/>
  <c r="AH1443" i="1"/>
  <c r="AG1443" i="1"/>
  <c r="AF1443" i="1"/>
  <c r="AE1443" i="1"/>
  <c r="AD1443" i="1"/>
  <c r="AC1443" i="1"/>
  <c r="AB1443" i="1"/>
  <c r="AA1443" i="1"/>
  <c r="AI1442" i="1"/>
  <c r="AH1442" i="1"/>
  <c r="AG1442" i="1"/>
  <c r="AF1442" i="1"/>
  <c r="AE1442" i="1"/>
  <c r="AD1442" i="1"/>
  <c r="AC1442" i="1"/>
  <c r="AB1442" i="1"/>
  <c r="AA1442" i="1"/>
  <c r="AI1441" i="1"/>
  <c r="AH1441" i="1"/>
  <c r="AG1441" i="1"/>
  <c r="AF1441" i="1"/>
  <c r="AE1441" i="1"/>
  <c r="AD1441" i="1"/>
  <c r="AC1441" i="1"/>
  <c r="AB1441" i="1"/>
  <c r="AA1441" i="1"/>
  <c r="AI1440" i="1"/>
  <c r="AH1440" i="1"/>
  <c r="AG1440" i="1"/>
  <c r="AF1440" i="1"/>
  <c r="AE1440" i="1"/>
  <c r="AD1440" i="1"/>
  <c r="AC1440" i="1"/>
  <c r="AB1440" i="1"/>
  <c r="AA1440" i="1"/>
  <c r="AI1386" i="1"/>
  <c r="AH1386" i="1"/>
  <c r="AG1386" i="1"/>
  <c r="AF1386" i="1"/>
  <c r="AE1386" i="1"/>
  <c r="AD1386" i="1"/>
  <c r="AC1386" i="1"/>
  <c r="AB1386" i="1"/>
  <c r="AA1386" i="1"/>
  <c r="AI1385" i="1"/>
  <c r="AH1385" i="1"/>
  <c r="AG1385" i="1"/>
  <c r="AF1385" i="1"/>
  <c r="AE1385" i="1"/>
  <c r="AD1385" i="1"/>
  <c r="AC1385" i="1"/>
  <c r="AB1385" i="1"/>
  <c r="AA1385" i="1"/>
  <c r="AI1384" i="1"/>
  <c r="AH1384" i="1"/>
  <c r="AG1384" i="1"/>
  <c r="AF1384" i="1"/>
  <c r="AE1384" i="1"/>
  <c r="AD1384" i="1"/>
  <c r="AC1384" i="1"/>
  <c r="AB1384" i="1"/>
  <c r="AA1384" i="1"/>
  <c r="AI1383" i="1"/>
  <c r="AH1383" i="1"/>
  <c r="AG1383" i="1"/>
  <c r="AF1383" i="1"/>
  <c r="AE1383" i="1"/>
  <c r="AD1383" i="1"/>
  <c r="AC1383" i="1"/>
  <c r="AB1383" i="1"/>
  <c r="AA1383" i="1"/>
  <c r="AI1382" i="1"/>
  <c r="AH1382" i="1"/>
  <c r="AG1382" i="1"/>
  <c r="AF1382" i="1"/>
  <c r="AE1382" i="1"/>
  <c r="AD1382" i="1"/>
  <c r="AC1382" i="1"/>
  <c r="AB1382" i="1"/>
  <c r="AA1382" i="1"/>
  <c r="AI1381" i="1"/>
  <c r="AH1381" i="1"/>
  <c r="AG1381" i="1"/>
  <c r="AF1381" i="1"/>
  <c r="AE1381" i="1"/>
  <c r="AD1381" i="1"/>
  <c r="AC1381" i="1"/>
  <c r="AB1381" i="1"/>
  <c r="AA1381" i="1"/>
  <c r="AI1380" i="1"/>
  <c r="AH1380" i="1"/>
  <c r="AG1380" i="1"/>
  <c r="AF1380" i="1"/>
  <c r="AE1380" i="1"/>
  <c r="AD1380" i="1"/>
  <c r="AC1380" i="1"/>
  <c r="AB1380" i="1"/>
  <c r="AA1380" i="1"/>
  <c r="AI1379" i="1"/>
  <c r="AH1379" i="1"/>
  <c r="AG1379" i="1"/>
  <c r="AF1379" i="1"/>
  <c r="AE1379" i="1"/>
  <c r="AD1379" i="1"/>
  <c r="AC1379" i="1"/>
  <c r="AB1379" i="1"/>
  <c r="AA1379" i="1"/>
  <c r="AI1378" i="1"/>
  <c r="AH1378" i="1"/>
  <c r="AG1378" i="1"/>
  <c r="AF1378" i="1"/>
  <c r="AE1378" i="1"/>
  <c r="AD1378" i="1"/>
  <c r="AC1378" i="1"/>
  <c r="AB1378" i="1"/>
  <c r="AA1378" i="1"/>
  <c r="AI1377" i="1"/>
  <c r="AH1377" i="1"/>
  <c r="AG1377" i="1"/>
  <c r="AF1377" i="1"/>
  <c r="AE1377" i="1"/>
  <c r="AD1377" i="1"/>
  <c r="AC1377" i="1"/>
  <c r="AB1377" i="1"/>
  <c r="AA1377" i="1"/>
  <c r="AI1376" i="1"/>
  <c r="AH1376" i="1"/>
  <c r="AG1376" i="1"/>
  <c r="AF1376" i="1"/>
  <c r="AE1376" i="1"/>
  <c r="AD1376" i="1"/>
  <c r="AC1376" i="1"/>
  <c r="AB1376" i="1"/>
  <c r="AA1376" i="1"/>
  <c r="AI1375" i="1"/>
  <c r="AH1375" i="1"/>
  <c r="AG1375" i="1"/>
  <c r="AF1375" i="1"/>
  <c r="AE1375" i="1"/>
  <c r="AD1375" i="1"/>
  <c r="AC1375" i="1"/>
  <c r="AB1375" i="1"/>
  <c r="AA1375" i="1"/>
  <c r="AI1374" i="1"/>
  <c r="AH1374" i="1"/>
  <c r="AG1374" i="1"/>
  <c r="AF1374" i="1"/>
  <c r="AE1374" i="1"/>
  <c r="AD1374" i="1"/>
  <c r="AC1374" i="1"/>
  <c r="AB1374" i="1"/>
  <c r="AA1374" i="1"/>
  <c r="AI1373" i="1"/>
  <c r="AH1373" i="1"/>
  <c r="AG1373" i="1"/>
  <c r="AF1373" i="1"/>
  <c r="AE1373" i="1"/>
  <c r="AD1373" i="1"/>
  <c r="AC1373" i="1"/>
  <c r="AB1373" i="1"/>
  <c r="AA1373" i="1"/>
  <c r="AI1372" i="1"/>
  <c r="AH1372" i="1"/>
  <c r="AG1372" i="1"/>
  <c r="AF1372" i="1"/>
  <c r="AE1372" i="1"/>
  <c r="AD1372" i="1"/>
  <c r="AC1372" i="1"/>
  <c r="AB1372" i="1"/>
  <c r="AA1372" i="1"/>
  <c r="AI1371" i="1"/>
  <c r="AH1371" i="1"/>
  <c r="AG1371" i="1"/>
  <c r="AF1371" i="1"/>
  <c r="AE1371" i="1"/>
  <c r="AD1371" i="1"/>
  <c r="AC1371" i="1"/>
  <c r="AB1371" i="1"/>
  <c r="AA1371" i="1"/>
  <c r="AI1298" i="1"/>
  <c r="AH1298" i="1"/>
  <c r="AG1298" i="1"/>
  <c r="AF1298" i="1"/>
  <c r="AE1298" i="1"/>
  <c r="AD1298" i="1"/>
  <c r="AC1298" i="1"/>
  <c r="AB1298" i="1"/>
  <c r="AA1298" i="1"/>
  <c r="AI1297" i="1"/>
  <c r="AH1297" i="1"/>
  <c r="AG1297" i="1"/>
  <c r="AF1297" i="1"/>
  <c r="AE1297" i="1"/>
  <c r="AD1297" i="1"/>
  <c r="AC1297" i="1"/>
  <c r="AB1297" i="1"/>
  <c r="AA1297" i="1"/>
  <c r="AI1296" i="1"/>
  <c r="AH1296" i="1"/>
  <c r="AG1296" i="1"/>
  <c r="AF1296" i="1"/>
  <c r="AE1296" i="1"/>
  <c r="AD1296" i="1"/>
  <c r="AC1296" i="1"/>
  <c r="AB1296" i="1"/>
  <c r="AA1296" i="1"/>
  <c r="AI1295" i="1"/>
  <c r="AH1295" i="1"/>
  <c r="AG1295" i="1"/>
  <c r="AF1295" i="1"/>
  <c r="AE1295" i="1"/>
  <c r="AD1295" i="1"/>
  <c r="AC1295" i="1"/>
  <c r="AB1295" i="1"/>
  <c r="AA1295" i="1"/>
  <c r="AI1294" i="1"/>
  <c r="AH1294" i="1"/>
  <c r="AG1294" i="1"/>
  <c r="AF1294" i="1"/>
  <c r="AE1294" i="1"/>
  <c r="AD1294" i="1"/>
  <c r="AC1294" i="1"/>
  <c r="AB1294" i="1"/>
  <c r="AA1294" i="1"/>
  <c r="AI1293" i="1"/>
  <c r="AH1293" i="1"/>
  <c r="AG1293" i="1"/>
  <c r="AF1293" i="1"/>
  <c r="AE1293" i="1"/>
  <c r="AD1293" i="1"/>
  <c r="AC1293" i="1"/>
  <c r="AB1293" i="1"/>
  <c r="AA1293" i="1"/>
  <c r="AI1292" i="1"/>
  <c r="AH1292" i="1"/>
  <c r="AG1292" i="1"/>
  <c r="AF1292" i="1"/>
  <c r="AE1292" i="1"/>
  <c r="AD1292" i="1"/>
  <c r="AC1292" i="1"/>
  <c r="AB1292" i="1"/>
  <c r="AA1292" i="1"/>
  <c r="AI1291" i="1"/>
  <c r="AH1291" i="1"/>
  <c r="AG1291" i="1"/>
  <c r="AF1291" i="1"/>
  <c r="AE1291" i="1"/>
  <c r="AD1291" i="1"/>
  <c r="AC1291" i="1"/>
  <c r="AB1291" i="1"/>
  <c r="AA1291" i="1"/>
  <c r="AI1290" i="1"/>
  <c r="AH1290" i="1"/>
  <c r="AG1290" i="1"/>
  <c r="AF1290" i="1"/>
  <c r="AE1290" i="1"/>
  <c r="AD1290" i="1"/>
  <c r="AC1290" i="1"/>
  <c r="AB1290" i="1"/>
  <c r="AA1290" i="1"/>
  <c r="AI1289" i="1"/>
  <c r="AH1289" i="1"/>
  <c r="AG1289" i="1"/>
  <c r="AF1289" i="1"/>
  <c r="AE1289" i="1"/>
  <c r="AD1289" i="1"/>
  <c r="AC1289" i="1"/>
  <c r="AB1289" i="1"/>
  <c r="AA1289" i="1"/>
  <c r="AI1288" i="1"/>
  <c r="AH1288" i="1"/>
  <c r="AG1288" i="1"/>
  <c r="AF1288" i="1"/>
  <c r="AE1288" i="1"/>
  <c r="AD1288" i="1"/>
  <c r="AC1288" i="1"/>
  <c r="AB1288" i="1"/>
  <c r="AA1288" i="1"/>
  <c r="AI1287" i="1"/>
  <c r="AH1287" i="1"/>
  <c r="AG1287" i="1"/>
  <c r="AF1287" i="1"/>
  <c r="AE1287" i="1"/>
  <c r="AD1287" i="1"/>
  <c r="AC1287" i="1"/>
  <c r="AB1287" i="1"/>
  <c r="AA1287" i="1"/>
  <c r="AI1286" i="1"/>
  <c r="AH1286" i="1"/>
  <c r="AG1286" i="1"/>
  <c r="AF1286" i="1"/>
  <c r="AE1286" i="1"/>
  <c r="AD1286" i="1"/>
  <c r="AC1286" i="1"/>
  <c r="AB1286" i="1"/>
  <c r="AA1286" i="1"/>
  <c r="AI1285" i="1"/>
  <c r="AH1285" i="1"/>
  <c r="AG1285" i="1"/>
  <c r="AF1285" i="1"/>
  <c r="AE1285" i="1"/>
  <c r="AD1285" i="1"/>
  <c r="AC1285" i="1"/>
  <c r="AB1285" i="1"/>
  <c r="AA1285" i="1"/>
  <c r="AI1284" i="1"/>
  <c r="AH1284" i="1"/>
  <c r="AG1284" i="1"/>
  <c r="AF1284" i="1"/>
  <c r="AE1284" i="1"/>
  <c r="AD1284" i="1"/>
  <c r="AC1284" i="1"/>
  <c r="AB1284" i="1"/>
  <c r="AA1284" i="1"/>
  <c r="AI1283" i="1"/>
  <c r="AH1283" i="1"/>
  <c r="AG1283" i="1"/>
  <c r="AF1283" i="1"/>
  <c r="AE1283" i="1"/>
  <c r="AD1283" i="1"/>
  <c r="AC1283" i="1"/>
  <c r="AB1283" i="1"/>
  <c r="AA1283" i="1"/>
  <c r="AI1269" i="1"/>
  <c r="AH1269" i="1"/>
  <c r="AG1269" i="1"/>
  <c r="AF1269" i="1"/>
  <c r="AE1269" i="1"/>
  <c r="AD1269" i="1"/>
  <c r="AC1269" i="1"/>
  <c r="AB1269" i="1"/>
  <c r="AA1269" i="1"/>
  <c r="AI1268" i="1"/>
  <c r="AH1268" i="1"/>
  <c r="AG1268" i="1"/>
  <c r="AF1268" i="1"/>
  <c r="AE1268" i="1"/>
  <c r="AD1268" i="1"/>
  <c r="AC1268" i="1"/>
  <c r="AB1268" i="1"/>
  <c r="AA1268" i="1"/>
  <c r="AI1267" i="1"/>
  <c r="AH1267" i="1"/>
  <c r="AG1267" i="1"/>
  <c r="AF1267" i="1"/>
  <c r="AE1267" i="1"/>
  <c r="AD1267" i="1"/>
  <c r="AC1267" i="1"/>
  <c r="AB1267" i="1"/>
  <c r="AA1267" i="1"/>
  <c r="AI1266" i="1"/>
  <c r="AH1266" i="1"/>
  <c r="AG1266" i="1"/>
  <c r="AF1266" i="1"/>
  <c r="AE1266" i="1"/>
  <c r="AD1266" i="1"/>
  <c r="AC1266" i="1"/>
  <c r="AB1266" i="1"/>
  <c r="AA1266" i="1"/>
  <c r="AI1265" i="1"/>
  <c r="AH1265" i="1"/>
  <c r="AG1265" i="1"/>
  <c r="AF1265" i="1"/>
  <c r="AE1265" i="1"/>
  <c r="AD1265" i="1"/>
  <c r="AC1265" i="1"/>
  <c r="AB1265" i="1"/>
  <c r="AA1265" i="1"/>
  <c r="AI1264" i="1"/>
  <c r="AH1264" i="1"/>
  <c r="AG1264" i="1"/>
  <c r="AF1264" i="1"/>
  <c r="AE1264" i="1"/>
  <c r="AD1264" i="1"/>
  <c r="AC1264" i="1"/>
  <c r="AB1264" i="1"/>
  <c r="AA1264" i="1"/>
  <c r="AI1263" i="1"/>
  <c r="AH1263" i="1"/>
  <c r="AG1263" i="1"/>
  <c r="AF1263" i="1"/>
  <c r="AE1263" i="1"/>
  <c r="AD1263" i="1"/>
  <c r="AC1263" i="1"/>
  <c r="AB1263" i="1"/>
  <c r="AA1263" i="1"/>
  <c r="AI1262" i="1"/>
  <c r="AH1262" i="1"/>
  <c r="AG1262" i="1"/>
  <c r="AF1262" i="1"/>
  <c r="AE1262" i="1"/>
  <c r="AD1262" i="1"/>
  <c r="AC1262" i="1"/>
  <c r="AB1262" i="1"/>
  <c r="AA1262" i="1"/>
  <c r="AI1261" i="1"/>
  <c r="AH1261" i="1"/>
  <c r="AG1261" i="1"/>
  <c r="AF1261" i="1"/>
  <c r="AE1261" i="1"/>
  <c r="AD1261" i="1"/>
  <c r="AC1261" i="1"/>
  <c r="AB1261" i="1"/>
  <c r="AA1261" i="1"/>
  <c r="AI1260" i="1"/>
  <c r="AH1260" i="1"/>
  <c r="AG1260" i="1"/>
  <c r="AF1260" i="1"/>
  <c r="AE1260" i="1"/>
  <c r="AD1260" i="1"/>
  <c r="AC1260" i="1"/>
  <c r="AB1260" i="1"/>
  <c r="AA1260" i="1"/>
  <c r="AI1259" i="1"/>
  <c r="AH1259" i="1"/>
  <c r="AG1259" i="1"/>
  <c r="AF1259" i="1"/>
  <c r="AE1259" i="1"/>
  <c r="AD1259" i="1"/>
  <c r="AC1259" i="1"/>
  <c r="AB1259" i="1"/>
  <c r="AA1259" i="1"/>
  <c r="AI1258" i="1"/>
  <c r="AH1258" i="1"/>
  <c r="AG1258" i="1"/>
  <c r="AF1258" i="1"/>
  <c r="AE1258" i="1"/>
  <c r="AD1258" i="1"/>
  <c r="AC1258" i="1"/>
  <c r="AB1258" i="1"/>
  <c r="AA1258" i="1"/>
  <c r="AI1257" i="1"/>
  <c r="AH1257" i="1"/>
  <c r="AG1257" i="1"/>
  <c r="AF1257" i="1"/>
  <c r="AE1257" i="1"/>
  <c r="AD1257" i="1"/>
  <c r="AC1257" i="1"/>
  <c r="AB1257" i="1"/>
  <c r="AA1257" i="1"/>
  <c r="AI1256" i="1"/>
  <c r="AH1256" i="1"/>
  <c r="AG1256" i="1"/>
  <c r="AF1256" i="1"/>
  <c r="AE1256" i="1"/>
  <c r="AD1256" i="1"/>
  <c r="AC1256" i="1"/>
  <c r="AB1256" i="1"/>
  <c r="AA1256" i="1"/>
  <c r="AI1255" i="1"/>
  <c r="AH1255" i="1"/>
  <c r="AG1255" i="1"/>
  <c r="AF1255" i="1"/>
  <c r="AE1255" i="1"/>
  <c r="AD1255" i="1"/>
  <c r="AC1255" i="1"/>
  <c r="AB1255" i="1"/>
  <c r="AA1255" i="1"/>
  <c r="AI1254" i="1"/>
  <c r="AH1254" i="1"/>
  <c r="AG1254" i="1"/>
  <c r="AF1254" i="1"/>
  <c r="AE1254" i="1"/>
  <c r="AD1254" i="1"/>
  <c r="AC1254" i="1"/>
  <c r="AB1254" i="1"/>
  <c r="AA1254" i="1"/>
  <c r="AI1253" i="1"/>
  <c r="AH1253" i="1"/>
  <c r="AG1253" i="1"/>
  <c r="AF1253" i="1"/>
  <c r="AE1253" i="1"/>
  <c r="AD1253" i="1"/>
  <c r="AC1253" i="1"/>
  <c r="AB1253" i="1"/>
  <c r="AA1253" i="1"/>
  <c r="AI1252" i="1"/>
  <c r="AH1252" i="1"/>
  <c r="AG1252" i="1"/>
  <c r="AF1252" i="1"/>
  <c r="AE1252" i="1"/>
  <c r="AD1252" i="1"/>
  <c r="AC1252" i="1"/>
  <c r="AB1252" i="1"/>
  <c r="AA1252" i="1"/>
  <c r="AI1235" i="1"/>
  <c r="AH1235" i="1"/>
  <c r="AG1235" i="1"/>
  <c r="AF1235" i="1"/>
  <c r="AE1235" i="1"/>
  <c r="AD1235" i="1"/>
  <c r="AC1235" i="1"/>
  <c r="AB1235" i="1"/>
  <c r="AA1235" i="1"/>
  <c r="AI1234" i="1"/>
  <c r="AH1234" i="1"/>
  <c r="AG1234" i="1"/>
  <c r="AF1234" i="1"/>
  <c r="AE1234" i="1"/>
  <c r="AD1234" i="1"/>
  <c r="AC1234" i="1"/>
  <c r="AB1234" i="1"/>
  <c r="AA1234" i="1"/>
  <c r="AI1233" i="1"/>
  <c r="AH1233" i="1"/>
  <c r="AG1233" i="1"/>
  <c r="AF1233" i="1"/>
  <c r="AE1233" i="1"/>
  <c r="AD1233" i="1"/>
  <c r="AC1233" i="1"/>
  <c r="AB1233" i="1"/>
  <c r="AA1233" i="1"/>
  <c r="AI1232" i="1"/>
  <c r="AH1232" i="1"/>
  <c r="AG1232" i="1"/>
  <c r="AF1232" i="1"/>
  <c r="AE1232" i="1"/>
  <c r="AD1232" i="1"/>
  <c r="AC1232" i="1"/>
  <c r="AB1232" i="1"/>
  <c r="AA1232" i="1"/>
  <c r="AI1231" i="1"/>
  <c r="AH1231" i="1"/>
  <c r="AG1231" i="1"/>
  <c r="AF1231" i="1"/>
  <c r="AE1231" i="1"/>
  <c r="AD1231" i="1"/>
  <c r="AC1231" i="1"/>
  <c r="AB1231" i="1"/>
  <c r="AA1231" i="1"/>
  <c r="AI1230" i="1"/>
  <c r="AH1230" i="1"/>
  <c r="AG1230" i="1"/>
  <c r="AF1230" i="1"/>
  <c r="AE1230" i="1"/>
  <c r="AD1230" i="1"/>
  <c r="AC1230" i="1"/>
  <c r="AB1230" i="1"/>
  <c r="AA1230" i="1"/>
  <c r="AI1229" i="1"/>
  <c r="AH1229" i="1"/>
  <c r="AG1229" i="1"/>
  <c r="AF1229" i="1"/>
  <c r="AE1229" i="1"/>
  <c r="AD1229" i="1"/>
  <c r="AC1229" i="1"/>
  <c r="AB1229" i="1"/>
  <c r="AA1229" i="1"/>
  <c r="AI1228" i="1"/>
  <c r="AH1228" i="1"/>
  <c r="AG1228" i="1"/>
  <c r="AF1228" i="1"/>
  <c r="AE1228" i="1"/>
  <c r="AD1228" i="1"/>
  <c r="AC1228" i="1"/>
  <c r="AB1228" i="1"/>
  <c r="AA1228" i="1"/>
  <c r="AI1227" i="1"/>
  <c r="AH1227" i="1"/>
  <c r="AG1227" i="1"/>
  <c r="AF1227" i="1"/>
  <c r="AE1227" i="1"/>
  <c r="AD1227" i="1"/>
  <c r="AC1227" i="1"/>
  <c r="AB1227" i="1"/>
  <c r="AA1227" i="1"/>
  <c r="AI1226" i="1"/>
  <c r="AH1226" i="1"/>
  <c r="AG1226" i="1"/>
  <c r="AF1226" i="1"/>
  <c r="AE1226" i="1"/>
  <c r="AD1226" i="1"/>
  <c r="AC1226" i="1"/>
  <c r="AB1226" i="1"/>
  <c r="AA1226" i="1"/>
  <c r="AI1225" i="1"/>
  <c r="AH1225" i="1"/>
  <c r="AG1225" i="1"/>
  <c r="AF1225" i="1"/>
  <c r="AE1225" i="1"/>
  <c r="AD1225" i="1"/>
  <c r="AC1225" i="1"/>
  <c r="AB1225" i="1"/>
  <c r="AA1225" i="1"/>
  <c r="AI1224" i="1"/>
  <c r="AH1224" i="1"/>
  <c r="AG1224" i="1"/>
  <c r="AF1224" i="1"/>
  <c r="AE1224" i="1"/>
  <c r="AD1224" i="1"/>
  <c r="AC1224" i="1"/>
  <c r="AB1224" i="1"/>
  <c r="AA1224" i="1"/>
  <c r="AI1223" i="1"/>
  <c r="AH1223" i="1"/>
  <c r="AG1223" i="1"/>
  <c r="AF1223" i="1"/>
  <c r="AE1223" i="1"/>
  <c r="AD1223" i="1"/>
  <c r="AC1223" i="1"/>
  <c r="AB1223" i="1"/>
  <c r="AA1223" i="1"/>
  <c r="AI1222" i="1"/>
  <c r="AH1222" i="1"/>
  <c r="AG1222" i="1"/>
  <c r="AF1222" i="1"/>
  <c r="AE1222" i="1"/>
  <c r="AD1222" i="1"/>
  <c r="AC1222" i="1"/>
  <c r="AB1222" i="1"/>
  <c r="AA1222" i="1"/>
  <c r="AI1221" i="1"/>
  <c r="AH1221" i="1"/>
  <c r="AG1221" i="1"/>
  <c r="AF1221" i="1"/>
  <c r="AE1221" i="1"/>
  <c r="AD1221" i="1"/>
  <c r="AC1221" i="1"/>
  <c r="AB1221" i="1"/>
  <c r="AA1221" i="1"/>
  <c r="AI1220" i="1"/>
  <c r="AH1220" i="1"/>
  <c r="AG1220" i="1"/>
  <c r="AF1220" i="1"/>
  <c r="AE1220" i="1"/>
  <c r="AD1220" i="1"/>
  <c r="AC1220" i="1"/>
  <c r="AB1220" i="1"/>
  <c r="AA1220" i="1"/>
  <c r="AI1219" i="1"/>
  <c r="AH1219" i="1"/>
  <c r="AG1219" i="1"/>
  <c r="AF1219" i="1"/>
  <c r="AE1219" i="1"/>
  <c r="AD1219" i="1"/>
  <c r="AC1219" i="1"/>
  <c r="AB1219" i="1"/>
  <c r="AA1219" i="1"/>
  <c r="AI1218" i="1"/>
  <c r="AH1218" i="1"/>
  <c r="AG1218" i="1"/>
  <c r="AF1218" i="1"/>
  <c r="AE1218" i="1"/>
  <c r="AD1218" i="1"/>
  <c r="AC1218" i="1"/>
  <c r="AB1218" i="1"/>
  <c r="AA1218" i="1"/>
  <c r="AI1217" i="1"/>
  <c r="AH1217" i="1"/>
  <c r="AG1217" i="1"/>
  <c r="AF1217" i="1"/>
  <c r="AE1217" i="1"/>
  <c r="AD1217" i="1"/>
  <c r="AC1217" i="1"/>
  <c r="AB1217" i="1"/>
  <c r="AA1217" i="1"/>
  <c r="AI1216" i="1"/>
  <c r="AH1216" i="1"/>
  <c r="AG1216" i="1"/>
  <c r="AF1216" i="1"/>
  <c r="AE1216" i="1"/>
  <c r="AD1216" i="1"/>
  <c r="AC1216" i="1"/>
  <c r="AB1216" i="1"/>
  <c r="AA1216" i="1"/>
  <c r="AI1215" i="1"/>
  <c r="AH1215" i="1"/>
  <c r="AG1215" i="1"/>
  <c r="AF1215" i="1"/>
  <c r="AE1215" i="1"/>
  <c r="AD1215" i="1"/>
  <c r="AC1215" i="1"/>
  <c r="AB1215" i="1"/>
  <c r="AA1215" i="1"/>
  <c r="AI1214" i="1"/>
  <c r="AH1214" i="1"/>
  <c r="AG1214" i="1"/>
  <c r="AF1214" i="1"/>
  <c r="AE1214" i="1"/>
  <c r="AD1214" i="1"/>
  <c r="AC1214" i="1"/>
  <c r="AB1214" i="1"/>
  <c r="AA1214" i="1"/>
  <c r="AI1213" i="1"/>
  <c r="AH1213" i="1"/>
  <c r="AG1213" i="1"/>
  <c r="AF1213" i="1"/>
  <c r="AE1213" i="1"/>
  <c r="AD1213" i="1"/>
  <c r="AC1213" i="1"/>
  <c r="AB1213" i="1"/>
  <c r="AA1213" i="1"/>
  <c r="AI1212" i="1"/>
  <c r="AH1212" i="1"/>
  <c r="AG1212" i="1"/>
  <c r="AF1212" i="1"/>
  <c r="AE1212" i="1"/>
  <c r="AD1212" i="1"/>
  <c r="AC1212" i="1"/>
  <c r="AB1212" i="1"/>
  <c r="AA1212" i="1"/>
  <c r="AI1211" i="1"/>
  <c r="AH1211" i="1"/>
  <c r="AG1211" i="1"/>
  <c r="AF1211" i="1"/>
  <c r="AE1211" i="1"/>
  <c r="AD1211" i="1"/>
  <c r="AC1211" i="1"/>
  <c r="AB1211" i="1"/>
  <c r="AA1211" i="1"/>
  <c r="AI1210" i="1"/>
  <c r="AH1210" i="1"/>
  <c r="AG1210" i="1"/>
  <c r="AF1210" i="1"/>
  <c r="AE1210" i="1"/>
  <c r="AD1210" i="1"/>
  <c r="AC1210" i="1"/>
  <c r="AB1210" i="1"/>
  <c r="AA1210" i="1"/>
  <c r="AI1179" i="1"/>
  <c r="AH1179" i="1"/>
  <c r="AG1179" i="1"/>
  <c r="AF1179" i="1"/>
  <c r="AE1179" i="1"/>
  <c r="AD1179" i="1"/>
  <c r="AC1179" i="1"/>
  <c r="AB1179" i="1"/>
  <c r="AA1179" i="1"/>
  <c r="AI1178" i="1"/>
  <c r="AH1178" i="1"/>
  <c r="AG1178" i="1"/>
  <c r="AF1178" i="1"/>
  <c r="AE1178" i="1"/>
  <c r="AD1178" i="1"/>
  <c r="AC1178" i="1"/>
  <c r="AB1178" i="1"/>
  <c r="AA1178" i="1"/>
  <c r="AI1177" i="1"/>
  <c r="AH1177" i="1"/>
  <c r="AG1177" i="1"/>
  <c r="AF1177" i="1"/>
  <c r="AE1177" i="1"/>
  <c r="AD1177" i="1"/>
  <c r="AC1177" i="1"/>
  <c r="AB1177" i="1"/>
  <c r="AA1177" i="1"/>
  <c r="AI1176" i="1"/>
  <c r="AH1176" i="1"/>
  <c r="AG1176" i="1"/>
  <c r="AF1176" i="1"/>
  <c r="AE1176" i="1"/>
  <c r="AD1176" i="1"/>
  <c r="AC1176" i="1"/>
  <c r="AB1176" i="1"/>
  <c r="AA1176" i="1"/>
  <c r="AI1175" i="1"/>
  <c r="AH1175" i="1"/>
  <c r="AG1175" i="1"/>
  <c r="AF1175" i="1"/>
  <c r="AE1175" i="1"/>
  <c r="AD1175" i="1"/>
  <c r="AC1175" i="1"/>
  <c r="AB1175" i="1"/>
  <c r="AA1175" i="1"/>
  <c r="AI1174" i="1"/>
  <c r="AH1174" i="1"/>
  <c r="AG1174" i="1"/>
  <c r="AF1174" i="1"/>
  <c r="AE1174" i="1"/>
  <c r="AD1174" i="1"/>
  <c r="AC1174" i="1"/>
  <c r="AB1174" i="1"/>
  <c r="AA1174" i="1"/>
  <c r="AI1173" i="1"/>
  <c r="AH1173" i="1"/>
  <c r="AG1173" i="1"/>
  <c r="AF1173" i="1"/>
  <c r="AE1173" i="1"/>
  <c r="AD1173" i="1"/>
  <c r="AC1173" i="1"/>
  <c r="AB1173" i="1"/>
  <c r="AA1173" i="1"/>
  <c r="AI1172" i="1"/>
  <c r="AH1172" i="1"/>
  <c r="AG1172" i="1"/>
  <c r="AF1172" i="1"/>
  <c r="AE1172" i="1"/>
  <c r="AD1172" i="1"/>
  <c r="AC1172" i="1"/>
  <c r="AB1172" i="1"/>
  <c r="AA1172" i="1"/>
  <c r="AI1171" i="1"/>
  <c r="AH1171" i="1"/>
  <c r="AG1171" i="1"/>
  <c r="AF1171" i="1"/>
  <c r="AE1171" i="1"/>
  <c r="AD1171" i="1"/>
  <c r="AC1171" i="1"/>
  <c r="AB1171" i="1"/>
  <c r="AA1171" i="1"/>
  <c r="AI1170" i="1"/>
  <c r="AH1170" i="1"/>
  <c r="AG1170" i="1"/>
  <c r="AF1170" i="1"/>
  <c r="AE1170" i="1"/>
  <c r="AD1170" i="1"/>
  <c r="AC1170" i="1"/>
  <c r="AB1170" i="1"/>
  <c r="AA1170" i="1"/>
  <c r="AI1169" i="1"/>
  <c r="AH1169" i="1"/>
  <c r="AG1169" i="1"/>
  <c r="AF1169" i="1"/>
  <c r="AE1169" i="1"/>
  <c r="AD1169" i="1"/>
  <c r="AC1169" i="1"/>
  <c r="AB1169" i="1"/>
  <c r="AA1169" i="1"/>
  <c r="AI1168" i="1"/>
  <c r="AH1168" i="1"/>
  <c r="AG1168" i="1"/>
  <c r="AF1168" i="1"/>
  <c r="AE1168" i="1"/>
  <c r="AD1168" i="1"/>
  <c r="AC1168" i="1"/>
  <c r="AB1168" i="1"/>
  <c r="AA1168" i="1"/>
  <c r="AI1167" i="1"/>
  <c r="AH1167" i="1"/>
  <c r="AG1167" i="1"/>
  <c r="AF1167" i="1"/>
  <c r="AE1167" i="1"/>
  <c r="AD1167" i="1"/>
  <c r="AC1167" i="1"/>
  <c r="AB1167" i="1"/>
  <c r="AA1167" i="1"/>
  <c r="AI1166" i="1"/>
  <c r="AH1166" i="1"/>
  <c r="AG1166" i="1"/>
  <c r="AF1166" i="1"/>
  <c r="AE1166" i="1"/>
  <c r="AD1166" i="1"/>
  <c r="AC1166" i="1"/>
  <c r="AB1166" i="1"/>
  <c r="AA1166" i="1"/>
  <c r="AI1165" i="1"/>
  <c r="AH1165" i="1"/>
  <c r="AG1165" i="1"/>
  <c r="AF1165" i="1"/>
  <c r="AE1165" i="1"/>
  <c r="AD1165" i="1"/>
  <c r="AC1165" i="1"/>
  <c r="AB1165" i="1"/>
  <c r="AA1165" i="1"/>
  <c r="AI1164" i="1"/>
  <c r="AH1164" i="1"/>
  <c r="AG1164" i="1"/>
  <c r="AF1164" i="1"/>
  <c r="AE1164" i="1"/>
  <c r="AD1164" i="1"/>
  <c r="AC1164" i="1"/>
  <c r="AB1164" i="1"/>
  <c r="AA1164" i="1"/>
  <c r="AI1163" i="1"/>
  <c r="AH1163" i="1"/>
  <c r="AG1163" i="1"/>
  <c r="AF1163" i="1"/>
  <c r="AE1163" i="1"/>
  <c r="AD1163" i="1"/>
  <c r="AC1163" i="1"/>
  <c r="AB1163" i="1"/>
  <c r="AA1163" i="1"/>
  <c r="AI1162" i="1"/>
  <c r="AH1162" i="1"/>
  <c r="AG1162" i="1"/>
  <c r="AF1162" i="1"/>
  <c r="AE1162" i="1"/>
  <c r="AD1162" i="1"/>
  <c r="AC1162" i="1"/>
  <c r="AB1162" i="1"/>
  <c r="AA1162" i="1"/>
  <c r="AI1161" i="1"/>
  <c r="AH1161" i="1"/>
  <c r="AG1161" i="1"/>
  <c r="AF1161" i="1"/>
  <c r="AE1161" i="1"/>
  <c r="AD1161" i="1"/>
  <c r="AC1161" i="1"/>
  <c r="AB1161" i="1"/>
  <c r="AA1161" i="1"/>
  <c r="AI1160" i="1"/>
  <c r="AH1160" i="1"/>
  <c r="AG1160" i="1"/>
  <c r="AF1160" i="1"/>
  <c r="AE1160" i="1"/>
  <c r="AD1160" i="1"/>
  <c r="AC1160" i="1"/>
  <c r="AB1160" i="1"/>
  <c r="AA1160" i="1"/>
  <c r="AI1159" i="1"/>
  <c r="AH1159" i="1"/>
  <c r="AG1159" i="1"/>
  <c r="AF1159" i="1"/>
  <c r="AE1159" i="1"/>
  <c r="AD1159" i="1"/>
  <c r="AC1159" i="1"/>
  <c r="AB1159" i="1"/>
  <c r="AA1159" i="1"/>
  <c r="AI1158" i="1"/>
  <c r="AH1158" i="1"/>
  <c r="AG1158" i="1"/>
  <c r="AF1158" i="1"/>
  <c r="AE1158" i="1"/>
  <c r="AD1158" i="1"/>
  <c r="AC1158" i="1"/>
  <c r="AB1158" i="1"/>
  <c r="AA1158" i="1"/>
  <c r="AI1157" i="1"/>
  <c r="AH1157" i="1"/>
  <c r="AG1157" i="1"/>
  <c r="AF1157" i="1"/>
  <c r="AE1157" i="1"/>
  <c r="AD1157" i="1"/>
  <c r="AC1157" i="1"/>
  <c r="AB1157" i="1"/>
  <c r="AA1157" i="1"/>
  <c r="AI1156" i="1"/>
  <c r="AH1156" i="1"/>
  <c r="AG1156" i="1"/>
  <c r="AF1156" i="1"/>
  <c r="AE1156" i="1"/>
  <c r="AD1156" i="1"/>
  <c r="AC1156" i="1"/>
  <c r="AB1156" i="1"/>
  <c r="AA1156" i="1"/>
  <c r="AI1155" i="1"/>
  <c r="AH1155" i="1"/>
  <c r="AG1155" i="1"/>
  <c r="AF1155" i="1"/>
  <c r="AE1155" i="1"/>
  <c r="AD1155" i="1"/>
  <c r="AC1155" i="1"/>
  <c r="AB1155" i="1"/>
  <c r="AA1155" i="1"/>
  <c r="AI1154" i="1"/>
  <c r="AH1154" i="1"/>
  <c r="AG1154" i="1"/>
  <c r="AF1154" i="1"/>
  <c r="AE1154" i="1"/>
  <c r="AD1154" i="1"/>
  <c r="AC1154" i="1"/>
  <c r="AB1154" i="1"/>
  <c r="AA1154" i="1"/>
  <c r="AI1153" i="1"/>
  <c r="AH1153" i="1"/>
  <c r="AG1153" i="1"/>
  <c r="AF1153" i="1"/>
  <c r="AE1153" i="1"/>
  <c r="AD1153" i="1"/>
  <c r="AC1153" i="1"/>
  <c r="AB1153" i="1"/>
  <c r="AA1153" i="1"/>
  <c r="AI1152" i="1"/>
  <c r="AH1152" i="1"/>
  <c r="AG1152" i="1"/>
  <c r="AF1152" i="1"/>
  <c r="AE1152" i="1"/>
  <c r="AD1152" i="1"/>
  <c r="AC1152" i="1"/>
  <c r="AB1152" i="1"/>
  <c r="AA1152" i="1"/>
  <c r="AI1151" i="1"/>
  <c r="AH1151" i="1"/>
  <c r="AG1151" i="1"/>
  <c r="AF1151" i="1"/>
  <c r="AE1151" i="1"/>
  <c r="AD1151" i="1"/>
  <c r="AC1151" i="1"/>
  <c r="AB1151" i="1"/>
  <c r="AA1151" i="1"/>
  <c r="AI1150" i="1"/>
  <c r="AH1150" i="1"/>
  <c r="AG1150" i="1"/>
  <c r="AF1150" i="1"/>
  <c r="AE1150" i="1"/>
  <c r="AD1150" i="1"/>
  <c r="AC1150" i="1"/>
  <c r="AB1150" i="1"/>
  <c r="AA1150" i="1"/>
  <c r="AI1089" i="1"/>
  <c r="AH1089" i="1"/>
  <c r="AG1089" i="1"/>
  <c r="AF1089" i="1"/>
  <c r="AE1089" i="1"/>
  <c r="AD1089" i="1"/>
  <c r="AC1089" i="1"/>
  <c r="AB1089" i="1"/>
  <c r="AA1089" i="1"/>
  <c r="AI1088" i="1"/>
  <c r="AH1088" i="1"/>
  <c r="AG1088" i="1"/>
  <c r="AF1088" i="1"/>
  <c r="AE1088" i="1"/>
  <c r="AD1088" i="1"/>
  <c r="AC1088" i="1"/>
  <c r="AB1088" i="1"/>
  <c r="AA1088" i="1"/>
  <c r="AI1087" i="1"/>
  <c r="AH1087" i="1"/>
  <c r="AG1087" i="1"/>
  <c r="AF1087" i="1"/>
  <c r="AE1087" i="1"/>
  <c r="AD1087" i="1"/>
  <c r="AC1087" i="1"/>
  <c r="AB1087" i="1"/>
  <c r="AA1087" i="1"/>
  <c r="AI1086" i="1"/>
  <c r="AH1086" i="1"/>
  <c r="AG1086" i="1"/>
  <c r="AF1086" i="1"/>
  <c r="AE1086" i="1"/>
  <c r="AD1086" i="1"/>
  <c r="AC1086" i="1"/>
  <c r="AB1086" i="1"/>
  <c r="AA1086" i="1"/>
  <c r="AI1085" i="1"/>
  <c r="AH1085" i="1"/>
  <c r="AG1085" i="1"/>
  <c r="AF1085" i="1"/>
  <c r="AE1085" i="1"/>
  <c r="AD1085" i="1"/>
  <c r="AC1085" i="1"/>
  <c r="AB1085" i="1"/>
  <c r="AA1085" i="1"/>
  <c r="AI1084" i="1"/>
  <c r="AH1084" i="1"/>
  <c r="AG1084" i="1"/>
  <c r="AF1084" i="1"/>
  <c r="AE1084" i="1"/>
  <c r="AD1084" i="1"/>
  <c r="AC1084" i="1"/>
  <c r="AB1084" i="1"/>
  <c r="AA1084" i="1"/>
  <c r="AI1083" i="1"/>
  <c r="AH1083" i="1"/>
  <c r="AG1083" i="1"/>
  <c r="AF1083" i="1"/>
  <c r="AE1083" i="1"/>
  <c r="AD1083" i="1"/>
  <c r="AC1083" i="1"/>
  <c r="AB1083" i="1"/>
  <c r="AA1083" i="1"/>
  <c r="AI1082" i="1"/>
  <c r="AH1082" i="1"/>
  <c r="AG1082" i="1"/>
  <c r="AF1082" i="1"/>
  <c r="AE1082" i="1"/>
  <c r="AD1082" i="1"/>
  <c r="AC1082" i="1"/>
  <c r="AB1082" i="1"/>
  <c r="AA1082" i="1"/>
  <c r="AI1081" i="1"/>
  <c r="AH1081" i="1"/>
  <c r="AG1081" i="1"/>
  <c r="AF1081" i="1"/>
  <c r="AE1081" i="1"/>
  <c r="AD1081" i="1"/>
  <c r="AC1081" i="1"/>
  <c r="AB1081" i="1"/>
  <c r="AA1081" i="1"/>
  <c r="AI1080" i="1"/>
  <c r="AH1080" i="1"/>
  <c r="AG1080" i="1"/>
  <c r="AF1080" i="1"/>
  <c r="AE1080" i="1"/>
  <c r="AD1080" i="1"/>
  <c r="AC1080" i="1"/>
  <c r="AB1080" i="1"/>
  <c r="AA1080" i="1"/>
  <c r="AI1079" i="1"/>
  <c r="AH1079" i="1"/>
  <c r="AG1079" i="1"/>
  <c r="AF1079" i="1"/>
  <c r="AE1079" i="1"/>
  <c r="AD1079" i="1"/>
  <c r="AC1079" i="1"/>
  <c r="AB1079" i="1"/>
  <c r="AA1079" i="1"/>
  <c r="AI1078" i="1"/>
  <c r="AH1078" i="1"/>
  <c r="AG1078" i="1"/>
  <c r="AF1078" i="1"/>
  <c r="AE1078" i="1"/>
  <c r="AD1078" i="1"/>
  <c r="AC1078" i="1"/>
  <c r="AB1078" i="1"/>
  <c r="AA1078" i="1"/>
  <c r="AI1077" i="1"/>
  <c r="AH1077" i="1"/>
  <c r="AG1077" i="1"/>
  <c r="AF1077" i="1"/>
  <c r="AE1077" i="1"/>
  <c r="AD1077" i="1"/>
  <c r="AC1077" i="1"/>
  <c r="AB1077" i="1"/>
  <c r="AA1077" i="1"/>
  <c r="AI1076" i="1"/>
  <c r="AH1076" i="1"/>
  <c r="AG1076" i="1"/>
  <c r="AF1076" i="1"/>
  <c r="AE1076" i="1"/>
  <c r="AD1076" i="1"/>
  <c r="AC1076" i="1"/>
  <c r="AB1076" i="1"/>
  <c r="AA1076" i="1"/>
  <c r="AI1075" i="1"/>
  <c r="AH1075" i="1"/>
  <c r="AG1075" i="1"/>
  <c r="AF1075" i="1"/>
  <c r="AE1075" i="1"/>
  <c r="AD1075" i="1"/>
  <c r="AC1075" i="1"/>
  <c r="AB1075" i="1"/>
  <c r="AA1075" i="1"/>
  <c r="AI1074" i="1"/>
  <c r="AH1074" i="1"/>
  <c r="AG1074" i="1"/>
  <c r="AF1074" i="1"/>
  <c r="AE1074" i="1"/>
  <c r="AD1074" i="1"/>
  <c r="AC1074" i="1"/>
  <c r="AB1074" i="1"/>
  <c r="AA1074" i="1"/>
  <c r="AI1073" i="1"/>
  <c r="AH1073" i="1"/>
  <c r="AG1073" i="1"/>
  <c r="AF1073" i="1"/>
  <c r="AE1073" i="1"/>
  <c r="AD1073" i="1"/>
  <c r="AC1073" i="1"/>
  <c r="AB1073" i="1"/>
  <c r="AA1073" i="1"/>
  <c r="AI1072" i="1"/>
  <c r="AH1072" i="1"/>
  <c r="AG1072" i="1"/>
  <c r="AF1072" i="1"/>
  <c r="AE1072" i="1"/>
  <c r="AD1072" i="1"/>
  <c r="AC1072" i="1"/>
  <c r="AB1072" i="1"/>
  <c r="AA1072" i="1"/>
  <c r="AI1071" i="1"/>
  <c r="AH1071" i="1"/>
  <c r="AG1071" i="1"/>
  <c r="AF1071" i="1"/>
  <c r="AE1071" i="1"/>
  <c r="AD1071" i="1"/>
  <c r="AC1071" i="1"/>
  <c r="AB1071" i="1"/>
  <c r="AA1071" i="1"/>
  <c r="AI1070" i="1"/>
  <c r="AH1070" i="1"/>
  <c r="AG1070" i="1"/>
  <c r="AF1070" i="1"/>
  <c r="AE1070" i="1"/>
  <c r="AD1070" i="1"/>
  <c r="AC1070" i="1"/>
  <c r="AB1070" i="1"/>
  <c r="AA1070" i="1"/>
  <c r="AI1126" i="1"/>
  <c r="AH1126" i="1"/>
  <c r="AG1126" i="1"/>
  <c r="AF1126" i="1"/>
  <c r="AE1126" i="1"/>
  <c r="AD1126" i="1"/>
  <c r="AC1126" i="1"/>
  <c r="AB1126" i="1"/>
  <c r="AA1126" i="1"/>
  <c r="AI1125" i="1"/>
  <c r="AH1125" i="1"/>
  <c r="AG1125" i="1"/>
  <c r="AF1125" i="1"/>
  <c r="AE1125" i="1"/>
  <c r="AD1125" i="1"/>
  <c r="AC1125" i="1"/>
  <c r="AB1125" i="1"/>
  <c r="AA1125" i="1"/>
  <c r="AI1124" i="1"/>
  <c r="AH1124" i="1"/>
  <c r="AG1124" i="1"/>
  <c r="AF1124" i="1"/>
  <c r="AE1124" i="1"/>
  <c r="AD1124" i="1"/>
  <c r="AC1124" i="1"/>
  <c r="AB1124" i="1"/>
  <c r="AA1124" i="1"/>
  <c r="AI1123" i="1"/>
  <c r="AH1123" i="1"/>
  <c r="AG1123" i="1"/>
  <c r="AF1123" i="1"/>
  <c r="AE1123" i="1"/>
  <c r="AD1123" i="1"/>
  <c r="AC1123" i="1"/>
  <c r="AB1123" i="1"/>
  <c r="AA1123" i="1"/>
  <c r="AI1122" i="1"/>
  <c r="AH1122" i="1"/>
  <c r="AG1122" i="1"/>
  <c r="AF1122" i="1"/>
  <c r="AE1122" i="1"/>
  <c r="AD1122" i="1"/>
  <c r="AC1122" i="1"/>
  <c r="AB1122" i="1"/>
  <c r="AA1122" i="1"/>
  <c r="AI1121" i="1"/>
  <c r="AH1121" i="1"/>
  <c r="AG1121" i="1"/>
  <c r="AF1121" i="1"/>
  <c r="AE1121" i="1"/>
  <c r="AD1121" i="1"/>
  <c r="AC1121" i="1"/>
  <c r="AB1121" i="1"/>
  <c r="AA1121" i="1"/>
  <c r="AI1120" i="1"/>
  <c r="AH1120" i="1"/>
  <c r="AG1120" i="1"/>
  <c r="AF1120" i="1"/>
  <c r="AE1120" i="1"/>
  <c r="AD1120" i="1"/>
  <c r="AC1120" i="1"/>
  <c r="AB1120" i="1"/>
  <c r="AA1120" i="1"/>
  <c r="AI1119" i="1"/>
  <c r="AH1119" i="1"/>
  <c r="AG1119" i="1"/>
  <c r="AF1119" i="1"/>
  <c r="AE1119" i="1"/>
  <c r="AD1119" i="1"/>
  <c r="AC1119" i="1"/>
  <c r="AB1119" i="1"/>
  <c r="AA1119" i="1"/>
  <c r="AI1118" i="1"/>
  <c r="AH1118" i="1"/>
  <c r="AG1118" i="1"/>
  <c r="AF1118" i="1"/>
  <c r="AE1118" i="1"/>
  <c r="AD1118" i="1"/>
  <c r="AC1118" i="1"/>
  <c r="AB1118" i="1"/>
  <c r="AA1118" i="1"/>
  <c r="AI1117" i="1"/>
  <c r="AH1117" i="1"/>
  <c r="AG1117" i="1"/>
  <c r="AF1117" i="1"/>
  <c r="AE1117" i="1"/>
  <c r="AD1117" i="1"/>
  <c r="AC1117" i="1"/>
  <c r="AB1117" i="1"/>
  <c r="AA1117" i="1"/>
  <c r="AI1116" i="1"/>
  <c r="AH1116" i="1"/>
  <c r="AG1116" i="1"/>
  <c r="AF1116" i="1"/>
  <c r="AE1116" i="1"/>
  <c r="AD1116" i="1"/>
  <c r="AC1116" i="1"/>
  <c r="AB1116" i="1"/>
  <c r="AA1116" i="1"/>
  <c r="AI1115" i="1"/>
  <c r="AH1115" i="1"/>
  <c r="AG1115" i="1"/>
  <c r="AF1115" i="1"/>
  <c r="AE1115" i="1"/>
  <c r="AD1115" i="1"/>
  <c r="AC1115" i="1"/>
  <c r="AB1115" i="1"/>
  <c r="AA1115" i="1"/>
  <c r="AI1114" i="1"/>
  <c r="AH1114" i="1"/>
  <c r="AG1114" i="1"/>
  <c r="AF1114" i="1"/>
  <c r="AE1114" i="1"/>
  <c r="AD1114" i="1"/>
  <c r="AC1114" i="1"/>
  <c r="AB1114" i="1"/>
  <c r="AA1114" i="1"/>
  <c r="AI1113" i="1"/>
  <c r="AH1113" i="1"/>
  <c r="AG1113" i="1"/>
  <c r="AF1113" i="1"/>
  <c r="AE1113" i="1"/>
  <c r="AD1113" i="1"/>
  <c r="AC1113" i="1"/>
  <c r="AB1113" i="1"/>
  <c r="AA1113" i="1"/>
  <c r="AI1112" i="1"/>
  <c r="AH1112" i="1"/>
  <c r="AG1112" i="1"/>
  <c r="AF1112" i="1"/>
  <c r="AE1112" i="1"/>
  <c r="AD1112" i="1"/>
  <c r="AC1112" i="1"/>
  <c r="AB1112" i="1"/>
  <c r="AA1112" i="1"/>
  <c r="AI1111" i="1"/>
  <c r="AH1111" i="1"/>
  <c r="AG1111" i="1"/>
  <c r="AF1111" i="1"/>
  <c r="AE1111" i="1"/>
  <c r="AD1111" i="1"/>
  <c r="AC1111" i="1"/>
  <c r="AB1111" i="1"/>
  <c r="AA1111" i="1"/>
  <c r="AI1110" i="1"/>
  <c r="AH1110" i="1"/>
  <c r="AG1110" i="1"/>
  <c r="AF1110" i="1"/>
  <c r="AE1110" i="1"/>
  <c r="AD1110" i="1"/>
  <c r="AC1110" i="1"/>
  <c r="AB1110" i="1"/>
  <c r="AA1110" i="1"/>
  <c r="AI1109" i="1"/>
  <c r="AH1109" i="1"/>
  <c r="AG1109" i="1"/>
  <c r="AF1109" i="1"/>
  <c r="AE1109" i="1"/>
  <c r="AD1109" i="1"/>
  <c r="AC1109" i="1"/>
  <c r="AB1109" i="1"/>
  <c r="AA1109" i="1"/>
  <c r="AI1108" i="1"/>
  <c r="AH1108" i="1"/>
  <c r="AG1108" i="1"/>
  <c r="AF1108" i="1"/>
  <c r="AE1108" i="1"/>
  <c r="AD1108" i="1"/>
  <c r="AC1108" i="1"/>
  <c r="AB1108" i="1"/>
  <c r="AA1108" i="1"/>
  <c r="AI1107" i="1"/>
  <c r="AH1107" i="1"/>
  <c r="AG1107" i="1"/>
  <c r="AF1107" i="1"/>
  <c r="AE1107" i="1"/>
  <c r="AD1107" i="1"/>
  <c r="AC1107" i="1"/>
  <c r="AB1107" i="1"/>
  <c r="AA1107" i="1"/>
  <c r="AI1106" i="1"/>
  <c r="AH1106" i="1"/>
  <c r="AG1106" i="1"/>
  <c r="AF1106" i="1"/>
  <c r="AE1106" i="1"/>
  <c r="AD1106" i="1"/>
  <c r="AC1106" i="1"/>
  <c r="AB1106" i="1"/>
  <c r="AA1106" i="1"/>
  <c r="AI1048" i="1"/>
  <c r="AH1048" i="1"/>
  <c r="AG1048" i="1"/>
  <c r="AF1048" i="1"/>
  <c r="AE1048" i="1"/>
  <c r="AD1048" i="1"/>
  <c r="AC1048" i="1"/>
  <c r="AB1048" i="1"/>
  <c r="AA1048" i="1"/>
  <c r="AI1047" i="1"/>
  <c r="AH1047" i="1"/>
  <c r="AG1047" i="1"/>
  <c r="AF1047" i="1"/>
  <c r="AE1047" i="1"/>
  <c r="AD1047" i="1"/>
  <c r="AC1047" i="1"/>
  <c r="AB1047" i="1"/>
  <c r="AA1047" i="1"/>
  <c r="AI1046" i="1"/>
  <c r="AH1046" i="1"/>
  <c r="AG1046" i="1"/>
  <c r="AF1046" i="1"/>
  <c r="AE1046" i="1"/>
  <c r="AD1046" i="1"/>
  <c r="AC1046" i="1"/>
  <c r="AB1046" i="1"/>
  <c r="AA1046" i="1"/>
  <c r="AI1045" i="1"/>
  <c r="AH1045" i="1"/>
  <c r="AG1045" i="1"/>
  <c r="AF1045" i="1"/>
  <c r="AE1045" i="1"/>
  <c r="AD1045" i="1"/>
  <c r="AC1045" i="1"/>
  <c r="AB1045" i="1"/>
  <c r="AA1045" i="1"/>
  <c r="AI1044" i="1"/>
  <c r="AH1044" i="1"/>
  <c r="AG1044" i="1"/>
  <c r="AF1044" i="1"/>
  <c r="AE1044" i="1"/>
  <c r="AD1044" i="1"/>
  <c r="AC1044" i="1"/>
  <c r="AB1044" i="1"/>
  <c r="AA1044" i="1"/>
  <c r="AI1043" i="1"/>
  <c r="AH1043" i="1"/>
  <c r="AG1043" i="1"/>
  <c r="AF1043" i="1"/>
  <c r="AE1043" i="1"/>
  <c r="AD1043" i="1"/>
  <c r="AC1043" i="1"/>
  <c r="AB1043" i="1"/>
  <c r="AA1043" i="1"/>
  <c r="AI1042" i="1"/>
  <c r="AH1042" i="1"/>
  <c r="AG1042" i="1"/>
  <c r="AF1042" i="1"/>
  <c r="AE1042" i="1"/>
  <c r="AD1042" i="1"/>
  <c r="AC1042" i="1"/>
  <c r="AB1042" i="1"/>
  <c r="AA1042" i="1"/>
  <c r="AI1041" i="1"/>
  <c r="AH1041" i="1"/>
  <c r="AG1041" i="1"/>
  <c r="AF1041" i="1"/>
  <c r="AE1041" i="1"/>
  <c r="AD1041" i="1"/>
  <c r="AC1041" i="1"/>
  <c r="AB1041" i="1"/>
  <c r="AA1041" i="1"/>
  <c r="AI1040" i="1"/>
  <c r="AH1040" i="1"/>
  <c r="AG1040" i="1"/>
  <c r="AF1040" i="1"/>
  <c r="AE1040" i="1"/>
  <c r="AD1040" i="1"/>
  <c r="AC1040" i="1"/>
  <c r="AB1040" i="1"/>
  <c r="AA1040" i="1"/>
  <c r="AI1039" i="1"/>
  <c r="AH1039" i="1"/>
  <c r="AG1039" i="1"/>
  <c r="AF1039" i="1"/>
  <c r="AE1039" i="1"/>
  <c r="AD1039" i="1"/>
  <c r="AC1039" i="1"/>
  <c r="AB1039" i="1"/>
  <c r="AA1039" i="1"/>
  <c r="AI1038" i="1"/>
  <c r="AH1038" i="1"/>
  <c r="AG1038" i="1"/>
  <c r="AF1038" i="1"/>
  <c r="AE1038" i="1"/>
  <c r="AD1038" i="1"/>
  <c r="AC1038" i="1"/>
  <c r="AB1038" i="1"/>
  <c r="AA1038" i="1"/>
  <c r="AI1037" i="1"/>
  <c r="AH1037" i="1"/>
  <c r="AG1037" i="1"/>
  <c r="AF1037" i="1"/>
  <c r="AE1037" i="1"/>
  <c r="AD1037" i="1"/>
  <c r="AC1037" i="1"/>
  <c r="AB1037" i="1"/>
  <c r="AA1037" i="1"/>
  <c r="AI1036" i="1"/>
  <c r="AH1036" i="1"/>
  <c r="AG1036" i="1"/>
  <c r="AF1036" i="1"/>
  <c r="AE1036" i="1"/>
  <c r="AD1036" i="1"/>
  <c r="AC1036" i="1"/>
  <c r="AB1036" i="1"/>
  <c r="AA1036" i="1"/>
  <c r="AI1035" i="1"/>
  <c r="AH1035" i="1"/>
  <c r="AG1035" i="1"/>
  <c r="AF1035" i="1"/>
  <c r="AE1035" i="1"/>
  <c r="AD1035" i="1"/>
  <c r="AC1035" i="1"/>
  <c r="AB1035" i="1"/>
  <c r="AA1035" i="1"/>
  <c r="AI1034" i="1"/>
  <c r="AH1034" i="1"/>
  <c r="AG1034" i="1"/>
  <c r="AF1034" i="1"/>
  <c r="AE1034" i="1"/>
  <c r="AD1034" i="1"/>
  <c r="AC1034" i="1"/>
  <c r="AB1034" i="1"/>
  <c r="AA1034" i="1"/>
  <c r="AI1033" i="1"/>
  <c r="AH1033" i="1"/>
  <c r="AG1033" i="1"/>
  <c r="AF1033" i="1"/>
  <c r="AE1033" i="1"/>
  <c r="AD1033" i="1"/>
  <c r="AC1033" i="1"/>
  <c r="AB1033" i="1"/>
  <c r="AA1033" i="1"/>
  <c r="AI1032" i="1"/>
  <c r="AH1032" i="1"/>
  <c r="AG1032" i="1"/>
  <c r="AF1032" i="1"/>
  <c r="AE1032" i="1"/>
  <c r="AD1032" i="1"/>
  <c r="AC1032" i="1"/>
  <c r="AB1032" i="1"/>
  <c r="AA1032" i="1"/>
  <c r="AI1031" i="1"/>
  <c r="AH1031" i="1"/>
  <c r="AG1031" i="1"/>
  <c r="AF1031" i="1"/>
  <c r="AE1031" i="1"/>
  <c r="AD1031" i="1"/>
  <c r="AC1031" i="1"/>
  <c r="AB1031" i="1"/>
  <c r="AA1031" i="1"/>
  <c r="AI1030" i="1"/>
  <c r="AH1030" i="1"/>
  <c r="AG1030" i="1"/>
  <c r="AF1030" i="1"/>
  <c r="AE1030" i="1"/>
  <c r="AD1030" i="1"/>
  <c r="AC1030" i="1"/>
  <c r="AB1030" i="1"/>
  <c r="AA1030" i="1"/>
  <c r="AI1029" i="1"/>
  <c r="AH1029" i="1"/>
  <c r="AG1029" i="1"/>
  <c r="AF1029" i="1"/>
  <c r="AE1029" i="1"/>
  <c r="AD1029" i="1"/>
  <c r="AC1029" i="1"/>
  <c r="AB1029" i="1"/>
  <c r="AA1029" i="1"/>
  <c r="AI1028" i="1"/>
  <c r="AH1028" i="1"/>
  <c r="AG1028" i="1"/>
  <c r="AF1028" i="1"/>
  <c r="AE1028" i="1"/>
  <c r="AD1028" i="1"/>
  <c r="AC1028" i="1"/>
  <c r="AB1028" i="1"/>
  <c r="AA1028" i="1"/>
  <c r="AI1014" i="1"/>
  <c r="AH1014" i="1"/>
  <c r="AG1014" i="1"/>
  <c r="AF1014" i="1"/>
  <c r="AE1014" i="1"/>
  <c r="AD1014" i="1"/>
  <c r="AC1014" i="1"/>
  <c r="AB1014" i="1"/>
  <c r="AA1014" i="1"/>
  <c r="AI1013" i="1"/>
  <c r="AH1013" i="1"/>
  <c r="AG1013" i="1"/>
  <c r="AF1013" i="1"/>
  <c r="AE1013" i="1"/>
  <c r="AD1013" i="1"/>
  <c r="AC1013" i="1"/>
  <c r="AB1013" i="1"/>
  <c r="AA1013" i="1"/>
  <c r="AI1012" i="1"/>
  <c r="AH1012" i="1"/>
  <c r="AG1012" i="1"/>
  <c r="AF1012" i="1"/>
  <c r="AE1012" i="1"/>
  <c r="AD1012" i="1"/>
  <c r="AC1012" i="1"/>
  <c r="AB1012" i="1"/>
  <c r="AA1012" i="1"/>
  <c r="AI1011" i="1"/>
  <c r="AH1011" i="1"/>
  <c r="AG1011" i="1"/>
  <c r="AF1011" i="1"/>
  <c r="AE1011" i="1"/>
  <c r="AD1011" i="1"/>
  <c r="AC1011" i="1"/>
  <c r="AB1011" i="1"/>
  <c r="AA1011" i="1"/>
  <c r="AI1010" i="1"/>
  <c r="AH1010" i="1"/>
  <c r="AG1010" i="1"/>
  <c r="AF1010" i="1"/>
  <c r="AE1010" i="1"/>
  <c r="AD1010" i="1"/>
  <c r="AC1010" i="1"/>
  <c r="AB1010" i="1"/>
  <c r="AA1010" i="1"/>
  <c r="AI1009" i="1"/>
  <c r="AH1009" i="1"/>
  <c r="AG1009" i="1"/>
  <c r="AF1009" i="1"/>
  <c r="AE1009" i="1"/>
  <c r="AD1009" i="1"/>
  <c r="AC1009" i="1"/>
  <c r="AB1009" i="1"/>
  <c r="AA1009" i="1"/>
  <c r="AI1008" i="1"/>
  <c r="AH1008" i="1"/>
  <c r="AG1008" i="1"/>
  <c r="AF1008" i="1"/>
  <c r="AE1008" i="1"/>
  <c r="AD1008" i="1"/>
  <c r="AC1008" i="1"/>
  <c r="AB1008" i="1"/>
  <c r="AA1008" i="1"/>
  <c r="AI1007" i="1"/>
  <c r="AH1007" i="1"/>
  <c r="AG1007" i="1"/>
  <c r="AF1007" i="1"/>
  <c r="AE1007" i="1"/>
  <c r="AD1007" i="1"/>
  <c r="AC1007" i="1"/>
  <c r="AB1007" i="1"/>
  <c r="AA1007" i="1"/>
  <c r="AI1006" i="1"/>
  <c r="AH1006" i="1"/>
  <c r="AG1006" i="1"/>
  <c r="AF1006" i="1"/>
  <c r="AE1006" i="1"/>
  <c r="AD1006" i="1"/>
  <c r="AC1006" i="1"/>
  <c r="AB1006" i="1"/>
  <c r="AA1006" i="1"/>
  <c r="AI1005" i="1"/>
  <c r="AH1005" i="1"/>
  <c r="AG1005" i="1"/>
  <c r="AF1005" i="1"/>
  <c r="AE1005" i="1"/>
  <c r="AD1005" i="1"/>
  <c r="AC1005" i="1"/>
  <c r="AB1005" i="1"/>
  <c r="AA1005" i="1"/>
  <c r="AI1004" i="1"/>
  <c r="AH1004" i="1"/>
  <c r="AG1004" i="1"/>
  <c r="AF1004" i="1"/>
  <c r="AE1004" i="1"/>
  <c r="AD1004" i="1"/>
  <c r="AC1004" i="1"/>
  <c r="AB1004" i="1"/>
  <c r="AA1004" i="1"/>
  <c r="AI1003" i="1"/>
  <c r="AH1003" i="1"/>
  <c r="AG1003" i="1"/>
  <c r="AF1003" i="1"/>
  <c r="AE1003" i="1"/>
  <c r="AD1003" i="1"/>
  <c r="AC1003" i="1"/>
  <c r="AB1003" i="1"/>
  <c r="AA1003" i="1"/>
  <c r="AI921" i="1"/>
  <c r="AH921" i="1"/>
  <c r="AG921" i="1"/>
  <c r="AF921" i="1"/>
  <c r="AE921" i="1"/>
  <c r="AD921" i="1"/>
  <c r="AC921" i="1"/>
  <c r="AB921" i="1"/>
  <c r="AA921" i="1"/>
  <c r="AI920" i="1"/>
  <c r="AH920" i="1"/>
  <c r="AG920" i="1"/>
  <c r="AF920" i="1"/>
  <c r="AE920" i="1"/>
  <c r="AD920" i="1"/>
  <c r="AC920" i="1"/>
  <c r="AB920" i="1"/>
  <c r="AA920" i="1"/>
  <c r="AI919" i="1"/>
  <c r="AH919" i="1"/>
  <c r="AG919" i="1"/>
  <c r="AF919" i="1"/>
  <c r="AE919" i="1"/>
  <c r="AD919" i="1"/>
  <c r="AC919" i="1"/>
  <c r="AB919" i="1"/>
  <c r="AA919" i="1"/>
  <c r="AI918" i="1"/>
  <c r="AH918" i="1"/>
  <c r="AG918" i="1"/>
  <c r="AF918" i="1"/>
  <c r="AE918" i="1"/>
  <c r="AD918" i="1"/>
  <c r="AC918" i="1"/>
  <c r="AB918" i="1"/>
  <c r="AA918" i="1"/>
  <c r="AI917" i="1"/>
  <c r="AH917" i="1"/>
  <c r="AG917" i="1"/>
  <c r="AF917" i="1"/>
  <c r="AE917" i="1"/>
  <c r="AD917" i="1"/>
  <c r="AC917" i="1"/>
  <c r="AB917" i="1"/>
  <c r="AA917" i="1"/>
  <c r="AI916" i="1"/>
  <c r="AH916" i="1"/>
  <c r="AG916" i="1"/>
  <c r="AF916" i="1"/>
  <c r="AE916" i="1"/>
  <c r="AD916" i="1"/>
  <c r="AC916" i="1"/>
  <c r="AB916" i="1"/>
  <c r="AA916" i="1"/>
  <c r="AI915" i="1"/>
  <c r="AH915" i="1"/>
  <c r="AG915" i="1"/>
  <c r="AF915" i="1"/>
  <c r="AE915" i="1"/>
  <c r="AD915" i="1"/>
  <c r="AC915" i="1"/>
  <c r="AB915" i="1"/>
  <c r="AA915" i="1"/>
  <c r="AI914" i="1"/>
  <c r="AH914" i="1"/>
  <c r="AG914" i="1"/>
  <c r="AF914" i="1"/>
  <c r="AE914" i="1"/>
  <c r="AD914" i="1"/>
  <c r="AC914" i="1"/>
  <c r="AB914" i="1"/>
  <c r="AA914" i="1"/>
  <c r="AI913" i="1"/>
  <c r="AH913" i="1"/>
  <c r="AG913" i="1"/>
  <c r="AF913" i="1"/>
  <c r="AE913" i="1"/>
  <c r="AD913" i="1"/>
  <c r="AC913" i="1"/>
  <c r="AB913" i="1"/>
  <c r="AA913" i="1"/>
  <c r="AI985" i="1"/>
  <c r="AH985" i="1"/>
  <c r="AG985" i="1"/>
  <c r="AF985" i="1"/>
  <c r="AE985" i="1"/>
  <c r="AD985" i="1"/>
  <c r="AC985" i="1"/>
  <c r="AB985" i="1"/>
  <c r="AA985" i="1"/>
  <c r="AI984" i="1"/>
  <c r="AH984" i="1"/>
  <c r="AG984" i="1"/>
  <c r="AF984" i="1"/>
  <c r="AE984" i="1"/>
  <c r="AD984" i="1"/>
  <c r="AC984" i="1"/>
  <c r="AB984" i="1"/>
  <c r="AA984" i="1"/>
  <c r="AI983" i="1"/>
  <c r="AH983" i="1"/>
  <c r="AG983" i="1"/>
  <c r="AF983" i="1"/>
  <c r="AE983" i="1"/>
  <c r="AD983" i="1"/>
  <c r="AC983" i="1"/>
  <c r="AB983" i="1"/>
  <c r="AA983" i="1"/>
  <c r="AI982" i="1"/>
  <c r="AH982" i="1"/>
  <c r="AG982" i="1"/>
  <c r="AF982" i="1"/>
  <c r="AE982" i="1"/>
  <c r="AD982" i="1"/>
  <c r="AC982" i="1"/>
  <c r="AB982" i="1"/>
  <c r="AA982" i="1"/>
  <c r="AI981" i="1"/>
  <c r="AH981" i="1"/>
  <c r="AG981" i="1"/>
  <c r="AF981" i="1"/>
  <c r="AE981" i="1"/>
  <c r="AD981" i="1"/>
  <c r="AC981" i="1"/>
  <c r="AB981" i="1"/>
  <c r="AA981" i="1"/>
  <c r="AI980" i="1"/>
  <c r="AH980" i="1"/>
  <c r="AG980" i="1"/>
  <c r="AF980" i="1"/>
  <c r="AE980" i="1"/>
  <c r="AD980" i="1"/>
  <c r="AC980" i="1"/>
  <c r="AB980" i="1"/>
  <c r="AA980" i="1"/>
  <c r="AI979" i="1"/>
  <c r="AH979" i="1"/>
  <c r="AG979" i="1"/>
  <c r="AF979" i="1"/>
  <c r="AE979" i="1"/>
  <c r="AD979" i="1"/>
  <c r="AC979" i="1"/>
  <c r="AB979" i="1"/>
  <c r="AA979" i="1"/>
  <c r="AI978" i="1"/>
  <c r="AH978" i="1"/>
  <c r="AG978" i="1"/>
  <c r="AF978" i="1"/>
  <c r="AE978" i="1"/>
  <c r="AD978" i="1"/>
  <c r="AC978" i="1"/>
  <c r="AB978" i="1"/>
  <c r="AA978" i="1"/>
  <c r="AI977" i="1"/>
  <c r="AH977" i="1"/>
  <c r="AG977" i="1"/>
  <c r="AF977" i="1"/>
  <c r="AE977" i="1"/>
  <c r="AD977" i="1"/>
  <c r="AC977" i="1"/>
  <c r="AB977" i="1"/>
  <c r="AA977" i="1"/>
  <c r="AI976" i="1"/>
  <c r="AH976" i="1"/>
  <c r="AG976" i="1"/>
  <c r="AF976" i="1"/>
  <c r="AE976" i="1"/>
  <c r="AD976" i="1"/>
  <c r="AC976" i="1"/>
  <c r="AB976" i="1"/>
  <c r="AA976" i="1"/>
  <c r="AI975" i="1"/>
  <c r="AH975" i="1"/>
  <c r="AG975" i="1"/>
  <c r="AF975" i="1"/>
  <c r="AE975" i="1"/>
  <c r="AD975" i="1"/>
  <c r="AC975" i="1"/>
  <c r="AB975" i="1"/>
  <c r="AA975" i="1"/>
  <c r="AI974" i="1"/>
  <c r="AH974" i="1"/>
  <c r="AG974" i="1"/>
  <c r="AF974" i="1"/>
  <c r="AE974" i="1"/>
  <c r="AD974" i="1"/>
  <c r="AC974" i="1"/>
  <c r="AB974" i="1"/>
  <c r="AA974" i="1"/>
  <c r="AI973" i="1"/>
  <c r="AH973" i="1"/>
  <c r="AG973" i="1"/>
  <c r="AF973" i="1"/>
  <c r="AE973" i="1"/>
  <c r="AD973" i="1"/>
  <c r="AC973" i="1"/>
  <c r="AB973" i="1"/>
  <c r="AA973" i="1"/>
  <c r="AI972" i="1"/>
  <c r="AH972" i="1"/>
  <c r="AG972" i="1"/>
  <c r="AF972" i="1"/>
  <c r="AE972" i="1"/>
  <c r="AD972" i="1"/>
  <c r="AC972" i="1"/>
  <c r="AB972" i="1"/>
  <c r="AA972" i="1"/>
  <c r="AI971" i="1"/>
  <c r="AH971" i="1"/>
  <c r="AG971" i="1"/>
  <c r="AF971" i="1"/>
  <c r="AE971" i="1"/>
  <c r="AD971" i="1"/>
  <c r="AC971" i="1"/>
  <c r="AB971" i="1"/>
  <c r="AA971" i="1"/>
  <c r="AI970" i="1"/>
  <c r="AH970" i="1"/>
  <c r="AG970" i="1"/>
  <c r="AF970" i="1"/>
  <c r="AE970" i="1"/>
  <c r="AD970" i="1"/>
  <c r="AC970" i="1"/>
  <c r="AB970" i="1"/>
  <c r="AA970" i="1"/>
  <c r="AI969" i="1"/>
  <c r="AH969" i="1"/>
  <c r="AG969" i="1"/>
  <c r="AF969" i="1"/>
  <c r="AE969" i="1"/>
  <c r="AD969" i="1"/>
  <c r="AC969" i="1"/>
  <c r="AB969" i="1"/>
  <c r="AA969" i="1"/>
  <c r="AI949" i="1"/>
  <c r="AH949" i="1"/>
  <c r="AG949" i="1"/>
  <c r="AF949" i="1"/>
  <c r="AE949" i="1"/>
  <c r="AD949" i="1"/>
  <c r="AC949" i="1"/>
  <c r="AB949" i="1"/>
  <c r="AA949" i="1"/>
  <c r="AI948" i="1"/>
  <c r="AH948" i="1"/>
  <c r="AG948" i="1"/>
  <c r="AF948" i="1"/>
  <c r="AE948" i="1"/>
  <c r="AD948" i="1"/>
  <c r="AC948" i="1"/>
  <c r="AB948" i="1"/>
  <c r="AA948" i="1"/>
  <c r="AI947" i="1"/>
  <c r="AH947" i="1"/>
  <c r="AG947" i="1"/>
  <c r="AF947" i="1"/>
  <c r="AE947" i="1"/>
  <c r="AD947" i="1"/>
  <c r="AC947" i="1"/>
  <c r="AB947" i="1"/>
  <c r="AA947" i="1"/>
  <c r="AI946" i="1"/>
  <c r="AH946" i="1"/>
  <c r="AG946" i="1"/>
  <c r="AF946" i="1"/>
  <c r="AE946" i="1"/>
  <c r="AD946" i="1"/>
  <c r="AC946" i="1"/>
  <c r="AB946" i="1"/>
  <c r="AA946" i="1"/>
  <c r="AI945" i="1"/>
  <c r="AH945" i="1"/>
  <c r="AG945" i="1"/>
  <c r="AF945" i="1"/>
  <c r="AE945" i="1"/>
  <c r="AD945" i="1"/>
  <c r="AC945" i="1"/>
  <c r="AB945" i="1"/>
  <c r="AA945" i="1"/>
  <c r="AI944" i="1"/>
  <c r="AH944" i="1"/>
  <c r="AG944" i="1"/>
  <c r="AF944" i="1"/>
  <c r="AE944" i="1"/>
  <c r="AD944" i="1"/>
  <c r="AC944" i="1"/>
  <c r="AB944" i="1"/>
  <c r="AA944" i="1"/>
  <c r="AI943" i="1"/>
  <c r="AH943" i="1"/>
  <c r="AG943" i="1"/>
  <c r="AF943" i="1"/>
  <c r="AE943" i="1"/>
  <c r="AD943" i="1"/>
  <c r="AC943" i="1"/>
  <c r="AB943" i="1"/>
  <c r="AA943" i="1"/>
  <c r="AI942" i="1"/>
  <c r="AH942" i="1"/>
  <c r="AG942" i="1"/>
  <c r="AF942" i="1"/>
  <c r="AE942" i="1"/>
  <c r="AD942" i="1"/>
  <c r="AC942" i="1"/>
  <c r="AB942" i="1"/>
  <c r="AA942" i="1"/>
  <c r="AI941" i="1"/>
  <c r="AH941" i="1"/>
  <c r="AG941" i="1"/>
  <c r="AF941" i="1"/>
  <c r="AE941" i="1"/>
  <c r="AD941" i="1"/>
  <c r="AC941" i="1"/>
  <c r="AB941" i="1"/>
  <c r="AA941" i="1"/>
  <c r="AI940" i="1"/>
  <c r="AH940" i="1"/>
  <c r="AG940" i="1"/>
  <c r="AF940" i="1"/>
  <c r="AE940" i="1"/>
  <c r="AD940" i="1"/>
  <c r="AC940" i="1"/>
  <c r="AB940" i="1"/>
  <c r="AA940" i="1"/>
  <c r="AI939" i="1"/>
  <c r="AH939" i="1"/>
  <c r="AG939" i="1"/>
  <c r="AF939" i="1"/>
  <c r="AE939" i="1"/>
  <c r="AD939" i="1"/>
  <c r="AC939" i="1"/>
  <c r="AB939" i="1"/>
  <c r="AA939" i="1"/>
  <c r="AI938" i="1"/>
  <c r="AH938" i="1"/>
  <c r="AG938" i="1"/>
  <c r="AF938" i="1"/>
  <c r="AE938" i="1"/>
  <c r="AD938" i="1"/>
  <c r="AC938" i="1"/>
  <c r="AB938" i="1"/>
  <c r="AA938" i="1"/>
  <c r="AI937" i="1"/>
  <c r="AH937" i="1"/>
  <c r="AG937" i="1"/>
  <c r="AF937" i="1"/>
  <c r="AE937" i="1"/>
  <c r="AD937" i="1"/>
  <c r="AC937" i="1"/>
  <c r="AB937" i="1"/>
  <c r="AA937" i="1"/>
  <c r="AI936" i="1"/>
  <c r="AH936" i="1"/>
  <c r="AG936" i="1"/>
  <c r="AF936" i="1"/>
  <c r="AE936" i="1"/>
  <c r="AD936" i="1"/>
  <c r="AC936" i="1"/>
  <c r="AB936" i="1"/>
  <c r="AA936" i="1"/>
  <c r="AI935" i="1"/>
  <c r="AH935" i="1"/>
  <c r="AG935" i="1"/>
  <c r="AF935" i="1"/>
  <c r="AE935" i="1"/>
  <c r="AD935" i="1"/>
  <c r="AC935" i="1"/>
  <c r="AB935" i="1"/>
  <c r="AA935" i="1"/>
  <c r="AI934" i="1"/>
  <c r="AH934" i="1"/>
  <c r="AG934" i="1"/>
  <c r="AF934" i="1"/>
  <c r="AE934" i="1"/>
  <c r="AD934" i="1"/>
  <c r="AC934" i="1"/>
  <c r="AB934" i="1"/>
  <c r="AA934" i="1"/>
  <c r="AI933" i="1"/>
  <c r="AH933" i="1"/>
  <c r="AG933" i="1"/>
  <c r="AF933" i="1"/>
  <c r="AE933" i="1"/>
  <c r="AD933" i="1"/>
  <c r="AC933" i="1"/>
  <c r="AB933" i="1"/>
  <c r="AA933" i="1"/>
  <c r="AI932" i="1"/>
  <c r="AH932" i="1"/>
  <c r="AG932" i="1"/>
  <c r="AF932" i="1"/>
  <c r="AE932" i="1"/>
  <c r="AD932" i="1"/>
  <c r="AC932" i="1"/>
  <c r="AB932" i="1"/>
  <c r="AA932" i="1"/>
  <c r="AI893" i="1"/>
  <c r="AH893" i="1"/>
  <c r="AG893" i="1"/>
  <c r="AF893" i="1"/>
  <c r="AE893" i="1"/>
  <c r="AD893" i="1"/>
  <c r="AC893" i="1"/>
  <c r="AB893" i="1"/>
  <c r="AA893" i="1"/>
  <c r="AI892" i="1"/>
  <c r="AH892" i="1"/>
  <c r="AG892" i="1"/>
  <c r="AF892" i="1"/>
  <c r="AE892" i="1"/>
  <c r="AD892" i="1"/>
  <c r="AC892" i="1"/>
  <c r="AB892" i="1"/>
  <c r="AA892" i="1"/>
  <c r="AI891" i="1"/>
  <c r="AH891" i="1"/>
  <c r="AG891" i="1"/>
  <c r="AF891" i="1"/>
  <c r="AE891" i="1"/>
  <c r="AD891" i="1"/>
  <c r="AC891" i="1"/>
  <c r="AB891" i="1"/>
  <c r="AA891" i="1"/>
  <c r="AI890" i="1"/>
  <c r="AH890" i="1"/>
  <c r="AG890" i="1"/>
  <c r="AF890" i="1"/>
  <c r="AE890" i="1"/>
  <c r="AD890" i="1"/>
  <c r="AC890" i="1"/>
  <c r="AB890" i="1"/>
  <c r="AA890" i="1"/>
  <c r="AI889" i="1"/>
  <c r="AH889" i="1"/>
  <c r="AG889" i="1"/>
  <c r="AF889" i="1"/>
  <c r="AE889" i="1"/>
  <c r="AD889" i="1"/>
  <c r="AC889" i="1"/>
  <c r="AB889" i="1"/>
  <c r="AA889" i="1"/>
  <c r="AI888" i="1"/>
  <c r="AH888" i="1"/>
  <c r="AG888" i="1"/>
  <c r="AF888" i="1"/>
  <c r="AE888" i="1"/>
  <c r="AD888" i="1"/>
  <c r="AC888" i="1"/>
  <c r="AB888" i="1"/>
  <c r="AA888" i="1"/>
  <c r="AI887" i="1"/>
  <c r="AH887" i="1"/>
  <c r="AG887" i="1"/>
  <c r="AF887" i="1"/>
  <c r="AE887" i="1"/>
  <c r="AD887" i="1"/>
  <c r="AC887" i="1"/>
  <c r="AB887" i="1"/>
  <c r="AA887" i="1"/>
  <c r="AI886" i="1"/>
  <c r="AH886" i="1"/>
  <c r="AG886" i="1"/>
  <c r="AF886" i="1"/>
  <c r="AE886" i="1"/>
  <c r="AD886" i="1"/>
  <c r="AC886" i="1"/>
  <c r="AB886" i="1"/>
  <c r="AA886" i="1"/>
  <c r="AI885" i="1"/>
  <c r="AH885" i="1"/>
  <c r="AG885" i="1"/>
  <c r="AF885" i="1"/>
  <c r="AE885" i="1"/>
  <c r="AD885" i="1"/>
  <c r="AC885" i="1"/>
  <c r="AB885" i="1"/>
  <c r="AA885" i="1"/>
  <c r="AI884" i="1"/>
  <c r="AH884" i="1"/>
  <c r="AG884" i="1"/>
  <c r="AF884" i="1"/>
  <c r="AE884" i="1"/>
  <c r="AD884" i="1"/>
  <c r="AC884" i="1"/>
  <c r="AB884" i="1"/>
  <c r="AA884" i="1"/>
  <c r="AI883" i="1"/>
  <c r="AH883" i="1"/>
  <c r="AG883" i="1"/>
  <c r="AF883" i="1"/>
  <c r="AE883" i="1"/>
  <c r="AD883" i="1"/>
  <c r="AC883" i="1"/>
  <c r="AB883" i="1"/>
  <c r="AA883" i="1"/>
  <c r="AI882" i="1"/>
  <c r="AH882" i="1"/>
  <c r="AG882" i="1"/>
  <c r="AF882" i="1"/>
  <c r="AE882" i="1"/>
  <c r="AD882" i="1"/>
  <c r="AC882" i="1"/>
  <c r="AB882" i="1"/>
  <c r="AA882" i="1"/>
  <c r="AI881" i="1"/>
  <c r="AH881" i="1"/>
  <c r="AG881" i="1"/>
  <c r="AF881" i="1"/>
  <c r="AE881" i="1"/>
  <c r="AD881" i="1"/>
  <c r="AC881" i="1"/>
  <c r="AB881" i="1"/>
  <c r="AA881" i="1"/>
  <c r="AI880" i="1"/>
  <c r="AH880" i="1"/>
  <c r="AG880" i="1"/>
  <c r="AF880" i="1"/>
  <c r="AE880" i="1"/>
  <c r="AD880" i="1"/>
  <c r="AC880" i="1"/>
  <c r="AB880" i="1"/>
  <c r="AA880" i="1"/>
  <c r="AI879" i="1"/>
  <c r="AH879" i="1"/>
  <c r="AG879" i="1"/>
  <c r="AF879" i="1"/>
  <c r="AE879" i="1"/>
  <c r="AD879" i="1"/>
  <c r="AC879" i="1"/>
  <c r="AB879" i="1"/>
  <c r="AA879" i="1"/>
  <c r="AI878" i="1"/>
  <c r="AH878" i="1"/>
  <c r="AG878" i="1"/>
  <c r="AF878" i="1"/>
  <c r="AE878" i="1"/>
  <c r="AD878" i="1"/>
  <c r="AC878" i="1"/>
  <c r="AB878" i="1"/>
  <c r="AA878" i="1"/>
  <c r="AI877" i="1"/>
  <c r="AH877" i="1"/>
  <c r="AG877" i="1"/>
  <c r="AF877" i="1"/>
  <c r="AE877" i="1"/>
  <c r="AD877" i="1"/>
  <c r="AC877" i="1"/>
  <c r="AB877" i="1"/>
  <c r="AA877" i="1"/>
  <c r="AI876" i="1"/>
  <c r="AH876" i="1"/>
  <c r="AG876" i="1"/>
  <c r="AF876" i="1"/>
  <c r="AE876" i="1"/>
  <c r="AD876" i="1"/>
  <c r="AC876" i="1"/>
  <c r="AB876" i="1"/>
  <c r="AA876" i="1"/>
  <c r="AI875" i="1"/>
  <c r="AH875" i="1"/>
  <c r="AG875" i="1"/>
  <c r="AF875" i="1"/>
  <c r="AE875" i="1"/>
  <c r="AD875" i="1"/>
  <c r="AC875" i="1"/>
  <c r="AB875" i="1"/>
  <c r="AA875" i="1"/>
  <c r="AI874" i="1"/>
  <c r="AH874" i="1"/>
  <c r="AG874" i="1"/>
  <c r="AF874" i="1"/>
  <c r="AE874" i="1"/>
  <c r="AD874" i="1"/>
  <c r="AC874" i="1"/>
  <c r="AB874" i="1"/>
  <c r="AA874" i="1"/>
  <c r="AI873" i="1"/>
  <c r="AH873" i="1"/>
  <c r="AG873" i="1"/>
  <c r="AF873" i="1"/>
  <c r="AE873" i="1"/>
  <c r="AD873" i="1"/>
  <c r="AC873" i="1"/>
  <c r="AB873" i="1"/>
  <c r="AA873" i="1"/>
  <c r="AI872" i="1"/>
  <c r="AH872" i="1"/>
  <c r="AG872" i="1"/>
  <c r="AF872" i="1"/>
  <c r="AE872" i="1"/>
  <c r="AD872" i="1"/>
  <c r="AC872" i="1"/>
  <c r="AB872" i="1"/>
  <c r="AA872" i="1"/>
  <c r="AI871" i="1"/>
  <c r="AH871" i="1"/>
  <c r="AG871" i="1"/>
  <c r="AF871" i="1"/>
  <c r="AE871" i="1"/>
  <c r="AD871" i="1"/>
  <c r="AC871" i="1"/>
  <c r="AB871" i="1"/>
  <c r="AA871" i="1"/>
  <c r="AI849" i="1"/>
  <c r="AH849" i="1"/>
  <c r="AG849" i="1"/>
  <c r="AF849" i="1"/>
  <c r="AE849" i="1"/>
  <c r="AD849" i="1"/>
  <c r="AC849" i="1"/>
  <c r="AB849" i="1"/>
  <c r="AA849" i="1"/>
  <c r="AI848" i="1"/>
  <c r="AH848" i="1"/>
  <c r="AG848" i="1"/>
  <c r="AF848" i="1"/>
  <c r="AE848" i="1"/>
  <c r="AD848" i="1"/>
  <c r="AC848" i="1"/>
  <c r="AB848" i="1"/>
  <c r="AA848" i="1"/>
  <c r="AI847" i="1"/>
  <c r="AH847" i="1"/>
  <c r="AG847" i="1"/>
  <c r="AF847" i="1"/>
  <c r="AE847" i="1"/>
  <c r="AD847" i="1"/>
  <c r="AC847" i="1"/>
  <c r="AB847" i="1"/>
  <c r="AA847" i="1"/>
  <c r="AI846" i="1"/>
  <c r="AH846" i="1"/>
  <c r="AG846" i="1"/>
  <c r="AF846" i="1"/>
  <c r="AE846" i="1"/>
  <c r="AD846" i="1"/>
  <c r="AC846" i="1"/>
  <c r="AB846" i="1"/>
  <c r="AA846" i="1"/>
  <c r="AI845" i="1"/>
  <c r="AH845" i="1"/>
  <c r="AG845" i="1"/>
  <c r="AF845" i="1"/>
  <c r="AE845" i="1"/>
  <c r="AD845" i="1"/>
  <c r="AC845" i="1"/>
  <c r="AB845" i="1"/>
  <c r="AA845" i="1"/>
  <c r="AI844" i="1"/>
  <c r="AH844" i="1"/>
  <c r="AG844" i="1"/>
  <c r="AF844" i="1"/>
  <c r="AE844" i="1"/>
  <c r="AD844" i="1"/>
  <c r="AC844" i="1"/>
  <c r="AB844" i="1"/>
  <c r="AA844" i="1"/>
  <c r="AI843" i="1"/>
  <c r="AH843" i="1"/>
  <c r="AG843" i="1"/>
  <c r="AF843" i="1"/>
  <c r="AE843" i="1"/>
  <c r="AD843" i="1"/>
  <c r="AC843" i="1"/>
  <c r="AB843" i="1"/>
  <c r="AA843" i="1"/>
  <c r="AI842" i="1"/>
  <c r="AH842" i="1"/>
  <c r="AG842" i="1"/>
  <c r="AF842" i="1"/>
  <c r="AE842" i="1"/>
  <c r="AD842" i="1"/>
  <c r="AC842" i="1"/>
  <c r="AB842" i="1"/>
  <c r="AA842" i="1"/>
  <c r="AI795" i="1"/>
  <c r="AH795" i="1"/>
  <c r="AG795" i="1"/>
  <c r="AF795" i="1"/>
  <c r="AE795" i="1"/>
  <c r="AD795" i="1"/>
  <c r="AC795" i="1"/>
  <c r="AB795" i="1"/>
  <c r="AA795" i="1"/>
  <c r="AI794" i="1"/>
  <c r="AH794" i="1"/>
  <c r="AG794" i="1"/>
  <c r="AF794" i="1"/>
  <c r="AE794" i="1"/>
  <c r="AD794" i="1"/>
  <c r="AC794" i="1"/>
  <c r="AB794" i="1"/>
  <c r="AA794" i="1"/>
  <c r="AI793" i="1"/>
  <c r="AH793" i="1"/>
  <c r="AG793" i="1"/>
  <c r="AF793" i="1"/>
  <c r="AE793" i="1"/>
  <c r="AD793" i="1"/>
  <c r="AC793" i="1"/>
  <c r="AB793" i="1"/>
  <c r="AA793" i="1"/>
  <c r="AI792" i="1"/>
  <c r="AH792" i="1"/>
  <c r="AG792" i="1"/>
  <c r="AF792" i="1"/>
  <c r="AE792" i="1"/>
  <c r="AD792" i="1"/>
  <c r="AC792" i="1"/>
  <c r="AB792" i="1"/>
  <c r="AA792" i="1"/>
  <c r="AI791" i="1"/>
  <c r="AH791" i="1"/>
  <c r="AG791" i="1"/>
  <c r="AF791" i="1"/>
  <c r="AE791" i="1"/>
  <c r="AD791" i="1"/>
  <c r="AC791" i="1"/>
  <c r="AB791" i="1"/>
  <c r="AA791" i="1"/>
  <c r="AI790" i="1"/>
  <c r="AH790" i="1"/>
  <c r="AG790" i="1"/>
  <c r="AF790" i="1"/>
  <c r="AE790" i="1"/>
  <c r="AD790" i="1"/>
  <c r="AC790" i="1"/>
  <c r="AB790" i="1"/>
  <c r="AA790" i="1"/>
  <c r="AI789" i="1"/>
  <c r="AH789" i="1"/>
  <c r="AG789" i="1"/>
  <c r="AF789" i="1"/>
  <c r="AE789" i="1"/>
  <c r="AD789" i="1"/>
  <c r="AC789" i="1"/>
  <c r="AB789" i="1"/>
  <c r="AA789" i="1"/>
  <c r="AI788" i="1"/>
  <c r="AH788" i="1"/>
  <c r="AG788" i="1"/>
  <c r="AF788" i="1"/>
  <c r="AE788" i="1"/>
  <c r="AD788" i="1"/>
  <c r="AC788" i="1"/>
  <c r="AB788" i="1"/>
  <c r="AA788" i="1"/>
  <c r="AI787" i="1"/>
  <c r="AH787" i="1"/>
  <c r="AG787" i="1"/>
  <c r="AF787" i="1"/>
  <c r="AE787" i="1"/>
  <c r="AD787" i="1"/>
  <c r="AC787" i="1"/>
  <c r="AB787" i="1"/>
  <c r="AA787" i="1"/>
  <c r="AI786" i="1"/>
  <c r="AH786" i="1"/>
  <c r="AG786" i="1"/>
  <c r="AF786" i="1"/>
  <c r="AE786" i="1"/>
  <c r="AD786" i="1"/>
  <c r="AC786" i="1"/>
  <c r="AB786" i="1"/>
  <c r="AA786" i="1"/>
  <c r="AI785" i="1"/>
  <c r="AH785" i="1"/>
  <c r="AG785" i="1"/>
  <c r="AF785" i="1"/>
  <c r="AE785" i="1"/>
  <c r="AD785" i="1"/>
  <c r="AC785" i="1"/>
  <c r="AB785" i="1"/>
  <c r="AA785" i="1"/>
  <c r="AI784" i="1"/>
  <c r="AH784" i="1"/>
  <c r="AG784" i="1"/>
  <c r="AF784" i="1"/>
  <c r="AE784" i="1"/>
  <c r="AD784" i="1"/>
  <c r="AC784" i="1"/>
  <c r="AB784" i="1"/>
  <c r="AA784" i="1"/>
  <c r="AI783" i="1"/>
  <c r="AH783" i="1"/>
  <c r="AG783" i="1"/>
  <c r="AF783" i="1"/>
  <c r="AE783" i="1"/>
  <c r="AD783" i="1"/>
  <c r="AC783" i="1"/>
  <c r="AB783" i="1"/>
  <c r="AA783" i="1"/>
  <c r="AI782" i="1"/>
  <c r="AH782" i="1"/>
  <c r="AG782" i="1"/>
  <c r="AF782" i="1"/>
  <c r="AE782" i="1"/>
  <c r="AD782" i="1"/>
  <c r="AC782" i="1"/>
  <c r="AB782" i="1"/>
  <c r="AA782" i="1"/>
  <c r="AI781" i="1"/>
  <c r="AH781" i="1"/>
  <c r="AG781" i="1"/>
  <c r="AF781" i="1"/>
  <c r="AE781" i="1"/>
  <c r="AD781" i="1"/>
  <c r="AC781" i="1"/>
  <c r="AB781" i="1"/>
  <c r="AA781" i="1"/>
  <c r="AI780" i="1"/>
  <c r="AH780" i="1"/>
  <c r="AG780" i="1"/>
  <c r="AF780" i="1"/>
  <c r="AE780" i="1"/>
  <c r="AD780" i="1"/>
  <c r="AC780" i="1"/>
  <c r="AB780" i="1"/>
  <c r="AA780" i="1"/>
  <c r="AI779" i="1"/>
  <c r="AH779" i="1"/>
  <c r="AG779" i="1"/>
  <c r="AF779" i="1"/>
  <c r="AE779" i="1"/>
  <c r="AD779" i="1"/>
  <c r="AC779" i="1"/>
  <c r="AB779" i="1"/>
  <c r="AA779" i="1"/>
  <c r="AI778" i="1"/>
  <c r="AH778" i="1"/>
  <c r="AG778" i="1"/>
  <c r="AF778" i="1"/>
  <c r="AE778" i="1"/>
  <c r="AD778" i="1"/>
  <c r="AC778" i="1"/>
  <c r="AB778" i="1"/>
  <c r="AA778" i="1"/>
  <c r="AI777" i="1"/>
  <c r="AH777" i="1"/>
  <c r="AG777" i="1"/>
  <c r="AF777" i="1"/>
  <c r="AE777" i="1"/>
  <c r="AD777" i="1"/>
  <c r="AC777" i="1"/>
  <c r="AB777" i="1"/>
  <c r="AA777" i="1"/>
  <c r="AI776" i="1"/>
  <c r="AH776" i="1"/>
  <c r="AG776" i="1"/>
  <c r="AF776" i="1"/>
  <c r="AE776" i="1"/>
  <c r="AD776" i="1"/>
  <c r="AC776" i="1"/>
  <c r="AB776" i="1"/>
  <c r="AA776" i="1"/>
  <c r="AI775" i="1"/>
  <c r="AH775" i="1"/>
  <c r="AG775" i="1"/>
  <c r="AF775" i="1"/>
  <c r="AE775" i="1"/>
  <c r="AD775" i="1"/>
  <c r="AC775" i="1"/>
  <c r="AB775" i="1"/>
  <c r="AA775" i="1"/>
  <c r="AI774" i="1"/>
  <c r="AH774" i="1"/>
  <c r="AG774" i="1"/>
  <c r="AF774" i="1"/>
  <c r="AE774" i="1"/>
  <c r="AD774" i="1"/>
  <c r="AC774" i="1"/>
  <c r="AB774" i="1"/>
  <c r="AA774" i="1"/>
  <c r="AI773" i="1"/>
  <c r="AH773" i="1"/>
  <c r="AG773" i="1"/>
  <c r="AF773" i="1"/>
  <c r="AE773" i="1"/>
  <c r="AD773" i="1"/>
  <c r="AC773" i="1"/>
  <c r="AB773" i="1"/>
  <c r="AA773" i="1"/>
  <c r="AI772" i="1"/>
  <c r="AH772" i="1"/>
  <c r="AG772" i="1"/>
  <c r="AF772" i="1"/>
  <c r="AE772" i="1"/>
  <c r="AD772" i="1"/>
  <c r="AC772" i="1"/>
  <c r="AB772" i="1"/>
  <c r="AA772" i="1"/>
  <c r="AI754" i="1"/>
  <c r="AH754" i="1"/>
  <c r="AG754" i="1"/>
  <c r="AF754" i="1"/>
  <c r="AE754" i="1"/>
  <c r="AD754" i="1"/>
  <c r="AC754" i="1"/>
  <c r="AB754" i="1"/>
  <c r="AA754" i="1"/>
  <c r="AI753" i="1"/>
  <c r="AH753" i="1"/>
  <c r="AG753" i="1"/>
  <c r="AF753" i="1"/>
  <c r="AE753" i="1"/>
  <c r="AD753" i="1"/>
  <c r="AC753" i="1"/>
  <c r="AB753" i="1"/>
  <c r="AA753" i="1"/>
  <c r="AI752" i="1"/>
  <c r="AH752" i="1"/>
  <c r="AG752" i="1"/>
  <c r="AF752" i="1"/>
  <c r="AE752" i="1"/>
  <c r="AD752" i="1"/>
  <c r="AC752" i="1"/>
  <c r="AB752" i="1"/>
  <c r="AA752" i="1"/>
  <c r="AI751" i="1"/>
  <c r="AH751" i="1"/>
  <c r="AG751" i="1"/>
  <c r="AF751" i="1"/>
  <c r="AE751" i="1"/>
  <c r="AD751" i="1"/>
  <c r="AC751" i="1"/>
  <c r="AB751" i="1"/>
  <c r="AA751" i="1"/>
  <c r="AI750" i="1"/>
  <c r="AH750" i="1"/>
  <c r="AG750" i="1"/>
  <c r="AF750" i="1"/>
  <c r="AE750" i="1"/>
  <c r="AD750" i="1"/>
  <c r="AC750" i="1"/>
  <c r="AB750" i="1"/>
  <c r="AA750" i="1"/>
  <c r="AI749" i="1"/>
  <c r="AH749" i="1"/>
  <c r="AG749" i="1"/>
  <c r="AF749" i="1"/>
  <c r="AE749" i="1"/>
  <c r="AD749" i="1"/>
  <c r="AC749" i="1"/>
  <c r="AB749" i="1"/>
  <c r="AA749" i="1"/>
  <c r="AI748" i="1"/>
  <c r="AH748" i="1"/>
  <c r="AG748" i="1"/>
  <c r="AF748" i="1"/>
  <c r="AE748" i="1"/>
  <c r="AD748" i="1"/>
  <c r="AC748" i="1"/>
  <c r="AB748" i="1"/>
  <c r="AA748" i="1"/>
  <c r="AI747" i="1"/>
  <c r="AH747" i="1"/>
  <c r="AG747" i="1"/>
  <c r="AF747" i="1"/>
  <c r="AE747" i="1"/>
  <c r="AD747" i="1"/>
  <c r="AC747" i="1"/>
  <c r="AB747" i="1"/>
  <c r="AA747" i="1"/>
  <c r="AI746" i="1"/>
  <c r="AH746" i="1"/>
  <c r="AG746" i="1"/>
  <c r="AF746" i="1"/>
  <c r="AE746" i="1"/>
  <c r="AD746" i="1"/>
  <c r="AC746" i="1"/>
  <c r="AB746" i="1"/>
  <c r="AA746" i="1"/>
  <c r="AI680" i="1"/>
  <c r="AH680" i="1"/>
  <c r="AG680" i="1"/>
  <c r="AF680" i="1"/>
  <c r="AE680" i="1"/>
  <c r="AD680" i="1"/>
  <c r="AC680" i="1"/>
  <c r="AB680" i="1"/>
  <c r="AA680" i="1"/>
  <c r="AI679" i="1"/>
  <c r="AH679" i="1"/>
  <c r="AG679" i="1"/>
  <c r="AF679" i="1"/>
  <c r="AE679" i="1"/>
  <c r="AD679" i="1"/>
  <c r="AC679" i="1"/>
  <c r="AB679" i="1"/>
  <c r="AA679" i="1"/>
  <c r="AI678" i="1"/>
  <c r="AH678" i="1"/>
  <c r="AG678" i="1"/>
  <c r="AF678" i="1"/>
  <c r="AE678" i="1"/>
  <c r="AD678" i="1"/>
  <c r="AC678" i="1"/>
  <c r="AB678" i="1"/>
  <c r="AA678" i="1"/>
  <c r="AI677" i="1"/>
  <c r="AH677" i="1"/>
  <c r="AG677" i="1"/>
  <c r="AF677" i="1"/>
  <c r="AE677" i="1"/>
  <c r="AD677" i="1"/>
  <c r="AC677" i="1"/>
  <c r="AB677" i="1"/>
  <c r="AA677" i="1"/>
  <c r="AI676" i="1"/>
  <c r="AH676" i="1"/>
  <c r="AG676" i="1"/>
  <c r="AF676" i="1"/>
  <c r="AE676" i="1"/>
  <c r="AD676" i="1"/>
  <c r="AC676" i="1"/>
  <c r="AB676" i="1"/>
  <c r="AA676" i="1"/>
  <c r="AI675" i="1"/>
  <c r="AH675" i="1"/>
  <c r="AG675" i="1"/>
  <c r="AF675" i="1"/>
  <c r="AE675" i="1"/>
  <c r="AD675" i="1"/>
  <c r="AC675" i="1"/>
  <c r="AB675" i="1"/>
  <c r="AA675" i="1"/>
  <c r="AI674" i="1"/>
  <c r="AH674" i="1"/>
  <c r="AG674" i="1"/>
  <c r="AF674" i="1"/>
  <c r="AE674" i="1"/>
  <c r="AD674" i="1"/>
  <c r="AC674" i="1"/>
  <c r="AB674" i="1"/>
  <c r="AA674" i="1"/>
  <c r="AI673" i="1"/>
  <c r="AH673" i="1"/>
  <c r="AG673" i="1"/>
  <c r="AF673" i="1"/>
  <c r="AE673" i="1"/>
  <c r="AD673" i="1"/>
  <c r="AC673" i="1"/>
  <c r="AB673" i="1"/>
  <c r="AA673" i="1"/>
  <c r="AI672" i="1"/>
  <c r="AH672" i="1"/>
  <c r="AG672" i="1"/>
  <c r="AF672" i="1"/>
  <c r="AE672" i="1"/>
  <c r="AD672" i="1"/>
  <c r="AC672" i="1"/>
  <c r="AB672" i="1"/>
  <c r="AA672" i="1"/>
  <c r="AI671" i="1"/>
  <c r="AH671" i="1"/>
  <c r="AG671" i="1"/>
  <c r="AF671" i="1"/>
  <c r="AE671" i="1"/>
  <c r="AD671" i="1"/>
  <c r="AC671" i="1"/>
  <c r="AB671" i="1"/>
  <c r="AA671" i="1"/>
  <c r="AI670" i="1"/>
  <c r="AH670" i="1"/>
  <c r="AG670" i="1"/>
  <c r="AF670" i="1"/>
  <c r="AE670" i="1"/>
  <c r="AD670" i="1"/>
  <c r="AC670" i="1"/>
  <c r="AB670" i="1"/>
  <c r="AA670" i="1"/>
  <c r="AI669" i="1"/>
  <c r="AH669" i="1"/>
  <c r="AG669" i="1"/>
  <c r="AF669" i="1"/>
  <c r="AE669" i="1"/>
  <c r="AD669" i="1"/>
  <c r="AC669" i="1"/>
  <c r="AB669" i="1"/>
  <c r="AA669" i="1"/>
  <c r="AI668" i="1"/>
  <c r="AH668" i="1"/>
  <c r="AG668" i="1"/>
  <c r="AF668" i="1"/>
  <c r="AE668" i="1"/>
  <c r="AD668" i="1"/>
  <c r="AC668" i="1"/>
  <c r="AB668" i="1"/>
  <c r="AA668" i="1"/>
  <c r="AI667" i="1"/>
  <c r="AH667" i="1"/>
  <c r="AG667" i="1"/>
  <c r="AF667" i="1"/>
  <c r="AE667" i="1"/>
  <c r="AD667" i="1"/>
  <c r="AC667" i="1"/>
  <c r="AB667" i="1"/>
  <c r="AA667" i="1"/>
  <c r="AI666" i="1"/>
  <c r="AH666" i="1"/>
  <c r="AG666" i="1"/>
  <c r="AF666" i="1"/>
  <c r="AE666" i="1"/>
  <c r="AD666" i="1"/>
  <c r="AC666" i="1"/>
  <c r="AB666" i="1"/>
  <c r="AA666" i="1"/>
  <c r="AI716" i="1"/>
  <c r="AH716" i="1"/>
  <c r="AG716" i="1"/>
  <c r="AF716" i="1"/>
  <c r="AE716" i="1"/>
  <c r="AD716" i="1"/>
  <c r="AC716" i="1"/>
  <c r="AB716" i="1"/>
  <c r="AA716" i="1"/>
  <c r="AI715" i="1"/>
  <c r="AH715" i="1"/>
  <c r="AG715" i="1"/>
  <c r="AF715" i="1"/>
  <c r="AE715" i="1"/>
  <c r="AD715" i="1"/>
  <c r="AC715" i="1"/>
  <c r="AB715" i="1"/>
  <c r="AA715" i="1"/>
  <c r="AI714" i="1"/>
  <c r="AH714" i="1"/>
  <c r="AG714" i="1"/>
  <c r="AF714" i="1"/>
  <c r="AE714" i="1"/>
  <c r="AD714" i="1"/>
  <c r="AC714" i="1"/>
  <c r="AB714" i="1"/>
  <c r="AA714" i="1"/>
  <c r="AI713" i="1"/>
  <c r="AH713" i="1"/>
  <c r="AG713" i="1"/>
  <c r="AF713" i="1"/>
  <c r="AE713" i="1"/>
  <c r="AD713" i="1"/>
  <c r="AC713" i="1"/>
  <c r="AB713" i="1"/>
  <c r="AA713" i="1"/>
  <c r="AI712" i="1"/>
  <c r="AH712" i="1"/>
  <c r="AG712" i="1"/>
  <c r="AF712" i="1"/>
  <c r="AE712" i="1"/>
  <c r="AD712" i="1"/>
  <c r="AC712" i="1"/>
  <c r="AB712" i="1"/>
  <c r="AA712" i="1"/>
  <c r="AI711" i="1"/>
  <c r="AH711" i="1"/>
  <c r="AG711" i="1"/>
  <c r="AF711" i="1"/>
  <c r="AE711" i="1"/>
  <c r="AD711" i="1"/>
  <c r="AC711" i="1"/>
  <c r="AB711" i="1"/>
  <c r="AA711" i="1"/>
  <c r="AI710" i="1"/>
  <c r="AH710" i="1"/>
  <c r="AG710" i="1"/>
  <c r="AF710" i="1"/>
  <c r="AE710" i="1"/>
  <c r="AD710" i="1"/>
  <c r="AC710" i="1"/>
  <c r="AB710" i="1"/>
  <c r="AA710" i="1"/>
  <c r="AI709" i="1"/>
  <c r="AH709" i="1"/>
  <c r="AG709" i="1"/>
  <c r="AF709" i="1"/>
  <c r="AE709" i="1"/>
  <c r="AD709" i="1"/>
  <c r="AC709" i="1"/>
  <c r="AB709" i="1"/>
  <c r="AA709" i="1"/>
  <c r="AI708" i="1"/>
  <c r="AH708" i="1"/>
  <c r="AG708" i="1"/>
  <c r="AF708" i="1"/>
  <c r="AE708" i="1"/>
  <c r="AD708" i="1"/>
  <c r="AC708" i="1"/>
  <c r="AB708" i="1"/>
  <c r="AA708" i="1"/>
  <c r="AI707" i="1"/>
  <c r="AH707" i="1"/>
  <c r="AG707" i="1"/>
  <c r="AF707" i="1"/>
  <c r="AE707" i="1"/>
  <c r="AD707" i="1"/>
  <c r="AC707" i="1"/>
  <c r="AB707" i="1"/>
  <c r="AA707" i="1"/>
  <c r="AI706" i="1"/>
  <c r="AH706" i="1"/>
  <c r="AG706" i="1"/>
  <c r="AF706" i="1"/>
  <c r="AE706" i="1"/>
  <c r="AD706" i="1"/>
  <c r="AC706" i="1"/>
  <c r="AB706" i="1"/>
  <c r="AA706" i="1"/>
  <c r="AI705" i="1"/>
  <c r="AH705" i="1"/>
  <c r="AG705" i="1"/>
  <c r="AF705" i="1"/>
  <c r="AE705" i="1"/>
  <c r="AD705" i="1"/>
  <c r="AC705" i="1"/>
  <c r="AB705" i="1"/>
  <c r="AA705" i="1"/>
  <c r="AI704" i="1"/>
  <c r="AH704" i="1"/>
  <c r="AG704" i="1"/>
  <c r="AF704" i="1"/>
  <c r="AE704" i="1"/>
  <c r="AD704" i="1"/>
  <c r="AC704" i="1"/>
  <c r="AB704" i="1"/>
  <c r="AA704" i="1"/>
  <c r="AI703" i="1"/>
  <c r="AH703" i="1"/>
  <c r="AG703" i="1"/>
  <c r="AF703" i="1"/>
  <c r="AE703" i="1"/>
  <c r="AD703" i="1"/>
  <c r="AC703" i="1"/>
  <c r="AB703" i="1"/>
  <c r="AA703" i="1"/>
  <c r="AI702" i="1"/>
  <c r="AH702" i="1"/>
  <c r="AG702" i="1"/>
  <c r="AF702" i="1"/>
  <c r="AE702" i="1"/>
  <c r="AD702" i="1"/>
  <c r="AC702" i="1"/>
  <c r="AB702" i="1"/>
  <c r="AA702" i="1"/>
  <c r="AI701" i="1"/>
  <c r="AH701" i="1"/>
  <c r="AG701" i="1"/>
  <c r="AF701" i="1"/>
  <c r="AE701" i="1"/>
  <c r="AD701" i="1"/>
  <c r="AC701" i="1"/>
  <c r="AB701" i="1"/>
  <c r="AA701" i="1"/>
  <c r="AI700" i="1"/>
  <c r="AH700" i="1"/>
  <c r="AG700" i="1"/>
  <c r="AF700" i="1"/>
  <c r="AE700" i="1"/>
  <c r="AD700" i="1"/>
  <c r="AC700" i="1"/>
  <c r="AB700" i="1"/>
  <c r="AA700" i="1"/>
  <c r="AI649" i="1"/>
  <c r="AH649" i="1"/>
  <c r="AG649" i="1"/>
  <c r="AF649" i="1"/>
  <c r="AE649" i="1"/>
  <c r="AD649" i="1"/>
  <c r="AC649" i="1"/>
  <c r="AB649" i="1"/>
  <c r="AA649" i="1"/>
  <c r="AI648" i="1"/>
  <c r="AH648" i="1"/>
  <c r="AG648" i="1"/>
  <c r="AF648" i="1"/>
  <c r="AE648" i="1"/>
  <c r="AD648" i="1"/>
  <c r="AC648" i="1"/>
  <c r="AB648" i="1"/>
  <c r="AA648" i="1"/>
  <c r="AI647" i="1"/>
  <c r="AH647" i="1"/>
  <c r="AG647" i="1"/>
  <c r="AF647" i="1"/>
  <c r="AE647" i="1"/>
  <c r="AD647" i="1"/>
  <c r="AC647" i="1"/>
  <c r="AB647" i="1"/>
  <c r="AA647" i="1"/>
  <c r="AI646" i="1"/>
  <c r="AH646" i="1"/>
  <c r="AG646" i="1"/>
  <c r="AF646" i="1"/>
  <c r="AE646" i="1"/>
  <c r="AD646" i="1"/>
  <c r="AC646" i="1"/>
  <c r="AB646" i="1"/>
  <c r="AA646" i="1"/>
  <c r="AI645" i="1"/>
  <c r="AH645" i="1"/>
  <c r="AG645" i="1"/>
  <c r="AF645" i="1"/>
  <c r="AE645" i="1"/>
  <c r="AD645" i="1"/>
  <c r="AC645" i="1"/>
  <c r="AB645" i="1"/>
  <c r="AA645" i="1"/>
  <c r="AI644" i="1"/>
  <c r="AH644" i="1"/>
  <c r="AG644" i="1"/>
  <c r="AF644" i="1"/>
  <c r="AE644" i="1"/>
  <c r="AD644" i="1"/>
  <c r="AC644" i="1"/>
  <c r="AB644" i="1"/>
  <c r="AA644" i="1"/>
  <c r="AI643" i="1"/>
  <c r="AH643" i="1"/>
  <c r="AG643" i="1"/>
  <c r="AF643" i="1"/>
  <c r="AE643" i="1"/>
  <c r="AD643" i="1"/>
  <c r="AC643" i="1"/>
  <c r="AB643" i="1"/>
  <c r="AA643" i="1"/>
  <c r="AI642" i="1"/>
  <c r="AH642" i="1"/>
  <c r="AG642" i="1"/>
  <c r="AF642" i="1"/>
  <c r="AE642" i="1"/>
  <c r="AD642" i="1"/>
  <c r="AC642" i="1"/>
  <c r="AB642" i="1"/>
  <c r="AA642" i="1"/>
  <c r="AI641" i="1"/>
  <c r="AH641" i="1"/>
  <c r="AG641" i="1"/>
  <c r="AF641" i="1"/>
  <c r="AE641" i="1"/>
  <c r="AD641" i="1"/>
  <c r="AC641" i="1"/>
  <c r="AB641" i="1"/>
  <c r="AA641" i="1"/>
  <c r="AI640" i="1"/>
  <c r="AH640" i="1"/>
  <c r="AG640" i="1"/>
  <c r="AF640" i="1"/>
  <c r="AE640" i="1"/>
  <c r="AD640" i="1"/>
  <c r="AC640" i="1"/>
  <c r="AB640" i="1"/>
  <c r="AA640" i="1"/>
  <c r="AI639" i="1"/>
  <c r="AH639" i="1"/>
  <c r="AG639" i="1"/>
  <c r="AF639" i="1"/>
  <c r="AE639" i="1"/>
  <c r="AD639" i="1"/>
  <c r="AC639" i="1"/>
  <c r="AB639" i="1"/>
  <c r="AA639" i="1"/>
  <c r="AI638" i="1"/>
  <c r="AH638" i="1"/>
  <c r="AG638" i="1"/>
  <c r="AF638" i="1"/>
  <c r="AE638" i="1"/>
  <c r="AD638" i="1"/>
  <c r="AC638" i="1"/>
  <c r="AB638" i="1"/>
  <c r="AA638" i="1"/>
  <c r="AI637" i="1"/>
  <c r="AH637" i="1"/>
  <c r="AG637" i="1"/>
  <c r="AF637" i="1"/>
  <c r="AE637" i="1"/>
  <c r="AD637" i="1"/>
  <c r="AC637" i="1"/>
  <c r="AB637" i="1"/>
  <c r="AA637" i="1"/>
  <c r="AI636" i="1"/>
  <c r="AH636" i="1"/>
  <c r="AG636" i="1"/>
  <c r="AF636" i="1"/>
  <c r="AE636" i="1"/>
  <c r="AD636" i="1"/>
  <c r="AC636" i="1"/>
  <c r="AB636" i="1"/>
  <c r="AA636" i="1"/>
  <c r="AI635" i="1"/>
  <c r="AH635" i="1"/>
  <c r="AG635" i="1"/>
  <c r="AF635" i="1"/>
  <c r="AE635" i="1"/>
  <c r="AD635" i="1"/>
  <c r="AC635" i="1"/>
  <c r="AB635" i="1"/>
  <c r="AA635" i="1"/>
  <c r="AI634" i="1"/>
  <c r="AH634" i="1"/>
  <c r="AG634" i="1"/>
  <c r="AF634" i="1"/>
  <c r="AE634" i="1"/>
  <c r="AD634" i="1"/>
  <c r="AC634" i="1"/>
  <c r="AB634" i="1"/>
  <c r="AA634" i="1"/>
  <c r="AI633" i="1"/>
  <c r="AH633" i="1"/>
  <c r="AG633" i="1"/>
  <c r="AF633" i="1"/>
  <c r="AE633" i="1"/>
  <c r="AD633" i="1"/>
  <c r="AC633" i="1"/>
  <c r="AB633" i="1"/>
  <c r="AA633" i="1"/>
  <c r="AI632" i="1"/>
  <c r="AH632" i="1"/>
  <c r="AG632" i="1"/>
  <c r="AF632" i="1"/>
  <c r="AE632" i="1"/>
  <c r="AD632" i="1"/>
  <c r="AC632" i="1"/>
  <c r="AB632" i="1"/>
  <c r="AA632" i="1"/>
  <c r="AI631" i="1"/>
  <c r="AH631" i="1"/>
  <c r="AG631" i="1"/>
  <c r="AF631" i="1"/>
  <c r="AE631" i="1"/>
  <c r="AD631" i="1"/>
  <c r="AC631" i="1"/>
  <c r="AB631" i="1"/>
  <c r="AA631" i="1"/>
  <c r="AI630" i="1"/>
  <c r="AH630" i="1"/>
  <c r="AG630" i="1"/>
  <c r="AF630" i="1"/>
  <c r="AE630" i="1"/>
  <c r="AD630" i="1"/>
  <c r="AC630" i="1"/>
  <c r="AB630" i="1"/>
  <c r="AA630" i="1"/>
  <c r="AI629" i="1"/>
  <c r="AH629" i="1"/>
  <c r="AG629" i="1"/>
  <c r="AF629" i="1"/>
  <c r="AE629" i="1"/>
  <c r="AD629" i="1"/>
  <c r="AC629" i="1"/>
  <c r="AB629" i="1"/>
  <c r="AA629" i="1"/>
  <c r="AI628" i="1"/>
  <c r="AH628" i="1"/>
  <c r="AG628" i="1"/>
  <c r="AF628" i="1"/>
  <c r="AE628" i="1"/>
  <c r="AD628" i="1"/>
  <c r="AC628" i="1"/>
  <c r="AB628" i="1"/>
  <c r="AA628" i="1"/>
  <c r="AI627" i="1"/>
  <c r="AH627" i="1"/>
  <c r="AG627" i="1"/>
  <c r="AF627" i="1"/>
  <c r="AE627" i="1"/>
  <c r="AD627" i="1"/>
  <c r="AC627" i="1"/>
  <c r="AB627" i="1"/>
  <c r="AA627" i="1"/>
  <c r="AI626" i="1"/>
  <c r="AH626" i="1"/>
  <c r="AG626" i="1"/>
  <c r="AF626" i="1"/>
  <c r="AE626" i="1"/>
  <c r="AD626" i="1"/>
  <c r="AC626" i="1"/>
  <c r="AB626" i="1"/>
  <c r="AA626" i="1"/>
  <c r="AI625" i="1"/>
  <c r="AH625" i="1"/>
  <c r="AG625" i="1"/>
  <c r="AF625" i="1"/>
  <c r="AE625" i="1"/>
  <c r="AD625" i="1"/>
  <c r="AC625" i="1"/>
  <c r="AB625" i="1"/>
  <c r="AA625" i="1"/>
  <c r="AI603" i="1"/>
  <c r="AH603" i="1"/>
  <c r="AG603" i="1"/>
  <c r="AF603" i="1"/>
  <c r="AE603" i="1"/>
  <c r="AD603" i="1"/>
  <c r="AC603" i="1"/>
  <c r="AB603" i="1"/>
  <c r="AA603" i="1"/>
  <c r="AI602" i="1"/>
  <c r="AH602" i="1"/>
  <c r="AG602" i="1"/>
  <c r="AF602" i="1"/>
  <c r="AE602" i="1"/>
  <c r="AD602" i="1"/>
  <c r="AC602" i="1"/>
  <c r="AB602" i="1"/>
  <c r="AA602" i="1"/>
  <c r="AI601" i="1"/>
  <c r="AH601" i="1"/>
  <c r="AG601" i="1"/>
  <c r="AF601" i="1"/>
  <c r="AE601" i="1"/>
  <c r="AD601" i="1"/>
  <c r="AC601" i="1"/>
  <c r="AB601" i="1"/>
  <c r="AA601" i="1"/>
  <c r="AI600" i="1"/>
  <c r="AH600" i="1"/>
  <c r="AG600" i="1"/>
  <c r="AF600" i="1"/>
  <c r="AE600" i="1"/>
  <c r="AD600" i="1"/>
  <c r="AC600" i="1"/>
  <c r="AB600" i="1"/>
  <c r="AA600" i="1"/>
  <c r="AI599" i="1"/>
  <c r="AH599" i="1"/>
  <c r="AG599" i="1"/>
  <c r="AF599" i="1"/>
  <c r="AE599" i="1"/>
  <c r="AD599" i="1"/>
  <c r="AC599" i="1"/>
  <c r="AB599" i="1"/>
  <c r="AA599" i="1"/>
  <c r="AI598" i="1"/>
  <c r="AH598" i="1"/>
  <c r="AG598" i="1"/>
  <c r="AF598" i="1"/>
  <c r="AE598" i="1"/>
  <c r="AD598" i="1"/>
  <c r="AC598" i="1"/>
  <c r="AB598" i="1"/>
  <c r="AA598" i="1"/>
  <c r="AI597" i="1"/>
  <c r="AH597" i="1"/>
  <c r="AG597" i="1"/>
  <c r="AF597" i="1"/>
  <c r="AE597" i="1"/>
  <c r="AD597" i="1"/>
  <c r="AC597" i="1"/>
  <c r="AB597" i="1"/>
  <c r="AA597" i="1"/>
  <c r="AI596" i="1"/>
  <c r="AH596" i="1"/>
  <c r="AG596" i="1"/>
  <c r="AF596" i="1"/>
  <c r="AE596" i="1"/>
  <c r="AD596" i="1"/>
  <c r="AC596" i="1"/>
  <c r="AB596" i="1"/>
  <c r="AA596" i="1"/>
  <c r="AI595" i="1"/>
  <c r="AH595" i="1"/>
  <c r="AG595" i="1"/>
  <c r="AF595" i="1"/>
  <c r="AE595" i="1"/>
  <c r="AD595" i="1"/>
  <c r="AC595" i="1"/>
  <c r="AB595" i="1"/>
  <c r="AA595" i="1"/>
  <c r="AI594" i="1"/>
  <c r="AH594" i="1"/>
  <c r="AG594" i="1"/>
  <c r="AF594" i="1"/>
  <c r="AE594" i="1"/>
  <c r="AD594" i="1"/>
  <c r="AC594" i="1"/>
  <c r="AB594" i="1"/>
  <c r="AA594" i="1"/>
  <c r="AI593" i="1"/>
  <c r="AH593" i="1"/>
  <c r="AG593" i="1"/>
  <c r="AF593" i="1"/>
  <c r="AE593" i="1"/>
  <c r="AD593" i="1"/>
  <c r="AC593" i="1"/>
  <c r="AB593" i="1"/>
  <c r="AA593" i="1"/>
  <c r="AI592" i="1"/>
  <c r="AH592" i="1"/>
  <c r="AG592" i="1"/>
  <c r="AF592" i="1"/>
  <c r="AE592" i="1"/>
  <c r="AD592" i="1"/>
  <c r="AC592" i="1"/>
  <c r="AB592" i="1"/>
  <c r="AA592" i="1"/>
  <c r="AI591" i="1"/>
  <c r="AH591" i="1"/>
  <c r="AG591" i="1"/>
  <c r="AF591" i="1"/>
  <c r="AE591" i="1"/>
  <c r="AD591" i="1"/>
  <c r="AC591" i="1"/>
  <c r="AB591" i="1"/>
  <c r="AA591" i="1"/>
  <c r="AI590" i="1"/>
  <c r="AH590" i="1"/>
  <c r="AG590" i="1"/>
  <c r="AF590" i="1"/>
  <c r="AE590" i="1"/>
  <c r="AD590" i="1"/>
  <c r="AC590" i="1"/>
  <c r="AB590" i="1"/>
  <c r="AA590" i="1"/>
  <c r="AI589" i="1"/>
  <c r="AH589" i="1"/>
  <c r="AG589" i="1"/>
  <c r="AF589" i="1"/>
  <c r="AE589" i="1"/>
  <c r="AD589" i="1"/>
  <c r="AC589" i="1"/>
  <c r="AB589" i="1"/>
  <c r="AA589" i="1"/>
  <c r="AI588" i="1"/>
  <c r="AH588" i="1"/>
  <c r="AG588" i="1"/>
  <c r="AF588" i="1"/>
  <c r="AE588" i="1"/>
  <c r="AD588" i="1"/>
  <c r="AC588" i="1"/>
  <c r="AB588" i="1"/>
  <c r="AA588" i="1"/>
  <c r="AI587" i="1"/>
  <c r="AH587" i="1"/>
  <c r="AG587" i="1"/>
  <c r="AF587" i="1"/>
  <c r="AE587" i="1"/>
  <c r="AD587" i="1"/>
  <c r="AC587" i="1"/>
  <c r="AB587" i="1"/>
  <c r="AA587" i="1"/>
  <c r="AI586" i="1"/>
  <c r="AH586" i="1"/>
  <c r="AG586" i="1"/>
  <c r="AF586" i="1"/>
  <c r="AE586" i="1"/>
  <c r="AD586" i="1"/>
  <c r="AC586" i="1"/>
  <c r="AB586" i="1"/>
  <c r="AA586" i="1"/>
  <c r="AI585" i="1"/>
  <c r="AH585" i="1"/>
  <c r="AG585" i="1"/>
  <c r="AF585" i="1"/>
  <c r="AE585" i="1"/>
  <c r="AD585" i="1"/>
  <c r="AC585" i="1"/>
  <c r="AB585" i="1"/>
  <c r="AA585" i="1"/>
  <c r="AI584" i="1"/>
  <c r="AH584" i="1"/>
  <c r="AG584" i="1"/>
  <c r="AF584" i="1"/>
  <c r="AE584" i="1"/>
  <c r="AD584" i="1"/>
  <c r="AC584" i="1"/>
  <c r="AB584" i="1"/>
  <c r="AA584" i="1"/>
  <c r="AI583" i="1"/>
  <c r="AH583" i="1"/>
  <c r="AG583" i="1"/>
  <c r="AF583" i="1"/>
  <c r="AE583" i="1"/>
  <c r="AD583" i="1"/>
  <c r="AC583" i="1"/>
  <c r="AB583" i="1"/>
  <c r="AA583" i="1"/>
  <c r="AI582" i="1"/>
  <c r="AH582" i="1"/>
  <c r="AG582" i="1"/>
  <c r="AF582" i="1"/>
  <c r="AE582" i="1"/>
  <c r="AD582" i="1"/>
  <c r="AC582" i="1"/>
  <c r="AB582" i="1"/>
  <c r="AA582" i="1"/>
  <c r="AI1503" i="1"/>
  <c r="AH1503" i="1"/>
  <c r="AG1503" i="1"/>
  <c r="AF1503" i="1"/>
  <c r="AE1503" i="1"/>
  <c r="AD1503" i="1"/>
  <c r="AC1503" i="1"/>
  <c r="AB1503" i="1"/>
  <c r="AA1503" i="1"/>
  <c r="AI1502" i="1"/>
  <c r="AH1502" i="1"/>
  <c r="AG1502" i="1"/>
  <c r="AF1502" i="1"/>
  <c r="AE1502" i="1"/>
  <c r="AD1502" i="1"/>
  <c r="AC1502" i="1"/>
  <c r="AB1502" i="1"/>
  <c r="AA1502" i="1"/>
  <c r="AI1501" i="1"/>
  <c r="AH1501" i="1"/>
  <c r="AG1501" i="1"/>
  <c r="AF1501" i="1"/>
  <c r="AE1501" i="1"/>
  <c r="AD1501" i="1"/>
  <c r="AC1501" i="1"/>
  <c r="AB1501" i="1"/>
  <c r="AA1501" i="1"/>
  <c r="AI1500" i="1"/>
  <c r="AH1500" i="1"/>
  <c r="AG1500" i="1"/>
  <c r="AF1500" i="1"/>
  <c r="AE1500" i="1"/>
  <c r="AD1500" i="1"/>
  <c r="AC1500" i="1"/>
  <c r="AB1500" i="1"/>
  <c r="AA1500" i="1"/>
  <c r="AI1499" i="1"/>
  <c r="AH1499" i="1"/>
  <c r="AG1499" i="1"/>
  <c r="AF1499" i="1"/>
  <c r="AE1499" i="1"/>
  <c r="AD1499" i="1"/>
  <c r="AC1499" i="1"/>
  <c r="AB1499" i="1"/>
  <c r="AA1499" i="1"/>
  <c r="AI1498" i="1"/>
  <c r="AH1498" i="1"/>
  <c r="AG1498" i="1"/>
  <c r="AF1498" i="1"/>
  <c r="AE1498" i="1"/>
  <c r="AD1498" i="1"/>
  <c r="AC1498" i="1"/>
  <c r="AB1498" i="1"/>
  <c r="AA1498" i="1"/>
  <c r="AI1497" i="1"/>
  <c r="AH1497" i="1"/>
  <c r="AG1497" i="1"/>
  <c r="AF1497" i="1"/>
  <c r="AE1497" i="1"/>
  <c r="AD1497" i="1"/>
  <c r="AC1497" i="1"/>
  <c r="AB1497" i="1"/>
  <c r="AA1497" i="1"/>
  <c r="AI1496" i="1"/>
  <c r="AH1496" i="1"/>
  <c r="AG1496" i="1"/>
  <c r="AF1496" i="1"/>
  <c r="AE1496" i="1"/>
  <c r="AD1496" i="1"/>
  <c r="AC1496" i="1"/>
  <c r="AB1496" i="1"/>
  <c r="AA1496" i="1"/>
  <c r="AI1495" i="1"/>
  <c r="AH1495" i="1"/>
  <c r="AG1495" i="1"/>
  <c r="AF1495" i="1"/>
  <c r="AE1495" i="1"/>
  <c r="AD1495" i="1"/>
  <c r="AC1495" i="1"/>
  <c r="AB1495" i="1"/>
  <c r="AA1495" i="1"/>
  <c r="AI1494" i="1"/>
  <c r="AH1494" i="1"/>
  <c r="AG1494" i="1"/>
  <c r="AF1494" i="1"/>
  <c r="AE1494" i="1"/>
  <c r="AD1494" i="1"/>
  <c r="AC1494" i="1"/>
  <c r="AB1494" i="1"/>
  <c r="AA1494" i="1"/>
  <c r="AI1493" i="1"/>
  <c r="AH1493" i="1"/>
  <c r="AG1493" i="1"/>
  <c r="AF1493" i="1"/>
  <c r="AE1493" i="1"/>
  <c r="AD1493" i="1"/>
  <c r="AC1493" i="1"/>
  <c r="AB1493" i="1"/>
  <c r="AA1493" i="1"/>
  <c r="AI1492" i="1"/>
  <c r="AH1492" i="1"/>
  <c r="AG1492" i="1"/>
  <c r="AF1492" i="1"/>
  <c r="AE1492" i="1"/>
  <c r="AD1492" i="1"/>
  <c r="AC1492" i="1"/>
  <c r="AB1492" i="1"/>
  <c r="AA1492" i="1"/>
  <c r="AI1491" i="1"/>
  <c r="AH1491" i="1"/>
  <c r="AG1491" i="1"/>
  <c r="AF1491" i="1"/>
  <c r="AE1491" i="1"/>
  <c r="AD1491" i="1"/>
  <c r="AC1491" i="1"/>
  <c r="AB1491" i="1"/>
  <c r="AA1491" i="1"/>
  <c r="AI1490" i="1"/>
  <c r="AH1490" i="1"/>
  <c r="AG1490" i="1"/>
  <c r="AF1490" i="1"/>
  <c r="AE1490" i="1"/>
  <c r="AD1490" i="1"/>
  <c r="AC1490" i="1"/>
  <c r="AB1490" i="1"/>
  <c r="AA1490" i="1"/>
  <c r="AI1489" i="1"/>
  <c r="AH1489" i="1"/>
  <c r="AG1489" i="1"/>
  <c r="AF1489" i="1"/>
  <c r="AE1489" i="1"/>
  <c r="AD1489" i="1"/>
  <c r="AC1489" i="1"/>
  <c r="AB1489" i="1"/>
  <c r="AA1489" i="1"/>
  <c r="AI1488" i="1"/>
  <c r="AH1488" i="1"/>
  <c r="AG1488" i="1"/>
  <c r="AF1488" i="1"/>
  <c r="AE1488" i="1"/>
  <c r="AD1488" i="1"/>
  <c r="AC1488" i="1"/>
  <c r="AB1488" i="1"/>
  <c r="AA1488" i="1"/>
  <c r="AI1487" i="1"/>
  <c r="AH1487" i="1"/>
  <c r="AG1487" i="1"/>
  <c r="AF1487" i="1"/>
  <c r="AE1487" i="1"/>
  <c r="AD1487" i="1"/>
  <c r="AC1487" i="1"/>
  <c r="AB1487" i="1"/>
  <c r="AA1487" i="1"/>
  <c r="AI1486" i="1"/>
  <c r="AH1486" i="1"/>
  <c r="AG1486" i="1"/>
  <c r="AF1486" i="1"/>
  <c r="AE1486" i="1"/>
  <c r="AD1486" i="1"/>
  <c r="AC1486" i="1"/>
  <c r="AB1486" i="1"/>
  <c r="AA1486" i="1"/>
  <c r="AI1485" i="1"/>
  <c r="AH1485" i="1"/>
  <c r="AG1485" i="1"/>
  <c r="AF1485" i="1"/>
  <c r="AE1485" i="1"/>
  <c r="AD1485" i="1"/>
  <c r="AC1485" i="1"/>
  <c r="AB1485" i="1"/>
  <c r="AA1485" i="1"/>
  <c r="AI1484" i="1"/>
  <c r="AH1484" i="1"/>
  <c r="AG1484" i="1"/>
  <c r="AF1484" i="1"/>
  <c r="AE1484" i="1"/>
  <c r="AD1484" i="1"/>
  <c r="AC1484" i="1"/>
  <c r="AB1484" i="1"/>
  <c r="AA1484" i="1"/>
  <c r="AI1483" i="1"/>
  <c r="AH1483" i="1"/>
  <c r="AG1483" i="1"/>
  <c r="AF1483" i="1"/>
  <c r="AE1483" i="1"/>
  <c r="AD1483" i="1"/>
  <c r="AC1483" i="1"/>
  <c r="AB1483" i="1"/>
  <c r="AA1483" i="1"/>
  <c r="AI495" i="1"/>
  <c r="AH495" i="1"/>
  <c r="AG495" i="1"/>
  <c r="AF495" i="1"/>
  <c r="AE495" i="1"/>
  <c r="AD495" i="1"/>
  <c r="AC495" i="1"/>
  <c r="AB495" i="1"/>
  <c r="AA495" i="1"/>
  <c r="AI494" i="1"/>
  <c r="AH494" i="1"/>
  <c r="AG494" i="1"/>
  <c r="AF494" i="1"/>
  <c r="AE494" i="1"/>
  <c r="AD494" i="1"/>
  <c r="AC494" i="1"/>
  <c r="AB494" i="1"/>
  <c r="AA494" i="1"/>
  <c r="AI493" i="1"/>
  <c r="AH493" i="1"/>
  <c r="AG493" i="1"/>
  <c r="AF493" i="1"/>
  <c r="AE493" i="1"/>
  <c r="AD493" i="1"/>
  <c r="AC493" i="1"/>
  <c r="AB493" i="1"/>
  <c r="AA493" i="1"/>
  <c r="AI492" i="1"/>
  <c r="AH492" i="1"/>
  <c r="AG492" i="1"/>
  <c r="AF492" i="1"/>
  <c r="AE492" i="1"/>
  <c r="AD492" i="1"/>
  <c r="AC492" i="1"/>
  <c r="AB492" i="1"/>
  <c r="AA492" i="1"/>
  <c r="AI491" i="1"/>
  <c r="AH491" i="1"/>
  <c r="AG491" i="1"/>
  <c r="AF491" i="1"/>
  <c r="AE491" i="1"/>
  <c r="AD491" i="1"/>
  <c r="AC491" i="1"/>
  <c r="AB491" i="1"/>
  <c r="AA491" i="1"/>
  <c r="AI490" i="1"/>
  <c r="AH490" i="1"/>
  <c r="AG490" i="1"/>
  <c r="AF490" i="1"/>
  <c r="AE490" i="1"/>
  <c r="AD490" i="1"/>
  <c r="AC490" i="1"/>
  <c r="AB490" i="1"/>
  <c r="AA490" i="1"/>
  <c r="AI489" i="1"/>
  <c r="AH489" i="1"/>
  <c r="AG489" i="1"/>
  <c r="AF489" i="1"/>
  <c r="AE489" i="1"/>
  <c r="AD489" i="1"/>
  <c r="AC489" i="1"/>
  <c r="AB489" i="1"/>
  <c r="AA489" i="1"/>
  <c r="AI488" i="1"/>
  <c r="AH488" i="1"/>
  <c r="AG488" i="1"/>
  <c r="AF488" i="1"/>
  <c r="AE488" i="1"/>
  <c r="AD488" i="1"/>
  <c r="AC488" i="1"/>
  <c r="AB488" i="1"/>
  <c r="AA488" i="1"/>
  <c r="AI487" i="1"/>
  <c r="AH487" i="1"/>
  <c r="AG487" i="1"/>
  <c r="AF487" i="1"/>
  <c r="AE487" i="1"/>
  <c r="AD487" i="1"/>
  <c r="AC487" i="1"/>
  <c r="AB487" i="1"/>
  <c r="AA487" i="1"/>
  <c r="AI486" i="1"/>
  <c r="AH486" i="1"/>
  <c r="AG486" i="1"/>
  <c r="AF486" i="1"/>
  <c r="AE486" i="1"/>
  <c r="AD486" i="1"/>
  <c r="AC486" i="1"/>
  <c r="AB486" i="1"/>
  <c r="AA486" i="1"/>
  <c r="AI485" i="1"/>
  <c r="AH485" i="1"/>
  <c r="AG485" i="1"/>
  <c r="AF485" i="1"/>
  <c r="AE485" i="1"/>
  <c r="AD485" i="1"/>
  <c r="AC485" i="1"/>
  <c r="AB485" i="1"/>
  <c r="AA485" i="1"/>
  <c r="AI484" i="1"/>
  <c r="AH484" i="1"/>
  <c r="AG484" i="1"/>
  <c r="AF484" i="1"/>
  <c r="AE484" i="1"/>
  <c r="AD484" i="1"/>
  <c r="AC484" i="1"/>
  <c r="AB484" i="1"/>
  <c r="AA484" i="1"/>
  <c r="AI483" i="1"/>
  <c r="AH483" i="1"/>
  <c r="AG483" i="1"/>
  <c r="AF483" i="1"/>
  <c r="AE483" i="1"/>
  <c r="AD483" i="1"/>
  <c r="AC483" i="1"/>
  <c r="AB483" i="1"/>
  <c r="AA483" i="1"/>
  <c r="AI482" i="1"/>
  <c r="AH482" i="1"/>
  <c r="AG482" i="1"/>
  <c r="AF482" i="1"/>
  <c r="AE482" i="1"/>
  <c r="AD482" i="1"/>
  <c r="AC482" i="1"/>
  <c r="AB482" i="1"/>
  <c r="AA482" i="1"/>
  <c r="AI481" i="1"/>
  <c r="AH481" i="1"/>
  <c r="AG481" i="1"/>
  <c r="AF481" i="1"/>
  <c r="AE481" i="1"/>
  <c r="AD481" i="1"/>
  <c r="AC481" i="1"/>
  <c r="AB481" i="1"/>
  <c r="AA481" i="1"/>
  <c r="AI480" i="1"/>
  <c r="AH480" i="1"/>
  <c r="AG480" i="1"/>
  <c r="AF480" i="1"/>
  <c r="AE480" i="1"/>
  <c r="AD480" i="1"/>
  <c r="AC480" i="1"/>
  <c r="AB480" i="1"/>
  <c r="AA480" i="1"/>
  <c r="AI479" i="1"/>
  <c r="AH479" i="1"/>
  <c r="AG479" i="1"/>
  <c r="AF479" i="1"/>
  <c r="AE479" i="1"/>
  <c r="AD479" i="1"/>
  <c r="AC479" i="1"/>
  <c r="AB479" i="1"/>
  <c r="AA479" i="1"/>
  <c r="AI478" i="1"/>
  <c r="AH478" i="1"/>
  <c r="AG478" i="1"/>
  <c r="AF478" i="1"/>
  <c r="AE478" i="1"/>
  <c r="AD478" i="1"/>
  <c r="AC478" i="1"/>
  <c r="AB478" i="1"/>
  <c r="AA478" i="1"/>
  <c r="AI477" i="1"/>
  <c r="AH477" i="1"/>
  <c r="AG477" i="1"/>
  <c r="AF477" i="1"/>
  <c r="AE477" i="1"/>
  <c r="AD477" i="1"/>
  <c r="AC477" i="1"/>
  <c r="AB477" i="1"/>
  <c r="AA477" i="1"/>
  <c r="AI476" i="1"/>
  <c r="AH476" i="1"/>
  <c r="AG476" i="1"/>
  <c r="AF476" i="1"/>
  <c r="AE476" i="1"/>
  <c r="AD476" i="1"/>
  <c r="AC476" i="1"/>
  <c r="AB476" i="1"/>
  <c r="AA476" i="1"/>
  <c r="AI454" i="1"/>
  <c r="AH454" i="1"/>
  <c r="AG454" i="1"/>
  <c r="AF454" i="1"/>
  <c r="AE454" i="1"/>
  <c r="AD454" i="1"/>
  <c r="AC454" i="1"/>
  <c r="AB454" i="1"/>
  <c r="AA454" i="1"/>
  <c r="AI453" i="1"/>
  <c r="AH453" i="1"/>
  <c r="AG453" i="1"/>
  <c r="AF453" i="1"/>
  <c r="AE453" i="1"/>
  <c r="AD453" i="1"/>
  <c r="AC453" i="1"/>
  <c r="AB453" i="1"/>
  <c r="AA453" i="1"/>
  <c r="AI452" i="1"/>
  <c r="AH452" i="1"/>
  <c r="AG452" i="1"/>
  <c r="AF452" i="1"/>
  <c r="AE452" i="1"/>
  <c r="AD452" i="1"/>
  <c r="AC452" i="1"/>
  <c r="AB452" i="1"/>
  <c r="AA452" i="1"/>
  <c r="AI451" i="1"/>
  <c r="AH451" i="1"/>
  <c r="AG451" i="1"/>
  <c r="AF451" i="1"/>
  <c r="AE451" i="1"/>
  <c r="AD451" i="1"/>
  <c r="AC451" i="1"/>
  <c r="AB451" i="1"/>
  <c r="AA451" i="1"/>
  <c r="AI450" i="1"/>
  <c r="AH450" i="1"/>
  <c r="AG450" i="1"/>
  <c r="AF450" i="1"/>
  <c r="AE450" i="1"/>
  <c r="AD450" i="1"/>
  <c r="AC450" i="1"/>
  <c r="AB450" i="1"/>
  <c r="AA450" i="1"/>
  <c r="AI449" i="1"/>
  <c r="AH449" i="1"/>
  <c r="AG449" i="1"/>
  <c r="AF449" i="1"/>
  <c r="AE449" i="1"/>
  <c r="AD449" i="1"/>
  <c r="AC449" i="1"/>
  <c r="AB449" i="1"/>
  <c r="AA449" i="1"/>
  <c r="AI448" i="1"/>
  <c r="AH448" i="1"/>
  <c r="AG448" i="1"/>
  <c r="AF448" i="1"/>
  <c r="AE448" i="1"/>
  <c r="AD448" i="1"/>
  <c r="AC448" i="1"/>
  <c r="AB448" i="1"/>
  <c r="AA448" i="1"/>
  <c r="AI447" i="1"/>
  <c r="AH447" i="1"/>
  <c r="AG447" i="1"/>
  <c r="AF447" i="1"/>
  <c r="AE447" i="1"/>
  <c r="AD447" i="1"/>
  <c r="AC447" i="1"/>
  <c r="AB447" i="1"/>
  <c r="AA447" i="1"/>
  <c r="AI446" i="1"/>
  <c r="AH446" i="1"/>
  <c r="AG446" i="1"/>
  <c r="AF446" i="1"/>
  <c r="AE446" i="1"/>
  <c r="AD446" i="1"/>
  <c r="AC446" i="1"/>
  <c r="AB446" i="1"/>
  <c r="AA446" i="1"/>
  <c r="AI445" i="1"/>
  <c r="AH445" i="1"/>
  <c r="AG445" i="1"/>
  <c r="AF445" i="1"/>
  <c r="AE445" i="1"/>
  <c r="AD445" i="1"/>
  <c r="AC445" i="1"/>
  <c r="AB445" i="1"/>
  <c r="AA445" i="1"/>
  <c r="AI444" i="1"/>
  <c r="AH444" i="1"/>
  <c r="AG444" i="1"/>
  <c r="AF444" i="1"/>
  <c r="AE444" i="1"/>
  <c r="AD444" i="1"/>
  <c r="AC444" i="1"/>
  <c r="AB444" i="1"/>
  <c r="AA444" i="1"/>
  <c r="AI443" i="1"/>
  <c r="AH443" i="1"/>
  <c r="AG443" i="1"/>
  <c r="AF443" i="1"/>
  <c r="AE443" i="1"/>
  <c r="AD443" i="1"/>
  <c r="AC443" i="1"/>
  <c r="AB443" i="1"/>
  <c r="AA443" i="1"/>
  <c r="AI442" i="1"/>
  <c r="AH442" i="1"/>
  <c r="AG442" i="1"/>
  <c r="AF442" i="1"/>
  <c r="AE442" i="1"/>
  <c r="AD442" i="1"/>
  <c r="AC442" i="1"/>
  <c r="AB442" i="1"/>
  <c r="AA442" i="1"/>
  <c r="AI441" i="1"/>
  <c r="AH441" i="1"/>
  <c r="AG441" i="1"/>
  <c r="AF441" i="1"/>
  <c r="AE441" i="1"/>
  <c r="AD441" i="1"/>
  <c r="AC441" i="1"/>
  <c r="AB441" i="1"/>
  <c r="AA441" i="1"/>
  <c r="AI440" i="1"/>
  <c r="AH440" i="1"/>
  <c r="AG440" i="1"/>
  <c r="AF440" i="1"/>
  <c r="AE440" i="1"/>
  <c r="AD440" i="1"/>
  <c r="AC440" i="1"/>
  <c r="AB440" i="1"/>
  <c r="AA440" i="1"/>
  <c r="AI410" i="1"/>
  <c r="AH410" i="1"/>
  <c r="AG410" i="1"/>
  <c r="AF410" i="1"/>
  <c r="AE410" i="1"/>
  <c r="AD410" i="1"/>
  <c r="AC410" i="1"/>
  <c r="AB410" i="1"/>
  <c r="AA410" i="1"/>
  <c r="AI409" i="1"/>
  <c r="AH409" i="1"/>
  <c r="AG409" i="1"/>
  <c r="AF409" i="1"/>
  <c r="AE409" i="1"/>
  <c r="AD409" i="1"/>
  <c r="AC409" i="1"/>
  <c r="AB409" i="1"/>
  <c r="AA409" i="1"/>
  <c r="AI408" i="1"/>
  <c r="AH408" i="1"/>
  <c r="AG408" i="1"/>
  <c r="AF408" i="1"/>
  <c r="AE408" i="1"/>
  <c r="AD408" i="1"/>
  <c r="AC408" i="1"/>
  <c r="AB408" i="1"/>
  <c r="AA408" i="1"/>
  <c r="AI407" i="1"/>
  <c r="AH407" i="1"/>
  <c r="AG407" i="1"/>
  <c r="AF407" i="1"/>
  <c r="AE407" i="1"/>
  <c r="AD407" i="1"/>
  <c r="AC407" i="1"/>
  <c r="AB407" i="1"/>
  <c r="AA407" i="1"/>
  <c r="AI406" i="1"/>
  <c r="AH406" i="1"/>
  <c r="AG406" i="1"/>
  <c r="AF406" i="1"/>
  <c r="AE406" i="1"/>
  <c r="AD406" i="1"/>
  <c r="AC406" i="1"/>
  <c r="AB406" i="1"/>
  <c r="AA406" i="1"/>
  <c r="AI405" i="1"/>
  <c r="AH405" i="1"/>
  <c r="AG405" i="1"/>
  <c r="AF405" i="1"/>
  <c r="AE405" i="1"/>
  <c r="AD405" i="1"/>
  <c r="AC405" i="1"/>
  <c r="AB405" i="1"/>
  <c r="AA405" i="1"/>
  <c r="AI404" i="1"/>
  <c r="AH404" i="1"/>
  <c r="AG404" i="1"/>
  <c r="AF404" i="1"/>
  <c r="AE404" i="1"/>
  <c r="AD404" i="1"/>
  <c r="AC404" i="1"/>
  <c r="AB404" i="1"/>
  <c r="AA404" i="1"/>
  <c r="AI403" i="1"/>
  <c r="AH403" i="1"/>
  <c r="AG403" i="1"/>
  <c r="AF403" i="1"/>
  <c r="AE403" i="1"/>
  <c r="AD403" i="1"/>
  <c r="AC403" i="1"/>
  <c r="AB403" i="1"/>
  <c r="AA403" i="1"/>
  <c r="AI402" i="1"/>
  <c r="AH402" i="1"/>
  <c r="AG402" i="1"/>
  <c r="AF402" i="1"/>
  <c r="AE402" i="1"/>
  <c r="AD402" i="1"/>
  <c r="AC402" i="1"/>
  <c r="AB402" i="1"/>
  <c r="AA402" i="1"/>
  <c r="AI401" i="1"/>
  <c r="AH401" i="1"/>
  <c r="AG401" i="1"/>
  <c r="AF401" i="1"/>
  <c r="AE401" i="1"/>
  <c r="AD401" i="1"/>
  <c r="AC401" i="1"/>
  <c r="AB401" i="1"/>
  <c r="AA401" i="1"/>
  <c r="AI400" i="1"/>
  <c r="AH400" i="1"/>
  <c r="AG400" i="1"/>
  <c r="AF400" i="1"/>
  <c r="AE400" i="1"/>
  <c r="AD400" i="1"/>
  <c r="AC400" i="1"/>
  <c r="AB400" i="1"/>
  <c r="AA400" i="1"/>
  <c r="AI399" i="1"/>
  <c r="AH399" i="1"/>
  <c r="AG399" i="1"/>
  <c r="AF399" i="1"/>
  <c r="AE399" i="1"/>
  <c r="AD399" i="1"/>
  <c r="AC399" i="1"/>
  <c r="AB399" i="1"/>
  <c r="AA399" i="1"/>
  <c r="AI398" i="1"/>
  <c r="AH398" i="1"/>
  <c r="AG398" i="1"/>
  <c r="AF398" i="1"/>
  <c r="AE398" i="1"/>
  <c r="AD398" i="1"/>
  <c r="AC398" i="1"/>
  <c r="AB398" i="1"/>
  <c r="AA398" i="1"/>
  <c r="AI397" i="1"/>
  <c r="AH397" i="1"/>
  <c r="AG397" i="1"/>
  <c r="AF397" i="1"/>
  <c r="AE397" i="1"/>
  <c r="AD397" i="1"/>
  <c r="AC397" i="1"/>
  <c r="AB397" i="1"/>
  <c r="AA397" i="1"/>
  <c r="AI396" i="1"/>
  <c r="AH396" i="1"/>
  <c r="AG396" i="1"/>
  <c r="AF396" i="1"/>
  <c r="AE396" i="1"/>
  <c r="AD396" i="1"/>
  <c r="AC396" i="1"/>
  <c r="AB396" i="1"/>
  <c r="AA396" i="1"/>
  <c r="AI395" i="1"/>
  <c r="AH395" i="1"/>
  <c r="AG395" i="1"/>
  <c r="AF395" i="1"/>
  <c r="AE395" i="1"/>
  <c r="AD395" i="1"/>
  <c r="AC395" i="1"/>
  <c r="AB395" i="1"/>
  <c r="AA395" i="1"/>
  <c r="AI394" i="1"/>
  <c r="AH394" i="1"/>
  <c r="AG394" i="1"/>
  <c r="AF394" i="1"/>
  <c r="AE394" i="1"/>
  <c r="AD394" i="1"/>
  <c r="AC394" i="1"/>
  <c r="AB394" i="1"/>
  <c r="AA394" i="1"/>
  <c r="AI393" i="1"/>
  <c r="AH393" i="1"/>
  <c r="AG393" i="1"/>
  <c r="AF393" i="1"/>
  <c r="AE393" i="1"/>
  <c r="AD393" i="1"/>
  <c r="AC393" i="1"/>
  <c r="AB393" i="1"/>
  <c r="AA393" i="1"/>
  <c r="AI392" i="1"/>
  <c r="AH392" i="1"/>
  <c r="AG392" i="1"/>
  <c r="AF392" i="1"/>
  <c r="AE392" i="1"/>
  <c r="AD392" i="1"/>
  <c r="AC392" i="1"/>
  <c r="AB392" i="1"/>
  <c r="AA392" i="1"/>
  <c r="AI1352" i="1"/>
  <c r="AH1352" i="1"/>
  <c r="AG1352" i="1"/>
  <c r="AF1352" i="1"/>
  <c r="AE1352" i="1"/>
  <c r="AD1352" i="1"/>
  <c r="AC1352" i="1"/>
  <c r="AB1352" i="1"/>
  <c r="AA1352" i="1"/>
  <c r="AI1351" i="1"/>
  <c r="AH1351" i="1"/>
  <c r="AG1351" i="1"/>
  <c r="AF1351" i="1"/>
  <c r="AE1351" i="1"/>
  <c r="AD1351" i="1"/>
  <c r="AC1351" i="1"/>
  <c r="AB1351" i="1"/>
  <c r="AA1351" i="1"/>
  <c r="AI1350" i="1"/>
  <c r="AH1350" i="1"/>
  <c r="AG1350" i="1"/>
  <c r="AF1350" i="1"/>
  <c r="AE1350" i="1"/>
  <c r="AD1350" i="1"/>
  <c r="AC1350" i="1"/>
  <c r="AB1350" i="1"/>
  <c r="AA1350" i="1"/>
  <c r="AI1349" i="1"/>
  <c r="AH1349" i="1"/>
  <c r="AG1349" i="1"/>
  <c r="AF1349" i="1"/>
  <c r="AE1349" i="1"/>
  <c r="AD1349" i="1"/>
  <c r="AC1349" i="1"/>
  <c r="AB1349" i="1"/>
  <c r="AA1349" i="1"/>
  <c r="AI1348" i="1"/>
  <c r="AH1348" i="1"/>
  <c r="AG1348" i="1"/>
  <c r="AF1348" i="1"/>
  <c r="AE1348" i="1"/>
  <c r="AD1348" i="1"/>
  <c r="AC1348" i="1"/>
  <c r="AB1348" i="1"/>
  <c r="AA1348" i="1"/>
  <c r="AI1347" i="1"/>
  <c r="AH1347" i="1"/>
  <c r="AG1347" i="1"/>
  <c r="AF1347" i="1"/>
  <c r="AE1347" i="1"/>
  <c r="AD1347" i="1"/>
  <c r="AC1347" i="1"/>
  <c r="AB1347" i="1"/>
  <c r="AA1347" i="1"/>
  <c r="AI1346" i="1"/>
  <c r="AH1346" i="1"/>
  <c r="AG1346" i="1"/>
  <c r="AF1346" i="1"/>
  <c r="AE1346" i="1"/>
  <c r="AD1346" i="1"/>
  <c r="AC1346" i="1"/>
  <c r="AB1346" i="1"/>
  <c r="AA1346" i="1"/>
  <c r="AI1345" i="1"/>
  <c r="AH1345" i="1"/>
  <c r="AG1345" i="1"/>
  <c r="AF1345" i="1"/>
  <c r="AE1345" i="1"/>
  <c r="AD1345" i="1"/>
  <c r="AC1345" i="1"/>
  <c r="AB1345" i="1"/>
  <c r="AA1345" i="1"/>
  <c r="AI1344" i="1"/>
  <c r="AH1344" i="1"/>
  <c r="AG1344" i="1"/>
  <c r="AF1344" i="1"/>
  <c r="AE1344" i="1"/>
  <c r="AD1344" i="1"/>
  <c r="AC1344" i="1"/>
  <c r="AB1344" i="1"/>
  <c r="AA1344" i="1"/>
  <c r="AI1343" i="1"/>
  <c r="AH1343" i="1"/>
  <c r="AG1343" i="1"/>
  <c r="AF1343" i="1"/>
  <c r="AE1343" i="1"/>
  <c r="AD1343" i="1"/>
  <c r="AC1343" i="1"/>
  <c r="AB1343" i="1"/>
  <c r="AA1343" i="1"/>
  <c r="AI1342" i="1"/>
  <c r="AH1342" i="1"/>
  <c r="AG1342" i="1"/>
  <c r="AF1342" i="1"/>
  <c r="AE1342" i="1"/>
  <c r="AD1342" i="1"/>
  <c r="AC1342" i="1"/>
  <c r="AB1342" i="1"/>
  <c r="AA1342" i="1"/>
  <c r="AI1341" i="1"/>
  <c r="AH1341" i="1"/>
  <c r="AG1341" i="1"/>
  <c r="AF1341" i="1"/>
  <c r="AE1341" i="1"/>
  <c r="AD1341" i="1"/>
  <c r="AC1341" i="1"/>
  <c r="AB1341" i="1"/>
  <c r="AA1341" i="1"/>
  <c r="AI1340" i="1"/>
  <c r="AH1340" i="1"/>
  <c r="AG1340" i="1"/>
  <c r="AF1340" i="1"/>
  <c r="AE1340" i="1"/>
  <c r="AD1340" i="1"/>
  <c r="AC1340" i="1"/>
  <c r="AB1340" i="1"/>
  <c r="AA1340" i="1"/>
  <c r="AI1339" i="1"/>
  <c r="AH1339" i="1"/>
  <c r="AG1339" i="1"/>
  <c r="AF1339" i="1"/>
  <c r="AE1339" i="1"/>
  <c r="AD1339" i="1"/>
  <c r="AC1339" i="1"/>
  <c r="AB1339" i="1"/>
  <c r="AA1339" i="1"/>
  <c r="AI1338" i="1"/>
  <c r="AH1338" i="1"/>
  <c r="AG1338" i="1"/>
  <c r="AF1338" i="1"/>
  <c r="AE1338" i="1"/>
  <c r="AD1338" i="1"/>
  <c r="AC1338" i="1"/>
  <c r="AB1338" i="1"/>
  <c r="AA1338" i="1"/>
  <c r="AI1337" i="1"/>
  <c r="AH1337" i="1"/>
  <c r="AG1337" i="1"/>
  <c r="AF1337" i="1"/>
  <c r="AE1337" i="1"/>
  <c r="AD1337" i="1"/>
  <c r="AC1337" i="1"/>
  <c r="AB1337" i="1"/>
  <c r="AA1337" i="1"/>
  <c r="AI1336" i="1"/>
  <c r="AH1336" i="1"/>
  <c r="AG1336" i="1"/>
  <c r="AF1336" i="1"/>
  <c r="AE1336" i="1"/>
  <c r="AD1336" i="1"/>
  <c r="AC1336" i="1"/>
  <c r="AB1336" i="1"/>
  <c r="AA1336" i="1"/>
  <c r="AI1335" i="1"/>
  <c r="AH1335" i="1"/>
  <c r="AG1335" i="1"/>
  <c r="AF1335" i="1"/>
  <c r="AE1335" i="1"/>
  <c r="AD1335" i="1"/>
  <c r="AC1335" i="1"/>
  <c r="AB1335" i="1"/>
  <c r="AA1335" i="1"/>
  <c r="AI1334" i="1"/>
  <c r="AH1334" i="1"/>
  <c r="AG1334" i="1"/>
  <c r="AF1334" i="1"/>
  <c r="AE1334" i="1"/>
  <c r="AD1334" i="1"/>
  <c r="AC1334" i="1"/>
  <c r="AB1334" i="1"/>
  <c r="AA1334" i="1"/>
  <c r="AI1333" i="1"/>
  <c r="AH1333" i="1"/>
  <c r="AG1333" i="1"/>
  <c r="AF1333" i="1"/>
  <c r="AE1333" i="1"/>
  <c r="AD1333" i="1"/>
  <c r="AC1333" i="1"/>
  <c r="AB1333" i="1"/>
  <c r="AA1333" i="1"/>
  <c r="AI1332" i="1"/>
  <c r="AH1332" i="1"/>
  <c r="AG1332" i="1"/>
  <c r="AF1332" i="1"/>
  <c r="AE1332" i="1"/>
  <c r="AD1332" i="1"/>
  <c r="AC1332" i="1"/>
  <c r="AB1332" i="1"/>
  <c r="AA1332" i="1"/>
  <c r="AI1331" i="1"/>
  <c r="AH1331" i="1"/>
  <c r="AG1331" i="1"/>
  <c r="AF1331" i="1"/>
  <c r="AE1331" i="1"/>
  <c r="AD1331" i="1"/>
  <c r="AC1331" i="1"/>
  <c r="AB1331" i="1"/>
  <c r="AA1331" i="1"/>
  <c r="AI1330" i="1"/>
  <c r="AH1330" i="1"/>
  <c r="AG1330" i="1"/>
  <c r="AF1330" i="1"/>
  <c r="AE1330" i="1"/>
  <c r="AD1330" i="1"/>
  <c r="AC1330" i="1"/>
  <c r="AB1330" i="1"/>
  <c r="AA1330" i="1"/>
  <c r="AI1329" i="1"/>
  <c r="AH1329" i="1"/>
  <c r="AG1329" i="1"/>
  <c r="AF1329" i="1"/>
  <c r="AE1329" i="1"/>
  <c r="AD1329" i="1"/>
  <c r="AC1329" i="1"/>
  <c r="AB1329" i="1"/>
  <c r="AA1329" i="1"/>
  <c r="AI1328" i="1"/>
  <c r="AH1328" i="1"/>
  <c r="AG1328" i="1"/>
  <c r="AF1328" i="1"/>
  <c r="AE1328" i="1"/>
  <c r="AD1328" i="1"/>
  <c r="AC1328" i="1"/>
  <c r="AB1328" i="1"/>
  <c r="AA1328" i="1"/>
  <c r="AI1327" i="1"/>
  <c r="AH1327" i="1"/>
  <c r="AG1327" i="1"/>
  <c r="AF1327" i="1"/>
  <c r="AE1327" i="1"/>
  <c r="AD1327" i="1"/>
  <c r="AC1327" i="1"/>
  <c r="AB1327" i="1"/>
  <c r="AA1327" i="1"/>
  <c r="AI1326" i="1"/>
  <c r="AH1326" i="1"/>
  <c r="AG1326" i="1"/>
  <c r="AF1326" i="1"/>
  <c r="AE1326" i="1"/>
  <c r="AD1326" i="1"/>
  <c r="AC1326" i="1"/>
  <c r="AB1326" i="1"/>
  <c r="AA1326" i="1"/>
  <c r="AI1325" i="1"/>
  <c r="AH1325" i="1"/>
  <c r="AG1325" i="1"/>
  <c r="AF1325" i="1"/>
  <c r="AE1325" i="1"/>
  <c r="AD1325" i="1"/>
  <c r="AC1325" i="1"/>
  <c r="AB1325" i="1"/>
  <c r="AA1325" i="1"/>
  <c r="AI1324" i="1"/>
  <c r="AH1324" i="1"/>
  <c r="AG1324" i="1"/>
  <c r="AF1324" i="1"/>
  <c r="AE1324" i="1"/>
  <c r="AD1324" i="1"/>
  <c r="AC1324" i="1"/>
  <c r="AB1324" i="1"/>
  <c r="AA1324" i="1"/>
  <c r="AI1323" i="1"/>
  <c r="AH1323" i="1"/>
  <c r="AG1323" i="1"/>
  <c r="AF1323" i="1"/>
  <c r="AE1323" i="1"/>
  <c r="AD1323" i="1"/>
  <c r="AC1323" i="1"/>
  <c r="AB1323" i="1"/>
  <c r="AA1323" i="1"/>
  <c r="AI1322" i="1"/>
  <c r="AH1322" i="1"/>
  <c r="AG1322" i="1"/>
  <c r="AF1322" i="1"/>
  <c r="AE1322" i="1"/>
  <c r="AD1322" i="1"/>
  <c r="AC1322" i="1"/>
  <c r="AB1322" i="1"/>
  <c r="AA1322" i="1"/>
  <c r="AI1321" i="1"/>
  <c r="AH1321" i="1"/>
  <c r="AG1321" i="1"/>
  <c r="AF1321" i="1"/>
  <c r="AE1321" i="1"/>
  <c r="AD1321" i="1"/>
  <c r="AC1321" i="1"/>
  <c r="AB1321" i="1"/>
  <c r="AA1321" i="1"/>
  <c r="AI1320" i="1"/>
  <c r="AH1320" i="1"/>
  <c r="AG1320" i="1"/>
  <c r="AF1320" i="1"/>
  <c r="AE1320" i="1"/>
  <c r="AD1320" i="1"/>
  <c r="AC1320" i="1"/>
  <c r="AB1320" i="1"/>
  <c r="AA1320" i="1"/>
  <c r="AI1319" i="1"/>
  <c r="AH1319" i="1"/>
  <c r="AG1319" i="1"/>
  <c r="AF1319" i="1"/>
  <c r="AE1319" i="1"/>
  <c r="AD1319" i="1"/>
  <c r="AC1319" i="1"/>
  <c r="AB1319" i="1"/>
  <c r="AA1319" i="1"/>
  <c r="AI1318" i="1"/>
  <c r="AH1318" i="1"/>
  <c r="AG1318" i="1"/>
  <c r="AF1318" i="1"/>
  <c r="AE1318" i="1"/>
  <c r="AD1318" i="1"/>
  <c r="AC1318" i="1"/>
  <c r="AB1318" i="1"/>
  <c r="AA1318" i="1"/>
  <c r="AI1317" i="1"/>
  <c r="AH1317" i="1"/>
  <c r="AG1317" i="1"/>
  <c r="AF1317" i="1"/>
  <c r="AE1317" i="1"/>
  <c r="AD1317" i="1"/>
  <c r="AC1317" i="1"/>
  <c r="AB1317" i="1"/>
  <c r="AA1317" i="1"/>
  <c r="AI1316" i="1"/>
  <c r="AH1316" i="1"/>
  <c r="AG1316" i="1"/>
  <c r="AF1316" i="1"/>
  <c r="AE1316" i="1"/>
  <c r="AD1316" i="1"/>
  <c r="AC1316" i="1"/>
  <c r="AB1316" i="1"/>
  <c r="AA1316" i="1"/>
  <c r="AI352" i="1"/>
  <c r="AH352" i="1"/>
  <c r="AG352" i="1"/>
  <c r="AF352" i="1"/>
  <c r="AE352" i="1"/>
  <c r="AD352" i="1"/>
  <c r="AC352" i="1"/>
  <c r="AB352" i="1"/>
  <c r="AA352" i="1"/>
  <c r="AI351" i="1"/>
  <c r="AH351" i="1"/>
  <c r="AG351" i="1"/>
  <c r="AF351" i="1"/>
  <c r="AE351" i="1"/>
  <c r="AD351" i="1"/>
  <c r="AC351" i="1"/>
  <c r="AB351" i="1"/>
  <c r="AA351" i="1"/>
  <c r="AI350" i="1"/>
  <c r="AH350" i="1"/>
  <c r="AG350" i="1"/>
  <c r="AF350" i="1"/>
  <c r="AE350" i="1"/>
  <c r="AD350" i="1"/>
  <c r="AC350" i="1"/>
  <c r="AB350" i="1"/>
  <c r="AA350" i="1"/>
  <c r="AI349" i="1"/>
  <c r="AH349" i="1"/>
  <c r="AG349" i="1"/>
  <c r="AF349" i="1"/>
  <c r="AE349" i="1"/>
  <c r="AD349" i="1"/>
  <c r="AC349" i="1"/>
  <c r="AB349" i="1"/>
  <c r="AA349" i="1"/>
  <c r="AI545" i="1"/>
  <c r="AH545" i="1"/>
  <c r="AG545" i="1"/>
  <c r="AF545" i="1"/>
  <c r="AE545" i="1"/>
  <c r="AD545" i="1"/>
  <c r="AC545" i="1"/>
  <c r="AB545" i="1"/>
  <c r="AA545" i="1"/>
  <c r="AI544" i="1"/>
  <c r="AH544" i="1"/>
  <c r="AG544" i="1"/>
  <c r="AF544" i="1"/>
  <c r="AE544" i="1"/>
  <c r="AD544" i="1"/>
  <c r="AC544" i="1"/>
  <c r="AB544" i="1"/>
  <c r="AA544" i="1"/>
  <c r="AI543" i="1"/>
  <c r="AH543" i="1"/>
  <c r="AG543" i="1"/>
  <c r="AF543" i="1"/>
  <c r="AE543" i="1"/>
  <c r="AD543" i="1"/>
  <c r="AC543" i="1"/>
  <c r="AB543" i="1"/>
  <c r="AA543" i="1"/>
  <c r="AI542" i="1"/>
  <c r="AH542" i="1"/>
  <c r="AG542" i="1"/>
  <c r="AF542" i="1"/>
  <c r="AE542" i="1"/>
  <c r="AD542" i="1"/>
  <c r="AC542" i="1"/>
  <c r="AB542" i="1"/>
  <c r="AA542" i="1"/>
  <c r="AI541" i="1"/>
  <c r="AH541" i="1"/>
  <c r="AG541" i="1"/>
  <c r="AF541" i="1"/>
  <c r="AE541" i="1"/>
  <c r="AD541" i="1"/>
  <c r="AC541" i="1"/>
  <c r="AB541" i="1"/>
  <c r="AA541" i="1"/>
  <c r="AI540" i="1"/>
  <c r="AH540" i="1"/>
  <c r="AG540" i="1"/>
  <c r="AF540" i="1"/>
  <c r="AE540" i="1"/>
  <c r="AD540" i="1"/>
  <c r="AC540" i="1"/>
  <c r="AB540" i="1"/>
  <c r="AA540" i="1"/>
  <c r="AI539" i="1"/>
  <c r="AH539" i="1"/>
  <c r="AG539" i="1"/>
  <c r="AF539" i="1"/>
  <c r="AE539" i="1"/>
  <c r="AD539" i="1"/>
  <c r="AC539" i="1"/>
  <c r="AB539" i="1"/>
  <c r="AA539" i="1"/>
  <c r="AI538" i="1"/>
  <c r="AH538" i="1"/>
  <c r="AG538" i="1"/>
  <c r="AF538" i="1"/>
  <c r="AE538" i="1"/>
  <c r="AD538" i="1"/>
  <c r="AC538" i="1"/>
  <c r="AB538" i="1"/>
  <c r="AA538" i="1"/>
  <c r="AI537" i="1"/>
  <c r="AH537" i="1"/>
  <c r="AG537" i="1"/>
  <c r="AF537" i="1"/>
  <c r="AE537" i="1"/>
  <c r="AD537" i="1"/>
  <c r="AC537" i="1"/>
  <c r="AB537" i="1"/>
  <c r="AA537" i="1"/>
  <c r="AI536" i="1"/>
  <c r="AH536" i="1"/>
  <c r="AG536" i="1"/>
  <c r="AF536" i="1"/>
  <c r="AE536" i="1"/>
  <c r="AD536" i="1"/>
  <c r="AC536" i="1"/>
  <c r="AB536" i="1"/>
  <c r="AA536" i="1"/>
  <c r="AI535" i="1"/>
  <c r="AH535" i="1"/>
  <c r="AG535" i="1"/>
  <c r="AF535" i="1"/>
  <c r="AE535" i="1"/>
  <c r="AD535" i="1"/>
  <c r="AC535" i="1"/>
  <c r="AB535" i="1"/>
  <c r="AA535" i="1"/>
  <c r="AI534" i="1"/>
  <c r="AH534" i="1"/>
  <c r="AG534" i="1"/>
  <c r="AF534" i="1"/>
  <c r="AE534" i="1"/>
  <c r="AD534" i="1"/>
  <c r="AC534" i="1"/>
  <c r="AB534" i="1"/>
  <c r="AA534" i="1"/>
  <c r="AI533" i="1"/>
  <c r="AH533" i="1"/>
  <c r="AG533" i="1"/>
  <c r="AF533" i="1"/>
  <c r="AE533" i="1"/>
  <c r="AD533" i="1"/>
  <c r="AC533" i="1"/>
  <c r="AB533" i="1"/>
  <c r="AA533" i="1"/>
  <c r="AI532" i="1"/>
  <c r="AH532" i="1"/>
  <c r="AG532" i="1"/>
  <c r="AF532" i="1"/>
  <c r="AE532" i="1"/>
  <c r="AD532" i="1"/>
  <c r="AC532" i="1"/>
  <c r="AB532" i="1"/>
  <c r="AA532" i="1"/>
  <c r="AI531" i="1"/>
  <c r="AH531" i="1"/>
  <c r="AG531" i="1"/>
  <c r="AF531" i="1"/>
  <c r="AE531" i="1"/>
  <c r="AD531" i="1"/>
  <c r="AC531" i="1"/>
  <c r="AB531" i="1"/>
  <c r="AA531" i="1"/>
  <c r="AI530" i="1"/>
  <c r="AH530" i="1"/>
  <c r="AG530" i="1"/>
  <c r="AF530" i="1"/>
  <c r="AE530" i="1"/>
  <c r="AD530" i="1"/>
  <c r="AC530" i="1"/>
  <c r="AB530" i="1"/>
  <c r="AA530" i="1"/>
  <c r="AI529" i="1"/>
  <c r="AH529" i="1"/>
  <c r="AG529" i="1"/>
  <c r="AF529" i="1"/>
  <c r="AE529" i="1"/>
  <c r="AD529" i="1"/>
  <c r="AC529" i="1"/>
  <c r="AB529" i="1"/>
  <c r="AA529" i="1"/>
  <c r="AI528" i="1"/>
  <c r="AH528" i="1"/>
  <c r="AG528" i="1"/>
  <c r="AF528" i="1"/>
  <c r="AE528" i="1"/>
  <c r="AD528" i="1"/>
  <c r="AC528" i="1"/>
  <c r="AB528" i="1"/>
  <c r="AA528" i="1"/>
  <c r="AI527" i="1"/>
  <c r="AH527" i="1"/>
  <c r="AG527" i="1"/>
  <c r="AF527" i="1"/>
  <c r="AE527" i="1"/>
  <c r="AD527" i="1"/>
  <c r="AC527" i="1"/>
  <c r="AB527" i="1"/>
  <c r="AA527" i="1"/>
  <c r="AI526" i="1"/>
  <c r="AH526" i="1"/>
  <c r="AG526" i="1"/>
  <c r="AF526" i="1"/>
  <c r="AE526" i="1"/>
  <c r="AD526" i="1"/>
  <c r="AC526" i="1"/>
  <c r="AB526" i="1"/>
  <c r="AA526" i="1"/>
  <c r="AI525" i="1"/>
  <c r="AH525" i="1"/>
  <c r="AG525" i="1"/>
  <c r="AF525" i="1"/>
  <c r="AE525" i="1"/>
  <c r="AD525" i="1"/>
  <c r="AC525" i="1"/>
  <c r="AB525" i="1"/>
  <c r="AA525" i="1"/>
  <c r="AI524" i="1"/>
  <c r="AH524" i="1"/>
  <c r="AG524" i="1"/>
  <c r="AF524" i="1"/>
  <c r="AE524" i="1"/>
  <c r="AD524" i="1"/>
  <c r="AC524" i="1"/>
  <c r="AB524" i="1"/>
  <c r="AA524" i="1"/>
  <c r="AI523" i="1"/>
  <c r="AH523" i="1"/>
  <c r="AG523" i="1"/>
  <c r="AF523" i="1"/>
  <c r="AE523" i="1"/>
  <c r="AD523" i="1"/>
  <c r="AC523" i="1"/>
  <c r="AB523" i="1"/>
  <c r="AA523" i="1"/>
  <c r="AI522" i="1"/>
  <c r="AH522" i="1"/>
  <c r="AG522" i="1"/>
  <c r="AF522" i="1"/>
  <c r="AE522" i="1"/>
  <c r="AD522" i="1"/>
  <c r="AC522" i="1"/>
  <c r="AB522" i="1"/>
  <c r="AA522" i="1"/>
  <c r="AI521" i="1"/>
  <c r="AH521" i="1"/>
  <c r="AG521" i="1"/>
  <c r="AF521" i="1"/>
  <c r="AE521" i="1"/>
  <c r="AD521" i="1"/>
  <c r="AC521" i="1"/>
  <c r="AB521" i="1"/>
  <c r="AA521" i="1"/>
  <c r="AI313" i="1"/>
  <c r="AH313" i="1"/>
  <c r="AG313" i="1"/>
  <c r="AF313" i="1"/>
  <c r="AE313" i="1"/>
  <c r="AD313" i="1"/>
  <c r="AC313" i="1"/>
  <c r="AB313" i="1"/>
  <c r="AA313" i="1"/>
  <c r="AI312" i="1"/>
  <c r="AH312" i="1"/>
  <c r="AG312" i="1"/>
  <c r="AF312" i="1"/>
  <c r="AE312" i="1"/>
  <c r="AD312" i="1"/>
  <c r="AC312" i="1"/>
  <c r="AB312" i="1"/>
  <c r="AA312" i="1"/>
  <c r="AI311" i="1"/>
  <c r="AH311" i="1"/>
  <c r="AG311" i="1"/>
  <c r="AF311" i="1"/>
  <c r="AE311" i="1"/>
  <c r="AD311" i="1"/>
  <c r="AC311" i="1"/>
  <c r="AB311" i="1"/>
  <c r="AA311" i="1"/>
  <c r="AI310" i="1"/>
  <c r="AH310" i="1"/>
  <c r="AG310" i="1"/>
  <c r="AF310" i="1"/>
  <c r="AE310" i="1"/>
  <c r="AD310" i="1"/>
  <c r="AC310" i="1"/>
  <c r="AB310" i="1"/>
  <c r="AA310" i="1"/>
  <c r="AI309" i="1"/>
  <c r="AH309" i="1"/>
  <c r="AG309" i="1"/>
  <c r="AF309" i="1"/>
  <c r="AE309" i="1"/>
  <c r="AD309" i="1"/>
  <c r="AC309" i="1"/>
  <c r="AB309" i="1"/>
  <c r="AA309" i="1"/>
  <c r="AI308" i="1"/>
  <c r="AH308" i="1"/>
  <c r="AG308" i="1"/>
  <c r="AF308" i="1"/>
  <c r="AE308" i="1"/>
  <c r="AD308" i="1"/>
  <c r="AC308" i="1"/>
  <c r="AB308" i="1"/>
  <c r="AA308" i="1"/>
  <c r="AI307" i="1"/>
  <c r="AH307" i="1"/>
  <c r="AG307" i="1"/>
  <c r="AF307" i="1"/>
  <c r="AE307" i="1"/>
  <c r="AD307" i="1"/>
  <c r="AC307" i="1"/>
  <c r="AB307" i="1"/>
  <c r="AA307" i="1"/>
  <c r="AI306" i="1"/>
  <c r="AH306" i="1"/>
  <c r="AG306" i="1"/>
  <c r="AF306" i="1"/>
  <c r="AE306" i="1"/>
  <c r="AD306" i="1"/>
  <c r="AC306" i="1"/>
  <c r="AB306" i="1"/>
  <c r="AA306" i="1"/>
  <c r="AI305" i="1"/>
  <c r="AH305" i="1"/>
  <c r="AG305" i="1"/>
  <c r="AF305" i="1"/>
  <c r="AE305" i="1"/>
  <c r="AD305" i="1"/>
  <c r="AC305" i="1"/>
  <c r="AB305" i="1"/>
  <c r="AA305" i="1"/>
  <c r="AI304" i="1"/>
  <c r="AH304" i="1"/>
  <c r="AG304" i="1"/>
  <c r="AF304" i="1"/>
  <c r="AE304" i="1"/>
  <c r="AD304" i="1"/>
  <c r="AC304" i="1"/>
  <c r="AB304" i="1"/>
  <c r="AA304" i="1"/>
  <c r="AI303" i="1"/>
  <c r="AH303" i="1"/>
  <c r="AG303" i="1"/>
  <c r="AF303" i="1"/>
  <c r="AE303" i="1"/>
  <c r="AD303" i="1"/>
  <c r="AC303" i="1"/>
  <c r="AB303" i="1"/>
  <c r="AA303" i="1"/>
  <c r="AI302" i="1"/>
  <c r="AH302" i="1"/>
  <c r="AG302" i="1"/>
  <c r="AF302" i="1"/>
  <c r="AE302" i="1"/>
  <c r="AD302" i="1"/>
  <c r="AC302" i="1"/>
  <c r="AB302" i="1"/>
  <c r="AA302" i="1"/>
  <c r="AI301" i="1"/>
  <c r="AH301" i="1"/>
  <c r="AG301" i="1"/>
  <c r="AF301" i="1"/>
  <c r="AE301" i="1"/>
  <c r="AD301" i="1"/>
  <c r="AC301" i="1"/>
  <c r="AB301" i="1"/>
  <c r="AA301" i="1"/>
  <c r="AI284" i="1"/>
  <c r="AH284" i="1"/>
  <c r="AG284" i="1"/>
  <c r="AF284" i="1"/>
  <c r="AE284" i="1"/>
  <c r="AD284" i="1"/>
  <c r="AC284" i="1"/>
  <c r="AB284" i="1"/>
  <c r="AA284" i="1"/>
  <c r="AI283" i="1"/>
  <c r="AH283" i="1"/>
  <c r="AG283" i="1"/>
  <c r="AF283" i="1"/>
  <c r="AE283" i="1"/>
  <c r="AD283" i="1"/>
  <c r="AC283" i="1"/>
  <c r="AB283" i="1"/>
  <c r="AA283" i="1"/>
  <c r="AI282" i="1"/>
  <c r="AH282" i="1"/>
  <c r="AG282" i="1"/>
  <c r="AF282" i="1"/>
  <c r="AE282" i="1"/>
  <c r="AD282" i="1"/>
  <c r="AC282" i="1"/>
  <c r="AB282" i="1"/>
  <c r="AA282" i="1"/>
  <c r="AI281" i="1"/>
  <c r="AH281" i="1"/>
  <c r="AG281" i="1"/>
  <c r="AF281" i="1"/>
  <c r="AE281" i="1"/>
  <c r="AD281" i="1"/>
  <c r="AC281" i="1"/>
  <c r="AB281" i="1"/>
  <c r="AA281" i="1"/>
  <c r="AI280" i="1"/>
  <c r="AH280" i="1"/>
  <c r="AG280" i="1"/>
  <c r="AF280" i="1"/>
  <c r="AE280" i="1"/>
  <c r="AD280" i="1"/>
  <c r="AC280" i="1"/>
  <c r="AB280" i="1"/>
  <c r="AA280" i="1"/>
  <c r="AI279" i="1"/>
  <c r="AH279" i="1"/>
  <c r="AG279" i="1"/>
  <c r="AF279" i="1"/>
  <c r="AE279" i="1"/>
  <c r="AD279" i="1"/>
  <c r="AC279" i="1"/>
  <c r="AB279" i="1"/>
  <c r="AA279" i="1"/>
  <c r="AI278" i="1"/>
  <c r="AH278" i="1"/>
  <c r="AG278" i="1"/>
  <c r="AF278" i="1"/>
  <c r="AE278" i="1"/>
  <c r="AD278" i="1"/>
  <c r="AC278" i="1"/>
  <c r="AB278" i="1"/>
  <c r="AA278" i="1"/>
  <c r="AI277" i="1"/>
  <c r="AH277" i="1"/>
  <c r="AG277" i="1"/>
  <c r="AF277" i="1"/>
  <c r="AE277" i="1"/>
  <c r="AD277" i="1"/>
  <c r="AC277" i="1"/>
  <c r="AB277" i="1"/>
  <c r="AA277" i="1"/>
  <c r="AI276" i="1"/>
  <c r="AH276" i="1"/>
  <c r="AG276" i="1"/>
  <c r="AF276" i="1"/>
  <c r="AE276" i="1"/>
  <c r="AD276" i="1"/>
  <c r="AC276" i="1"/>
  <c r="AB276" i="1"/>
  <c r="AA276" i="1"/>
  <c r="AI275" i="1"/>
  <c r="AH275" i="1"/>
  <c r="AG275" i="1"/>
  <c r="AF275" i="1"/>
  <c r="AE275" i="1"/>
  <c r="AD275" i="1"/>
  <c r="AC275" i="1"/>
  <c r="AB275" i="1"/>
  <c r="AA275" i="1"/>
  <c r="AI274" i="1"/>
  <c r="AH274" i="1"/>
  <c r="AG274" i="1"/>
  <c r="AF274" i="1"/>
  <c r="AE274" i="1"/>
  <c r="AD274" i="1"/>
  <c r="AC274" i="1"/>
  <c r="AB274" i="1"/>
  <c r="AA274" i="1"/>
  <c r="AI273" i="1"/>
  <c r="AH273" i="1"/>
  <c r="AG273" i="1"/>
  <c r="AF273" i="1"/>
  <c r="AE273" i="1"/>
  <c r="AD273" i="1"/>
  <c r="AC273" i="1"/>
  <c r="AB273" i="1"/>
  <c r="AA273" i="1"/>
  <c r="AI246" i="1"/>
  <c r="AH246" i="1"/>
  <c r="AG246" i="1"/>
  <c r="AF246" i="1"/>
  <c r="AE246" i="1"/>
  <c r="AD246" i="1"/>
  <c r="AC246" i="1"/>
  <c r="AB246" i="1"/>
  <c r="AA246" i="1"/>
  <c r="AI245" i="1"/>
  <c r="AH245" i="1"/>
  <c r="AG245" i="1"/>
  <c r="AF245" i="1"/>
  <c r="AE245" i="1"/>
  <c r="AD245" i="1"/>
  <c r="AC245" i="1"/>
  <c r="AB245" i="1"/>
  <c r="AA245" i="1"/>
  <c r="AI244" i="1"/>
  <c r="AH244" i="1"/>
  <c r="AG244" i="1"/>
  <c r="AF244" i="1"/>
  <c r="AE244" i="1"/>
  <c r="AD244" i="1"/>
  <c r="AC244" i="1"/>
  <c r="AB244" i="1"/>
  <c r="AA244" i="1"/>
  <c r="AI243" i="1"/>
  <c r="AH243" i="1"/>
  <c r="AG243" i="1"/>
  <c r="AF243" i="1"/>
  <c r="AE243" i="1"/>
  <c r="AD243" i="1"/>
  <c r="AC243" i="1"/>
  <c r="AB243" i="1"/>
  <c r="AA243" i="1"/>
  <c r="AI242" i="1"/>
  <c r="AH242" i="1"/>
  <c r="AG242" i="1"/>
  <c r="AF242" i="1"/>
  <c r="AE242" i="1"/>
  <c r="AD242" i="1"/>
  <c r="AC242" i="1"/>
  <c r="AB242" i="1"/>
  <c r="AA242" i="1"/>
  <c r="AI241" i="1"/>
  <c r="AH241" i="1"/>
  <c r="AG241" i="1"/>
  <c r="AF241" i="1"/>
  <c r="AE241" i="1"/>
  <c r="AD241" i="1"/>
  <c r="AC241" i="1"/>
  <c r="AB241" i="1"/>
  <c r="AA241" i="1"/>
  <c r="AI240" i="1"/>
  <c r="AH240" i="1"/>
  <c r="AG240" i="1"/>
  <c r="AF240" i="1"/>
  <c r="AE240" i="1"/>
  <c r="AD240" i="1"/>
  <c r="AC240" i="1"/>
  <c r="AB240" i="1"/>
  <c r="AA240" i="1"/>
  <c r="AI239" i="1"/>
  <c r="AH239" i="1"/>
  <c r="AG239" i="1"/>
  <c r="AF239" i="1"/>
  <c r="AE239" i="1"/>
  <c r="AD239" i="1"/>
  <c r="AC239" i="1"/>
  <c r="AB239" i="1"/>
  <c r="AA239" i="1"/>
  <c r="AI238" i="1"/>
  <c r="AH238" i="1"/>
  <c r="AG238" i="1"/>
  <c r="AF238" i="1"/>
  <c r="AE238" i="1"/>
  <c r="AD238" i="1"/>
  <c r="AC238" i="1"/>
  <c r="AB238" i="1"/>
  <c r="AA238" i="1"/>
  <c r="AI237" i="1"/>
  <c r="AH237" i="1"/>
  <c r="AG237" i="1"/>
  <c r="AF237" i="1"/>
  <c r="AE237" i="1"/>
  <c r="AD237" i="1"/>
  <c r="AC237" i="1"/>
  <c r="AB237" i="1"/>
  <c r="AA237" i="1"/>
  <c r="AI236" i="1"/>
  <c r="AH236" i="1"/>
  <c r="AG236" i="1"/>
  <c r="AF236" i="1"/>
  <c r="AE236" i="1"/>
  <c r="AD236" i="1"/>
  <c r="AC236" i="1"/>
  <c r="AB236" i="1"/>
  <c r="AA236" i="1"/>
  <c r="AI235" i="1"/>
  <c r="AH235" i="1"/>
  <c r="AG235" i="1"/>
  <c r="AF235" i="1"/>
  <c r="AE235" i="1"/>
  <c r="AD235" i="1"/>
  <c r="AC235" i="1"/>
  <c r="AB235" i="1"/>
  <c r="AA235" i="1"/>
  <c r="AI234" i="1"/>
  <c r="AH234" i="1"/>
  <c r="AG234" i="1"/>
  <c r="AF234" i="1"/>
  <c r="AE234" i="1"/>
  <c r="AD234" i="1"/>
  <c r="AC234" i="1"/>
  <c r="AB234" i="1"/>
  <c r="AA234" i="1"/>
  <c r="AI233" i="1"/>
  <c r="AH233" i="1"/>
  <c r="AG233" i="1"/>
  <c r="AF233" i="1"/>
  <c r="AE233" i="1"/>
  <c r="AD233" i="1"/>
  <c r="AC233" i="1"/>
  <c r="AB233" i="1"/>
  <c r="AA233" i="1"/>
  <c r="AI232" i="1"/>
  <c r="AH232" i="1"/>
  <c r="AG232" i="1"/>
  <c r="AF232" i="1"/>
  <c r="AE232" i="1"/>
  <c r="AD232" i="1"/>
  <c r="AC232" i="1"/>
  <c r="AB232" i="1"/>
  <c r="AA232" i="1"/>
  <c r="AI231" i="1"/>
  <c r="AH231" i="1"/>
  <c r="AG231" i="1"/>
  <c r="AF231" i="1"/>
  <c r="AE231" i="1"/>
  <c r="AD231" i="1"/>
  <c r="AC231" i="1"/>
  <c r="AB231" i="1"/>
  <c r="AA231" i="1"/>
  <c r="AI230" i="1"/>
  <c r="AH230" i="1"/>
  <c r="AG230" i="1"/>
  <c r="AF230" i="1"/>
  <c r="AE230" i="1"/>
  <c r="AD230" i="1"/>
  <c r="AC230" i="1"/>
  <c r="AB230" i="1"/>
  <c r="AA230" i="1"/>
  <c r="AI229" i="1"/>
  <c r="AH229" i="1"/>
  <c r="AG229" i="1"/>
  <c r="AF229" i="1"/>
  <c r="AE229" i="1"/>
  <c r="AD229" i="1"/>
  <c r="AC229" i="1"/>
  <c r="AB229" i="1"/>
  <c r="AA229" i="1"/>
  <c r="AI228" i="1"/>
  <c r="AH228" i="1"/>
  <c r="AG228" i="1"/>
  <c r="AF228" i="1"/>
  <c r="AE228" i="1"/>
  <c r="AD228" i="1"/>
  <c r="AC228" i="1"/>
  <c r="AB228" i="1"/>
  <c r="AA228" i="1"/>
  <c r="AI227" i="1"/>
  <c r="AH227" i="1"/>
  <c r="AG227" i="1"/>
  <c r="AF227" i="1"/>
  <c r="AE227" i="1"/>
  <c r="AD227" i="1"/>
  <c r="AC227" i="1"/>
  <c r="AB227" i="1"/>
  <c r="AA227" i="1"/>
  <c r="AI226" i="1"/>
  <c r="AH226" i="1"/>
  <c r="AG226" i="1"/>
  <c r="AF226" i="1"/>
  <c r="AE226" i="1"/>
  <c r="AD226" i="1"/>
  <c r="AC226" i="1"/>
  <c r="AB226" i="1"/>
  <c r="AA226" i="1"/>
  <c r="AI225" i="1"/>
  <c r="AH225" i="1"/>
  <c r="AG225" i="1"/>
  <c r="AF225" i="1"/>
  <c r="AE225" i="1"/>
  <c r="AD225" i="1"/>
  <c r="AC225" i="1"/>
  <c r="AB225" i="1"/>
  <c r="AA225" i="1"/>
  <c r="AI224" i="1"/>
  <c r="AH224" i="1"/>
  <c r="AG224" i="1"/>
  <c r="AF224" i="1"/>
  <c r="AE224" i="1"/>
  <c r="AD224" i="1"/>
  <c r="AC224" i="1"/>
  <c r="AB224" i="1"/>
  <c r="AA224" i="1"/>
  <c r="AI223" i="1"/>
  <c r="AH223" i="1"/>
  <c r="AG223" i="1"/>
  <c r="AF223" i="1"/>
  <c r="AE223" i="1"/>
  <c r="AD223" i="1"/>
  <c r="AC223" i="1"/>
  <c r="AB223" i="1"/>
  <c r="AA223" i="1"/>
  <c r="AI222" i="1"/>
  <c r="AH222" i="1"/>
  <c r="AG222" i="1"/>
  <c r="AF222" i="1"/>
  <c r="AE222" i="1"/>
  <c r="AD222" i="1"/>
  <c r="AC222" i="1"/>
  <c r="AB222" i="1"/>
  <c r="AA222" i="1"/>
  <c r="AI221" i="1"/>
  <c r="AH221" i="1"/>
  <c r="AG221" i="1"/>
  <c r="AF221" i="1"/>
  <c r="AE221" i="1"/>
  <c r="AD221" i="1"/>
  <c r="AC221" i="1"/>
  <c r="AB221" i="1"/>
  <c r="AA221" i="1"/>
  <c r="AI189" i="1"/>
  <c r="AH189" i="1"/>
  <c r="AG189" i="1"/>
  <c r="AF189" i="1"/>
  <c r="AE189" i="1"/>
  <c r="AD189" i="1"/>
  <c r="AC189" i="1"/>
  <c r="AB189" i="1"/>
  <c r="AA189" i="1"/>
  <c r="AI188" i="1"/>
  <c r="AH188" i="1"/>
  <c r="AG188" i="1"/>
  <c r="AF188" i="1"/>
  <c r="AE188" i="1"/>
  <c r="AD188" i="1"/>
  <c r="AC188" i="1"/>
  <c r="AB188" i="1"/>
  <c r="AA188" i="1"/>
  <c r="AI187" i="1"/>
  <c r="AH187" i="1"/>
  <c r="AG187" i="1"/>
  <c r="AF187" i="1"/>
  <c r="AE187" i="1"/>
  <c r="AD187" i="1"/>
  <c r="AC187" i="1"/>
  <c r="AB187" i="1"/>
  <c r="AA187" i="1"/>
  <c r="AI186" i="1"/>
  <c r="AH186" i="1"/>
  <c r="AG186" i="1"/>
  <c r="AF186" i="1"/>
  <c r="AE186" i="1"/>
  <c r="AD186" i="1"/>
  <c r="AC186" i="1"/>
  <c r="AB186" i="1"/>
  <c r="AA186" i="1"/>
  <c r="AI185" i="1"/>
  <c r="AH185" i="1"/>
  <c r="AG185" i="1"/>
  <c r="AF185" i="1"/>
  <c r="AE185" i="1"/>
  <c r="AD185" i="1"/>
  <c r="AC185" i="1"/>
  <c r="AB185" i="1"/>
  <c r="AA185" i="1"/>
  <c r="AI184" i="1"/>
  <c r="AH184" i="1"/>
  <c r="AG184" i="1"/>
  <c r="AF184" i="1"/>
  <c r="AE184" i="1"/>
  <c r="AD184" i="1"/>
  <c r="AC184" i="1"/>
  <c r="AB184" i="1"/>
  <c r="AA184" i="1"/>
  <c r="AI183" i="1"/>
  <c r="AH183" i="1"/>
  <c r="AG183" i="1"/>
  <c r="AF183" i="1"/>
  <c r="AE183" i="1"/>
  <c r="AD183" i="1"/>
  <c r="AC183" i="1"/>
  <c r="AB183" i="1"/>
  <c r="AA183" i="1"/>
  <c r="AI182" i="1"/>
  <c r="AH182" i="1"/>
  <c r="AG182" i="1"/>
  <c r="AF182" i="1"/>
  <c r="AE182" i="1"/>
  <c r="AD182" i="1"/>
  <c r="AC182" i="1"/>
  <c r="AB182" i="1"/>
  <c r="AA182" i="1"/>
  <c r="AI181" i="1"/>
  <c r="AH181" i="1"/>
  <c r="AG181" i="1"/>
  <c r="AF181" i="1"/>
  <c r="AE181" i="1"/>
  <c r="AD181" i="1"/>
  <c r="AC181" i="1"/>
  <c r="AB181" i="1"/>
  <c r="AA181" i="1"/>
  <c r="AI180" i="1"/>
  <c r="AH180" i="1"/>
  <c r="AG180" i="1"/>
  <c r="AF180" i="1"/>
  <c r="AE180" i="1"/>
  <c r="AD180" i="1"/>
  <c r="AC180" i="1"/>
  <c r="AB180" i="1"/>
  <c r="AA180" i="1"/>
  <c r="AI179" i="1"/>
  <c r="AH179" i="1"/>
  <c r="AG179" i="1"/>
  <c r="AF179" i="1"/>
  <c r="AE179" i="1"/>
  <c r="AD179" i="1"/>
  <c r="AC179" i="1"/>
  <c r="AB179" i="1"/>
  <c r="AA179" i="1"/>
  <c r="AI178" i="1"/>
  <c r="AH178" i="1"/>
  <c r="AG178" i="1"/>
  <c r="AF178" i="1"/>
  <c r="AE178" i="1"/>
  <c r="AD178" i="1"/>
  <c r="AC178" i="1"/>
  <c r="AB178" i="1"/>
  <c r="AA178" i="1"/>
  <c r="AI177" i="1"/>
  <c r="AH177" i="1"/>
  <c r="AG177" i="1"/>
  <c r="AF177" i="1"/>
  <c r="AE177" i="1"/>
  <c r="AD177" i="1"/>
  <c r="AC177" i="1"/>
  <c r="AB177" i="1"/>
  <c r="AA177" i="1"/>
  <c r="AI176" i="1"/>
  <c r="AH176" i="1"/>
  <c r="AG176" i="1"/>
  <c r="AF176" i="1"/>
  <c r="AE176" i="1"/>
  <c r="AD176" i="1"/>
  <c r="AC176" i="1"/>
  <c r="AB176" i="1"/>
  <c r="AA176" i="1"/>
  <c r="AI175" i="1"/>
  <c r="AH175" i="1"/>
  <c r="AG175" i="1"/>
  <c r="AF175" i="1"/>
  <c r="AE175" i="1"/>
  <c r="AD175" i="1"/>
  <c r="AC175" i="1"/>
  <c r="AB175" i="1"/>
  <c r="AA175" i="1"/>
  <c r="AI174" i="1"/>
  <c r="AH174" i="1"/>
  <c r="AG174" i="1"/>
  <c r="AF174" i="1"/>
  <c r="AE174" i="1"/>
  <c r="AD174" i="1"/>
  <c r="AC174" i="1"/>
  <c r="AB174" i="1"/>
  <c r="AA174" i="1"/>
  <c r="AI173" i="1"/>
  <c r="AH173" i="1"/>
  <c r="AG173" i="1"/>
  <c r="AF173" i="1"/>
  <c r="AE173" i="1"/>
  <c r="AD173" i="1"/>
  <c r="AC173" i="1"/>
  <c r="AB173" i="1"/>
  <c r="AA173" i="1"/>
  <c r="AI1431" i="1"/>
  <c r="AH1431" i="1"/>
  <c r="AG1431" i="1"/>
  <c r="AF1431" i="1"/>
  <c r="AE1431" i="1"/>
  <c r="AD1431" i="1"/>
  <c r="AC1431" i="1"/>
  <c r="AB1431" i="1"/>
  <c r="AA1431" i="1"/>
  <c r="AI1430" i="1"/>
  <c r="AH1430" i="1"/>
  <c r="AG1430" i="1"/>
  <c r="AF1430" i="1"/>
  <c r="AE1430" i="1"/>
  <c r="AD1430" i="1"/>
  <c r="AC1430" i="1"/>
  <c r="AB1430" i="1"/>
  <c r="AA1430" i="1"/>
  <c r="AI1429" i="1"/>
  <c r="AH1429" i="1"/>
  <c r="AG1429" i="1"/>
  <c r="AF1429" i="1"/>
  <c r="AE1429" i="1"/>
  <c r="AD1429" i="1"/>
  <c r="AC1429" i="1"/>
  <c r="AB1429" i="1"/>
  <c r="AA1429" i="1"/>
  <c r="AI1428" i="1"/>
  <c r="AH1428" i="1"/>
  <c r="AG1428" i="1"/>
  <c r="AF1428" i="1"/>
  <c r="AE1428" i="1"/>
  <c r="AD1428" i="1"/>
  <c r="AC1428" i="1"/>
  <c r="AB1428" i="1"/>
  <c r="AA1428" i="1"/>
  <c r="AI1427" i="1"/>
  <c r="AH1427" i="1"/>
  <c r="AG1427" i="1"/>
  <c r="AF1427" i="1"/>
  <c r="AE1427" i="1"/>
  <c r="AD1427" i="1"/>
  <c r="AC1427" i="1"/>
  <c r="AB1427" i="1"/>
  <c r="AA1427" i="1"/>
  <c r="AI1425" i="1"/>
  <c r="AH1425" i="1"/>
  <c r="AG1425" i="1"/>
  <c r="AF1425" i="1"/>
  <c r="AE1425" i="1"/>
  <c r="AD1425" i="1"/>
  <c r="AC1425" i="1"/>
  <c r="AB1425" i="1"/>
  <c r="AA1425" i="1"/>
  <c r="AI1424" i="1"/>
  <c r="AH1424" i="1"/>
  <c r="AG1424" i="1"/>
  <c r="AF1424" i="1"/>
  <c r="AE1424" i="1"/>
  <c r="AD1424" i="1"/>
  <c r="AC1424" i="1"/>
  <c r="AB1424" i="1"/>
  <c r="AA1424" i="1"/>
  <c r="AI1423" i="1"/>
  <c r="AH1423" i="1"/>
  <c r="AG1423" i="1"/>
  <c r="AF1423" i="1"/>
  <c r="AE1423" i="1"/>
  <c r="AD1423" i="1"/>
  <c r="AC1423" i="1"/>
  <c r="AB1423" i="1"/>
  <c r="AA1423" i="1"/>
  <c r="AI1422" i="1"/>
  <c r="AH1422" i="1"/>
  <c r="AG1422" i="1"/>
  <c r="AF1422" i="1"/>
  <c r="AE1422" i="1"/>
  <c r="AD1422" i="1"/>
  <c r="AC1422" i="1"/>
  <c r="AB1422" i="1"/>
  <c r="AA1422" i="1"/>
  <c r="AI1421" i="1"/>
  <c r="AH1421" i="1"/>
  <c r="AG1421" i="1"/>
  <c r="AF1421" i="1"/>
  <c r="AE1421" i="1"/>
  <c r="AD1421" i="1"/>
  <c r="AC1421" i="1"/>
  <c r="AB1421" i="1"/>
  <c r="AA1421" i="1"/>
  <c r="AI1420" i="1"/>
  <c r="AH1420" i="1"/>
  <c r="AG1420" i="1"/>
  <c r="AF1420" i="1"/>
  <c r="AE1420" i="1"/>
  <c r="AD1420" i="1"/>
  <c r="AC1420" i="1"/>
  <c r="AB1420" i="1"/>
  <c r="AA1420" i="1"/>
  <c r="AI1419" i="1"/>
  <c r="AH1419" i="1"/>
  <c r="AG1419" i="1"/>
  <c r="AF1419" i="1"/>
  <c r="AE1419" i="1"/>
  <c r="AD1419" i="1"/>
  <c r="AC1419" i="1"/>
  <c r="AB1419" i="1"/>
  <c r="AA1419" i="1"/>
  <c r="AI1418" i="1"/>
  <c r="AH1418" i="1"/>
  <c r="AG1418" i="1"/>
  <c r="AF1418" i="1"/>
  <c r="AE1418" i="1"/>
  <c r="AD1418" i="1"/>
  <c r="AC1418" i="1"/>
  <c r="AB1418" i="1"/>
  <c r="AA1418" i="1"/>
  <c r="AI1417" i="1"/>
  <c r="AH1417" i="1"/>
  <c r="AG1417" i="1"/>
  <c r="AF1417" i="1"/>
  <c r="AE1417" i="1"/>
  <c r="AD1417" i="1"/>
  <c r="AC1417" i="1"/>
  <c r="AB1417" i="1"/>
  <c r="AA1417" i="1"/>
  <c r="AI1416" i="1"/>
  <c r="AH1416" i="1"/>
  <c r="AG1416" i="1"/>
  <c r="AF1416" i="1"/>
  <c r="AE1416" i="1"/>
  <c r="AD1416" i="1"/>
  <c r="AC1416" i="1"/>
  <c r="AB1416" i="1"/>
  <c r="AA1416" i="1"/>
  <c r="AI1415" i="1"/>
  <c r="AH1415" i="1"/>
  <c r="AG1415" i="1"/>
  <c r="AF1415" i="1"/>
  <c r="AE1415" i="1"/>
  <c r="AD1415" i="1"/>
  <c r="AC1415" i="1"/>
  <c r="AB1415" i="1"/>
  <c r="AA1415" i="1"/>
  <c r="AI1414" i="1"/>
  <c r="AH1414" i="1"/>
  <c r="AG1414" i="1"/>
  <c r="AF1414" i="1"/>
  <c r="AE1414" i="1"/>
  <c r="AD1414" i="1"/>
  <c r="AC1414" i="1"/>
  <c r="AB1414" i="1"/>
  <c r="AA1414" i="1"/>
  <c r="AI1413" i="1"/>
  <c r="AH1413" i="1"/>
  <c r="AG1413" i="1"/>
  <c r="AF1413" i="1"/>
  <c r="AE1413" i="1"/>
  <c r="AD1413" i="1"/>
  <c r="AC1413" i="1"/>
  <c r="AB1413" i="1"/>
  <c r="AA1413" i="1"/>
  <c r="AI1412" i="1"/>
  <c r="AH1412" i="1"/>
  <c r="AG1412" i="1"/>
  <c r="AF1412" i="1"/>
  <c r="AE1412" i="1"/>
  <c r="AD1412" i="1"/>
  <c r="AC1412" i="1"/>
  <c r="AB1412" i="1"/>
  <c r="AA1412" i="1"/>
  <c r="AI1411" i="1"/>
  <c r="AH1411" i="1"/>
  <c r="AG1411" i="1"/>
  <c r="AF1411" i="1"/>
  <c r="AE1411" i="1"/>
  <c r="AD1411" i="1"/>
  <c r="AC1411" i="1"/>
  <c r="AB1411" i="1"/>
  <c r="AA1411" i="1"/>
  <c r="AI154" i="1"/>
  <c r="AH154" i="1"/>
  <c r="AG154" i="1"/>
  <c r="AF154" i="1"/>
  <c r="AE154" i="1"/>
  <c r="AD154" i="1"/>
  <c r="AC154" i="1"/>
  <c r="AB154" i="1"/>
  <c r="AA154" i="1"/>
  <c r="AI153" i="1"/>
  <c r="AH153" i="1"/>
  <c r="AG153" i="1"/>
  <c r="AF153" i="1"/>
  <c r="AE153" i="1"/>
  <c r="AD153" i="1"/>
  <c r="AC153" i="1"/>
  <c r="AB153" i="1"/>
  <c r="AA153" i="1"/>
  <c r="AI152" i="1"/>
  <c r="AH152" i="1"/>
  <c r="AG152" i="1"/>
  <c r="AF152" i="1"/>
  <c r="AE152" i="1"/>
  <c r="AD152" i="1"/>
  <c r="AC152" i="1"/>
  <c r="AB152" i="1"/>
  <c r="AA152" i="1"/>
  <c r="AI151" i="1"/>
  <c r="AH151" i="1"/>
  <c r="AG151" i="1"/>
  <c r="AF151" i="1"/>
  <c r="AE151" i="1"/>
  <c r="AD151" i="1"/>
  <c r="AC151" i="1"/>
  <c r="AB151" i="1"/>
  <c r="AA151" i="1"/>
  <c r="AI150" i="1"/>
  <c r="AH150" i="1"/>
  <c r="AG150" i="1"/>
  <c r="AF150" i="1"/>
  <c r="AE150" i="1"/>
  <c r="AD150" i="1"/>
  <c r="AC150" i="1"/>
  <c r="AB150" i="1"/>
  <c r="AA150" i="1"/>
  <c r="AI149" i="1"/>
  <c r="AH149" i="1"/>
  <c r="AG149" i="1"/>
  <c r="AF149" i="1"/>
  <c r="AE149" i="1"/>
  <c r="AD149" i="1"/>
  <c r="AC149" i="1"/>
  <c r="AB149" i="1"/>
  <c r="AA149" i="1"/>
  <c r="AI148" i="1"/>
  <c r="AH148" i="1"/>
  <c r="AG148" i="1"/>
  <c r="AF148" i="1"/>
  <c r="AE148" i="1"/>
  <c r="AD148" i="1"/>
  <c r="AC148" i="1"/>
  <c r="AB148" i="1"/>
  <c r="AA148" i="1"/>
  <c r="AI147" i="1"/>
  <c r="AH147" i="1"/>
  <c r="AG147" i="1"/>
  <c r="AF147" i="1"/>
  <c r="AE147" i="1"/>
  <c r="AD147" i="1"/>
  <c r="AC147" i="1"/>
  <c r="AB147" i="1"/>
  <c r="AA147" i="1"/>
  <c r="AI146" i="1"/>
  <c r="AH146" i="1"/>
  <c r="AG146" i="1"/>
  <c r="AF146" i="1"/>
  <c r="AE146" i="1"/>
  <c r="AD146" i="1"/>
  <c r="AC146" i="1"/>
  <c r="AB146" i="1"/>
  <c r="AA146" i="1"/>
  <c r="AI145" i="1"/>
  <c r="AH145" i="1"/>
  <c r="AG145" i="1"/>
  <c r="AF145" i="1"/>
  <c r="AE145" i="1"/>
  <c r="AD145" i="1"/>
  <c r="AC145" i="1"/>
  <c r="AB145" i="1"/>
  <c r="AA145" i="1"/>
  <c r="AI144" i="1"/>
  <c r="AH144" i="1"/>
  <c r="AG144" i="1"/>
  <c r="AF144" i="1"/>
  <c r="AE144" i="1"/>
  <c r="AD144" i="1"/>
  <c r="AC144" i="1"/>
  <c r="AB144" i="1"/>
  <c r="AA144" i="1"/>
  <c r="AI143" i="1"/>
  <c r="AH143" i="1"/>
  <c r="AG143" i="1"/>
  <c r="AF143" i="1"/>
  <c r="AE143" i="1"/>
  <c r="AD143" i="1"/>
  <c r="AC143" i="1"/>
  <c r="AB143" i="1"/>
  <c r="AA143" i="1"/>
  <c r="AI142" i="1"/>
  <c r="AH142" i="1"/>
  <c r="AG142" i="1"/>
  <c r="AF142" i="1"/>
  <c r="AE142" i="1"/>
  <c r="AD142" i="1"/>
  <c r="AC142" i="1"/>
  <c r="AB142" i="1"/>
  <c r="AA142" i="1"/>
  <c r="AI141" i="1"/>
  <c r="AH141" i="1"/>
  <c r="AG141" i="1"/>
  <c r="AF141" i="1"/>
  <c r="AE141" i="1"/>
  <c r="AD141" i="1"/>
  <c r="AC141" i="1"/>
  <c r="AB141" i="1"/>
  <c r="AA141" i="1"/>
  <c r="AI140" i="1"/>
  <c r="AH140" i="1"/>
  <c r="AG140" i="1"/>
  <c r="AF140" i="1"/>
  <c r="AE140" i="1"/>
  <c r="AD140" i="1"/>
  <c r="AC140" i="1"/>
  <c r="AB140" i="1"/>
  <c r="AA140" i="1"/>
  <c r="AI139" i="1"/>
  <c r="AH139" i="1"/>
  <c r="AG139" i="1"/>
  <c r="AF139" i="1"/>
  <c r="AE139" i="1"/>
  <c r="AD139" i="1"/>
  <c r="AC139" i="1"/>
  <c r="AB139" i="1"/>
  <c r="AA139" i="1"/>
  <c r="AI138" i="1"/>
  <c r="AH138" i="1"/>
  <c r="AG138" i="1"/>
  <c r="AF138" i="1"/>
  <c r="AE138" i="1"/>
  <c r="AD138" i="1"/>
  <c r="AC138" i="1"/>
  <c r="AB138" i="1"/>
  <c r="AA138" i="1"/>
  <c r="AI137" i="1"/>
  <c r="AH137" i="1"/>
  <c r="AG137" i="1"/>
  <c r="AF137" i="1"/>
  <c r="AE137" i="1"/>
  <c r="AD137" i="1"/>
  <c r="AC137" i="1"/>
  <c r="AB137" i="1"/>
  <c r="AA137" i="1"/>
  <c r="AI136" i="1"/>
  <c r="AH136" i="1"/>
  <c r="AG136" i="1"/>
  <c r="AF136" i="1"/>
  <c r="AE136" i="1"/>
  <c r="AD136" i="1"/>
  <c r="AC136" i="1"/>
  <c r="AB136" i="1"/>
  <c r="AA136" i="1"/>
  <c r="AI135" i="1"/>
  <c r="AH135" i="1"/>
  <c r="AG135" i="1"/>
  <c r="AF135" i="1"/>
  <c r="AE135" i="1"/>
  <c r="AD135" i="1"/>
  <c r="AC135" i="1"/>
  <c r="AB135" i="1"/>
  <c r="AA135" i="1"/>
  <c r="AI134" i="1"/>
  <c r="AH134" i="1"/>
  <c r="AG134" i="1"/>
  <c r="AF134" i="1"/>
  <c r="AE134" i="1"/>
  <c r="AD134" i="1"/>
  <c r="AC134" i="1"/>
  <c r="AB134" i="1"/>
  <c r="AA134" i="1"/>
  <c r="AI133" i="1"/>
  <c r="AH133" i="1"/>
  <c r="AG133" i="1"/>
  <c r="AF133" i="1"/>
  <c r="AE133" i="1"/>
  <c r="AD133" i="1"/>
  <c r="AC133" i="1"/>
  <c r="AB133" i="1"/>
  <c r="AA133" i="1"/>
  <c r="AI132" i="1"/>
  <c r="AH132" i="1"/>
  <c r="AG132" i="1"/>
  <c r="AF132" i="1"/>
  <c r="AE132" i="1"/>
  <c r="AD132" i="1"/>
  <c r="AC132" i="1"/>
  <c r="AB132" i="1"/>
  <c r="AA132" i="1"/>
  <c r="AI131" i="1"/>
  <c r="AH131" i="1"/>
  <c r="AG131" i="1"/>
  <c r="AF131" i="1"/>
  <c r="AE131" i="1"/>
  <c r="AD131" i="1"/>
  <c r="AC131" i="1"/>
  <c r="AB131" i="1"/>
  <c r="AA131" i="1"/>
  <c r="AI130" i="1"/>
  <c r="AH130" i="1"/>
  <c r="AG130" i="1"/>
  <c r="AF130" i="1"/>
  <c r="AE130" i="1"/>
  <c r="AD130" i="1"/>
  <c r="AC130" i="1"/>
  <c r="AB130" i="1"/>
  <c r="AA130" i="1"/>
  <c r="AI129" i="1"/>
  <c r="AH129" i="1"/>
  <c r="AG129" i="1"/>
  <c r="AF129" i="1"/>
  <c r="AE129" i="1"/>
  <c r="AD129" i="1"/>
  <c r="AC129" i="1"/>
  <c r="AB129" i="1"/>
  <c r="AA129" i="1"/>
  <c r="AI106" i="1"/>
  <c r="AH106" i="1"/>
  <c r="AG106" i="1"/>
  <c r="AF106" i="1"/>
  <c r="AE106" i="1"/>
  <c r="AD106" i="1"/>
  <c r="AC106" i="1"/>
  <c r="AB106" i="1"/>
  <c r="AA106" i="1"/>
  <c r="AI105" i="1"/>
  <c r="AH105" i="1"/>
  <c r="AG105" i="1"/>
  <c r="AF105" i="1"/>
  <c r="AE105" i="1"/>
  <c r="AD105" i="1"/>
  <c r="AC105" i="1"/>
  <c r="AB105" i="1"/>
  <c r="AA105" i="1"/>
  <c r="AI104" i="1"/>
  <c r="AH104" i="1"/>
  <c r="AG104" i="1"/>
  <c r="AF104" i="1"/>
  <c r="AE104" i="1"/>
  <c r="AD104" i="1"/>
  <c r="AC104" i="1"/>
  <c r="AB104" i="1"/>
  <c r="AA104" i="1"/>
  <c r="AI103" i="1"/>
  <c r="AH103" i="1"/>
  <c r="AG103" i="1"/>
  <c r="AF103" i="1"/>
  <c r="AE103" i="1"/>
  <c r="AD103" i="1"/>
  <c r="AC103" i="1"/>
  <c r="AB103" i="1"/>
  <c r="AA103" i="1"/>
  <c r="AI102" i="1"/>
  <c r="AH102" i="1"/>
  <c r="AG102" i="1"/>
  <c r="AF102" i="1"/>
  <c r="AE102" i="1"/>
  <c r="AD102" i="1"/>
  <c r="AC102" i="1"/>
  <c r="AB102" i="1"/>
  <c r="AA102" i="1"/>
  <c r="AI101" i="1"/>
  <c r="AH101" i="1"/>
  <c r="AG101" i="1"/>
  <c r="AF101" i="1"/>
  <c r="AE101" i="1"/>
  <c r="AD101" i="1"/>
  <c r="AC101" i="1"/>
  <c r="AB101" i="1"/>
  <c r="AA101" i="1"/>
  <c r="AI100" i="1"/>
  <c r="AH100" i="1"/>
  <c r="AG100" i="1"/>
  <c r="AF100" i="1"/>
  <c r="AE100" i="1"/>
  <c r="AD100" i="1"/>
  <c r="AC100" i="1"/>
  <c r="AB100" i="1"/>
  <c r="AA100" i="1"/>
  <c r="AI99" i="1"/>
  <c r="AH99" i="1"/>
  <c r="AG99" i="1"/>
  <c r="AF99" i="1"/>
  <c r="AE99" i="1"/>
  <c r="AD99" i="1"/>
  <c r="AC99" i="1"/>
  <c r="AB99" i="1"/>
  <c r="AA99" i="1"/>
  <c r="AI98" i="1"/>
  <c r="AH98" i="1"/>
  <c r="AG98" i="1"/>
  <c r="AF98" i="1"/>
  <c r="AE98" i="1"/>
  <c r="AD98" i="1"/>
  <c r="AC98" i="1"/>
  <c r="AB98" i="1"/>
  <c r="AA98" i="1"/>
  <c r="AI97" i="1"/>
  <c r="AH97" i="1"/>
  <c r="AG97" i="1"/>
  <c r="AF97" i="1"/>
  <c r="AE97" i="1"/>
  <c r="AD97" i="1"/>
  <c r="AC97" i="1"/>
  <c r="AB97" i="1"/>
  <c r="AA97" i="1"/>
  <c r="AI96" i="1"/>
  <c r="AH96" i="1"/>
  <c r="AG96" i="1"/>
  <c r="AF96" i="1"/>
  <c r="AE96" i="1"/>
  <c r="AD96" i="1"/>
  <c r="AC96" i="1"/>
  <c r="AB96" i="1"/>
  <c r="AA96" i="1"/>
  <c r="AI95" i="1"/>
  <c r="AH95" i="1"/>
  <c r="AG95" i="1"/>
  <c r="AF95" i="1"/>
  <c r="AE95" i="1"/>
  <c r="AD95" i="1"/>
  <c r="AC95" i="1"/>
  <c r="AB95" i="1"/>
  <c r="AA95" i="1"/>
  <c r="AI94" i="1"/>
  <c r="AH94" i="1"/>
  <c r="AG94" i="1"/>
  <c r="AF94" i="1"/>
  <c r="AE94" i="1"/>
  <c r="AD94" i="1"/>
  <c r="AC94" i="1"/>
  <c r="AB94" i="1"/>
  <c r="AA94" i="1"/>
  <c r="AI93" i="1"/>
  <c r="AH93" i="1"/>
  <c r="AG93" i="1"/>
  <c r="AF93" i="1"/>
  <c r="AE93" i="1"/>
  <c r="AD93" i="1"/>
  <c r="AC93" i="1"/>
  <c r="AB93" i="1"/>
  <c r="AA93" i="1"/>
  <c r="AI92" i="1"/>
  <c r="AH92" i="1"/>
  <c r="AG92" i="1"/>
  <c r="AF92" i="1"/>
  <c r="AE92" i="1"/>
  <c r="AD92" i="1"/>
  <c r="AC92" i="1"/>
  <c r="AB92" i="1"/>
  <c r="AA92" i="1"/>
  <c r="AI91" i="1"/>
  <c r="AH91" i="1"/>
  <c r="AG91" i="1"/>
  <c r="AF91" i="1"/>
  <c r="AE91" i="1"/>
  <c r="AD91" i="1"/>
  <c r="AC91" i="1"/>
  <c r="AB91" i="1"/>
  <c r="AA91" i="1"/>
  <c r="AI90" i="1"/>
  <c r="AH90" i="1"/>
  <c r="AG90" i="1"/>
  <c r="AF90" i="1"/>
  <c r="AE90" i="1"/>
  <c r="AD90" i="1"/>
  <c r="AC90" i="1"/>
  <c r="AB90" i="1"/>
  <c r="AA90" i="1"/>
  <c r="AI89" i="1"/>
  <c r="AH89" i="1"/>
  <c r="AG89" i="1"/>
  <c r="AF89" i="1"/>
  <c r="AE89" i="1"/>
  <c r="AD89" i="1"/>
  <c r="AC89" i="1"/>
  <c r="AB89" i="1"/>
  <c r="AA89" i="1"/>
  <c r="AI88" i="1"/>
  <c r="AH88" i="1"/>
  <c r="AG88" i="1"/>
  <c r="AF88" i="1"/>
  <c r="AE88" i="1"/>
  <c r="AD88" i="1"/>
  <c r="AC88" i="1"/>
  <c r="AB88" i="1"/>
  <c r="AA88" i="1"/>
  <c r="AI87" i="1"/>
  <c r="AH87" i="1"/>
  <c r="AG87" i="1"/>
  <c r="AF87" i="1"/>
  <c r="AE87" i="1"/>
  <c r="AD87" i="1"/>
  <c r="AC87" i="1"/>
  <c r="AB87" i="1"/>
  <c r="AA87" i="1"/>
  <c r="AI86" i="1"/>
  <c r="AH86" i="1"/>
  <c r="AG86" i="1"/>
  <c r="AF86" i="1"/>
  <c r="AE86" i="1"/>
  <c r="AD86" i="1"/>
  <c r="AC86" i="1"/>
  <c r="AB86" i="1"/>
  <c r="AA86" i="1"/>
  <c r="AI85" i="1"/>
  <c r="AH85" i="1"/>
  <c r="AG85" i="1"/>
  <c r="AF85" i="1"/>
  <c r="AE85" i="1"/>
  <c r="AD85" i="1"/>
  <c r="AC85" i="1"/>
  <c r="AB85" i="1"/>
  <c r="AA85" i="1"/>
  <c r="AI84" i="1"/>
  <c r="AH84" i="1"/>
  <c r="AG84" i="1"/>
  <c r="AF84" i="1"/>
  <c r="AE84" i="1"/>
  <c r="AD84" i="1"/>
  <c r="AC84" i="1"/>
  <c r="AB84" i="1"/>
  <c r="AA84" i="1"/>
  <c r="AI83" i="1"/>
  <c r="AH83" i="1"/>
  <c r="AG83" i="1"/>
  <c r="AF83" i="1"/>
  <c r="AE83" i="1"/>
  <c r="AD83" i="1"/>
  <c r="AC83" i="1"/>
  <c r="AB83" i="1"/>
  <c r="AA83" i="1"/>
  <c r="AI82" i="1"/>
  <c r="AH82" i="1"/>
  <c r="AG82" i="1"/>
  <c r="AF82" i="1"/>
  <c r="AE82" i="1"/>
  <c r="AD82" i="1"/>
  <c r="AC82" i="1"/>
  <c r="AB82" i="1"/>
  <c r="AA82" i="1"/>
  <c r="AI81" i="1"/>
  <c r="AH81" i="1"/>
  <c r="AG81" i="1"/>
  <c r="AF81" i="1"/>
  <c r="AE81" i="1"/>
  <c r="AD81" i="1"/>
  <c r="AC81" i="1"/>
  <c r="AB81" i="1"/>
  <c r="AA81" i="1"/>
  <c r="AI58" i="1"/>
  <c r="AH58" i="1"/>
  <c r="AG58" i="1"/>
  <c r="AF58" i="1"/>
  <c r="AE58" i="1"/>
  <c r="AD58" i="1"/>
  <c r="AC58" i="1"/>
  <c r="AB58" i="1"/>
  <c r="AA58" i="1"/>
  <c r="AI57" i="1"/>
  <c r="AH57" i="1"/>
  <c r="AG57" i="1"/>
  <c r="AF57" i="1"/>
  <c r="AE57" i="1"/>
  <c r="AD57" i="1"/>
  <c r="AC57" i="1"/>
  <c r="AB57" i="1"/>
  <c r="AA57" i="1"/>
  <c r="AI56" i="1"/>
  <c r="AH56" i="1"/>
  <c r="AG56" i="1"/>
  <c r="AF56" i="1"/>
  <c r="AE56" i="1"/>
  <c r="AD56" i="1"/>
  <c r="AC56" i="1"/>
  <c r="AB56" i="1"/>
  <c r="AA56" i="1"/>
  <c r="AI55" i="1"/>
  <c r="AH55" i="1"/>
  <c r="AG55" i="1"/>
  <c r="AF55" i="1"/>
  <c r="AE55" i="1"/>
  <c r="AD55" i="1"/>
  <c r="AC55" i="1"/>
  <c r="AB55" i="1"/>
  <c r="AA55" i="1"/>
  <c r="AI54" i="1"/>
  <c r="AH54" i="1"/>
  <c r="AG54" i="1"/>
  <c r="AF54" i="1"/>
  <c r="AE54" i="1"/>
  <c r="AD54" i="1"/>
  <c r="AC54" i="1"/>
  <c r="AB54" i="1"/>
  <c r="AA54" i="1"/>
  <c r="AI53" i="1"/>
  <c r="AH53" i="1"/>
  <c r="AG53" i="1"/>
  <c r="AF53" i="1"/>
  <c r="AE53" i="1"/>
  <c r="AD53" i="1"/>
  <c r="AC53" i="1"/>
  <c r="AB53" i="1"/>
  <c r="AA53" i="1"/>
  <c r="AI52" i="1"/>
  <c r="AH52" i="1"/>
  <c r="AG52" i="1"/>
  <c r="AF52" i="1"/>
  <c r="AE52" i="1"/>
  <c r="AD52" i="1"/>
  <c r="AC52" i="1"/>
  <c r="AB52" i="1"/>
  <c r="AA52" i="1"/>
  <c r="AI51" i="1"/>
  <c r="AH51" i="1"/>
  <c r="AG51" i="1"/>
  <c r="AF51" i="1"/>
  <c r="AE51" i="1"/>
  <c r="AD51" i="1"/>
  <c r="AC51" i="1"/>
  <c r="AB51" i="1"/>
  <c r="AA51" i="1"/>
  <c r="AI50" i="1"/>
  <c r="AH50" i="1"/>
  <c r="AG50" i="1"/>
  <c r="AF50" i="1"/>
  <c r="AE50" i="1"/>
  <c r="AD50" i="1"/>
  <c r="AC50" i="1"/>
  <c r="AB50" i="1"/>
  <c r="AA50" i="1"/>
  <c r="AI49" i="1"/>
  <c r="AH49" i="1"/>
  <c r="AG49" i="1"/>
  <c r="AF49" i="1"/>
  <c r="AE49" i="1"/>
  <c r="AD49" i="1"/>
  <c r="AC49" i="1"/>
  <c r="AB49" i="1"/>
  <c r="AA49" i="1"/>
  <c r="AI48" i="1"/>
  <c r="AH48" i="1"/>
  <c r="AG48" i="1"/>
  <c r="AF48" i="1"/>
  <c r="AE48" i="1"/>
  <c r="AD48" i="1"/>
  <c r="AC48" i="1"/>
  <c r="AB48" i="1"/>
  <c r="AA48" i="1"/>
  <c r="AI47" i="1"/>
  <c r="AH47" i="1"/>
  <c r="AG47" i="1"/>
  <c r="AF47" i="1"/>
  <c r="AE47" i="1"/>
  <c r="AD47" i="1"/>
  <c r="AC47" i="1"/>
  <c r="AB47" i="1"/>
  <c r="AA47" i="1"/>
  <c r="AI46" i="1"/>
  <c r="AH46" i="1"/>
  <c r="AG46" i="1"/>
  <c r="AF46" i="1"/>
  <c r="AE46" i="1"/>
  <c r="AD46" i="1"/>
  <c r="AC46" i="1"/>
  <c r="AB46" i="1"/>
  <c r="AA46" i="1"/>
  <c r="AI45" i="1"/>
  <c r="AH45" i="1"/>
  <c r="AG45" i="1"/>
  <c r="AF45" i="1"/>
  <c r="AE45" i="1"/>
  <c r="AD45" i="1"/>
  <c r="AC45" i="1"/>
  <c r="AB45" i="1"/>
  <c r="AA45" i="1"/>
  <c r="AI44" i="1"/>
  <c r="AH44" i="1"/>
  <c r="AG44" i="1"/>
  <c r="AF44" i="1"/>
  <c r="AE44" i="1"/>
  <c r="AD44" i="1"/>
  <c r="AC44" i="1"/>
  <c r="AB44" i="1"/>
  <c r="AA44" i="1"/>
  <c r="AI43" i="1"/>
  <c r="AH43" i="1"/>
  <c r="AG43" i="1"/>
  <c r="AF43" i="1"/>
  <c r="AE43" i="1"/>
  <c r="AD43" i="1"/>
  <c r="AC43" i="1"/>
  <c r="AB43" i="1"/>
  <c r="AA43" i="1"/>
  <c r="AI23" i="1"/>
  <c r="AH23" i="1"/>
  <c r="AG23" i="1"/>
  <c r="AF23" i="1"/>
  <c r="AE23" i="1"/>
  <c r="AD23" i="1"/>
  <c r="AC23" i="1"/>
  <c r="AB23" i="1"/>
  <c r="AA23" i="1"/>
  <c r="AI22" i="1"/>
  <c r="AH22" i="1"/>
  <c r="AG22" i="1"/>
  <c r="AF22" i="1"/>
  <c r="AE22" i="1"/>
  <c r="AD22" i="1"/>
  <c r="AC22" i="1"/>
  <c r="AB22" i="1"/>
  <c r="AA22" i="1"/>
  <c r="AI21" i="1"/>
  <c r="AH21" i="1"/>
  <c r="AG21" i="1"/>
  <c r="AF21" i="1"/>
  <c r="AE21" i="1"/>
  <c r="AD21" i="1"/>
  <c r="AC21" i="1"/>
  <c r="AB21" i="1"/>
  <c r="AA21" i="1"/>
  <c r="AI20" i="1"/>
  <c r="AH20" i="1"/>
  <c r="AG20" i="1"/>
  <c r="AF20" i="1"/>
  <c r="AE20" i="1"/>
  <c r="AD20" i="1"/>
  <c r="AC20" i="1"/>
  <c r="AB20" i="1"/>
  <c r="AA20" i="1"/>
  <c r="AI19" i="1"/>
  <c r="AH19" i="1"/>
  <c r="AG19" i="1"/>
  <c r="AF19" i="1"/>
  <c r="AE19" i="1"/>
  <c r="AD19" i="1"/>
  <c r="AC19" i="1"/>
  <c r="AB19" i="1"/>
  <c r="AA19" i="1"/>
  <c r="AI18" i="1"/>
  <c r="AH18" i="1"/>
  <c r="AG18" i="1"/>
  <c r="AF18" i="1"/>
  <c r="AE18" i="1"/>
  <c r="AD18" i="1"/>
  <c r="AC18" i="1"/>
  <c r="AB18" i="1"/>
  <c r="AA18" i="1"/>
  <c r="AI17" i="1"/>
  <c r="AH17" i="1"/>
  <c r="AG17" i="1"/>
  <c r="AF17" i="1"/>
  <c r="AE17" i="1"/>
  <c r="AD17" i="1"/>
  <c r="AC17" i="1"/>
  <c r="AB17" i="1"/>
  <c r="AA17" i="1"/>
  <c r="AI16" i="1"/>
  <c r="AH16" i="1"/>
  <c r="AG16" i="1"/>
  <c r="AF16" i="1"/>
  <c r="AE16" i="1"/>
  <c r="AD16" i="1"/>
  <c r="AC16" i="1"/>
  <c r="AB16" i="1"/>
  <c r="AA16" i="1"/>
  <c r="AI15" i="1"/>
  <c r="AH15" i="1"/>
  <c r="AG15" i="1"/>
  <c r="AF15" i="1"/>
  <c r="AE15" i="1"/>
  <c r="AD15" i="1"/>
  <c r="AC15" i="1"/>
  <c r="AB15" i="1"/>
  <c r="AA15" i="1"/>
  <c r="AI14" i="1"/>
  <c r="AH14" i="1"/>
  <c r="AG14" i="1"/>
  <c r="AF14" i="1"/>
  <c r="AE14" i="1"/>
  <c r="AD14" i="1"/>
  <c r="AC14" i="1"/>
  <c r="AB14" i="1"/>
  <c r="AA14" i="1"/>
  <c r="AI13" i="1"/>
  <c r="AH13" i="1"/>
  <c r="AG13" i="1"/>
  <c r="AF13" i="1"/>
  <c r="AE13" i="1"/>
  <c r="AD13" i="1"/>
  <c r="AC13" i="1"/>
  <c r="AB13" i="1"/>
  <c r="AA13" i="1"/>
  <c r="AI12" i="1"/>
  <c r="AH12" i="1"/>
  <c r="AG12" i="1"/>
  <c r="AF12" i="1"/>
  <c r="AE12" i="1"/>
  <c r="AD12" i="1"/>
  <c r="AC12" i="1"/>
  <c r="AB12" i="1"/>
  <c r="AA12" i="1"/>
  <c r="AI11" i="1"/>
  <c r="AH11" i="1"/>
  <c r="AG11" i="1"/>
  <c r="AF11" i="1"/>
  <c r="AE11" i="1"/>
  <c r="AD11" i="1"/>
  <c r="AC11" i="1"/>
  <c r="AB11" i="1"/>
  <c r="AA11" i="1"/>
  <c r="AI10" i="1"/>
  <c r="AH10" i="1"/>
  <c r="AG10" i="1"/>
  <c r="AF10" i="1"/>
  <c r="AE10" i="1"/>
  <c r="AD10" i="1"/>
  <c r="AC10" i="1"/>
  <c r="AB10" i="1"/>
  <c r="AA10" i="1"/>
  <c r="AI9" i="1"/>
  <c r="AH9" i="1"/>
  <c r="AG9" i="1"/>
  <c r="AF9" i="1"/>
  <c r="AE9" i="1"/>
  <c r="AD9" i="1"/>
  <c r="AC9" i="1"/>
  <c r="AB9" i="1"/>
  <c r="AA9" i="1"/>
  <c r="AI8" i="1"/>
  <c r="AH8" i="1"/>
  <c r="AG8" i="1"/>
  <c r="AF8" i="1"/>
  <c r="AE8" i="1"/>
  <c r="AD8" i="1"/>
  <c r="AC8" i="1"/>
  <c r="AB8" i="1"/>
  <c r="AA8" i="1"/>
  <c r="AI7" i="1"/>
  <c r="AH7" i="1"/>
  <c r="AG7" i="1"/>
  <c r="AF7" i="1"/>
  <c r="AE7" i="1"/>
  <c r="AD7" i="1"/>
  <c r="AC7" i="1"/>
  <c r="AB7" i="1"/>
  <c r="AA7" i="1"/>
  <c r="AI6" i="1"/>
  <c r="AH6" i="1"/>
  <c r="AG6" i="1"/>
  <c r="AF6" i="1"/>
  <c r="AE6" i="1"/>
  <c r="AD6" i="1"/>
  <c r="AC6" i="1"/>
  <c r="AB6" i="1"/>
  <c r="AA6" i="1"/>
  <c r="AI5" i="1"/>
  <c r="AH5" i="1"/>
  <c r="AG5" i="1"/>
  <c r="AF5" i="1"/>
  <c r="AE5" i="1"/>
  <c r="AD5" i="1"/>
  <c r="AC5" i="1"/>
  <c r="AB5" i="1"/>
  <c r="AA5" i="1"/>
  <c r="AI4" i="1"/>
  <c r="AH4" i="1"/>
  <c r="AG4" i="1"/>
  <c r="AF4" i="1"/>
  <c r="AE4" i="1"/>
  <c r="AD4" i="1"/>
  <c r="AC4" i="1"/>
  <c r="AB4" i="1"/>
  <c r="AA4" i="1"/>
  <c r="AI3" i="1"/>
  <c r="AH3" i="1"/>
  <c r="AG3" i="1"/>
  <c r="AF3" i="1"/>
  <c r="AE3" i="1"/>
  <c r="AD3" i="1"/>
  <c r="AC3" i="1"/>
  <c r="AB3" i="1"/>
  <c r="AA3" i="1"/>
  <c r="AI2" i="1"/>
  <c r="AH2" i="1"/>
  <c r="AG2" i="1"/>
  <c r="AF2" i="1"/>
  <c r="AE2" i="1"/>
  <c r="AD2" i="1"/>
  <c r="AC2" i="1"/>
  <c r="AB2" i="1"/>
  <c r="AA2" i="1"/>
  <c r="AI434" i="1"/>
  <c r="AH434" i="1"/>
  <c r="AG434" i="1"/>
  <c r="AF434" i="1"/>
  <c r="AE434" i="1"/>
  <c r="AD434" i="1"/>
  <c r="AC434" i="1"/>
  <c r="AB434" i="1"/>
  <c r="AA434" i="1"/>
  <c r="AI433" i="1"/>
  <c r="AH433" i="1"/>
  <c r="AG433" i="1"/>
  <c r="AF433" i="1"/>
  <c r="AE433" i="1"/>
  <c r="AD433" i="1"/>
  <c r="AC433" i="1"/>
  <c r="AB433" i="1"/>
  <c r="AA433" i="1"/>
  <c r="AI432" i="1"/>
  <c r="AH432" i="1"/>
  <c r="AG432" i="1"/>
  <c r="AF432" i="1"/>
  <c r="AE432" i="1"/>
  <c r="AD432" i="1"/>
  <c r="AC432" i="1"/>
  <c r="AB432" i="1"/>
  <c r="AA432" i="1"/>
  <c r="AI431" i="1"/>
  <c r="AH431" i="1"/>
  <c r="AG431" i="1"/>
  <c r="AF431" i="1"/>
  <c r="AE431" i="1"/>
  <c r="AD431" i="1"/>
  <c r="AC431" i="1"/>
  <c r="AB431" i="1"/>
  <c r="AA431" i="1"/>
  <c r="AI430" i="1"/>
  <c r="AH430" i="1"/>
  <c r="AG430" i="1"/>
  <c r="AF430" i="1"/>
  <c r="AE430" i="1"/>
  <c r="AD430" i="1"/>
  <c r="AC430" i="1"/>
  <c r="AB430" i="1"/>
  <c r="AA430" i="1"/>
  <c r="AI429" i="1"/>
  <c r="AH429" i="1"/>
  <c r="AG429" i="1"/>
  <c r="AF429" i="1"/>
  <c r="AE429" i="1"/>
  <c r="AD429" i="1"/>
  <c r="AC429" i="1"/>
  <c r="AB429" i="1"/>
  <c r="AA429" i="1"/>
  <c r="AI428" i="1"/>
  <c r="AH428" i="1"/>
  <c r="AG428" i="1"/>
  <c r="AF428" i="1"/>
  <c r="AE428" i="1"/>
  <c r="AD428" i="1"/>
  <c r="AC428" i="1"/>
  <c r="AB428" i="1"/>
  <c r="AA428" i="1"/>
  <c r="AI427" i="1"/>
  <c r="AH427" i="1"/>
  <c r="AG427" i="1"/>
  <c r="AF427" i="1"/>
  <c r="AE427" i="1"/>
  <c r="AD427" i="1"/>
  <c r="AC427" i="1"/>
  <c r="AB427" i="1"/>
  <c r="AA427" i="1"/>
  <c r="D9" i="6"/>
  <c r="A26" i="8"/>
  <c r="G26" i="8"/>
  <c r="B9" i="8"/>
  <c r="D10" i="8"/>
  <c r="F26" i="8"/>
  <c r="I26" i="8"/>
  <c r="D26" i="8"/>
  <c r="C26" i="8"/>
  <c r="B10" i="8"/>
  <c r="B26" i="8"/>
  <c r="E26" i="8"/>
  <c r="H21" i="10"/>
  <c r="C10" i="8"/>
  <c r="B4" i="8"/>
  <c r="H26" i="8"/>
  <c r="H41" i="10" l="1"/>
  <c r="H37" i="10"/>
  <c r="H28" i="10"/>
  <c r="AF4" i="6"/>
  <c r="D28" i="6"/>
  <c r="A1" i="6"/>
  <c r="AI7" i="6"/>
  <c r="J30" i="6" s="1"/>
  <c r="AH7" i="6"/>
  <c r="AG7" i="6"/>
  <c r="J28" i="6" s="1"/>
  <c r="AF7" i="6"/>
  <c r="I25" i="6" l="1"/>
  <c r="I27" i="6" s="1"/>
  <c r="AP45" i="3"/>
  <c r="AP44" i="3"/>
  <c r="AP43" i="3"/>
  <c r="AP42" i="3"/>
  <c r="AP41" i="3"/>
  <c r="AP40" i="3"/>
  <c r="AP39" i="3"/>
  <c r="AP38" i="3"/>
  <c r="AP37" i="3"/>
  <c r="AP36" i="3"/>
  <c r="AP35" i="3"/>
  <c r="AP34" i="3"/>
  <c r="AP33" i="3"/>
  <c r="AP32" i="3"/>
  <c r="AO32" i="3"/>
  <c r="AP31" i="3"/>
  <c r="AP30" i="3"/>
  <c r="AP29" i="3"/>
  <c r="AP28" i="3"/>
  <c r="AP27" i="3"/>
  <c r="AP26" i="3"/>
  <c r="AP25" i="3"/>
  <c r="AP24" i="3"/>
  <c r="AO24" i="3"/>
  <c r="AP23" i="3"/>
  <c r="AP22" i="3"/>
  <c r="AP21" i="3"/>
  <c r="AO21" i="3"/>
  <c r="AP20" i="3"/>
  <c r="AP19" i="3"/>
  <c r="AP18" i="3"/>
  <c r="AO18" i="3"/>
  <c r="AP17" i="3"/>
  <c r="AP16" i="3"/>
  <c r="AP15" i="3"/>
  <c r="AP14" i="3"/>
  <c r="AP13" i="3"/>
  <c r="AO13" i="3"/>
  <c r="AP12" i="3"/>
  <c r="AP11" i="3"/>
  <c r="AP10" i="3"/>
  <c r="AP9" i="3"/>
  <c r="AP8" i="3"/>
  <c r="AP7" i="3"/>
  <c r="AO7" i="3"/>
  <c r="AP6" i="3"/>
  <c r="AP5" i="3"/>
  <c r="AP4" i="3"/>
  <c r="AP3" i="3"/>
  <c r="AO3" i="3"/>
  <c r="AJ1023" i="1"/>
  <c r="AJ1022" i="1"/>
  <c r="AJ1021" i="1"/>
  <c r="AJ1020" i="1"/>
  <c r="AJ1019" i="1"/>
  <c r="AJ1018" i="1"/>
  <c r="AJ1017" i="1"/>
  <c r="AJ1016" i="1"/>
  <c r="AJ1015" i="1"/>
  <c r="AJ1014" i="1"/>
  <c r="AJ1013" i="1"/>
  <c r="AJ1012" i="1"/>
  <c r="AJ1011" i="1"/>
  <c r="AJ1010" i="1"/>
  <c r="AJ1009" i="1"/>
  <c r="AJ1008" i="1"/>
  <c r="AJ1007" i="1"/>
  <c r="AJ1006" i="1"/>
  <c r="AJ1005" i="1"/>
  <c r="AJ1004" i="1"/>
  <c r="AJ1003" i="1"/>
  <c r="AJ992" i="1"/>
  <c r="AJ991" i="1"/>
  <c r="AJ990" i="1"/>
  <c r="AJ989" i="1"/>
  <c r="AJ988" i="1"/>
  <c r="AJ987" i="1"/>
  <c r="AJ986" i="1"/>
  <c r="AJ985" i="1"/>
  <c r="AJ984" i="1"/>
  <c r="AJ983" i="1"/>
  <c r="AJ982" i="1"/>
  <c r="AJ981" i="1"/>
  <c r="AJ980" i="1"/>
  <c r="AJ979" i="1"/>
  <c r="AJ978" i="1"/>
  <c r="AJ977" i="1"/>
  <c r="AJ976" i="1"/>
  <c r="AJ975" i="1"/>
  <c r="AJ974" i="1"/>
  <c r="AJ973" i="1"/>
  <c r="AJ972" i="1"/>
  <c r="AJ971" i="1"/>
  <c r="AJ970" i="1"/>
  <c r="AJ969" i="1"/>
  <c r="AJ958" i="1"/>
  <c r="AJ957" i="1"/>
  <c r="AJ956" i="1"/>
  <c r="AJ955" i="1"/>
  <c r="AJ954" i="1"/>
  <c r="AJ953" i="1"/>
  <c r="AJ952" i="1"/>
  <c r="AJ951" i="1"/>
  <c r="AJ950" i="1"/>
  <c r="AJ949" i="1"/>
  <c r="AJ948" i="1"/>
  <c r="AJ947" i="1"/>
  <c r="AJ946" i="1"/>
  <c r="AJ945" i="1"/>
  <c r="AJ944" i="1"/>
  <c r="AJ943" i="1"/>
  <c r="AJ942" i="1"/>
  <c r="AJ941" i="1"/>
  <c r="AJ940" i="1"/>
  <c r="AJ939" i="1"/>
  <c r="AJ938" i="1"/>
  <c r="AJ937" i="1"/>
  <c r="AJ936" i="1"/>
  <c r="AJ935" i="1"/>
  <c r="AJ934" i="1"/>
  <c r="AJ933" i="1"/>
  <c r="AJ932" i="1"/>
  <c r="AJ924" i="1"/>
  <c r="AJ923" i="1"/>
  <c r="AJ922" i="1"/>
  <c r="AJ921" i="1"/>
  <c r="AJ920" i="1"/>
  <c r="AJ919" i="1"/>
  <c r="AJ918" i="1"/>
  <c r="AJ917" i="1"/>
  <c r="AJ916" i="1"/>
  <c r="AJ915" i="1"/>
  <c r="AJ914" i="1"/>
  <c r="AJ913" i="1"/>
  <c r="AJ904" i="1"/>
  <c r="AJ903" i="1"/>
  <c r="AJ902" i="1"/>
  <c r="AJ901" i="1"/>
  <c r="AJ900" i="1"/>
  <c r="AJ899" i="1"/>
  <c r="AJ898" i="1"/>
  <c r="AJ897" i="1"/>
  <c r="AJ896" i="1"/>
  <c r="AJ895" i="1"/>
  <c r="AJ894" i="1"/>
  <c r="AJ893" i="1"/>
  <c r="AJ892" i="1"/>
  <c r="AJ891" i="1"/>
  <c r="AJ890" i="1"/>
  <c r="AJ889" i="1"/>
  <c r="AJ888" i="1"/>
  <c r="AJ887" i="1"/>
  <c r="AJ886" i="1"/>
  <c r="AJ885" i="1"/>
  <c r="AJ884" i="1"/>
  <c r="AJ883" i="1"/>
  <c r="AJ882" i="1"/>
  <c r="AJ881" i="1"/>
  <c r="AJ880" i="1"/>
  <c r="AJ879" i="1"/>
  <c r="AJ878" i="1"/>
  <c r="AJ877" i="1"/>
  <c r="AJ876" i="1"/>
  <c r="AJ875" i="1"/>
  <c r="AJ874" i="1"/>
  <c r="AJ873" i="1"/>
  <c r="AJ872" i="1"/>
  <c r="AJ871" i="1"/>
  <c r="AJ857" i="1"/>
  <c r="AJ856" i="1"/>
  <c r="AJ855" i="1"/>
  <c r="AJ854" i="1"/>
  <c r="AJ853" i="1"/>
  <c r="AJ852" i="1"/>
  <c r="AJ851" i="1"/>
  <c r="AJ850" i="1"/>
  <c r="AJ849" i="1"/>
  <c r="AJ848" i="1"/>
  <c r="AJ847" i="1"/>
  <c r="AJ846" i="1"/>
  <c r="AJ845" i="1"/>
  <c r="AJ844" i="1"/>
  <c r="AJ843" i="1"/>
  <c r="AJ842" i="1"/>
  <c r="AJ821" i="1"/>
  <c r="AJ820" i="1"/>
  <c r="AJ819" i="1"/>
  <c r="AJ818" i="1"/>
  <c r="AJ817" i="1"/>
  <c r="AJ816" i="1"/>
  <c r="AJ815" i="1"/>
  <c r="AJ814" i="1"/>
  <c r="AJ813" i="1"/>
  <c r="AJ812" i="1"/>
  <c r="AJ811" i="1"/>
  <c r="AJ810" i="1"/>
  <c r="AJ809" i="1"/>
  <c r="AJ808" i="1"/>
  <c r="AJ807" i="1"/>
  <c r="AJ806" i="1"/>
  <c r="AJ805" i="1"/>
  <c r="AJ804" i="1"/>
  <c r="AJ803" i="1"/>
  <c r="AJ802" i="1"/>
  <c r="AJ801" i="1"/>
  <c r="AJ800" i="1"/>
  <c r="AJ799" i="1"/>
  <c r="AJ798" i="1"/>
  <c r="AJ797" i="1"/>
  <c r="AJ796" i="1"/>
  <c r="AJ795" i="1"/>
  <c r="AJ794" i="1"/>
  <c r="AJ793" i="1"/>
  <c r="AJ792" i="1"/>
  <c r="AJ791" i="1"/>
  <c r="AJ790" i="1"/>
  <c r="AJ789" i="1"/>
  <c r="AJ788" i="1"/>
  <c r="AJ787" i="1"/>
  <c r="AJ786" i="1"/>
  <c r="AJ785" i="1"/>
  <c r="AJ784" i="1"/>
  <c r="AJ783" i="1"/>
  <c r="AJ782" i="1"/>
  <c r="AJ781" i="1"/>
  <c r="AJ780" i="1"/>
  <c r="AJ779" i="1"/>
  <c r="AJ778" i="1"/>
  <c r="AJ777" i="1"/>
  <c r="AJ776" i="1"/>
  <c r="AJ775" i="1"/>
  <c r="AJ774" i="1"/>
  <c r="AJ773" i="1"/>
  <c r="AJ772" i="1"/>
  <c r="AJ764" i="1"/>
  <c r="AJ763" i="1"/>
  <c r="AJ762" i="1"/>
  <c r="AJ761" i="1"/>
  <c r="AJ760" i="1"/>
  <c r="AJ759" i="1"/>
  <c r="AJ758" i="1"/>
  <c r="AJ757" i="1"/>
  <c r="AJ756" i="1"/>
  <c r="AJ755" i="1"/>
  <c r="AJ754" i="1"/>
  <c r="AJ753" i="1"/>
  <c r="AJ752" i="1"/>
  <c r="AJ751" i="1"/>
  <c r="AJ750" i="1"/>
  <c r="AJ749" i="1"/>
  <c r="AJ748" i="1"/>
  <c r="AJ747" i="1"/>
  <c r="AJ746" i="1"/>
  <c r="AJ733" i="1"/>
  <c r="AJ732" i="1"/>
  <c r="AJ731" i="1"/>
  <c r="AJ730" i="1"/>
  <c r="AJ729" i="1"/>
  <c r="AJ728" i="1"/>
  <c r="AJ727" i="1"/>
  <c r="AJ726" i="1"/>
  <c r="AJ725" i="1"/>
  <c r="AJ724" i="1"/>
  <c r="AJ723" i="1"/>
  <c r="AJ722" i="1"/>
  <c r="AJ721" i="1"/>
  <c r="AJ720" i="1"/>
  <c r="AJ719" i="1"/>
  <c r="AJ718" i="1"/>
  <c r="AJ717" i="1"/>
  <c r="AJ716" i="1"/>
  <c r="AJ715" i="1"/>
  <c r="AJ714" i="1"/>
  <c r="AJ713" i="1"/>
  <c r="AJ712" i="1"/>
  <c r="AJ711" i="1"/>
  <c r="AJ710" i="1"/>
  <c r="AJ709" i="1"/>
  <c r="AJ708" i="1"/>
  <c r="AJ707" i="1"/>
  <c r="AJ706" i="1"/>
  <c r="AJ705" i="1"/>
  <c r="AJ704" i="1"/>
  <c r="AJ703" i="1"/>
  <c r="AJ702" i="1"/>
  <c r="AJ701" i="1"/>
  <c r="AJ700" i="1"/>
  <c r="AJ695" i="1"/>
  <c r="AJ694" i="1"/>
  <c r="AJ693" i="1"/>
  <c r="AJ692" i="1"/>
  <c r="AJ691" i="1"/>
  <c r="AJ690" i="1"/>
  <c r="AJ689" i="1"/>
  <c r="AJ688" i="1"/>
  <c r="AJ687" i="1"/>
  <c r="AJ686" i="1"/>
  <c r="AJ685" i="1"/>
  <c r="AJ684" i="1"/>
  <c r="AJ683" i="1"/>
  <c r="AJ682" i="1"/>
  <c r="AJ681" i="1"/>
  <c r="AJ680" i="1"/>
  <c r="AJ679" i="1"/>
  <c r="AJ678" i="1"/>
  <c r="AJ677" i="1"/>
  <c r="AJ676" i="1"/>
  <c r="AJ675" i="1"/>
  <c r="AJ674" i="1"/>
  <c r="AJ673" i="1"/>
  <c r="AJ672" i="1"/>
  <c r="AJ671" i="1"/>
  <c r="AJ670" i="1"/>
  <c r="AJ669" i="1"/>
  <c r="AJ668" i="1"/>
  <c r="AJ667" i="1"/>
  <c r="AJ666" i="1"/>
  <c r="AJ658" i="1"/>
  <c r="AJ657" i="1"/>
  <c r="AJ656" i="1"/>
  <c r="AJ655" i="1"/>
  <c r="AJ654" i="1"/>
  <c r="AJ653" i="1"/>
  <c r="AJ652" i="1"/>
  <c r="AJ651" i="1"/>
  <c r="AJ650" i="1"/>
  <c r="AJ649" i="1"/>
  <c r="AJ648" i="1"/>
  <c r="AJ647" i="1"/>
  <c r="AJ646" i="1"/>
  <c r="AJ645" i="1"/>
  <c r="AJ644" i="1"/>
  <c r="AJ643" i="1"/>
  <c r="AJ642" i="1"/>
  <c r="AJ641" i="1"/>
  <c r="AJ640" i="1"/>
  <c r="AJ639" i="1"/>
  <c r="AJ638" i="1"/>
  <c r="AJ637" i="1"/>
  <c r="AJ636" i="1"/>
  <c r="AJ635" i="1"/>
  <c r="AJ634" i="1"/>
  <c r="AJ633" i="1"/>
  <c r="AJ632" i="1"/>
  <c r="AJ631" i="1"/>
  <c r="AJ630" i="1"/>
  <c r="AJ629" i="1"/>
  <c r="AJ628" i="1"/>
  <c r="AJ627" i="1"/>
  <c r="AJ626" i="1"/>
  <c r="AJ625" i="1"/>
  <c r="AJ616" i="1"/>
  <c r="AJ615" i="1"/>
  <c r="AJ614" i="1"/>
  <c r="AJ613" i="1"/>
  <c r="AJ612" i="1"/>
  <c r="AJ611" i="1"/>
  <c r="AJ610" i="1"/>
  <c r="AJ609" i="1"/>
  <c r="AJ608" i="1"/>
  <c r="AJ607" i="1"/>
  <c r="AJ606" i="1"/>
  <c r="AJ605" i="1"/>
  <c r="AJ604" i="1"/>
  <c r="AJ603" i="1"/>
  <c r="AJ602" i="1"/>
  <c r="AJ601" i="1"/>
  <c r="AJ600" i="1"/>
  <c r="AJ599" i="1"/>
  <c r="AJ598" i="1"/>
  <c r="AJ597" i="1"/>
  <c r="AJ596" i="1"/>
  <c r="AJ595" i="1"/>
  <c r="AJ594" i="1"/>
  <c r="AJ593" i="1"/>
  <c r="AJ592" i="1"/>
  <c r="AJ591" i="1"/>
  <c r="AJ590" i="1"/>
  <c r="AJ589" i="1"/>
  <c r="AJ588" i="1"/>
  <c r="AJ587" i="1"/>
  <c r="AJ586" i="1"/>
  <c r="AJ585" i="1"/>
  <c r="AJ584" i="1"/>
  <c r="AJ583" i="1"/>
  <c r="AJ582" i="1"/>
  <c r="AJ567" i="1"/>
  <c r="AJ566" i="1"/>
  <c r="AJ565" i="1"/>
  <c r="AJ564" i="1"/>
  <c r="AJ563" i="1"/>
  <c r="AJ562" i="1"/>
  <c r="AJ561" i="1"/>
  <c r="AJ560" i="1"/>
  <c r="AJ559" i="1"/>
  <c r="AJ558" i="1"/>
  <c r="AJ557" i="1"/>
  <c r="AJ556" i="1"/>
  <c r="AJ555" i="1"/>
  <c r="AJ554" i="1"/>
  <c r="AJ553" i="1"/>
  <c r="AJ552" i="1"/>
  <c r="AJ551" i="1"/>
  <c r="AJ550" i="1"/>
  <c r="AJ549" i="1"/>
  <c r="AJ548" i="1"/>
  <c r="AJ547" i="1"/>
  <c r="AJ546" i="1"/>
  <c r="AJ545" i="1"/>
  <c r="AJ544" i="1"/>
  <c r="AJ543" i="1"/>
  <c r="AJ542" i="1"/>
  <c r="AJ541" i="1"/>
  <c r="AJ540" i="1"/>
  <c r="AJ539" i="1"/>
  <c r="AJ538" i="1"/>
  <c r="AJ537" i="1"/>
  <c r="AJ536" i="1"/>
  <c r="AJ535" i="1"/>
  <c r="AJ534" i="1"/>
  <c r="AJ533" i="1"/>
  <c r="AJ532" i="1"/>
  <c r="AJ531" i="1"/>
  <c r="AJ530" i="1"/>
  <c r="AJ529" i="1"/>
  <c r="AJ528" i="1"/>
  <c r="AJ527" i="1"/>
  <c r="AJ526" i="1"/>
  <c r="AJ525" i="1"/>
  <c r="AJ524" i="1"/>
  <c r="AJ523" i="1"/>
  <c r="AJ522" i="1"/>
  <c r="AJ521" i="1"/>
  <c r="AJ509" i="1"/>
  <c r="AJ508" i="1"/>
  <c r="AJ507" i="1"/>
  <c r="AJ506" i="1"/>
  <c r="AJ505" i="1"/>
  <c r="AJ504" i="1"/>
  <c r="AJ503" i="1"/>
  <c r="AJ502" i="1"/>
  <c r="AJ501" i="1"/>
  <c r="AJ500" i="1"/>
  <c r="AJ499" i="1"/>
  <c r="AJ498" i="1"/>
  <c r="AJ497" i="1"/>
  <c r="AJ496" i="1"/>
  <c r="AJ495" i="1"/>
  <c r="AJ494" i="1"/>
  <c r="AJ493" i="1"/>
  <c r="AJ492" i="1"/>
  <c r="AJ491" i="1"/>
  <c r="AJ490" i="1"/>
  <c r="AJ489" i="1"/>
  <c r="AJ488" i="1"/>
  <c r="AJ487" i="1"/>
  <c r="AJ486" i="1"/>
  <c r="AJ485" i="1"/>
  <c r="AJ484" i="1"/>
  <c r="AJ483" i="1"/>
  <c r="AJ482" i="1"/>
  <c r="AJ481" i="1"/>
  <c r="AJ480" i="1"/>
  <c r="AJ479" i="1"/>
  <c r="AJ478" i="1"/>
  <c r="AJ477" i="1"/>
  <c r="AJ476" i="1"/>
  <c r="AJ467" i="1"/>
  <c r="AJ466" i="1"/>
  <c r="AJ465" i="1"/>
  <c r="AJ464" i="1"/>
  <c r="AJ463" i="1"/>
  <c r="AJ462" i="1"/>
  <c r="AJ461" i="1"/>
  <c r="AJ460" i="1"/>
  <c r="AJ459" i="1"/>
  <c r="AJ458" i="1"/>
  <c r="AJ457" i="1"/>
  <c r="AJ456" i="1"/>
  <c r="AJ455" i="1"/>
  <c r="AJ454" i="1"/>
  <c r="AJ453" i="1"/>
  <c r="AJ452" i="1"/>
  <c r="AJ451" i="1"/>
  <c r="AJ450" i="1"/>
  <c r="AJ449" i="1"/>
  <c r="AJ448" i="1"/>
  <c r="AJ447" i="1"/>
  <c r="AJ446" i="1"/>
  <c r="AJ445" i="1"/>
  <c r="AJ444" i="1"/>
  <c r="AJ443" i="1"/>
  <c r="AJ442" i="1"/>
  <c r="AJ441" i="1"/>
  <c r="AJ440" i="1"/>
  <c r="AJ439" i="1"/>
  <c r="AJ438" i="1"/>
  <c r="AJ437" i="1"/>
  <c r="AJ436" i="1"/>
  <c r="AJ435" i="1"/>
  <c r="AJ434" i="1"/>
  <c r="AJ433" i="1"/>
  <c r="AJ432" i="1"/>
  <c r="AJ431" i="1"/>
  <c r="AJ430" i="1"/>
  <c r="AJ429" i="1"/>
  <c r="AJ428" i="1"/>
  <c r="AJ427" i="1"/>
  <c r="AJ418" i="1"/>
  <c r="AJ417" i="1"/>
  <c r="AJ416" i="1"/>
  <c r="AJ415" i="1"/>
  <c r="AJ414" i="1"/>
  <c r="AJ413" i="1"/>
  <c r="AJ412" i="1"/>
  <c r="AJ411" i="1"/>
  <c r="AJ410" i="1"/>
  <c r="AJ409" i="1"/>
  <c r="AJ408" i="1"/>
  <c r="AJ407" i="1"/>
  <c r="AJ406" i="1"/>
  <c r="AJ405" i="1"/>
  <c r="AJ404" i="1"/>
  <c r="AJ403" i="1"/>
  <c r="AJ402" i="1"/>
  <c r="AJ401" i="1"/>
  <c r="AJ400" i="1"/>
  <c r="AJ399" i="1"/>
  <c r="AJ398" i="1"/>
  <c r="AJ397" i="1"/>
  <c r="AJ396" i="1"/>
  <c r="AJ395" i="1"/>
  <c r="AJ394" i="1"/>
  <c r="AJ393" i="1"/>
  <c r="AJ392" i="1"/>
  <c r="AJ388" i="1"/>
  <c r="AJ387" i="1"/>
  <c r="AJ386" i="1"/>
  <c r="AJ385" i="1"/>
  <c r="AJ384" i="1"/>
  <c r="AJ383" i="1"/>
  <c r="AJ382" i="1"/>
  <c r="AJ381" i="1"/>
  <c r="AJ380" i="1"/>
  <c r="AJ379" i="1"/>
  <c r="AJ378" i="1"/>
  <c r="AJ377" i="1"/>
  <c r="AJ376" i="1"/>
  <c r="AJ375" i="1"/>
  <c r="AJ374" i="1"/>
  <c r="AJ373" i="1"/>
  <c r="AJ372" i="1"/>
  <c r="AJ371" i="1"/>
  <c r="AJ370" i="1"/>
  <c r="AJ352" i="1"/>
  <c r="AJ351" i="1"/>
  <c r="AJ350" i="1"/>
  <c r="AJ349" i="1"/>
  <c r="AJ338" i="1"/>
  <c r="AJ337" i="1"/>
  <c r="AJ336" i="1"/>
  <c r="AJ335" i="1"/>
  <c r="AJ334" i="1"/>
  <c r="AJ333" i="1"/>
  <c r="AJ332" i="1"/>
  <c r="AJ331" i="1"/>
  <c r="AJ330" i="1"/>
  <c r="AJ329" i="1"/>
  <c r="AJ328" i="1"/>
  <c r="AJ327" i="1"/>
  <c r="AJ326" i="1"/>
  <c r="AJ325" i="1"/>
  <c r="AJ324" i="1"/>
  <c r="AJ323" i="1"/>
  <c r="AJ322" i="1"/>
  <c r="AJ321" i="1"/>
  <c r="AJ320" i="1"/>
  <c r="AJ319" i="1"/>
  <c r="AJ318" i="1"/>
  <c r="AJ317" i="1"/>
  <c r="AJ316" i="1"/>
  <c r="AJ315" i="1"/>
  <c r="AJ314" i="1"/>
  <c r="AJ313" i="1"/>
  <c r="AJ312" i="1"/>
  <c r="AJ311" i="1"/>
  <c r="AJ310" i="1"/>
  <c r="AJ309" i="1"/>
  <c r="AJ308" i="1"/>
  <c r="AJ307" i="1"/>
  <c r="AJ306" i="1"/>
  <c r="AJ305" i="1"/>
  <c r="AJ304" i="1"/>
  <c r="AJ303" i="1"/>
  <c r="AJ302" i="1"/>
  <c r="AJ301" i="1"/>
  <c r="AJ297" i="1"/>
  <c r="AJ296" i="1"/>
  <c r="AJ295" i="1"/>
  <c r="AJ294" i="1"/>
  <c r="AJ293" i="1"/>
  <c r="AJ292" i="1"/>
  <c r="AJ291" i="1"/>
  <c r="AJ290" i="1"/>
  <c r="AJ289" i="1"/>
  <c r="AJ288" i="1"/>
  <c r="AJ287" i="1"/>
  <c r="AJ286" i="1"/>
  <c r="AJ285" i="1"/>
  <c r="AJ284" i="1"/>
  <c r="AJ283" i="1"/>
  <c r="AJ282" i="1"/>
  <c r="AJ281" i="1"/>
  <c r="AJ280" i="1"/>
  <c r="AJ279" i="1"/>
  <c r="AJ278" i="1"/>
  <c r="AJ277" i="1"/>
  <c r="AJ276" i="1"/>
  <c r="AJ275" i="1"/>
  <c r="AJ274" i="1"/>
  <c r="AJ273" i="1"/>
  <c r="AJ268" i="1"/>
  <c r="AJ267" i="1"/>
  <c r="AJ266" i="1"/>
  <c r="AJ265" i="1"/>
  <c r="AJ264" i="1"/>
  <c r="AJ263" i="1"/>
  <c r="AJ262" i="1"/>
  <c r="AJ261" i="1"/>
  <c r="AJ260" i="1"/>
  <c r="AJ259" i="1"/>
  <c r="AJ258" i="1"/>
  <c r="AJ257" i="1"/>
  <c r="AJ256" i="1"/>
  <c r="AJ255" i="1"/>
  <c r="AJ254" i="1"/>
  <c r="AJ253" i="1"/>
  <c r="AJ252" i="1"/>
  <c r="AJ251" i="1"/>
  <c r="AJ250" i="1"/>
  <c r="AJ249" i="1"/>
  <c r="AJ248" i="1"/>
  <c r="AJ247" i="1"/>
  <c r="AJ246" i="1"/>
  <c r="AJ245" i="1"/>
  <c r="AJ244" i="1"/>
  <c r="AJ243" i="1"/>
  <c r="AJ242" i="1"/>
  <c r="AJ241" i="1"/>
  <c r="AJ240" i="1"/>
  <c r="AJ239" i="1"/>
  <c r="AJ238" i="1"/>
  <c r="AJ237" i="1"/>
  <c r="AJ236" i="1"/>
  <c r="AJ235" i="1"/>
  <c r="AJ234" i="1"/>
  <c r="AJ233" i="1"/>
  <c r="AJ232" i="1"/>
  <c r="AJ231" i="1"/>
  <c r="AJ230" i="1"/>
  <c r="AJ229" i="1"/>
  <c r="AJ228" i="1"/>
  <c r="AJ227" i="1"/>
  <c r="AJ226" i="1"/>
  <c r="AJ225" i="1"/>
  <c r="AJ224" i="1"/>
  <c r="AJ223" i="1"/>
  <c r="AJ222" i="1"/>
  <c r="AJ221" i="1"/>
  <c r="AJ214" i="1"/>
  <c r="AJ213" i="1"/>
  <c r="AJ212" i="1"/>
  <c r="AJ211" i="1"/>
  <c r="AJ210" i="1"/>
  <c r="AJ209" i="1"/>
  <c r="AJ208" i="1"/>
  <c r="AJ207" i="1"/>
  <c r="AJ206" i="1"/>
  <c r="AJ205" i="1"/>
  <c r="AJ204" i="1"/>
  <c r="AJ203" i="1"/>
  <c r="AJ202" i="1"/>
  <c r="AJ201" i="1"/>
  <c r="AJ200" i="1"/>
  <c r="AJ199" i="1"/>
  <c r="AJ198" i="1"/>
  <c r="AJ197" i="1"/>
  <c r="AJ196" i="1"/>
  <c r="AJ195" i="1"/>
  <c r="AJ194" i="1"/>
  <c r="AJ193" i="1"/>
  <c r="AJ192" i="1"/>
  <c r="AJ191" i="1"/>
  <c r="AJ190" i="1"/>
  <c r="AJ189" i="1"/>
  <c r="AJ188" i="1"/>
  <c r="AJ187" i="1"/>
  <c r="AJ186" i="1"/>
  <c r="AJ185" i="1"/>
  <c r="AJ184" i="1"/>
  <c r="AJ183" i="1"/>
  <c r="AJ182" i="1"/>
  <c r="AJ181" i="1"/>
  <c r="AJ180" i="1"/>
  <c r="AJ179" i="1"/>
  <c r="AJ178" i="1"/>
  <c r="AJ177" i="1"/>
  <c r="AJ176" i="1"/>
  <c r="AJ175" i="1"/>
  <c r="AJ174" i="1"/>
  <c r="AJ173" i="1"/>
  <c r="AJ161" i="1"/>
  <c r="AJ160" i="1"/>
  <c r="AJ159" i="1"/>
  <c r="AJ158" i="1"/>
  <c r="AJ157" i="1"/>
  <c r="AJ156" i="1"/>
  <c r="AJ155" i="1"/>
  <c r="AJ154" i="1"/>
  <c r="AJ153" i="1"/>
  <c r="AJ152" i="1"/>
  <c r="AJ151" i="1"/>
  <c r="AJ150" i="1"/>
  <c r="AJ149" i="1"/>
  <c r="AJ148" i="1"/>
  <c r="AJ147" i="1"/>
  <c r="AJ146" i="1"/>
  <c r="AJ145" i="1"/>
  <c r="AJ144" i="1"/>
  <c r="AJ143" i="1"/>
  <c r="AJ142" i="1"/>
  <c r="AJ141" i="1"/>
  <c r="AJ140" i="1"/>
  <c r="AJ139" i="1"/>
  <c r="AJ138" i="1"/>
  <c r="AJ137" i="1"/>
  <c r="AJ136" i="1"/>
  <c r="AJ135" i="1"/>
  <c r="AJ134" i="1"/>
  <c r="AJ133" i="1"/>
  <c r="AJ132" i="1"/>
  <c r="AJ131" i="1"/>
  <c r="AJ130" i="1"/>
  <c r="AJ129" i="1"/>
  <c r="AJ125" i="1"/>
  <c r="AJ124" i="1"/>
  <c r="AJ123" i="1"/>
  <c r="AJ122" i="1"/>
  <c r="AJ121" i="1"/>
  <c r="AJ120" i="1"/>
  <c r="AJ119" i="1"/>
  <c r="AJ118" i="1"/>
  <c r="AJ117" i="1"/>
  <c r="AJ116" i="1"/>
  <c r="AJ115" i="1"/>
  <c r="AJ114" i="1"/>
  <c r="AJ113" i="1"/>
  <c r="AJ112" i="1"/>
  <c r="AJ111" i="1"/>
  <c r="AJ110" i="1"/>
  <c r="AJ109" i="1"/>
  <c r="AJ108" i="1"/>
  <c r="AJ107" i="1"/>
  <c r="AJ106" i="1"/>
  <c r="AJ105" i="1"/>
  <c r="AJ104" i="1"/>
  <c r="AJ103" i="1"/>
  <c r="AJ102" i="1"/>
  <c r="AJ101" i="1"/>
  <c r="AJ100" i="1"/>
  <c r="AJ99" i="1"/>
  <c r="AJ98" i="1"/>
  <c r="AJ97" i="1"/>
  <c r="AJ96" i="1"/>
  <c r="AJ95" i="1"/>
  <c r="AJ94" i="1"/>
  <c r="AJ93" i="1"/>
  <c r="AJ92" i="1"/>
  <c r="AJ91" i="1"/>
  <c r="AJ90" i="1"/>
  <c r="AJ89" i="1"/>
  <c r="AJ88" i="1"/>
  <c r="AJ87" i="1"/>
  <c r="AJ86" i="1"/>
  <c r="AJ85" i="1"/>
  <c r="AJ84" i="1"/>
  <c r="AJ83" i="1"/>
  <c r="AJ82" i="1"/>
  <c r="AJ81" i="1"/>
  <c r="AJ78" i="1"/>
  <c r="AJ77" i="1"/>
  <c r="AJ76" i="1"/>
  <c r="AJ75" i="1"/>
  <c r="AJ74" i="1"/>
  <c r="AJ73" i="1"/>
  <c r="AJ72" i="1"/>
  <c r="AJ71" i="1"/>
  <c r="AJ70" i="1"/>
  <c r="AJ69" i="1"/>
  <c r="AJ68" i="1"/>
  <c r="AJ67" i="1"/>
  <c r="AJ66" i="1"/>
  <c r="AJ65" i="1"/>
  <c r="AJ64" i="1"/>
  <c r="AJ63" i="1"/>
  <c r="AJ62" i="1"/>
  <c r="AJ61" i="1"/>
  <c r="AJ60" i="1"/>
  <c r="AJ59" i="1"/>
  <c r="AJ58" i="1"/>
  <c r="AJ57" i="1"/>
  <c r="AJ56" i="1"/>
  <c r="AJ55" i="1"/>
  <c r="AJ54" i="1"/>
  <c r="AJ53" i="1"/>
  <c r="AJ52" i="1"/>
  <c r="AJ51" i="1"/>
  <c r="AJ50" i="1"/>
  <c r="AJ49" i="1"/>
  <c r="AJ48" i="1"/>
  <c r="AJ47" i="1"/>
  <c r="AJ46" i="1"/>
  <c r="AJ45" i="1"/>
  <c r="AJ43" i="1"/>
  <c r="AJ32" i="1"/>
  <c r="AJ31" i="1"/>
  <c r="AJ30" i="1"/>
  <c r="AJ29" i="1"/>
  <c r="AJ28" i="1"/>
  <c r="AJ27" i="1"/>
  <c r="AJ26" i="1"/>
  <c r="AJ25" i="1"/>
  <c r="AJ24" i="1"/>
  <c r="AJ23" i="1"/>
  <c r="AJ22" i="1"/>
  <c r="AJ21" i="1"/>
  <c r="AJ20" i="1"/>
  <c r="AJ19" i="1"/>
  <c r="AJ18" i="1"/>
  <c r="AJ17" i="1"/>
  <c r="AJ16" i="1"/>
  <c r="AJ15" i="1"/>
  <c r="AJ14" i="1"/>
  <c r="AJ13" i="1"/>
  <c r="AJ12" i="1"/>
  <c r="AJ11" i="1"/>
  <c r="AJ10" i="1"/>
  <c r="AJ9" i="1"/>
  <c r="AJ8" i="1"/>
  <c r="AJ7" i="1"/>
  <c r="AJ6" i="1"/>
  <c r="AJ5" i="1"/>
  <c r="AJ4" i="1"/>
  <c r="AJ3" i="1"/>
  <c r="AJ2" i="1"/>
  <c r="M4" i="3" l="1"/>
  <c r="I10" i="3" l="1"/>
  <c r="J2" i="3"/>
  <c r="F4" i="3"/>
  <c r="C4" i="3"/>
  <c r="R61" i="3"/>
  <c r="R60" i="3"/>
  <c r="R59" i="3"/>
  <c r="R58" i="3"/>
  <c r="R57" i="3"/>
  <c r="R56" i="3"/>
  <c r="R55" i="3"/>
  <c r="R54" i="3"/>
  <c r="R53" i="3"/>
  <c r="C16" i="8"/>
  <c r="D30" i="6" l="1"/>
  <c r="I30" i="6" s="1"/>
  <c r="E30" i="6"/>
  <c r="I28" i="6" s="1"/>
  <c r="J4" i="12" l="1"/>
  <c r="J9" i="12"/>
  <c r="J15" i="12" l="1"/>
  <c r="AL202" i="8" l="1"/>
  <c r="A25" i="8"/>
  <c r="AL206" i="8"/>
  <c r="AL205" i="8"/>
  <c r="AL204" i="8"/>
  <c r="AL203" i="8"/>
  <c r="K4" i="3" l="1"/>
  <c r="K5" i="3" s="1"/>
  <c r="K6" i="3" s="1"/>
  <c r="K7" i="3"/>
  <c r="K8" i="3" s="1"/>
  <c r="K9" i="3"/>
  <c r="K10" i="3" s="1"/>
  <c r="K11" i="3" s="1"/>
  <c r="K12" i="3" s="1"/>
  <c r="K15" i="3" l="1"/>
  <c r="K16" i="3" s="1"/>
  <c r="K17" i="3" s="1"/>
  <c r="K18" i="3" s="1"/>
  <c r="K19" i="3" l="1"/>
  <c r="K20" i="3" s="1"/>
  <c r="I60" i="2" l="1"/>
  <c r="J60" i="2" s="1"/>
  <c r="C18" i="3"/>
  <c r="I45" i="2"/>
  <c r="J45" i="2" s="1"/>
  <c r="I7" i="2"/>
  <c r="J7" i="2" s="1"/>
  <c r="I4" i="2"/>
  <c r="J4" i="2" s="1"/>
  <c r="I164" i="2"/>
  <c r="J164" i="2" s="1"/>
  <c r="I153" i="2"/>
  <c r="J153" i="2" s="1"/>
  <c r="I34" i="2"/>
  <c r="J34" i="2" s="1"/>
  <c r="I5" i="2"/>
  <c r="J5" i="2" s="1"/>
  <c r="I141" i="2"/>
  <c r="J141" i="2" s="1"/>
  <c r="I175" i="2"/>
  <c r="J175" i="2" s="1"/>
  <c r="I194" i="2"/>
  <c r="J194" i="2" s="1"/>
  <c r="I150" i="2"/>
  <c r="J150" i="2" s="1"/>
  <c r="I103" i="2"/>
  <c r="J103" i="2" s="1"/>
  <c r="I152" i="2"/>
  <c r="J152" i="2" s="1"/>
  <c r="I82" i="2"/>
  <c r="J82" i="2" s="1"/>
  <c r="I27" i="2"/>
  <c r="J27" i="2" s="1"/>
  <c r="I166" i="2"/>
  <c r="J166" i="2" s="1"/>
  <c r="I169" i="2"/>
  <c r="J169" i="2" s="1"/>
  <c r="I72" i="2"/>
  <c r="J72" i="2" s="1"/>
  <c r="I95" i="2"/>
  <c r="J95" i="2" s="1"/>
  <c r="I100" i="2"/>
  <c r="J100" i="2" s="1"/>
  <c r="I191" i="2"/>
  <c r="J191" i="2" s="1"/>
  <c r="I140" i="2"/>
  <c r="J140" i="2" s="1"/>
  <c r="I17" i="2"/>
  <c r="J17" i="2" s="1"/>
  <c r="I65" i="2"/>
  <c r="J65" i="2" s="1"/>
  <c r="I133" i="2"/>
  <c r="J133" i="2" s="1"/>
  <c r="I134" i="2"/>
  <c r="J134" i="2" s="1"/>
  <c r="I180" i="2"/>
  <c r="J180" i="2" s="1"/>
  <c r="I6" i="2"/>
  <c r="J6" i="2" s="1"/>
  <c r="I122" i="2"/>
  <c r="J122" i="2" s="1"/>
  <c r="I132" i="2"/>
  <c r="J132" i="2" s="1"/>
  <c r="I117" i="2"/>
  <c r="J117" i="2" s="1"/>
  <c r="I32" i="2"/>
  <c r="J32" i="2" s="1"/>
  <c r="I70" i="2"/>
  <c r="J70" i="2" s="1"/>
  <c r="I96" i="2"/>
  <c r="J96" i="2" s="1"/>
  <c r="I142" i="2"/>
  <c r="J142" i="2" s="1"/>
  <c r="I200" i="2"/>
  <c r="J200" i="2" s="1"/>
  <c r="I120" i="2"/>
  <c r="J120" i="2" s="1"/>
  <c r="I13" i="2"/>
  <c r="J13" i="2" s="1"/>
  <c r="I63" i="2"/>
  <c r="J63" i="2" s="1"/>
  <c r="I90" i="2"/>
  <c r="J90" i="2" s="1"/>
  <c r="I41" i="2"/>
  <c r="J41" i="2" s="1"/>
  <c r="I178" i="2"/>
  <c r="J178" i="2" s="1"/>
  <c r="I110" i="2"/>
  <c r="J110" i="2" s="1"/>
  <c r="I204" i="2"/>
  <c r="J204" i="2" s="1"/>
  <c r="I21" i="2"/>
  <c r="J21" i="2" s="1"/>
  <c r="I79" i="2"/>
  <c r="J79" i="2" s="1"/>
  <c r="I186" i="2"/>
  <c r="J186" i="2" s="1"/>
  <c r="I73" i="2"/>
  <c r="J73" i="2" s="1"/>
  <c r="I53" i="2"/>
  <c r="J53" i="2" s="1"/>
  <c r="I118" i="2"/>
  <c r="J118" i="2" s="1"/>
  <c r="I137" i="2"/>
  <c r="J137" i="2" s="1"/>
  <c r="I184" i="2"/>
  <c r="J184" i="2" s="1"/>
  <c r="I156" i="2"/>
  <c r="J156" i="2" s="1"/>
  <c r="I116" i="2"/>
  <c r="J116" i="2" s="1"/>
  <c r="I138" i="2"/>
  <c r="J138" i="2" s="1"/>
  <c r="I161" i="2"/>
  <c r="J161" i="2" s="1"/>
  <c r="I170" i="2"/>
  <c r="J170" i="2" s="1"/>
  <c r="I36" i="2"/>
  <c r="J36" i="2" s="1"/>
  <c r="I188" i="2"/>
  <c r="J188" i="2" s="1"/>
  <c r="I171" i="2"/>
  <c r="J171" i="2" s="1"/>
  <c r="I139" i="2"/>
  <c r="J139" i="2" s="1"/>
  <c r="I43" i="2"/>
  <c r="J43" i="2" s="1"/>
  <c r="I48" i="2"/>
  <c r="J48" i="2" s="1"/>
  <c r="I183" i="2"/>
  <c r="J183" i="2" s="1"/>
  <c r="I189" i="2"/>
  <c r="J189" i="2" s="1"/>
  <c r="I91" i="2"/>
  <c r="J91" i="2" s="1"/>
  <c r="I147" i="2"/>
  <c r="J147" i="2" s="1"/>
  <c r="I58" i="2"/>
  <c r="J58" i="2" s="1"/>
  <c r="I14" i="2"/>
  <c r="J14" i="2" s="1"/>
  <c r="I42" i="2"/>
  <c r="J42" i="2" s="1"/>
  <c r="I57" i="2"/>
  <c r="J57" i="2" s="1"/>
  <c r="I114" i="2"/>
  <c r="J114" i="2" s="1"/>
  <c r="I106" i="2"/>
  <c r="J106" i="2" s="1"/>
  <c r="I168" i="2"/>
  <c r="J168" i="2" s="1"/>
  <c r="I47" i="2"/>
  <c r="J47" i="2" s="1"/>
  <c r="I101" i="2"/>
  <c r="J101" i="2" s="1"/>
  <c r="I190" i="2"/>
  <c r="J190" i="2" s="1"/>
  <c r="I44" i="2"/>
  <c r="J44" i="2" s="1"/>
  <c r="I177" i="2"/>
  <c r="J177" i="2" s="1"/>
  <c r="I193" i="2"/>
  <c r="J193" i="2" s="1"/>
  <c r="I29" i="2"/>
  <c r="J29" i="2" s="1"/>
  <c r="I181" i="2"/>
  <c r="J181" i="2" s="1"/>
  <c r="I10" i="2"/>
  <c r="J10" i="2" s="1"/>
  <c r="I154" i="2"/>
  <c r="J154" i="2" s="1"/>
  <c r="I111" i="2"/>
  <c r="J111" i="2" s="1"/>
  <c r="I160" i="2"/>
  <c r="J160" i="2" s="1"/>
  <c r="I39" i="2"/>
  <c r="J39" i="2" s="1"/>
  <c r="I129" i="2"/>
  <c r="J129" i="2" s="1"/>
  <c r="I112" i="2"/>
  <c r="J112" i="2" s="1"/>
  <c r="I15" i="2"/>
  <c r="J15" i="2" s="1"/>
  <c r="I12" i="2"/>
  <c r="J12" i="2" s="1"/>
  <c r="I173" i="2"/>
  <c r="J173" i="2" s="1"/>
  <c r="I165" i="2"/>
  <c r="J165" i="2" s="1"/>
  <c r="I185" i="2"/>
  <c r="J185" i="2" s="1"/>
  <c r="I81" i="2"/>
  <c r="J81" i="2" s="1"/>
  <c r="I50" i="2"/>
  <c r="J50" i="2" s="1"/>
  <c r="I18" i="2"/>
  <c r="J18" i="2" s="1"/>
  <c r="I182" i="2"/>
  <c r="J182" i="2" s="1"/>
  <c r="I23" i="2"/>
  <c r="J23" i="2" s="1"/>
  <c r="I24" i="2"/>
  <c r="J24" i="2" s="1"/>
  <c r="I78" i="2"/>
  <c r="J78" i="2" s="1"/>
  <c r="I66" i="2"/>
  <c r="J66" i="2" s="1"/>
  <c r="I109" i="2"/>
  <c r="J109" i="2" s="1"/>
  <c r="I146" i="2"/>
  <c r="J146" i="2" s="1"/>
  <c r="I145" i="2"/>
  <c r="J145" i="2" s="1"/>
  <c r="I85" i="2"/>
  <c r="J85" i="2" s="1"/>
  <c r="I88" i="2"/>
  <c r="J88" i="2" s="1"/>
  <c r="I125" i="2"/>
  <c r="J125" i="2" s="1"/>
  <c r="I25" i="2"/>
  <c r="J25" i="2" s="1"/>
  <c r="I196" i="2"/>
  <c r="J196" i="2" s="1"/>
  <c r="I135" i="2"/>
  <c r="J135" i="2" s="1"/>
  <c r="I83" i="2"/>
  <c r="J83" i="2" s="1"/>
  <c r="I174" i="2"/>
  <c r="J174" i="2" s="1"/>
  <c r="I74" i="2"/>
  <c r="J74" i="2" s="1"/>
  <c r="I107" i="2"/>
  <c r="J107" i="2" s="1"/>
  <c r="I167" i="2"/>
  <c r="J167" i="2" s="1"/>
  <c r="I92" i="2"/>
  <c r="J92" i="2" s="1"/>
  <c r="I157" i="2"/>
  <c r="J157" i="2" s="1"/>
  <c r="I198" i="2"/>
  <c r="J198" i="2" s="1"/>
  <c r="I201" i="2"/>
  <c r="J201" i="2" s="1"/>
  <c r="I94" i="2"/>
  <c r="J94" i="2" s="1"/>
  <c r="I121" i="2"/>
  <c r="J121" i="2" s="1"/>
  <c r="I163" i="2"/>
  <c r="J163" i="2" s="1"/>
  <c r="I28" i="2"/>
  <c r="J28" i="2" s="1"/>
  <c r="I33" i="2"/>
  <c r="J33" i="2" s="1"/>
  <c r="I93" i="2"/>
  <c r="J93" i="2" s="1"/>
  <c r="I99" i="2"/>
  <c r="J99" i="2" s="1"/>
  <c r="I144" i="2"/>
  <c r="J144" i="2" s="1"/>
  <c r="I35" i="2"/>
  <c r="J35" i="2" s="1"/>
  <c r="I59" i="2"/>
  <c r="J59" i="2" s="1"/>
  <c r="I127" i="2"/>
  <c r="J127" i="2" s="1"/>
  <c r="I158" i="2"/>
  <c r="J158" i="2" s="1"/>
  <c r="I31" i="2"/>
  <c r="J31" i="2" s="1"/>
  <c r="I124" i="2"/>
  <c r="J124" i="2" s="1"/>
  <c r="I148" i="2"/>
  <c r="J148" i="2" s="1"/>
  <c r="I30" i="2"/>
  <c r="J30" i="2" s="1"/>
  <c r="I195" i="2"/>
  <c r="J195" i="2" s="1"/>
  <c r="I67" i="2"/>
  <c r="J67" i="2" s="1"/>
  <c r="I64" i="2"/>
  <c r="J64" i="2" s="1"/>
  <c r="I11" i="2"/>
  <c r="J11" i="2" s="1"/>
  <c r="I98" i="2"/>
  <c r="J98" i="2" s="1"/>
  <c r="I119" i="2"/>
  <c r="J119" i="2" s="1"/>
  <c r="I187" i="2"/>
  <c r="J187" i="2" s="1"/>
  <c r="I86" i="2"/>
  <c r="J86" i="2" s="1"/>
  <c r="I172" i="2"/>
  <c r="J172" i="2" s="1"/>
  <c r="I69" i="2"/>
  <c r="J69" i="2" s="1"/>
  <c r="I143" i="2"/>
  <c r="J143" i="2" s="1"/>
  <c r="I113" i="2"/>
  <c r="J113" i="2" s="1"/>
  <c r="I16" i="2"/>
  <c r="J16" i="2" s="1"/>
  <c r="I80" i="2"/>
  <c r="J80" i="2" s="1"/>
  <c r="I115" i="2"/>
  <c r="J115" i="2" s="1"/>
  <c r="I102" i="2"/>
  <c r="J102" i="2" s="1"/>
  <c r="I75" i="2"/>
  <c r="J75" i="2" s="1"/>
  <c r="I197" i="2"/>
  <c r="J197" i="2" s="1"/>
  <c r="I22" i="2"/>
  <c r="J22" i="2" s="1"/>
  <c r="I136" i="2"/>
  <c r="J136" i="2" s="1"/>
  <c r="I155" i="2"/>
  <c r="J155" i="2" s="1"/>
  <c r="I51" i="2"/>
  <c r="J51" i="2" s="1"/>
  <c r="I179" i="2"/>
  <c r="J179" i="2" s="1"/>
  <c r="I202" i="2"/>
  <c r="J202" i="2" s="1"/>
  <c r="I203" i="2"/>
  <c r="J203" i="2" s="1"/>
  <c r="I37" i="2"/>
  <c r="J37" i="2" s="1"/>
  <c r="I76" i="2"/>
  <c r="J76" i="2" s="1"/>
  <c r="I19" i="2"/>
  <c r="J19" i="2" s="1"/>
  <c r="I149" i="2"/>
  <c r="J149" i="2" s="1"/>
  <c r="I159" i="2"/>
  <c r="J159" i="2" s="1"/>
  <c r="I176" i="2"/>
  <c r="J176" i="2" s="1"/>
  <c r="I192" i="2"/>
  <c r="J192" i="2" s="1"/>
  <c r="I87" i="2"/>
  <c r="J87" i="2" s="1"/>
  <c r="I151" i="2"/>
  <c r="J151" i="2" s="1"/>
  <c r="I38" i="2"/>
  <c r="J38" i="2" s="1"/>
  <c r="I20" i="2"/>
  <c r="J20" i="2" s="1"/>
  <c r="I128" i="2"/>
  <c r="J128" i="2" s="1"/>
  <c r="I108" i="2"/>
  <c r="J108" i="2" s="1"/>
  <c r="I199" i="2"/>
  <c r="J199" i="2" s="1"/>
  <c r="I97" i="2"/>
  <c r="J97" i="2" s="1"/>
  <c r="I68" i="2"/>
  <c r="J68" i="2" s="1"/>
  <c r="I61" i="2"/>
  <c r="J61" i="2" s="1"/>
  <c r="I55" i="2"/>
  <c r="J55" i="2" s="1"/>
  <c r="I84" i="2"/>
  <c r="J84" i="2" s="1"/>
  <c r="I52" i="2"/>
  <c r="J52" i="2" s="1"/>
  <c r="I49" i="2"/>
  <c r="J49" i="2" s="1"/>
  <c r="I89" i="2"/>
  <c r="J89" i="2" s="1"/>
  <c r="I8" i="2"/>
  <c r="J8" i="2" s="1"/>
  <c r="I46" i="2"/>
  <c r="J46" i="2" s="1"/>
  <c r="I162" i="2"/>
  <c r="J162" i="2" s="1"/>
  <c r="I130" i="2"/>
  <c r="J130" i="2" s="1"/>
  <c r="I105" i="2"/>
  <c r="J105" i="2" s="1"/>
  <c r="I71" i="2"/>
  <c r="J71" i="2" s="1"/>
  <c r="I126" i="2"/>
  <c r="J126" i="2" s="1"/>
  <c r="I3" i="2"/>
  <c r="J3" i="2" s="1"/>
  <c r="I9" i="2"/>
  <c r="J9" i="2" s="1"/>
  <c r="I56" i="2"/>
  <c r="J56" i="2" s="1"/>
  <c r="I77" i="2"/>
  <c r="J77" i="2" s="1"/>
  <c r="I40" i="2"/>
  <c r="J40" i="2" s="1"/>
  <c r="I104" i="2"/>
  <c r="J104" i="2" s="1"/>
  <c r="I62" i="2"/>
  <c r="J62" i="2" s="1"/>
  <c r="I26" i="2"/>
  <c r="J26" i="2" s="1"/>
  <c r="I54" i="2"/>
  <c r="J54" i="2" s="1"/>
  <c r="I131" i="2"/>
  <c r="J131" i="2" s="1"/>
  <c r="K13" i="3" l="1"/>
  <c r="K14" i="3" s="1"/>
  <c r="K21" i="3"/>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c r="K189" i="3" s="1"/>
  <c r="K190" i="3" s="1"/>
  <c r="K191" i="3" s="1"/>
  <c r="K192" i="3" s="1"/>
  <c r="K193" i="3" s="1"/>
  <c r="K194" i="3" s="1"/>
  <c r="K195" i="3" s="1"/>
  <c r="K196" i="3" s="1"/>
  <c r="K197" i="3" s="1"/>
  <c r="K198" i="3" s="1"/>
  <c r="K199" i="3" s="1"/>
  <c r="K200" i="3" s="1"/>
  <c r="K201" i="3" s="1"/>
  <c r="K202" i="3" s="1"/>
  <c r="K203" i="3" s="1"/>
  <c r="K204" i="3" s="1"/>
  <c r="K205" i="3" s="1"/>
  <c r="I123" i="2" s="1"/>
  <c r="J123" i="2" s="1"/>
  <c r="AT6" i="3" l="1"/>
  <c r="B34" i="8"/>
  <c r="BR104" i="8"/>
  <c r="BL145" i="8"/>
  <c r="BR35" i="8"/>
  <c r="AD106" i="8"/>
  <c r="AG148" i="8"/>
  <c r="I35" i="10"/>
  <c r="J33" i="10"/>
  <c r="BC91" i="8"/>
  <c r="AA48" i="8"/>
  <c r="AD62" i="8"/>
  <c r="BR23" i="8"/>
  <c r="BF132" i="8"/>
  <c r="BF85" i="8"/>
  <c r="BR84" i="8"/>
  <c r="BU155" i="8"/>
  <c r="BO110" i="8"/>
  <c r="AD57" i="8"/>
  <c r="K25" i="10"/>
  <c r="BI182" i="8"/>
  <c r="BR134" i="8"/>
  <c r="BI28" i="8"/>
  <c r="BU86" i="8"/>
  <c r="BL121" i="8"/>
  <c r="AW177" i="8"/>
  <c r="K26" i="10"/>
  <c r="BI170" i="8"/>
  <c r="BL192" i="8"/>
  <c r="AW57" i="8"/>
  <c r="L107" i="8"/>
  <c r="BI42" i="8"/>
  <c r="L169" i="8"/>
  <c r="BF176" i="8"/>
  <c r="BO68" i="8"/>
  <c r="BL64" i="8"/>
  <c r="AZ153" i="8"/>
  <c r="BR69" i="8"/>
  <c r="X68" i="8"/>
  <c r="BI142" i="8"/>
  <c r="BF177" i="8"/>
  <c r="O135" i="8"/>
  <c r="BF159" i="8"/>
  <c r="BI157" i="8"/>
  <c r="BR150" i="8"/>
  <c r="AZ196" i="8"/>
  <c r="AZ14" i="8"/>
  <c r="N35" i="10"/>
  <c r="BR41" i="8"/>
  <c r="O113" i="8"/>
  <c r="AJ38" i="8"/>
  <c r="BC100" i="8"/>
  <c r="AJ76" i="8"/>
  <c r="L96" i="8"/>
  <c r="BO19" i="8"/>
  <c r="BO161" i="8"/>
  <c r="AZ79" i="8"/>
  <c r="BF140" i="8"/>
  <c r="BF16" i="8"/>
  <c r="U176" i="8"/>
  <c r="BO90" i="8"/>
  <c r="AZ155" i="8"/>
  <c r="BF67" i="8"/>
  <c r="BO194" i="8"/>
  <c r="AZ26" i="8"/>
  <c r="R68" i="8"/>
  <c r="BU17" i="8"/>
  <c r="L36" i="10"/>
  <c r="BF47" i="8"/>
  <c r="BO48" i="8"/>
  <c r="X181" i="8"/>
  <c r="BF186" i="8"/>
  <c r="R105" i="8"/>
  <c r="BI84" i="8"/>
  <c r="AW27" i="8"/>
  <c r="BF62" i="8"/>
  <c r="BL10" i="8"/>
  <c r="BC184" i="8"/>
  <c r="BL113" i="8"/>
  <c r="AG71" i="8"/>
  <c r="BC116" i="8"/>
  <c r="AW97" i="8"/>
  <c r="O108" i="8"/>
  <c r="AJ194" i="8"/>
  <c r="AA46" i="8"/>
  <c r="BI96" i="8"/>
  <c r="AW62" i="8"/>
  <c r="BI26" i="8"/>
  <c r="L141" i="8"/>
  <c r="BC102" i="8"/>
  <c r="BU129" i="8"/>
  <c r="BF130" i="8"/>
  <c r="R110" i="8"/>
  <c r="J30" i="10"/>
  <c r="AW96" i="8"/>
  <c r="BO62" i="8"/>
  <c r="AZ32" i="8"/>
  <c r="BO98" i="8"/>
  <c r="BU142" i="8"/>
  <c r="Q9" i="12"/>
  <c r="X167" i="8"/>
  <c r="AA50" i="8"/>
  <c r="X19" i="8"/>
  <c r="BI176" i="8"/>
  <c r="BO32" i="8"/>
  <c r="R124" i="8"/>
  <c r="BU71" i="8"/>
  <c r="O154" i="8"/>
  <c r="BI155" i="8"/>
  <c r="O132" i="8"/>
  <c r="BR103" i="8"/>
  <c r="R197" i="8"/>
  <c r="BR112" i="8"/>
  <c r="BR71" i="8"/>
  <c r="AZ25" i="8"/>
  <c r="L70" i="8"/>
  <c r="AD152" i="8"/>
  <c r="BO25" i="8"/>
  <c r="BI123" i="8"/>
  <c r="BL187" i="8"/>
  <c r="AD78" i="8"/>
  <c r="AW49" i="8"/>
  <c r="BU52" i="8"/>
  <c r="O98" i="8"/>
  <c r="BO51" i="8"/>
  <c r="BC24" i="8"/>
  <c r="BO183" i="8"/>
  <c r="AW143" i="8"/>
  <c r="AW135" i="8"/>
  <c r="BU102" i="8"/>
  <c r="L164" i="8"/>
  <c r="BL177" i="8"/>
  <c r="AD172" i="8"/>
  <c r="AZ24" i="8"/>
  <c r="BR183" i="8"/>
  <c r="AA100" i="8"/>
  <c r="BU172" i="8"/>
  <c r="BR73" i="8"/>
  <c r="O18" i="8"/>
  <c r="BF52" i="8"/>
  <c r="BU150" i="8"/>
  <c r="BO74" i="8"/>
  <c r="R98" i="8"/>
  <c r="BF57" i="8"/>
  <c r="BU82" i="8"/>
  <c r="BC23" i="8"/>
  <c r="P32" i="10"/>
  <c r="BF168" i="8"/>
  <c r="BO129" i="8"/>
  <c r="AZ140" i="8"/>
  <c r="BF126" i="8"/>
  <c r="BO93" i="8"/>
  <c r="BR173" i="8"/>
  <c r="AZ124" i="8"/>
  <c r="BL13" i="8"/>
  <c r="BC88" i="8"/>
  <c r="AG97" i="8"/>
  <c r="AZ12" i="8"/>
  <c r="BF36" i="8"/>
  <c r="AZ47" i="8"/>
  <c r="BR164" i="8"/>
  <c r="AZ46" i="8"/>
  <c r="BL119" i="8"/>
  <c r="BO107" i="8"/>
  <c r="BI91" i="8"/>
  <c r="BR185" i="8"/>
  <c r="AC6" i="3"/>
  <c r="L186" i="8"/>
  <c r="R200" i="8"/>
  <c r="AG167" i="8"/>
  <c r="BF160" i="8"/>
  <c r="AW37" i="8"/>
  <c r="BR72" i="8"/>
  <c r="BF181" i="8"/>
  <c r="M30" i="10"/>
  <c r="L79" i="8"/>
  <c r="AG130" i="8"/>
  <c r="BI63" i="8"/>
  <c r="O37" i="8"/>
  <c r="AZ169" i="8"/>
  <c r="BC37" i="8"/>
  <c r="BI69" i="8"/>
  <c r="BC107" i="8"/>
  <c r="O49" i="8"/>
  <c r="AZ88" i="8"/>
  <c r="BC183" i="8"/>
  <c r="BU163" i="8"/>
  <c r="U123" i="8"/>
  <c r="U48" i="8"/>
  <c r="BO22" i="8"/>
  <c r="L47" i="6"/>
  <c r="L120" i="8"/>
  <c r="BO44" i="8"/>
  <c r="BI138" i="8"/>
  <c r="AG156" i="8"/>
  <c r="BF189" i="8"/>
  <c r="K27" i="10"/>
  <c r="AW163" i="8"/>
  <c r="BL94" i="8"/>
  <c r="L156" i="8"/>
  <c r="BF18" i="8"/>
  <c r="AD14" i="8"/>
  <c r="L10" i="8"/>
  <c r="BF124" i="8"/>
  <c r="O45" i="8"/>
  <c r="AD165" i="8"/>
  <c r="AZ125" i="8"/>
  <c r="AG38" i="8"/>
  <c r="BL99" i="8"/>
  <c r="R47" i="8"/>
  <c r="BO143" i="8"/>
  <c r="AJ77" i="8"/>
  <c r="BO140" i="8"/>
  <c r="BL83" i="8"/>
  <c r="BC31" i="8"/>
  <c r="BL68" i="8"/>
  <c r="BC21" i="8"/>
  <c r="U155" i="8"/>
  <c r="BO86" i="8"/>
  <c r="BL125" i="8"/>
  <c r="L128" i="8"/>
  <c r="BR101" i="8"/>
  <c r="BC119" i="8"/>
  <c r="BI46" i="8"/>
  <c r="R36" i="8"/>
  <c r="AW89" i="8"/>
  <c r="BR140" i="8"/>
  <c r="BR109" i="8"/>
  <c r="AJ98" i="8"/>
  <c r="BU181" i="8"/>
  <c r="AD130" i="8"/>
  <c r="AJ54" i="8"/>
  <c r="AJ180" i="8"/>
  <c r="L206" i="8"/>
  <c r="P36" i="10"/>
  <c r="BO105" i="8"/>
  <c r="BR54" i="8"/>
  <c r="AD134" i="8"/>
  <c r="BR39" i="8"/>
  <c r="U157" i="8"/>
  <c r="BC156" i="8"/>
  <c r="AJ164" i="8"/>
  <c r="AZ179" i="8"/>
  <c r="AG103" i="8"/>
  <c r="AZ9" i="8"/>
  <c r="AZ166" i="8"/>
  <c r="R53" i="8"/>
  <c r="U42" i="8"/>
  <c r="BU138" i="8"/>
  <c r="L92" i="8"/>
  <c r="BF9" i="8"/>
  <c r="BR174" i="8"/>
  <c r="U145" i="8"/>
  <c r="AZ37" i="8"/>
  <c r="AZ199" i="8"/>
  <c r="BI166" i="8"/>
  <c r="BC12" i="8"/>
  <c r="BO193" i="8"/>
  <c r="AZ167" i="8"/>
  <c r="BF94" i="8"/>
  <c r="BU169" i="8"/>
  <c r="X149" i="8"/>
  <c r="BU201" i="8"/>
  <c r="BC176" i="8"/>
  <c r="AA40" i="8"/>
  <c r="AG100" i="8"/>
  <c r="BL144" i="8"/>
  <c r="BI39" i="8"/>
  <c r="BU15" i="8"/>
  <c r="BL129" i="8"/>
  <c r="BU170" i="8"/>
  <c r="BU143" i="8"/>
  <c r="AZ65" i="8"/>
  <c r="L157" i="8"/>
  <c r="BC128" i="8"/>
  <c r="BF90" i="8"/>
  <c r="BF121" i="8"/>
  <c r="BU47" i="8"/>
  <c r="BF43" i="8"/>
  <c r="AZ27" i="8"/>
  <c r="BR56" i="8"/>
  <c r="BF82" i="8"/>
  <c r="AG77" i="8"/>
  <c r="AW74" i="8"/>
  <c r="BF109" i="8"/>
  <c r="L65" i="8"/>
  <c r="AW81" i="8"/>
  <c r="BF81" i="8"/>
  <c r="AW75" i="8"/>
  <c r="BU64" i="8"/>
  <c r="O117" i="8"/>
  <c r="BL108" i="8"/>
  <c r="AG20" i="8"/>
  <c r="P27" i="10"/>
  <c r="L106" i="8"/>
  <c r="BC53" i="8"/>
  <c r="X109" i="8"/>
  <c r="AZ21" i="8"/>
  <c r="BR89" i="8"/>
  <c r="BC75" i="8"/>
  <c r="BI131" i="8"/>
  <c r="BI150" i="8"/>
  <c r="AW186" i="8"/>
  <c r="M34" i="10"/>
  <c r="BC46" i="8"/>
  <c r="BL82" i="8"/>
  <c r="BI136" i="8"/>
  <c r="L111" i="8"/>
  <c r="BL74" i="8"/>
  <c r="BL132" i="8"/>
  <c r="AW120" i="8"/>
  <c r="AG91" i="8"/>
  <c r="BF105" i="8"/>
  <c r="BO121" i="8"/>
  <c r="BI149" i="8"/>
  <c r="AG204" i="8"/>
  <c r="AA145" i="8"/>
  <c r="R164" i="8"/>
  <c r="AZ84" i="8"/>
  <c r="BI187" i="8"/>
  <c r="AD202" i="8"/>
  <c r="X72" i="8"/>
  <c r="O3" i="12"/>
  <c r="AW149" i="8"/>
  <c r="BU120" i="8"/>
  <c r="AJ143" i="8"/>
  <c r="U167" i="8"/>
  <c r="L58" i="8"/>
  <c r="BL166" i="8"/>
  <c r="BF171" i="8"/>
  <c r="AJ57" i="8"/>
  <c r="BC140" i="8"/>
  <c r="BU146" i="8"/>
  <c r="AW168" i="8"/>
  <c r="BL22" i="8"/>
  <c r="L16" i="8"/>
  <c r="L18" i="8"/>
  <c r="BC67" i="8"/>
  <c r="AW191" i="8"/>
  <c r="R140" i="8"/>
  <c r="BF183" i="8"/>
  <c r="BL170" i="8"/>
  <c r="BI167" i="8"/>
  <c r="BO198" i="8"/>
  <c r="AW43" i="8"/>
  <c r="BC66" i="8"/>
  <c r="BO92" i="8"/>
  <c r="X123" i="8"/>
  <c r="BF180" i="8"/>
  <c r="AZ112" i="8"/>
  <c r="AZ146" i="8"/>
  <c r="AA35" i="8"/>
  <c r="O40" i="10"/>
  <c r="BR55" i="8"/>
  <c r="BC188" i="8"/>
  <c r="U168" i="8"/>
  <c r="BU190" i="8"/>
  <c r="L60" i="8"/>
  <c r="BO120" i="8"/>
  <c r="BO109" i="8"/>
  <c r="AD163" i="8"/>
  <c r="BO199" i="8"/>
  <c r="L19" i="8"/>
  <c r="K35" i="10"/>
  <c r="BL25" i="8"/>
  <c r="L172" i="8"/>
  <c r="L73" i="8"/>
  <c r="AG51" i="8"/>
  <c r="BI60" i="8"/>
  <c r="U82" i="8"/>
  <c r="U89" i="8"/>
  <c r="R101" i="8"/>
  <c r="BL148" i="8"/>
  <c r="BF98" i="8"/>
  <c r="BF127" i="8"/>
  <c r="O190" i="8"/>
  <c r="L119" i="8"/>
  <c r="AD91" i="8"/>
  <c r="X71" i="8"/>
  <c r="AA156" i="8"/>
  <c r="R122" i="8"/>
  <c r="AD118" i="8"/>
  <c r="O25" i="8"/>
  <c r="L24" i="10"/>
  <c r="L200" i="8"/>
  <c r="R128" i="8"/>
  <c r="BU117" i="8"/>
  <c r="AD162" i="8"/>
  <c r="L33" i="10"/>
  <c r="O175" i="8"/>
  <c r="L140" i="8"/>
  <c r="L39" i="8"/>
  <c r="BU123" i="8"/>
  <c r="BL197" i="8"/>
  <c r="BL70" i="8"/>
  <c r="BL97" i="8"/>
  <c r="L158" i="8"/>
  <c r="BO99" i="8"/>
  <c r="L139" i="8"/>
  <c r="BR102" i="8"/>
  <c r="L187" i="8"/>
  <c r="Q40" i="10"/>
  <c r="H40" i="10"/>
  <c r="O138" i="8"/>
  <c r="BR75" i="8"/>
  <c r="AW11" i="8"/>
  <c r="BC34" i="8"/>
  <c r="BC157" i="8"/>
  <c r="AZ31" i="8"/>
  <c r="AG46" i="8"/>
  <c r="BI195" i="8"/>
  <c r="AJ206" i="8"/>
  <c r="R152" i="8"/>
  <c r="BO9" i="8"/>
  <c r="AD112" i="8"/>
  <c r="X4" i="12"/>
  <c r="AZ100" i="8"/>
  <c r="X114" i="8"/>
  <c r="AZ16" i="8"/>
  <c r="AA192" i="8"/>
  <c r="L26" i="10"/>
  <c r="AD196" i="8"/>
  <c r="BI24" i="8"/>
  <c r="O202" i="8"/>
  <c r="AW169" i="8"/>
  <c r="AJ55" i="8"/>
  <c r="AW72" i="8"/>
  <c r="AZ97" i="8"/>
  <c r="BI125" i="8"/>
  <c r="U113" i="8"/>
  <c r="AA127" i="8"/>
  <c r="AW28" i="8"/>
  <c r="BF157" i="8"/>
  <c r="AA85" i="8"/>
  <c r="BI164" i="8"/>
  <c r="L49" i="8"/>
  <c r="L189" i="8"/>
  <c r="U201" i="8"/>
  <c r="L55" i="8"/>
  <c r="R23" i="8"/>
  <c r="U66" i="8"/>
  <c r="AZ171" i="8"/>
  <c r="BI81" i="8"/>
  <c r="L125" i="8"/>
  <c r="BR191" i="8"/>
  <c r="AD65" i="8"/>
  <c r="AJ63" i="8"/>
  <c r="BU39" i="8"/>
  <c r="BU111" i="8"/>
  <c r="BC35" i="8"/>
  <c r="BC65" i="8"/>
  <c r="BI50" i="8"/>
  <c r="L31" i="10"/>
  <c r="L27" i="10"/>
  <c r="AW66" i="8"/>
  <c r="L99" i="8"/>
  <c r="L174" i="8"/>
  <c r="BI56" i="8"/>
  <c r="BF40" i="8"/>
  <c r="AZ135" i="8"/>
  <c r="AA199" i="8"/>
  <c r="BU121" i="8"/>
  <c r="AJ137" i="8"/>
  <c r="AD68" i="8"/>
  <c r="BC11" i="8"/>
  <c r="BU166" i="8"/>
  <c r="O30" i="10"/>
  <c r="BF123" i="8"/>
  <c r="BF73" i="8"/>
  <c r="BO15" i="8"/>
  <c r="L124" i="8"/>
  <c r="AG61" i="8"/>
  <c r="L24" i="8"/>
  <c r="BI153" i="8"/>
  <c r="AW82" i="8"/>
  <c r="AD15" i="8"/>
  <c r="BO57" i="8"/>
  <c r="BR98" i="8"/>
  <c r="BL44" i="8"/>
  <c r="BO195" i="8"/>
  <c r="BI130" i="8"/>
  <c r="AJ68" i="8"/>
  <c r="BR165" i="8"/>
  <c r="I37" i="6"/>
  <c r="N30" i="10"/>
  <c r="L103" i="8"/>
  <c r="BU162" i="8"/>
  <c r="BC40" i="8"/>
  <c r="R4" i="12"/>
  <c r="BR161" i="8"/>
  <c r="R99" i="8"/>
  <c r="J26" i="10"/>
  <c r="BC25" i="8"/>
  <c r="O95" i="8"/>
  <c r="BC71" i="8"/>
  <c r="AJ41" i="8"/>
  <c r="BU105" i="8"/>
  <c r="AW34" i="8"/>
  <c r="U160" i="8"/>
  <c r="AZ141" i="8"/>
  <c r="O73" i="8"/>
  <c r="BC52" i="8"/>
  <c r="AC30" i="3"/>
  <c r="BI104" i="8"/>
  <c r="AA123" i="8"/>
  <c r="BF122" i="8"/>
  <c r="U163" i="8"/>
  <c r="BL127" i="8"/>
  <c r="AZ56" i="8"/>
  <c r="BI185" i="8"/>
  <c r="AW133" i="8"/>
  <c r="BO163" i="8"/>
  <c r="AG120" i="8"/>
  <c r="BU58" i="8"/>
  <c r="BI107" i="8"/>
  <c r="AZ87" i="8"/>
  <c r="BF15" i="8"/>
  <c r="U90" i="8"/>
  <c r="AW192" i="8"/>
  <c r="BR22" i="8"/>
  <c r="BR125" i="8"/>
  <c r="AJ115" i="8"/>
  <c r="AZ110" i="8"/>
  <c r="P20" i="10"/>
  <c r="AZ90" i="8"/>
  <c r="AG172" i="8"/>
  <c r="BR189" i="8"/>
  <c r="AW131" i="8"/>
  <c r="BO29" i="8"/>
  <c r="BO83" i="8"/>
  <c r="AW111" i="8"/>
  <c r="BO65" i="8"/>
  <c r="O26" i="10"/>
  <c r="BI36" i="8"/>
  <c r="AC32" i="3"/>
  <c r="BF84" i="8"/>
  <c r="AG48" i="8"/>
  <c r="BR113" i="8"/>
  <c r="BO102" i="8"/>
  <c r="BR167" i="8"/>
  <c r="BU12" i="8"/>
  <c r="BU96" i="8"/>
  <c r="BF184" i="8"/>
  <c r="BI61" i="8"/>
  <c r="BU90" i="8"/>
  <c r="O36" i="10"/>
  <c r="AD175" i="8"/>
  <c r="O155" i="8"/>
  <c r="L173" i="8"/>
  <c r="BI171" i="8"/>
  <c r="BL164" i="8"/>
  <c r="AJ24" i="8"/>
  <c r="BF163" i="8"/>
  <c r="BC106" i="8"/>
  <c r="O194" i="8"/>
  <c r="BC131" i="8"/>
  <c r="AJ23" i="8"/>
  <c r="AW132" i="8"/>
  <c r="R201" i="8"/>
  <c r="BU31" i="8"/>
  <c r="BR37" i="8"/>
  <c r="BL38" i="8"/>
  <c r="BL140" i="8"/>
  <c r="AW130" i="8"/>
  <c r="Q39" i="10"/>
  <c r="L175" i="8"/>
  <c r="BC82" i="8"/>
  <c r="R67" i="8"/>
  <c r="BR74" i="8"/>
  <c r="O39" i="10"/>
  <c r="AJ25" i="8"/>
  <c r="BI77" i="8"/>
  <c r="BO79" i="8"/>
  <c r="M36" i="10"/>
  <c r="BC39" i="8"/>
  <c r="BR139" i="8"/>
  <c r="BF146" i="8"/>
  <c r="J32" i="10"/>
  <c r="AD73" i="8"/>
  <c r="R160" i="8"/>
  <c r="AW40" i="8"/>
  <c r="AG54" i="8"/>
  <c r="BL150" i="8"/>
  <c r="BO154" i="8"/>
  <c r="AZ96" i="8"/>
  <c r="AZ20" i="8"/>
  <c r="P19" i="10"/>
  <c r="O46" i="8"/>
  <c r="U194" i="8"/>
  <c r="AJ127" i="8"/>
  <c r="AW24" i="8"/>
  <c r="AJ168" i="8"/>
  <c r="BI32" i="8"/>
  <c r="BC95" i="8"/>
  <c r="AW20" i="8"/>
  <c r="BL75" i="8"/>
  <c r="BO122" i="8"/>
  <c r="BO116" i="8"/>
  <c r="BL31" i="8"/>
  <c r="BU75" i="8"/>
  <c r="BU61" i="8"/>
  <c r="BL169" i="8"/>
  <c r="BO179" i="8"/>
  <c r="L12" i="8"/>
  <c r="R20" i="8"/>
  <c r="BC115" i="8"/>
  <c r="BR76" i="8"/>
  <c r="AZ71" i="8"/>
  <c r="BR119" i="8"/>
  <c r="BI9" i="8"/>
  <c r="BU73" i="8"/>
  <c r="BO85" i="8"/>
  <c r="BU145" i="8"/>
  <c r="BL198" i="8"/>
  <c r="L137" i="8"/>
  <c r="BU91" i="8"/>
  <c r="AZ200" i="8"/>
  <c r="BU97" i="8"/>
  <c r="BO162" i="8"/>
  <c r="AW71" i="8"/>
  <c r="BF153" i="8"/>
  <c r="O80" i="8"/>
  <c r="AG82" i="8"/>
  <c r="BO115" i="8"/>
  <c r="BI73" i="8"/>
  <c r="BC17" i="8"/>
  <c r="BI135" i="8"/>
  <c r="BC62" i="8"/>
  <c r="BO171" i="8"/>
  <c r="BF178" i="8"/>
  <c r="L51" i="8"/>
  <c r="BL104" i="8"/>
  <c r="X84" i="8"/>
  <c r="BF161" i="8"/>
  <c r="AD170" i="8"/>
  <c r="BF37" i="8"/>
  <c r="P18" i="10"/>
  <c r="R88" i="8"/>
  <c r="BL110" i="8"/>
  <c r="AZ148" i="8"/>
  <c r="BU62" i="8"/>
  <c r="AA43" i="8"/>
  <c r="BO18" i="8"/>
  <c r="BL66" i="8"/>
  <c r="BO184" i="8"/>
  <c r="AZ142" i="8"/>
  <c r="BC51" i="8"/>
  <c r="L14" i="8"/>
  <c r="BI82" i="8"/>
  <c r="BC26" i="8"/>
  <c r="BI143" i="8"/>
  <c r="BR199" i="8"/>
  <c r="O143" i="8"/>
  <c r="BF137" i="8"/>
  <c r="AZ67" i="8"/>
  <c r="AZ91" i="8"/>
  <c r="AZ101" i="8"/>
  <c r="AW61" i="8"/>
  <c r="AC33" i="3"/>
  <c r="BO178" i="8"/>
  <c r="BR34" i="8"/>
  <c r="AJ58" i="8"/>
  <c r="AZ30" i="8"/>
  <c r="BU151" i="8"/>
  <c r="L47" i="8"/>
  <c r="AZ23" i="8"/>
  <c r="BF69" i="8"/>
  <c r="AD55" i="8"/>
  <c r="R28" i="8"/>
  <c r="X117" i="8"/>
  <c r="AW69" i="8"/>
  <c r="AZ120" i="8"/>
  <c r="AG83" i="8"/>
  <c r="BC147" i="8"/>
  <c r="AZ38" i="8"/>
  <c r="O191" i="8"/>
  <c r="BL57" i="8"/>
  <c r="BF175" i="8"/>
  <c r="BF61" i="8"/>
  <c r="BL114" i="8"/>
  <c r="AW107" i="8"/>
  <c r="R96" i="8"/>
  <c r="BC171" i="8"/>
  <c r="BL194" i="8"/>
  <c r="AC48" i="3"/>
  <c r="P24" i="10"/>
  <c r="BU112" i="8"/>
  <c r="BU140" i="8"/>
  <c r="AG34" i="8"/>
  <c r="BF156" i="8"/>
  <c r="BC166" i="8"/>
  <c r="X133" i="8"/>
  <c r="BI139" i="8"/>
  <c r="BL105" i="8"/>
  <c r="AG202" i="8"/>
  <c r="BC63" i="8"/>
  <c r="AZ89" i="8"/>
  <c r="AA169" i="8"/>
  <c r="AZ144" i="8"/>
  <c r="BO139" i="8"/>
  <c r="BU107" i="8"/>
  <c r="AC35" i="3"/>
  <c r="O123" i="8"/>
  <c r="R205" i="8"/>
  <c r="R52" i="8"/>
  <c r="P30" i="10"/>
  <c r="BC38" i="8"/>
  <c r="AA191" i="8"/>
  <c r="BI178" i="8"/>
  <c r="AW196" i="8"/>
  <c r="BF179" i="8"/>
  <c r="X76" i="8"/>
  <c r="BL107" i="8"/>
  <c r="L84" i="8"/>
  <c r="AZ164" i="8"/>
  <c r="BL29" i="8"/>
  <c r="BF135" i="8"/>
  <c r="AD124" i="8"/>
  <c r="BC58" i="8"/>
  <c r="AW123" i="8"/>
  <c r="L44" i="8"/>
  <c r="AJ112" i="8"/>
  <c r="BI193" i="8"/>
  <c r="AG190" i="8"/>
  <c r="BF44" i="8"/>
  <c r="BI62" i="8"/>
  <c r="L145" i="8"/>
  <c r="BR46" i="8"/>
  <c r="AW16" i="8"/>
  <c r="L22" i="8"/>
  <c r="BF133" i="8"/>
  <c r="BL167" i="8"/>
  <c r="BF195" i="8"/>
  <c r="BI114" i="8"/>
  <c r="BR124" i="8"/>
  <c r="BU148" i="8"/>
  <c r="X10" i="8"/>
  <c r="BU94" i="8"/>
  <c r="AA77" i="8"/>
  <c r="BL118" i="8"/>
  <c r="BF198" i="8"/>
  <c r="AZ39" i="8"/>
  <c r="AZ104" i="8"/>
  <c r="BO156" i="8"/>
  <c r="BO63" i="8"/>
  <c r="L78" i="8"/>
  <c r="BU183" i="8"/>
  <c r="BI147" i="8"/>
  <c r="BO172" i="8"/>
  <c r="AJ136" i="8"/>
  <c r="BF46" i="8"/>
  <c r="AW86" i="8"/>
  <c r="AZ147" i="8"/>
  <c r="U127" i="8"/>
  <c r="O178" i="8"/>
  <c r="BU188" i="8"/>
  <c r="I20" i="10"/>
  <c r="BO16" i="8"/>
  <c r="BI172" i="8"/>
  <c r="R126" i="8"/>
  <c r="L28" i="8"/>
  <c r="AD125" i="8"/>
  <c r="AZ154" i="8"/>
  <c r="L13" i="8"/>
  <c r="AW99" i="8"/>
  <c r="BO168" i="8"/>
  <c r="BL101" i="8"/>
  <c r="BR155" i="8"/>
  <c r="BU185" i="8"/>
  <c r="BO151" i="8"/>
  <c r="AC31" i="3"/>
  <c r="AW150" i="8"/>
  <c r="BC94" i="8"/>
  <c r="AD147" i="8"/>
  <c r="AW88" i="8"/>
  <c r="BR194" i="8"/>
  <c r="BO174" i="8"/>
  <c r="U148" i="8"/>
  <c r="BF51" i="8"/>
  <c r="BU65" i="8"/>
  <c r="AW77" i="8"/>
  <c r="L148" i="8"/>
  <c r="N26" i="10"/>
  <c r="X206" i="8"/>
  <c r="AJ199" i="8"/>
  <c r="BI194" i="8"/>
  <c r="L203" i="8"/>
  <c r="L32" i="6"/>
  <c r="AW31" i="8"/>
  <c r="BR51" i="8"/>
  <c r="R135" i="8"/>
  <c r="BI199" i="8"/>
  <c r="AW138" i="8"/>
  <c r="U20" i="8"/>
  <c r="AA66" i="8"/>
  <c r="AW127" i="8"/>
  <c r="BU48" i="8"/>
  <c r="BC199" i="8"/>
  <c r="AW104" i="8"/>
  <c r="AW125" i="8"/>
  <c r="AD70" i="8"/>
  <c r="BC86" i="8"/>
  <c r="AA12" i="8"/>
  <c r="AZ158" i="8"/>
  <c r="BR93" i="8"/>
  <c r="BU36" i="8"/>
  <c r="L194" i="8"/>
  <c r="BL186" i="8"/>
  <c r="J31" i="10"/>
  <c r="BR149" i="8"/>
  <c r="AJ72" i="8"/>
  <c r="BU76" i="8"/>
  <c r="AW84" i="8"/>
  <c r="N39" i="10"/>
  <c r="L155" i="8"/>
  <c r="BF142" i="8"/>
  <c r="BI108" i="8"/>
  <c r="AW129" i="8"/>
  <c r="AA60" i="8"/>
  <c r="U117" i="8"/>
  <c r="BI88" i="8"/>
  <c r="AW152" i="8"/>
  <c r="L123" i="8"/>
  <c r="AW175" i="8"/>
  <c r="BU13" i="8"/>
  <c r="L32" i="10"/>
  <c r="Q32" i="10"/>
  <c r="BF193" i="8"/>
  <c r="AA182" i="8"/>
  <c r="O131" i="8"/>
  <c r="R188" i="8"/>
  <c r="AZ114" i="8"/>
  <c r="BR87" i="8"/>
  <c r="AJ126" i="8"/>
  <c r="BO197" i="8"/>
  <c r="BR107" i="8"/>
  <c r="O146" i="8"/>
  <c r="J35" i="10"/>
  <c r="BL149" i="8"/>
  <c r="U125" i="8"/>
  <c r="BI162" i="8"/>
  <c r="BF24" i="8"/>
  <c r="AG59" i="8"/>
  <c r="U75" i="8"/>
  <c r="AG163" i="8"/>
  <c r="BF25" i="8"/>
  <c r="AZ162" i="8"/>
  <c r="BF10" i="8"/>
  <c r="BL63" i="8"/>
  <c r="AW56" i="8"/>
  <c r="Q61" i="3"/>
  <c r="BU87" i="8"/>
  <c r="N40" i="10"/>
  <c r="AD129" i="8"/>
  <c r="BF166" i="8"/>
  <c r="BU44" i="8"/>
  <c r="BL84" i="8"/>
  <c r="BL61" i="8"/>
  <c r="BI132" i="8"/>
  <c r="AZ115" i="8"/>
  <c r="BL165" i="8"/>
  <c r="K18" i="10"/>
  <c r="BO144" i="8"/>
  <c r="BR116" i="8"/>
  <c r="BU99" i="8"/>
  <c r="AJ183" i="8"/>
  <c r="N32" i="10"/>
  <c r="O105" i="8"/>
  <c r="BI188" i="8"/>
  <c r="P26" i="10"/>
  <c r="AZ160" i="8"/>
  <c r="U112" i="8"/>
  <c r="BO119" i="8"/>
  <c r="AJ26" i="8"/>
  <c r="BL40" i="8"/>
  <c r="AW100" i="8"/>
  <c r="AZ58" i="8"/>
  <c r="BU174" i="8"/>
  <c r="BL181" i="8"/>
  <c r="AW36" i="8"/>
  <c r="R194" i="8"/>
  <c r="AW183" i="8"/>
  <c r="AW193" i="8"/>
  <c r="BU115" i="8"/>
  <c r="AG145" i="8"/>
  <c r="O31" i="10"/>
  <c r="BC179" i="8"/>
  <c r="AD144" i="8"/>
  <c r="BI133" i="8"/>
  <c r="AZ83" i="8"/>
  <c r="AA90" i="8"/>
  <c r="U35" i="8"/>
  <c r="BU199" i="8"/>
  <c r="BU37" i="8"/>
  <c r="AW171" i="8"/>
  <c r="BO138" i="8"/>
  <c r="AW19" i="8"/>
  <c r="AW68" i="8"/>
  <c r="BU135" i="8"/>
  <c r="AJ116" i="8"/>
  <c r="BL98" i="8"/>
  <c r="L130" i="8"/>
  <c r="AW197" i="8"/>
  <c r="BL49" i="8"/>
  <c r="O183" i="8"/>
  <c r="BR178" i="8"/>
  <c r="L75" i="8"/>
  <c r="BR105" i="8"/>
  <c r="BU74" i="8"/>
  <c r="I43" i="10"/>
  <c r="L91" i="8"/>
  <c r="BF100" i="8"/>
  <c r="X160" i="8"/>
  <c r="BF59" i="8"/>
  <c r="R44" i="8"/>
  <c r="U27" i="8"/>
  <c r="BU130" i="8"/>
  <c r="AJ178" i="8"/>
  <c r="AD186" i="8"/>
  <c r="N20" i="10"/>
  <c r="BU101" i="8"/>
  <c r="R170" i="8"/>
  <c r="BL80" i="8"/>
  <c r="BC180" i="8"/>
  <c r="I34" i="10"/>
  <c r="AW201" i="8"/>
  <c r="AD79" i="8"/>
  <c r="U190" i="8"/>
  <c r="BC10" i="8"/>
  <c r="BO177" i="8"/>
  <c r="U102" i="8"/>
  <c r="BI22" i="8"/>
  <c r="R26" i="8"/>
  <c r="AG88" i="8"/>
  <c r="BO21" i="8"/>
  <c r="AG78" i="8"/>
  <c r="X78" i="8"/>
  <c r="AD104" i="8"/>
  <c r="BO23" i="8"/>
  <c r="AA197" i="8"/>
  <c r="BO176" i="8"/>
  <c r="BC145" i="8"/>
  <c r="BR47" i="8"/>
  <c r="BC59" i="8"/>
  <c r="P34" i="10"/>
  <c r="AG45" i="8"/>
  <c r="L27" i="8"/>
  <c r="L195" i="8"/>
  <c r="AW10" i="8"/>
  <c r="BC123" i="8"/>
  <c r="AJ135" i="8"/>
  <c r="L25" i="8"/>
  <c r="L52" i="8"/>
  <c r="BC85" i="8"/>
  <c r="BF91" i="8"/>
  <c r="AD56" i="8"/>
  <c r="AZ119" i="8"/>
  <c r="AZ187" i="8"/>
  <c r="BL158" i="8"/>
  <c r="BU126" i="8"/>
  <c r="AZ181" i="8"/>
  <c r="BL93" i="8"/>
  <c r="BL90" i="8"/>
  <c r="BI179" i="8"/>
  <c r="BR159" i="8"/>
  <c r="BU72" i="8"/>
  <c r="AW134" i="8"/>
  <c r="BO39" i="8"/>
  <c r="BL15" i="8"/>
  <c r="O68" i="8"/>
  <c r="AZ130" i="8"/>
  <c r="AD29" i="8"/>
  <c r="BR117" i="8"/>
  <c r="AW46" i="8"/>
  <c r="AA87" i="8"/>
  <c r="O31" i="8"/>
  <c r="L26" i="8"/>
  <c r="L177" i="8"/>
  <c r="AW179" i="8"/>
  <c r="L53" i="6"/>
  <c r="X179" i="8"/>
  <c r="L134" i="8"/>
  <c r="AW142" i="8"/>
  <c r="BF27" i="8"/>
  <c r="BC126" i="8"/>
  <c r="BF117" i="8"/>
  <c r="AJ88" i="8"/>
  <c r="BU184" i="8"/>
  <c r="R90" i="8"/>
  <c r="AC19" i="3"/>
  <c r="AZ177" i="8"/>
  <c r="AG142" i="8"/>
  <c r="AZ41" i="8"/>
  <c r="BF11" i="8"/>
  <c r="W9" i="12"/>
  <c r="BF60" i="8"/>
  <c r="L86" i="8"/>
  <c r="AW41" i="8"/>
  <c r="BC97" i="8"/>
  <c r="I19" i="10"/>
  <c r="BR24" i="8"/>
  <c r="BO132" i="8"/>
  <c r="BF149" i="8"/>
  <c r="L97" i="8"/>
  <c r="BR26" i="8"/>
  <c r="BU108" i="8"/>
  <c r="L35" i="8"/>
  <c r="BR195" i="8"/>
  <c r="U196" i="8"/>
  <c r="BF96" i="8"/>
  <c r="BU67" i="8"/>
  <c r="N18" i="10"/>
  <c r="R115" i="8"/>
  <c r="J27" i="10"/>
  <c r="AZ143" i="8"/>
  <c r="BU56" i="8"/>
  <c r="AZ69" i="8"/>
  <c r="BR85" i="8"/>
  <c r="R192" i="8"/>
  <c r="BR70" i="8"/>
  <c r="BL193" i="8"/>
  <c r="BR160" i="8"/>
  <c r="AA105" i="8"/>
  <c r="AJ67" i="8"/>
  <c r="N25" i="10"/>
  <c r="O170" i="8"/>
  <c r="BO14" i="8"/>
  <c r="BI72" i="8"/>
  <c r="BC84" i="8"/>
  <c r="BO175" i="8"/>
  <c r="U62" i="8"/>
  <c r="BO10" i="8"/>
  <c r="BL178" i="8"/>
  <c r="Q31" i="10"/>
  <c r="BC154" i="8"/>
  <c r="BI58" i="8"/>
  <c r="AG58" i="8"/>
  <c r="BR143" i="8"/>
  <c r="BR142" i="8"/>
  <c r="L160" i="8"/>
  <c r="R141" i="8"/>
  <c r="O77" i="8"/>
  <c r="AJ123" i="8"/>
  <c r="BO113" i="8"/>
  <c r="X90" i="8"/>
  <c r="R102" i="8"/>
  <c r="R173" i="8"/>
  <c r="AD36" i="8"/>
  <c r="U39" i="8"/>
  <c r="X75" i="8"/>
  <c r="BL130" i="8"/>
  <c r="BR64" i="8"/>
  <c r="BU26" i="8"/>
  <c r="O171" i="8"/>
  <c r="BR81" i="8"/>
  <c r="AD42" i="8"/>
  <c r="O66" i="8"/>
  <c r="AZ190" i="8"/>
  <c r="AW98" i="8"/>
  <c r="M32" i="10"/>
  <c r="X102" i="8"/>
  <c r="AJ147" i="8"/>
  <c r="BC160" i="8"/>
  <c r="BL48" i="8"/>
  <c r="AZ52" i="8"/>
  <c r="BL179" i="8"/>
  <c r="BL46" i="8"/>
  <c r="U115" i="8"/>
  <c r="BF34" i="8"/>
  <c r="BF111" i="8"/>
  <c r="BI137" i="8"/>
  <c r="AW112" i="8"/>
  <c r="BL60" i="8"/>
  <c r="BF12" i="8"/>
  <c r="BU149" i="8"/>
  <c r="AW188" i="8"/>
  <c r="X37" i="8"/>
  <c r="AZ28" i="8"/>
  <c r="BO47" i="8"/>
  <c r="AA189" i="8"/>
  <c r="BU173" i="8"/>
  <c r="BC152" i="8"/>
  <c r="L67" i="8"/>
  <c r="BF138" i="8"/>
  <c r="L85" i="8"/>
  <c r="BR141" i="8"/>
  <c r="N24" i="10"/>
  <c r="R12" i="8"/>
  <c r="BC80" i="8"/>
  <c r="BF185" i="8"/>
  <c r="AZ134" i="8"/>
  <c r="L35" i="10"/>
  <c r="AJ142" i="8"/>
  <c r="BU34" i="8"/>
  <c r="AW116" i="8"/>
  <c r="AA180" i="8"/>
  <c r="L20" i="10"/>
  <c r="AD117" i="8"/>
  <c r="AW92" i="8"/>
  <c r="BR168" i="8"/>
  <c r="BO128" i="8"/>
  <c r="I33" i="6"/>
  <c r="R137" i="8"/>
  <c r="BR170" i="8"/>
  <c r="BF169" i="8"/>
  <c r="AJ111" i="8"/>
  <c r="BC92" i="8"/>
  <c r="AZ17" i="8"/>
  <c r="X105" i="8"/>
  <c r="U122" i="8"/>
  <c r="W4" i="12"/>
  <c r="BR92" i="8"/>
  <c r="BI70" i="8"/>
  <c r="BC158" i="8"/>
  <c r="AA154" i="8"/>
  <c r="AW38" i="8"/>
  <c r="BU28" i="8"/>
  <c r="BO173" i="8"/>
  <c r="AJ198" i="8"/>
  <c r="M40" i="10"/>
  <c r="AJ19" i="8"/>
  <c r="AZ193" i="8"/>
  <c r="K33" i="10"/>
  <c r="J19" i="10"/>
  <c r="AJ114" i="8"/>
  <c r="BF30" i="8"/>
  <c r="BF48" i="8"/>
  <c r="L36" i="8"/>
  <c r="X9" i="12"/>
  <c r="AW121" i="8"/>
  <c r="Q4" i="12"/>
  <c r="BO40" i="8"/>
  <c r="L161" i="8"/>
  <c r="BO135" i="8"/>
  <c r="U170" i="8"/>
  <c r="BL14" i="8"/>
  <c r="AZ178" i="8"/>
  <c r="BL142" i="8"/>
  <c r="AZ106" i="8"/>
  <c r="BU187" i="8"/>
  <c r="AZ35" i="8"/>
  <c r="BF28" i="8"/>
  <c r="BF65" i="8"/>
  <c r="BL17" i="8"/>
  <c r="AA76" i="8"/>
  <c r="AW187" i="8"/>
  <c r="U147" i="8"/>
  <c r="AG141" i="8"/>
  <c r="H33" i="10"/>
  <c r="BU41" i="8"/>
  <c r="BU182" i="8"/>
  <c r="BR166" i="8"/>
  <c r="BL126" i="8"/>
  <c r="BO182" i="8"/>
  <c r="R121" i="8"/>
  <c r="L126" i="8"/>
  <c r="L171" i="8"/>
  <c r="R168" i="8"/>
  <c r="R69" i="8"/>
  <c r="BU70" i="8"/>
  <c r="O128" i="8"/>
  <c r="L31" i="8"/>
  <c r="AG43" i="8"/>
  <c r="BR179" i="8"/>
  <c r="U146" i="8"/>
  <c r="BL36" i="8"/>
  <c r="AA110" i="8"/>
  <c r="U84" i="8"/>
  <c r="AD71" i="8"/>
  <c r="BR162" i="8"/>
  <c r="BF19" i="8"/>
  <c r="BI43" i="8"/>
  <c r="L59" i="8"/>
  <c r="X140" i="8"/>
  <c r="BO34" i="8"/>
  <c r="AA25" i="8"/>
  <c r="AZ63" i="8"/>
  <c r="R154" i="8"/>
  <c r="AJ81" i="8"/>
  <c r="AW113" i="8"/>
  <c r="R167" i="8"/>
  <c r="O69" i="8"/>
  <c r="D4" i="8"/>
  <c r="AW147" i="8"/>
  <c r="BL180" i="8"/>
  <c r="BR100" i="8"/>
  <c r="BC122" i="8"/>
  <c r="L93" i="8"/>
  <c r="AJ177" i="8"/>
  <c r="BI78" i="8"/>
  <c r="BL76" i="8"/>
  <c r="AG186" i="8"/>
  <c r="BF158" i="8"/>
  <c r="AG9" i="8"/>
  <c r="BL189" i="8"/>
  <c r="AW58" i="8"/>
  <c r="BC13" i="8"/>
  <c r="BL45" i="8"/>
  <c r="BC193" i="8"/>
  <c r="AG87" i="8"/>
  <c r="AG137" i="8"/>
  <c r="U105" i="8"/>
  <c r="BC87" i="8"/>
  <c r="BR67" i="8"/>
  <c r="U30" i="8"/>
  <c r="T9" i="12"/>
  <c r="AJ92" i="8"/>
  <c r="BC146" i="8"/>
  <c r="BO196" i="8"/>
  <c r="BU159" i="8"/>
  <c r="BL71" i="8"/>
  <c r="BU160" i="8"/>
  <c r="BR137" i="8"/>
  <c r="M19" i="10"/>
  <c r="AZ159" i="8"/>
  <c r="AA89" i="8"/>
  <c r="AZ118" i="8"/>
  <c r="BL109" i="8"/>
  <c r="BC45" i="8"/>
  <c r="R180" i="8"/>
  <c r="BU42" i="8"/>
  <c r="BO180" i="8"/>
  <c r="AD40" i="8"/>
  <c r="U8" i="12"/>
  <c r="BU68" i="8"/>
  <c r="O70" i="8"/>
  <c r="AD59" i="8"/>
  <c r="AG184" i="8"/>
  <c r="AD23" i="8"/>
  <c r="BI76" i="8"/>
  <c r="AG165" i="8"/>
  <c r="AA138" i="8"/>
  <c r="AG10" i="8"/>
  <c r="AG117" i="8"/>
  <c r="U104" i="8"/>
  <c r="AG96" i="8"/>
  <c r="AG153" i="8"/>
  <c r="X70" i="8"/>
  <c r="AG86" i="8"/>
  <c r="O192" i="8"/>
  <c r="BR45" i="8"/>
  <c r="L113" i="8"/>
  <c r="AA22" i="8"/>
  <c r="AA69" i="8"/>
  <c r="U108" i="8"/>
  <c r="X135" i="8"/>
  <c r="BU110" i="8"/>
  <c r="BI120" i="8"/>
  <c r="R41" i="8"/>
  <c r="AJ170" i="8"/>
  <c r="BU89" i="8"/>
  <c r="AW109" i="8"/>
  <c r="L74" i="8"/>
  <c r="BF74" i="8"/>
  <c r="BI183" i="8"/>
  <c r="BL24" i="8"/>
  <c r="M39" i="10"/>
  <c r="BC200" i="8"/>
  <c r="BL160" i="8"/>
  <c r="O30" i="8"/>
  <c r="BC14" i="8"/>
  <c r="BF88" i="8"/>
  <c r="BC168" i="8"/>
  <c r="BO60" i="8"/>
  <c r="U188" i="8"/>
  <c r="BO189" i="8"/>
  <c r="BO38" i="8"/>
  <c r="O19" i="10"/>
  <c r="BU186" i="8"/>
  <c r="AA198" i="8"/>
  <c r="AZ156" i="8"/>
  <c r="AZ145" i="8"/>
  <c r="AA121" i="8"/>
  <c r="X180" i="8"/>
  <c r="BR38" i="8"/>
  <c r="BR57" i="8"/>
  <c r="O152" i="8"/>
  <c r="BF64" i="8"/>
  <c r="L68" i="8"/>
  <c r="U55" i="8"/>
  <c r="X182" i="8"/>
  <c r="R78" i="8"/>
  <c r="BU35" i="8"/>
  <c r="AW87" i="8"/>
  <c r="X203" i="8"/>
  <c r="I31" i="6"/>
  <c r="BF31" i="8"/>
  <c r="L87" i="8"/>
  <c r="BI53" i="8"/>
  <c r="AW122" i="8"/>
  <c r="BO106" i="8"/>
  <c r="BO80" i="8"/>
  <c r="L32" i="8"/>
  <c r="AJ193" i="8"/>
  <c r="AJ171" i="8"/>
  <c r="AD61" i="8"/>
  <c r="AW128" i="8"/>
  <c r="BU22" i="8"/>
  <c r="BF20" i="8"/>
  <c r="R97" i="8"/>
  <c r="O15" i="8"/>
  <c r="L201" i="8"/>
  <c r="AJ46" i="8"/>
  <c r="BF102" i="8"/>
  <c r="BC129" i="8"/>
  <c r="AA28" i="8"/>
  <c r="AJ70" i="8"/>
  <c r="L61" i="8"/>
  <c r="I18" i="10"/>
  <c r="R156" i="8"/>
  <c r="Q59" i="3"/>
  <c r="BO89" i="8"/>
  <c r="L15" i="8"/>
  <c r="BL78" i="8"/>
  <c r="BU144" i="8"/>
  <c r="BO55" i="8"/>
  <c r="X126" i="8"/>
  <c r="AJ78" i="8"/>
  <c r="AG73" i="8"/>
  <c r="AW198" i="8"/>
  <c r="BO78" i="8"/>
  <c r="BL128" i="8"/>
  <c r="AZ184" i="8"/>
  <c r="AW76" i="8"/>
  <c r="AD27" i="8"/>
  <c r="X176" i="8"/>
  <c r="BI30" i="8"/>
  <c r="L82" i="8"/>
  <c r="BC16" i="8"/>
  <c r="X22" i="8"/>
  <c r="BC20" i="8"/>
  <c r="X134" i="8"/>
  <c r="BR132" i="8"/>
  <c r="BC134" i="8"/>
  <c r="O186" i="8"/>
  <c r="BR154" i="8"/>
  <c r="X108" i="8"/>
  <c r="BC41" i="8"/>
  <c r="BI11" i="8"/>
  <c r="AZ86" i="8"/>
  <c r="BU84" i="8"/>
  <c r="X112" i="8"/>
  <c r="BO66" i="8"/>
  <c r="BU133" i="8"/>
  <c r="BC170" i="8"/>
  <c r="AZ33" i="8"/>
  <c r="BU164" i="8"/>
  <c r="BR108" i="8"/>
  <c r="O19" i="8"/>
  <c r="BI126" i="8"/>
  <c r="BI45" i="8"/>
  <c r="AZ92" i="8"/>
  <c r="J39" i="10"/>
  <c r="BL188" i="8"/>
  <c r="BI67" i="8"/>
  <c r="AA47" i="8"/>
  <c r="BO12" i="8"/>
  <c r="AD35" i="8"/>
  <c r="X13" i="8"/>
  <c r="BC57" i="8"/>
  <c r="I27" i="10"/>
  <c r="BF118" i="8"/>
  <c r="X24" i="8"/>
  <c r="BO146" i="8"/>
  <c r="AZ95" i="8"/>
  <c r="L45" i="6"/>
  <c r="BR50" i="8"/>
  <c r="BL27" i="8"/>
  <c r="U195" i="8"/>
  <c r="BC78" i="8"/>
  <c r="AA79" i="8"/>
  <c r="S8" i="12"/>
  <c r="BF199" i="8"/>
  <c r="AZ132" i="8"/>
  <c r="BF41" i="8"/>
  <c r="BU132" i="8"/>
  <c r="M27" i="10"/>
  <c r="L108" i="8"/>
  <c r="BI151" i="8"/>
  <c r="BL155" i="8"/>
  <c r="BI79" i="8"/>
  <c r="BI154" i="8"/>
  <c r="AA29" i="8"/>
  <c r="AJ12" i="8"/>
  <c r="L80" i="8"/>
  <c r="AZ180" i="8"/>
  <c r="BO158" i="8"/>
  <c r="AD131" i="8"/>
  <c r="BO61" i="8"/>
  <c r="BO58" i="8"/>
  <c r="X175" i="8"/>
  <c r="BU14" i="8"/>
  <c r="AW45" i="8"/>
  <c r="AZ192" i="8"/>
  <c r="BF50" i="8"/>
  <c r="AA129" i="8"/>
  <c r="X64" i="8"/>
  <c r="BO27" i="8"/>
  <c r="L81" i="8"/>
  <c r="BC48" i="8"/>
  <c r="AJ86" i="8"/>
  <c r="BU78" i="8"/>
  <c r="BL91" i="8"/>
  <c r="BF144" i="8"/>
  <c r="L64" i="8"/>
  <c r="L180" i="8"/>
  <c r="BC9" i="8"/>
  <c r="BO101" i="8"/>
  <c r="O84" i="8"/>
  <c r="BC90" i="8"/>
  <c r="AC11" i="3"/>
  <c r="BU10" i="8"/>
  <c r="BO67" i="8"/>
  <c r="O196" i="8"/>
  <c r="L95" i="8"/>
  <c r="AW139" i="8"/>
  <c r="AW176" i="8"/>
  <c r="AD135" i="8"/>
  <c r="BR32" i="8"/>
  <c r="L179" i="8"/>
  <c r="AZ194" i="8"/>
  <c r="BI128" i="8"/>
  <c r="AZ105" i="8"/>
  <c r="BI181" i="8"/>
  <c r="O35" i="10"/>
  <c r="BU51" i="8"/>
  <c r="BR196" i="8"/>
  <c r="AW184" i="8"/>
  <c r="AD98" i="8"/>
  <c r="AA45" i="8"/>
  <c r="AA18" i="8"/>
  <c r="BI89" i="8"/>
  <c r="AA44" i="8"/>
  <c r="AD111" i="8"/>
  <c r="AW47" i="8"/>
  <c r="AA30" i="8"/>
  <c r="BO145" i="8"/>
  <c r="H31" i="10"/>
  <c r="AJ91" i="8"/>
  <c r="AA188" i="8"/>
  <c r="X30" i="8"/>
  <c r="BO112" i="8"/>
  <c r="AW126" i="8"/>
  <c r="BO50" i="8"/>
  <c r="X25" i="8"/>
  <c r="BL143" i="8"/>
  <c r="O20" i="10"/>
  <c r="BF79" i="8"/>
  <c r="L104" i="8"/>
  <c r="AA157" i="8"/>
  <c r="BU192" i="8"/>
  <c r="BR18" i="8"/>
  <c r="U46" i="8"/>
  <c r="AG111" i="8"/>
  <c r="AD199" i="8"/>
  <c r="BU103" i="8"/>
  <c r="AG201" i="8"/>
  <c r="AZ54" i="8"/>
  <c r="AW35" i="8"/>
  <c r="BL87" i="8"/>
  <c r="BL16" i="8"/>
  <c r="BL168" i="8"/>
  <c r="BO117" i="8"/>
  <c r="BR79" i="8"/>
  <c r="L109" i="8"/>
  <c r="X47" i="8"/>
  <c r="AD34" i="8"/>
  <c r="X54" i="8"/>
  <c r="L205" i="8"/>
  <c r="AG24" i="8"/>
  <c r="AG65" i="8"/>
  <c r="AG140" i="8"/>
  <c r="L181" i="8"/>
  <c r="BI124" i="8"/>
  <c r="L33" i="6"/>
  <c r="U3" i="12"/>
  <c r="BC197" i="8"/>
  <c r="AA168" i="8"/>
  <c r="O179" i="8"/>
  <c r="BR106" i="8"/>
  <c r="AZ61" i="8"/>
  <c r="BI168" i="8"/>
  <c r="AA63" i="8"/>
  <c r="U144" i="8"/>
  <c r="BO131" i="8"/>
  <c r="AD64" i="8"/>
  <c r="BR68" i="8"/>
  <c r="R127" i="8"/>
  <c r="O24" i="10"/>
  <c r="BL51" i="8"/>
  <c r="AZ175" i="8"/>
  <c r="L21" i="8"/>
  <c r="BC124" i="8"/>
  <c r="AZ68" i="8"/>
  <c r="AG170" i="8"/>
  <c r="BO127" i="8"/>
  <c r="X165" i="8"/>
  <c r="R175" i="8"/>
  <c r="BR118" i="8"/>
  <c r="BC127" i="8"/>
  <c r="BI100" i="8"/>
  <c r="AG74" i="8"/>
  <c r="BC198" i="8"/>
  <c r="BU45" i="8"/>
  <c r="BC187" i="8"/>
  <c r="BI52" i="8"/>
  <c r="AZ22" i="8"/>
  <c r="BO103" i="8"/>
  <c r="R59" i="8"/>
  <c r="BO134" i="8"/>
  <c r="I39" i="10"/>
  <c r="BF129" i="8"/>
  <c r="C9" i="8"/>
  <c r="R24" i="8"/>
  <c r="AW59" i="8"/>
  <c r="BI38" i="8"/>
  <c r="BO30" i="8"/>
  <c r="AG27" i="8"/>
  <c r="AG92" i="8"/>
  <c r="AD120" i="8"/>
  <c r="BL35" i="8"/>
  <c r="BL182" i="8"/>
  <c r="AJ163" i="8"/>
  <c r="R108" i="8"/>
  <c r="BC161" i="8"/>
  <c r="BI54" i="8"/>
  <c r="BI144" i="8"/>
  <c r="AD54" i="8"/>
  <c r="BU40" i="8"/>
  <c r="BC43" i="8"/>
  <c r="AA61" i="8"/>
  <c r="AZ139" i="8"/>
  <c r="R17" i="8"/>
  <c r="O110" i="8"/>
  <c r="AJ82" i="8"/>
  <c r="BC139" i="8"/>
  <c r="N34" i="10"/>
  <c r="BI140" i="8"/>
  <c r="L45" i="8"/>
  <c r="BC121" i="8"/>
  <c r="BR147" i="8"/>
  <c r="AZ42" i="8"/>
  <c r="X154" i="8"/>
  <c r="BL173" i="8"/>
  <c r="BI95" i="8"/>
  <c r="BL59" i="8"/>
  <c r="L66" i="8"/>
  <c r="AZ57" i="8"/>
  <c r="BO152" i="8"/>
  <c r="AW119" i="8"/>
  <c r="BR48" i="8"/>
  <c r="BO123" i="8"/>
  <c r="R113" i="8"/>
  <c r="AD206" i="8"/>
  <c r="BF148" i="8"/>
  <c r="BL133" i="8"/>
  <c r="AC4" i="3"/>
  <c r="U43" i="8"/>
  <c r="AD37" i="8"/>
  <c r="AZ172" i="8"/>
  <c r="L71" i="8"/>
  <c r="BF78" i="8"/>
  <c r="Q24" i="10"/>
  <c r="AG98" i="8"/>
  <c r="BR30" i="8"/>
  <c r="BF108" i="8"/>
  <c r="BL79" i="8"/>
  <c r="AW70" i="8"/>
  <c r="BL185" i="8"/>
  <c r="AD176" i="8"/>
  <c r="U110" i="8"/>
  <c r="BC185" i="8"/>
  <c r="AG154" i="8"/>
  <c r="BR156" i="8"/>
  <c r="BF162" i="8"/>
  <c r="R125" i="8"/>
  <c r="O43" i="8"/>
  <c r="R45" i="8"/>
  <c r="BU49" i="8"/>
  <c r="BU60" i="8"/>
  <c r="AG14" i="8"/>
  <c r="O35" i="8"/>
  <c r="AD205" i="8"/>
  <c r="AZ195" i="8"/>
  <c r="BO43" i="8"/>
  <c r="L105" i="8"/>
  <c r="H19" i="10"/>
  <c r="BO56" i="8"/>
  <c r="AZ183" i="8"/>
  <c r="X185" i="8"/>
  <c r="L34" i="8"/>
  <c r="AJ96" i="8"/>
  <c r="AZ173" i="8"/>
  <c r="AZ198" i="8"/>
  <c r="BO13" i="8"/>
  <c r="AW85" i="8"/>
  <c r="AZ137" i="8"/>
  <c r="AA119" i="8"/>
  <c r="BL191" i="8"/>
  <c r="BC69" i="8"/>
  <c r="U203" i="8"/>
  <c r="AJ90" i="8"/>
  <c r="L150" i="8"/>
  <c r="AD122" i="8"/>
  <c r="U172" i="8"/>
  <c r="AA141" i="8"/>
  <c r="BR152" i="8"/>
  <c r="BI163" i="8"/>
  <c r="BR129" i="8"/>
  <c r="L182" i="8"/>
  <c r="L115" i="8"/>
  <c r="AW32" i="8"/>
  <c r="L40" i="10"/>
  <c r="BO97" i="8"/>
  <c r="I32" i="10"/>
  <c r="BC190" i="8"/>
  <c r="P33" i="10"/>
  <c r="BF155" i="8"/>
  <c r="BI184" i="8"/>
  <c r="AW79" i="8"/>
  <c r="BU157" i="8"/>
  <c r="X80" i="8"/>
  <c r="AG205" i="8"/>
  <c r="AA95" i="8"/>
  <c r="O141" i="8"/>
  <c r="BC73" i="8"/>
  <c r="R179" i="8"/>
  <c r="R82" i="8"/>
  <c r="AJ56" i="8"/>
  <c r="R29" i="8"/>
  <c r="BO52" i="8"/>
  <c r="O60" i="8"/>
  <c r="U76" i="8"/>
  <c r="Q52" i="3"/>
  <c r="AW65" i="8"/>
  <c r="BO169" i="8"/>
  <c r="BI116" i="8"/>
  <c r="BF35" i="8"/>
  <c r="O61" i="8"/>
  <c r="T3" i="12"/>
  <c r="BC28" i="8"/>
  <c r="BR27" i="8"/>
  <c r="AG121" i="8"/>
  <c r="BO191" i="8"/>
  <c r="AG44" i="8"/>
  <c r="AA161" i="8"/>
  <c r="AW18" i="8"/>
  <c r="BO91" i="8"/>
  <c r="BF29" i="8"/>
  <c r="AJ120" i="8"/>
  <c r="AD194" i="8"/>
  <c r="AA65" i="8"/>
  <c r="L176" i="8"/>
  <c r="BC118" i="8"/>
  <c r="BL161" i="8"/>
  <c r="BO125" i="8"/>
  <c r="X188" i="8"/>
  <c r="BR188" i="8"/>
  <c r="BI68" i="8"/>
  <c r="BF38" i="8"/>
  <c r="AC23" i="3"/>
  <c r="I30" i="10"/>
  <c r="BR49" i="8"/>
  <c r="BO170" i="8"/>
  <c r="BO118" i="8"/>
  <c r="AJ87" i="8"/>
  <c r="X195" i="8"/>
  <c r="L37" i="8"/>
  <c r="AD198" i="8"/>
  <c r="BU46" i="8"/>
  <c r="AA58" i="8"/>
  <c r="R204" i="8"/>
  <c r="BO45" i="8"/>
  <c r="BL162" i="8"/>
  <c r="U97" i="8"/>
  <c r="AW158" i="8"/>
  <c r="AD201" i="8"/>
  <c r="AZ72" i="8"/>
  <c r="O137" i="8"/>
  <c r="BC98" i="8"/>
  <c r="AJ64" i="8"/>
  <c r="BO24" i="8"/>
  <c r="BC109" i="8"/>
  <c r="AC45" i="3"/>
  <c r="AJ45" i="8"/>
  <c r="U21" i="8"/>
  <c r="BO165" i="8"/>
  <c r="AJ146" i="8"/>
  <c r="BL117" i="8"/>
  <c r="U180" i="8"/>
  <c r="AW78" i="8"/>
  <c r="O144" i="8"/>
  <c r="BU191" i="8"/>
  <c r="Q30" i="10"/>
  <c r="Q27" i="10"/>
  <c r="L142" i="8"/>
  <c r="BO126" i="8"/>
  <c r="AJ50" i="8"/>
  <c r="BO166" i="8"/>
  <c r="L72" i="8"/>
  <c r="AJ167" i="8"/>
  <c r="O109" i="8"/>
  <c r="X143" i="8"/>
  <c r="BF147" i="8"/>
  <c r="U78" i="8"/>
  <c r="O83" i="8"/>
  <c r="BU57" i="8"/>
  <c r="O107" i="8"/>
  <c r="AZ111" i="8"/>
  <c r="BL67" i="8"/>
  <c r="BI14" i="8"/>
  <c r="L193" i="8"/>
  <c r="L199" i="8"/>
  <c r="R62" i="8"/>
  <c r="AZ117" i="8"/>
  <c r="BR42" i="8"/>
  <c r="O76" i="8"/>
  <c r="X92" i="8"/>
  <c r="BL200" i="8"/>
  <c r="AD149" i="8"/>
  <c r="I25" i="10"/>
  <c r="BL65" i="8"/>
  <c r="BO59" i="8"/>
  <c r="L56" i="8"/>
  <c r="O27" i="10"/>
  <c r="BO160" i="8"/>
  <c r="BC30" i="8"/>
  <c r="L30" i="8"/>
  <c r="K36" i="10"/>
  <c r="BR200" i="8"/>
  <c r="BI99" i="8"/>
  <c r="AZ64" i="8"/>
  <c r="BC164" i="8"/>
  <c r="R189" i="8"/>
  <c r="BL184" i="8"/>
  <c r="AC22" i="3"/>
  <c r="O25" i="10"/>
  <c r="BR128" i="8"/>
  <c r="BO88" i="8"/>
  <c r="K39" i="10"/>
  <c r="AZ201" i="8"/>
  <c r="AA125" i="8"/>
  <c r="AW9" i="8"/>
  <c r="AW29" i="8"/>
  <c r="X115" i="8"/>
  <c r="BI15" i="8"/>
  <c r="U106" i="8"/>
  <c r="BR20" i="8"/>
  <c r="L89" i="8"/>
  <c r="BR133" i="8"/>
  <c r="AG53" i="8"/>
  <c r="AA177" i="8"/>
  <c r="BI29" i="8"/>
  <c r="BC135" i="8"/>
  <c r="AW148" i="8"/>
  <c r="BU20" i="8"/>
  <c r="AW173" i="8"/>
  <c r="BR62" i="8"/>
  <c r="X62" i="8"/>
  <c r="R16" i="8"/>
  <c r="AG90" i="8"/>
  <c r="BF116" i="8"/>
  <c r="AJ61" i="8"/>
  <c r="R120" i="8"/>
  <c r="R55" i="8"/>
  <c r="O78" i="8"/>
  <c r="L69" i="8"/>
  <c r="BL73" i="8"/>
  <c r="H18" i="10"/>
  <c r="BR151" i="8"/>
  <c r="AA55" i="8"/>
  <c r="BC47" i="8"/>
  <c r="U79" i="8"/>
  <c r="AZ163" i="8"/>
  <c r="O130" i="8"/>
  <c r="X45" i="8"/>
  <c r="BU106" i="8"/>
  <c r="BO76" i="8"/>
  <c r="I44" i="6"/>
  <c r="BL41" i="8"/>
  <c r="AG150" i="8"/>
  <c r="L114" i="8"/>
  <c r="U95" i="8"/>
  <c r="U70" i="8"/>
  <c r="BC167" i="8"/>
  <c r="BI48" i="8"/>
  <c r="BF87" i="8"/>
  <c r="AJ28" i="8"/>
  <c r="BU53" i="8"/>
  <c r="AZ34" i="8"/>
  <c r="BC182" i="8"/>
  <c r="AG32" i="8"/>
  <c r="BU139" i="8"/>
  <c r="AW199" i="8"/>
  <c r="AD113" i="8"/>
  <c r="AJ157" i="8"/>
  <c r="BC142" i="8"/>
  <c r="AW178" i="8"/>
  <c r="BO188" i="8"/>
  <c r="AG189" i="8"/>
  <c r="AW21" i="8"/>
  <c r="AW124" i="8"/>
  <c r="L170" i="8"/>
  <c r="BF165" i="8"/>
  <c r="BF21" i="8"/>
  <c r="BF14" i="8"/>
  <c r="R9" i="12"/>
  <c r="N31" i="10"/>
  <c r="AZ182" i="8"/>
  <c r="AZ10" i="8"/>
  <c r="BF97" i="8"/>
  <c r="AG81" i="8"/>
  <c r="Q55" i="3"/>
  <c r="BR15" i="8"/>
  <c r="AD138" i="8"/>
  <c r="O62" i="8"/>
  <c r="BR13" i="8"/>
  <c r="BC174" i="8"/>
  <c r="BL89" i="8"/>
  <c r="BL106" i="8"/>
  <c r="BU180" i="8"/>
  <c r="AD116" i="8"/>
  <c r="U18" i="8"/>
  <c r="AW190" i="8"/>
  <c r="O204" i="8"/>
  <c r="U132" i="8"/>
  <c r="I31" i="10"/>
  <c r="R172" i="8"/>
  <c r="O125" i="8"/>
  <c r="U189" i="8"/>
  <c r="X191" i="8"/>
  <c r="AD142" i="8"/>
  <c r="BL50" i="8"/>
  <c r="AD49" i="8"/>
  <c r="AG105" i="8"/>
  <c r="AJ109" i="8"/>
  <c r="X100" i="8"/>
  <c r="K31" i="10"/>
  <c r="AG181" i="8"/>
  <c r="BF170" i="8"/>
  <c r="BL124" i="8"/>
  <c r="AD179" i="8"/>
  <c r="R134" i="8"/>
  <c r="AZ29" i="8"/>
  <c r="L49" i="6"/>
  <c r="R60" i="8"/>
  <c r="BR82" i="8"/>
  <c r="O32" i="8"/>
  <c r="AJ108" i="8"/>
  <c r="AG37" i="8"/>
  <c r="AG19" i="8"/>
  <c r="AD183" i="8"/>
  <c r="L192" i="8"/>
  <c r="U31" i="8"/>
  <c r="AJ73" i="8"/>
  <c r="AA164" i="8"/>
  <c r="AA134" i="8"/>
  <c r="AW13" i="8"/>
  <c r="BI115" i="8"/>
  <c r="BR111" i="8"/>
  <c r="AG75" i="8"/>
  <c r="AD169" i="8"/>
  <c r="X58" i="8"/>
  <c r="AA102" i="8"/>
  <c r="AA179" i="8"/>
  <c r="AZ40" i="8"/>
  <c r="R39" i="8"/>
  <c r="AW80" i="8"/>
  <c r="U204" i="8"/>
  <c r="AG126" i="8"/>
  <c r="AJ21" i="8"/>
  <c r="BU198" i="8"/>
  <c r="AW185" i="8"/>
  <c r="BO108" i="8"/>
  <c r="Q54" i="3"/>
  <c r="BL122" i="8"/>
  <c r="AJ66" i="8"/>
  <c r="AW155" i="8"/>
  <c r="AD145" i="8"/>
  <c r="BL131" i="8"/>
  <c r="AD180" i="8"/>
  <c r="U161" i="8"/>
  <c r="BF128" i="8"/>
  <c r="X173" i="8"/>
  <c r="AD52" i="8"/>
  <c r="BC149" i="8"/>
  <c r="BF89" i="8"/>
  <c r="U142" i="8"/>
  <c r="U177" i="8"/>
  <c r="X15" i="8"/>
  <c r="BO130" i="8"/>
  <c r="AW102" i="8"/>
  <c r="BI173" i="8"/>
  <c r="BR138" i="8"/>
  <c r="X150" i="8"/>
  <c r="AD48" i="8"/>
  <c r="AA67" i="8"/>
  <c r="BU77" i="8"/>
  <c r="AJ203" i="8"/>
  <c r="AJ197" i="8"/>
  <c r="AG115" i="8"/>
  <c r="O118" i="8"/>
  <c r="AJ187" i="8"/>
  <c r="X93" i="8"/>
  <c r="BC150" i="8"/>
  <c r="N27" i="10"/>
  <c r="AD87" i="8"/>
  <c r="AJ200" i="8"/>
  <c r="R103" i="8"/>
  <c r="AJ65" i="8"/>
  <c r="L146" i="8"/>
  <c r="BL19" i="8"/>
  <c r="BC93" i="8"/>
  <c r="O145" i="8"/>
  <c r="R193" i="8"/>
  <c r="AA166" i="8"/>
  <c r="O12" i="8"/>
  <c r="L38" i="6"/>
  <c r="O161" i="8"/>
  <c r="BU137" i="8"/>
  <c r="BO167" i="8"/>
  <c r="AZ197" i="8"/>
  <c r="BF39" i="8"/>
  <c r="BI180" i="8"/>
  <c r="AA24" i="8"/>
  <c r="AG62" i="8"/>
  <c r="BI57" i="8"/>
  <c r="R166" i="8"/>
  <c r="BR176" i="8"/>
  <c r="O177" i="8"/>
  <c r="AW60" i="8"/>
  <c r="AD76" i="8"/>
  <c r="U41" i="8"/>
  <c r="AZ168" i="8"/>
  <c r="BU25" i="8"/>
  <c r="J34" i="10"/>
  <c r="AJ133" i="8"/>
  <c r="BL174" i="8"/>
  <c r="AW52" i="8"/>
  <c r="AW50" i="8"/>
  <c r="AW93" i="8"/>
  <c r="BC144" i="8"/>
  <c r="BF71" i="8"/>
  <c r="BC186" i="8"/>
  <c r="X67" i="8"/>
  <c r="X88" i="8"/>
  <c r="Q19" i="10"/>
  <c r="I26" i="10"/>
  <c r="BF154" i="8"/>
  <c r="AD108" i="8"/>
  <c r="AD21" i="8"/>
  <c r="BI110" i="8"/>
  <c r="BU38" i="8"/>
  <c r="AA178" i="8"/>
  <c r="L101" i="8"/>
  <c r="BL141" i="8"/>
  <c r="G4" i="8"/>
  <c r="AD92" i="8"/>
  <c r="AJ172" i="8"/>
  <c r="L152" i="8"/>
  <c r="P8" i="12"/>
  <c r="AD203" i="8"/>
  <c r="AD115" i="8"/>
  <c r="AZ11" i="8"/>
  <c r="U120" i="8"/>
  <c r="H30" i="10"/>
  <c r="BI196" i="8"/>
  <c r="BI105" i="8"/>
  <c r="R8" i="12"/>
  <c r="AJ161" i="8"/>
  <c r="U199" i="8"/>
  <c r="AJ185" i="8"/>
  <c r="BI129" i="8"/>
  <c r="AG102" i="8"/>
  <c r="X193" i="8"/>
  <c r="AC9" i="3"/>
  <c r="X125" i="8"/>
  <c r="BO201" i="8"/>
  <c r="BI20" i="8"/>
  <c r="BI83" i="8"/>
  <c r="AW162" i="8"/>
  <c r="AD121" i="8"/>
  <c r="BC105" i="8"/>
  <c r="BU141" i="8"/>
  <c r="BU23" i="8"/>
  <c r="L197" i="8"/>
  <c r="R202" i="8"/>
  <c r="AJ124" i="8"/>
  <c r="BU85" i="8"/>
  <c r="AJ14" i="8"/>
  <c r="O174" i="8"/>
  <c r="I45" i="6"/>
  <c r="BL171" i="8"/>
  <c r="BI27" i="8"/>
  <c r="O34" i="8"/>
  <c r="BI51" i="8"/>
  <c r="L25" i="10"/>
  <c r="BL175" i="8"/>
  <c r="AD75" i="8"/>
  <c r="L40" i="8"/>
  <c r="BU167" i="8"/>
  <c r="U52" i="8"/>
  <c r="X156" i="8"/>
  <c r="AW145" i="8"/>
  <c r="BF141" i="8"/>
  <c r="O122" i="8"/>
  <c r="AA143" i="8"/>
  <c r="O85" i="8"/>
  <c r="AA206" i="8"/>
  <c r="BR40" i="8"/>
  <c r="AA120" i="8"/>
  <c r="BU153" i="8"/>
  <c r="BO35" i="8"/>
  <c r="O24" i="8"/>
  <c r="AD178" i="8"/>
  <c r="O115" i="8"/>
  <c r="U152" i="8"/>
  <c r="BU200" i="8"/>
  <c r="AZ98" i="8"/>
  <c r="AA94" i="8"/>
  <c r="BR169" i="8"/>
  <c r="U32" i="8"/>
  <c r="BI66" i="8"/>
  <c r="BL159" i="8"/>
  <c r="L191" i="8"/>
  <c r="AJ9" i="8"/>
  <c r="X59" i="8"/>
  <c r="AG72" i="8"/>
  <c r="X17" i="8"/>
  <c r="AJ100" i="8"/>
  <c r="BU104" i="8"/>
  <c r="BF136" i="8"/>
  <c r="AZ170" i="8"/>
  <c r="O168" i="8"/>
  <c r="BI112" i="8"/>
  <c r="BL34" i="8"/>
  <c r="AA185" i="8"/>
  <c r="BU100" i="8"/>
  <c r="U178" i="8"/>
  <c r="BC76" i="8"/>
  <c r="U182" i="8"/>
  <c r="M25" i="10"/>
  <c r="BL52" i="8"/>
  <c r="R40" i="8"/>
  <c r="BC81" i="8"/>
  <c r="X50" i="8"/>
  <c r="AD168" i="8"/>
  <c r="AG192" i="8"/>
  <c r="X168" i="8"/>
  <c r="O33" i="8"/>
  <c r="AZ186" i="8"/>
  <c r="AJ148" i="8"/>
  <c r="O23" i="8"/>
  <c r="AA175" i="8"/>
  <c r="AG188" i="8"/>
  <c r="O81" i="8"/>
  <c r="AJ205" i="8"/>
  <c r="X32" i="8"/>
  <c r="U16" i="8"/>
  <c r="R182" i="8"/>
  <c r="I36" i="10"/>
  <c r="U77" i="8"/>
  <c r="O33" i="10"/>
  <c r="BR145" i="8"/>
  <c r="AW53" i="8"/>
  <c r="BU83" i="8"/>
  <c r="BI87" i="8"/>
  <c r="L184" i="8"/>
  <c r="BR114" i="8"/>
  <c r="BL20" i="8"/>
  <c r="BL9" i="8"/>
  <c r="BI146" i="8"/>
  <c r="AZ116" i="8"/>
  <c r="BC191" i="8"/>
  <c r="BU179" i="8"/>
  <c r="AW118" i="8"/>
  <c r="BC181" i="8"/>
  <c r="BF114" i="8"/>
  <c r="AZ18" i="8"/>
  <c r="AW182" i="8"/>
  <c r="L88" i="8"/>
  <c r="BC178" i="8"/>
  <c r="BR17" i="8"/>
  <c r="BC117" i="8"/>
  <c r="AD151" i="8"/>
  <c r="AW136" i="8"/>
  <c r="BL69" i="8"/>
  <c r="BL26" i="8"/>
  <c r="BO150" i="8"/>
  <c r="R30" i="8"/>
  <c r="AW94" i="8"/>
  <c r="BF152" i="8"/>
  <c r="H24" i="10"/>
  <c r="X63" i="8"/>
  <c r="X16" i="8"/>
  <c r="AZ82" i="8"/>
  <c r="AA200" i="8"/>
  <c r="AW114" i="8"/>
  <c r="BO20" i="8"/>
  <c r="V3" i="12"/>
  <c r="O48" i="8"/>
  <c r="O39" i="8"/>
  <c r="AW156" i="8"/>
  <c r="AA75" i="8"/>
  <c r="BL77" i="8"/>
  <c r="AJ83" i="8"/>
  <c r="AJ139" i="8"/>
  <c r="AA146" i="8"/>
  <c r="R184" i="8"/>
  <c r="AA128" i="8"/>
  <c r="AC40" i="3"/>
  <c r="BL138" i="8"/>
  <c r="AG70" i="8"/>
  <c r="BU30" i="8"/>
  <c r="BL96" i="8"/>
  <c r="AA163" i="8"/>
  <c r="AC41" i="3"/>
  <c r="BR88" i="8"/>
  <c r="BO157" i="8"/>
  <c r="BC15" i="8"/>
  <c r="R25" i="8"/>
  <c r="AG200" i="8"/>
  <c r="AG17" i="8"/>
  <c r="U153" i="8"/>
  <c r="BU147" i="8"/>
  <c r="AZ128" i="8"/>
  <c r="BR157" i="8"/>
  <c r="AA112" i="8"/>
  <c r="AW157" i="8"/>
  <c r="AD82" i="8"/>
  <c r="I53" i="6"/>
  <c r="BC110" i="8"/>
  <c r="AZ85" i="8"/>
  <c r="AJ201" i="8"/>
  <c r="Q58" i="3"/>
  <c r="L138" i="8"/>
  <c r="BR146" i="8"/>
  <c r="BU177" i="8"/>
  <c r="AG203" i="8"/>
  <c r="AW172" i="8"/>
  <c r="L121" i="8"/>
  <c r="L83" i="8"/>
  <c r="BF164" i="8"/>
  <c r="BF58" i="8"/>
  <c r="BU79" i="8"/>
  <c r="AZ15" i="8"/>
  <c r="AZ62" i="8"/>
  <c r="X127" i="8"/>
  <c r="BL137" i="8"/>
  <c r="AA117" i="8"/>
  <c r="BR66" i="8"/>
  <c r="AZ107" i="8"/>
  <c r="BR121" i="8"/>
  <c r="AW25" i="8"/>
  <c r="L204" i="8"/>
  <c r="BL43" i="8"/>
  <c r="BL135" i="8"/>
  <c r="BC125" i="8"/>
  <c r="BC33" i="8"/>
  <c r="AA96" i="8"/>
  <c r="BR80" i="8"/>
  <c r="L131" i="8"/>
  <c r="BU178" i="8"/>
  <c r="BU122" i="8"/>
  <c r="AW106" i="8"/>
  <c r="BU109" i="8"/>
  <c r="AA115" i="8"/>
  <c r="BF173" i="8"/>
  <c r="BO72" i="8"/>
  <c r="AA36" i="8"/>
  <c r="R13" i="8"/>
  <c r="U111" i="8"/>
  <c r="BL147" i="8"/>
  <c r="X8" i="12"/>
  <c r="R46" i="8"/>
  <c r="U23" i="8"/>
  <c r="R199" i="8"/>
  <c r="X157" i="8"/>
  <c r="Q60" i="3"/>
  <c r="U26" i="8"/>
  <c r="R151" i="8"/>
  <c r="AJ151" i="8"/>
  <c r="X161" i="8"/>
  <c r="L118" i="8"/>
  <c r="BI65" i="8"/>
  <c r="BL151" i="8"/>
  <c r="AZ44" i="8"/>
  <c r="O32" i="10"/>
  <c r="BI55" i="8"/>
  <c r="AA101" i="8"/>
  <c r="X190" i="8"/>
  <c r="AA97" i="8"/>
  <c r="BC32" i="8"/>
  <c r="U171" i="8"/>
  <c r="AJ166" i="8"/>
  <c r="AG31" i="8"/>
  <c r="BL55" i="8"/>
  <c r="U197" i="8"/>
  <c r="BO200" i="8"/>
  <c r="BI31" i="8"/>
  <c r="BR180" i="8"/>
  <c r="O169" i="8"/>
  <c r="AD43" i="8"/>
  <c r="BF120" i="8"/>
  <c r="O90" i="8"/>
  <c r="AG52" i="8"/>
  <c r="AG197" i="8"/>
  <c r="U92" i="8"/>
  <c r="AW189" i="8"/>
  <c r="AW108" i="8"/>
  <c r="BR11" i="8"/>
  <c r="R145" i="8"/>
  <c r="X192" i="8"/>
  <c r="X189" i="8"/>
  <c r="AW166" i="8"/>
  <c r="AD101" i="8"/>
  <c r="U139" i="8"/>
  <c r="R165" i="8"/>
  <c r="BO41" i="8"/>
  <c r="BF104" i="8"/>
  <c r="AG144" i="8"/>
  <c r="BI10" i="8"/>
  <c r="L94" i="8"/>
  <c r="BC175" i="8"/>
  <c r="BO94" i="8"/>
  <c r="BO190" i="8"/>
  <c r="AC18" i="3"/>
  <c r="AD50" i="8"/>
  <c r="AG168" i="8"/>
  <c r="AJ17" i="8"/>
  <c r="U49" i="8"/>
  <c r="BC74" i="8"/>
  <c r="AJ110" i="8"/>
  <c r="BI40" i="8"/>
  <c r="L100" i="8"/>
  <c r="AZ74" i="8"/>
  <c r="BO26" i="8"/>
  <c r="BI158" i="8"/>
  <c r="BR10" i="8"/>
  <c r="E4" i="8"/>
  <c r="AA122" i="8"/>
  <c r="AG195" i="8"/>
  <c r="BC196" i="8"/>
  <c r="BO95" i="8"/>
  <c r="AG101" i="8"/>
  <c r="BR115" i="8"/>
  <c r="AD154" i="8"/>
  <c r="AC47" i="3"/>
  <c r="O28" i="8"/>
  <c r="U14" i="8"/>
  <c r="AA64" i="8"/>
  <c r="BC60" i="8"/>
  <c r="X11" i="8"/>
  <c r="Q25" i="10"/>
  <c r="AG39" i="8"/>
  <c r="AZ76" i="8"/>
  <c r="AJ140" i="8"/>
  <c r="BU81" i="8"/>
  <c r="R15" i="8"/>
  <c r="X142" i="8"/>
  <c r="X186" i="8"/>
  <c r="BI35" i="8"/>
  <c r="AW101" i="8"/>
  <c r="BR53" i="8"/>
  <c r="R203" i="8"/>
  <c r="AZ99" i="8"/>
  <c r="L144" i="8"/>
  <c r="K24" i="10"/>
  <c r="BF56" i="8"/>
  <c r="L44" i="6"/>
  <c r="BU119" i="8"/>
  <c r="BU175" i="8"/>
  <c r="BF53" i="8"/>
  <c r="BF55" i="8"/>
  <c r="BF174" i="8"/>
  <c r="U58" i="8"/>
  <c r="BF191" i="8"/>
  <c r="BO46" i="8"/>
  <c r="U51" i="8"/>
  <c r="U34" i="8"/>
  <c r="V8" i="12"/>
  <c r="BU43" i="8"/>
  <c r="AJ37" i="8"/>
  <c r="AJ11" i="8"/>
  <c r="AW90" i="8"/>
  <c r="BR29" i="8"/>
  <c r="AD190" i="8"/>
  <c r="BU69" i="8"/>
  <c r="R185" i="8"/>
  <c r="AW17" i="8"/>
  <c r="L17" i="8"/>
  <c r="BC83" i="8"/>
  <c r="M26" i="10"/>
  <c r="H34" i="10"/>
  <c r="R111" i="8"/>
  <c r="AJ60" i="8"/>
  <c r="X205" i="8"/>
  <c r="I40" i="6"/>
  <c r="R95" i="8"/>
  <c r="X98" i="8"/>
  <c r="AZ102" i="8"/>
  <c r="BI198" i="8"/>
  <c r="L30" i="10"/>
  <c r="AD66" i="8"/>
  <c r="L122" i="8"/>
  <c r="AG166" i="8"/>
  <c r="R177" i="8"/>
  <c r="X183" i="8"/>
  <c r="BR90" i="8"/>
  <c r="O13" i="8"/>
  <c r="AD96" i="8"/>
  <c r="BL157" i="8"/>
  <c r="BI127" i="8"/>
  <c r="BO33" i="8"/>
  <c r="AG133" i="8"/>
  <c r="X34" i="8"/>
  <c r="AG12" i="8"/>
  <c r="K19" i="10"/>
  <c r="AG84" i="8"/>
  <c r="AZ152" i="8"/>
  <c r="AJ188" i="8"/>
  <c r="AG162" i="8"/>
  <c r="X40" i="8"/>
  <c r="AJ176" i="8"/>
  <c r="BU118" i="8"/>
  <c r="AD136" i="8"/>
  <c r="BU11" i="8"/>
  <c r="AD189" i="8"/>
  <c r="BU161" i="8"/>
  <c r="U191" i="8"/>
  <c r="X138" i="8"/>
  <c r="BF196" i="8"/>
  <c r="BL196" i="8"/>
  <c r="U61" i="8"/>
  <c r="X21" i="8"/>
  <c r="U9" i="8"/>
  <c r="AW153" i="8"/>
  <c r="U74" i="8"/>
  <c r="X52" i="8"/>
  <c r="U187" i="8"/>
  <c r="AG28" i="8"/>
  <c r="AA83" i="8"/>
  <c r="X73" i="8"/>
  <c r="BO73" i="8"/>
  <c r="AC15" i="3"/>
  <c r="BI141" i="8"/>
  <c r="BL100" i="8"/>
  <c r="AJ49" i="8"/>
  <c r="AD126" i="8"/>
  <c r="R139" i="8"/>
  <c r="U33" i="8"/>
  <c r="AD97" i="8"/>
  <c r="BL18" i="8"/>
  <c r="BC141" i="8"/>
  <c r="BU152" i="8"/>
  <c r="BI23" i="8"/>
  <c r="AZ126" i="8"/>
  <c r="L29" i="8"/>
  <c r="BL103" i="8"/>
  <c r="O51" i="8"/>
  <c r="BR65" i="8"/>
  <c r="M35" i="10"/>
  <c r="BU158" i="8"/>
  <c r="AD148" i="8"/>
  <c r="AW33" i="8"/>
  <c r="L127" i="8"/>
  <c r="AD192" i="8"/>
  <c r="J43" i="10"/>
  <c r="BC155" i="8"/>
  <c r="AG23" i="8"/>
  <c r="AW117" i="8"/>
  <c r="U118" i="8"/>
  <c r="X130" i="8"/>
  <c r="BF112" i="8"/>
  <c r="AA15" i="8"/>
  <c r="L183" i="8"/>
  <c r="AJ16" i="8"/>
  <c r="BC120" i="8"/>
  <c r="R58" i="8"/>
  <c r="AJ192" i="8"/>
  <c r="O201" i="8"/>
  <c r="AJ195" i="8"/>
  <c r="BU63" i="8"/>
  <c r="X166" i="8"/>
  <c r="X139" i="8"/>
  <c r="BR25" i="8"/>
  <c r="X31" i="8"/>
  <c r="U133" i="8"/>
  <c r="O133" i="8"/>
  <c r="BL136" i="8"/>
  <c r="BL111" i="8"/>
  <c r="X36" i="8"/>
  <c r="BL28" i="8"/>
  <c r="AZ60" i="8"/>
  <c r="BC89" i="8"/>
  <c r="AD95" i="8"/>
  <c r="AG69" i="8"/>
  <c r="R19" i="8"/>
  <c r="AA98" i="8"/>
  <c r="R3" i="12"/>
  <c r="X196" i="8"/>
  <c r="AZ45" i="8"/>
  <c r="O29" i="8"/>
  <c r="AA184" i="8"/>
  <c r="AA86" i="8"/>
  <c r="AA187" i="8"/>
  <c r="I55" i="6"/>
  <c r="AA131" i="8"/>
  <c r="BO136" i="8"/>
  <c r="BC173" i="8"/>
  <c r="AZ113" i="8"/>
  <c r="AA194" i="8"/>
  <c r="AZ55" i="8"/>
  <c r="L53" i="8"/>
  <c r="AG30" i="8"/>
  <c r="BR33" i="8"/>
  <c r="AD161" i="8"/>
  <c r="BL146" i="8"/>
  <c r="R159" i="8"/>
  <c r="AJ36" i="8"/>
  <c r="AZ122" i="8"/>
  <c r="L50" i="8"/>
  <c r="L129" i="8"/>
  <c r="O67" i="8"/>
  <c r="BC111" i="8"/>
  <c r="AJ181" i="8"/>
  <c r="AD45" i="8"/>
  <c r="BL153" i="8"/>
  <c r="BI17" i="8"/>
  <c r="AW167" i="8"/>
  <c r="AW144" i="8"/>
  <c r="BO133" i="8"/>
  <c r="AZ157" i="8"/>
  <c r="BC55" i="8"/>
  <c r="O36" i="8"/>
  <c r="R104" i="8"/>
  <c r="O27" i="8"/>
  <c r="BF125" i="8"/>
  <c r="BL190" i="8"/>
  <c r="BF101" i="8"/>
  <c r="L190" i="8"/>
  <c r="U98" i="8"/>
  <c r="BF92" i="8"/>
  <c r="AD25" i="8"/>
  <c r="BI197" i="8"/>
  <c r="AJ204" i="8"/>
  <c r="AA21" i="8"/>
  <c r="X128" i="8"/>
  <c r="U4" i="12"/>
  <c r="L54" i="8"/>
  <c r="X55" i="8"/>
  <c r="BF49" i="8"/>
  <c r="R106" i="8"/>
  <c r="AA91" i="8"/>
  <c r="AG151" i="8"/>
  <c r="H26" i="10"/>
  <c r="AW195" i="8"/>
  <c r="AZ149" i="8"/>
  <c r="L168" i="8"/>
  <c r="AA34" i="8"/>
  <c r="U124" i="8"/>
  <c r="BI175" i="8"/>
  <c r="AA132" i="8"/>
  <c r="AW67" i="8"/>
  <c r="O120" i="8"/>
  <c r="U150" i="8"/>
  <c r="O189" i="8"/>
  <c r="BU98" i="8"/>
  <c r="BU32" i="8"/>
  <c r="U137" i="8"/>
  <c r="S9" i="12"/>
  <c r="BL102" i="8"/>
  <c r="R57" i="8"/>
  <c r="AA113" i="8"/>
  <c r="P31" i="10"/>
  <c r="AG21" i="8"/>
  <c r="U83" i="8"/>
  <c r="BR187" i="8"/>
  <c r="AD28" i="8"/>
  <c r="BC192" i="8"/>
  <c r="AG49" i="8"/>
  <c r="R10" i="8"/>
  <c r="BU19" i="8"/>
  <c r="BC177" i="8"/>
  <c r="AD159" i="8"/>
  <c r="P3" i="12"/>
  <c r="AG57" i="8"/>
  <c r="AA53" i="8"/>
  <c r="AZ80" i="8"/>
  <c r="AA52" i="8"/>
  <c r="BR153" i="8"/>
  <c r="BC172" i="8"/>
  <c r="AG108" i="8"/>
  <c r="BR135" i="8"/>
  <c r="BL195" i="8"/>
  <c r="H27" i="10"/>
  <c r="AW165" i="8"/>
  <c r="BL39" i="8"/>
  <c r="X141" i="8"/>
  <c r="BC151" i="8"/>
  <c r="BL139" i="8"/>
  <c r="BU33" i="8"/>
  <c r="BL21" i="8"/>
  <c r="AW42" i="8"/>
  <c r="AW83" i="8"/>
  <c r="Q34" i="10"/>
  <c r="AJ15" i="8"/>
  <c r="AA72" i="8"/>
  <c r="AJ107" i="8"/>
  <c r="AJ10" i="8"/>
  <c r="AJ52" i="8"/>
  <c r="BI192" i="8"/>
  <c r="AD204" i="8"/>
  <c r="BU93" i="8"/>
  <c r="AA190" i="8"/>
  <c r="AC3" i="3"/>
  <c r="AW54" i="8"/>
  <c r="X129" i="8"/>
  <c r="M20" i="10"/>
  <c r="BL42" i="8"/>
  <c r="AG194" i="8"/>
  <c r="BI21" i="8"/>
  <c r="U71" i="8"/>
  <c r="AD181" i="8"/>
  <c r="AA201" i="8"/>
  <c r="BR95" i="8"/>
  <c r="BC70" i="8"/>
  <c r="AA155" i="8"/>
  <c r="AA167" i="8"/>
  <c r="AJ32" i="8"/>
  <c r="AD72" i="8"/>
  <c r="AD90" i="8"/>
  <c r="AD105" i="8"/>
  <c r="U87" i="8"/>
  <c r="BR122" i="8"/>
  <c r="BF113" i="8"/>
  <c r="R18" i="8"/>
  <c r="R150" i="8"/>
  <c r="AA160" i="8"/>
  <c r="BF17" i="8"/>
  <c r="BR144" i="8"/>
  <c r="R183" i="8"/>
  <c r="X174" i="8"/>
  <c r="AJ84" i="8"/>
  <c r="BI156" i="8"/>
  <c r="BR83" i="8"/>
  <c r="AA17" i="8"/>
  <c r="AG94" i="8"/>
  <c r="U93" i="8"/>
  <c r="AA71" i="8"/>
  <c r="R123" i="8"/>
  <c r="BI121" i="8"/>
  <c r="AZ138" i="8"/>
  <c r="AZ136" i="8"/>
  <c r="K43" i="10"/>
  <c r="AJ190" i="8"/>
  <c r="P25" i="10"/>
  <c r="U143" i="8"/>
  <c r="AC43" i="3"/>
  <c r="AW151" i="8"/>
  <c r="R155" i="8"/>
  <c r="BF63" i="8"/>
  <c r="BR127" i="8"/>
  <c r="AJ175" i="8"/>
  <c r="R61" i="8"/>
  <c r="AG139" i="8"/>
  <c r="U169" i="8"/>
  <c r="AG171" i="8"/>
  <c r="AA84" i="8"/>
  <c r="BI93" i="8"/>
  <c r="U206" i="8"/>
  <c r="R144" i="8"/>
  <c r="R163" i="8"/>
  <c r="AA135" i="8"/>
  <c r="AA181" i="8"/>
  <c r="AD9" i="8"/>
  <c r="I39" i="6"/>
  <c r="R84" i="8"/>
  <c r="BF197" i="8"/>
  <c r="BC132" i="8"/>
  <c r="AG95" i="8"/>
  <c r="AG169" i="8"/>
  <c r="AZ103" i="8"/>
  <c r="AG147" i="8"/>
  <c r="AZ36" i="8"/>
  <c r="BF83" i="8"/>
  <c r="U185" i="8"/>
  <c r="U181" i="8"/>
  <c r="AD89" i="8"/>
  <c r="AZ59" i="8"/>
  <c r="AA147" i="8"/>
  <c r="AA13" i="8"/>
  <c r="L90" i="8"/>
  <c r="AC17" i="3"/>
  <c r="L98" i="8"/>
  <c r="O147" i="8"/>
  <c r="U91" i="8"/>
  <c r="BF151" i="8"/>
  <c r="L165" i="8"/>
  <c r="X172" i="8"/>
  <c r="K30" i="10"/>
  <c r="O139" i="8"/>
  <c r="AD123" i="8"/>
  <c r="O63" i="8"/>
  <c r="X177" i="8"/>
  <c r="Q20" i="10"/>
  <c r="BI169" i="8"/>
  <c r="AG183" i="8"/>
  <c r="X111" i="8"/>
  <c r="AG68" i="8"/>
  <c r="L20" i="8"/>
  <c r="BI12" i="8"/>
  <c r="U36" i="8"/>
  <c r="AG85" i="8"/>
  <c r="AG15" i="8"/>
  <c r="AA59" i="8"/>
  <c r="BL163" i="8"/>
  <c r="BI34" i="8"/>
  <c r="BF167" i="8"/>
  <c r="O79" i="8"/>
  <c r="AZ174" i="8"/>
  <c r="O9" i="8"/>
  <c r="AG22" i="8"/>
  <c r="R85" i="8"/>
  <c r="O10" i="8"/>
  <c r="AD44" i="8"/>
  <c r="AZ188" i="8"/>
  <c r="BL47" i="8"/>
  <c r="AJ160" i="8"/>
  <c r="O151" i="8"/>
  <c r="AA116" i="8"/>
  <c r="AJ144" i="8"/>
  <c r="AG26" i="8"/>
  <c r="BO149" i="8"/>
  <c r="AD177" i="8"/>
  <c r="R64" i="8"/>
  <c r="AD166" i="8"/>
  <c r="Q26" i="10"/>
  <c r="BU50" i="8"/>
  <c r="U175" i="8"/>
  <c r="R48" i="8"/>
  <c r="AJ138" i="8"/>
  <c r="BR130" i="8"/>
  <c r="AD77" i="8"/>
  <c r="AG116" i="8"/>
  <c r="AG99" i="8"/>
  <c r="AG122" i="8"/>
  <c r="X145" i="8"/>
  <c r="O82" i="8"/>
  <c r="AD200" i="8"/>
  <c r="AD107" i="8"/>
  <c r="O41" i="8"/>
  <c r="X12" i="8"/>
  <c r="BF150" i="8"/>
  <c r="AJ129" i="8"/>
  <c r="R171" i="8"/>
  <c r="AG25" i="8"/>
  <c r="AZ131" i="8"/>
  <c r="AC10" i="3"/>
  <c r="R22" i="8"/>
  <c r="BO53" i="8"/>
  <c r="BR197" i="8"/>
  <c r="BL62" i="8"/>
  <c r="BF99" i="8"/>
  <c r="O184" i="8"/>
  <c r="BF22" i="8"/>
  <c r="O93" i="8"/>
  <c r="X89" i="8"/>
  <c r="AJ30" i="8"/>
  <c r="X121" i="8"/>
  <c r="L31" i="6"/>
  <c r="U47" i="8"/>
  <c r="BU197" i="8"/>
  <c r="X199" i="8"/>
  <c r="Q36" i="10"/>
  <c r="O195" i="8"/>
  <c r="U15" i="8"/>
  <c r="AD12" i="8"/>
  <c r="U50" i="8"/>
  <c r="AG134" i="8"/>
  <c r="BL11" i="8"/>
  <c r="O103" i="8"/>
  <c r="AA152" i="8"/>
  <c r="U156" i="8"/>
  <c r="BF54" i="8"/>
  <c r="X46" i="8"/>
  <c r="R56" i="8"/>
  <c r="AA33" i="8"/>
  <c r="AG114" i="8"/>
  <c r="AD188" i="8"/>
  <c r="BC136" i="8"/>
  <c r="R169" i="8"/>
  <c r="BF194" i="8"/>
  <c r="AC8" i="3"/>
  <c r="AD109" i="8"/>
  <c r="AA56" i="8"/>
  <c r="AG131" i="8"/>
  <c r="U159" i="8"/>
  <c r="M31" i="10"/>
  <c r="R131" i="8"/>
  <c r="AD47" i="8"/>
  <c r="BR184" i="8"/>
  <c r="AD81" i="8"/>
  <c r="R178" i="8"/>
  <c r="BR31" i="8"/>
  <c r="X94" i="8"/>
  <c r="AC13" i="3"/>
  <c r="BU113" i="8"/>
  <c r="AD46" i="8"/>
  <c r="BI177" i="8"/>
  <c r="BF95" i="8"/>
  <c r="L196" i="8"/>
  <c r="AG158" i="8"/>
  <c r="L116" i="8"/>
  <c r="BL115" i="8"/>
  <c r="BU55" i="8"/>
  <c r="BI71" i="8"/>
  <c r="AD195" i="8"/>
  <c r="L178" i="8"/>
  <c r="BF103" i="8"/>
  <c r="AD191" i="8"/>
  <c r="AW64" i="8"/>
  <c r="X69" i="8"/>
  <c r="O21" i="8"/>
  <c r="AA174" i="8"/>
  <c r="P39" i="10"/>
  <c r="BF143" i="8"/>
  <c r="O188" i="8"/>
  <c r="BO114" i="8"/>
  <c r="AD67" i="8"/>
  <c r="BF80" i="8"/>
  <c r="AC34" i="3"/>
  <c r="R133" i="8"/>
  <c r="R107" i="8"/>
  <c r="X131" i="8"/>
  <c r="BL56" i="8"/>
  <c r="AA10" i="8"/>
  <c r="R34" i="8"/>
  <c r="AG42" i="8"/>
  <c r="U135" i="8"/>
  <c r="R195" i="8"/>
  <c r="BO64" i="8"/>
  <c r="R50" i="8"/>
  <c r="AJ103" i="8"/>
  <c r="U121" i="8"/>
  <c r="R72" i="8"/>
  <c r="O94" i="8"/>
  <c r="L202" i="8"/>
  <c r="U99" i="8"/>
  <c r="AG193" i="8"/>
  <c r="BF188" i="8"/>
  <c r="O162" i="8"/>
  <c r="BU16" i="8"/>
  <c r="R119" i="8"/>
  <c r="BI145" i="8"/>
  <c r="X65" i="8"/>
  <c r="X136" i="8"/>
  <c r="BI37" i="8"/>
  <c r="O50" i="8"/>
  <c r="AZ13" i="8"/>
  <c r="AJ119" i="8"/>
  <c r="R79" i="8"/>
  <c r="I43" i="6"/>
  <c r="AA62" i="8"/>
  <c r="BO75" i="8"/>
  <c r="W8" i="12"/>
  <c r="U129" i="8"/>
  <c r="U119" i="8"/>
  <c r="BF72" i="8"/>
  <c r="Q53" i="3"/>
  <c r="U198" i="8"/>
  <c r="BL23" i="8"/>
  <c r="AZ123" i="8"/>
  <c r="X42" i="8"/>
  <c r="AA51" i="8"/>
  <c r="L41" i="8"/>
  <c r="AD16" i="8"/>
  <c r="X178" i="8"/>
  <c r="AW141" i="8"/>
  <c r="BU29" i="8"/>
  <c r="Q35" i="10"/>
  <c r="O86" i="8"/>
  <c r="BR186" i="8"/>
  <c r="AA27" i="8"/>
  <c r="BF66" i="8"/>
  <c r="I48" i="6"/>
  <c r="AG41" i="8"/>
  <c r="H20" i="10"/>
  <c r="BI80" i="8"/>
  <c r="U173" i="8"/>
  <c r="BI159" i="8"/>
  <c r="AG76" i="8"/>
  <c r="BR44" i="8"/>
  <c r="BR52" i="8"/>
  <c r="BR19" i="8"/>
  <c r="U109" i="8"/>
  <c r="BF172" i="8"/>
  <c r="BI19" i="8"/>
  <c r="BC138" i="8"/>
  <c r="O119" i="8"/>
  <c r="R174" i="8"/>
  <c r="BI190" i="8"/>
  <c r="AZ93" i="8"/>
  <c r="BF75" i="8"/>
  <c r="BL33" i="8"/>
  <c r="I33" i="10"/>
  <c r="X159" i="8"/>
  <c r="H35" i="10"/>
  <c r="AG124" i="8"/>
  <c r="AG80" i="8"/>
  <c r="BO148" i="8"/>
  <c r="O65" i="8"/>
  <c r="AG135" i="8"/>
  <c r="AG35" i="8"/>
  <c r="AJ156" i="8"/>
  <c r="U162" i="8"/>
  <c r="BR91" i="8"/>
  <c r="O52" i="8"/>
  <c r="AD150" i="8"/>
  <c r="X119" i="8"/>
  <c r="R190" i="8"/>
  <c r="BC36" i="8"/>
  <c r="X27" i="8"/>
  <c r="AG50" i="8"/>
  <c r="R35" i="8"/>
  <c r="AG119" i="8"/>
  <c r="BF190" i="8"/>
  <c r="O129" i="8"/>
  <c r="BL37" i="8"/>
  <c r="BC64" i="8"/>
  <c r="AD119" i="8"/>
  <c r="U116" i="8"/>
  <c r="BO28" i="8"/>
  <c r="X87" i="8"/>
  <c r="X198" i="8"/>
  <c r="AA126" i="8"/>
  <c r="BO155" i="8"/>
  <c r="AA149" i="8"/>
  <c r="L110" i="8"/>
  <c r="BI41" i="8"/>
  <c r="BO81" i="8"/>
  <c r="AG29" i="8"/>
  <c r="AZ19" i="8"/>
  <c r="BR172" i="8"/>
  <c r="N19" i="10"/>
  <c r="BR192" i="8"/>
  <c r="AD26" i="8"/>
  <c r="R187" i="8"/>
  <c r="AJ130" i="8"/>
  <c r="L33" i="8"/>
  <c r="AG180" i="8"/>
  <c r="R161" i="8"/>
  <c r="X26" i="8"/>
  <c r="AJ43" i="8"/>
  <c r="AA19" i="8"/>
  <c r="AJ179" i="8"/>
  <c r="O198" i="8"/>
  <c r="BI102" i="8"/>
  <c r="L46" i="8"/>
  <c r="AZ50" i="8"/>
  <c r="AC21" i="3"/>
  <c r="R33" i="8"/>
  <c r="AA74" i="8"/>
  <c r="S3" i="12"/>
  <c r="BF86" i="8"/>
  <c r="AJ94" i="8"/>
  <c r="AC39" i="3"/>
  <c r="AJ134" i="8"/>
  <c r="AG146" i="8"/>
  <c r="O91" i="8"/>
  <c r="AD128" i="8"/>
  <c r="AW95" i="8"/>
  <c r="BU196" i="8"/>
  <c r="BF26" i="8"/>
  <c r="O88" i="8"/>
  <c r="U38" i="8"/>
  <c r="AJ53" i="8"/>
  <c r="Q8" i="12"/>
  <c r="BF131" i="8"/>
  <c r="AG174" i="8"/>
  <c r="L23" i="8"/>
  <c r="BU168" i="8"/>
  <c r="BC50" i="8"/>
  <c r="AZ150" i="8"/>
  <c r="AD22" i="8"/>
  <c r="AG155" i="8"/>
  <c r="M18" i="10"/>
  <c r="AA133" i="8"/>
  <c r="U140" i="8"/>
  <c r="AA54" i="8"/>
  <c r="L159" i="8"/>
  <c r="U101" i="8"/>
  <c r="R71" i="8"/>
  <c r="U131" i="8"/>
  <c r="BR158" i="8"/>
  <c r="BO111" i="8"/>
  <c r="L9" i="8"/>
  <c r="U200" i="8"/>
  <c r="L132" i="8"/>
  <c r="AZ133" i="8"/>
  <c r="O47" i="8"/>
  <c r="AD158" i="8"/>
  <c r="BC29" i="8"/>
  <c r="O142" i="8"/>
  <c r="O163" i="8"/>
  <c r="AD156" i="8"/>
  <c r="AA16" i="8"/>
  <c r="U65" i="8"/>
  <c r="BC114" i="8"/>
  <c r="BU24" i="8"/>
  <c r="R86" i="8"/>
  <c r="AG132" i="8"/>
  <c r="AA176" i="8"/>
  <c r="O71" i="8"/>
  <c r="O14" i="8"/>
  <c r="P35" i="10"/>
  <c r="L149" i="8"/>
  <c r="AG79" i="8"/>
  <c r="AJ191" i="8"/>
  <c r="AD83" i="8"/>
  <c r="O11" i="8"/>
  <c r="AA103" i="8"/>
  <c r="AG173" i="8"/>
  <c r="BC61" i="8"/>
  <c r="R89" i="8"/>
  <c r="AD173" i="8"/>
  <c r="R206" i="8"/>
  <c r="AD114" i="8"/>
  <c r="L102" i="8"/>
  <c r="O164" i="8"/>
  <c r="O92" i="8"/>
  <c r="AA193" i="8"/>
  <c r="AD94" i="8"/>
  <c r="AD39" i="8"/>
  <c r="AJ44" i="8"/>
  <c r="L135" i="8"/>
  <c r="AD99" i="8"/>
  <c r="BF76" i="8"/>
  <c r="X91" i="8"/>
  <c r="BC27" i="8"/>
  <c r="BI94" i="8"/>
  <c r="BU18" i="8"/>
  <c r="BF32" i="8"/>
  <c r="L166" i="8"/>
  <c r="BL156" i="8"/>
  <c r="AD146" i="8"/>
  <c r="BL172" i="8"/>
  <c r="X14" i="8"/>
  <c r="L37" i="6"/>
  <c r="AZ108" i="8"/>
  <c r="X95" i="8"/>
  <c r="U86" i="8"/>
  <c r="AJ162" i="8"/>
  <c r="AA37" i="8"/>
  <c r="AJ154" i="8"/>
  <c r="X66" i="8"/>
  <c r="BF45" i="8"/>
  <c r="AC36" i="3"/>
  <c r="I49" i="6"/>
  <c r="AD157" i="8"/>
  <c r="AG179" i="8"/>
  <c r="O197" i="8"/>
  <c r="L154" i="8"/>
  <c r="U88" i="8"/>
  <c r="AD32" i="8"/>
  <c r="O181" i="8"/>
  <c r="AA104" i="8"/>
  <c r="AG177" i="8"/>
  <c r="AD13" i="8"/>
  <c r="AJ75" i="8"/>
  <c r="BI75" i="8"/>
  <c r="U29" i="8"/>
  <c r="X49" i="8"/>
  <c r="AJ34" i="8"/>
  <c r="BR21" i="8"/>
  <c r="AJ173" i="8"/>
  <c r="BR12" i="8"/>
  <c r="AD80" i="8"/>
  <c r="AG55" i="8"/>
  <c r="O149" i="8"/>
  <c r="AA195" i="8"/>
  <c r="AJ182" i="8"/>
  <c r="BC195" i="8"/>
  <c r="AA173" i="8"/>
  <c r="BC159" i="8"/>
  <c r="AD137" i="8"/>
  <c r="O172" i="8"/>
  <c r="BL58" i="8"/>
  <c r="AW91" i="8"/>
  <c r="AJ118" i="8"/>
  <c r="K40" i="10"/>
  <c r="BL54" i="8"/>
  <c r="BR36" i="8"/>
  <c r="BU165" i="8"/>
  <c r="AJ149" i="8"/>
  <c r="AW174" i="8"/>
  <c r="L62" i="8"/>
  <c r="R186" i="8"/>
  <c r="BC148" i="8"/>
  <c r="BC42" i="8"/>
  <c r="BO71" i="8"/>
  <c r="BO159" i="8"/>
  <c r="X200" i="8"/>
  <c r="L77" i="8"/>
  <c r="BI59" i="8"/>
  <c r="BR198" i="8"/>
  <c r="AW161" i="8"/>
  <c r="AG159" i="8"/>
  <c r="J20" i="10"/>
  <c r="BF106" i="8"/>
  <c r="BI200" i="8"/>
  <c r="AG129" i="8"/>
  <c r="BO124" i="8"/>
  <c r="AZ75" i="8"/>
  <c r="BR28" i="8"/>
  <c r="O166" i="8"/>
  <c r="M24" i="10"/>
  <c r="X104" i="8"/>
  <c r="AD53" i="8"/>
  <c r="AJ74" i="8"/>
  <c r="R83" i="8"/>
  <c r="O126" i="8"/>
  <c r="X151" i="8"/>
  <c r="X83" i="8"/>
  <c r="R149" i="8"/>
  <c r="AZ78" i="8"/>
  <c r="R38" i="8"/>
  <c r="O203" i="8"/>
  <c r="AA150" i="8"/>
  <c r="AZ151" i="8"/>
  <c r="BU193" i="8"/>
  <c r="AJ93" i="8"/>
  <c r="AZ176" i="8"/>
  <c r="U68" i="8"/>
  <c r="L136" i="8"/>
  <c r="V4" i="12"/>
  <c r="AG112" i="8"/>
  <c r="AW15" i="8"/>
  <c r="L34" i="10"/>
  <c r="AZ66" i="8"/>
  <c r="AA106" i="8"/>
  <c r="R158" i="8"/>
  <c r="U53" i="8"/>
  <c r="X170" i="8"/>
  <c r="AZ70" i="8"/>
  <c r="BR126" i="8"/>
  <c r="AA203" i="8"/>
  <c r="U179" i="8"/>
  <c r="U17" i="8"/>
  <c r="AG157" i="8"/>
  <c r="AW103" i="8"/>
  <c r="X106" i="8"/>
  <c r="AJ51" i="8"/>
  <c r="AJ20" i="8"/>
  <c r="AG143" i="8"/>
  <c r="O18" i="10"/>
  <c r="I40" i="10"/>
  <c r="AD160" i="8"/>
  <c r="X56" i="8"/>
  <c r="AA92" i="8"/>
  <c r="BU9" i="8"/>
  <c r="X38" i="8"/>
  <c r="U166" i="8"/>
  <c r="BO54" i="8"/>
  <c r="BR123" i="8"/>
  <c r="AC16" i="3"/>
  <c r="AD30" i="8"/>
  <c r="BC130" i="8"/>
  <c r="O17" i="8"/>
  <c r="R196" i="8"/>
  <c r="BU124" i="8"/>
  <c r="BF68" i="8"/>
  <c r="AC49" i="3"/>
  <c r="U85" i="8"/>
  <c r="AG123" i="8"/>
  <c r="H32" i="10"/>
  <c r="AA57" i="8"/>
  <c r="AJ152" i="8"/>
  <c r="R51" i="8"/>
  <c r="AJ71" i="8"/>
  <c r="BC79" i="8"/>
  <c r="AD11" i="8"/>
  <c r="X194" i="8"/>
  <c r="AG104" i="8"/>
  <c r="BC165" i="8"/>
  <c r="BF70" i="8"/>
  <c r="L163" i="8"/>
  <c r="X101" i="8"/>
  <c r="U24" i="8"/>
  <c r="X110" i="8"/>
  <c r="AD63" i="8"/>
  <c r="AG60" i="8"/>
  <c r="AJ141" i="8"/>
  <c r="AA23" i="8"/>
  <c r="BC143" i="8"/>
  <c r="BL53" i="8"/>
  <c r="O176" i="8"/>
  <c r="BC18" i="8"/>
  <c r="AJ79" i="8"/>
  <c r="X184" i="8"/>
  <c r="BU116" i="8"/>
  <c r="AG67" i="8"/>
  <c r="BL152" i="8"/>
  <c r="J25" i="10"/>
  <c r="BU59" i="8"/>
  <c r="BO11" i="8"/>
  <c r="AJ85" i="8"/>
  <c r="X137" i="8"/>
  <c r="BL199" i="8"/>
  <c r="BU127" i="8"/>
  <c r="BU189" i="8"/>
  <c r="AW63" i="8"/>
  <c r="BO153" i="8"/>
  <c r="AD174" i="8"/>
  <c r="O59" i="8"/>
  <c r="AA82" i="8"/>
  <c r="O89" i="8"/>
  <c r="BU66" i="8"/>
  <c r="AJ99" i="8"/>
  <c r="L39" i="10"/>
  <c r="BR94" i="8"/>
  <c r="BF200" i="8"/>
  <c r="AZ191" i="8"/>
  <c r="AZ49" i="8"/>
  <c r="BO100" i="8"/>
  <c r="U54" i="8"/>
  <c r="O34" i="10"/>
  <c r="AW194" i="8"/>
  <c r="BO31" i="8"/>
  <c r="AG182" i="8"/>
  <c r="U165" i="8"/>
  <c r="BF134" i="8"/>
  <c r="R157" i="8"/>
  <c r="U192" i="8"/>
  <c r="AG136" i="8"/>
  <c r="R87" i="8"/>
  <c r="AA144" i="8"/>
  <c r="U94" i="8"/>
  <c r="U151" i="8"/>
  <c r="U25" i="8"/>
  <c r="X158" i="8"/>
  <c r="BR131" i="8"/>
  <c r="AA136" i="8"/>
  <c r="L162" i="8"/>
  <c r="X116" i="8"/>
  <c r="AJ18" i="8"/>
  <c r="O185" i="8"/>
  <c r="AD110" i="8"/>
  <c r="AJ89" i="8"/>
  <c r="AD184" i="8"/>
  <c r="R65" i="8"/>
  <c r="X147" i="8"/>
  <c r="R73" i="8"/>
  <c r="AC25" i="3"/>
  <c r="AG107" i="8"/>
  <c r="AZ94" i="8"/>
  <c r="R129" i="8"/>
  <c r="BC49" i="8"/>
  <c r="BF119" i="8"/>
  <c r="AD164" i="8"/>
  <c r="R43" i="8"/>
  <c r="BL86" i="8"/>
  <c r="AG191" i="8"/>
  <c r="BL85" i="8"/>
  <c r="BO181" i="8"/>
  <c r="AD69" i="8"/>
  <c r="BU54" i="8"/>
  <c r="X86" i="8"/>
  <c r="X124" i="8"/>
  <c r="Q33" i="10"/>
  <c r="BC44" i="8"/>
  <c r="R21" i="8"/>
  <c r="O200" i="8"/>
  <c r="BI111" i="8"/>
  <c r="BR171" i="8"/>
  <c r="AJ95" i="8"/>
  <c r="L52" i="6"/>
  <c r="AJ169" i="8"/>
  <c r="AW140" i="8"/>
  <c r="AA26" i="8"/>
  <c r="AZ53" i="8"/>
  <c r="BC194" i="8"/>
  <c r="X107" i="8"/>
  <c r="AG47" i="8"/>
  <c r="BR190" i="8"/>
  <c r="AJ196" i="8"/>
  <c r="AW48" i="8"/>
  <c r="BI174" i="8"/>
  <c r="O99" i="8"/>
  <c r="AD132" i="8"/>
  <c r="AJ174" i="8"/>
  <c r="O193" i="8"/>
  <c r="AD102" i="8"/>
  <c r="AG187" i="8"/>
  <c r="AA130" i="8"/>
  <c r="BF187" i="8"/>
  <c r="AA107" i="8"/>
  <c r="BF93" i="8"/>
  <c r="AA111" i="8"/>
  <c r="BF145" i="8"/>
  <c r="X162" i="8"/>
  <c r="AA39" i="8"/>
  <c r="AZ109" i="8"/>
  <c r="U56" i="8"/>
  <c r="U60" i="8"/>
  <c r="AC5" i="3"/>
  <c r="BF13" i="8"/>
  <c r="AZ161" i="8"/>
  <c r="O56" i="8"/>
  <c r="BI117" i="8"/>
  <c r="AD187" i="8"/>
  <c r="AJ69" i="8"/>
  <c r="AW154" i="8"/>
  <c r="AJ42" i="8"/>
  <c r="X43" i="8"/>
  <c r="AA148" i="8"/>
  <c r="BL116" i="8"/>
  <c r="AA204" i="8"/>
  <c r="U37" i="8"/>
  <c r="X39" i="8"/>
  <c r="BR43" i="8"/>
  <c r="R109" i="8"/>
  <c r="BC163" i="8"/>
  <c r="AA99" i="8"/>
  <c r="AC12" i="3"/>
  <c r="I38" i="6"/>
  <c r="R42" i="8"/>
  <c r="BC77" i="8"/>
  <c r="R162" i="8"/>
  <c r="U9" i="12"/>
  <c r="AJ29" i="8"/>
  <c r="AJ106" i="8"/>
  <c r="R112" i="8"/>
  <c r="AG13" i="8"/>
  <c r="BL176" i="8"/>
  <c r="AC26" i="3"/>
  <c r="H36" i="10"/>
  <c r="AG93" i="8"/>
  <c r="AA124" i="8"/>
  <c r="BI86" i="8"/>
  <c r="BU134" i="8"/>
  <c r="AW115" i="8"/>
  <c r="BR86" i="8"/>
  <c r="R14" i="8"/>
  <c r="AW14" i="8"/>
  <c r="BU194" i="8"/>
  <c r="AA49" i="8"/>
  <c r="AJ102" i="8"/>
  <c r="BI161" i="8"/>
  <c r="BU21" i="8"/>
  <c r="Q56" i="3"/>
  <c r="BC101" i="8"/>
  <c r="O8" i="12"/>
  <c r="AG178" i="8"/>
  <c r="BI33" i="8"/>
  <c r="R148" i="8"/>
  <c r="O180" i="8"/>
  <c r="O101" i="8"/>
  <c r="L76" i="8"/>
  <c r="R63" i="8"/>
  <c r="AD38" i="8"/>
  <c r="AJ165" i="8"/>
  <c r="I47" i="6"/>
  <c r="O40" i="8"/>
  <c r="H39" i="10"/>
  <c r="L18" i="10"/>
  <c r="AG161" i="8"/>
  <c r="U81" i="8"/>
  <c r="O136" i="8"/>
  <c r="R31" i="8"/>
  <c r="BR78" i="8"/>
  <c r="AD31" i="8"/>
  <c r="BO87" i="8"/>
  <c r="O187" i="8"/>
  <c r="AC51" i="3"/>
  <c r="O20" i="8"/>
  <c r="AD193" i="8"/>
  <c r="BR16" i="8"/>
  <c r="BI191" i="8"/>
  <c r="AA20" i="8"/>
  <c r="AA11" i="8"/>
  <c r="AA159" i="8"/>
  <c r="O75" i="8"/>
  <c r="BF107" i="8"/>
  <c r="BU195" i="8"/>
  <c r="AA108" i="8"/>
  <c r="BI189" i="8"/>
  <c r="AC50" i="3"/>
  <c r="AD141" i="8"/>
  <c r="AJ158" i="8"/>
  <c r="BL81" i="8"/>
  <c r="AA139" i="8"/>
  <c r="R70" i="8"/>
  <c r="U149" i="8"/>
  <c r="AG18" i="8"/>
  <c r="BI92" i="8"/>
  <c r="AC46" i="3"/>
  <c r="AA93" i="8"/>
  <c r="U45" i="8"/>
  <c r="U103" i="8"/>
  <c r="AZ185" i="8"/>
  <c r="L143" i="8"/>
  <c r="O42" i="8"/>
  <c r="AJ31" i="8"/>
  <c r="BI18" i="8"/>
  <c r="O205" i="8"/>
  <c r="X197" i="8"/>
  <c r="BO137" i="8"/>
  <c r="AG152" i="8"/>
  <c r="O64" i="8"/>
  <c r="AZ48" i="8"/>
  <c r="BR193" i="8"/>
  <c r="O182" i="8"/>
  <c r="BO147" i="8"/>
  <c r="D9" i="8"/>
  <c r="R27" i="8"/>
  <c r="X171" i="8"/>
  <c r="AW73" i="8"/>
  <c r="BC99" i="8"/>
  <c r="R181" i="8"/>
  <c r="R136" i="8"/>
  <c r="X96" i="8"/>
  <c r="N36" i="10"/>
  <c r="BI119" i="8"/>
  <c r="L133" i="8"/>
  <c r="BR77" i="8"/>
  <c r="O16" i="8"/>
  <c r="BF115" i="8"/>
  <c r="AJ59" i="8"/>
  <c r="AC27" i="3"/>
  <c r="BF192" i="8"/>
  <c r="X51" i="8"/>
  <c r="BR175" i="8"/>
  <c r="R132" i="8"/>
  <c r="BR177" i="8"/>
  <c r="AJ33" i="8"/>
  <c r="AG160" i="8"/>
  <c r="U13" i="8"/>
  <c r="AG176" i="8"/>
  <c r="AC38" i="3"/>
  <c r="X81" i="8"/>
  <c r="AW110" i="8"/>
  <c r="BI98" i="8"/>
  <c r="AW200" i="8"/>
  <c r="BL120" i="8"/>
  <c r="AD103" i="8"/>
  <c r="AA142" i="8"/>
  <c r="BC96" i="8"/>
  <c r="BI122" i="8"/>
  <c r="AD17" i="8"/>
  <c r="AW22" i="8"/>
  <c r="O114" i="8"/>
  <c r="AA153" i="8"/>
  <c r="O116" i="8"/>
  <c r="AG40" i="8"/>
  <c r="AG64" i="8"/>
  <c r="J18" i="10"/>
  <c r="AW146" i="8"/>
  <c r="AJ113" i="8"/>
  <c r="AA42" i="8"/>
  <c r="AG127" i="8"/>
  <c r="R37" i="8"/>
  <c r="U184" i="8"/>
  <c r="BI152" i="8"/>
  <c r="BL112" i="8"/>
  <c r="R80" i="8"/>
  <c r="BR96" i="8"/>
  <c r="AJ121" i="8"/>
  <c r="AA170" i="8"/>
  <c r="R66" i="8"/>
  <c r="BO186" i="8"/>
  <c r="AD33" i="8"/>
  <c r="AG206" i="8"/>
  <c r="R54" i="8"/>
  <c r="AA31" i="8"/>
  <c r="U12" i="8"/>
  <c r="AG113" i="8"/>
  <c r="AA80" i="8"/>
  <c r="AA118" i="8"/>
  <c r="AD93" i="8"/>
  <c r="BL72" i="8"/>
  <c r="AD140" i="8"/>
  <c r="AD18" i="8"/>
  <c r="AD155" i="8"/>
  <c r="L43" i="10"/>
  <c r="BI16" i="8"/>
  <c r="O58" i="8"/>
  <c r="AJ155" i="8"/>
  <c r="L112" i="8"/>
  <c r="AW44" i="8"/>
  <c r="AG56" i="8"/>
  <c r="AA171" i="8"/>
  <c r="O97" i="8"/>
  <c r="O4" i="12"/>
  <c r="BF182" i="8"/>
  <c r="BI44" i="8"/>
  <c r="O173" i="8"/>
  <c r="R130" i="8"/>
  <c r="BR148" i="8"/>
  <c r="AC44" i="3"/>
  <c r="W3" i="12"/>
  <c r="R153" i="8"/>
  <c r="AJ125" i="8"/>
  <c r="O165" i="8"/>
  <c r="O199" i="8"/>
  <c r="BI118" i="8"/>
  <c r="X118" i="8"/>
  <c r="AD185" i="8"/>
  <c r="R118" i="8"/>
  <c r="O87" i="8"/>
  <c r="BI186" i="8"/>
  <c r="V9" i="12"/>
  <c r="BO142" i="8"/>
  <c r="X144" i="8"/>
  <c r="BR181" i="8"/>
  <c r="AJ132" i="8"/>
  <c r="BU136" i="8"/>
  <c r="X169" i="8"/>
  <c r="AW170" i="8"/>
  <c r="BI160" i="8"/>
  <c r="X61" i="8"/>
  <c r="AW137" i="8"/>
  <c r="BU154" i="8"/>
  <c r="BF139" i="8"/>
  <c r="R117" i="8"/>
  <c r="BU88" i="8"/>
  <c r="BL12" i="8"/>
  <c r="X99" i="8"/>
  <c r="BR59" i="8"/>
  <c r="P9" i="12"/>
  <c r="BU114" i="8"/>
  <c r="AZ51" i="8"/>
  <c r="L147" i="8"/>
  <c r="BC137" i="8"/>
  <c r="Q3" i="12"/>
  <c r="BO69" i="8"/>
  <c r="AA70" i="8"/>
  <c r="R143" i="8"/>
  <c r="U28" i="8"/>
  <c r="BC22" i="8"/>
  <c r="X97" i="8"/>
  <c r="X152" i="8"/>
  <c r="AJ40" i="8"/>
  <c r="BO37" i="8"/>
  <c r="BC112" i="8"/>
  <c r="AW181" i="8"/>
  <c r="AG164" i="8"/>
  <c r="P40" i="10"/>
  <c r="R191" i="8"/>
  <c r="R49" i="8"/>
  <c r="R114" i="8"/>
  <c r="I32" i="6"/>
  <c r="AA73" i="8"/>
  <c r="AG196" i="8"/>
  <c r="AG125" i="8"/>
  <c r="AA186" i="8"/>
  <c r="L167" i="8"/>
  <c r="I4" i="8"/>
  <c r="O156" i="8"/>
  <c r="AG185" i="8"/>
  <c r="O57" i="8"/>
  <c r="X53" i="8"/>
  <c r="U158" i="8"/>
  <c r="AG175" i="8"/>
  <c r="O102" i="8"/>
  <c r="AZ43" i="8"/>
  <c r="AJ13" i="8"/>
  <c r="AZ73" i="8"/>
  <c r="O74" i="8"/>
  <c r="BF33" i="8"/>
  <c r="BI47" i="8"/>
  <c r="U114" i="8"/>
  <c r="BO77" i="8"/>
  <c r="O167" i="8"/>
  <c r="T8" i="12"/>
  <c r="AA78" i="8"/>
  <c r="U174" i="8"/>
  <c r="K32" i="10"/>
  <c r="U40" i="8"/>
  <c r="BC56" i="8"/>
  <c r="AJ101" i="8"/>
  <c r="BC104" i="8"/>
  <c r="BR60" i="8"/>
  <c r="BI134" i="8"/>
  <c r="AJ35" i="8"/>
  <c r="R77" i="8"/>
  <c r="AJ62" i="8"/>
  <c r="BR61" i="8"/>
  <c r="AA114" i="8"/>
  <c r="AJ186" i="8"/>
  <c r="X29" i="8"/>
  <c r="N33" i="10"/>
  <c r="J4" i="8"/>
  <c r="X153" i="8"/>
  <c r="AW12" i="8"/>
  <c r="AJ104" i="8"/>
  <c r="O158" i="8"/>
  <c r="AD133" i="8"/>
  <c r="J40" i="10"/>
  <c r="BI90" i="8"/>
  <c r="BU92" i="8"/>
  <c r="R9" i="8"/>
  <c r="AD197" i="8"/>
  <c r="O124" i="8"/>
  <c r="O150" i="8"/>
  <c r="O112" i="8"/>
  <c r="O104" i="8"/>
  <c r="U126" i="8"/>
  <c r="U154" i="8"/>
  <c r="BR14" i="8"/>
  <c r="R32" i="8"/>
  <c r="AG110" i="8"/>
  <c r="L153" i="8"/>
  <c r="AJ48" i="8"/>
  <c r="O106" i="8"/>
  <c r="BI148" i="8"/>
  <c r="X113" i="8"/>
  <c r="AA196" i="8"/>
  <c r="AG138" i="8"/>
  <c r="BR182" i="8"/>
  <c r="O121" i="8"/>
  <c r="C4" i="8"/>
  <c r="AA172" i="8"/>
  <c r="BI101" i="8"/>
  <c r="U19" i="8"/>
  <c r="L117" i="8"/>
  <c r="BO185" i="8"/>
  <c r="H4" i="8"/>
  <c r="BF110" i="8"/>
  <c r="BO164" i="8"/>
  <c r="BU125" i="8"/>
  <c r="O127" i="8"/>
  <c r="BL123" i="8"/>
  <c r="I46" i="6"/>
  <c r="BC162" i="8"/>
  <c r="BC189" i="8"/>
  <c r="BO70" i="8"/>
  <c r="U96" i="8"/>
  <c r="L42" i="8"/>
  <c r="U141" i="8"/>
  <c r="AW23" i="8"/>
  <c r="AG118" i="8"/>
  <c r="AJ122" i="8"/>
  <c r="X146" i="8"/>
  <c r="BU27" i="8"/>
  <c r="AZ77" i="8"/>
  <c r="Q57" i="3"/>
  <c r="AA183" i="8"/>
  <c r="R146" i="8"/>
  <c r="AD88" i="8"/>
  <c r="AD182" i="8"/>
  <c r="AJ150" i="8"/>
  <c r="AJ159" i="8"/>
  <c r="AD139" i="8"/>
  <c r="R142" i="8"/>
  <c r="M33" i="10"/>
  <c r="AD24" i="8"/>
  <c r="BR63" i="8"/>
  <c r="AD127" i="8"/>
  <c r="O54" i="8"/>
  <c r="AD167" i="8"/>
  <c r="BL95" i="8"/>
  <c r="O134" i="8"/>
  <c r="AW180" i="8"/>
  <c r="H25" i="10"/>
  <c r="X23" i="8"/>
  <c r="AW105" i="8"/>
  <c r="BO82" i="8"/>
  <c r="X163" i="8"/>
  <c r="BC113" i="8"/>
  <c r="O96" i="8"/>
  <c r="BI113" i="8"/>
  <c r="AA32" i="8"/>
  <c r="O100" i="8"/>
  <c r="U69" i="8"/>
  <c r="AA81" i="8"/>
  <c r="U57" i="8"/>
  <c r="BI13" i="8"/>
  <c r="AA165" i="8"/>
  <c r="X3" i="12"/>
  <c r="BO84" i="8"/>
  <c r="U10" i="8"/>
  <c r="AD19" i="8"/>
  <c r="X103" i="8"/>
  <c r="U205" i="8"/>
  <c r="AG11" i="8"/>
  <c r="BC54" i="8"/>
  <c r="AZ165" i="8"/>
  <c r="O38" i="8"/>
  <c r="X187" i="8"/>
  <c r="AA205" i="8"/>
  <c r="X79" i="8"/>
  <c r="AJ105" i="8"/>
  <c r="BR110" i="8"/>
  <c r="AA137" i="8"/>
  <c r="AD86" i="8"/>
  <c r="U107" i="8"/>
  <c r="AD58" i="8"/>
  <c r="BL30" i="8"/>
  <c r="R76" i="8"/>
  <c r="S4" i="12"/>
  <c r="U63" i="8"/>
  <c r="R116" i="8"/>
  <c r="U100" i="8"/>
  <c r="AD85" i="8"/>
  <c r="O44" i="8"/>
  <c r="L19" i="10"/>
  <c r="BL183" i="8"/>
  <c r="O140" i="8"/>
  <c r="X132" i="8"/>
  <c r="O55" i="8"/>
  <c r="U183" i="8"/>
  <c r="AW51" i="8"/>
  <c r="L48" i="8"/>
  <c r="O53" i="8"/>
  <c r="AG36" i="8"/>
  <c r="BF77" i="8"/>
  <c r="L38" i="8"/>
  <c r="BO96" i="8"/>
  <c r="BL92" i="8"/>
  <c r="AZ189" i="8"/>
  <c r="U44" i="8"/>
  <c r="U72" i="8"/>
  <c r="X164" i="8"/>
  <c r="BC68" i="8"/>
  <c r="X204" i="8"/>
  <c r="AZ121" i="8"/>
  <c r="U22" i="8"/>
  <c r="AJ128" i="8"/>
  <c r="AA14" i="8"/>
  <c r="BR163" i="8"/>
  <c r="AG33" i="8"/>
  <c r="BO49" i="8"/>
  <c r="BU156" i="8"/>
  <c r="X18" i="8"/>
  <c r="X120" i="8"/>
  <c r="U128" i="8"/>
  <c r="AJ22" i="8"/>
  <c r="O153" i="8"/>
  <c r="X33" i="8"/>
  <c r="BC153" i="8"/>
  <c r="AJ39" i="8"/>
  <c r="X77" i="8"/>
  <c r="AG16" i="8"/>
  <c r="BI106" i="8"/>
  <c r="R93" i="8"/>
  <c r="X41" i="8"/>
  <c r="K20" i="10"/>
  <c r="AD171" i="8"/>
  <c r="BF42" i="8"/>
  <c r="BC108" i="8"/>
  <c r="U80" i="8"/>
  <c r="AD84" i="8"/>
  <c r="BR99" i="8"/>
  <c r="U138" i="8"/>
  <c r="BR97" i="8"/>
  <c r="K34" i="10"/>
  <c r="BI74" i="8"/>
  <c r="L39" i="6"/>
  <c r="U73" i="8"/>
  <c r="X148" i="8"/>
  <c r="L185" i="8"/>
  <c r="AC29" i="3"/>
  <c r="AW39" i="8"/>
  <c r="BI97" i="8"/>
  <c r="AA88" i="8"/>
  <c r="T4" i="12"/>
  <c r="AA140" i="8"/>
  <c r="BL154" i="8"/>
  <c r="AJ153" i="8"/>
  <c r="R138" i="8"/>
  <c r="AG198" i="8"/>
  <c r="L57" i="8"/>
  <c r="O160" i="8"/>
  <c r="BU128" i="8"/>
  <c r="BO141" i="8"/>
  <c r="AW160" i="8"/>
  <c r="AG199" i="8"/>
  <c r="BO104" i="8"/>
  <c r="AJ202" i="8"/>
  <c r="O22" i="8"/>
  <c r="AA41" i="8"/>
  <c r="BR120" i="8"/>
  <c r="BR9" i="8"/>
  <c r="AJ184" i="8"/>
  <c r="AJ80" i="8"/>
  <c r="AD41" i="8"/>
  <c r="O148" i="8"/>
  <c r="AW55" i="8"/>
  <c r="AG128" i="8"/>
  <c r="R147" i="8"/>
  <c r="U193" i="8"/>
  <c r="U186" i="8"/>
  <c r="AJ47" i="8"/>
  <c r="U59" i="8"/>
  <c r="X60" i="8"/>
  <c r="AA202" i="8"/>
  <c r="L63" i="8"/>
  <c r="BO17" i="8"/>
  <c r="BI49" i="8"/>
  <c r="BO187" i="8"/>
  <c r="R81" i="8"/>
  <c r="BC19" i="8"/>
  <c r="AZ81" i="8"/>
  <c r="AJ27" i="8"/>
  <c r="U11" i="8"/>
  <c r="BI85" i="8"/>
  <c r="AD60" i="8"/>
  <c r="BI165" i="8"/>
  <c r="U164" i="8"/>
  <c r="X9" i="8"/>
  <c r="BI109" i="8"/>
  <c r="O159" i="8"/>
  <c r="AG106" i="8"/>
  <c r="L46" i="6"/>
  <c r="AA109" i="8"/>
  <c r="AJ131" i="8"/>
  <c r="L11" i="8"/>
  <c r="L43" i="8"/>
  <c r="BO42" i="8"/>
  <c r="L151" i="8"/>
  <c r="AA68" i="8"/>
  <c r="R74" i="8"/>
  <c r="BO192" i="8"/>
  <c r="AD20" i="8"/>
  <c r="X201" i="8"/>
  <c r="AD74" i="8"/>
  <c r="BR136" i="8"/>
  <c r="AJ97" i="8"/>
  <c r="AA151" i="8"/>
  <c r="AA158" i="8"/>
  <c r="BL88" i="8"/>
  <c r="AG89" i="8"/>
  <c r="AJ145" i="8"/>
  <c r="BF23" i="8"/>
  <c r="O157" i="8"/>
  <c r="AA38" i="8"/>
  <c r="BI25" i="8"/>
  <c r="AA9" i="8"/>
  <c r="AW26" i="8"/>
  <c r="U202" i="8"/>
  <c r="F4" i="8"/>
  <c r="U134" i="8"/>
  <c r="U67" i="8"/>
  <c r="J36" i="10"/>
  <c r="L198" i="8"/>
  <c r="R94" i="8"/>
  <c r="BC133" i="8"/>
  <c r="AD51" i="8"/>
  <c r="O9" i="12"/>
  <c r="X48" i="8"/>
  <c r="X20" i="8"/>
  <c r="X44" i="8"/>
  <c r="Q18" i="10"/>
  <c r="R100" i="8"/>
  <c r="R91" i="8"/>
  <c r="L188" i="8"/>
  <c r="AW164" i="8"/>
  <c r="AZ127" i="8"/>
  <c r="U136" i="8"/>
  <c r="BL134" i="8"/>
  <c r="R92" i="8"/>
  <c r="BU131" i="8"/>
  <c r="BI103" i="8"/>
  <c r="AD153" i="8"/>
  <c r="AJ117" i="8"/>
  <c r="AW159" i="8"/>
  <c r="U64" i="8"/>
  <c r="BC103" i="8"/>
  <c r="R198" i="8"/>
  <c r="AD143" i="8"/>
  <c r="X202" i="8"/>
  <c r="X57" i="8"/>
  <c r="BR58" i="8"/>
  <c r="X28" i="8"/>
  <c r="X35" i="8"/>
  <c r="AD10" i="8"/>
  <c r="BO36" i="8"/>
  <c r="L43" i="6"/>
  <c r="AG66" i="8"/>
  <c r="U130" i="8"/>
  <c r="AA162" i="8"/>
  <c r="BI64" i="8"/>
  <c r="I52" i="6"/>
  <c r="P4" i="12"/>
  <c r="BU80" i="8"/>
  <c r="AG149" i="8"/>
  <c r="J24" i="10"/>
  <c r="AJ189" i="8"/>
  <c r="X74" i="8"/>
  <c r="X122" i="8"/>
  <c r="AG63" i="8"/>
  <c r="X82" i="8"/>
  <c r="AG109" i="8"/>
  <c r="AD100" i="8"/>
  <c r="BC72" i="8"/>
  <c r="BU171" i="8"/>
  <c r="O111" i="8"/>
  <c r="R176" i="8"/>
  <c r="X155" i="8"/>
  <c r="AZ129" i="8"/>
  <c r="I24" i="10"/>
  <c r="BU95" i="8"/>
  <c r="R11" i="8"/>
  <c r="R75" i="8"/>
  <c r="O26" i="8"/>
  <c r="AW30" i="8"/>
  <c r="L40" i="6"/>
  <c r="O72" i="8"/>
  <c r="BL32" i="8"/>
  <c r="AC42" i="3"/>
  <c r="BC169" i="8"/>
  <c r="BU176" i="8"/>
  <c r="X85" i="8"/>
  <c r="L48" i="6"/>
  <c r="L55" i="6"/>
  <c r="N43" i="10"/>
  <c r="O43" i="10"/>
  <c r="M43" i="10"/>
  <c r="Q43" i="10"/>
  <c r="P43" i="10"/>
  <c r="L50" i="6" l="1"/>
  <c r="L41" i="6"/>
  <c r="L54" i="6"/>
  <c r="L34" i="6"/>
  <c r="Y85" i="8"/>
  <c r="Y86" i="8" s="1"/>
  <c r="BV176" i="8"/>
  <c r="AT175" i="8" s="1"/>
  <c r="BD169" i="8"/>
  <c r="AQ36" i="3"/>
  <c r="AD42" i="3"/>
  <c r="AL30" i="8"/>
  <c r="AX30" i="8"/>
  <c r="S75" i="8"/>
  <c r="BV95" i="8"/>
  <c r="AT95" i="8" s="1"/>
  <c r="BA129" i="8"/>
  <c r="AM129" i="8" s="1"/>
  <c r="Y155" i="8"/>
  <c r="Y156" i="8" s="1"/>
  <c r="BV171" i="8"/>
  <c r="AT171" i="8" s="1"/>
  <c r="BD72" i="8"/>
  <c r="BD73" i="8" s="1"/>
  <c r="BD74" i="8" s="1"/>
  <c r="BD75" i="8" s="1"/>
  <c r="AE100" i="8"/>
  <c r="AH109" i="8"/>
  <c r="AH63" i="8"/>
  <c r="AK189" i="8"/>
  <c r="AK190" i="8" s="1"/>
  <c r="AK191" i="8" s="1"/>
  <c r="AK192" i="8" s="1"/>
  <c r="BV80" i="8"/>
  <c r="AT80" i="8" s="1"/>
  <c r="P12" i="12"/>
  <c r="M52" i="6"/>
  <c r="O52" i="6" s="1"/>
  <c r="BJ64" i="8"/>
  <c r="BJ65" i="8" s="1"/>
  <c r="BJ66" i="8" s="1"/>
  <c r="V130" i="8"/>
  <c r="V131" i="8" s="1"/>
  <c r="AE10" i="8"/>
  <c r="AE11" i="8" s="1"/>
  <c r="AE12" i="8" s="1"/>
  <c r="AE13" i="8" s="1"/>
  <c r="AE14" i="8" s="1"/>
  <c r="AE15" i="8" s="1"/>
  <c r="AE16" i="8" s="1"/>
  <c r="AE17" i="8" s="1"/>
  <c r="AE18" i="8" s="1"/>
  <c r="AE19" i="8" s="1"/>
  <c r="AE20" i="8" s="1"/>
  <c r="AE21" i="8" s="1"/>
  <c r="AE22" i="8" s="1"/>
  <c r="AE23" i="8" s="1"/>
  <c r="AE24" i="8" s="1"/>
  <c r="AE25" i="8" s="1"/>
  <c r="AE26" i="8" s="1"/>
  <c r="AE27" i="8" s="1"/>
  <c r="AE28" i="8" s="1"/>
  <c r="AE29" i="8" s="1"/>
  <c r="AE30" i="8" s="1"/>
  <c r="AE31" i="8" s="1"/>
  <c r="AE32" i="8" s="1"/>
  <c r="AE33" i="8" s="1"/>
  <c r="AE34" i="8" s="1"/>
  <c r="AE35" i="8" s="1"/>
  <c r="AE36" i="8" s="1"/>
  <c r="AE37" i="8" s="1"/>
  <c r="AE38" i="8" s="1"/>
  <c r="AE39" i="8" s="1"/>
  <c r="AE40" i="8" s="1"/>
  <c r="AE41" i="8" s="1"/>
  <c r="AE42" i="8" s="1"/>
  <c r="AE43" i="8" s="1"/>
  <c r="AE44" i="8" s="1"/>
  <c r="AE45" i="8" s="1"/>
  <c r="AE46" i="8" s="1"/>
  <c r="AE47" i="8" s="1"/>
  <c r="AE48" i="8" s="1"/>
  <c r="AE49" i="8" s="1"/>
  <c r="AE50" i="8" s="1"/>
  <c r="AE51" i="8" s="1"/>
  <c r="AE52" i="8" s="1"/>
  <c r="AE53" i="8" s="1"/>
  <c r="AE54" i="8" s="1"/>
  <c r="AE55" i="8" s="1"/>
  <c r="AE56" i="8" s="1"/>
  <c r="AE57" i="8" s="1"/>
  <c r="AE58" i="8" s="1"/>
  <c r="AE59" i="8" s="1"/>
  <c r="AE60" i="8" s="1"/>
  <c r="AE61" i="8" s="1"/>
  <c r="AE62" i="8" s="1"/>
  <c r="AE63" i="8" s="1"/>
  <c r="AE64" i="8" s="1"/>
  <c r="AE65" i="8" s="1"/>
  <c r="AE66" i="8" s="1"/>
  <c r="AE67" i="8" s="1"/>
  <c r="AE68" i="8" s="1"/>
  <c r="AE69" i="8" s="1"/>
  <c r="AR69" i="8" s="1"/>
  <c r="Y35" i="8"/>
  <c r="Y36" i="8" s="1"/>
  <c r="BS58" i="8"/>
  <c r="BS59" i="8" s="1"/>
  <c r="BS60" i="8" s="1"/>
  <c r="BS61" i="8" s="1"/>
  <c r="BS62" i="8" s="1"/>
  <c r="BS63" i="8" s="1"/>
  <c r="BS64" i="8" s="1"/>
  <c r="BS65" i="8" s="1"/>
  <c r="S198" i="8"/>
  <c r="V64" i="8"/>
  <c r="AL159" i="8"/>
  <c r="BV131" i="8"/>
  <c r="AT131" i="8" s="1"/>
  <c r="BA127" i="8"/>
  <c r="AM127" i="8" s="1"/>
  <c r="AL164" i="8"/>
  <c r="M188" i="8"/>
  <c r="BD133" i="8"/>
  <c r="BD134" i="8" s="1"/>
  <c r="BD135" i="8" s="1"/>
  <c r="S94" i="8"/>
  <c r="M198" i="8"/>
  <c r="V67" i="8"/>
  <c r="V68" i="8" s="1"/>
  <c r="V69" i="8" s="1"/>
  <c r="V70" i="8" s="1"/>
  <c r="V71" i="8" s="1"/>
  <c r="V134" i="8"/>
  <c r="AP171" i="8"/>
  <c r="AP20" i="8"/>
  <c r="AP29" i="8"/>
  <c r="AP62" i="8"/>
  <c r="AP45" i="8"/>
  <c r="AP53" i="8"/>
  <c r="AP180" i="8"/>
  <c r="AP87" i="8"/>
  <c r="AP120" i="8"/>
  <c r="AP95" i="8"/>
  <c r="AP31" i="8"/>
  <c r="AP71" i="8"/>
  <c r="AP52" i="8"/>
  <c r="AP43" i="8"/>
  <c r="AP150" i="8"/>
  <c r="AP10" i="8"/>
  <c r="AP160" i="8"/>
  <c r="AP47" i="8"/>
  <c r="AP200" i="8"/>
  <c r="AP21" i="8"/>
  <c r="AP202" i="8"/>
  <c r="AP23" i="8"/>
  <c r="AP82" i="8"/>
  <c r="AP34" i="8"/>
  <c r="AP173" i="8"/>
  <c r="AP116" i="8"/>
  <c r="AP51" i="8"/>
  <c r="AP194" i="8"/>
  <c r="AP136" i="8"/>
  <c r="AP28" i="8"/>
  <c r="AP157" i="8"/>
  <c r="AP138" i="8"/>
  <c r="AP26" i="8"/>
  <c r="AP98" i="8"/>
  <c r="AP109" i="8"/>
  <c r="AP205" i="8"/>
  <c r="AP175" i="8"/>
  <c r="AP65" i="8"/>
  <c r="AP145" i="8"/>
  <c r="AP105" i="8"/>
  <c r="AP11" i="8"/>
  <c r="AP154" i="8"/>
  <c r="AP13" i="8"/>
  <c r="AP68" i="8"/>
  <c r="AP30" i="8"/>
  <c r="AP75" i="8"/>
  <c r="AP126" i="8"/>
  <c r="AP55" i="8"/>
  <c r="AP107" i="8"/>
  <c r="AP117" i="8"/>
  <c r="AP162" i="8"/>
  <c r="AP146" i="8"/>
  <c r="AP110" i="8"/>
  <c r="AP18" i="8"/>
  <c r="AP151" i="8"/>
  <c r="AP69" i="8"/>
  <c r="AP119" i="8"/>
  <c r="AP132" i="8"/>
  <c r="AP102" i="8"/>
  <c r="AP41" i="8"/>
  <c r="AP178" i="8"/>
  <c r="AP183" i="8"/>
  <c r="AP131" i="8"/>
  <c r="AP93" i="8"/>
  <c r="AP144" i="8"/>
  <c r="AP37" i="8"/>
  <c r="AP85" i="8"/>
  <c r="AP156" i="8"/>
  <c r="AP122" i="8"/>
  <c r="AP185" i="8"/>
  <c r="AP123" i="8"/>
  <c r="AP135" i="8"/>
  <c r="AP141" i="8"/>
  <c r="AP80" i="8"/>
  <c r="AP9" i="8"/>
  <c r="AP181" i="8"/>
  <c r="AP24" i="8"/>
  <c r="AP195" i="8"/>
  <c r="AP112" i="8"/>
  <c r="AP169" i="8"/>
  <c r="AP199" i="8"/>
  <c r="AP174" i="8"/>
  <c r="AP191" i="8"/>
  <c r="AP163" i="8"/>
  <c r="AP193" i="8"/>
  <c r="AP133" i="8"/>
  <c r="AP170" i="8"/>
  <c r="AP27" i="8"/>
  <c r="AP108" i="8"/>
  <c r="AP42" i="8"/>
  <c r="AP164" i="8"/>
  <c r="AP198" i="8"/>
  <c r="AP188" i="8"/>
  <c r="AP84" i="8"/>
  <c r="AP96" i="8"/>
  <c r="AP58" i="8"/>
  <c r="AP172" i="8"/>
  <c r="AP134" i="8"/>
  <c r="AP129" i="8"/>
  <c r="AP19" i="8"/>
  <c r="AP106" i="8"/>
  <c r="AP61" i="8"/>
  <c r="AP74" i="8"/>
  <c r="AP167" i="8"/>
  <c r="AP39" i="8"/>
  <c r="AP159" i="8"/>
  <c r="AP140" i="8"/>
  <c r="AP48" i="8"/>
  <c r="AP204" i="8"/>
  <c r="AP186" i="8"/>
  <c r="AP111" i="8"/>
  <c r="AP16" i="8"/>
  <c r="AP88" i="8"/>
  <c r="AP59" i="8"/>
  <c r="AP83" i="8"/>
  <c r="AP56" i="8"/>
  <c r="AP89" i="8"/>
  <c r="AP97" i="8"/>
  <c r="AP78" i="8"/>
  <c r="E25" i="8"/>
  <c r="AP165" i="8"/>
  <c r="AP176" i="8"/>
  <c r="AP166" i="8"/>
  <c r="AP148" i="8"/>
  <c r="AP38" i="8"/>
  <c r="AP57" i="8"/>
  <c r="AP137" i="8"/>
  <c r="AP32" i="8"/>
  <c r="AP15" i="8"/>
  <c r="AP118" i="8"/>
  <c r="AP115" i="8"/>
  <c r="AP201" i="8"/>
  <c r="AP184" i="8"/>
  <c r="AP66" i="8"/>
  <c r="AP33" i="8"/>
  <c r="AP73" i="8"/>
  <c r="AP142" i="8"/>
  <c r="AP90" i="8"/>
  <c r="AP189" i="8"/>
  <c r="AP182" i="8"/>
  <c r="AP103" i="8"/>
  <c r="AP50" i="8"/>
  <c r="AP14" i="8"/>
  <c r="AP179" i="8"/>
  <c r="AP86" i="8"/>
  <c r="AP12" i="8"/>
  <c r="AP17" i="8"/>
  <c r="AP44" i="8"/>
  <c r="AP46" i="8"/>
  <c r="AP81" i="8"/>
  <c r="AP77" i="8"/>
  <c r="AP104" i="8"/>
  <c r="AP40" i="8"/>
  <c r="AP94" i="8"/>
  <c r="AP177" i="8"/>
  <c r="AP63" i="8"/>
  <c r="AP121" i="8"/>
  <c r="AP36" i="8"/>
  <c r="AP54" i="8"/>
  <c r="AP91" i="8"/>
  <c r="AP72" i="8"/>
  <c r="AP196" i="8"/>
  <c r="AP153" i="8"/>
  <c r="AP124" i="8"/>
  <c r="AP187" i="8"/>
  <c r="AP128" i="8"/>
  <c r="AP70" i="8"/>
  <c r="AP35" i="8"/>
  <c r="AP67" i="8"/>
  <c r="AP161" i="8"/>
  <c r="AP113" i="8"/>
  <c r="AP60" i="8"/>
  <c r="AP192" i="8"/>
  <c r="AP139" i="8"/>
  <c r="AP25" i="8"/>
  <c r="AP64" i="8"/>
  <c r="AP100" i="8"/>
  <c r="AP168" i="8"/>
  <c r="AP149" i="8"/>
  <c r="AP76" i="8"/>
  <c r="AP190" i="8"/>
  <c r="AP79" i="8"/>
  <c r="AP130" i="8"/>
  <c r="AP152" i="8"/>
  <c r="AP49" i="8"/>
  <c r="AP127" i="8"/>
  <c r="AP155" i="8"/>
  <c r="AP99" i="8"/>
  <c r="AP197" i="8"/>
  <c r="AP158" i="8"/>
  <c r="AP101" i="8"/>
  <c r="AP114" i="8"/>
  <c r="AP203" i="8"/>
  <c r="AP22" i="8"/>
  <c r="AP147" i="8"/>
  <c r="AL26" i="8"/>
  <c r="P157" i="8"/>
  <c r="P158" i="8" s="1"/>
  <c r="BG23" i="8"/>
  <c r="BG24" i="8" s="1"/>
  <c r="BG25" i="8" s="1"/>
  <c r="BG26" i="8" s="1"/>
  <c r="AB151" i="8"/>
  <c r="AB152" i="8" s="1"/>
  <c r="AE74" i="8"/>
  <c r="BP192" i="8"/>
  <c r="S74" i="8"/>
  <c r="AN73" i="8" s="1"/>
  <c r="P159" i="8"/>
  <c r="P160" i="8" s="1"/>
  <c r="P161" i="8" s="1"/>
  <c r="P162" i="8" s="1"/>
  <c r="P163" i="8" s="1"/>
  <c r="P164" i="8" s="1"/>
  <c r="P165" i="8" s="1"/>
  <c r="P166" i="8" s="1"/>
  <c r="P167" i="8" s="1"/>
  <c r="BJ109" i="8"/>
  <c r="V11" i="8"/>
  <c r="BA81" i="8"/>
  <c r="AM81" i="8" s="1"/>
  <c r="BP187" i="8"/>
  <c r="AB202" i="8"/>
  <c r="AB203" i="8" s="1"/>
  <c r="Y60" i="8"/>
  <c r="Y61" i="8" s="1"/>
  <c r="V59" i="8"/>
  <c r="AL55" i="8"/>
  <c r="AK184" i="8"/>
  <c r="AK185" i="8" s="1"/>
  <c r="AK202" i="8"/>
  <c r="AL160" i="8"/>
  <c r="BV128" i="8"/>
  <c r="AT128" i="8" s="1"/>
  <c r="T12" i="12"/>
  <c r="AB88" i="8"/>
  <c r="AB89" i="8" s="1"/>
  <c r="AB90" i="8" s="1"/>
  <c r="AB91" i="8" s="1"/>
  <c r="AB92" i="8" s="1"/>
  <c r="AB93" i="8" s="1"/>
  <c r="AB94" i="8" s="1"/>
  <c r="AL39" i="8"/>
  <c r="AX39" i="8"/>
  <c r="AQ24" i="3"/>
  <c r="AD29" i="3"/>
  <c r="V73" i="8"/>
  <c r="V74" i="8" s="1"/>
  <c r="V75" i="8" s="1"/>
  <c r="AE84" i="8"/>
  <c r="AE85" i="8" s="1"/>
  <c r="V80" i="8"/>
  <c r="V81" i="8" s="1"/>
  <c r="V82" i="8" s="1"/>
  <c r="V83" i="8" s="1"/>
  <c r="V84" i="8" s="1"/>
  <c r="V85" i="8" s="1"/>
  <c r="V86" i="8" s="1"/>
  <c r="BG42" i="8"/>
  <c r="Y18" i="8"/>
  <c r="Y19" i="8" s="1"/>
  <c r="Y20" i="8" s="1"/>
  <c r="BV156" i="8"/>
  <c r="AT156" i="8" s="1"/>
  <c r="BP49" i="8"/>
  <c r="AR49" i="8" s="1"/>
  <c r="BS163" i="8"/>
  <c r="BA121" i="8"/>
  <c r="Y164" i="8"/>
  <c r="Y165" i="8" s="1"/>
  <c r="Y166" i="8" s="1"/>
  <c r="Y167" i="8" s="1"/>
  <c r="V72" i="8"/>
  <c r="BA189" i="8"/>
  <c r="BG77" i="8"/>
  <c r="BG78" i="8" s="1"/>
  <c r="BG79" i="8" s="1"/>
  <c r="BG80" i="8" s="1"/>
  <c r="BG81" i="8" s="1"/>
  <c r="AL51" i="8"/>
  <c r="S116" i="8"/>
  <c r="S12" i="12"/>
  <c r="S76" i="8"/>
  <c r="S77" i="8" s="1"/>
  <c r="AN77" i="8" s="1"/>
  <c r="V107" i="8"/>
  <c r="AE86" i="8"/>
  <c r="AE87" i="8" s="1"/>
  <c r="AE88" i="8" s="1"/>
  <c r="AE89" i="8" s="1"/>
  <c r="BA165" i="8"/>
  <c r="AM165" i="8" s="1"/>
  <c r="V10" i="8"/>
  <c r="J3" i="12"/>
  <c r="J14" i="12" s="1"/>
  <c r="AB165" i="8"/>
  <c r="AB166" i="8" s="1"/>
  <c r="AB167" i="8" s="1"/>
  <c r="AB168" i="8" s="1"/>
  <c r="AB169" i="8" s="1"/>
  <c r="AB170" i="8" s="1"/>
  <c r="AB171" i="8" s="1"/>
  <c r="AB172" i="8" s="1"/>
  <c r="AB173" i="8" s="1"/>
  <c r="AB174" i="8" s="1"/>
  <c r="V57" i="8"/>
  <c r="V58" i="8" s="1"/>
  <c r="BP82" i="8"/>
  <c r="BP83" i="8" s="1"/>
  <c r="BP84" i="8" s="1"/>
  <c r="BP85" i="8" s="1"/>
  <c r="AL105" i="8"/>
  <c r="AL180" i="8"/>
  <c r="AX180" i="8"/>
  <c r="P134" i="8"/>
  <c r="AE139" i="8"/>
  <c r="S146" i="8"/>
  <c r="S147" i="8" s="1"/>
  <c r="AH7" i="3"/>
  <c r="AC55" i="3"/>
  <c r="BA77" i="8"/>
  <c r="AM77" i="8" s="1"/>
  <c r="AL23" i="8"/>
  <c r="V96" i="8"/>
  <c r="V97" i="8" s="1"/>
  <c r="V98" i="8" s="1"/>
  <c r="V99" i="8" s="1"/>
  <c r="V100" i="8" s="1"/>
  <c r="V101" i="8" s="1"/>
  <c r="V102" i="8" s="1"/>
  <c r="V103" i="8" s="1"/>
  <c r="V104" i="8" s="1"/>
  <c r="V105" i="8" s="1"/>
  <c r="V106" i="8" s="1"/>
  <c r="BD162" i="8"/>
  <c r="M46" i="6"/>
  <c r="O46" i="6" s="1"/>
  <c r="BV125" i="8"/>
  <c r="AT125" i="8" s="1"/>
  <c r="AR90" i="8"/>
  <c r="AR32" i="8"/>
  <c r="AR85" i="8"/>
  <c r="AR117" i="8"/>
  <c r="AR187" i="8"/>
  <c r="AR9" i="8"/>
  <c r="AR40" i="8"/>
  <c r="AR95" i="8"/>
  <c r="AR89" i="8"/>
  <c r="AR183" i="8"/>
  <c r="AR185" i="8"/>
  <c r="AR106" i="8"/>
  <c r="AR193" i="8"/>
  <c r="AR38" i="8"/>
  <c r="AR48" i="8"/>
  <c r="AR159" i="8"/>
  <c r="AR139" i="8"/>
  <c r="AR184" i="8"/>
  <c r="AR188" i="8"/>
  <c r="AR130" i="8"/>
  <c r="AR136" i="8"/>
  <c r="AR148" i="8"/>
  <c r="AR201" i="8"/>
  <c r="AR190" i="8"/>
  <c r="AR195" i="8"/>
  <c r="AR109" i="8"/>
  <c r="AR134" i="8"/>
  <c r="AR112" i="8"/>
  <c r="AR47" i="8"/>
  <c r="AR164" i="8"/>
  <c r="AR107" i="8"/>
  <c r="AR17" i="8"/>
  <c r="AR45" i="8"/>
  <c r="AR103" i="8"/>
  <c r="AR80" i="8"/>
  <c r="AR169" i="8"/>
  <c r="AR88" i="8"/>
  <c r="AR18" i="8"/>
  <c r="AR177" i="8"/>
  <c r="AR30" i="8"/>
  <c r="AR111" i="8"/>
  <c r="AR178" i="8"/>
  <c r="AR91" i="8"/>
  <c r="AR26" i="8"/>
  <c r="AR19" i="8"/>
  <c r="AR170" i="8"/>
  <c r="AR153" i="8"/>
  <c r="AR13" i="8"/>
  <c r="AR31" i="8"/>
  <c r="AR196" i="8"/>
  <c r="AR179" i="8"/>
  <c r="G25" i="8"/>
  <c r="AR200" i="8"/>
  <c r="AR119" i="8"/>
  <c r="AR14" i="8"/>
  <c r="AR133" i="8"/>
  <c r="AR189" i="8"/>
  <c r="AR81" i="8"/>
  <c r="AR97" i="8"/>
  <c r="AR135" i="8"/>
  <c r="AR115" i="8"/>
  <c r="AR144" i="8"/>
  <c r="AR72" i="8"/>
  <c r="AR101" i="8"/>
  <c r="AR174" i="8"/>
  <c r="AR83" i="8"/>
  <c r="AR141" i="8"/>
  <c r="AR191" i="8"/>
  <c r="AR204" i="8"/>
  <c r="AR15" i="8"/>
  <c r="AR93" i="8"/>
  <c r="AR37" i="8"/>
  <c r="AR182" i="8"/>
  <c r="AR77" i="8"/>
  <c r="AR167" i="8"/>
  <c r="AR176" i="8"/>
  <c r="AR41" i="8"/>
  <c r="AR145" i="8"/>
  <c r="AR171" i="8"/>
  <c r="AR24" i="8"/>
  <c r="AR82" i="8"/>
  <c r="AR16" i="8"/>
  <c r="AR131" i="8"/>
  <c r="AR124" i="8"/>
  <c r="AR197" i="8"/>
  <c r="AR126" i="8"/>
  <c r="AR36" i="8"/>
  <c r="AR192" i="8"/>
  <c r="AR110" i="8"/>
  <c r="AR122" i="8"/>
  <c r="AR10" i="8"/>
  <c r="AR140" i="8"/>
  <c r="AR181" i="8"/>
  <c r="AR22" i="8"/>
  <c r="AR96" i="8"/>
  <c r="AR205" i="8"/>
  <c r="AR44" i="8"/>
  <c r="AR123" i="8"/>
  <c r="AR149" i="8"/>
  <c r="AR75" i="8"/>
  <c r="AR108" i="8"/>
  <c r="AR28" i="8"/>
  <c r="AR94" i="8"/>
  <c r="AR202" i="8"/>
  <c r="AR120" i="8"/>
  <c r="AR194" i="8"/>
  <c r="AR104" i="8"/>
  <c r="AR175" i="8"/>
  <c r="AR105" i="8"/>
  <c r="AR102" i="8"/>
  <c r="AR27" i="8"/>
  <c r="AR78" i="8"/>
  <c r="AR142" i="8"/>
  <c r="AR34" i="8"/>
  <c r="AR87" i="8"/>
  <c r="AR168" i="8"/>
  <c r="AR138" i="8"/>
  <c r="AR79" i="8"/>
  <c r="AR155" i="8"/>
  <c r="AR39" i="8"/>
  <c r="AR150" i="8"/>
  <c r="AR70" i="8"/>
  <c r="AR129" i="8"/>
  <c r="AR147" i="8"/>
  <c r="AR165" i="8"/>
  <c r="AR113" i="8"/>
  <c r="AR46" i="8"/>
  <c r="AR158" i="8"/>
  <c r="AR203" i="8"/>
  <c r="AR23" i="8"/>
  <c r="AR186" i="8"/>
  <c r="AR161" i="8"/>
  <c r="AR132" i="8"/>
  <c r="AR166" i="8"/>
  <c r="AR11" i="8"/>
  <c r="AR74" i="8"/>
  <c r="AR33" i="8"/>
  <c r="AR163" i="8"/>
  <c r="AR100" i="8"/>
  <c r="AR151" i="8"/>
  <c r="AR118" i="8"/>
  <c r="AR84" i="8"/>
  <c r="AR173" i="8"/>
  <c r="AR160" i="8"/>
  <c r="AR198" i="8"/>
  <c r="AR143" i="8"/>
  <c r="AR199" i="8"/>
  <c r="AR12" i="8"/>
  <c r="AR71" i="8"/>
  <c r="AR21" i="8"/>
  <c r="AR152" i="8"/>
  <c r="AR206" i="8"/>
  <c r="AR162" i="8"/>
  <c r="AR116" i="8"/>
  <c r="AR99" i="8"/>
  <c r="AR121" i="8"/>
  <c r="AR172" i="8"/>
  <c r="AR43" i="8"/>
  <c r="AR42" i="8"/>
  <c r="AR68" i="8"/>
  <c r="AR154" i="8"/>
  <c r="AR86" i="8"/>
  <c r="AR125" i="8"/>
  <c r="AR156" i="8"/>
  <c r="AR20" i="8"/>
  <c r="AR114" i="8"/>
  <c r="AR137" i="8"/>
  <c r="AR146" i="8"/>
  <c r="AR25" i="8"/>
  <c r="AR92" i="8"/>
  <c r="AR157" i="8"/>
  <c r="AR76" i="8"/>
  <c r="AR180" i="8"/>
  <c r="AR29" i="8"/>
  <c r="AR35" i="8"/>
  <c r="BP185" i="8"/>
  <c r="AM16" i="8"/>
  <c r="AM106" i="8"/>
  <c r="AM44" i="8"/>
  <c r="AM34" i="8"/>
  <c r="AM144" i="8"/>
  <c r="AM183" i="8"/>
  <c r="AM203" i="8"/>
  <c r="AM32" i="8"/>
  <c r="AM173" i="8"/>
  <c r="AM184" i="8"/>
  <c r="AM54" i="8"/>
  <c r="AM29" i="8"/>
  <c r="AM186" i="8"/>
  <c r="AM206" i="8"/>
  <c r="AM191" i="8"/>
  <c r="AM104" i="8"/>
  <c r="AM41" i="8"/>
  <c r="AM63" i="8"/>
  <c r="AM40" i="8"/>
  <c r="AM194" i="8"/>
  <c r="AM13" i="8"/>
  <c r="AM93" i="8"/>
  <c r="AM161" i="8"/>
  <c r="AM14" i="8"/>
  <c r="AM101" i="8"/>
  <c r="AM31" i="8"/>
  <c r="AM48" i="8"/>
  <c r="AM189" i="8"/>
  <c r="AM12" i="8"/>
  <c r="AM108" i="8"/>
  <c r="AM188" i="8"/>
  <c r="AM25" i="8"/>
  <c r="AM37" i="8"/>
  <c r="AM200" i="8"/>
  <c r="AM50" i="8"/>
  <c r="AM27" i="8"/>
  <c r="AM9" i="8"/>
  <c r="AM204" i="8"/>
  <c r="AM70" i="8"/>
  <c r="AM75" i="8"/>
  <c r="AM11" i="8"/>
  <c r="AM114" i="8"/>
  <c r="AM133" i="8"/>
  <c r="AM187" i="8"/>
  <c r="AM193" i="8"/>
  <c r="AM154" i="8"/>
  <c r="AM197" i="8"/>
  <c r="AM181" i="8"/>
  <c r="AM130" i="8"/>
  <c r="AM148" i="8"/>
  <c r="AM192" i="8"/>
  <c r="AM24" i="8"/>
  <c r="AM45" i="8"/>
  <c r="AM42" i="8"/>
  <c r="AM67" i="8"/>
  <c r="AM46" i="8"/>
  <c r="AM141" i="8"/>
  <c r="AM30" i="8"/>
  <c r="AM168" i="8"/>
  <c r="AM201" i="8"/>
  <c r="AM185" i="8"/>
  <c r="AM136" i="8"/>
  <c r="AM126" i="8"/>
  <c r="AM35" i="8"/>
  <c r="AM15" i="8"/>
  <c r="AM17" i="8"/>
  <c r="AM33" i="8"/>
  <c r="AM182" i="8"/>
  <c r="AM121" i="8"/>
  <c r="AM21" i="8"/>
  <c r="AM18" i="8"/>
  <c r="AM22" i="8"/>
  <c r="AM198" i="8"/>
  <c r="B25" i="8"/>
  <c r="AM26" i="8"/>
  <c r="AM195" i="8"/>
  <c r="AM112" i="8"/>
  <c r="AM196" i="8"/>
  <c r="AM156" i="8"/>
  <c r="AM190" i="8"/>
  <c r="AM199" i="8"/>
  <c r="AM36" i="8"/>
  <c r="AM23" i="8"/>
  <c r="AM19" i="8"/>
  <c r="AM43" i="8"/>
  <c r="AM20" i="8"/>
  <c r="AM28" i="8"/>
  <c r="AM10" i="8"/>
  <c r="AM38" i="8"/>
  <c r="AM39" i="8"/>
  <c r="AM56" i="8"/>
  <c r="AM202" i="8"/>
  <c r="BS182" i="8"/>
  <c r="BS183" i="8" s="1"/>
  <c r="AB196" i="8"/>
  <c r="AB197" i="8" s="1"/>
  <c r="AB198" i="8" s="1"/>
  <c r="AB199" i="8" s="1"/>
  <c r="AB200" i="8" s="1"/>
  <c r="AB201" i="8" s="1"/>
  <c r="AH110" i="8"/>
  <c r="P104" i="8"/>
  <c r="P105" i="8" s="1"/>
  <c r="P106" i="8" s="1"/>
  <c r="P107" i="8" s="1"/>
  <c r="AE197" i="8"/>
  <c r="BV92" i="8"/>
  <c r="AT92" i="8" s="1"/>
  <c r="BJ90" i="8"/>
  <c r="BJ91" i="8" s="1"/>
  <c r="AL12" i="8"/>
  <c r="I25" i="8"/>
  <c r="AT184" i="8"/>
  <c r="AT181" i="8"/>
  <c r="AT46" i="8"/>
  <c r="AT24" i="8"/>
  <c r="AT176" i="8"/>
  <c r="AT192" i="8"/>
  <c r="AT198" i="8"/>
  <c r="AT27" i="8"/>
  <c r="AT189" i="8"/>
  <c r="AT48" i="8"/>
  <c r="AT205" i="8"/>
  <c r="AT22" i="8"/>
  <c r="AT32" i="8"/>
  <c r="AT180" i="8"/>
  <c r="AT199" i="8"/>
  <c r="AT29" i="8"/>
  <c r="AT18" i="8"/>
  <c r="AT43" i="8"/>
  <c r="AT202" i="8"/>
  <c r="AT42" i="8"/>
  <c r="AT23" i="8"/>
  <c r="AT13" i="8"/>
  <c r="AT28" i="8"/>
  <c r="AT25" i="8"/>
  <c r="AT34" i="8"/>
  <c r="AT182" i="8"/>
  <c r="AT31" i="8"/>
  <c r="AT19" i="8"/>
  <c r="AT37" i="8"/>
  <c r="AT30" i="8"/>
  <c r="AT33" i="8"/>
  <c r="AT185" i="8"/>
  <c r="AT16" i="8"/>
  <c r="AT39" i="8"/>
  <c r="AT36" i="8"/>
  <c r="AT201" i="8"/>
  <c r="AT9" i="8"/>
  <c r="AT20" i="8"/>
  <c r="AT45" i="8"/>
  <c r="AT179" i="8"/>
  <c r="AT187" i="8"/>
  <c r="AT44" i="8"/>
  <c r="AT26" i="8"/>
  <c r="AT204" i="8"/>
  <c r="AT193" i="8"/>
  <c r="AT12" i="8"/>
  <c r="AT40" i="8"/>
  <c r="AT17" i="8"/>
  <c r="AT195" i="8"/>
  <c r="AT38" i="8"/>
  <c r="AT188" i="8"/>
  <c r="AT41" i="8"/>
  <c r="AT35" i="8"/>
  <c r="AT11" i="8"/>
  <c r="AT10" i="8"/>
  <c r="AT206" i="8"/>
  <c r="AT196" i="8"/>
  <c r="AT21" i="8"/>
  <c r="AT47" i="8"/>
  <c r="AT197" i="8"/>
  <c r="AT177" i="8"/>
  <c r="AT203" i="8"/>
  <c r="AT183" i="8"/>
  <c r="AT200" i="8"/>
  <c r="AT190" i="8"/>
  <c r="AT15" i="8"/>
  <c r="AT194" i="8"/>
  <c r="AT191" i="8"/>
  <c r="AT14" i="8"/>
  <c r="AT186" i="8"/>
  <c r="AT174" i="8"/>
  <c r="AK186" i="8"/>
  <c r="AK187" i="8" s="1"/>
  <c r="AK188" i="8" s="1"/>
  <c r="V174" i="8"/>
  <c r="V175" i="8" s="1"/>
  <c r="BP77" i="8"/>
  <c r="BP78" i="8" s="1"/>
  <c r="BP79" i="8" s="1"/>
  <c r="BJ47" i="8"/>
  <c r="BJ48" i="8" s="1"/>
  <c r="BJ49" i="8" s="1"/>
  <c r="BJ50" i="8" s="1"/>
  <c r="BJ51" i="8" s="1"/>
  <c r="BJ52" i="8" s="1"/>
  <c r="BJ53" i="8" s="1"/>
  <c r="BJ54" i="8" s="1"/>
  <c r="BJ55" i="8" s="1"/>
  <c r="BJ56" i="8" s="1"/>
  <c r="P74" i="8"/>
  <c r="BA73" i="8"/>
  <c r="AM73" i="8" s="1"/>
  <c r="BA43" i="8"/>
  <c r="AH175" i="8"/>
  <c r="AH176" i="8" s="1"/>
  <c r="AH177" i="8" s="1"/>
  <c r="Y53" i="8"/>
  <c r="Y54" i="8" s="1"/>
  <c r="Y55" i="8" s="1"/>
  <c r="Y56" i="8" s="1"/>
  <c r="Y57" i="8" s="1"/>
  <c r="AS87" i="8"/>
  <c r="AS190" i="8"/>
  <c r="AS40" i="8"/>
  <c r="AS110" i="8"/>
  <c r="AS127" i="8"/>
  <c r="AS156" i="8"/>
  <c r="AS124" i="8"/>
  <c r="AS185" i="8"/>
  <c r="AS169" i="8"/>
  <c r="AS23" i="8"/>
  <c r="AS66" i="8"/>
  <c r="AS170" i="8"/>
  <c r="AS31" i="8"/>
  <c r="AS13" i="8"/>
  <c r="AS202" i="8"/>
  <c r="AS191" i="8"/>
  <c r="AS121" i="8"/>
  <c r="AS36" i="8"/>
  <c r="AS144" i="8"/>
  <c r="AS88" i="8"/>
  <c r="AS94" i="8"/>
  <c r="AS81" i="8"/>
  <c r="AS102" i="8"/>
  <c r="AS105" i="8"/>
  <c r="AS133" i="8"/>
  <c r="AS109" i="8"/>
  <c r="AS162" i="8"/>
  <c r="AS145" i="8"/>
  <c r="AS53" i="8"/>
  <c r="AS122" i="8"/>
  <c r="AS41" i="8"/>
  <c r="AS101" i="8"/>
  <c r="AS157" i="8"/>
  <c r="AS205" i="8"/>
  <c r="AS17" i="8"/>
  <c r="AS11" i="8"/>
  <c r="AS116" i="8"/>
  <c r="AS22" i="8"/>
  <c r="AS63" i="8"/>
  <c r="AS199" i="8"/>
  <c r="AS112" i="8"/>
  <c r="AS192" i="8"/>
  <c r="AS172" i="8"/>
  <c r="AS26" i="8"/>
  <c r="AS179" i="8"/>
  <c r="AS131" i="8"/>
  <c r="AS195" i="8"/>
  <c r="AS84" i="8"/>
  <c r="AS141" i="8"/>
  <c r="AS108" i="8"/>
  <c r="AS100" i="8"/>
  <c r="AS163" i="8"/>
  <c r="AS76" i="8"/>
  <c r="AS65" i="8"/>
  <c r="AS48" i="8"/>
  <c r="AS149" i="8"/>
  <c r="AS143" i="8"/>
  <c r="AS184" i="8"/>
  <c r="AS201" i="8"/>
  <c r="AS153" i="8"/>
  <c r="AS72" i="8"/>
  <c r="AS204" i="8"/>
  <c r="AS159" i="8"/>
  <c r="AS28" i="8"/>
  <c r="AS32" i="8"/>
  <c r="AS165" i="8"/>
  <c r="AS47" i="8"/>
  <c r="AS155" i="8"/>
  <c r="AS183" i="8"/>
  <c r="AS164" i="8"/>
  <c r="AS197" i="8"/>
  <c r="AS29" i="8"/>
  <c r="AS43" i="8"/>
  <c r="AS188" i="8"/>
  <c r="AS175" i="8"/>
  <c r="AS70" i="8"/>
  <c r="AS55" i="8"/>
  <c r="AS9" i="8"/>
  <c r="AS187" i="8"/>
  <c r="AS177" i="8"/>
  <c r="AS136" i="8"/>
  <c r="AS171" i="8"/>
  <c r="AS98" i="8"/>
  <c r="AS35" i="8"/>
  <c r="AS140" i="8"/>
  <c r="AS86" i="8"/>
  <c r="AS180" i="8"/>
  <c r="AS61" i="8"/>
  <c r="AS67" i="8"/>
  <c r="AS79" i="8"/>
  <c r="AS93" i="8"/>
  <c r="AS19" i="8"/>
  <c r="AS147" i="8"/>
  <c r="AS123" i="8"/>
  <c r="AS150" i="8"/>
  <c r="AS62" i="8"/>
  <c r="AS24" i="8"/>
  <c r="AS173" i="8"/>
  <c r="AS83" i="8"/>
  <c r="AS77" i="8"/>
  <c r="AS16" i="8"/>
  <c r="AS194" i="8"/>
  <c r="AS90" i="8"/>
  <c r="AS57" i="8"/>
  <c r="AS168" i="8"/>
  <c r="AS91" i="8"/>
  <c r="AS176" i="8"/>
  <c r="AS25" i="8"/>
  <c r="AS45" i="8"/>
  <c r="AS68" i="8"/>
  <c r="AS64" i="8"/>
  <c r="AS97" i="8"/>
  <c r="AS27" i="8"/>
  <c r="AS106" i="8"/>
  <c r="AS178" i="8"/>
  <c r="AS82" i="8"/>
  <c r="AS182" i="8"/>
  <c r="AS38" i="8"/>
  <c r="AS158" i="8"/>
  <c r="AS117" i="8"/>
  <c r="AS99" i="8"/>
  <c r="AS10" i="8"/>
  <c r="AS151" i="8"/>
  <c r="AS78" i="8"/>
  <c r="AS49" i="8"/>
  <c r="AS92" i="8"/>
  <c r="AS120" i="8"/>
  <c r="AS111" i="8"/>
  <c r="AS135" i="8"/>
  <c r="AS196" i="8"/>
  <c r="AS107" i="8"/>
  <c r="AS181" i="8"/>
  <c r="AS128" i="8"/>
  <c r="AS50" i="8"/>
  <c r="AS37" i="8"/>
  <c r="AS46" i="8"/>
  <c r="AS161" i="8"/>
  <c r="H25" i="8"/>
  <c r="AS138" i="8"/>
  <c r="AS95" i="8"/>
  <c r="AS51" i="8"/>
  <c r="AS134" i="8"/>
  <c r="AS18" i="8"/>
  <c r="AS206" i="8"/>
  <c r="AS96" i="8"/>
  <c r="AS142" i="8"/>
  <c r="AS80" i="8"/>
  <c r="AS137" i="8"/>
  <c r="AS69" i="8"/>
  <c r="AS119" i="8"/>
  <c r="AS103" i="8"/>
  <c r="AS60" i="8"/>
  <c r="AS166" i="8"/>
  <c r="AS125" i="8"/>
  <c r="AS15" i="8"/>
  <c r="AS167" i="8"/>
  <c r="AS54" i="8"/>
  <c r="AS174" i="8"/>
  <c r="AS89" i="8"/>
  <c r="AS189" i="8"/>
  <c r="AS52" i="8"/>
  <c r="AS56" i="8"/>
  <c r="AS14" i="8"/>
  <c r="AS129" i="8"/>
  <c r="AS34" i="8"/>
  <c r="AS21" i="8"/>
  <c r="AS186" i="8"/>
  <c r="AS114" i="8"/>
  <c r="AS58" i="8"/>
  <c r="AS139" i="8"/>
  <c r="AS30" i="8"/>
  <c r="AS130" i="8"/>
  <c r="AS118" i="8"/>
  <c r="AS59" i="8"/>
  <c r="AS71" i="8"/>
  <c r="AS132" i="8"/>
  <c r="AS200" i="8"/>
  <c r="AS154" i="8"/>
  <c r="AS148" i="8"/>
  <c r="AS203" i="8"/>
  <c r="AS160" i="8"/>
  <c r="AS126" i="8"/>
  <c r="AS44" i="8"/>
  <c r="AS193" i="8"/>
  <c r="AS85" i="8"/>
  <c r="AS20" i="8"/>
  <c r="AS42" i="8"/>
  <c r="AS113" i="8"/>
  <c r="AS74" i="8"/>
  <c r="AS73" i="8"/>
  <c r="AS75" i="8"/>
  <c r="AS33" i="8"/>
  <c r="AS198" i="8"/>
  <c r="AS104" i="8"/>
  <c r="AS146" i="8"/>
  <c r="AS12" i="8"/>
  <c r="M167" i="8"/>
  <c r="AB186" i="8"/>
  <c r="AH125" i="8"/>
  <c r="AH126" i="8" s="1"/>
  <c r="AH196" i="8"/>
  <c r="M32" i="6"/>
  <c r="O32" i="6" s="1"/>
  <c r="AH164" i="8"/>
  <c r="AL181" i="8"/>
  <c r="AX181" i="8"/>
  <c r="AX182" i="8" s="1"/>
  <c r="V28" i="8"/>
  <c r="S143" i="8"/>
  <c r="BP69" i="8"/>
  <c r="BP70" i="8" s="1"/>
  <c r="Q11" i="12"/>
  <c r="BD137" i="8"/>
  <c r="BD138" i="8" s="1"/>
  <c r="BD139" i="8" s="1"/>
  <c r="BD140" i="8" s="1"/>
  <c r="BD141" i="8" s="1"/>
  <c r="BD142" i="8" s="1"/>
  <c r="BD143" i="8" s="1"/>
  <c r="BD144" i="8" s="1"/>
  <c r="BD145" i="8" s="1"/>
  <c r="BD146" i="8" s="1"/>
  <c r="BD147" i="8" s="1"/>
  <c r="BD148" i="8" s="1"/>
  <c r="BD149" i="8" s="1"/>
  <c r="BD150" i="8" s="1"/>
  <c r="BD151" i="8" s="1"/>
  <c r="BD152" i="8" s="1"/>
  <c r="BD153" i="8" s="1"/>
  <c r="BD154" i="8" s="1"/>
  <c r="M147" i="8"/>
  <c r="BA51" i="8"/>
  <c r="AM51" i="8" s="1"/>
  <c r="BV114" i="8"/>
  <c r="AT114" i="8" s="1"/>
  <c r="Y99" i="8"/>
  <c r="Y100" i="8" s="1"/>
  <c r="Y101" i="8" s="1"/>
  <c r="Y102" i="8" s="1"/>
  <c r="Y103" i="8" s="1"/>
  <c r="Y104" i="8" s="1"/>
  <c r="Y105" i="8" s="1"/>
  <c r="Y106" i="8" s="1"/>
  <c r="BV88" i="8"/>
  <c r="AT88" i="8" s="1"/>
  <c r="S117" i="8"/>
  <c r="BV154" i="8"/>
  <c r="AT154" i="8" s="1"/>
  <c r="AL137" i="8"/>
  <c r="AL170" i="8"/>
  <c r="Y169" i="8"/>
  <c r="BV136" i="8"/>
  <c r="AT136" i="8" s="1"/>
  <c r="BS181" i="8"/>
  <c r="P87" i="8"/>
  <c r="P88" i="8" s="1"/>
  <c r="P89" i="8" s="1"/>
  <c r="P90" i="8" s="1"/>
  <c r="P91" i="8" s="1"/>
  <c r="P92" i="8" s="1"/>
  <c r="S118" i="8"/>
  <c r="AE185" i="8"/>
  <c r="Y118" i="8"/>
  <c r="W11" i="12"/>
  <c r="AD44" i="3"/>
  <c r="AQ38" i="3"/>
  <c r="BS148" i="8"/>
  <c r="O12" i="12"/>
  <c r="P97" i="8"/>
  <c r="P98" i="8" s="1"/>
  <c r="P99" i="8" s="1"/>
  <c r="P100" i="8" s="1"/>
  <c r="P101" i="8" s="1"/>
  <c r="P102" i="8" s="1"/>
  <c r="P103" i="8" s="1"/>
  <c r="AX44" i="8"/>
  <c r="AL44" i="8"/>
  <c r="M112" i="8"/>
  <c r="M113" i="8" s="1"/>
  <c r="M114" i="8" s="1"/>
  <c r="M115" i="8" s="1"/>
  <c r="M116" i="8" s="1"/>
  <c r="M117" i="8" s="1"/>
  <c r="AE140" i="8"/>
  <c r="AE141" i="8" s="1"/>
  <c r="BM72" i="8"/>
  <c r="AE93" i="8"/>
  <c r="AB118" i="8"/>
  <c r="AQ117" i="8" s="1"/>
  <c r="AB80" i="8"/>
  <c r="AB81" i="8" s="1"/>
  <c r="V12" i="8"/>
  <c r="V13" i="8" s="1"/>
  <c r="AH206" i="8"/>
  <c r="BP186" i="8"/>
  <c r="BS96" i="8"/>
  <c r="BS97" i="8" s="1"/>
  <c r="BS98" i="8" s="1"/>
  <c r="BS99" i="8" s="1"/>
  <c r="BS100" i="8" s="1"/>
  <c r="BS101" i="8" s="1"/>
  <c r="BS102" i="8" s="1"/>
  <c r="BS103" i="8" s="1"/>
  <c r="BS104" i="8" s="1"/>
  <c r="BM112" i="8"/>
  <c r="S37" i="8"/>
  <c r="AH127" i="8"/>
  <c r="AH128" i="8" s="1"/>
  <c r="AH129" i="8" s="1"/>
  <c r="AL146" i="8"/>
  <c r="AH64" i="8"/>
  <c r="AH65" i="8" s="1"/>
  <c r="AH66" i="8" s="1"/>
  <c r="AH67" i="8" s="1"/>
  <c r="AH68" i="8" s="1"/>
  <c r="AH69" i="8" s="1"/>
  <c r="AH70" i="8" s="1"/>
  <c r="AH71" i="8" s="1"/>
  <c r="AH72" i="8" s="1"/>
  <c r="AH73" i="8" s="1"/>
  <c r="AH74" i="8" s="1"/>
  <c r="AH75" i="8" s="1"/>
  <c r="AH76" i="8" s="1"/>
  <c r="AH77" i="8" s="1"/>
  <c r="AH40" i="8"/>
  <c r="P116" i="8"/>
  <c r="P117" i="8" s="1"/>
  <c r="P118" i="8" s="1"/>
  <c r="AB153" i="8"/>
  <c r="AB154" i="8" s="1"/>
  <c r="AB155" i="8" s="1"/>
  <c r="AB156" i="8" s="1"/>
  <c r="AB157" i="8" s="1"/>
  <c r="AB158" i="8" s="1"/>
  <c r="AB159" i="8" s="1"/>
  <c r="AB160" i="8" s="1"/>
  <c r="AB161" i="8" s="1"/>
  <c r="AB162" i="8" s="1"/>
  <c r="P114" i="8"/>
  <c r="P115" i="8" s="1"/>
  <c r="AL22" i="8"/>
  <c r="BJ122" i="8"/>
  <c r="BJ123" i="8" s="1"/>
  <c r="BJ124" i="8" s="1"/>
  <c r="BJ125" i="8" s="1"/>
  <c r="BJ126" i="8" s="1"/>
  <c r="BJ127" i="8" s="1"/>
  <c r="BD96" i="8"/>
  <c r="AN95" i="8" s="1"/>
  <c r="AL200" i="8"/>
  <c r="AL110" i="8"/>
  <c r="AD38" i="3"/>
  <c r="AQ32" i="3"/>
  <c r="AD27" i="3"/>
  <c r="AQ23" i="3"/>
  <c r="BJ119" i="8"/>
  <c r="Y171" i="8"/>
  <c r="Y172" i="8" s="1"/>
  <c r="BA48" i="8"/>
  <c r="BA49" i="8" s="1"/>
  <c r="AM49" i="8" s="1"/>
  <c r="BA185" i="8"/>
  <c r="BA186" i="8" s="1"/>
  <c r="AD46" i="3"/>
  <c r="AQ40" i="3"/>
  <c r="BJ92" i="8"/>
  <c r="AQ44" i="3"/>
  <c r="AD50" i="3"/>
  <c r="P75" i="8"/>
  <c r="P76" i="8" s="1"/>
  <c r="BJ191" i="8"/>
  <c r="AD51" i="3"/>
  <c r="AQ45" i="3"/>
  <c r="BP87" i="8"/>
  <c r="BP88" i="8" s="1"/>
  <c r="BP89" i="8" s="1"/>
  <c r="BP90" i="8" s="1"/>
  <c r="S31" i="8"/>
  <c r="S32" i="8" s="1"/>
  <c r="S33" i="8" s="1"/>
  <c r="S34" i="8" s="1"/>
  <c r="S35" i="8" s="1"/>
  <c r="S36" i="8" s="1"/>
  <c r="M47" i="6"/>
  <c r="O47" i="6" s="1"/>
  <c r="S63" i="8"/>
  <c r="S148" i="8"/>
  <c r="AH178" i="8"/>
  <c r="AH179" i="8" s="1"/>
  <c r="BV194" i="8"/>
  <c r="BV195" i="8" s="1"/>
  <c r="AL14" i="8"/>
  <c r="BS86" i="8"/>
  <c r="BS87" i="8" s="1"/>
  <c r="BS88" i="8" s="1"/>
  <c r="BS89" i="8" s="1"/>
  <c r="BS90" i="8" s="1"/>
  <c r="AL115" i="8"/>
  <c r="AX115" i="8"/>
  <c r="AX116" i="8" s="1"/>
  <c r="BV134" i="8"/>
  <c r="AT134" i="8" s="1"/>
  <c r="BJ86" i="8"/>
  <c r="BJ87" i="8" s="1"/>
  <c r="AQ22" i="3"/>
  <c r="AD26" i="3"/>
  <c r="S112" i="8"/>
  <c r="S113" i="8" s="1"/>
  <c r="S114" i="8" s="1"/>
  <c r="S115" i="8" s="1"/>
  <c r="S162" i="8"/>
  <c r="BD77" i="8"/>
  <c r="M38" i="6"/>
  <c r="O38" i="6" s="1"/>
  <c r="AQ11" i="3"/>
  <c r="AD12" i="3"/>
  <c r="BD163" i="8"/>
  <c r="Y39" i="8"/>
  <c r="V37" i="8"/>
  <c r="V38" i="8" s="1"/>
  <c r="V39" i="8" s="1"/>
  <c r="V40" i="8" s="1"/>
  <c r="V41" i="8" s="1"/>
  <c r="V42" i="8" s="1"/>
  <c r="V43" i="8" s="1"/>
  <c r="V44" i="8" s="1"/>
  <c r="V45" i="8" s="1"/>
  <c r="V46" i="8" s="1"/>
  <c r="V47" i="8" s="1"/>
  <c r="V48" i="8" s="1"/>
  <c r="V49" i="8" s="1"/>
  <c r="V50" i="8" s="1"/>
  <c r="V51" i="8" s="1"/>
  <c r="V52" i="8" s="1"/>
  <c r="V53" i="8" s="1"/>
  <c r="V54" i="8" s="1"/>
  <c r="V55" i="8" s="1"/>
  <c r="AB204" i="8"/>
  <c r="AB205" i="8" s="1"/>
  <c r="AL154" i="8"/>
  <c r="BA161" i="8"/>
  <c r="BG13" i="8"/>
  <c r="AD5" i="3"/>
  <c r="AQ5" i="3"/>
  <c r="V60" i="8"/>
  <c r="V56" i="8"/>
  <c r="Y162" i="8"/>
  <c r="Y163" i="8" s="1"/>
  <c r="AB111" i="8"/>
  <c r="AB112" i="8" s="1"/>
  <c r="AB113" i="8" s="1"/>
  <c r="AB114" i="8" s="1"/>
  <c r="AB115" i="8" s="1"/>
  <c r="BG93" i="8"/>
  <c r="BG94" i="8" s="1"/>
  <c r="BG95" i="8" s="1"/>
  <c r="BG96" i="8" s="1"/>
  <c r="BG97" i="8" s="1"/>
  <c r="AE102" i="8"/>
  <c r="AE103" i="8" s="1"/>
  <c r="AE104" i="8" s="1"/>
  <c r="AE105" i="8" s="1"/>
  <c r="AL48" i="8"/>
  <c r="BS190" i="8"/>
  <c r="BS191" i="8" s="1"/>
  <c r="Y107" i="8"/>
  <c r="BA53" i="8"/>
  <c r="AM53" i="8" s="1"/>
  <c r="AL140" i="8"/>
  <c r="AX140" i="8"/>
  <c r="AX141" i="8" s="1"/>
  <c r="BJ111" i="8"/>
  <c r="BJ112" i="8" s="1"/>
  <c r="BJ113" i="8" s="1"/>
  <c r="BJ114" i="8" s="1"/>
  <c r="BJ115" i="8" s="1"/>
  <c r="BJ116" i="8" s="1"/>
  <c r="BJ117" i="8" s="1"/>
  <c r="BJ118" i="8" s="1"/>
  <c r="S21" i="8"/>
  <c r="BD44" i="8"/>
  <c r="BV54" i="8"/>
  <c r="AT54" i="8" s="1"/>
  <c r="AH191" i="8"/>
  <c r="BA94" i="8"/>
  <c r="AM94" i="8" s="1"/>
  <c r="AD25" i="3"/>
  <c r="AQ21" i="3"/>
  <c r="AE184" i="8"/>
  <c r="AE110" i="8"/>
  <c r="AE111" i="8" s="1"/>
  <c r="AE112" i="8" s="1"/>
  <c r="AE113" i="8" s="1"/>
  <c r="AE114" i="8" s="1"/>
  <c r="AE115" i="8" s="1"/>
  <c r="AE116" i="8" s="1"/>
  <c r="AE117" i="8" s="1"/>
  <c r="AE118" i="8" s="1"/>
  <c r="AE119" i="8" s="1"/>
  <c r="AE120" i="8" s="1"/>
  <c r="AE121" i="8" s="1"/>
  <c r="AE122" i="8" s="1"/>
  <c r="AE123" i="8" s="1"/>
  <c r="M162" i="8"/>
  <c r="M163" i="8" s="1"/>
  <c r="M164" i="8" s="1"/>
  <c r="M165" i="8" s="1"/>
  <c r="M166" i="8" s="1"/>
  <c r="V25" i="8"/>
  <c r="V26" i="8" s="1"/>
  <c r="V27" i="8" s="1"/>
  <c r="V151" i="8"/>
  <c r="V152" i="8" s="1"/>
  <c r="V153" i="8" s="1"/>
  <c r="V154" i="8" s="1"/>
  <c r="V155" i="8" s="1"/>
  <c r="V156" i="8" s="1"/>
  <c r="V157" i="8" s="1"/>
  <c r="V158" i="8" s="1"/>
  <c r="V159" i="8" s="1"/>
  <c r="V160" i="8" s="1"/>
  <c r="V161" i="8" s="1"/>
  <c r="V162" i="8" s="1"/>
  <c r="AB144" i="8"/>
  <c r="AH136" i="8"/>
  <c r="S157" i="8"/>
  <c r="S158" i="8" s="1"/>
  <c r="S159" i="8" s="1"/>
  <c r="S160" i="8" s="1"/>
  <c r="S161" i="8" s="1"/>
  <c r="BG134" i="8"/>
  <c r="V165" i="8"/>
  <c r="V166" i="8" s="1"/>
  <c r="V167" i="8" s="1"/>
  <c r="AH182" i="8"/>
  <c r="AX194" i="8"/>
  <c r="AX195" i="8" s="1"/>
  <c r="AX196" i="8" s="1"/>
  <c r="AL194" i="8"/>
  <c r="BP100" i="8"/>
  <c r="BP101" i="8" s="1"/>
  <c r="BP102" i="8" s="1"/>
  <c r="BP103" i="8" s="1"/>
  <c r="BP104" i="8" s="1"/>
  <c r="BP105" i="8" s="1"/>
  <c r="BP106" i="8" s="1"/>
  <c r="BP107" i="8" s="1"/>
  <c r="BP108" i="8" s="1"/>
  <c r="BP109" i="8" s="1"/>
  <c r="BA191" i="8"/>
  <c r="BA192" i="8" s="1"/>
  <c r="BV66" i="8"/>
  <c r="AT66" i="8" s="1"/>
  <c r="AB82" i="8"/>
  <c r="AB83" i="8" s="1"/>
  <c r="AB84" i="8" s="1"/>
  <c r="AB85" i="8" s="1"/>
  <c r="AE174" i="8"/>
  <c r="AX63" i="8"/>
  <c r="AL63" i="8"/>
  <c r="BV127" i="8"/>
  <c r="AT127" i="8" s="1"/>
  <c r="BM199" i="8"/>
  <c r="BM200" i="8" s="1"/>
  <c r="BV59" i="8"/>
  <c r="AT59" i="8" s="1"/>
  <c r="BM152" i="8"/>
  <c r="BV116" i="8"/>
  <c r="AT116" i="8" s="1"/>
  <c r="BM53" i="8"/>
  <c r="AQ53" i="8" s="1"/>
  <c r="Y110" i="8"/>
  <c r="Y111" i="8" s="1"/>
  <c r="Y112" i="8" s="1"/>
  <c r="Y113" i="8" s="1"/>
  <c r="Y114" i="8" s="1"/>
  <c r="Y115" i="8" s="1"/>
  <c r="Y116" i="8" s="1"/>
  <c r="V24" i="8"/>
  <c r="BG70" i="8"/>
  <c r="AH104" i="8"/>
  <c r="AH105" i="8" s="1"/>
  <c r="AH106" i="8" s="1"/>
  <c r="AH107" i="8" s="1"/>
  <c r="Y194" i="8"/>
  <c r="BD79" i="8"/>
  <c r="BD80" i="8" s="1"/>
  <c r="BD81" i="8" s="1"/>
  <c r="BD82" i="8" s="1"/>
  <c r="BD83" i="8" s="1"/>
  <c r="BD84" i="8" s="1"/>
  <c r="BD85" i="8" s="1"/>
  <c r="BD86" i="8" s="1"/>
  <c r="BD87" i="8" s="1"/>
  <c r="BD88" i="8" s="1"/>
  <c r="BD89" i="8" s="1"/>
  <c r="BD90" i="8" s="1"/>
  <c r="S51" i="8"/>
  <c r="AQ43" i="3"/>
  <c r="AD49" i="3"/>
  <c r="BG68" i="8"/>
  <c r="BG69" i="8" s="1"/>
  <c r="BV124" i="8"/>
  <c r="AT124" i="8" s="1"/>
  <c r="AD16" i="3"/>
  <c r="AQ14" i="3"/>
  <c r="BP54" i="8"/>
  <c r="AR54" i="8" s="1"/>
  <c r="AE160" i="8"/>
  <c r="AE161" i="8" s="1"/>
  <c r="AE162" i="8" s="1"/>
  <c r="AE163" i="8" s="1"/>
  <c r="AE164" i="8" s="1"/>
  <c r="AE165" i="8" s="1"/>
  <c r="AL103" i="8"/>
  <c r="V17" i="8"/>
  <c r="V18" i="8" s="1"/>
  <c r="V19" i="8" s="1"/>
  <c r="V179" i="8"/>
  <c r="BA70" i="8"/>
  <c r="Y170" i="8"/>
  <c r="AB106" i="8"/>
  <c r="AB107" i="8" s="1"/>
  <c r="AB108" i="8" s="1"/>
  <c r="AB109" i="8" s="1"/>
  <c r="BA66" i="8"/>
  <c r="AM66" i="8" s="1"/>
  <c r="AL15" i="8"/>
  <c r="V12" i="12"/>
  <c r="BA176" i="8"/>
  <c r="AM176" i="8" s="1"/>
  <c r="BA151" i="8"/>
  <c r="AM151" i="8" s="1"/>
  <c r="S38" i="8"/>
  <c r="S39" i="8" s="1"/>
  <c r="S40" i="8" s="1"/>
  <c r="BA78" i="8"/>
  <c r="AM78" i="8" s="1"/>
  <c r="S149" i="8"/>
  <c r="P126" i="8"/>
  <c r="P127" i="8" s="1"/>
  <c r="P128" i="8" s="1"/>
  <c r="P129" i="8" s="1"/>
  <c r="P130" i="8" s="1"/>
  <c r="P131" i="8" s="1"/>
  <c r="P132" i="8" s="1"/>
  <c r="S83" i="8"/>
  <c r="BA75" i="8"/>
  <c r="AH159" i="8"/>
  <c r="AH160" i="8" s="1"/>
  <c r="AH161" i="8" s="1"/>
  <c r="AL161" i="8"/>
  <c r="BS198" i="8"/>
  <c r="BS199" i="8" s="1"/>
  <c r="BJ59" i="8"/>
  <c r="BJ60" i="8" s="1"/>
  <c r="Y200" i="8"/>
  <c r="Y201" i="8" s="1"/>
  <c r="Y202" i="8" s="1"/>
  <c r="Y203" i="8" s="1"/>
  <c r="Y204" i="8" s="1"/>
  <c r="Y205" i="8" s="1"/>
  <c r="Y206" i="8" s="1"/>
  <c r="AP206" i="8" s="1"/>
  <c r="BP71" i="8"/>
  <c r="BP72" i="8" s="1"/>
  <c r="BP73" i="8" s="1"/>
  <c r="BD42" i="8"/>
  <c r="BD43" i="8" s="1"/>
  <c r="M62" i="8"/>
  <c r="M63" i="8" s="1"/>
  <c r="AX174" i="8"/>
  <c r="AL174" i="8" s="1"/>
  <c r="BV165" i="8"/>
  <c r="AT165" i="8" s="1"/>
  <c r="BM54" i="8"/>
  <c r="AQ54" i="8" s="1"/>
  <c r="AL91" i="8"/>
  <c r="BM58" i="8"/>
  <c r="BD159" i="8"/>
  <c r="BD195" i="8"/>
  <c r="BD196" i="8" s="1"/>
  <c r="AK182" i="8"/>
  <c r="AB195" i="8"/>
  <c r="V29" i="8"/>
  <c r="V30" i="8" s="1"/>
  <c r="V31" i="8" s="1"/>
  <c r="P181" i="8"/>
  <c r="P182" i="8" s="1"/>
  <c r="P183" i="8" s="1"/>
  <c r="P184" i="8" s="1"/>
  <c r="P185" i="8" s="1"/>
  <c r="P197" i="8"/>
  <c r="P198" i="8" s="1"/>
  <c r="P199" i="8" s="1"/>
  <c r="P200" i="8" s="1"/>
  <c r="M49" i="6"/>
  <c r="O49" i="6" s="1"/>
  <c r="AD36" i="3"/>
  <c r="AQ31" i="3"/>
  <c r="BA108" i="8"/>
  <c r="BA109" i="8" s="1"/>
  <c r="AM109" i="8" s="1"/>
  <c r="AE146" i="8"/>
  <c r="BJ94" i="8"/>
  <c r="BJ95" i="8" s="1"/>
  <c r="BJ96" i="8" s="1"/>
  <c r="BJ97" i="8" s="1"/>
  <c r="BJ98" i="8" s="1"/>
  <c r="BJ99" i="8" s="1"/>
  <c r="BJ100" i="8" s="1"/>
  <c r="BJ101" i="8" s="1"/>
  <c r="BJ102" i="8" s="1"/>
  <c r="BJ103" i="8" s="1"/>
  <c r="BJ104" i="8" s="1"/>
  <c r="BJ105" i="8" s="1"/>
  <c r="BJ106" i="8" s="1"/>
  <c r="BJ107" i="8" s="1"/>
  <c r="BJ108" i="8" s="1"/>
  <c r="Y91" i="8"/>
  <c r="Y92" i="8" s="1"/>
  <c r="AP92" i="8" s="1"/>
  <c r="AE94" i="8"/>
  <c r="AE95" i="8" s="1"/>
  <c r="AE96" i="8" s="1"/>
  <c r="AE97" i="8" s="1"/>
  <c r="AE98" i="8" s="1"/>
  <c r="AE99" i="8" s="1"/>
  <c r="AB193" i="8"/>
  <c r="AB194" i="8" s="1"/>
  <c r="BD61" i="8"/>
  <c r="BD62" i="8" s="1"/>
  <c r="BD63" i="8" s="1"/>
  <c r="BD64" i="8" s="1"/>
  <c r="AE83" i="8"/>
  <c r="AH79" i="8"/>
  <c r="AH80" i="8" s="1"/>
  <c r="AH81" i="8" s="1"/>
  <c r="V65" i="8"/>
  <c r="BA133" i="8"/>
  <c r="BP111" i="8"/>
  <c r="BP112" i="8" s="1"/>
  <c r="BP113" i="8" s="1"/>
  <c r="BP114" i="8" s="1"/>
  <c r="BP115" i="8" s="1"/>
  <c r="BP116" i="8" s="1"/>
  <c r="BP117" i="8" s="1"/>
  <c r="BS158" i="8"/>
  <c r="AH155" i="8"/>
  <c r="AH156" i="8" s="1"/>
  <c r="AH157" i="8" s="1"/>
  <c r="BA150" i="8"/>
  <c r="AM150" i="8" s="1"/>
  <c r="BV168" i="8"/>
  <c r="AT168" i="8" s="1"/>
  <c r="BG131" i="8"/>
  <c r="BG132" i="8" s="1"/>
  <c r="BG133" i="8" s="1"/>
  <c r="BV196" i="8"/>
  <c r="AL95" i="8"/>
  <c r="AX95" i="8"/>
  <c r="AX96" i="8" s="1"/>
  <c r="AQ33" i="3"/>
  <c r="AD39" i="3"/>
  <c r="S11" i="12"/>
  <c r="AQ18" i="3"/>
  <c r="AD21" i="3"/>
  <c r="AF21" i="3" s="1"/>
  <c r="BA50" i="8"/>
  <c r="AK179" i="8"/>
  <c r="AH180" i="8"/>
  <c r="AH181" i="8" s="1"/>
  <c r="M33" i="8"/>
  <c r="S187" i="8"/>
  <c r="BS192" i="8"/>
  <c r="BS193" i="8" s="1"/>
  <c r="BP81" i="8"/>
  <c r="BJ41" i="8"/>
  <c r="M110" i="8"/>
  <c r="BP155" i="8"/>
  <c r="BP156" i="8" s="1"/>
  <c r="Y198" i="8"/>
  <c r="Y87" i="8"/>
  <c r="Y88" i="8" s="1"/>
  <c r="Y89" i="8" s="1"/>
  <c r="V116" i="8"/>
  <c r="V117" i="8" s="1"/>
  <c r="V118" i="8" s="1"/>
  <c r="AH50" i="8"/>
  <c r="AH51" i="8" s="1"/>
  <c r="AH52" i="8" s="1"/>
  <c r="AH53" i="8" s="1"/>
  <c r="AH54" i="8" s="1"/>
  <c r="AH55" i="8" s="1"/>
  <c r="AH56" i="8" s="1"/>
  <c r="AH57" i="8" s="1"/>
  <c r="AH58" i="8" s="1"/>
  <c r="AH59" i="8" s="1"/>
  <c r="AH60" i="8" s="1"/>
  <c r="AH61" i="8" s="1"/>
  <c r="Y27" i="8"/>
  <c r="Y28" i="8" s="1"/>
  <c r="Y29" i="8" s="1"/>
  <c r="Y30" i="8" s="1"/>
  <c r="Y31" i="8" s="1"/>
  <c r="Y32" i="8" s="1"/>
  <c r="Y33" i="8" s="1"/>
  <c r="Y34" i="8" s="1"/>
  <c r="Y119" i="8"/>
  <c r="Y120" i="8" s="1"/>
  <c r="Y121" i="8" s="1"/>
  <c r="Y122" i="8" s="1"/>
  <c r="BS91" i="8"/>
  <c r="BS92" i="8" s="1"/>
  <c r="BS93" i="8" s="1"/>
  <c r="BS94" i="8" s="1"/>
  <c r="BG75" i="8"/>
  <c r="BG76" i="8" s="1"/>
  <c r="BA93" i="8"/>
  <c r="BJ190" i="8"/>
  <c r="P119" i="8"/>
  <c r="BS52" i="8"/>
  <c r="BS53" i="8" s="1"/>
  <c r="BS54" i="8" s="1"/>
  <c r="BS55" i="8" s="1"/>
  <c r="BS56" i="8" s="1"/>
  <c r="BS44" i="8"/>
  <c r="V173" i="8"/>
  <c r="BJ80" i="8"/>
  <c r="AH41" i="8"/>
  <c r="AH42" i="8" s="1"/>
  <c r="M48" i="6"/>
  <c r="O48" i="6" s="1"/>
  <c r="P86" i="8"/>
  <c r="AL141" i="8"/>
  <c r="BA123" i="8"/>
  <c r="AM123" i="8" s="1"/>
  <c r="AH12" i="3"/>
  <c r="BG72" i="8"/>
  <c r="V119" i="8"/>
  <c r="V129" i="8"/>
  <c r="AB62" i="8"/>
  <c r="AB63" i="8" s="1"/>
  <c r="M43" i="6"/>
  <c r="O43" i="6" s="1"/>
  <c r="BJ37" i="8"/>
  <c r="BJ38" i="8" s="1"/>
  <c r="BJ39" i="8" s="1"/>
  <c r="BJ40" i="8" s="1"/>
  <c r="Y65" i="8"/>
  <c r="Y66" i="8" s="1"/>
  <c r="Y67" i="8" s="1"/>
  <c r="Y68" i="8" s="1"/>
  <c r="Y69" i="8" s="1"/>
  <c r="Y70" i="8" s="1"/>
  <c r="Y71" i="8" s="1"/>
  <c r="Y72" i="8" s="1"/>
  <c r="Y73" i="8" s="1"/>
  <c r="Y74" i="8" s="1"/>
  <c r="Y75" i="8" s="1"/>
  <c r="Y76" i="8" s="1"/>
  <c r="Y77" i="8" s="1"/>
  <c r="Y78" i="8" s="1"/>
  <c r="Y79" i="8" s="1"/>
  <c r="Y80" i="8" s="1"/>
  <c r="Y81" i="8" s="1"/>
  <c r="Y82" i="8" s="1"/>
  <c r="Y83" i="8" s="1"/>
  <c r="Y84" i="8" s="1"/>
  <c r="BJ145" i="8"/>
  <c r="BJ146" i="8" s="1"/>
  <c r="S119" i="8"/>
  <c r="BP64" i="8"/>
  <c r="AR64" i="8" s="1"/>
  <c r="S195" i="8"/>
  <c r="S196" i="8" s="1"/>
  <c r="V135" i="8"/>
  <c r="V136" i="8" s="1"/>
  <c r="V137" i="8" s="1"/>
  <c r="V138" i="8" s="1"/>
  <c r="V139" i="8" s="1"/>
  <c r="V140" i="8" s="1"/>
  <c r="V141" i="8" s="1"/>
  <c r="V142" i="8" s="1"/>
  <c r="AB10" i="8"/>
  <c r="AB11" i="8" s="1"/>
  <c r="AB12" i="8" s="1"/>
  <c r="AB13" i="8" s="1"/>
  <c r="AB14" i="8" s="1"/>
  <c r="AB15" i="8" s="1"/>
  <c r="AB16" i="8" s="1"/>
  <c r="AB17" i="8" s="1"/>
  <c r="AB18" i="8" s="1"/>
  <c r="AB19" i="8" s="1"/>
  <c r="AB20" i="8" s="1"/>
  <c r="AB21" i="8" s="1"/>
  <c r="AB22" i="8" s="1"/>
  <c r="AB23" i="8" s="1"/>
  <c r="AB24" i="8" s="1"/>
  <c r="AB25" i="8" s="1"/>
  <c r="AB26" i="8" s="1"/>
  <c r="AB27" i="8" s="1"/>
  <c r="AB28" i="8" s="1"/>
  <c r="AB29" i="8" s="1"/>
  <c r="AB30" i="8" s="1"/>
  <c r="AB31" i="8" s="1"/>
  <c r="AB32" i="8" s="1"/>
  <c r="AB33" i="8" s="1"/>
  <c r="AB34" i="8" s="1"/>
  <c r="AB35" i="8" s="1"/>
  <c r="AB36" i="8" s="1"/>
  <c r="AB37" i="8" s="1"/>
  <c r="AB38" i="8" s="1"/>
  <c r="AB39" i="8" s="1"/>
  <c r="AB40" i="8" s="1"/>
  <c r="AB41" i="8" s="1"/>
  <c r="AB42" i="8" s="1"/>
  <c r="AB43" i="8" s="1"/>
  <c r="AB44" i="8" s="1"/>
  <c r="AB45" i="8" s="1"/>
  <c r="AB46" i="8" s="1"/>
  <c r="AB47" i="8" s="1"/>
  <c r="AB48" i="8" s="1"/>
  <c r="AB49" i="8" s="1"/>
  <c r="AB50" i="8" s="1"/>
  <c r="AB51" i="8" s="1"/>
  <c r="AB52" i="8" s="1"/>
  <c r="AB53" i="8" s="1"/>
  <c r="AB54" i="8" s="1"/>
  <c r="AB55" i="8" s="1"/>
  <c r="AB56" i="8" s="1"/>
  <c r="AB57" i="8" s="1"/>
  <c r="AB58" i="8" s="1"/>
  <c r="AB59" i="8" s="1"/>
  <c r="AQ59" i="8" s="1"/>
  <c r="BM56" i="8"/>
  <c r="BM57" i="8" s="1"/>
  <c r="Y131" i="8"/>
  <c r="Y132" i="8" s="1"/>
  <c r="Y133" i="8" s="1"/>
  <c r="Y134" i="8" s="1"/>
  <c r="Y135" i="8" s="1"/>
  <c r="Y136" i="8" s="1"/>
  <c r="Y137" i="8" s="1"/>
  <c r="Y138" i="8" s="1"/>
  <c r="Y139" i="8" s="1"/>
  <c r="Y140" i="8" s="1"/>
  <c r="Y141" i="8" s="1"/>
  <c r="Y142" i="8" s="1"/>
  <c r="Y143" i="8" s="1"/>
  <c r="Y144" i="8" s="1"/>
  <c r="Y145" i="8" s="1"/>
  <c r="Y146" i="8" s="1"/>
  <c r="Y147" i="8" s="1"/>
  <c r="Y148" i="8" s="1"/>
  <c r="Y149" i="8" s="1"/>
  <c r="Y150" i="8" s="1"/>
  <c r="Y151" i="8" s="1"/>
  <c r="Y152" i="8" s="1"/>
  <c r="Y153" i="8" s="1"/>
  <c r="Y154" i="8" s="1"/>
  <c r="AD34" i="3"/>
  <c r="AQ29" i="3"/>
  <c r="AX64" i="8"/>
  <c r="AX65" i="8" s="1"/>
  <c r="AX66" i="8" s="1"/>
  <c r="AX67" i="8" s="1"/>
  <c r="AX68" i="8" s="1"/>
  <c r="AX69" i="8" s="1"/>
  <c r="AX70" i="8" s="1"/>
  <c r="AX71" i="8" s="1"/>
  <c r="AX72" i="8" s="1"/>
  <c r="AX73" i="8" s="1"/>
  <c r="AX74" i="8" s="1"/>
  <c r="AL73" i="8" s="1"/>
  <c r="AL64" i="8"/>
  <c r="BV55" i="8"/>
  <c r="AT55" i="8" s="1"/>
  <c r="BM115" i="8"/>
  <c r="BM116" i="8" s="1"/>
  <c r="BM117" i="8" s="1"/>
  <c r="BM118" i="8" s="1"/>
  <c r="BM119" i="8" s="1"/>
  <c r="BM120" i="8" s="1"/>
  <c r="BM121" i="8" s="1"/>
  <c r="BM122" i="8" s="1"/>
  <c r="BM123" i="8" s="1"/>
  <c r="BM124" i="8" s="1"/>
  <c r="BM125" i="8" s="1"/>
  <c r="BM126" i="8" s="1"/>
  <c r="AH158" i="8"/>
  <c r="M196" i="8"/>
  <c r="M197" i="8" s="1"/>
  <c r="BJ177" i="8"/>
  <c r="BJ178" i="8" s="1"/>
  <c r="BJ179" i="8" s="1"/>
  <c r="BJ180" i="8" s="1"/>
  <c r="BV113" i="8"/>
  <c r="AT113" i="8" s="1"/>
  <c r="AQ12" i="3"/>
  <c r="AD13" i="3"/>
  <c r="AF13" i="3" s="1"/>
  <c r="S178" i="8"/>
  <c r="AE81" i="8"/>
  <c r="BS184" i="8"/>
  <c r="BS185" i="8" s="1"/>
  <c r="BS186" i="8" s="1"/>
  <c r="AE109" i="8"/>
  <c r="AQ7" i="3"/>
  <c r="AD8" i="3"/>
  <c r="S169" i="8"/>
  <c r="BD136" i="8"/>
  <c r="AE188" i="8"/>
  <c r="AE189" i="8" s="1"/>
  <c r="AE190" i="8" s="1"/>
  <c r="AE191" i="8" s="1"/>
  <c r="AE192" i="8" s="1"/>
  <c r="AE193" i="8" s="1"/>
  <c r="AE194" i="8" s="1"/>
  <c r="AE195" i="8" s="1"/>
  <c r="AE196" i="8" s="1"/>
  <c r="Y46" i="8"/>
  <c r="P195" i="8"/>
  <c r="Y199" i="8"/>
  <c r="BV197" i="8"/>
  <c r="P93" i="8"/>
  <c r="P94" i="8" s="1"/>
  <c r="P95" i="8" s="1"/>
  <c r="P96" i="8" s="1"/>
  <c r="BG22" i="8"/>
  <c r="BG99" i="8"/>
  <c r="BG100" i="8" s="1"/>
  <c r="BS197" i="8"/>
  <c r="BP53" i="8"/>
  <c r="AR53" i="8" s="1"/>
  <c r="S22" i="8"/>
  <c r="AD10" i="3"/>
  <c r="AQ9" i="3"/>
  <c r="BA131" i="8"/>
  <c r="AM131" i="8" s="1"/>
  <c r="AE200" i="8"/>
  <c r="AH99" i="8"/>
  <c r="AH100" i="8" s="1"/>
  <c r="AE77" i="8"/>
  <c r="BV50" i="8"/>
  <c r="AT50" i="8" s="1"/>
  <c r="AE166" i="8"/>
  <c r="AE167" i="8" s="1"/>
  <c r="S64" i="8"/>
  <c r="S65" i="8" s="1"/>
  <c r="S66" i="8" s="1"/>
  <c r="S67" i="8" s="1"/>
  <c r="S68" i="8" s="1"/>
  <c r="S69" i="8" s="1"/>
  <c r="S70" i="8" s="1"/>
  <c r="S71" i="8" s="1"/>
  <c r="S72" i="8" s="1"/>
  <c r="S73" i="8" s="1"/>
  <c r="AE177" i="8"/>
  <c r="AB116" i="8"/>
  <c r="P151" i="8"/>
  <c r="P152" i="8" s="1"/>
  <c r="P153" i="8" s="1"/>
  <c r="P154" i="8" s="1"/>
  <c r="P155" i="8" s="1"/>
  <c r="P156" i="8" s="1"/>
  <c r="BM47" i="8"/>
  <c r="AQ47" i="8" s="1"/>
  <c r="P10" i="8"/>
  <c r="P11" i="8" s="1"/>
  <c r="P12" i="8" s="1"/>
  <c r="P13" i="8" s="1"/>
  <c r="P14" i="8" s="1"/>
  <c r="P15" i="8" s="1"/>
  <c r="P16" i="8" s="1"/>
  <c r="P17" i="8" s="1"/>
  <c r="P18" i="8" s="1"/>
  <c r="P19" i="8" s="1"/>
  <c r="P20" i="8" s="1"/>
  <c r="P21" i="8" s="1"/>
  <c r="P22" i="8" s="1"/>
  <c r="P23" i="8" s="1"/>
  <c r="P24" i="8" s="1"/>
  <c r="P25" i="8" s="1"/>
  <c r="P26" i="8" s="1"/>
  <c r="P27" i="8" s="1"/>
  <c r="P28" i="8" s="1"/>
  <c r="P29" i="8" s="1"/>
  <c r="P30" i="8" s="1"/>
  <c r="P31" i="8" s="1"/>
  <c r="P32" i="8" s="1"/>
  <c r="P33" i="8" s="1"/>
  <c r="P34" i="8" s="1"/>
  <c r="P35" i="8" s="1"/>
  <c r="P36" i="8" s="1"/>
  <c r="P37" i="8" s="1"/>
  <c r="P38" i="8" s="1"/>
  <c r="P39" i="8" s="1"/>
  <c r="P40" i="8" s="1"/>
  <c r="P41" i="8" s="1"/>
  <c r="P42" i="8" s="1"/>
  <c r="P43" i="8" s="1"/>
  <c r="P44" i="8" s="1"/>
  <c r="P45" i="8" s="1"/>
  <c r="P46" i="8" s="1"/>
  <c r="P47" i="8" s="1"/>
  <c r="P48" i="8" s="1"/>
  <c r="P49" i="8" s="1"/>
  <c r="P50" i="8" s="1"/>
  <c r="P51" i="8" s="1"/>
  <c r="P52" i="8" s="1"/>
  <c r="P53" i="8" s="1"/>
  <c r="P54" i="8" s="1"/>
  <c r="P55" i="8" s="1"/>
  <c r="P56" i="8" s="1"/>
  <c r="P57" i="8" s="1"/>
  <c r="P58" i="8" s="1"/>
  <c r="P59" i="8" s="1"/>
  <c r="P60" i="8" s="1"/>
  <c r="P61" i="8" s="1"/>
  <c r="P62" i="8" s="1"/>
  <c r="P63" i="8" s="1"/>
  <c r="P64" i="8" s="1"/>
  <c r="P65" i="8" s="1"/>
  <c r="P66" i="8" s="1"/>
  <c r="P67" i="8" s="1"/>
  <c r="S85" i="8"/>
  <c r="S86" i="8" s="1"/>
  <c r="S87" i="8" s="1"/>
  <c r="S88" i="8" s="1"/>
  <c r="S89" i="8" s="1"/>
  <c r="S90" i="8" s="1"/>
  <c r="S91" i="8" s="1"/>
  <c r="S92" i="8" s="1"/>
  <c r="S93" i="8" s="1"/>
  <c r="BA174" i="8"/>
  <c r="AM174" i="8" s="1"/>
  <c r="BJ34" i="8"/>
  <c r="AH85" i="8"/>
  <c r="V36" i="8"/>
  <c r="AH183" i="8"/>
  <c r="AH184" i="8" s="1"/>
  <c r="AH185" i="8" s="1"/>
  <c r="AH186" i="8" s="1"/>
  <c r="AH187" i="8" s="1"/>
  <c r="AH188" i="8" s="1"/>
  <c r="AH189" i="8" s="1"/>
  <c r="V91" i="8"/>
  <c r="M98" i="8"/>
  <c r="M99" i="8" s="1"/>
  <c r="AQ15" i="3"/>
  <c r="AD17" i="3"/>
  <c r="BA59" i="8"/>
  <c r="AM59" i="8" s="1"/>
  <c r="BG83" i="8"/>
  <c r="BA103" i="8"/>
  <c r="AM103" i="8" s="1"/>
  <c r="AH169" i="8"/>
  <c r="S84" i="8"/>
  <c r="M39" i="6"/>
  <c r="O39" i="6" s="1"/>
  <c r="S163" i="8"/>
  <c r="S144" i="8"/>
  <c r="BJ93" i="8"/>
  <c r="AH171" i="8"/>
  <c r="AH172" i="8" s="1"/>
  <c r="AH173" i="8" s="1"/>
  <c r="AH174" i="8" s="1"/>
  <c r="V169" i="8"/>
  <c r="V170" i="8" s="1"/>
  <c r="AH139" i="8"/>
  <c r="S61" i="8"/>
  <c r="S62" i="8" s="1"/>
  <c r="S155" i="8"/>
  <c r="AL151" i="8"/>
  <c r="AX151" i="8"/>
  <c r="AD43" i="3"/>
  <c r="AQ37" i="3"/>
  <c r="V143" i="8"/>
  <c r="V144" i="8" s="1"/>
  <c r="BA136" i="8"/>
  <c r="BA138" i="8"/>
  <c r="AM138" i="8" s="1"/>
  <c r="S123" i="8"/>
  <c r="S150" i="8"/>
  <c r="S151" i="8" s="1"/>
  <c r="S18" i="8"/>
  <c r="S19" i="8" s="1"/>
  <c r="S20" i="8" s="1"/>
  <c r="V87" i="8"/>
  <c r="V88" i="8" s="1"/>
  <c r="AE90" i="8"/>
  <c r="AE91" i="8" s="1"/>
  <c r="BD70" i="8"/>
  <c r="BD71" i="8" s="1"/>
  <c r="BS95" i="8"/>
  <c r="AH194" i="8"/>
  <c r="AL54" i="8"/>
  <c r="AQ3" i="3"/>
  <c r="AD3" i="3"/>
  <c r="BV93" i="8"/>
  <c r="AT93" i="8" s="1"/>
  <c r="AE204" i="8"/>
  <c r="BJ192" i="8"/>
  <c r="AK10" i="8"/>
  <c r="AK11" i="8" s="1"/>
  <c r="AK12" i="8" s="1"/>
  <c r="AK13" i="8" s="1"/>
  <c r="AK14" i="8" s="1"/>
  <c r="AK15" i="8" s="1"/>
  <c r="AK16" i="8" s="1"/>
  <c r="AK17" i="8" s="1"/>
  <c r="AK18" i="8" s="1"/>
  <c r="AK19" i="8" s="1"/>
  <c r="AK20" i="8" s="1"/>
  <c r="AK21" i="8" s="1"/>
  <c r="AK22" i="8" s="1"/>
  <c r="AK23" i="8" s="1"/>
  <c r="AK24" i="8" s="1"/>
  <c r="AK25" i="8" s="1"/>
  <c r="AK26" i="8" s="1"/>
  <c r="AK27" i="8" s="1"/>
  <c r="AK28" i="8" s="1"/>
  <c r="AK29" i="8" s="1"/>
  <c r="AK30" i="8" s="1"/>
  <c r="AK31" i="8" s="1"/>
  <c r="AK32" i="8" s="1"/>
  <c r="AK33" i="8" s="1"/>
  <c r="AK34" i="8" s="1"/>
  <c r="AK35" i="8" s="1"/>
  <c r="AK36" i="8" s="1"/>
  <c r="AK37" i="8" s="1"/>
  <c r="AK38" i="8" s="1"/>
  <c r="AK39" i="8" s="1"/>
  <c r="AK40" i="8" s="1"/>
  <c r="AK41" i="8" s="1"/>
  <c r="AK42" i="8" s="1"/>
  <c r="AK43" i="8" s="1"/>
  <c r="AK44" i="8" s="1"/>
  <c r="AK45" i="8" s="1"/>
  <c r="AK46" i="8" s="1"/>
  <c r="AK47" i="8" s="1"/>
  <c r="AK48" i="8" s="1"/>
  <c r="AK49" i="8" s="1"/>
  <c r="AK50" i="8" s="1"/>
  <c r="AK51" i="8" s="1"/>
  <c r="AK52" i="8" s="1"/>
  <c r="AK53" i="8" s="1"/>
  <c r="AK54" i="8" s="1"/>
  <c r="AK55" i="8" s="1"/>
  <c r="AK56" i="8" s="1"/>
  <c r="AK57" i="8" s="1"/>
  <c r="AK58" i="8" s="1"/>
  <c r="AK59" i="8" s="1"/>
  <c r="AK60" i="8" s="1"/>
  <c r="AK61" i="8" s="1"/>
  <c r="AK62" i="8" s="1"/>
  <c r="AK63" i="8" s="1"/>
  <c r="AK64" i="8" s="1"/>
  <c r="AK65" i="8" s="1"/>
  <c r="AK66" i="8" s="1"/>
  <c r="AK67" i="8" s="1"/>
  <c r="AK68" i="8" s="1"/>
  <c r="AK69" i="8" s="1"/>
  <c r="AK70" i="8" s="1"/>
  <c r="AK71" i="8" s="1"/>
  <c r="AK72" i="8" s="1"/>
  <c r="AK73" i="8" s="1"/>
  <c r="AK74" i="8" s="1"/>
  <c r="AK75" i="8" s="1"/>
  <c r="AK76" i="8" s="1"/>
  <c r="AK77" i="8" s="1"/>
  <c r="AK78" i="8" s="1"/>
  <c r="AK79" i="8" s="1"/>
  <c r="AK80" i="8" s="1"/>
  <c r="AK81" i="8" s="1"/>
  <c r="AK82" i="8" s="1"/>
  <c r="AK83" i="8" s="1"/>
  <c r="AK84" i="8" s="1"/>
  <c r="AK85" i="8" s="1"/>
  <c r="AK86" i="8" s="1"/>
  <c r="AK87" i="8" s="1"/>
  <c r="AK88" i="8" s="1"/>
  <c r="AK89" i="8" s="1"/>
  <c r="AK90" i="8" s="1"/>
  <c r="AK91" i="8" s="1"/>
  <c r="AK92" i="8" s="1"/>
  <c r="AK93" i="8" s="1"/>
  <c r="AK94" i="8" s="1"/>
  <c r="AK95" i="8" s="1"/>
  <c r="AK96" i="8" s="1"/>
  <c r="AK97" i="8" s="1"/>
  <c r="AK98" i="8" s="1"/>
  <c r="AK99" i="8" s="1"/>
  <c r="AK100" i="8" s="1"/>
  <c r="AK101" i="8" s="1"/>
  <c r="AK102" i="8" s="1"/>
  <c r="AK103" i="8" s="1"/>
  <c r="AK104" i="8" s="1"/>
  <c r="AK105" i="8" s="1"/>
  <c r="AK106" i="8" s="1"/>
  <c r="AK107" i="8" s="1"/>
  <c r="AK108" i="8" s="1"/>
  <c r="AK109" i="8" s="1"/>
  <c r="AK110" i="8" s="1"/>
  <c r="AK111" i="8" s="1"/>
  <c r="AK112" i="8" s="1"/>
  <c r="AK113" i="8" s="1"/>
  <c r="AK114" i="8" s="1"/>
  <c r="AK115" i="8" s="1"/>
  <c r="AK116" i="8" s="1"/>
  <c r="AK117" i="8" s="1"/>
  <c r="AK118" i="8" s="1"/>
  <c r="AK119" i="8" s="1"/>
  <c r="AK120" i="8" s="1"/>
  <c r="AK121" i="8" s="1"/>
  <c r="AK122" i="8" s="1"/>
  <c r="AK123" i="8" s="1"/>
  <c r="AK124" i="8" s="1"/>
  <c r="AK125" i="8" s="1"/>
  <c r="AK126" i="8" s="1"/>
  <c r="AK127" i="8" s="1"/>
  <c r="AK128" i="8" s="1"/>
  <c r="AK129" i="8" s="1"/>
  <c r="AK130" i="8" s="1"/>
  <c r="AK131" i="8" s="1"/>
  <c r="AK132" i="8" s="1"/>
  <c r="AK133" i="8" s="1"/>
  <c r="AK134" i="8" s="1"/>
  <c r="AK135" i="8" s="1"/>
  <c r="AK136" i="8" s="1"/>
  <c r="AK137" i="8" s="1"/>
  <c r="AK138" i="8" s="1"/>
  <c r="AK139" i="8" s="1"/>
  <c r="AK140" i="8" s="1"/>
  <c r="AK141" i="8" s="1"/>
  <c r="AK142" i="8" s="1"/>
  <c r="AK143" i="8" s="1"/>
  <c r="AK144" i="8" s="1"/>
  <c r="AK145" i="8" s="1"/>
  <c r="AK146" i="8" s="1"/>
  <c r="AK147" i="8" s="1"/>
  <c r="AK148" i="8" s="1"/>
  <c r="AK149" i="8" s="1"/>
  <c r="AK150" i="8" s="1"/>
  <c r="AK151" i="8" s="1"/>
  <c r="AK152" i="8" s="1"/>
  <c r="AK153" i="8" s="1"/>
  <c r="AK154" i="8" s="1"/>
  <c r="AK155" i="8" s="1"/>
  <c r="AK156" i="8" s="1"/>
  <c r="AK157" i="8" s="1"/>
  <c r="AK158" i="8" s="1"/>
  <c r="AK159" i="8" s="1"/>
  <c r="AK160" i="8" s="1"/>
  <c r="AK161" i="8" s="1"/>
  <c r="AK162" i="8" s="1"/>
  <c r="AK163" i="8" s="1"/>
  <c r="AK164" i="8" s="1"/>
  <c r="AK165" i="8" s="1"/>
  <c r="AK166" i="8" s="1"/>
  <c r="AK167" i="8" s="1"/>
  <c r="AK168" i="8" s="1"/>
  <c r="AK169" i="8" s="1"/>
  <c r="AK170" i="8" s="1"/>
  <c r="AK171" i="8" s="1"/>
  <c r="AK172" i="8" s="1"/>
  <c r="AK173" i="8" s="1"/>
  <c r="AK174" i="8" s="1"/>
  <c r="AK175" i="8" s="1"/>
  <c r="AK176" i="8" s="1"/>
  <c r="AK177" i="8" s="1"/>
  <c r="AK178" i="8" s="1"/>
  <c r="AB72" i="8"/>
  <c r="AB73" i="8" s="1"/>
  <c r="AB74" i="8" s="1"/>
  <c r="AL83" i="8"/>
  <c r="AL42" i="8"/>
  <c r="AL165" i="8"/>
  <c r="BM195" i="8"/>
  <c r="AH108" i="8"/>
  <c r="BA80" i="8"/>
  <c r="AM80" i="8" s="1"/>
  <c r="P11" i="12"/>
  <c r="AE159" i="8"/>
  <c r="BD177" i="8"/>
  <c r="S10" i="8"/>
  <c r="S11" i="8" s="1"/>
  <c r="S12" i="8" s="1"/>
  <c r="S13" i="8" s="1"/>
  <c r="S14" i="8" s="1"/>
  <c r="S15" i="8" s="1"/>
  <c r="S16" i="8" s="1"/>
  <c r="BS187" i="8"/>
  <c r="S57" i="8"/>
  <c r="BV98" i="8"/>
  <c r="AT98" i="8" s="1"/>
  <c r="V150" i="8"/>
  <c r="P120" i="8"/>
  <c r="P121" i="8" s="1"/>
  <c r="P122" i="8" s="1"/>
  <c r="P123" i="8" s="1"/>
  <c r="P124" i="8" s="1"/>
  <c r="P125" i="8" s="1"/>
  <c r="AL67" i="8"/>
  <c r="M168" i="8"/>
  <c r="M169" i="8" s="1"/>
  <c r="M170" i="8" s="1"/>
  <c r="BA149" i="8"/>
  <c r="AM149" i="8" s="1"/>
  <c r="AL195" i="8"/>
  <c r="M54" i="8"/>
  <c r="U12" i="12"/>
  <c r="AK204" i="8"/>
  <c r="AK205" i="8" s="1"/>
  <c r="BG101" i="8"/>
  <c r="BG102" i="8" s="1"/>
  <c r="BG103" i="8" s="1"/>
  <c r="BM190" i="8"/>
  <c r="BM191" i="8" s="1"/>
  <c r="BM192" i="8" s="1"/>
  <c r="BG125" i="8"/>
  <c r="BA157" i="8"/>
  <c r="AM157" i="8" s="1"/>
  <c r="AL144" i="8"/>
  <c r="AX144" i="8"/>
  <c r="AL167" i="8"/>
  <c r="BM153" i="8"/>
  <c r="BM154" i="8" s="1"/>
  <c r="AK181" i="8"/>
  <c r="BA122" i="8"/>
  <c r="AM122" i="8" s="1"/>
  <c r="BA55" i="8"/>
  <c r="AM55" i="8" s="1"/>
  <c r="BA113" i="8"/>
  <c r="AM113" i="8" s="1"/>
  <c r="BP136" i="8"/>
  <c r="BP137" i="8" s="1"/>
  <c r="BP138" i="8" s="1"/>
  <c r="BP139" i="8" s="1"/>
  <c r="BP140" i="8" s="1"/>
  <c r="BP141" i="8" s="1"/>
  <c r="BP142" i="8" s="1"/>
  <c r="BP143" i="8" s="1"/>
  <c r="BP144" i="8" s="1"/>
  <c r="BP145" i="8" s="1"/>
  <c r="BP146" i="8" s="1"/>
  <c r="BP147" i="8" s="1"/>
  <c r="BP148" i="8" s="1"/>
  <c r="BP149" i="8" s="1"/>
  <c r="I41" i="6"/>
  <c r="I50" i="6"/>
  <c r="I54" i="6"/>
  <c r="I34" i="6"/>
  <c r="M55" i="6"/>
  <c r="AB187" i="8"/>
  <c r="AB86" i="8"/>
  <c r="AB87" i="8" s="1"/>
  <c r="BA45" i="8"/>
  <c r="BA46" i="8" s="1"/>
  <c r="R11" i="12"/>
  <c r="AB98" i="8"/>
  <c r="AB99" i="8" s="1"/>
  <c r="AB100" i="8" s="1"/>
  <c r="AB101" i="8" s="1"/>
  <c r="AB102" i="8" s="1"/>
  <c r="AB103" i="8" s="1"/>
  <c r="AB104" i="8" s="1"/>
  <c r="BA60" i="8"/>
  <c r="AM60" i="8" s="1"/>
  <c r="BM136" i="8"/>
  <c r="P133" i="8"/>
  <c r="V133" i="8"/>
  <c r="BV63" i="8"/>
  <c r="AT63" i="8" s="1"/>
  <c r="AK195" i="8"/>
  <c r="AK196" i="8" s="1"/>
  <c r="P201" i="8"/>
  <c r="S58" i="8"/>
  <c r="Y130" i="8"/>
  <c r="AL117" i="8"/>
  <c r="AX117" i="8"/>
  <c r="BD155" i="8"/>
  <c r="AL33" i="8"/>
  <c r="BV158" i="8"/>
  <c r="AT158" i="8" s="1"/>
  <c r="BA126" i="8"/>
  <c r="BV152" i="8"/>
  <c r="AT152" i="8" s="1"/>
  <c r="AE126" i="8"/>
  <c r="AE127" i="8" s="1"/>
  <c r="AE128" i="8" s="1"/>
  <c r="AE129" i="8" s="1"/>
  <c r="AQ13" i="3"/>
  <c r="AD15" i="3"/>
  <c r="AX153" i="8"/>
  <c r="AX154" i="8" s="1"/>
  <c r="AX155" i="8" s="1"/>
  <c r="AX156" i="8" s="1"/>
  <c r="AX157" i="8" s="1"/>
  <c r="AX158" i="8" s="1"/>
  <c r="AX159" i="8" s="1"/>
  <c r="AX160" i="8" s="1"/>
  <c r="AX161" i="8" s="1"/>
  <c r="AX162" i="8" s="1"/>
  <c r="AX163" i="8" s="1"/>
  <c r="AX164" i="8" s="1"/>
  <c r="AX165" i="8" s="1"/>
  <c r="AX166" i="8" s="1"/>
  <c r="AX167" i="8" s="1"/>
  <c r="AX168" i="8" s="1"/>
  <c r="AX169" i="8" s="1"/>
  <c r="AX170" i="8" s="1"/>
  <c r="AX171" i="8" s="1"/>
  <c r="AX172" i="8" s="1"/>
  <c r="AX173" i="8" s="1"/>
  <c r="AL153" i="8"/>
  <c r="Y21" i="8"/>
  <c r="Y22" i="8" s="1"/>
  <c r="Y23" i="8" s="1"/>
  <c r="Y24" i="8" s="1"/>
  <c r="V61" i="8"/>
  <c r="V62" i="8" s="1"/>
  <c r="V63" i="8" s="1"/>
  <c r="BM196" i="8"/>
  <c r="BV161" i="8"/>
  <c r="AT161" i="8" s="1"/>
  <c r="BV118" i="8"/>
  <c r="AT118" i="8" s="1"/>
  <c r="Y40" i="8"/>
  <c r="Y41" i="8" s="1"/>
  <c r="Y42" i="8" s="1"/>
  <c r="Y43" i="8" s="1"/>
  <c r="Y44" i="8" s="1"/>
  <c r="Y45" i="8" s="1"/>
  <c r="AH162" i="8"/>
  <c r="BA152" i="8"/>
  <c r="AM152" i="8" s="1"/>
  <c r="Y183" i="8"/>
  <c r="Y184" i="8" s="1"/>
  <c r="Y185" i="8" s="1"/>
  <c r="Y186" i="8" s="1"/>
  <c r="Y187" i="8" s="1"/>
  <c r="Y188" i="8" s="1"/>
  <c r="M122" i="8"/>
  <c r="M123" i="8" s="1"/>
  <c r="M124" i="8" s="1"/>
  <c r="M125" i="8" s="1"/>
  <c r="M126" i="8" s="1"/>
  <c r="M127" i="8" s="1"/>
  <c r="M128" i="8" s="1"/>
  <c r="M129" i="8" s="1"/>
  <c r="M130" i="8" s="1"/>
  <c r="M131" i="8" s="1"/>
  <c r="M132" i="8" s="1"/>
  <c r="M133" i="8" s="1"/>
  <c r="M134" i="8" s="1"/>
  <c r="M135" i="8" s="1"/>
  <c r="M136" i="8" s="1"/>
  <c r="M137" i="8" s="1"/>
  <c r="M138" i="8" s="1"/>
  <c r="M139" i="8" s="1"/>
  <c r="BJ198" i="8"/>
  <c r="BA102" i="8"/>
  <c r="AM102" i="8" s="1"/>
  <c r="Y98" i="8"/>
  <c r="S95" i="8"/>
  <c r="S96" i="8" s="1"/>
  <c r="S97" i="8" s="1"/>
  <c r="S98" i="8" s="1"/>
  <c r="M40" i="6"/>
  <c r="O40" i="6" s="1"/>
  <c r="S111" i="8"/>
  <c r="AL17" i="8"/>
  <c r="BV69" i="8"/>
  <c r="AT69" i="8" s="1"/>
  <c r="AL90" i="8"/>
  <c r="V34" i="8"/>
  <c r="V35" i="8" s="1"/>
  <c r="BV175" i="8"/>
  <c r="BV119" i="8"/>
  <c r="AT119" i="8" s="1"/>
  <c r="M144" i="8"/>
  <c r="BA99" i="8"/>
  <c r="AM99" i="8" s="1"/>
  <c r="AL101" i="8"/>
  <c r="BJ35" i="8"/>
  <c r="BV81" i="8"/>
  <c r="AT81" i="8" s="1"/>
  <c r="BA76" i="8"/>
  <c r="AM76" i="8" s="1"/>
  <c r="BD60" i="8"/>
  <c r="AB64" i="8"/>
  <c r="V14" i="8"/>
  <c r="V15" i="8" s="1"/>
  <c r="AQ41" i="3"/>
  <c r="AD47" i="3"/>
  <c r="BS115" i="8"/>
  <c r="BS116" i="8" s="1"/>
  <c r="AS115" i="8" s="1"/>
  <c r="AH101" i="8"/>
  <c r="AH102" i="8" s="1"/>
  <c r="AH103" i="8" s="1"/>
  <c r="BP95" i="8"/>
  <c r="BP96" i="8" s="1"/>
  <c r="BP97" i="8" s="1"/>
  <c r="BP98" i="8" s="1"/>
  <c r="BP99" i="8" s="1"/>
  <c r="AR98" i="8" s="1"/>
  <c r="AH195" i="8"/>
  <c r="AB122" i="8"/>
  <c r="AO114" i="8"/>
  <c r="AO194" i="8"/>
  <c r="AO18" i="8"/>
  <c r="AO112" i="8"/>
  <c r="AO78" i="8"/>
  <c r="AO13" i="8"/>
  <c r="AO132" i="8"/>
  <c r="AO113" i="8"/>
  <c r="AO123" i="8"/>
  <c r="AO164" i="8"/>
  <c r="AO98" i="8"/>
  <c r="AO29" i="8"/>
  <c r="AO103" i="8"/>
  <c r="AO55" i="8"/>
  <c r="AO160" i="8"/>
  <c r="AO57" i="8"/>
  <c r="AO96" i="8"/>
  <c r="AO201" i="8"/>
  <c r="AO198" i="8"/>
  <c r="AO179" i="8"/>
  <c r="AO60" i="8"/>
  <c r="AO192" i="8"/>
  <c r="AO170" i="8"/>
  <c r="AO144" i="8"/>
  <c r="AO136" i="8"/>
  <c r="AO168" i="8"/>
  <c r="AO59" i="8"/>
  <c r="AO128" i="8"/>
  <c r="AO40" i="8"/>
  <c r="AO9" i="8"/>
  <c r="AO195" i="8"/>
  <c r="AO167" i="8"/>
  <c r="AO143" i="8"/>
  <c r="AO50" i="8"/>
  <c r="AO15" i="8"/>
  <c r="AO163" i="8"/>
  <c r="AO32" i="8"/>
  <c r="AO38" i="8"/>
  <c r="AO34" i="8"/>
  <c r="AO197" i="8"/>
  <c r="AO196" i="8"/>
  <c r="AO106" i="8"/>
  <c r="AO125" i="8"/>
  <c r="AO82" i="8"/>
  <c r="AO75" i="8"/>
  <c r="AO117" i="8"/>
  <c r="AO51" i="8"/>
  <c r="AO137" i="8"/>
  <c r="AO173" i="8"/>
  <c r="AO129" i="8"/>
  <c r="AO52" i="8"/>
  <c r="AO53" i="8"/>
  <c r="AO77" i="8"/>
  <c r="AO19" i="8"/>
  <c r="AO90" i="8"/>
  <c r="AO54" i="8"/>
  <c r="AO187" i="8"/>
  <c r="AO148" i="8"/>
  <c r="AO79" i="8"/>
  <c r="AO162" i="8"/>
  <c r="AO81" i="8"/>
  <c r="AO69" i="8"/>
  <c r="AO107" i="8"/>
  <c r="AO175" i="8"/>
  <c r="AO17" i="8"/>
  <c r="AO120" i="8"/>
  <c r="AO101" i="8"/>
  <c r="AO73" i="8"/>
  <c r="AO134" i="8"/>
  <c r="AO140" i="8"/>
  <c r="AO141" i="8"/>
  <c r="AO56" i="8"/>
  <c r="AO111" i="8"/>
  <c r="AO142" i="8"/>
  <c r="AO66" i="8"/>
  <c r="AO116" i="8"/>
  <c r="AO121" i="8"/>
  <c r="AO88" i="8"/>
  <c r="AO157" i="8"/>
  <c r="AO72" i="8"/>
  <c r="AO26" i="8"/>
  <c r="AO61" i="8"/>
  <c r="AO153" i="8"/>
  <c r="AO126" i="8"/>
  <c r="AO67" i="8"/>
  <c r="AO37" i="8"/>
  <c r="AO58" i="8"/>
  <c r="AO35" i="8"/>
  <c r="AO184" i="8"/>
  <c r="AO47" i="8"/>
  <c r="AO139" i="8"/>
  <c r="AO124" i="8"/>
  <c r="AO155" i="8"/>
  <c r="AO171" i="8"/>
  <c r="AO20" i="8"/>
  <c r="D25" i="8"/>
  <c r="AO16" i="8"/>
  <c r="AO71" i="8"/>
  <c r="AO149" i="8"/>
  <c r="AO42" i="8"/>
  <c r="AO146" i="8"/>
  <c r="AO183" i="8"/>
  <c r="AO64" i="8"/>
  <c r="AO83" i="8"/>
  <c r="AO158" i="8"/>
  <c r="AO102" i="8"/>
  <c r="AO108" i="8"/>
  <c r="AO84" i="8"/>
  <c r="AO89" i="8"/>
  <c r="AO28" i="8"/>
  <c r="AO193" i="8"/>
  <c r="AO31" i="8"/>
  <c r="AO100" i="8"/>
  <c r="AO159" i="8"/>
  <c r="AO169" i="8"/>
  <c r="AO63" i="8"/>
  <c r="AO172" i="8"/>
  <c r="AO27" i="8"/>
  <c r="AO191" i="8"/>
  <c r="AO161" i="8"/>
  <c r="AO41" i="8"/>
  <c r="AO205" i="8"/>
  <c r="AO93" i="8"/>
  <c r="AO62" i="8"/>
  <c r="AO115" i="8"/>
  <c r="AO165" i="8"/>
  <c r="AO185" i="8"/>
  <c r="AO87" i="8"/>
  <c r="AO11" i="8"/>
  <c r="AO181" i="8"/>
  <c r="AO92" i="8"/>
  <c r="AO204" i="8"/>
  <c r="AO180" i="8"/>
  <c r="AO24" i="8"/>
  <c r="AO44" i="8"/>
  <c r="AO33" i="8"/>
  <c r="AO95" i="8"/>
  <c r="AO189" i="8"/>
  <c r="AO151" i="8"/>
  <c r="AO200" i="8"/>
  <c r="AO43" i="8"/>
  <c r="AO76" i="8"/>
  <c r="AO122" i="8"/>
  <c r="AO177" i="8"/>
  <c r="AO147" i="8"/>
  <c r="AO86" i="8"/>
  <c r="AO104" i="8"/>
  <c r="AO118" i="8"/>
  <c r="AO49" i="8"/>
  <c r="AO199" i="8"/>
  <c r="AO109" i="8"/>
  <c r="AO190" i="8"/>
  <c r="AO70" i="8"/>
  <c r="AO68" i="8"/>
  <c r="AO135" i="8"/>
  <c r="AO174" i="8"/>
  <c r="AO131" i="8"/>
  <c r="AO14" i="8"/>
  <c r="AO178" i="8"/>
  <c r="AO22" i="8"/>
  <c r="AO45" i="8"/>
  <c r="AO39" i="8"/>
  <c r="AO119" i="8"/>
  <c r="AO94" i="8"/>
  <c r="AO85" i="8"/>
  <c r="AO188" i="8"/>
  <c r="AO176" i="8"/>
  <c r="AO91" i="8"/>
  <c r="AO30" i="8"/>
  <c r="AO154" i="8"/>
  <c r="AO202" i="8"/>
  <c r="AO25" i="8"/>
  <c r="AO145" i="8"/>
  <c r="AO48" i="8"/>
  <c r="AO105" i="8"/>
  <c r="AO21" i="8"/>
  <c r="AO186" i="8"/>
  <c r="AO110" i="8"/>
  <c r="AO203" i="8"/>
  <c r="AO150" i="8"/>
  <c r="AO65" i="8"/>
  <c r="AO182" i="8"/>
  <c r="AO80" i="8"/>
  <c r="AO36" i="8"/>
  <c r="AO46" i="8"/>
  <c r="AO127" i="8"/>
  <c r="AO133" i="8"/>
  <c r="AO130" i="8"/>
  <c r="AO99" i="8"/>
  <c r="AO156" i="8"/>
  <c r="AO152" i="8"/>
  <c r="AO12" i="8"/>
  <c r="E5" i="8" s="1"/>
  <c r="E6" i="8" s="1"/>
  <c r="AO138" i="8"/>
  <c r="AO206" i="8"/>
  <c r="AO23" i="8"/>
  <c r="AO74" i="8"/>
  <c r="AO166" i="8"/>
  <c r="AO10" i="8"/>
  <c r="BS10" i="8"/>
  <c r="BS11" i="8" s="1"/>
  <c r="BS12" i="8" s="1"/>
  <c r="BS13" i="8" s="1"/>
  <c r="BS14" i="8" s="1"/>
  <c r="BS15" i="8" s="1"/>
  <c r="BS16" i="8" s="1"/>
  <c r="BS17" i="8" s="1"/>
  <c r="BS18" i="8" s="1"/>
  <c r="BS19" i="8" s="1"/>
  <c r="BS20" i="8" s="1"/>
  <c r="BS21" i="8" s="1"/>
  <c r="BS22" i="8" s="1"/>
  <c r="BS23" i="8" s="1"/>
  <c r="BS24" i="8" s="1"/>
  <c r="BS25" i="8" s="1"/>
  <c r="BS26" i="8" s="1"/>
  <c r="BS27" i="8" s="1"/>
  <c r="BS28" i="8" s="1"/>
  <c r="BS29" i="8" s="1"/>
  <c r="BS30" i="8" s="1"/>
  <c r="BS31" i="8" s="1"/>
  <c r="BS32" i="8" s="1"/>
  <c r="BS33" i="8" s="1"/>
  <c r="BS34" i="8" s="1"/>
  <c r="BS35" i="8" s="1"/>
  <c r="BS36" i="8" s="1"/>
  <c r="BS37" i="8" s="1"/>
  <c r="BA74" i="8"/>
  <c r="AM74" i="8" s="1"/>
  <c r="M100" i="8"/>
  <c r="AD18" i="3"/>
  <c r="AQ16" i="3"/>
  <c r="BP190" i="8"/>
  <c r="BP94" i="8"/>
  <c r="BD175" i="8"/>
  <c r="BJ10" i="8"/>
  <c r="BJ11" i="8" s="1"/>
  <c r="BJ12" i="8" s="1"/>
  <c r="BJ13" i="8" s="1"/>
  <c r="BJ14" i="8" s="1"/>
  <c r="BJ15" i="8" s="1"/>
  <c r="BJ16" i="8" s="1"/>
  <c r="BJ17" i="8" s="1"/>
  <c r="BJ18" i="8" s="1"/>
  <c r="BJ19" i="8" s="1"/>
  <c r="BJ20" i="8" s="1"/>
  <c r="BJ21" i="8" s="1"/>
  <c r="BJ22" i="8" s="1"/>
  <c r="BJ23" i="8" s="1"/>
  <c r="BJ24" i="8" s="1"/>
  <c r="BJ25" i="8" s="1"/>
  <c r="BJ26" i="8" s="1"/>
  <c r="BJ27" i="8" s="1"/>
  <c r="BJ28" i="8" s="1"/>
  <c r="BJ29" i="8" s="1"/>
  <c r="BJ30" i="8" s="1"/>
  <c r="BJ31" i="8" s="1"/>
  <c r="BJ32" i="8" s="1"/>
  <c r="BJ33" i="8" s="1"/>
  <c r="BG104" i="8"/>
  <c r="BG105" i="8" s="1"/>
  <c r="BG106" i="8" s="1"/>
  <c r="BG107" i="8" s="1"/>
  <c r="BG108" i="8" s="1"/>
  <c r="BG109" i="8" s="1"/>
  <c r="BG110" i="8" s="1"/>
  <c r="BG111" i="8" s="1"/>
  <c r="BG112" i="8" s="1"/>
  <c r="BG113" i="8" s="1"/>
  <c r="BG114" i="8" s="1"/>
  <c r="BG115" i="8" s="1"/>
  <c r="BG116" i="8" s="1"/>
  <c r="BG117" i="8" s="1"/>
  <c r="BG118" i="8" s="1"/>
  <c r="BG119" i="8" s="1"/>
  <c r="BG120" i="8" s="1"/>
  <c r="BG121" i="8" s="1"/>
  <c r="BG122" i="8" s="1"/>
  <c r="BG123" i="8" s="1"/>
  <c r="BG124" i="8" s="1"/>
  <c r="S165" i="8"/>
  <c r="S166" i="8" s="1"/>
  <c r="S167" i="8" s="1"/>
  <c r="AE101" i="8"/>
  <c r="AL166" i="8"/>
  <c r="Y189" i="8"/>
  <c r="S145" i="8"/>
  <c r="AL108" i="8"/>
  <c r="AL189" i="8"/>
  <c r="V92" i="8"/>
  <c r="V93" i="8" s="1"/>
  <c r="V94" i="8" s="1"/>
  <c r="V95" i="8" s="1"/>
  <c r="AH197" i="8"/>
  <c r="AH198" i="8" s="1"/>
  <c r="AH199" i="8" s="1"/>
  <c r="P169" i="8"/>
  <c r="BS180" i="8"/>
  <c r="BP200" i="8"/>
  <c r="BM55" i="8"/>
  <c r="AQ55" i="8" s="1"/>
  <c r="V171" i="8"/>
  <c r="V172" i="8" s="1"/>
  <c r="Y190" i="8"/>
  <c r="BA44" i="8"/>
  <c r="M118" i="8"/>
  <c r="M119" i="8" s="1"/>
  <c r="Y161" i="8"/>
  <c r="Y157" i="8"/>
  <c r="Y158" i="8" s="1"/>
  <c r="Y159" i="8" s="1"/>
  <c r="S199" i="8"/>
  <c r="S200" i="8" s="1"/>
  <c r="S201" i="8" s="1"/>
  <c r="S202" i="8" s="1"/>
  <c r="S203" i="8" s="1"/>
  <c r="S204" i="8" s="1"/>
  <c r="S205" i="8" s="1"/>
  <c r="S206" i="8" s="1"/>
  <c r="AN206" i="8" s="1"/>
  <c r="S46" i="8"/>
  <c r="J8" i="12"/>
  <c r="BV109" i="8"/>
  <c r="AT109" i="8" s="1"/>
  <c r="AL106" i="8"/>
  <c r="BV122" i="8"/>
  <c r="AT122" i="8" s="1"/>
  <c r="BV178" i="8"/>
  <c r="AT178" i="8" s="1"/>
  <c r="AB96" i="8"/>
  <c r="AB97" i="8" s="1"/>
  <c r="BM135" i="8"/>
  <c r="M204" i="8"/>
  <c r="AL25" i="8"/>
  <c r="BS121" i="8"/>
  <c r="BS122" i="8" s="1"/>
  <c r="BS123" i="8" s="1"/>
  <c r="BS124" i="8" s="1"/>
  <c r="BS125" i="8" s="1"/>
  <c r="BS126" i="8" s="1"/>
  <c r="BS127" i="8" s="1"/>
  <c r="BS128" i="8" s="1"/>
  <c r="BS129" i="8" s="1"/>
  <c r="BS130" i="8" s="1"/>
  <c r="BS131" i="8" s="1"/>
  <c r="BS132" i="8" s="1"/>
  <c r="BS133" i="8" s="1"/>
  <c r="BS134" i="8" s="1"/>
  <c r="BS135" i="8" s="1"/>
  <c r="BS136" i="8" s="1"/>
  <c r="BS137" i="8" s="1"/>
  <c r="BS138" i="8" s="1"/>
  <c r="BS139" i="8" s="1"/>
  <c r="BS140" i="8" s="1"/>
  <c r="BA107" i="8"/>
  <c r="AM107" i="8" s="1"/>
  <c r="BS66" i="8"/>
  <c r="BS67" i="8" s="1"/>
  <c r="BS68" i="8" s="1"/>
  <c r="AB117" i="8"/>
  <c r="BM137" i="8"/>
  <c r="AQ136" i="8" s="1"/>
  <c r="Y127" i="8"/>
  <c r="Y128" i="8" s="1"/>
  <c r="Y129" i="8" s="1"/>
  <c r="BA62" i="8"/>
  <c r="BV79" i="8"/>
  <c r="AT79" i="8" s="1"/>
  <c r="BG164" i="8"/>
  <c r="M83" i="8"/>
  <c r="M84" i="8" s="1"/>
  <c r="M85" i="8" s="1"/>
  <c r="M86" i="8" s="1"/>
  <c r="M87" i="8" s="1"/>
  <c r="M88" i="8" s="1"/>
  <c r="M89" i="8" s="1"/>
  <c r="M90" i="8" s="1"/>
  <c r="M91" i="8" s="1"/>
  <c r="M121" i="8"/>
  <c r="AL172" i="8"/>
  <c r="BV177" i="8"/>
  <c r="BS146" i="8"/>
  <c r="BS147" i="8" s="1"/>
  <c r="AK201" i="8"/>
  <c r="BA85" i="8"/>
  <c r="AM85" i="8" s="1"/>
  <c r="BD110" i="8"/>
  <c r="BD111" i="8" s="1"/>
  <c r="BD112" i="8" s="1"/>
  <c r="BD113" i="8" s="1"/>
  <c r="BD114" i="8" s="1"/>
  <c r="BD115" i="8" s="1"/>
  <c r="BD116" i="8" s="1"/>
  <c r="M53" i="6"/>
  <c r="O53" i="6" s="1"/>
  <c r="AE82" i="8"/>
  <c r="AL157" i="8"/>
  <c r="BS157" i="8"/>
  <c r="BA128" i="8"/>
  <c r="AM128" i="8" s="1"/>
  <c r="BV147" i="8"/>
  <c r="AT147" i="8" s="1"/>
  <c r="AH200" i="8"/>
  <c r="BP157" i="8"/>
  <c r="AQ35" i="3"/>
  <c r="AD41" i="3"/>
  <c r="AB163" i="8"/>
  <c r="BM96" i="8"/>
  <c r="BM97" i="8" s="1"/>
  <c r="BM138" i="8"/>
  <c r="BM139" i="8" s="1"/>
  <c r="AQ34" i="3"/>
  <c r="AD40" i="3"/>
  <c r="AB146" i="8"/>
  <c r="AB147" i="8" s="1"/>
  <c r="AB148" i="8" s="1"/>
  <c r="AB149" i="8" s="1"/>
  <c r="AB150" i="8" s="1"/>
  <c r="AB75" i="8"/>
  <c r="AL156" i="8"/>
  <c r="V11" i="12"/>
  <c r="AL114" i="8"/>
  <c r="BA82" i="8"/>
  <c r="AM82" i="8" s="1"/>
  <c r="Y16" i="8"/>
  <c r="Y63" i="8"/>
  <c r="Y64" i="8" s="1"/>
  <c r="AL94" i="8"/>
  <c r="BP150" i="8"/>
  <c r="AL136" i="8"/>
  <c r="BD117" i="8"/>
  <c r="BD178" i="8"/>
  <c r="AL182" i="8"/>
  <c r="AX118" i="8"/>
  <c r="AL118" i="8"/>
  <c r="BV179" i="8"/>
  <c r="BV180" i="8" s="1"/>
  <c r="BV181" i="8" s="1"/>
  <c r="BV182" i="8" s="1"/>
  <c r="BV183" i="8" s="1"/>
  <c r="BA116" i="8"/>
  <c r="AM116" i="8" s="1"/>
  <c r="BV83" i="8"/>
  <c r="AT83" i="8" s="1"/>
  <c r="AL53" i="8"/>
  <c r="AX53" i="8"/>
  <c r="AX54" i="8" s="1"/>
  <c r="AX55" i="8" s="1"/>
  <c r="AX56" i="8" s="1"/>
  <c r="AX57" i="8" s="1"/>
  <c r="AX58" i="8" s="1"/>
  <c r="AX59" i="8" s="1"/>
  <c r="AX60" i="8" s="1"/>
  <c r="BS145" i="8"/>
  <c r="V16" i="8"/>
  <c r="P81" i="8"/>
  <c r="P82" i="8" s="1"/>
  <c r="P83" i="8" s="1"/>
  <c r="AB175" i="8"/>
  <c r="AB176" i="8" s="1"/>
  <c r="AB177" i="8" s="1"/>
  <c r="Y168" i="8"/>
  <c r="AH192" i="8"/>
  <c r="AH193" i="8" s="1"/>
  <c r="AE168" i="8"/>
  <c r="AE169" i="8" s="1"/>
  <c r="AE170" i="8" s="1"/>
  <c r="AE171" i="8" s="1"/>
  <c r="AE172" i="8" s="1"/>
  <c r="AE173" i="8" s="1"/>
  <c r="BM52" i="8"/>
  <c r="AQ52" i="8" s="1"/>
  <c r="BD76" i="8"/>
  <c r="V178" i="8"/>
  <c r="BV100" i="8"/>
  <c r="AT100" i="8" s="1"/>
  <c r="P168" i="8"/>
  <c r="BA170" i="8"/>
  <c r="AM170" i="8" s="1"/>
  <c r="BV104" i="8"/>
  <c r="AT104" i="8" s="1"/>
  <c r="Y17" i="8"/>
  <c r="M191" i="8"/>
  <c r="M192" i="8" s="1"/>
  <c r="M193" i="8" s="1"/>
  <c r="BM159" i="8"/>
  <c r="V32" i="8"/>
  <c r="V33" i="8" s="1"/>
  <c r="BA98" i="8"/>
  <c r="AM98" i="8" s="1"/>
  <c r="BV200" i="8"/>
  <c r="BV201" i="8" s="1"/>
  <c r="AE178" i="8"/>
  <c r="AE179" i="8" s="1"/>
  <c r="AE180" i="8" s="1"/>
  <c r="AE181" i="8" s="1"/>
  <c r="AE182" i="8" s="1"/>
  <c r="BV153" i="8"/>
  <c r="AT153" i="8" s="1"/>
  <c r="AB206" i="8"/>
  <c r="AL145" i="8"/>
  <c r="AX145" i="8"/>
  <c r="AX146" i="8" s="1"/>
  <c r="AX147" i="8" s="1"/>
  <c r="BV167" i="8"/>
  <c r="AT167" i="8" s="1"/>
  <c r="AE75" i="8"/>
  <c r="AE76" i="8" s="1"/>
  <c r="M45" i="6"/>
  <c r="O45" i="6" s="1"/>
  <c r="BV85" i="8"/>
  <c r="AT85" i="8" s="1"/>
  <c r="BV141" i="8"/>
  <c r="AT141" i="8" s="1"/>
  <c r="AL162" i="8"/>
  <c r="BP201" i="8"/>
  <c r="AD9" i="3"/>
  <c r="AQ8" i="3"/>
  <c r="BJ129" i="8"/>
  <c r="BJ196" i="8"/>
  <c r="BJ197" i="8" s="1"/>
  <c r="V120" i="8"/>
  <c r="V121" i="8" s="1"/>
  <c r="V122" i="8" s="1"/>
  <c r="V123" i="8" s="1"/>
  <c r="V124" i="8" s="1"/>
  <c r="V125" i="8" s="1"/>
  <c r="V126" i="8" s="1"/>
  <c r="V127" i="8" s="1"/>
  <c r="V128" i="8" s="1"/>
  <c r="AE203" i="8"/>
  <c r="M152" i="8"/>
  <c r="M153" i="8" s="1"/>
  <c r="M154" i="8" s="1"/>
  <c r="M155" i="8" s="1"/>
  <c r="M156" i="8" s="1"/>
  <c r="M157" i="8" s="1"/>
  <c r="M158" i="8" s="1"/>
  <c r="M159" i="8" s="1"/>
  <c r="AE92" i="8"/>
  <c r="AQ173" i="8"/>
  <c r="AQ102" i="8"/>
  <c r="AQ145" i="8"/>
  <c r="AQ118" i="8"/>
  <c r="AQ10" i="8"/>
  <c r="AQ37" i="8"/>
  <c r="AQ86" i="8"/>
  <c r="AQ35" i="8"/>
  <c r="AQ31" i="8"/>
  <c r="AQ108" i="8"/>
  <c r="AQ68" i="8"/>
  <c r="AQ127" i="8"/>
  <c r="AQ125" i="8"/>
  <c r="AQ106" i="8"/>
  <c r="AQ78" i="8"/>
  <c r="AQ148" i="8"/>
  <c r="AQ134" i="8"/>
  <c r="AQ182" i="8"/>
  <c r="AQ160" i="8"/>
  <c r="AQ174" i="8"/>
  <c r="AQ121" i="8"/>
  <c r="AQ187" i="8"/>
  <c r="AQ67" i="8"/>
  <c r="AQ75" i="8"/>
  <c r="AQ194" i="8"/>
  <c r="AQ90" i="8"/>
  <c r="AQ151" i="8"/>
  <c r="AQ80" i="8"/>
  <c r="AQ181" i="8"/>
  <c r="AQ120" i="8"/>
  <c r="AQ161" i="8"/>
  <c r="AQ62" i="8"/>
  <c r="AQ32" i="8"/>
  <c r="AQ81" i="8"/>
  <c r="AQ14" i="8"/>
  <c r="AQ72" i="8"/>
  <c r="AQ29" i="8"/>
  <c r="AQ9" i="8"/>
  <c r="AQ178" i="8"/>
  <c r="AQ141" i="8"/>
  <c r="AQ40" i="8"/>
  <c r="AQ64" i="8"/>
  <c r="AQ65" i="8"/>
  <c r="AQ183" i="8"/>
  <c r="AQ153" i="8"/>
  <c r="AQ192" i="8"/>
  <c r="AQ144" i="8"/>
  <c r="AQ201" i="8"/>
  <c r="AQ156" i="8"/>
  <c r="AQ171" i="8"/>
  <c r="AQ119" i="8"/>
  <c r="AQ27" i="8"/>
  <c r="AQ202" i="8"/>
  <c r="AQ74" i="8"/>
  <c r="AQ152" i="8"/>
  <c r="AQ123" i="8"/>
  <c r="AQ198" i="8"/>
  <c r="AQ73" i="8"/>
  <c r="AQ104" i="8"/>
  <c r="AQ85" i="8"/>
  <c r="AQ38" i="8"/>
  <c r="AQ99" i="8"/>
  <c r="AQ113" i="8"/>
  <c r="AQ71" i="8"/>
  <c r="AQ18" i="8"/>
  <c r="AQ167" i="8"/>
  <c r="AQ186" i="8"/>
  <c r="AQ25" i="8"/>
  <c r="AQ22" i="8"/>
  <c r="AQ41" i="8"/>
  <c r="AQ159" i="8"/>
  <c r="AQ110" i="8"/>
  <c r="AQ180" i="8"/>
  <c r="AQ172" i="8"/>
  <c r="AQ137" i="8"/>
  <c r="AQ130" i="8"/>
  <c r="AQ105" i="8"/>
  <c r="AQ163" i="8"/>
  <c r="AQ122" i="8"/>
  <c r="AQ43" i="8"/>
  <c r="AQ185" i="8"/>
  <c r="AQ36" i="8"/>
  <c r="AQ140" i="8"/>
  <c r="AQ206" i="8"/>
  <c r="AQ63" i="8"/>
  <c r="AQ88" i="8"/>
  <c r="AQ115" i="8"/>
  <c r="AQ45" i="8"/>
  <c r="AQ135" i="8"/>
  <c r="AQ157" i="8"/>
  <c r="AQ203" i="8"/>
  <c r="AQ191" i="8"/>
  <c r="AQ44" i="8"/>
  <c r="F25" i="8"/>
  <c r="AQ56" i="8"/>
  <c r="AQ188" i="8"/>
  <c r="AQ116" i="8"/>
  <c r="AQ20" i="8"/>
  <c r="AQ11" i="8"/>
  <c r="AQ70" i="8"/>
  <c r="AQ97" i="8"/>
  <c r="AQ138" i="8"/>
  <c r="AQ17" i="8"/>
  <c r="AQ143" i="8"/>
  <c r="AQ199" i="8"/>
  <c r="AQ95" i="8"/>
  <c r="AQ114" i="8"/>
  <c r="AQ190" i="8"/>
  <c r="AQ131" i="8"/>
  <c r="AQ101" i="8"/>
  <c r="AQ200" i="8"/>
  <c r="AQ94" i="8"/>
  <c r="AQ149" i="8"/>
  <c r="AQ98" i="8"/>
  <c r="AQ168" i="8"/>
  <c r="AQ147" i="8"/>
  <c r="AQ204" i="8"/>
  <c r="AQ196" i="8"/>
  <c r="AQ133" i="8"/>
  <c r="AQ79" i="8"/>
  <c r="AQ170" i="8"/>
  <c r="AQ179" i="8"/>
  <c r="AQ107" i="8"/>
  <c r="AQ15" i="8"/>
  <c r="AQ154" i="8"/>
  <c r="AQ162" i="8"/>
  <c r="AQ30" i="8"/>
  <c r="AQ103" i="8"/>
  <c r="AQ66" i="8"/>
  <c r="AQ87" i="8"/>
  <c r="AQ89" i="8"/>
  <c r="AQ34" i="8"/>
  <c r="AQ13" i="8"/>
  <c r="AQ12" i="8"/>
  <c r="AQ177" i="8"/>
  <c r="AQ193" i="8"/>
  <c r="AQ112" i="8"/>
  <c r="AQ93" i="8"/>
  <c r="AQ109" i="8"/>
  <c r="AQ26" i="8"/>
  <c r="AQ57" i="8"/>
  <c r="AQ96" i="8"/>
  <c r="AQ175" i="8"/>
  <c r="AQ195" i="8"/>
  <c r="AQ169" i="8"/>
  <c r="AQ58" i="8"/>
  <c r="AQ60" i="8"/>
  <c r="AQ19" i="8"/>
  <c r="AQ92" i="8"/>
  <c r="AQ77" i="8"/>
  <c r="AQ24" i="8"/>
  <c r="AQ126" i="8"/>
  <c r="AQ21" i="8"/>
  <c r="AQ158" i="8"/>
  <c r="AQ142" i="8"/>
  <c r="AQ33" i="8"/>
  <c r="AQ129" i="8"/>
  <c r="AQ165" i="8"/>
  <c r="AQ124" i="8"/>
  <c r="AQ76" i="8"/>
  <c r="AQ189" i="8"/>
  <c r="AQ150" i="8"/>
  <c r="AQ61" i="8"/>
  <c r="AQ42" i="8"/>
  <c r="AQ84" i="8"/>
  <c r="AQ100" i="8"/>
  <c r="AQ83" i="8"/>
  <c r="AQ39" i="8"/>
  <c r="AQ128" i="8"/>
  <c r="AQ155" i="8"/>
  <c r="AQ23" i="8"/>
  <c r="AQ91" i="8"/>
  <c r="AQ69" i="8"/>
  <c r="AQ82" i="8"/>
  <c r="AQ146" i="8"/>
  <c r="AQ139" i="8"/>
  <c r="AQ16" i="8"/>
  <c r="AQ46" i="8"/>
  <c r="AQ197" i="8"/>
  <c r="AQ176" i="8"/>
  <c r="AQ184" i="8"/>
  <c r="AQ111" i="8"/>
  <c r="AQ166" i="8"/>
  <c r="AQ132" i="8"/>
  <c r="AQ28" i="8"/>
  <c r="AQ205" i="8"/>
  <c r="M101" i="8"/>
  <c r="M102" i="8" s="1"/>
  <c r="M103" i="8" s="1"/>
  <c r="M104" i="8" s="1"/>
  <c r="M105" i="8" s="1"/>
  <c r="M106" i="8" s="1"/>
  <c r="M107" i="8" s="1"/>
  <c r="M108" i="8" s="1"/>
  <c r="M109" i="8" s="1"/>
  <c r="AB178" i="8"/>
  <c r="BJ110" i="8"/>
  <c r="BG71" i="8"/>
  <c r="AL93" i="8"/>
  <c r="AL50" i="8"/>
  <c r="AX50" i="8"/>
  <c r="AX51" i="8" s="1"/>
  <c r="AL52" i="8"/>
  <c r="AX52" i="8"/>
  <c r="BA168" i="8"/>
  <c r="AL60" i="8"/>
  <c r="BJ57" i="8"/>
  <c r="BJ58" i="8" s="1"/>
  <c r="AH62" i="8"/>
  <c r="BG39" i="8"/>
  <c r="BA197" i="8"/>
  <c r="BP167" i="8"/>
  <c r="BV137" i="8"/>
  <c r="AT137" i="8" s="1"/>
  <c r="BD93" i="8"/>
  <c r="AK200" i="8"/>
  <c r="Y93" i="8"/>
  <c r="Y94" i="8" s="1"/>
  <c r="Y95" i="8" s="1"/>
  <c r="Y96" i="8" s="1"/>
  <c r="Y97" i="8" s="1"/>
  <c r="AK197" i="8"/>
  <c r="AK203" i="8"/>
  <c r="BV77" i="8"/>
  <c r="AT77" i="8" s="1"/>
  <c r="AL102" i="8"/>
  <c r="BP130" i="8"/>
  <c r="BP131" i="8" s="1"/>
  <c r="BP132" i="8" s="1"/>
  <c r="BP133" i="8" s="1"/>
  <c r="V177" i="8"/>
  <c r="BG89" i="8"/>
  <c r="BG90" i="8" s="1"/>
  <c r="Y173" i="8"/>
  <c r="Y174" i="8" s="1"/>
  <c r="AE145" i="8"/>
  <c r="AL155" i="8"/>
  <c r="AC53" i="3"/>
  <c r="AD53" i="3" s="1"/>
  <c r="AF53" i="3" s="1"/>
  <c r="AH10" i="3"/>
  <c r="AH9" i="3" s="1"/>
  <c r="AX185" i="8"/>
  <c r="AL185" i="8"/>
  <c r="BV198" i="8"/>
  <c r="BV199" i="8" s="1"/>
  <c r="AL80" i="8"/>
  <c r="AB179" i="8"/>
  <c r="Y58" i="8"/>
  <c r="Y59" i="8" s="1"/>
  <c r="AL13" i="8"/>
  <c r="AB164" i="8"/>
  <c r="AE183" i="8"/>
  <c r="S60" i="8"/>
  <c r="BG170" i="8"/>
  <c r="BM50" i="8"/>
  <c r="AQ50" i="8" s="1"/>
  <c r="AE142" i="8"/>
  <c r="AE143" i="8" s="1"/>
  <c r="AE144" i="8" s="1"/>
  <c r="Y191" i="8"/>
  <c r="Y192" i="8" s="1"/>
  <c r="Y193" i="8" s="1"/>
  <c r="V132" i="8"/>
  <c r="AL190" i="8"/>
  <c r="BA10" i="8"/>
  <c r="BA11" i="8" s="1"/>
  <c r="BA12" i="8" s="1"/>
  <c r="BA13" i="8" s="1"/>
  <c r="BA14" i="8" s="1"/>
  <c r="BA15" i="8" s="1"/>
  <c r="BA16" i="8" s="1"/>
  <c r="BA17" i="8" s="1"/>
  <c r="BA18" i="8" s="1"/>
  <c r="BA19" i="8" s="1"/>
  <c r="BA20" i="8" s="1"/>
  <c r="BA21" i="8" s="1"/>
  <c r="BA22" i="8" s="1"/>
  <c r="BA23" i="8" s="1"/>
  <c r="BA24" i="8" s="1"/>
  <c r="BA25" i="8" s="1"/>
  <c r="BA26" i="8" s="1"/>
  <c r="BA27" i="8" s="1"/>
  <c r="BA28" i="8" s="1"/>
  <c r="BA29" i="8" s="1"/>
  <c r="BA30" i="8" s="1"/>
  <c r="BA31" i="8" s="1"/>
  <c r="BA32" i="8" s="1"/>
  <c r="BA33" i="8" s="1"/>
  <c r="BA34" i="8" s="1"/>
  <c r="BA35" i="8" s="1"/>
  <c r="BA36" i="8" s="1"/>
  <c r="BA37" i="8" s="1"/>
  <c r="BA38" i="8" s="1"/>
  <c r="BA39" i="8" s="1"/>
  <c r="BA40" i="8" s="1"/>
  <c r="BA41" i="8" s="1"/>
  <c r="BA42" i="8" s="1"/>
  <c r="BA182" i="8"/>
  <c r="BG14" i="8"/>
  <c r="BG21" i="8"/>
  <c r="BG165" i="8"/>
  <c r="AL124" i="8"/>
  <c r="AL21" i="8"/>
  <c r="BP188" i="8"/>
  <c r="AX178" i="8"/>
  <c r="AX179" i="8" s="1"/>
  <c r="AL178" i="8"/>
  <c r="AL199" i="8"/>
  <c r="BV139" i="8"/>
  <c r="AT139" i="8" s="1"/>
  <c r="BV53" i="8"/>
  <c r="AT53" i="8" s="1"/>
  <c r="M44" i="6"/>
  <c r="O44" i="6" s="1"/>
  <c r="BP76" i="8"/>
  <c r="BV106" i="8"/>
  <c r="AT106" i="8" s="1"/>
  <c r="BA163" i="8"/>
  <c r="AM163" i="8" s="1"/>
  <c r="V79" i="8"/>
  <c r="BM73" i="8"/>
  <c r="P78" i="8"/>
  <c r="P79" i="8" s="1"/>
  <c r="P80" i="8" s="1"/>
  <c r="S120" i="8"/>
  <c r="S121" i="8" s="1"/>
  <c r="Y62" i="8"/>
  <c r="AL173" i="8"/>
  <c r="AL148" i="8"/>
  <c r="AX148" i="8"/>
  <c r="AX149" i="8" s="1"/>
  <c r="AX150" i="8" s="1"/>
  <c r="AX29" i="8"/>
  <c r="AL29" i="8"/>
  <c r="AL9" i="8"/>
  <c r="AD22" i="3"/>
  <c r="AQ19" i="3"/>
  <c r="BM184" i="8"/>
  <c r="BM185" i="8" s="1"/>
  <c r="BD164" i="8"/>
  <c r="BD165" i="8" s="1"/>
  <c r="BA64" i="8"/>
  <c r="AM64" i="8" s="1"/>
  <c r="BS200" i="8"/>
  <c r="BP59" i="8"/>
  <c r="AR59" i="8" s="1"/>
  <c r="BM65" i="8"/>
  <c r="BM66" i="8" s="1"/>
  <c r="BA117" i="8"/>
  <c r="AM117" i="8" s="1"/>
  <c r="M199" i="8"/>
  <c r="BM67" i="8"/>
  <c r="BM68" i="8" s="1"/>
  <c r="BM69" i="8" s="1"/>
  <c r="BA111" i="8"/>
  <c r="AM111" i="8" s="1"/>
  <c r="BV57" i="8"/>
  <c r="AT57" i="8" s="1"/>
  <c r="V78" i="8"/>
  <c r="M72" i="8"/>
  <c r="M73" i="8" s="1"/>
  <c r="M142" i="8"/>
  <c r="M143" i="8" s="1"/>
  <c r="BV191" i="8"/>
  <c r="BV192" i="8" s="1"/>
  <c r="BV193" i="8" s="1"/>
  <c r="AX78" i="8"/>
  <c r="AX79" i="8" s="1"/>
  <c r="AX80" i="8" s="1"/>
  <c r="AL78" i="8"/>
  <c r="V180" i="8"/>
  <c r="V181" i="8" s="1"/>
  <c r="V182" i="8" s="1"/>
  <c r="V183" i="8" s="1"/>
  <c r="V184" i="8" s="1"/>
  <c r="V185" i="8" s="1"/>
  <c r="V186" i="8" s="1"/>
  <c r="V187" i="8" s="1"/>
  <c r="V188" i="8" s="1"/>
  <c r="V189" i="8" s="1"/>
  <c r="V190" i="8" s="1"/>
  <c r="V191" i="8" s="1"/>
  <c r="V192" i="8" s="1"/>
  <c r="V193" i="8" s="1"/>
  <c r="V194" i="8" s="1"/>
  <c r="V195" i="8" s="1"/>
  <c r="V196" i="8" s="1"/>
  <c r="V197" i="8" s="1"/>
  <c r="V198" i="8" s="1"/>
  <c r="V199" i="8" s="1"/>
  <c r="V200" i="8" s="1"/>
  <c r="V201" i="8" s="1"/>
  <c r="V202" i="8" s="1"/>
  <c r="V203" i="8" s="1"/>
  <c r="V204" i="8" s="1"/>
  <c r="V205" i="8" s="1"/>
  <c r="V206" i="8" s="1"/>
  <c r="V21" i="8"/>
  <c r="V22" i="8" s="1"/>
  <c r="V23" i="8" s="1"/>
  <c r="AD45" i="3"/>
  <c r="AQ39" i="3"/>
  <c r="BD109" i="8"/>
  <c r="BA72" i="8"/>
  <c r="AM72" i="8" s="1"/>
  <c r="AE201" i="8"/>
  <c r="AL158" i="8"/>
  <c r="AE198" i="8"/>
  <c r="Y195" i="8"/>
  <c r="Y196" i="8" s="1"/>
  <c r="Y197" i="8" s="1"/>
  <c r="BP118" i="8"/>
  <c r="BP119" i="8" s="1"/>
  <c r="AD23" i="3"/>
  <c r="AQ20" i="3"/>
  <c r="BS188" i="8"/>
  <c r="BD118" i="8"/>
  <c r="AB65" i="8"/>
  <c r="AB66" i="8" s="1"/>
  <c r="AB67" i="8" s="1"/>
  <c r="AB68" i="8" s="1"/>
  <c r="BP91" i="8"/>
  <c r="AL18" i="8"/>
  <c r="BP191" i="8"/>
  <c r="T11" i="12"/>
  <c r="AL65" i="8"/>
  <c r="AC54" i="3"/>
  <c r="AH14" i="3"/>
  <c r="V76" i="8"/>
  <c r="V77" i="8" s="1"/>
  <c r="BP52" i="8"/>
  <c r="AR52" i="8" s="1"/>
  <c r="S29" i="8"/>
  <c r="S30" i="8" s="1"/>
  <c r="S82" i="8"/>
  <c r="S179" i="8"/>
  <c r="S180" i="8" s="1"/>
  <c r="S181" i="8" s="1"/>
  <c r="S182" i="8" s="1"/>
  <c r="S183" i="8" s="1"/>
  <c r="S184" i="8" s="1"/>
  <c r="S185" i="8" s="1"/>
  <c r="S186" i="8" s="1"/>
  <c r="P141" i="8"/>
  <c r="P142" i="8" s="1"/>
  <c r="AB95" i="8"/>
  <c r="AH205" i="8"/>
  <c r="BV157" i="8"/>
  <c r="AT157" i="8" s="1"/>
  <c r="AL79" i="8"/>
  <c r="BJ184" i="8"/>
  <c r="BJ185" i="8" s="1"/>
  <c r="BJ186" i="8" s="1"/>
  <c r="BJ187" i="8" s="1"/>
  <c r="BJ188" i="8" s="1"/>
  <c r="BJ189" i="8" s="1"/>
  <c r="BD190" i="8"/>
  <c r="BD191" i="8" s="1"/>
  <c r="BD192" i="8" s="1"/>
  <c r="BD193" i="8" s="1"/>
  <c r="BD194" i="8" s="1"/>
  <c r="AL32" i="8"/>
  <c r="AB119" i="8"/>
  <c r="AB120" i="8" s="1"/>
  <c r="AB121" i="8" s="1"/>
  <c r="BA137" i="8"/>
  <c r="AM137" i="8" s="1"/>
  <c r="AL85" i="8"/>
  <c r="BA198" i="8"/>
  <c r="BA199" i="8" s="1"/>
  <c r="BA173" i="8"/>
  <c r="M34" i="8"/>
  <c r="BA183" i="8"/>
  <c r="BA184" i="8" s="1"/>
  <c r="BP56" i="8"/>
  <c r="AR56" i="8" s="1"/>
  <c r="AE205" i="8"/>
  <c r="BV60" i="8"/>
  <c r="AT60" i="8" s="1"/>
  <c r="BV49" i="8"/>
  <c r="AT49" i="8" s="1"/>
  <c r="S125" i="8"/>
  <c r="S126" i="8" s="1"/>
  <c r="S127" i="8" s="1"/>
  <c r="S128" i="8" s="1"/>
  <c r="S129" i="8" s="1"/>
  <c r="S130" i="8" s="1"/>
  <c r="S131" i="8" s="1"/>
  <c r="S132" i="8" s="1"/>
  <c r="S133" i="8" s="1"/>
  <c r="S134" i="8" s="1"/>
  <c r="S135" i="8" s="1"/>
  <c r="S136" i="8" s="1"/>
  <c r="S137" i="8" s="1"/>
  <c r="S138" i="8" s="1"/>
  <c r="S139" i="8" s="1"/>
  <c r="S140" i="8" s="1"/>
  <c r="S141" i="8" s="1"/>
  <c r="S142" i="8" s="1"/>
  <c r="BS156" i="8"/>
  <c r="AH154" i="8"/>
  <c r="BD185" i="8"/>
  <c r="BD186" i="8" s="1"/>
  <c r="AE176" i="8"/>
  <c r="AL70" i="8"/>
  <c r="BM79" i="8"/>
  <c r="BM80" i="8" s="1"/>
  <c r="BM81" i="8" s="1"/>
  <c r="AH98" i="8"/>
  <c r="M71" i="8"/>
  <c r="BA172" i="8"/>
  <c r="AM172" i="8" s="1"/>
  <c r="AQ4" i="3"/>
  <c r="AD4" i="3"/>
  <c r="AE206" i="8"/>
  <c r="AX119" i="8"/>
  <c r="AX120" i="8" s="1"/>
  <c r="AX121" i="8" s="1"/>
  <c r="AX122" i="8" s="1"/>
  <c r="AX123" i="8" s="1"/>
  <c r="AX124" i="8" s="1"/>
  <c r="AX125" i="8" s="1"/>
  <c r="AL119" i="8"/>
  <c r="BA57" i="8"/>
  <c r="AM57" i="8" s="1"/>
  <c r="BM59" i="8"/>
  <c r="S17" i="8"/>
  <c r="BA139" i="8"/>
  <c r="AM139" i="8" s="1"/>
  <c r="BJ144" i="8"/>
  <c r="AP143" i="8" s="1"/>
  <c r="BD161" i="8"/>
  <c r="BM182" i="8"/>
  <c r="BM183" i="8" s="1"/>
  <c r="AL59" i="8"/>
  <c r="S24" i="8"/>
  <c r="S25" i="8" s="1"/>
  <c r="S26" i="8" s="1"/>
  <c r="S27" i="8" s="1"/>
  <c r="S28" i="8" s="1"/>
  <c r="BG129" i="8"/>
  <c r="BP134" i="8"/>
  <c r="BP135" i="8" s="1"/>
  <c r="S59" i="8"/>
  <c r="BD187" i="8"/>
  <c r="BD188" i="8" s="1"/>
  <c r="BD189" i="8" s="1"/>
  <c r="BD127" i="8"/>
  <c r="BD128" i="8" s="1"/>
  <c r="BS118" i="8"/>
  <c r="BS119" i="8" s="1"/>
  <c r="BS120" i="8" s="1"/>
  <c r="AH170" i="8"/>
  <c r="BA68" i="8"/>
  <c r="AM68" i="8" s="1"/>
  <c r="BA175" i="8"/>
  <c r="AM175" i="8" s="1"/>
  <c r="BM51" i="8"/>
  <c r="AQ51" i="8" s="1"/>
  <c r="BJ168" i="8"/>
  <c r="BJ169" i="8" s="1"/>
  <c r="BJ170" i="8" s="1"/>
  <c r="BA61" i="8"/>
  <c r="AM61" i="8" s="1"/>
  <c r="BS106" i="8"/>
  <c r="BD197" i="8"/>
  <c r="BD198" i="8" s="1"/>
  <c r="U11" i="12"/>
  <c r="AH140" i="8"/>
  <c r="M205" i="8"/>
  <c r="Y47" i="8"/>
  <c r="Y48" i="8" s="1"/>
  <c r="Y49" i="8" s="1"/>
  <c r="Y50" i="8" s="1"/>
  <c r="Y51" i="8" s="1"/>
  <c r="Y52" i="8" s="1"/>
  <c r="AL35" i="8"/>
  <c r="BA54" i="8"/>
  <c r="AH201" i="8"/>
  <c r="BV103" i="8"/>
  <c r="AT103" i="8" s="1"/>
  <c r="AE199" i="8"/>
  <c r="AH111" i="8"/>
  <c r="AH112" i="8" s="1"/>
  <c r="AH113" i="8" s="1"/>
  <c r="AH114" i="8" s="1"/>
  <c r="AH115" i="8" s="1"/>
  <c r="AH116" i="8" s="1"/>
  <c r="AH117" i="8" s="1"/>
  <c r="AH118" i="8" s="1"/>
  <c r="AH119" i="8" s="1"/>
  <c r="AH120" i="8" s="1"/>
  <c r="AH121" i="8" s="1"/>
  <c r="AH122" i="8" s="1"/>
  <c r="AH123" i="8" s="1"/>
  <c r="AH124" i="8" s="1"/>
  <c r="Y25" i="8"/>
  <c r="Y26" i="8" s="1"/>
  <c r="BP50" i="8"/>
  <c r="AR50" i="8" s="1"/>
  <c r="AL126" i="8"/>
  <c r="AX126" i="8"/>
  <c r="AX127" i="8" s="1"/>
  <c r="AX128" i="8" s="1"/>
  <c r="AB188" i="8"/>
  <c r="AL47" i="8"/>
  <c r="AX184" i="8"/>
  <c r="AL184" i="8"/>
  <c r="BV51" i="8"/>
  <c r="AT51" i="8" s="1"/>
  <c r="BJ181" i="8"/>
  <c r="BA105" i="8"/>
  <c r="AM105" i="8" s="1"/>
  <c r="BJ128" i="8"/>
  <c r="BA194" i="8"/>
  <c r="BA195" i="8" s="1"/>
  <c r="AL176" i="8"/>
  <c r="AX176" i="8"/>
  <c r="AL139" i="8"/>
  <c r="M95" i="8"/>
  <c r="M96" i="8" s="1"/>
  <c r="M97" i="8" s="1"/>
  <c r="P196" i="8"/>
  <c r="BP67" i="8"/>
  <c r="AR67" i="8" s="1"/>
  <c r="BV10" i="8"/>
  <c r="BV11" i="8" s="1"/>
  <c r="BV12" i="8" s="1"/>
  <c r="BV13" i="8" s="1"/>
  <c r="BV14" i="8" s="1"/>
  <c r="BV15" i="8" s="1"/>
  <c r="BV16" i="8" s="1"/>
  <c r="BV17" i="8" s="1"/>
  <c r="BV18" i="8" s="1"/>
  <c r="BV19" i="8" s="1"/>
  <c r="BV20" i="8" s="1"/>
  <c r="BV21" i="8" s="1"/>
  <c r="BV22" i="8" s="1"/>
  <c r="BV23" i="8" s="1"/>
  <c r="BV24" i="8" s="1"/>
  <c r="BV25" i="8" s="1"/>
  <c r="BV26" i="8" s="1"/>
  <c r="BV27" i="8" s="1"/>
  <c r="BV28" i="8" s="1"/>
  <c r="BV29" i="8" s="1"/>
  <c r="BV30" i="8" s="1"/>
  <c r="BV31" i="8" s="1"/>
  <c r="BV32" i="8" s="1"/>
  <c r="BV33" i="8" s="1"/>
  <c r="BV34" i="8" s="1"/>
  <c r="BV35" i="8" s="1"/>
  <c r="BV36" i="8" s="1"/>
  <c r="BV37" i="8" s="1"/>
  <c r="BV38" i="8" s="1"/>
  <c r="BV39" i="8" s="1"/>
  <c r="BV40" i="8" s="1"/>
  <c r="BV41" i="8" s="1"/>
  <c r="BV42" i="8" s="1"/>
  <c r="BV43" i="8" s="1"/>
  <c r="BV44" i="8" s="1"/>
  <c r="BV45" i="8" s="1"/>
  <c r="BV46" i="8" s="1"/>
  <c r="BV47" i="8" s="1"/>
  <c r="BV48" i="8" s="1"/>
  <c r="AD11" i="3"/>
  <c r="AQ10" i="3"/>
  <c r="P84" i="8"/>
  <c r="P85" i="8" s="1"/>
  <c r="M64" i="8"/>
  <c r="BV78" i="8"/>
  <c r="AT78" i="8" s="1"/>
  <c r="AX45" i="8"/>
  <c r="AX46" i="8" s="1"/>
  <c r="AX47" i="8" s="1"/>
  <c r="AX48" i="8" s="1"/>
  <c r="AL45" i="8"/>
  <c r="Y175" i="8"/>
  <c r="BP58" i="8"/>
  <c r="AR58" i="8" s="1"/>
  <c r="BP61" i="8"/>
  <c r="AR61" i="8" s="1"/>
  <c r="BP158" i="8"/>
  <c r="BP159" i="8" s="1"/>
  <c r="BP160" i="8" s="1"/>
  <c r="BP161" i="8" s="1"/>
  <c r="BP162" i="8" s="1"/>
  <c r="BP163" i="8" s="1"/>
  <c r="BP164" i="8" s="1"/>
  <c r="BP165" i="8" s="1"/>
  <c r="BP166" i="8" s="1"/>
  <c r="BA180" i="8"/>
  <c r="AM180" i="8" s="1"/>
  <c r="BM155" i="8"/>
  <c r="BM156" i="8" s="1"/>
  <c r="BM157" i="8" s="1"/>
  <c r="BM158" i="8" s="1"/>
  <c r="BV132" i="8"/>
  <c r="AT132" i="8" s="1"/>
  <c r="BA132" i="8"/>
  <c r="AM132" i="8" s="1"/>
  <c r="BD78" i="8"/>
  <c r="BS50" i="8"/>
  <c r="BA95" i="8"/>
  <c r="AM95" i="8" s="1"/>
  <c r="BJ67" i="8"/>
  <c r="BJ68" i="8" s="1"/>
  <c r="BM188" i="8"/>
  <c r="BA92" i="8"/>
  <c r="AM92" i="8" s="1"/>
  <c r="BV164" i="8"/>
  <c r="AT164" i="8" s="1"/>
  <c r="BD170" i="8"/>
  <c r="BD171" i="8" s="1"/>
  <c r="BD172" i="8" s="1"/>
  <c r="BD173" i="8" s="1"/>
  <c r="BD174" i="8" s="1"/>
  <c r="BV133" i="8"/>
  <c r="AT133" i="8" s="1"/>
  <c r="BP66" i="8"/>
  <c r="AR66" i="8" s="1"/>
  <c r="BV84" i="8"/>
  <c r="AT84" i="8" s="1"/>
  <c r="BA86" i="8"/>
  <c r="AM86" i="8" s="1"/>
  <c r="BD41" i="8"/>
  <c r="Y108" i="8"/>
  <c r="P186" i="8"/>
  <c r="P187" i="8" s="1"/>
  <c r="P188" i="8" s="1"/>
  <c r="P189" i="8" s="1"/>
  <c r="P190" i="8" s="1"/>
  <c r="P191" i="8" s="1"/>
  <c r="P192" i="8" s="1"/>
  <c r="P193" i="8" s="1"/>
  <c r="P194" i="8" s="1"/>
  <c r="M82" i="8"/>
  <c r="Y176" i="8"/>
  <c r="Y177" i="8" s="1"/>
  <c r="Y178" i="8" s="1"/>
  <c r="Y179" i="8" s="1"/>
  <c r="AX76" i="8"/>
  <c r="AX77" i="8" s="1"/>
  <c r="AL76" i="8"/>
  <c r="BM128" i="8"/>
  <c r="BM129" i="8" s="1"/>
  <c r="BM130" i="8" s="1"/>
  <c r="BM131" i="8" s="1"/>
  <c r="AX198" i="8"/>
  <c r="AX199" i="8" s="1"/>
  <c r="AX200" i="8" s="1"/>
  <c r="AX201" i="8" s="1"/>
  <c r="AL198" i="8"/>
  <c r="Y126" i="8"/>
  <c r="AP125" i="8" s="1"/>
  <c r="BP55" i="8"/>
  <c r="AR55" i="8" s="1"/>
  <c r="BV144" i="8"/>
  <c r="AT144" i="8" s="1"/>
  <c r="S156" i="8"/>
  <c r="BD129" i="8"/>
  <c r="BD130" i="8" s="1"/>
  <c r="BD131" i="8" s="1"/>
  <c r="BD132" i="8" s="1"/>
  <c r="M201" i="8"/>
  <c r="M202" i="8" s="1"/>
  <c r="AL128" i="8"/>
  <c r="AK193" i="8"/>
  <c r="AK194" i="8" s="1"/>
  <c r="M32" i="8"/>
  <c r="BP80" i="8"/>
  <c r="AL122" i="8"/>
  <c r="BG31" i="8"/>
  <c r="BG32" i="8" s="1"/>
  <c r="BG33" i="8" s="1"/>
  <c r="M31" i="6"/>
  <c r="O31" i="6" s="1"/>
  <c r="AL87" i="8"/>
  <c r="AX87" i="8"/>
  <c r="AX88" i="8" s="1"/>
  <c r="AX89" i="8" s="1"/>
  <c r="AX90" i="8" s="1"/>
  <c r="AX91" i="8" s="1"/>
  <c r="AX92" i="8" s="1"/>
  <c r="AX93" i="8" s="1"/>
  <c r="AX94" i="8" s="1"/>
  <c r="S78" i="8"/>
  <c r="S79" i="8" s="1"/>
  <c r="S80" i="8" s="1"/>
  <c r="S81" i="8" s="1"/>
  <c r="Y182" i="8"/>
  <c r="BS57" i="8"/>
  <c r="BS38" i="8"/>
  <c r="Y180" i="8"/>
  <c r="Y181" i="8" s="1"/>
  <c r="BA145" i="8"/>
  <c r="AM145" i="8" s="1"/>
  <c r="BA156" i="8"/>
  <c r="BP189" i="8"/>
  <c r="BP60" i="8"/>
  <c r="AR60" i="8" s="1"/>
  <c r="BD168" i="8"/>
  <c r="AN167" i="8" s="1"/>
  <c r="BG88" i="8"/>
  <c r="BM160" i="8"/>
  <c r="BM161" i="8" s="1"/>
  <c r="BM162" i="8" s="1"/>
  <c r="BM163" i="8" s="1"/>
  <c r="M74" i="8"/>
  <c r="M75" i="8" s="1"/>
  <c r="M76" i="8" s="1"/>
  <c r="M77" i="8" s="1"/>
  <c r="M78" i="8" s="1"/>
  <c r="AL109" i="8"/>
  <c r="BV89" i="8"/>
  <c r="AT89" i="8" s="1"/>
  <c r="S41" i="8"/>
  <c r="S42" i="8" s="1"/>
  <c r="S43" i="8" s="1"/>
  <c r="BJ120" i="8"/>
  <c r="BJ121" i="8" s="1"/>
  <c r="BV110" i="8"/>
  <c r="AT110" i="8" s="1"/>
  <c r="V108" i="8"/>
  <c r="V109" i="8" s="1"/>
  <c r="V110" i="8" s="1"/>
  <c r="V111" i="8" s="1"/>
  <c r="AB69" i="8"/>
  <c r="AB70" i="8" s="1"/>
  <c r="AB71" i="8" s="1"/>
  <c r="BS45" i="8"/>
  <c r="BS46" i="8" s="1"/>
  <c r="BS47" i="8" s="1"/>
  <c r="BS48" i="8" s="1"/>
  <c r="BS49" i="8" s="1"/>
  <c r="AH86" i="8"/>
  <c r="AH87" i="8" s="1"/>
  <c r="AH88" i="8" s="1"/>
  <c r="AH89" i="8" s="1"/>
  <c r="AH90" i="8" s="1"/>
  <c r="AH91" i="8" s="1"/>
  <c r="AH92" i="8" s="1"/>
  <c r="AH93" i="8" s="1"/>
  <c r="AH94" i="8" s="1"/>
  <c r="AH95" i="8" s="1"/>
  <c r="AH96" i="8" s="1"/>
  <c r="AH97" i="8" s="1"/>
  <c r="AH153" i="8"/>
  <c r="AH10" i="8"/>
  <c r="AH11" i="8" s="1"/>
  <c r="AH12" i="8" s="1"/>
  <c r="AH13" i="8" s="1"/>
  <c r="AH14" i="8" s="1"/>
  <c r="AH15" i="8" s="1"/>
  <c r="AH16" i="8" s="1"/>
  <c r="AH17" i="8" s="1"/>
  <c r="AH18" i="8" s="1"/>
  <c r="AH19" i="8" s="1"/>
  <c r="AH20" i="8" s="1"/>
  <c r="AH21" i="8" s="1"/>
  <c r="AH22" i="8" s="1"/>
  <c r="AH23" i="8" s="1"/>
  <c r="AH24" i="8" s="1"/>
  <c r="AH25" i="8" s="1"/>
  <c r="AH26" i="8" s="1"/>
  <c r="AH27" i="8" s="1"/>
  <c r="AH28" i="8" s="1"/>
  <c r="AH29" i="8" s="1"/>
  <c r="AH30" i="8" s="1"/>
  <c r="AH31" i="8" s="1"/>
  <c r="AH32" i="8" s="1"/>
  <c r="AH33" i="8" s="1"/>
  <c r="AH34" i="8" s="1"/>
  <c r="AH35" i="8" s="1"/>
  <c r="AH36" i="8" s="1"/>
  <c r="AH37" i="8" s="1"/>
  <c r="AH38" i="8" s="1"/>
  <c r="AH39" i="8" s="1"/>
  <c r="AS39" i="8" s="1"/>
  <c r="AH165" i="8"/>
  <c r="AH166" i="8" s="1"/>
  <c r="AH167" i="8" s="1"/>
  <c r="AH168" i="8" s="1"/>
  <c r="BV68" i="8"/>
  <c r="AT68" i="8" s="1"/>
  <c r="BP180" i="8"/>
  <c r="BP181" i="8" s="1"/>
  <c r="BD45" i="8"/>
  <c r="BD46" i="8" s="1"/>
  <c r="BD47" i="8" s="1"/>
  <c r="BD48" i="8" s="1"/>
  <c r="BD49" i="8" s="1"/>
  <c r="BD50" i="8" s="1"/>
  <c r="BD51" i="8" s="1"/>
  <c r="BM109" i="8"/>
  <c r="BM110" i="8" s="1"/>
  <c r="BM111" i="8" s="1"/>
  <c r="BA118" i="8"/>
  <c r="AM118" i="8" s="1"/>
  <c r="BA159" i="8"/>
  <c r="AM159" i="8" s="1"/>
  <c r="BV160" i="8"/>
  <c r="AT160" i="8" s="1"/>
  <c r="BV159" i="8"/>
  <c r="AT159" i="8" s="1"/>
  <c r="BP196" i="8"/>
  <c r="BP197" i="8" s="1"/>
  <c r="AH137" i="8"/>
  <c r="AH138" i="8" s="1"/>
  <c r="AL58" i="8"/>
  <c r="BM189" i="8"/>
  <c r="BM180" i="8"/>
  <c r="AL147" i="8"/>
  <c r="AN13" i="8"/>
  <c r="AN71" i="8"/>
  <c r="AN162" i="8"/>
  <c r="AN183" i="8"/>
  <c r="AN68" i="8"/>
  <c r="AN164" i="8"/>
  <c r="AN143" i="8"/>
  <c r="AN138" i="8"/>
  <c r="AN47" i="8"/>
  <c r="AN38" i="8"/>
  <c r="AN22" i="8"/>
  <c r="AN203" i="8"/>
  <c r="AN89" i="8"/>
  <c r="AN119" i="8"/>
  <c r="AN12" i="8"/>
  <c r="AN87" i="8"/>
  <c r="AN91" i="8"/>
  <c r="AN191" i="8"/>
  <c r="AN185" i="8"/>
  <c r="AN166" i="8"/>
  <c r="AN165" i="8"/>
  <c r="AN27" i="8"/>
  <c r="AN150" i="8"/>
  <c r="AN120" i="8"/>
  <c r="AN187" i="8"/>
  <c r="AN82" i="8"/>
  <c r="AN121" i="8"/>
  <c r="AN118" i="8"/>
  <c r="AN146" i="8"/>
  <c r="AN33" i="8"/>
  <c r="AN25" i="8"/>
  <c r="AN134" i="8"/>
  <c r="AN124" i="8"/>
  <c r="AN174" i="8"/>
  <c r="AN90" i="8"/>
  <c r="AN179" i="8"/>
  <c r="AN44" i="8"/>
  <c r="AN57" i="8"/>
  <c r="AN144" i="8"/>
  <c r="AN153" i="8"/>
  <c r="AN149" i="8"/>
  <c r="AN53" i="8"/>
  <c r="AN205" i="8"/>
  <c r="AN110" i="8"/>
  <c r="AN14" i="8"/>
  <c r="AN113" i="8"/>
  <c r="AN115" i="8"/>
  <c r="AN141" i="8"/>
  <c r="AN36" i="8"/>
  <c r="AN111" i="8"/>
  <c r="AN60" i="8"/>
  <c r="AN180" i="8"/>
  <c r="AN64" i="8"/>
  <c r="AN105" i="8"/>
  <c r="AN193" i="8"/>
  <c r="AN30" i="8"/>
  <c r="AN35" i="8"/>
  <c r="AN108" i="8"/>
  <c r="AN23" i="8"/>
  <c r="AN136" i="8"/>
  <c r="AN21" i="8"/>
  <c r="AN112" i="8"/>
  <c r="AN122" i="8"/>
  <c r="C25" i="8"/>
  <c r="AN123" i="8"/>
  <c r="AN171" i="8"/>
  <c r="AN96" i="8"/>
  <c r="AN75" i="8"/>
  <c r="AN24" i="8"/>
  <c r="AN94" i="8"/>
  <c r="AN51" i="8"/>
  <c r="AN152" i="8"/>
  <c r="AN106" i="8"/>
  <c r="AN132" i="8"/>
  <c r="AN39" i="8"/>
  <c r="AN74" i="8"/>
  <c r="AN62" i="8"/>
  <c r="AN40" i="8"/>
  <c r="AN147" i="8"/>
  <c r="AN11" i="8"/>
  <c r="AN168" i="8"/>
  <c r="AN26" i="8"/>
  <c r="AN192" i="8"/>
  <c r="AN145" i="8"/>
  <c r="AN156" i="8"/>
  <c r="AN79" i="8"/>
  <c r="AN81" i="8"/>
  <c r="AN170" i="8"/>
  <c r="AN98" i="8"/>
  <c r="AN204" i="8"/>
  <c r="AN45" i="8"/>
  <c r="AN20" i="8"/>
  <c r="AN117" i="8"/>
  <c r="AN160" i="8"/>
  <c r="AN18" i="8"/>
  <c r="AN176" i="8"/>
  <c r="AN41" i="8"/>
  <c r="AN28" i="8"/>
  <c r="AN83" i="8"/>
  <c r="AN131" i="8"/>
  <c r="AN157" i="8"/>
  <c r="AN49" i="8"/>
  <c r="AN88" i="8"/>
  <c r="AN202" i="8"/>
  <c r="AN140" i="8"/>
  <c r="AN142" i="8"/>
  <c r="AN10" i="8"/>
  <c r="AN130" i="8"/>
  <c r="AN200" i="8"/>
  <c r="AN52" i="8"/>
  <c r="AN107" i="8"/>
  <c r="AN172" i="8"/>
  <c r="AN148" i="8"/>
  <c r="AN126" i="8"/>
  <c r="AN55" i="8"/>
  <c r="AN66" i="8"/>
  <c r="AN86" i="8"/>
  <c r="AN70" i="8"/>
  <c r="AN161" i="8"/>
  <c r="AN84" i="8"/>
  <c r="AN9" i="8"/>
  <c r="AN135" i="8"/>
  <c r="AN85" i="8"/>
  <c r="AN29" i="8"/>
  <c r="AN56" i="8"/>
  <c r="AN127" i="8"/>
  <c r="AN78" i="8"/>
  <c r="AN61" i="8"/>
  <c r="AN46" i="8"/>
  <c r="AN175" i="8"/>
  <c r="AN189" i="8"/>
  <c r="AN182" i="8"/>
  <c r="AN37" i="8"/>
  <c r="AN69" i="8"/>
  <c r="AN196" i="8"/>
  <c r="AN201" i="8"/>
  <c r="AN59" i="8"/>
  <c r="AN65" i="8"/>
  <c r="AN158" i="8"/>
  <c r="AN67" i="8"/>
  <c r="AN169" i="8"/>
  <c r="AN184" i="8"/>
  <c r="AN151" i="8"/>
  <c r="AN97" i="8"/>
  <c r="AN128" i="8"/>
  <c r="AN103" i="8"/>
  <c r="AN104" i="8"/>
  <c r="AN15" i="8"/>
  <c r="AN93" i="8"/>
  <c r="AN188" i="8"/>
  <c r="AN114" i="8"/>
  <c r="AN100" i="8"/>
  <c r="AN50" i="8"/>
  <c r="AN137" i="8"/>
  <c r="AN101" i="8"/>
  <c r="AN181" i="8"/>
  <c r="AN16" i="8"/>
  <c r="AN197" i="8"/>
  <c r="AN42" i="8"/>
  <c r="AN190" i="8"/>
  <c r="AN155" i="8"/>
  <c r="AN58" i="8"/>
  <c r="AN63" i="8"/>
  <c r="AN133" i="8"/>
  <c r="AN116" i="8"/>
  <c r="AN31" i="8"/>
  <c r="AN92" i="8"/>
  <c r="AN194" i="8"/>
  <c r="AN154" i="8"/>
  <c r="AN54" i="8"/>
  <c r="AN177" i="8"/>
  <c r="AN186" i="8"/>
  <c r="AN99" i="8"/>
  <c r="AN198" i="8"/>
  <c r="AN163" i="8"/>
  <c r="AN80" i="8"/>
  <c r="AN125" i="8"/>
  <c r="AN32" i="8"/>
  <c r="AN159" i="8"/>
  <c r="AN102" i="8"/>
  <c r="AN17" i="8"/>
  <c r="AN139" i="8"/>
  <c r="AN178" i="8"/>
  <c r="AN34" i="8"/>
  <c r="AN19" i="8"/>
  <c r="AN76" i="8"/>
  <c r="AN195" i="8"/>
  <c r="AN129" i="8"/>
  <c r="AN48" i="8"/>
  <c r="AN43" i="8"/>
  <c r="AN173" i="8"/>
  <c r="AN199" i="8"/>
  <c r="AN72" i="8"/>
  <c r="P69" i="8"/>
  <c r="P70" i="8" s="1"/>
  <c r="P71" i="8" s="1"/>
  <c r="P72" i="8" s="1"/>
  <c r="AL113" i="8"/>
  <c r="BA63" i="8"/>
  <c r="AM62" i="8" s="1"/>
  <c r="BS162" i="8"/>
  <c r="AE71" i="8"/>
  <c r="AE72" i="8" s="1"/>
  <c r="AB110" i="8"/>
  <c r="V146" i="8"/>
  <c r="AH43" i="8"/>
  <c r="AH44" i="8" s="1"/>
  <c r="AH45" i="8" s="1"/>
  <c r="BV70" i="8"/>
  <c r="AT70" i="8" s="1"/>
  <c r="S168" i="8"/>
  <c r="M171" i="8"/>
  <c r="BP182" i="8"/>
  <c r="BS166" i="8"/>
  <c r="BS167" i="8" s="1"/>
  <c r="AH141" i="8"/>
  <c r="AH142" i="8" s="1"/>
  <c r="AH143" i="8" s="1"/>
  <c r="AH144" i="8" s="1"/>
  <c r="AH145" i="8" s="1"/>
  <c r="AH146" i="8" s="1"/>
  <c r="AH147" i="8" s="1"/>
  <c r="AH148" i="8" s="1"/>
  <c r="AH149" i="8" s="1"/>
  <c r="AH150" i="8" s="1"/>
  <c r="AH151" i="8" s="1"/>
  <c r="AH152" i="8" s="1"/>
  <c r="AS152" i="8" s="1"/>
  <c r="V147" i="8"/>
  <c r="V148" i="8" s="1"/>
  <c r="V149" i="8" s="1"/>
  <c r="AX187" i="8"/>
  <c r="AX188" i="8" s="1"/>
  <c r="AX189" i="8" s="1"/>
  <c r="AX190" i="8" s="1"/>
  <c r="AX191" i="8" s="1"/>
  <c r="AL187" i="8"/>
  <c r="AB76" i="8"/>
  <c r="BG28" i="8"/>
  <c r="BG29" i="8" s="1"/>
  <c r="BG30" i="8" s="1"/>
  <c r="BV187" i="8"/>
  <c r="BA106" i="8"/>
  <c r="BA178" i="8"/>
  <c r="AM178" i="8" s="1"/>
  <c r="M161" i="8"/>
  <c r="Q12" i="12"/>
  <c r="AL121" i="8"/>
  <c r="M36" i="8"/>
  <c r="M37" i="8" s="1"/>
  <c r="M38" i="8" s="1"/>
  <c r="BA193" i="8"/>
  <c r="AK198" i="8"/>
  <c r="AK199" i="8" s="1"/>
  <c r="AL38" i="8"/>
  <c r="W12" i="12"/>
  <c r="M33" i="6"/>
  <c r="O33" i="6" s="1"/>
  <c r="BS168" i="8"/>
  <c r="BS169" i="8" s="1"/>
  <c r="BS170" i="8" s="1"/>
  <c r="BS171" i="8" s="1"/>
  <c r="BS172" i="8" s="1"/>
  <c r="BS173" i="8" s="1"/>
  <c r="BS174" i="8" s="1"/>
  <c r="BS175" i="8" s="1"/>
  <c r="BS176" i="8" s="1"/>
  <c r="BS177" i="8" s="1"/>
  <c r="BS178" i="8" s="1"/>
  <c r="BS179" i="8" s="1"/>
  <c r="AL92" i="8"/>
  <c r="AB180" i="8"/>
  <c r="AB181" i="8" s="1"/>
  <c r="AB182" i="8" s="1"/>
  <c r="AB183" i="8" s="1"/>
  <c r="AB184" i="8" s="1"/>
  <c r="AB185" i="8" s="1"/>
  <c r="AL116" i="8"/>
  <c r="BA134" i="8"/>
  <c r="AM134" i="8" s="1"/>
  <c r="BS141" i="8"/>
  <c r="BS142" i="8" s="1"/>
  <c r="BS143" i="8" s="1"/>
  <c r="BS144" i="8" s="1"/>
  <c r="BV173" i="8"/>
  <c r="AT173" i="8" s="1"/>
  <c r="AB189" i="8"/>
  <c r="AB190" i="8" s="1"/>
  <c r="AB191" i="8" s="1"/>
  <c r="Y37" i="8"/>
  <c r="Y38" i="8" s="1"/>
  <c r="AL188" i="8"/>
  <c r="BV149" i="8"/>
  <c r="AT149" i="8" s="1"/>
  <c r="BG12" i="8"/>
  <c r="BM60" i="8"/>
  <c r="AL112" i="8"/>
  <c r="BJ137" i="8"/>
  <c r="BG34" i="8"/>
  <c r="BG35" i="8" s="1"/>
  <c r="BG36" i="8" s="1"/>
  <c r="BM179" i="8"/>
  <c r="BA52" i="8"/>
  <c r="AM52" i="8" s="1"/>
  <c r="BM48" i="8"/>
  <c r="AQ48" i="8" s="1"/>
  <c r="BD160" i="8"/>
  <c r="AX98" i="8"/>
  <c r="AL98" i="8"/>
  <c r="BA190" i="8"/>
  <c r="Y90" i="8"/>
  <c r="P77" i="8"/>
  <c r="M160" i="8"/>
  <c r="BM178" i="8"/>
  <c r="BP10" i="8"/>
  <c r="BP11" i="8" s="1"/>
  <c r="BP12" i="8" s="1"/>
  <c r="BP13" i="8" s="1"/>
  <c r="BP14" i="8" s="1"/>
  <c r="BP15" i="8" s="1"/>
  <c r="BP16" i="8" s="1"/>
  <c r="BP17" i="8" s="1"/>
  <c r="BP18" i="8" s="1"/>
  <c r="BP19" i="8" s="1"/>
  <c r="BP20" i="8" s="1"/>
  <c r="BP21" i="8" s="1"/>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s="1"/>
  <c r="BP43" i="8" s="1"/>
  <c r="BP44" i="8" s="1"/>
  <c r="BP45" i="8" s="1"/>
  <c r="BP46" i="8" s="1"/>
  <c r="BP47" i="8" s="1"/>
  <c r="BP48" i="8" s="1"/>
  <c r="P170" i="8"/>
  <c r="P171" i="8" s="1"/>
  <c r="P172" i="8" s="1"/>
  <c r="P173" i="8" s="1"/>
  <c r="P174" i="8" s="1"/>
  <c r="P175" i="8" s="1"/>
  <c r="P176" i="8" s="1"/>
  <c r="P177" i="8" s="1"/>
  <c r="P178" i="8" s="1"/>
  <c r="P179" i="8" s="1"/>
  <c r="P180" i="8" s="1"/>
  <c r="AB105" i="8"/>
  <c r="BM193" i="8"/>
  <c r="BA69" i="8"/>
  <c r="AM69" i="8" s="1"/>
  <c r="BV56" i="8"/>
  <c r="AT56" i="8" s="1"/>
  <c r="BA143" i="8"/>
  <c r="AM143" i="8" s="1"/>
  <c r="BV67" i="8"/>
  <c r="AT67" i="8" s="1"/>
  <c r="BS195" i="8"/>
  <c r="BS196" i="8" s="1"/>
  <c r="M35" i="8"/>
  <c r="BV108" i="8"/>
  <c r="AT108" i="8" s="1"/>
  <c r="BD97" i="8"/>
  <c r="BD98" i="8" s="1"/>
  <c r="BD99" i="8" s="1"/>
  <c r="BD100" i="8" s="1"/>
  <c r="BD101" i="8" s="1"/>
  <c r="BD102" i="8" s="1"/>
  <c r="BD103" i="8" s="1"/>
  <c r="BD104" i="8" s="1"/>
  <c r="BD105" i="8" s="1"/>
  <c r="BD106" i="8" s="1"/>
  <c r="AL41" i="8"/>
  <c r="BA177" i="8"/>
  <c r="AM177" i="8" s="1"/>
  <c r="AQ17" i="3"/>
  <c r="AD19" i="3"/>
  <c r="BV184" i="8"/>
  <c r="BV185" i="8" s="1"/>
  <c r="BV186" i="8" s="1"/>
  <c r="BG27" i="8"/>
  <c r="AX142" i="8"/>
  <c r="AX143" i="8" s="1"/>
  <c r="AL142" i="8"/>
  <c r="AL179" i="8"/>
  <c r="AL46" i="8"/>
  <c r="BS117" i="8"/>
  <c r="BA130" i="8"/>
  <c r="P68" i="8"/>
  <c r="AL134" i="8"/>
  <c r="BV72" i="8"/>
  <c r="AT72" i="8" s="1"/>
  <c r="BS159" i="8"/>
  <c r="BS160" i="8" s="1"/>
  <c r="BS161" i="8" s="1"/>
  <c r="BM90" i="8"/>
  <c r="BM91" i="8" s="1"/>
  <c r="BM92" i="8" s="1"/>
  <c r="BM93" i="8"/>
  <c r="BM94" i="8" s="1"/>
  <c r="BM95" i="8" s="1"/>
  <c r="BA181" i="8"/>
  <c r="BV126" i="8"/>
  <c r="AT126" i="8" s="1"/>
  <c r="BA187" i="8"/>
  <c r="BA188" i="8" s="1"/>
  <c r="BA119" i="8"/>
  <c r="AM119" i="8" s="1"/>
  <c r="BG91" i="8"/>
  <c r="BG92" i="8" s="1"/>
  <c r="M52" i="8"/>
  <c r="M53" i="8" s="1"/>
  <c r="AX10" i="8"/>
  <c r="AX11" i="8" s="1"/>
  <c r="AX12" i="8" s="1"/>
  <c r="AX13" i="8" s="1"/>
  <c r="AX14" i="8" s="1"/>
  <c r="AX15" i="8" s="1"/>
  <c r="AX16" i="8" s="1"/>
  <c r="AX17" i="8" s="1"/>
  <c r="AX18" i="8" s="1"/>
  <c r="AX19" i="8" s="1"/>
  <c r="AX20" i="8" s="1"/>
  <c r="AX21" i="8" s="1"/>
  <c r="AX22" i="8" s="1"/>
  <c r="AX23" i="8" s="1"/>
  <c r="AX24" i="8" s="1"/>
  <c r="AX25" i="8" s="1"/>
  <c r="AX26" i="8" s="1"/>
  <c r="AL10" i="8"/>
  <c r="M195" i="8"/>
  <c r="BD59" i="8"/>
  <c r="AH78" i="8"/>
  <c r="BD10" i="8"/>
  <c r="BD11" i="8" s="1"/>
  <c r="BD12" i="8" s="1"/>
  <c r="BD13" i="8" s="1"/>
  <c r="BD14" i="8" s="1"/>
  <c r="BD15" i="8" s="1"/>
  <c r="BD16" i="8" s="1"/>
  <c r="BD17" i="8" s="1"/>
  <c r="BD18" i="8" s="1"/>
  <c r="BD19" i="8" s="1"/>
  <c r="BD20" i="8" s="1"/>
  <c r="BD21" i="8" s="1"/>
  <c r="BD22" i="8" s="1"/>
  <c r="BD23" i="8" s="1"/>
  <c r="BD24" i="8" s="1"/>
  <c r="BD25" i="8" s="1"/>
  <c r="BD26" i="8" s="1"/>
  <c r="BD27" i="8" s="1"/>
  <c r="BD28" i="8" s="1"/>
  <c r="BD29" i="8" s="1"/>
  <c r="BD30" i="8" s="1"/>
  <c r="BD31" i="8" s="1"/>
  <c r="BD32" i="8" s="1"/>
  <c r="BD33" i="8" s="1"/>
  <c r="AE79" i="8"/>
  <c r="AE80" i="8" s="1"/>
  <c r="AL201" i="8"/>
  <c r="S170" i="8"/>
  <c r="S171" i="8" s="1"/>
  <c r="S172" i="8" s="1"/>
  <c r="S173" i="8" s="1"/>
  <c r="S174" i="8" s="1"/>
  <c r="S175" i="8" s="1"/>
  <c r="S176" i="8" s="1"/>
  <c r="S177" i="8" s="1"/>
  <c r="BV101" i="8"/>
  <c r="AT101" i="8" s="1"/>
  <c r="AE186" i="8"/>
  <c r="AE187" i="8" s="1"/>
  <c r="BV130" i="8"/>
  <c r="AT130" i="8" s="1"/>
  <c r="S44" i="8"/>
  <c r="S45" i="8" s="1"/>
  <c r="Y160" i="8"/>
  <c r="BV74" i="8"/>
  <c r="AT74" i="8" s="1"/>
  <c r="BS105" i="8"/>
  <c r="BM49" i="8"/>
  <c r="AQ49" i="8" s="1"/>
  <c r="AL197" i="8"/>
  <c r="AX197" i="8"/>
  <c r="BM98" i="8"/>
  <c r="BM99" i="8" s="1"/>
  <c r="BM100" i="8" s="1"/>
  <c r="BM101" i="8" s="1"/>
  <c r="BM102" i="8" s="1"/>
  <c r="BM103" i="8" s="1"/>
  <c r="BM104" i="8" s="1"/>
  <c r="BM105" i="8" s="1"/>
  <c r="BM106" i="8" s="1"/>
  <c r="BM107" i="8" s="1"/>
  <c r="BM108" i="8" s="1"/>
  <c r="BV135" i="8"/>
  <c r="AT135" i="8" s="1"/>
  <c r="AL68" i="8"/>
  <c r="AL19" i="8"/>
  <c r="AL171" i="8"/>
  <c r="BA83" i="8"/>
  <c r="AM83" i="8" s="1"/>
  <c r="BD179" i="8"/>
  <c r="BD180" i="8" s="1"/>
  <c r="BD181" i="8" s="1"/>
  <c r="BD182" i="8" s="1"/>
  <c r="BD183" i="8" s="1"/>
  <c r="BD184" i="8" s="1"/>
  <c r="BV115" i="8"/>
  <c r="AT115" i="8" s="1"/>
  <c r="AL193" i="8"/>
  <c r="AX193" i="8"/>
  <c r="AL183" i="8"/>
  <c r="AX183" i="8"/>
  <c r="S194" i="8"/>
  <c r="AL36" i="8"/>
  <c r="BM181" i="8"/>
  <c r="BV174" i="8"/>
  <c r="BA58" i="8"/>
  <c r="AM58" i="8" s="1"/>
  <c r="AL100" i="8"/>
  <c r="V112" i="8"/>
  <c r="BA160" i="8"/>
  <c r="AM160" i="8" s="1"/>
  <c r="AK183" i="8"/>
  <c r="BV99" i="8"/>
  <c r="AT99" i="8" s="1"/>
  <c r="BA115" i="8"/>
  <c r="AM115" i="8" s="1"/>
  <c r="BJ132" i="8"/>
  <c r="BJ133" i="8" s="1"/>
  <c r="BJ134" i="8" s="1"/>
  <c r="BJ135" i="8" s="1"/>
  <c r="BJ136" i="8" s="1"/>
  <c r="BM61" i="8"/>
  <c r="BM62" i="8" s="1"/>
  <c r="BM63" i="8" s="1"/>
  <c r="BG166" i="8"/>
  <c r="BG167" i="8" s="1"/>
  <c r="BG168" i="8" s="1"/>
  <c r="BG169" i="8" s="1"/>
  <c r="BV87" i="8"/>
  <c r="AT87" i="8" s="1"/>
  <c r="AL56" i="8"/>
  <c r="BG10" i="8"/>
  <c r="BG11" i="8" s="1"/>
  <c r="BA162" i="8"/>
  <c r="AM162" i="8" s="1"/>
  <c r="AH163" i="8"/>
  <c r="BS107" i="8"/>
  <c r="BS108" i="8" s="1"/>
  <c r="BA114" i="8"/>
  <c r="S188" i="8"/>
  <c r="S189" i="8" s="1"/>
  <c r="S190" i="8" s="1"/>
  <c r="S191" i="8" s="1"/>
  <c r="S192" i="8" s="1"/>
  <c r="S193" i="8" s="1"/>
  <c r="AX175" i="8"/>
  <c r="AL175" i="8" s="1"/>
  <c r="AX152" i="8"/>
  <c r="AL152" i="8"/>
  <c r="BJ88" i="8"/>
  <c r="BJ89" i="8" s="1"/>
  <c r="AB60" i="8"/>
  <c r="AB61" i="8" s="1"/>
  <c r="AX129" i="8"/>
  <c r="AX130" i="8" s="1"/>
  <c r="AX131" i="8" s="1"/>
  <c r="AX132" i="8" s="1"/>
  <c r="AX133" i="8" s="1"/>
  <c r="AX134" i="8" s="1"/>
  <c r="AX135" i="8" s="1"/>
  <c r="AX136" i="8" s="1"/>
  <c r="AX137" i="8" s="1"/>
  <c r="AL129" i="8"/>
  <c r="BG142" i="8"/>
  <c r="BG143" i="8" s="1"/>
  <c r="BG144" i="8" s="1"/>
  <c r="BG145" i="8" s="1"/>
  <c r="BG146" i="8" s="1"/>
  <c r="BG147" i="8" s="1"/>
  <c r="BG148" i="8" s="1"/>
  <c r="BG149" i="8" s="1"/>
  <c r="BG150" i="8" s="1"/>
  <c r="BG151" i="8" s="1"/>
  <c r="BG152" i="8" s="1"/>
  <c r="AL84" i="8"/>
  <c r="BV76" i="8"/>
  <c r="AT76" i="8" s="1"/>
  <c r="BS149" i="8"/>
  <c r="BS150" i="8" s="1"/>
  <c r="BS151" i="8" s="1"/>
  <c r="BS152" i="8" s="1"/>
  <c r="BS153" i="8" s="1"/>
  <c r="BS154" i="8" s="1"/>
  <c r="BM186" i="8"/>
  <c r="M194" i="8"/>
  <c r="BA158" i="8"/>
  <c r="AM158" i="8" s="1"/>
  <c r="AE70" i="8"/>
  <c r="AL125" i="8"/>
  <c r="AL104" i="8"/>
  <c r="BD199" i="8"/>
  <c r="BD200" i="8" s="1"/>
  <c r="AL127" i="8"/>
  <c r="V20" i="8"/>
  <c r="AX138" i="8"/>
  <c r="AX139" i="8" s="1"/>
  <c r="AL138" i="8"/>
  <c r="BJ199" i="8"/>
  <c r="BJ200" i="8" s="1"/>
  <c r="BS51" i="8"/>
  <c r="AL31" i="8"/>
  <c r="AX31" i="8"/>
  <c r="AX32" i="8" s="1"/>
  <c r="AX33" i="8" s="1"/>
  <c r="AX34" i="8" s="1"/>
  <c r="AX35" i="8" s="1"/>
  <c r="AX36" i="8" s="1"/>
  <c r="M203" i="8"/>
  <c r="BJ194" i="8"/>
  <c r="BJ195" i="8" s="1"/>
  <c r="M148" i="8"/>
  <c r="M149" i="8" s="1"/>
  <c r="M150" i="8" s="1"/>
  <c r="M151" i="8" s="1"/>
  <c r="AL77" i="8"/>
  <c r="BV65" i="8"/>
  <c r="AT65" i="8" s="1"/>
  <c r="BS194" i="8"/>
  <c r="AL88" i="8"/>
  <c r="AE147" i="8"/>
  <c r="AE148" i="8" s="1"/>
  <c r="AE149" i="8" s="1"/>
  <c r="AE150" i="8" s="1"/>
  <c r="AE151" i="8" s="1"/>
  <c r="AE152" i="8" s="1"/>
  <c r="AE153" i="8" s="1"/>
  <c r="AE154" i="8" s="1"/>
  <c r="AE155" i="8" s="1"/>
  <c r="AE156" i="8" s="1"/>
  <c r="AE157" i="8" s="1"/>
  <c r="AE158" i="8" s="1"/>
  <c r="BD94" i="8"/>
  <c r="AL150" i="8"/>
  <c r="AQ26" i="3"/>
  <c r="AD31" i="3"/>
  <c r="BP151" i="8"/>
  <c r="BP152" i="8" s="1"/>
  <c r="BP153" i="8" s="1"/>
  <c r="BP154" i="8" s="1"/>
  <c r="BS155" i="8"/>
  <c r="BP168" i="8"/>
  <c r="BP169" i="8" s="1"/>
  <c r="BP170" i="8" s="1"/>
  <c r="AL99" i="8"/>
  <c r="AX99" i="8"/>
  <c r="AX100" i="8" s="1"/>
  <c r="AX101" i="8" s="1"/>
  <c r="AX102" i="8" s="1"/>
  <c r="AX103" i="8" s="1"/>
  <c r="AX104" i="8" s="1"/>
  <c r="AX105" i="8" s="1"/>
  <c r="AX106" i="8" s="1"/>
  <c r="AX107" i="8" s="1"/>
  <c r="AX108" i="8" s="1"/>
  <c r="AX109" i="8" s="1"/>
  <c r="AX110" i="8" s="1"/>
  <c r="AX111" i="8" s="1"/>
  <c r="AX112" i="8" s="1"/>
  <c r="AX113" i="8" s="1"/>
  <c r="AX114" i="8" s="1"/>
  <c r="BA154" i="8"/>
  <c r="BJ172" i="8"/>
  <c r="BJ173" i="8" s="1"/>
  <c r="BJ174" i="8" s="1"/>
  <c r="BJ175" i="8" s="1"/>
  <c r="BJ176" i="8" s="1"/>
  <c r="BV188" i="8"/>
  <c r="BV189" i="8" s="1"/>
  <c r="BA147" i="8"/>
  <c r="AM147" i="8" s="1"/>
  <c r="AL86" i="8"/>
  <c r="BJ147" i="8"/>
  <c r="BJ148" i="8" s="1"/>
  <c r="BP63" i="8"/>
  <c r="AR63" i="8" s="1"/>
  <c r="BA104" i="8"/>
  <c r="AB77" i="8"/>
  <c r="AB78" i="8" s="1"/>
  <c r="AB79" i="8" s="1"/>
  <c r="BV94" i="8"/>
  <c r="AT94" i="8" s="1"/>
  <c r="Y10" i="8"/>
  <c r="Y11" i="8" s="1"/>
  <c r="Y12" i="8" s="1"/>
  <c r="Y13" i="8" s="1"/>
  <c r="Y14" i="8" s="1"/>
  <c r="Y15" i="8" s="1"/>
  <c r="BV148" i="8"/>
  <c r="AT148" i="8" s="1"/>
  <c r="AL16" i="8"/>
  <c r="M145" i="8"/>
  <c r="M146" i="8" s="1"/>
  <c r="BJ62" i="8"/>
  <c r="BJ63" i="8" s="1"/>
  <c r="BG44" i="8"/>
  <c r="BG45" i="8" s="1"/>
  <c r="BG46" i="8" s="1"/>
  <c r="BG47" i="8" s="1"/>
  <c r="BG48" i="8" s="1"/>
  <c r="BG49" i="8" s="1"/>
  <c r="BG50" i="8" s="1"/>
  <c r="BG51" i="8" s="1"/>
  <c r="BG52" i="8" s="1"/>
  <c r="BG53" i="8" s="1"/>
  <c r="BG54" i="8" s="1"/>
  <c r="BG55" i="8" s="1"/>
  <c r="BG56" i="8" s="1"/>
  <c r="BG57" i="8" s="1"/>
  <c r="BG58" i="8" s="1"/>
  <c r="BG59" i="8" s="1"/>
  <c r="BG60" i="8" s="1"/>
  <c r="BG61" i="8" s="1"/>
  <c r="BG62" i="8" s="1"/>
  <c r="BG63" i="8" s="1"/>
  <c r="BG64" i="8" s="1"/>
  <c r="BG65" i="8" s="1"/>
  <c r="BG66" i="8" s="1"/>
  <c r="AH190" i="8"/>
  <c r="BJ193" i="8"/>
  <c r="AL123" i="8"/>
  <c r="AE124" i="8"/>
  <c r="AE125" i="8" s="1"/>
  <c r="BG135" i="8"/>
  <c r="BG136" i="8" s="1"/>
  <c r="BG137" i="8" s="1"/>
  <c r="BG138" i="8" s="1"/>
  <c r="BG139" i="8" s="1"/>
  <c r="BA164" i="8"/>
  <c r="AM164" i="8" s="1"/>
  <c r="AL196" i="8"/>
  <c r="BD38" i="8"/>
  <c r="S52" i="8"/>
  <c r="S53" i="8" s="1"/>
  <c r="S54" i="8" s="1"/>
  <c r="S55" i="8" s="1"/>
  <c r="S56" i="8" s="1"/>
  <c r="AQ30" i="3"/>
  <c r="AD35" i="3"/>
  <c r="BV107" i="8"/>
  <c r="AT107" i="8" s="1"/>
  <c r="BA144" i="8"/>
  <c r="BA89" i="8"/>
  <c r="AM89" i="8" s="1"/>
  <c r="AH202" i="8"/>
  <c r="AH203" i="8" s="1"/>
  <c r="BJ139" i="8"/>
  <c r="BJ140" i="8" s="1"/>
  <c r="BJ141" i="8" s="1"/>
  <c r="BD166" i="8"/>
  <c r="BD167" i="8" s="1"/>
  <c r="BG156" i="8"/>
  <c r="BV140" i="8"/>
  <c r="AT140" i="8" s="1"/>
  <c r="BV112" i="8"/>
  <c r="AT112" i="8" s="1"/>
  <c r="AD48" i="3"/>
  <c r="AQ42" i="3"/>
  <c r="BM194" i="8"/>
  <c r="AL107" i="8"/>
  <c r="BM114" i="8"/>
  <c r="BG175" i="8"/>
  <c r="BG176" i="8" s="1"/>
  <c r="BA120" i="8"/>
  <c r="AM120" i="8" s="1"/>
  <c r="AL69" i="8"/>
  <c r="Y117" i="8"/>
  <c r="BV151" i="8"/>
  <c r="AT151" i="8" s="1"/>
  <c r="BP178" i="8"/>
  <c r="AD33" i="3"/>
  <c r="AQ28" i="3"/>
  <c r="AL61" i="8"/>
  <c r="AX61" i="8"/>
  <c r="AX62" i="8" s="1"/>
  <c r="BA101" i="8"/>
  <c r="BA91" i="8"/>
  <c r="AM91" i="8" s="1"/>
  <c r="BA67" i="8"/>
  <c r="P143" i="8"/>
  <c r="P144" i="8" s="1"/>
  <c r="P145" i="8" s="1"/>
  <c r="P146" i="8" s="1"/>
  <c r="P147" i="8" s="1"/>
  <c r="P148" i="8" s="1"/>
  <c r="P149" i="8" s="1"/>
  <c r="P150" i="8" s="1"/>
  <c r="BJ82" i="8"/>
  <c r="BJ83" i="8" s="1"/>
  <c r="BJ84" i="8" s="1"/>
  <c r="BJ85" i="8" s="1"/>
  <c r="BA142" i="8"/>
  <c r="AM142" i="8" s="1"/>
  <c r="BP184" i="8"/>
  <c r="BV62" i="8"/>
  <c r="AT62" i="8" s="1"/>
  <c r="BA148" i="8"/>
  <c r="BG37" i="8"/>
  <c r="BG38" i="8" s="1"/>
  <c r="M51" i="8"/>
  <c r="BG178" i="8"/>
  <c r="BG179" i="8" s="1"/>
  <c r="BG180" i="8" s="1"/>
  <c r="BG181" i="8" s="1"/>
  <c r="BG182" i="8" s="1"/>
  <c r="BG183" i="8" s="1"/>
  <c r="BG184" i="8" s="1"/>
  <c r="BG185" i="8" s="1"/>
  <c r="BG186" i="8" s="1"/>
  <c r="BG187" i="8" s="1"/>
  <c r="BG188" i="8" s="1"/>
  <c r="BG189" i="8" s="1"/>
  <c r="BG190" i="8" s="1"/>
  <c r="BG191" i="8" s="1"/>
  <c r="BG192" i="8" s="1"/>
  <c r="BG193" i="8" s="1"/>
  <c r="BG194" i="8" s="1"/>
  <c r="BG195" i="8" s="1"/>
  <c r="BG196" i="8" s="1"/>
  <c r="BG197" i="8" s="1"/>
  <c r="BG198" i="8" s="1"/>
  <c r="BG199" i="8" s="1"/>
  <c r="BG200" i="8" s="1"/>
  <c r="BP171" i="8"/>
  <c r="BP172" i="8" s="1"/>
  <c r="BP173" i="8" s="1"/>
  <c r="BP174" i="8" s="1"/>
  <c r="BP175" i="8" s="1"/>
  <c r="BP176" i="8" s="1"/>
  <c r="BP177" i="8" s="1"/>
  <c r="AH82" i="8"/>
  <c r="AH83" i="8" s="1"/>
  <c r="AH84" i="8" s="1"/>
  <c r="BG153" i="8"/>
  <c r="BG154" i="8" s="1"/>
  <c r="BG155" i="8" s="1"/>
  <c r="AL71" i="8"/>
  <c r="BV97" i="8"/>
  <c r="AT97" i="8" s="1"/>
  <c r="BA200" i="8"/>
  <c r="BA201" i="8" s="1"/>
  <c r="BV91" i="8"/>
  <c r="AT91" i="8" s="1"/>
  <c r="BM198" i="8"/>
  <c r="BV145" i="8"/>
  <c r="AT145" i="8" s="1"/>
  <c r="BV73" i="8"/>
  <c r="AT73" i="8" s="1"/>
  <c r="BA71" i="8"/>
  <c r="AM71" i="8" s="1"/>
  <c r="BP179" i="8"/>
  <c r="BM169" i="8"/>
  <c r="BV61" i="8"/>
  <c r="AT61" i="8" s="1"/>
  <c r="BV75" i="8"/>
  <c r="AT75" i="8" s="1"/>
  <c r="AL20" i="8"/>
  <c r="BD95" i="8"/>
  <c r="AL24" i="8"/>
  <c r="BA96" i="8"/>
  <c r="AM96" i="8" s="1"/>
  <c r="AL40" i="8"/>
  <c r="AX40" i="8"/>
  <c r="AX41" i="8" s="1"/>
  <c r="AX42" i="8" s="1"/>
  <c r="AE73" i="8"/>
  <c r="AR73" i="8" s="1"/>
  <c r="BD39" i="8"/>
  <c r="BD40" i="8" s="1"/>
  <c r="AL130" i="8"/>
  <c r="BM140" i="8"/>
  <c r="BM141" i="8" s="1"/>
  <c r="BM142" i="8" s="1"/>
  <c r="BM143" i="8" s="1"/>
  <c r="BM144" i="8" s="1"/>
  <c r="BM145" i="8" s="1"/>
  <c r="BM146" i="8" s="1"/>
  <c r="BM147" i="8" s="1"/>
  <c r="BM148" i="8" s="1"/>
  <c r="BM149" i="8" s="1"/>
  <c r="BM150" i="8" s="1"/>
  <c r="BM151" i="8" s="1"/>
  <c r="AL132" i="8"/>
  <c r="BM164" i="8"/>
  <c r="BM165" i="8" s="1"/>
  <c r="AQ164" i="8" s="1"/>
  <c r="BJ171" i="8"/>
  <c r="M173" i="8"/>
  <c r="M174" i="8" s="1"/>
  <c r="M175" i="8" s="1"/>
  <c r="M176" i="8" s="1"/>
  <c r="M177" i="8" s="1"/>
  <c r="M178" i="8" s="1"/>
  <c r="M179" i="8" s="1"/>
  <c r="M180" i="8" s="1"/>
  <c r="M181" i="8" s="1"/>
  <c r="M182" i="8" s="1"/>
  <c r="M183" i="8" s="1"/>
  <c r="M184" i="8" s="1"/>
  <c r="M185" i="8" s="1"/>
  <c r="M186" i="8" s="1"/>
  <c r="M187" i="8" s="1"/>
  <c r="AE175" i="8"/>
  <c r="BV90" i="8"/>
  <c r="AT90" i="8" s="1"/>
  <c r="BJ61" i="8"/>
  <c r="BV96" i="8"/>
  <c r="AT96" i="8" s="1"/>
  <c r="BG84" i="8"/>
  <c r="BG85" i="8" s="1"/>
  <c r="BG86" i="8" s="1"/>
  <c r="BG87" i="8" s="1"/>
  <c r="AQ27" i="3"/>
  <c r="AD32" i="3"/>
  <c r="BJ36" i="8"/>
  <c r="BP65" i="8"/>
  <c r="AR65" i="8" s="1"/>
  <c r="AL111" i="8"/>
  <c r="AL131" i="8"/>
  <c r="BS189" i="8"/>
  <c r="BA90" i="8"/>
  <c r="AM90" i="8" s="1"/>
  <c r="BA110" i="8"/>
  <c r="AM110" i="8" s="1"/>
  <c r="AX192" i="8"/>
  <c r="AL192" i="8"/>
  <c r="BG15" i="8"/>
  <c r="BG16" i="8" s="1"/>
  <c r="BG17" i="8" s="1"/>
  <c r="BG18" i="8" s="1"/>
  <c r="BG19" i="8" s="1"/>
  <c r="BG20" i="8" s="1"/>
  <c r="BA87" i="8"/>
  <c r="AM87" i="8" s="1"/>
  <c r="BV58" i="8"/>
  <c r="AT58" i="8" s="1"/>
  <c r="AL133" i="8"/>
  <c r="BA56" i="8"/>
  <c r="BM127" i="8"/>
  <c r="V163" i="8"/>
  <c r="V164" i="8" s="1"/>
  <c r="AB123" i="8"/>
  <c r="AB124" i="8" s="1"/>
  <c r="AB125" i="8" s="1"/>
  <c r="AB126" i="8" s="1"/>
  <c r="AB127" i="8" s="1"/>
  <c r="AB128" i="8" s="1"/>
  <c r="AB129" i="8" s="1"/>
  <c r="AB130" i="8" s="1"/>
  <c r="AB131" i="8" s="1"/>
  <c r="AB132" i="8" s="1"/>
  <c r="AB133" i="8" s="1"/>
  <c r="AB134" i="8" s="1"/>
  <c r="AB135" i="8" s="1"/>
  <c r="AB136" i="8" s="1"/>
  <c r="AB137" i="8" s="1"/>
  <c r="AB138" i="8" s="1"/>
  <c r="AB139" i="8" s="1"/>
  <c r="AB140" i="8" s="1"/>
  <c r="AB141" i="8" s="1"/>
  <c r="AB142" i="8" s="1"/>
  <c r="AB143" i="8" s="1"/>
  <c r="AQ25" i="3"/>
  <c r="AD30" i="3"/>
  <c r="BD52" i="8"/>
  <c r="P73" i="8"/>
  <c r="BA141" i="8"/>
  <c r="AM140" i="8" s="1"/>
  <c r="AL34" i="8"/>
  <c r="BV105" i="8"/>
  <c r="AT105" i="8" s="1"/>
  <c r="S99" i="8"/>
  <c r="S100" i="8" s="1"/>
  <c r="R12" i="12"/>
  <c r="BV162" i="8"/>
  <c r="AT162" i="8" s="1"/>
  <c r="M37" i="6"/>
  <c r="O37" i="6" s="1"/>
  <c r="BJ130" i="8"/>
  <c r="BP57" i="8"/>
  <c r="AR57" i="8" s="1"/>
  <c r="AL82" i="8"/>
  <c r="BG73" i="8"/>
  <c r="BG74" i="8" s="1"/>
  <c r="BV166" i="8"/>
  <c r="AT166" i="8" s="1"/>
  <c r="BV121" i="8"/>
  <c r="AT121" i="8" s="1"/>
  <c r="BA135" i="8"/>
  <c r="AM135" i="8" s="1"/>
  <c r="BG40" i="8"/>
  <c r="BG41" i="8" s="1"/>
  <c r="AL66" i="8"/>
  <c r="BD65" i="8"/>
  <c r="BD66" i="8" s="1"/>
  <c r="BD67" i="8" s="1"/>
  <c r="BD68" i="8" s="1"/>
  <c r="BD69" i="8" s="1"/>
  <c r="BD35" i="8"/>
  <c r="BD36" i="8" s="1"/>
  <c r="BD37" i="8" s="1"/>
  <c r="BV111" i="8"/>
  <c r="AT111" i="8" s="1"/>
  <c r="BJ81" i="8"/>
  <c r="BA171" i="8"/>
  <c r="AM171" i="8" s="1"/>
  <c r="V66" i="8"/>
  <c r="S23" i="8"/>
  <c r="M55" i="8"/>
  <c r="M56" i="8" s="1"/>
  <c r="M57" i="8" s="1"/>
  <c r="M58" i="8" s="1"/>
  <c r="M59" i="8" s="1"/>
  <c r="M60" i="8" s="1"/>
  <c r="M61" i="8" s="1"/>
  <c r="M189" i="8"/>
  <c r="M190" i="8" s="1"/>
  <c r="M49" i="8"/>
  <c r="M50" i="8" s="1"/>
  <c r="BG157" i="8"/>
  <c r="BG158" i="8" s="1"/>
  <c r="BG159" i="8" s="1"/>
  <c r="AL28" i="8"/>
  <c r="AX28" i="8"/>
  <c r="V113" i="8"/>
  <c r="V114" i="8" s="1"/>
  <c r="V115" i="8" s="1"/>
  <c r="BA97" i="8"/>
  <c r="AM97" i="8" s="1"/>
  <c r="AL72" i="8"/>
  <c r="AL169" i="8"/>
  <c r="P202" i="8"/>
  <c r="P203" i="8" s="1"/>
  <c r="P204" i="8" s="1"/>
  <c r="P205" i="8" s="1"/>
  <c r="AM205" i="8" s="1"/>
  <c r="AB192" i="8"/>
  <c r="BA100" i="8"/>
  <c r="AM100" i="8" s="1"/>
  <c r="S152" i="8"/>
  <c r="S153" i="8" s="1"/>
  <c r="S154" i="8" s="1"/>
  <c r="AK206" i="8"/>
  <c r="AH46" i="8"/>
  <c r="AH47" i="8" s="1"/>
  <c r="AH48" i="8" s="1"/>
  <c r="AH49" i="8" s="1"/>
  <c r="BD34" i="8"/>
  <c r="AL11" i="8"/>
  <c r="BM70" i="8"/>
  <c r="BM71" i="8" s="1"/>
  <c r="BM197" i="8"/>
  <c r="BV123" i="8"/>
  <c r="AT123" i="8" s="1"/>
  <c r="M39" i="8"/>
  <c r="M40" i="8" s="1"/>
  <c r="M41" i="8" s="1"/>
  <c r="M42" i="8" s="1"/>
  <c r="M43" i="8" s="1"/>
  <c r="M44" i="8" s="1"/>
  <c r="M45" i="8" s="1"/>
  <c r="M46" i="8" s="1"/>
  <c r="M47" i="8" s="1"/>
  <c r="M48" i="8" s="1"/>
  <c r="M140" i="8"/>
  <c r="BV117" i="8"/>
  <c r="AT117" i="8" s="1"/>
  <c r="M200" i="8"/>
  <c r="S122" i="8"/>
  <c r="BG127" i="8"/>
  <c r="BG128" i="8" s="1"/>
  <c r="BG98" i="8"/>
  <c r="AO97" i="8" s="1"/>
  <c r="S101" i="8"/>
  <c r="S102" i="8" s="1"/>
  <c r="S103" i="8" s="1"/>
  <c r="S104" i="8" s="1"/>
  <c r="S105" i="8" s="1"/>
  <c r="S106" i="8" s="1"/>
  <c r="S107" i="8" s="1"/>
  <c r="S108" i="8" s="1"/>
  <c r="S109" i="8" s="1"/>
  <c r="V89" i="8"/>
  <c r="V90" i="8" s="1"/>
  <c r="M172" i="8"/>
  <c r="BP199" i="8"/>
  <c r="BP120" i="8"/>
  <c r="BV190" i="8"/>
  <c r="V168" i="8"/>
  <c r="BA146" i="8"/>
  <c r="AM146" i="8" s="1"/>
  <c r="BA112" i="8"/>
  <c r="Y123" i="8"/>
  <c r="Y124" i="8" s="1"/>
  <c r="Y125" i="8" s="1"/>
  <c r="BP92" i="8"/>
  <c r="AL43" i="8"/>
  <c r="AX43" i="8"/>
  <c r="BP198" i="8"/>
  <c r="BJ167" i="8"/>
  <c r="BM170" i="8"/>
  <c r="BM171" i="8" s="1"/>
  <c r="BM172" i="8" s="1"/>
  <c r="BM173" i="8" s="1"/>
  <c r="BM174" i="8" s="1"/>
  <c r="BM175" i="8" s="1"/>
  <c r="BM176" i="8" s="1"/>
  <c r="BM177" i="8" s="1"/>
  <c r="AL191" i="8"/>
  <c r="AL168" i="8"/>
  <c r="BV146" i="8"/>
  <c r="AT146" i="8" s="1"/>
  <c r="BG171" i="8"/>
  <c r="BG172" i="8" s="1"/>
  <c r="BG173" i="8" s="1"/>
  <c r="BG174" i="8" s="1"/>
  <c r="BM166" i="8"/>
  <c r="BM167" i="8" s="1"/>
  <c r="BM168" i="8" s="1"/>
  <c r="BV120" i="8"/>
  <c r="AT120" i="8" s="1"/>
  <c r="AL149" i="8"/>
  <c r="O11" i="12"/>
  <c r="AE202" i="8"/>
  <c r="BA84" i="8"/>
  <c r="AM84" i="8" s="1"/>
  <c r="S164" i="8"/>
  <c r="AB145" i="8"/>
  <c r="AH204" i="8"/>
  <c r="BJ149" i="8"/>
  <c r="BJ150" i="8" s="1"/>
  <c r="BJ151" i="8" s="1"/>
  <c r="BJ152" i="8" s="1"/>
  <c r="BJ153" i="8" s="1"/>
  <c r="BJ154" i="8" s="1"/>
  <c r="BJ155" i="8" s="1"/>
  <c r="BJ156" i="8" s="1"/>
  <c r="BJ157" i="8" s="1"/>
  <c r="BJ158" i="8" s="1"/>
  <c r="BJ159" i="8" s="1"/>
  <c r="BJ160" i="8" s="1"/>
  <c r="BJ161" i="8" s="1"/>
  <c r="BJ162" i="8" s="1"/>
  <c r="BJ163" i="8" s="1"/>
  <c r="BJ164" i="8" s="1"/>
  <c r="BJ165" i="8" s="1"/>
  <c r="BJ166" i="8" s="1"/>
  <c r="BP121" i="8"/>
  <c r="BP122" i="8" s="1"/>
  <c r="BP123" i="8" s="1"/>
  <c r="BP124" i="8" s="1"/>
  <c r="BP125" i="8" s="1"/>
  <c r="BP126" i="8" s="1"/>
  <c r="BP127" i="8" s="1"/>
  <c r="BP128" i="8" s="1"/>
  <c r="AR127" i="8" s="1"/>
  <c r="AL120" i="8"/>
  <c r="BM132" i="8"/>
  <c r="BM133" i="8" s="1"/>
  <c r="BM134" i="8" s="1"/>
  <c r="BM74" i="8"/>
  <c r="BM75" i="8" s="1"/>
  <c r="BM76" i="8" s="1"/>
  <c r="BM77" i="8" s="1"/>
  <c r="BM78" i="8" s="1"/>
  <c r="M111" i="8"/>
  <c r="BM82" i="8"/>
  <c r="BM83" i="8" s="1"/>
  <c r="BM84" i="8" s="1"/>
  <c r="BM85" i="8" s="1"/>
  <c r="BM86" i="8" s="1"/>
  <c r="BM87" i="8" s="1"/>
  <c r="BM88" i="8" s="1"/>
  <c r="BM89" i="8" s="1"/>
  <c r="AX186" i="8"/>
  <c r="AL186" i="8"/>
  <c r="BJ131" i="8"/>
  <c r="Y109" i="8"/>
  <c r="BD53" i="8"/>
  <c r="BD54" i="8" s="1"/>
  <c r="BD55" i="8" s="1"/>
  <c r="BD56" i="8" s="1"/>
  <c r="BD57" i="8" s="1"/>
  <c r="BD58" i="8" s="1"/>
  <c r="BV64" i="8"/>
  <c r="AT64" i="8" s="1"/>
  <c r="AL75" i="8"/>
  <c r="AX75" i="8"/>
  <c r="AL74" i="8" s="1"/>
  <c r="AL81" i="8"/>
  <c r="AX81" i="8"/>
  <c r="AX82" i="8" s="1"/>
  <c r="AX83" i="8" s="1"/>
  <c r="AX84" i="8" s="1"/>
  <c r="AX85" i="8" s="1"/>
  <c r="AX86" i="8" s="1"/>
  <c r="M65" i="8"/>
  <c r="M66" i="8" s="1"/>
  <c r="M67" i="8" s="1"/>
  <c r="M68" i="8" s="1"/>
  <c r="M69" i="8" s="1"/>
  <c r="M70" i="8" s="1"/>
  <c r="BG82" i="8"/>
  <c r="BG43" i="8"/>
  <c r="BA65" i="8"/>
  <c r="AM65" i="8" s="1"/>
  <c r="BV143" i="8"/>
  <c r="AT143" i="8" s="1"/>
  <c r="BV170" i="8"/>
  <c r="AT170" i="8" s="1"/>
  <c r="BD176" i="8"/>
  <c r="BV169" i="8"/>
  <c r="AT169" i="8" s="1"/>
  <c r="BA167" i="8"/>
  <c r="AM167" i="8" s="1"/>
  <c r="BP193" i="8"/>
  <c r="BP194" i="8" s="1"/>
  <c r="BP195" i="8" s="1"/>
  <c r="V145" i="8"/>
  <c r="M92" i="8"/>
  <c r="M93" i="8" s="1"/>
  <c r="M94" i="8" s="1"/>
  <c r="BV138" i="8"/>
  <c r="AT138" i="8" s="1"/>
  <c r="BA166" i="8"/>
  <c r="AM166" i="8" s="1"/>
  <c r="BA179" i="8"/>
  <c r="AM179" i="8" s="1"/>
  <c r="BD156" i="8"/>
  <c r="BD157" i="8" s="1"/>
  <c r="BD158" i="8" s="1"/>
  <c r="BS39" i="8"/>
  <c r="BS40" i="8" s="1"/>
  <c r="BS41" i="8" s="1"/>
  <c r="BS42" i="8" s="1"/>
  <c r="BS43" i="8" s="1"/>
  <c r="M206" i="8"/>
  <c r="AK180" i="8"/>
  <c r="AE130" i="8"/>
  <c r="AE131" i="8" s="1"/>
  <c r="AE132" i="8" s="1"/>
  <c r="AE133" i="8" s="1"/>
  <c r="AE134" i="8" s="1"/>
  <c r="AE135" i="8" s="1"/>
  <c r="AE136" i="8" s="1"/>
  <c r="AE137" i="8" s="1"/>
  <c r="AE138" i="8" s="1"/>
  <c r="BS109" i="8"/>
  <c r="BS110" i="8" s="1"/>
  <c r="BS111" i="8" s="1"/>
  <c r="BS112" i="8" s="1"/>
  <c r="BS113" i="8" s="1"/>
  <c r="BS114" i="8" s="1"/>
  <c r="AL89" i="8"/>
  <c r="BJ46" i="8"/>
  <c r="BD119" i="8"/>
  <c r="BD120" i="8" s="1"/>
  <c r="BD121" i="8" s="1"/>
  <c r="BD122" i="8" s="1"/>
  <c r="BD123" i="8" s="1"/>
  <c r="BD124" i="8" s="1"/>
  <c r="BD125" i="8" s="1"/>
  <c r="BD126" i="8" s="1"/>
  <c r="BP86" i="8"/>
  <c r="S47" i="8"/>
  <c r="S48" i="8" s="1"/>
  <c r="S49" i="8" s="1"/>
  <c r="S50" i="8" s="1"/>
  <c r="BA125" i="8"/>
  <c r="AM125" i="8" s="1"/>
  <c r="M10" i="8"/>
  <c r="M11" i="8" s="1"/>
  <c r="M12" i="8" s="1"/>
  <c r="M13" i="8" s="1"/>
  <c r="M14" i="8" s="1"/>
  <c r="M15" i="8" s="1"/>
  <c r="M16" i="8" s="1"/>
  <c r="M17" i="8" s="1"/>
  <c r="M18" i="8" s="1"/>
  <c r="M19" i="8" s="1"/>
  <c r="M20" i="8" s="1"/>
  <c r="M21" i="8" s="1"/>
  <c r="M22" i="8" s="1"/>
  <c r="M23" i="8" s="1"/>
  <c r="M24" i="8" s="1"/>
  <c r="M25" i="8" s="1"/>
  <c r="M26" i="8" s="1"/>
  <c r="M27" i="8" s="1"/>
  <c r="M28" i="8" s="1"/>
  <c r="M29" i="8" s="1"/>
  <c r="M30" i="8" s="1"/>
  <c r="M31" i="8" s="1"/>
  <c r="AL163" i="8"/>
  <c r="BJ138" i="8"/>
  <c r="M120" i="8"/>
  <c r="BV163" i="8"/>
  <c r="AT163" i="8" s="1"/>
  <c r="BA88" i="8"/>
  <c r="AM88" i="8" s="1"/>
  <c r="BD107" i="8"/>
  <c r="BD108" i="8" s="1"/>
  <c r="BJ69" i="8"/>
  <c r="BJ70" i="8" s="1"/>
  <c r="BJ71" i="8" s="1"/>
  <c r="BJ72" i="8" s="1"/>
  <c r="BJ73" i="8" s="1"/>
  <c r="BJ74" i="8" s="1"/>
  <c r="BJ75" i="8" s="1"/>
  <c r="BJ76" i="8" s="1"/>
  <c r="BJ77" i="8" s="1"/>
  <c r="BJ78" i="8" s="1"/>
  <c r="BJ79" i="8" s="1"/>
  <c r="BA169" i="8"/>
  <c r="AM169" i="8" s="1"/>
  <c r="AH130" i="8"/>
  <c r="AH131" i="8" s="1"/>
  <c r="AH132" i="8" s="1"/>
  <c r="AH133" i="8" s="1"/>
  <c r="AH134" i="8" s="1"/>
  <c r="AH135" i="8" s="1"/>
  <c r="M79" i="8"/>
  <c r="M80" i="8" s="1"/>
  <c r="M81" i="8" s="1"/>
  <c r="AL37" i="8"/>
  <c r="AX37" i="8"/>
  <c r="AX38" i="8" s="1"/>
  <c r="BG160" i="8"/>
  <c r="BG161" i="8" s="1"/>
  <c r="BG162" i="8" s="1"/>
  <c r="BG163" i="8" s="1"/>
  <c r="AQ6" i="3"/>
  <c r="AD6" i="3"/>
  <c r="BS164" i="8"/>
  <c r="BS165" i="8" s="1"/>
  <c r="BA47" i="8"/>
  <c r="AM47" i="8" s="1"/>
  <c r="BA124" i="8"/>
  <c r="AM124" i="8" s="1"/>
  <c r="BP93" i="8"/>
  <c r="BG126" i="8"/>
  <c r="BA140" i="8"/>
  <c r="BP129" i="8"/>
  <c r="AR128" i="8" s="1"/>
  <c r="BV82" i="8"/>
  <c r="AT82" i="8" s="1"/>
  <c r="BP74" i="8"/>
  <c r="BP75" i="8" s="1"/>
  <c r="BV150" i="8"/>
  <c r="AT150" i="8" s="1"/>
  <c r="BV172" i="8"/>
  <c r="AT172" i="8" s="1"/>
  <c r="BV102" i="8"/>
  <c r="AT102" i="8" s="1"/>
  <c r="AL135" i="8"/>
  <c r="AL143" i="8"/>
  <c r="BP183" i="8"/>
  <c r="BP51" i="8"/>
  <c r="AR51" i="8" s="1"/>
  <c r="BV52" i="8"/>
  <c r="AT52" i="8" s="1"/>
  <c r="AL49" i="8"/>
  <c r="AX49" i="8"/>
  <c r="AE78" i="8"/>
  <c r="BM187" i="8"/>
  <c r="S197" i="8"/>
  <c r="BV71" i="8"/>
  <c r="AT71" i="8" s="1"/>
  <c r="S124" i="8"/>
  <c r="BV142" i="8"/>
  <c r="AT142" i="8" s="1"/>
  <c r="BP62" i="8"/>
  <c r="AR62" i="8" s="1"/>
  <c r="AL96" i="8"/>
  <c r="S110" i="8"/>
  <c r="AN109" i="8" s="1"/>
  <c r="BG130" i="8"/>
  <c r="BV129" i="8"/>
  <c r="AT129" i="8" s="1"/>
  <c r="M141" i="8"/>
  <c r="AL62" i="8"/>
  <c r="P108" i="8"/>
  <c r="P109" i="8" s="1"/>
  <c r="P110" i="8" s="1"/>
  <c r="P111" i="8" s="1"/>
  <c r="P112" i="8" s="1"/>
  <c r="P113" i="8" s="1"/>
  <c r="AL97" i="8"/>
  <c r="AX97" i="8"/>
  <c r="BM113" i="8"/>
  <c r="BM10" i="8"/>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AL27" i="8"/>
  <c r="AX27" i="8"/>
  <c r="BG67" i="8"/>
  <c r="BA155" i="8"/>
  <c r="AM155" i="8" s="1"/>
  <c r="V176" i="8"/>
  <c r="BG140" i="8"/>
  <c r="BG141" i="8" s="1"/>
  <c r="BA79" i="8"/>
  <c r="AM79" i="8" s="1"/>
  <c r="BA196" i="8"/>
  <c r="P135" i="8"/>
  <c r="P136" i="8" s="1"/>
  <c r="P137" i="8" s="1"/>
  <c r="P138" i="8" s="1"/>
  <c r="P139" i="8" s="1"/>
  <c r="P140" i="8" s="1"/>
  <c r="BG177" i="8"/>
  <c r="BJ142" i="8"/>
  <c r="BJ143" i="8" s="1"/>
  <c r="BS69" i="8"/>
  <c r="BS70" i="8" s="1"/>
  <c r="BS71" i="8" s="1"/>
  <c r="BS72" i="8" s="1"/>
  <c r="BS73" i="8" s="1"/>
  <c r="BS74" i="8" s="1"/>
  <c r="BS75" i="8" s="1"/>
  <c r="BS76" i="8" s="1"/>
  <c r="BS77" i="8" s="1"/>
  <c r="BS78" i="8" s="1"/>
  <c r="BS79" i="8" s="1"/>
  <c r="BS80" i="8" s="1"/>
  <c r="BS81" i="8" s="1"/>
  <c r="BS82" i="8" s="1"/>
  <c r="BS83" i="8" s="1"/>
  <c r="BS84" i="8" s="1"/>
  <c r="BS85" i="8" s="1"/>
  <c r="BA153" i="8"/>
  <c r="AM153" i="8" s="1"/>
  <c r="BM64" i="8"/>
  <c r="BP68" i="8"/>
  <c r="BJ42" i="8"/>
  <c r="BJ43" i="8" s="1"/>
  <c r="BJ44" i="8" s="1"/>
  <c r="BJ45" i="8" s="1"/>
  <c r="AL57" i="8"/>
  <c r="AX177" i="8"/>
  <c r="AL177" i="8"/>
  <c r="BV86" i="8"/>
  <c r="AT86" i="8" s="1"/>
  <c r="BJ182" i="8"/>
  <c r="BJ183" i="8" s="1"/>
  <c r="BP110" i="8"/>
  <c r="BV155" i="8"/>
  <c r="AT155" i="8" s="1"/>
  <c r="BD91" i="8"/>
  <c r="BD92" i="8" s="1"/>
  <c r="AE106" i="8"/>
  <c r="AE107" i="8" s="1"/>
  <c r="AE108" i="8" s="1"/>
  <c r="AF44" i="3" l="1"/>
  <c r="AF29" i="3"/>
  <c r="AF22" i="3"/>
  <c r="AF18" i="3"/>
  <c r="AF17" i="3"/>
  <c r="AF10" i="3"/>
  <c r="AF50" i="3"/>
  <c r="AF5" i="3"/>
  <c r="B5" i="8"/>
  <c r="B6" i="8" s="1"/>
  <c r="AF49" i="3"/>
  <c r="H5" i="8"/>
  <c r="H6" i="8" s="1"/>
  <c r="AD55" i="3"/>
  <c r="F5" i="8"/>
  <c r="F6" i="8" s="1"/>
  <c r="AF42" i="3"/>
  <c r="AF45" i="3"/>
  <c r="AF32" i="3"/>
  <c r="AF31" i="3"/>
  <c r="AF4" i="3"/>
  <c r="AF23" i="3"/>
  <c r="AF47" i="3"/>
  <c r="AF15" i="3"/>
  <c r="M34" i="6"/>
  <c r="M54" i="6"/>
  <c r="O55" i="6"/>
  <c r="M41" i="6"/>
  <c r="M50" i="6"/>
  <c r="I5" i="8"/>
  <c r="I6" i="8" s="1"/>
  <c r="AF26" i="3"/>
  <c r="AD54" i="3"/>
  <c r="AF54" i="3" s="1"/>
  <c r="AF46" i="3"/>
  <c r="J5" i="8"/>
  <c r="J6" i="8" s="1"/>
  <c r="AF25" i="3"/>
  <c r="AF11" i="3"/>
  <c r="AF43" i="3"/>
  <c r="AF8" i="3"/>
  <c r="D5" i="8"/>
  <c r="D6" i="8" s="1"/>
  <c r="AF9" i="3"/>
  <c r="AF39" i="3"/>
  <c r="AF48" i="3"/>
  <c r="AF19" i="3"/>
  <c r="AF41" i="3"/>
  <c r="AF12" i="3"/>
  <c r="AF51" i="3"/>
  <c r="AF34" i="3"/>
  <c r="C5" i="8"/>
  <c r="C6" i="8" s="1"/>
  <c r="AF40" i="3"/>
  <c r="AF3" i="3"/>
  <c r="Z67" i="3"/>
  <c r="AF36" i="3"/>
  <c r="AH6" i="3"/>
  <c r="AH17" i="3"/>
  <c r="AF38" i="3"/>
  <c r="AF35" i="3"/>
  <c r="AF30" i="3"/>
  <c r="AF33" i="3"/>
  <c r="AF27" i="3"/>
  <c r="AF6" i="3"/>
  <c r="G5" i="8"/>
  <c r="G6" i="8" s="1"/>
  <c r="AF16" i="3"/>
  <c r="AF55" i="3" l="1"/>
  <c r="AG53" i="3"/>
  <c r="AH20" i="3"/>
  <c r="AH16" i="3"/>
  <c r="AG44" i="3"/>
  <c r="AG5" i="3"/>
  <c r="AG21" i="3"/>
  <c r="AG13" i="3"/>
  <c r="AG6" i="3"/>
  <c r="AG30" i="3"/>
  <c r="AG4" i="3"/>
  <c r="AG32" i="3"/>
  <c r="AG8" i="3"/>
  <c r="AG29" i="3"/>
  <c r="AG27" i="3"/>
  <c r="AG34" i="3"/>
  <c r="AG19" i="3"/>
  <c r="AG12" i="3"/>
  <c r="AG16" i="3"/>
  <c r="AG41" i="3"/>
  <c r="AG22" i="3"/>
  <c r="AG51" i="3"/>
  <c r="AG35" i="3"/>
  <c r="AG48" i="3"/>
  <c r="AG33" i="3"/>
  <c r="AG10" i="3"/>
  <c r="AG9" i="3"/>
  <c r="AU6" i="3"/>
  <c r="AG46" i="3"/>
  <c r="AG47" i="3"/>
  <c r="AG26" i="3"/>
  <c r="AG23" i="3"/>
  <c r="AG43" i="3"/>
  <c r="AG11" i="3"/>
  <c r="AG15" i="3"/>
  <c r="AG31" i="3"/>
  <c r="AG38" i="3"/>
  <c r="AG39" i="3"/>
  <c r="AG3" i="3"/>
  <c r="AG40" i="3"/>
  <c r="AG17" i="3"/>
  <c r="AG18" i="3"/>
  <c r="AG42" i="3"/>
  <c r="AG25" i="3"/>
  <c r="AG49" i="3"/>
  <c r="AG36" i="3"/>
  <c r="AG45" i="3"/>
  <c r="AG50" i="3"/>
  <c r="Z68" i="3"/>
  <c r="AG54" i="3"/>
  <c r="Z66" i="3"/>
  <c r="Z69" i="3"/>
  <c r="Z65" i="3"/>
  <c r="AB59" i="3"/>
  <c r="O41" i="6"/>
  <c r="O34" i="6"/>
  <c r="O50" i="6"/>
  <c r="O54" i="6"/>
  <c r="AG55" i="3"/>
  <c r="AC59" i="3"/>
  <c r="AA62" i="3" l="1"/>
  <c r="AA60" i="3"/>
  <c r="Z60" i="3" s="1"/>
  <c r="AB60" i="3" s="1"/>
  <c r="AA63" i="3"/>
  <c r="Z63" i="3" s="1"/>
  <c r="AB63" i="3" s="1"/>
  <c r="AA61" i="3"/>
  <c r="Z61" i="3" s="1"/>
  <c r="AB61" i="3" s="1"/>
  <c r="AC60" i="3"/>
  <c r="AC61" i="3"/>
  <c r="AC63" i="3"/>
  <c r="Z62" i="3" l="1"/>
  <c r="AB62" i="3" s="1"/>
  <c r="AC62" i="3"/>
</calcChain>
</file>

<file path=xl/sharedStrings.xml><?xml version="1.0" encoding="utf-8"?>
<sst xmlns="http://schemas.openxmlformats.org/spreadsheetml/2006/main" count="14263" uniqueCount="2275">
  <si>
    <t>Country</t>
  </si>
  <si>
    <t>European Union</t>
  </si>
  <si>
    <t>Aruba</t>
  </si>
  <si>
    <t>Afghanistan</t>
  </si>
  <si>
    <t>Angola</t>
  </si>
  <si>
    <t>Anguilla</t>
  </si>
  <si>
    <t>Albania</t>
  </si>
  <si>
    <t>United Arab Emirates</t>
  </si>
  <si>
    <t>Argentina</t>
  </si>
  <si>
    <t>Armenia</t>
  </si>
  <si>
    <t>Antigua and Barbuda</t>
  </si>
  <si>
    <t>Australia</t>
  </si>
  <si>
    <t>Austria</t>
  </si>
  <si>
    <t>Azerbaijan</t>
  </si>
  <si>
    <t>Belgium</t>
  </si>
  <si>
    <t>Benin</t>
  </si>
  <si>
    <t>Burkina Faso</t>
  </si>
  <si>
    <t>Bangladesh</t>
  </si>
  <si>
    <t>Bulgaria</t>
  </si>
  <si>
    <t>Bahrain</t>
  </si>
  <si>
    <t>Bahamas, The</t>
  </si>
  <si>
    <t>Bosnia and Herzegovina</t>
  </si>
  <si>
    <t>Belarus</t>
  </si>
  <si>
    <t>Belize</t>
  </si>
  <si>
    <t>Bermuda</t>
  </si>
  <si>
    <t>Bolivia</t>
  </si>
  <si>
    <t>Brazil</t>
  </si>
  <si>
    <t>Barbados</t>
  </si>
  <si>
    <t>Brunei Darussalam</t>
  </si>
  <si>
    <t>Bhutan</t>
  </si>
  <si>
    <t>Botswana</t>
  </si>
  <si>
    <t>Central African Republic</t>
  </si>
  <si>
    <t>Canada</t>
  </si>
  <si>
    <t>Switzerland</t>
  </si>
  <si>
    <t>Chile</t>
  </si>
  <si>
    <t>China</t>
  </si>
  <si>
    <t>Cote d'Ivoire</t>
  </si>
  <si>
    <t>Cameroon</t>
  </si>
  <si>
    <t>Congo, Democratic Republic of the</t>
  </si>
  <si>
    <t>Congo, Republic of the</t>
  </si>
  <si>
    <t>Cook Islands</t>
  </si>
  <si>
    <t>Colombia</t>
  </si>
  <si>
    <t>Comoros</t>
  </si>
  <si>
    <t>Cape Verde</t>
  </si>
  <si>
    <t>Costa Rica</t>
  </si>
  <si>
    <t>Cayman Islands</t>
  </si>
  <si>
    <t>Cyprus</t>
  </si>
  <si>
    <t>Czechia</t>
  </si>
  <si>
    <t>Germany</t>
  </si>
  <si>
    <t>Dominica</t>
  </si>
  <si>
    <t>Denmark</t>
  </si>
  <si>
    <t>Dominican Republic</t>
  </si>
  <si>
    <t>Algeria</t>
  </si>
  <si>
    <t>Ecuador</t>
  </si>
  <si>
    <t>Egypt</t>
  </si>
  <si>
    <t>Spain</t>
  </si>
  <si>
    <t>Estonia</t>
  </si>
  <si>
    <t>Ethiopia</t>
  </si>
  <si>
    <t>Finland</t>
  </si>
  <si>
    <t>Fiji</t>
  </si>
  <si>
    <t>France</t>
  </si>
  <si>
    <t>Gabon</t>
  </si>
  <si>
    <t>United Kingdom</t>
  </si>
  <si>
    <t>Georgia</t>
  </si>
  <si>
    <t>Guernsey</t>
  </si>
  <si>
    <t>Ghana</t>
  </si>
  <si>
    <t>Guinea</t>
  </si>
  <si>
    <t>Gambia, The</t>
  </si>
  <si>
    <t>Guinea-Bissau</t>
  </si>
  <si>
    <t>Equatorial Guinea</t>
  </si>
  <si>
    <t>Greece</t>
  </si>
  <si>
    <t>Grenada</t>
  </si>
  <si>
    <t>Guatemala</t>
  </si>
  <si>
    <t>Guyana</t>
  </si>
  <si>
    <t>Hong Kong, China</t>
  </si>
  <si>
    <t>Honduras</t>
  </si>
  <si>
    <t>Croatia</t>
  </si>
  <si>
    <t>Haiti</t>
  </si>
  <si>
    <t>Hungary</t>
  </si>
  <si>
    <t>Indonesia</t>
  </si>
  <si>
    <t>Isle of Man</t>
  </si>
  <si>
    <t>India</t>
  </si>
  <si>
    <t>Ireland</t>
  </si>
  <si>
    <t>Iran</t>
  </si>
  <si>
    <t>Iraq</t>
  </si>
  <si>
    <t>Iceland</t>
  </si>
  <si>
    <t>Israel</t>
  </si>
  <si>
    <t>Italy</t>
  </si>
  <si>
    <t>Jamaica</t>
  </si>
  <si>
    <t>Jersey</t>
  </si>
  <si>
    <t>Jordan</t>
  </si>
  <si>
    <t>Japan</t>
  </si>
  <si>
    <t>Kazakhstan</t>
  </si>
  <si>
    <t>Kenya</t>
  </si>
  <si>
    <t>Kyrgyzstan</t>
  </si>
  <si>
    <t>Cambodia</t>
  </si>
  <si>
    <t>Saint Kitts and Nevis</t>
  </si>
  <si>
    <t>Korea, Republic of</t>
  </si>
  <si>
    <t>Kuwait</t>
  </si>
  <si>
    <t>Lao People's Democratic Republic</t>
  </si>
  <si>
    <t>Lebanon</t>
  </si>
  <si>
    <t>Liberia</t>
  </si>
  <si>
    <t>Libya</t>
  </si>
  <si>
    <t>Saint Lucia</t>
  </si>
  <si>
    <t>Sri Lanka</t>
  </si>
  <si>
    <t>Lesotho</t>
  </si>
  <si>
    <t>Lithuania</t>
  </si>
  <si>
    <t>Luxembourg</t>
  </si>
  <si>
    <t>Latvia</t>
  </si>
  <si>
    <t>Macao, China</t>
  </si>
  <si>
    <t>Morocco</t>
  </si>
  <si>
    <t>Monaco</t>
  </si>
  <si>
    <t>Moldova</t>
  </si>
  <si>
    <t>Madagascar</t>
  </si>
  <si>
    <t>Maldives</t>
  </si>
  <si>
    <t>Mexico</t>
  </si>
  <si>
    <t>Marshall Islands</t>
  </si>
  <si>
    <t>North Macedonia</t>
  </si>
  <si>
    <t>Mali</t>
  </si>
  <si>
    <t>Malta</t>
  </si>
  <si>
    <t>Myanmar</t>
  </si>
  <si>
    <t>Montenegro</t>
  </si>
  <si>
    <t>Mongolia</t>
  </si>
  <si>
    <t>Mozambique</t>
  </si>
  <si>
    <t>Mauritania</t>
  </si>
  <si>
    <t>Montserrat</t>
  </si>
  <si>
    <t>Mauritius</t>
  </si>
  <si>
    <t>Malawi</t>
  </si>
  <si>
    <t>Malaysia</t>
  </si>
  <si>
    <t>Namibia</t>
  </si>
  <si>
    <t>Niger</t>
  </si>
  <si>
    <t>Nigeria</t>
  </si>
  <si>
    <t>Nicaragua</t>
  </si>
  <si>
    <t>Netherlands</t>
  </si>
  <si>
    <t>Norway</t>
  </si>
  <si>
    <t>Nepal</t>
  </si>
  <si>
    <t>Nauru</t>
  </si>
  <si>
    <t>New Zealand</t>
  </si>
  <si>
    <t>Oman</t>
  </si>
  <si>
    <t>Pakistan</t>
  </si>
  <si>
    <t>Panama</t>
  </si>
  <si>
    <t>Peru</t>
  </si>
  <si>
    <t>Philippines</t>
  </si>
  <si>
    <t>Palau</t>
  </si>
  <si>
    <t>Papua New Guinea</t>
  </si>
  <si>
    <t>Poland</t>
  </si>
  <si>
    <t>Puerto Rico</t>
  </si>
  <si>
    <t>Portugal</t>
  </si>
  <si>
    <t>Paraguay</t>
  </si>
  <si>
    <t>West Bank and Gaza</t>
  </si>
  <si>
    <t>Qatar</t>
  </si>
  <si>
    <t>Romania</t>
  </si>
  <si>
    <t>Russian Federation</t>
  </si>
  <si>
    <t>Rwanda</t>
  </si>
  <si>
    <t>Saudi Arabia</t>
  </si>
  <si>
    <t>Sudan</t>
  </si>
  <si>
    <t>Senegal</t>
  </si>
  <si>
    <t>Singapore</t>
  </si>
  <si>
    <t>Solomon Islands</t>
  </si>
  <si>
    <t>Sierra Leone</t>
  </si>
  <si>
    <t>El Salvador</t>
  </si>
  <si>
    <t>San Marino</t>
  </si>
  <si>
    <t>Somalia</t>
  </si>
  <si>
    <t>Serbia</t>
  </si>
  <si>
    <t>Sao Tome and Principe</t>
  </si>
  <si>
    <t>Suriname</t>
  </si>
  <si>
    <t>Slovakia</t>
  </si>
  <si>
    <t>Slovenia</t>
  </si>
  <si>
    <t>Sweden</t>
  </si>
  <si>
    <t>Eswatini</t>
  </si>
  <si>
    <t>St Maarten</t>
  </si>
  <si>
    <t>Seychelles</t>
  </si>
  <si>
    <t>Turks and Caicos</t>
  </si>
  <si>
    <t>Chad</t>
  </si>
  <si>
    <t>Togo</t>
  </si>
  <si>
    <t>Thailand</t>
  </si>
  <si>
    <t>Tajikistan</t>
  </si>
  <si>
    <t>Timor-Leste</t>
  </si>
  <si>
    <t>Tonga</t>
  </si>
  <si>
    <t>Trinidad and Tobago</t>
  </si>
  <si>
    <t>Tunisia</t>
  </si>
  <si>
    <t>Turkey</t>
  </si>
  <si>
    <t>Tuvalu</t>
  </si>
  <si>
    <t>Taiwan</t>
  </si>
  <si>
    <t>Uganda</t>
  </si>
  <si>
    <t>Ukraine</t>
  </si>
  <si>
    <t>Uruguay</t>
  </si>
  <si>
    <t>United States</t>
  </si>
  <si>
    <t>Uzbekistan</t>
  </si>
  <si>
    <t>Saint Vincent and the Grenadines</t>
  </si>
  <si>
    <t>Venezuela</t>
  </si>
  <si>
    <t>British Virgin Islands</t>
  </si>
  <si>
    <t>Vietnam</t>
  </si>
  <si>
    <t>Vanuatu</t>
  </si>
  <si>
    <t>Samoa</t>
  </si>
  <si>
    <t>Kosovo</t>
  </si>
  <si>
    <t>Yemen</t>
  </si>
  <si>
    <t>South Africa</t>
  </si>
  <si>
    <t>Zambia</t>
  </si>
  <si>
    <t>Zimbabwe</t>
  </si>
  <si>
    <t>PolicyCategory</t>
  </si>
  <si>
    <t>other</t>
  </si>
  <si>
    <t/>
  </si>
  <si>
    <t>PolicyCode</t>
  </si>
  <si>
    <t>general</t>
  </si>
  <si>
    <t>other (exemption)</t>
  </si>
  <si>
    <t>exemption</t>
  </si>
  <si>
    <t>25/27</t>
  </si>
  <si>
    <t>Fullpolicy</t>
  </si>
  <si>
    <t>Extend the scope of the EU Solidarity Fund to include a public health crisis.</t>
  </si>
  <si>
    <t>Compensate companies for the damage directly caused by exceptional occurrences, such as COVID-19, including measures in sectors such as aviation and tourism.</t>
  </si>
  <si>
    <t>Establish a Corona Response Investment Initiative (CRII) and the Coronavirus Response Invesmente Initiative Plus (CRII+) to support public investment for hospitals.</t>
  </si>
  <si>
    <t>Creation of temporary loan-based instrument (SURE) of up to EUR 100 billion to protect workers and jobs, supported by guarantees from EU member states.</t>
  </si>
  <si>
    <t>25 billion in government guarantees to the European Investment Bank to support up to EUR200 billion to finance to companies, with a focus on SMEs.</t>
  </si>
  <si>
    <t>Redirect EUR1 billion from the EU Budget to the European Investment Fund to incentivize banks to provide liquidity to hit SMEs and midcaps</t>
  </si>
  <si>
    <t>Up to 2% of 2019 GDP for each euro area member (up to EUR240 billion in total) to finance health related spending.</t>
  </si>
  <si>
    <t>Credit holidays to existing debtors.</t>
  </si>
  <si>
    <t xml:space="preserve">One-off emergency relief payment of USD 250 for individuals and up to USD 1,000 for families who are required to self- quarantine. This will be available to informal casual workers and those on low incomes. </t>
  </si>
  <si>
    <t xml:space="preserve">Commonwealth government to spend almost an extra AS5 billion (0.3% of GDP) to strengthen the health system and protect the vulnerable people, including those in aged care, from the outbreak of COVID-19. </t>
  </si>
  <si>
    <t xml:space="preserve">The Government is providing up to A$100,000 to eligible small and medium sized businesses, and not-for-profits (including charities) that employ people, with a minimum payment of A$20,000. These payments will help businesses’ and not-for-profits’ cash flow so they can keep operating, pay their rent, electricity and other bills and retain staff. </t>
  </si>
  <si>
    <t>Under the enhanced scheme from the first package, employers will receive a payment equal to 100% of their salary and wages withheld (up from 50%), with the maximum payment being increased from USD 25,000 to USD 50,000. In addition, the minimum payment is being increased from A$2,000 to A$10,000. The payment will be available from April 28.</t>
  </si>
  <si>
    <t xml:space="preserve">One-off payment of A$750 to social security, veteran and other income support recipients and eligible concession card holders. </t>
  </si>
  <si>
    <t xml:space="preserve">A further A$750 payment to social security and veteran income support recipients and eligible concession card holders, except for those who are receiving an income support payment that is eligible to receive the COVID-19 supplement. </t>
  </si>
  <si>
    <t>COVID-19 SME Guarantee Scheme which will support small and medium enterprises (SMEs) to get access to working capital to help them get them through the impact of the COVID-19. Under the Scheme, the Government will guarantee 50 per cent of new loans issued by eligible lenders to SMEs.</t>
  </si>
  <si>
    <t>Changes to pension deeming rate (cut of lower deeming rate, top rate). Individuals affected by the COVID-19 can access up to A$10,000 of their superannuation in 2019-2020 and a further USD 10,000 in 2020-21.</t>
  </si>
  <si>
    <t>Accelerated depreciation: Businesses with a turnover of less than A$500 million will be able to deduct 50 per cent of the cost of an eligible asset on installation, with existing depreciation rules applying to the balance of the asset’s cost.</t>
  </si>
  <si>
    <t xml:space="preserve">Temporary expansion of eligibility to income support payments and the establishment of a new, time-limited COVID-19 supplement to be paid at a rate of A$550 per fortnight. This will be paid to both existing and new recipients of the JobSeeker Payment, Youth Allowance jobseeker, Parenting Payment, Farm Household Allowance and Special Benefit. </t>
  </si>
  <si>
    <t>Accelerating refunds: ATO will allow businesses on a quarterly reporting cycle to opt into monthly GST reporting in order to get quicker access to GST refunds they may be entitled to.</t>
  </si>
  <si>
    <t xml:space="preserve">Commitment to spend A$2.4 billion to strengthen the health system and protect vulnerable people from the outbreak of COVID-19. </t>
  </si>
  <si>
    <t>State and Territory governments also announced fiscal stimulus packages, together amounting to A$11.5 billion (0.6% of GDP), including payroll tax relief for businesses and relief for households, such as discount utility bills, cash payments to vulnerable households, and support for health spending.</t>
  </si>
  <si>
    <t xml:space="preserve">Commonwealth office to share public health costs incurred by States and Territories, estimated at A$544.6 million. </t>
  </si>
  <si>
    <t xml:space="preserve">A$1 billion to support those regions and communities that have been disproportionately affected by the economic impacts of the COVID-19, including those heavily reliant on industries such as tourism, agriculture and education. </t>
  </si>
  <si>
    <t xml:space="preserve">Eligible employers can apply for a wage subsidy of 50% of the apprentice’s or trainee’s wage for up to 9 months from 1 January 2020 to 30 September. Where a small business is not able to retain an apprentice, the subsidy will be available to a new employer that employs that apprentice. </t>
  </si>
  <si>
    <t>SME protection (retroactive to January 1-June 30): SMEs with aggregated annual turnover under A$50 million that withhold tax to the ATO on their employees’ salary and wages will receive a payment equal to 50% of the amount withheld up to a maximum payment of A$25,000. SMEs that pay salary and wages will receive a minimum payment of A$2,000, even if they are not required to withhold tax.</t>
  </si>
  <si>
    <t>Increase the instant asset write-off : instant asset write-off threshold is increased from A$30,000 to A$150,000 with access expanded access to include businesses with aggregated annual turnover of less than A$500 million (up from A$50 million)</t>
  </si>
  <si>
    <t>The Commonwealth government has committed to provide free childcare to around one million families and announced targeted support to the education system.</t>
  </si>
  <si>
    <t>From 1 March 2020 to 30 June 2020, taxpayers are allowed to claim AUD 0.80 for each hour working from home for all their running expenses</t>
  </si>
  <si>
    <t xml:space="preserve">Government is covering up to 90% of wages/salaries of workers to stay employed, rather than being laid-off. </t>
  </si>
  <si>
    <t>Temporary waiving of conditionalities to receive childcare benefits (i.e. obligatory health examinations that usually have to take place at fixed times during pregnancy until age 5 of the child)</t>
  </si>
  <si>
    <t>The excise duty-free use of alcohol for the production of disinfectants is to be facilitated by simplifying procedures in order to make alcohol available tax-free.</t>
  </si>
  <si>
    <t xml:space="preserve">Cash assistance for one-person companies and freelancers affected by the crisis (e.g. service providers, artists, etc.) through a hardship fund, implemented by the Austrian Economic Chamber </t>
  </si>
  <si>
    <t>Applications can be made to reduce and/or not fix the advance payments of income or corporation tax for the fiscal year 2020, to refrain from setting additional interest, to defer and pay instalments, and to suspend deferred interest and late payments</t>
  </si>
  <si>
    <t>Filing deadlines for CIT as well as PIT, annual VAT and determination of income is extended until August 31, 2020. Interest for late tax return filing are automatically also waived.</t>
  </si>
  <si>
    <t>EUR9 billion in guarantees for businesses.</t>
  </si>
  <si>
    <t>Bonus payments by the employer are tax-free up to a maximum of EUR 3,000. The bonus payment will only be fully tax-free, if the actual payment was done in 2020</t>
  </si>
  <si>
    <t>EUR15 billion in emergency aid to households and businesses affected by health measures</t>
  </si>
  <si>
    <t>Employees with care responsibilities for one or more children under the age of 14 can take up to 3 weeks of care leave (Sonderbetreuungszeit) with full wage replacement (1/3 of the salary will be reimbursed to the employer by the government)</t>
  </si>
  <si>
    <t>The measures to protect businesses are also available for PIT-liable individuals</t>
  </si>
  <si>
    <t>Case by case deferrals on VAT; payment dealing of June 30 extended</t>
  </si>
  <si>
    <t>Funding for short-term work was increased on April 13, from EUR 3 to EUR 5 billion, and the time frame for the submission of applications extended.</t>
  </si>
  <si>
    <t>VAT exemption for respirator masks.</t>
  </si>
  <si>
    <t>Self-employed workers who are incapacitated for work for at least 8 days are entitled to an incapacity for work benefit payable by the health insurance scheme from the first day.</t>
  </si>
  <si>
    <t>The Federal government will guarantee new short-term loans to non-financial companies and self-employed workers for a total of EUR 50 billion.</t>
  </si>
  <si>
    <t>Acceleration of VAT refunds.</t>
  </si>
  <si>
    <t>Additional measures to delay or cancel payments of tax arrears linked to the COVID-19 crisis. In certain cases, no late-payment interest will be due and penalties for not paying taxes will be waived.</t>
  </si>
  <si>
    <t>Salary supplements linked to temporary home-based work can be requested to be exempt from income taxation for the period of the COVID-19 crisis.</t>
  </si>
  <si>
    <t>Special bonus of up to EUR 1,000 euros in essential sectors (e.g. food sector, energy sector.).</t>
  </si>
  <si>
    <t>Some jurisdictions will temporarily cover utility costs for households with a worker facing temporary employment; utilities (water, gas, power) will not be disconnected during the COVID-19 crisis.</t>
  </si>
  <si>
    <t>New automatic deferral of VAT, and PIT payments for 2 months. VAT returns can be submitted until 20 July 2020 and withholding tax on earned income until 15 July 2020.</t>
  </si>
  <si>
    <t>Submitting a CIT return can be deferred until 30 April 2020.</t>
  </si>
  <si>
    <t>Exemption from PIT of overtime hours worked between April 1, 2020 and June 30, 2020.</t>
  </si>
  <si>
    <t>Businesses active in the audiovisual and performing arts sector will have a further six months in which to incur expenditure eligible for tax shelter.</t>
  </si>
  <si>
    <t>Local governments committed to freeze local taxes.</t>
  </si>
  <si>
    <t xml:space="preserve">The temporary unemployment insurance was extended and loosened. An immediate benefit of EUR 1,425 is provided and the general replacement level was increased from 65 to 70% of the employee's salary. </t>
  </si>
  <si>
    <t>Extension of the seasonal suspension of evictions from dwellings (la trêve hivernale).</t>
  </si>
  <si>
    <t>Temporary measures to allow VAT-free gifts of medical equipment to specified healthcare institutions (no VAT liability; no impact on right for donor to recover associated input VAT).</t>
  </si>
  <si>
    <t>Reduced advance tax payment rates for self-employed persons and companies to mitigate the effects of the COVID-19 pandemic.</t>
  </si>
  <si>
    <t>No penalties will be imposed by the government for delays in the execution or the cancellation of government contracts related to the COVID-19 crisis.</t>
  </si>
  <si>
    <t>Self-employed workers who are forced by the government to stop their activities are entitled to a replacement income of EUR 1,291 or EUR 1,614 depending on their family composition. For certain sectors the mandatory waiting period of 7 days has been suspended.</t>
  </si>
  <si>
    <t xml:space="preserve">Exceptional holidays granted in return for days worked between 13 March 2020 and 30 June 2020. </t>
  </si>
  <si>
    <t>Extraordinary costs linked to the temporary production of medical equipment can be deducted in the income tax regime.</t>
  </si>
  <si>
    <t>45% tax credit for in-kind donations of medical equipment to hospitals.</t>
  </si>
  <si>
    <t>Self-employed workers can request a revision of their advance income tax payments and can postpone SSCs for Q1 and Q2 by one year without penalties.</t>
  </si>
  <si>
    <t>Payment period for excise and VAT on the import of medical alcohol has been extended from 1 to 4 weeks.</t>
  </si>
  <si>
    <t>Banks have agreed to allow loan repayments to be postponed until September 2020 for non-financial companies without penalties.</t>
  </si>
  <si>
    <t>Exemption from income tax of direct aid granted by the Regions to taxpayers (SMEs, self-employed workers and childcare providers) in order to limit the impact of the COVID.</t>
  </si>
  <si>
    <t>SSCs due in Q1 and Q2 can be postponed and/or paid in instalments if requested</t>
  </si>
  <si>
    <t>SMEs eligible for the wage subsidy (see under Expenditure Instruments) will be able to benefit immediately by subtracting the subsidy amount from their remittances of income tax withheld on their employees' remuneration.</t>
  </si>
  <si>
    <t>Businesses can defer the payment of any income tax (until September 2020). No interest or penalties will be applied.</t>
  </si>
  <si>
    <t xml:space="preserve">A new Indigenous Community Support Fund financed at CAD 305 million is to address immediate needs in First Nations, Inuit, and Métis Nation communities. </t>
  </si>
  <si>
    <t>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</si>
  <si>
    <t>Implementation of the EI Work Sharing Program, which provides EI benefits up to 76 weeks to workers who agree to reduce their normal working hours as a result of developments beyond the control of their employers.</t>
  </si>
  <si>
    <t>British Columbia will provide a one-time CAD 1,000 payment to people who lost their incomes due to COVID-19.</t>
  </si>
  <si>
    <t>Business can defer the payment or remittance of GST/HST amounts (until June 30, 2020). No interest will accumulate on these deferred amounts and no late-filing penalties will be impose, if a late return is filed by June 30, 2020.</t>
  </si>
  <si>
    <t>Funding for addressing a range of COVID-19 related needs of the homeless and women and children who are victims of violence.</t>
  </si>
  <si>
    <t>SMEs can receive a temporary wage subsidy for a period of three months; the subsidy will be equal to 10% of remuneration paid during that period, up to a maximum subsidy of CAD 1,375 per employee and CAD 25,000 per employer.</t>
  </si>
  <si>
    <t>Additional measures targeted at specific groups have been put in place as well, incl. through the Indigenous Community Support Fund, repayment of student loans arrangements. and targeted support to people experiencing homelessness.</t>
  </si>
  <si>
    <t>Introduction of an Emergency Support Benefit delivered through the Canada Revenue Agency (CRA) to workers who are unemployed and are not eligible for EI.</t>
  </si>
  <si>
    <t>Suspension of most audit activities.</t>
  </si>
  <si>
    <t>Banks in Canada have affirmed their commitment to working with customers to provide flexible solutions, on a case-by-case basis.</t>
  </si>
  <si>
    <t>Minimum withdrawals from Registered Retirement Income Funds (RRIFs) are reduced by 25% for 2020 to safeguard retirement funds at a time of high market volatility.</t>
  </si>
  <si>
    <t>75% wage subsidy up to CAD 847 per week or CAD 58,700 per employee for eligible employers for up to 12 weeks, retroactive to 15 March to prevent job losses and allow for rehiring workers.</t>
  </si>
  <si>
    <t>Leave with pay (guaranteed through the Solidarity Unemployment Fund) for all workers, public and private, who due to emergency reasons must remain at home without the possibility of remote work (USD 2 billion).</t>
  </si>
  <si>
    <t>Eligible workers with no or limited paid-leave benefits through their employers can apply for up to 15 weeks of employment insurance if they cannot work for medical reasons such as cancer, a broken leg, or in this case, being quarantined in a public-health threat The current EI payment is 55% of earnings up to a maximum of CAD 573 a week.</t>
  </si>
  <si>
    <t>The Emergency Care and Emergency Support benefits were replaced by a single Canada Emergency Response Benefit. This provides CAD 2,000 a month for up to 4 months for workers who lose their income as a result of the COVID-19 pandemic</t>
  </si>
  <si>
    <t>One-time special payment by early May 2020 through the Goods and Services Tax credit (GSTC), thereby doubling the annual GSTC amount for the 2019-2020 benefit year. In addition, government is proposing to increase the maximum annual Canada Child Benefit (CCB) payment by CAD 300 per child for the 2019-2020 benefit year (only).</t>
  </si>
  <si>
    <t>Deferral of payment deadlines to until June 30, 2020. for amounts owing from March, April, and May for customs duties and GST on imports.</t>
  </si>
  <si>
    <t>The PIT return filing due date is deferred until June 1, 2020. Income earned as from 18 March until September can be deferred until after August 31, 2020. No interest or penalties will be applied on these amounts.</t>
  </si>
  <si>
    <t>The Canadian Government is waiving tariffs and sales taxes on goods imported by public health agencies, hospitals and testing sites, and first response organizations (e.g., Red Cross, police and fire) until further notice.</t>
  </si>
  <si>
    <t>USD 1.125 billion to the health system to support increased testing, vaccine development, medical supplies and mitigation efforts (first stage)</t>
  </si>
  <si>
    <t>Increased credit and liquidity support through financial Crown corporations, Bank of Canada, OSFI, CMHC and commercial lenders.</t>
  </si>
  <si>
    <t>Income support is provided for those who don’t qualify for employment insurance, including a payment of CAD 2,000 per month for the next 4 months.</t>
  </si>
  <si>
    <t>A six-month interest-free moratorium was placed on the repayment of Canada Student Loans.</t>
  </si>
  <si>
    <t>Aid and compensation for the cultural sector as well as repayable interest-free loans to ensure their liquidity.</t>
  </si>
  <si>
    <t>CHF1.9 billion credit support to airlines and aviation-related businesses (announced).</t>
  </si>
  <si>
    <t>The entitlement to compensation for short-time work is extended.</t>
  </si>
  <si>
    <t>Up to CHF 4.5 million can be claimed for losses in connection with (trade fair) activities of the official export promoter S-GE (Switzerland Global Enterprise)</t>
  </si>
  <si>
    <t xml:space="preserve">In order to avoid expiry of unemployment benefits, all eligible persons receive a maximum of 120 additional daily allowances. </t>
  </si>
  <si>
    <t xml:space="preserve">As for the self-employed, the loss of earnings is regulated in accordance with the Income Compensation Act (EO) and paid as a daily allowance. </t>
  </si>
  <si>
    <t>Deferred and interest-free payment of social security contributions. Late payment interest on late social security contribution payments will be waived temporarily for contribution payments due until 30 June 2020.</t>
  </si>
  <si>
    <t>Presently up to CHF 580 million in guaranteed bank loans are available to SMEs with financial bottlenecks. An additional CHF 10 million is to go to the guarantee organizations for extraordinary administrative costs.</t>
  </si>
  <si>
    <t>Option of extending payment periods without having to pay interest on arrears.</t>
  </si>
  <si>
    <t>Expansion of the loan guarantee program to startups to support the economic recovery.</t>
  </si>
  <si>
    <t xml:space="preserve">Parents who have to interrupt their gainful employment due to school closures in order to care for their children are entitled to compensation. </t>
  </si>
  <si>
    <t>In the area of unemployment insurance (ALV), the submission of proof of work efforts is no longer required.</t>
  </si>
  <si>
    <t>Late interest charges on late payments of federal taxes which become due during the period of 1 March 2020 to 31 December 2020 is waived.</t>
  </si>
  <si>
    <t>Self-employed persons who suffer loss of earnings due to official measures to combat the coronavirus will be compensated, unless compensation or insurance benefits already exist.</t>
  </si>
  <si>
    <t>Compensation in the event of interruption of employment due to a quarantine ordered by a doctor.</t>
  </si>
  <si>
    <t>The approval period for short-time work (KAE) is extended from 3 to 6 months.</t>
  </si>
  <si>
    <t>The waiting period (stand down) for partial unemployment is lowered to one day through September 30.</t>
  </si>
  <si>
    <t>A temporary reduction of employers’ social security contributions has been proposed which will be effective from March 1 to June 30 2020.</t>
  </si>
  <si>
    <t xml:space="preserve">Sports: CHF 100 million for sports organizations, as events in both popular and competitive sports have to be cancelled: CHF 50 million as repayable loans and CHF 50 million as subsidies. </t>
  </si>
  <si>
    <t>Emergency aid by means of guaranteed COVID-19 bridging loans: To enable affected SMEs (sole proprietorships, partnerships, legal entities) to receive bridging loans from the banks, the Federal Council will set up a guarantee program worth CHF 20 billion.</t>
  </si>
  <si>
    <t>The government is proposing a bill for the protection of labor income, which will allow the temporary suspension of employees´ functions in the company when -in the framework of this emergency and by mandate of the health authority- the employee must remain at home without the possibility of teleworking. In these cases, the contractual relationship and all corresponding employment rights will be maintained (except the salary), but the employee will be paid from the unemployment insurance under more flexible eligibility criteria. As long as this exceptional situation continues, the employer will maintain the obligation to pay the employee's social security and health contributions.</t>
  </si>
  <si>
    <t>Postponement from April to July of the payment of CIT for SMEs. The CIT return shall be submitted in April (as usual). This measure should benefit 140,000 SMEs.</t>
  </si>
  <si>
    <t>A credit-guarantee scheme (of USD 3 billion) that could apply to credits of up to USD 24 billion to facilitate firms’ financing.</t>
  </si>
  <si>
    <t>Suspension of mandatory monthly provisional payments on account of CIT for the next 3 months. This measure should benefit 700.000 businesses.</t>
  </si>
  <si>
    <t>Temporary reduction to 0% of the stamp tax rate (currently of 0,8%) on all loans/credit transactions for the next 6 months. This measure will benefit businesses and individuals.</t>
  </si>
  <si>
    <t>All expenses incurred by businesses to face the COVID-19 virus crisis will be allowed as tax deductible expenses.</t>
  </si>
  <si>
    <t>Flexibility measures for tax debts payments of low income individuals (flexible payment agreements, with no interest nor penalties).</t>
  </si>
  <si>
    <t>Flexibility measures for tax debts payments of SMEs (flexible payment agreements, with no interest nor penalties).</t>
  </si>
  <si>
    <t>Accelerated income tax refund for SMEs (in April 2020 instead of May 2020). This measure should benefit 500,000 SMEs.</t>
  </si>
  <si>
    <t>Advanced personal income tax refund for self-employed of PIT amounts withheld in January and February 2020 (rate of 10,75%).</t>
  </si>
  <si>
    <t>A subsidy(cash bonus) for people without formal work will be provided which will benefit 2 million people.</t>
  </si>
  <si>
    <t>The government will use its legal power to accelerate the discussion in Congress of the bill on employment protection, which allows for the reduction of working hours, compensating the decrease in remuneration with resources from the Solidarity Unemployment Fund.</t>
  </si>
  <si>
    <t>Accelerated personal income tax refund for self-employed (in April 2020 instead of May 2020).</t>
  </si>
  <si>
    <t>Deferral of the payment of Property Tax to be due in April, with 0% interest rate. Applicable to individuals owners of real state with fiscal value lower than CL $133.000.000 (approx.. USD 160.000). The payment delayed shall be paid along with the 3 next installments to be due in June, September and November 2020</t>
  </si>
  <si>
    <t>Deferral of the payment of Property Tax to be due in April 2020, with 0% interest rate. Applicable to businesses with sales lower than UF 350.000 (approx.. US $12 million). The payment delayed shall be paid along with the 3 next installments to be due in June, September and November.</t>
  </si>
  <si>
    <t>Deferral of VAT payments for the next 3 months. Applicable to businesses with sales of less than UF 350.000 (approx.. US $12 million). They will be able to pay the VAT in 6 to 12 monthly installments (depending on their size) at a 0% interest rate. This measure should benefit 240,000 businesses.</t>
  </si>
  <si>
    <t>A two-month suspension of pension contributions by both employees and employers.</t>
  </si>
  <si>
    <t>Water is provided free of charge to low income families.</t>
  </si>
  <si>
    <t>Temporary VAT zero-rating on the import and sale of medical supplies and devices.</t>
  </si>
  <si>
    <t>Extension of payment deadlines of VAT, from May to June, for taxpayers providing hotel and commercial passenger air transport services; theatrical activities and live shows.</t>
  </si>
  <si>
    <t>Lower import tariffs used for inputs used in passenger and freight air transport services.</t>
  </si>
  <si>
    <t>New credit lines for payroll and loan payments for SMEs.</t>
  </si>
  <si>
    <t>Reduction of the mandatory contribution to pension funds by employers, employees and self-employed individuals, from 16% to 3% for April 2020 and May 2020.</t>
  </si>
  <si>
    <t>New cash transfer program, “solidarity income”, includes a one-off payment of COP 160,000 (USD 108) 59 for informal workers and their families</t>
  </si>
  <si>
    <t>New credit line providing liquidity support to all tourism-related companies.</t>
  </si>
  <si>
    <t>15 billion pesos to the Ministry of Health for preventive actions.</t>
  </si>
  <si>
    <t>VAT Refund to the Poor Program that is expected to distribute 3% of the funds collected as VAT to the most vulnerable families. The transfer is nearly COP 80,000 per household ($47). This program was scheduled to start on January 2021, with a pilot of 100,000 families; however, now it will start on April 8, 2020, and will include around 1 million people among the most vulnerable segments of the population.</t>
  </si>
  <si>
    <t>Cash transfers to poor and vulnerable families under the “Bogotá Solidaria En Casa” program.</t>
  </si>
  <si>
    <t>Extension of payment deadlines of CIT, from the second quarter to the third one for 2020, for taxpayers providing hotel and commercial passenger air transport services; theatrical activities and live shows.</t>
  </si>
  <si>
    <t>Expansions of benefits under existing cash programs (e.g., Familias en Acción, Jóvenes en Acción).</t>
  </si>
  <si>
    <t>Financial relief measures will be provided to individuals and families (and all-sized enterprises) that are not able to pay their financial obligations.</t>
  </si>
  <si>
    <t>VAT benefit for donations of goods for human or animal consumption, clothes, cleaning supplies, human or animal medicines, construction materials and medical devices intended to mitigate the COVID-19 pandemic. This donation is not be considered as sales for VAT purposes, unless it is between related parties.</t>
  </si>
  <si>
    <t>Extension of payment deadlines of parafiscal contribution for the promotion of tourism. Payments and the submission of tax returns related to the first quarter can be made until the end of July.</t>
  </si>
  <si>
    <t>Exemption of tariffs for inputs used in the health sector.</t>
  </si>
  <si>
    <t>Accelerated income tax and VAT refunds within 15 days from the date of the submission of their tax return.</t>
  </si>
  <si>
    <t>Deferral of utility payments for poor and middle income households.</t>
  </si>
  <si>
    <t>Postponement for filing the financial statements for companies, branches of foreign companies and unipersonal enterprises from 13 May 2020 to 10 June 2020.</t>
  </si>
  <si>
    <t>Unemployment Payments and paid social security (health and pensions payments) for formal workers that lost their jobs due to the COVID-19. Over the three months, the beneficiaries will receive up to 2 monthly minimum wages in total (COP 1’961.314).</t>
  </si>
  <si>
    <t>The district government of Bogota will waive payments for public services between March 20 and April 20.</t>
  </si>
  <si>
    <t>Companies involved in insolvency proceedings as a result of COVID-19 will not be subject to income tax withholding, self-withholding tax, will not be obliged to assess and pay advance income tax for tax year 2020, and will be subject to VAT withholding at a 50% rate.</t>
  </si>
  <si>
    <t>VAT zero-rate treatment for mobile phone plans (voice calls and Internet) up to two tax value units (TVUs) during 4 months.</t>
  </si>
  <si>
    <t>Anticipation of cash payment to 1.7M beneficiaries of Colombia Adulto Mayor program to support consumption. This includes 3 monthly payments for March, April, and May (total of COP 70,000) advanced to March 25 and April 6.</t>
  </si>
  <si>
    <t>Unemployment insurance (Bono Proteger) as compensation for the reduction in working hours and pay, for dismissal and for fall in informal worker income.</t>
  </si>
  <si>
    <t>Extended payment deadline for principal and interest payments.</t>
  </si>
  <si>
    <t>The deferral for income tax listed under Businesses also applies to PIT eligible individuals.</t>
  </si>
  <si>
    <t>VAT exemption for commercial leases available during April, May and June 2020.</t>
  </si>
  <si>
    <t>Reduced interest rates according to the conditions of each credit.</t>
  </si>
  <si>
    <t>Deferral of required advance income tax payments for the fiscal year 2020.</t>
  </si>
  <si>
    <t>Readjustment of debts with public and private banks.</t>
  </si>
  <si>
    <t>Payments for VAT, excise and import duties due during March-May can be postponed until December 31, 2020, without interest or penalties being charged. If necessary, these provisions can be extended with an additional month.</t>
  </si>
  <si>
    <t>Deferral of payment of social security contributions, as well as making them proportional to the time worked.</t>
  </si>
  <si>
    <t>Cash transfer program Avancemos will keep being active with transfers depending on grade levels (USD 40-USD 62).</t>
  </si>
  <si>
    <t>Cash transfers of to about 375,000 households affected by the crisis (announced).</t>
  </si>
  <si>
    <t>Emergency benefit (one-off 125k colones – USD 223K) for 33K poor families in the social registry (SINIRUBE) who do not receive any social transfer.</t>
  </si>
  <si>
    <t>Income support of 80% of gross wages of employees sent into quarantine and of employees of businesses, that had to close due to containment-related government restrictions (if the employer continues paying 100% of employee's salary).</t>
  </si>
  <si>
    <t>3 months general postponement of payments of PIT based on tax returns (this does not affect withholding of PIT for employees). The date for submitting of tax returns and payment is unchanged.</t>
  </si>
  <si>
    <t>Postponement of CIT advance payments based on evidence provided by the business and approved by the tax authority.</t>
  </si>
  <si>
    <t>Pledge of CZK 900billion (EUR 33.3 billion, 16% of GDP) in guarantees.</t>
  </si>
  <si>
    <t>All sanctions stipulated in the tax code are pardoned for 3 months in case of non-compliance.</t>
  </si>
  <si>
    <t>Penalties are waived for failing to pay property tax and file tax returns on time.</t>
  </si>
  <si>
    <t>VAT waiver for certain gratuitous supplies in connection with the COVID-19 pandemic.</t>
  </si>
  <si>
    <t>Moratorium on repayments on bank loans of up to six months. Interest will still be accrued, and loan duration will be extended.</t>
  </si>
  <si>
    <t>Expansion of sick leave coverage.</t>
  </si>
  <si>
    <t>No penalties in case of failure to report additional VAT information for a period of two months, and possibly longer provided there is a direct link to COVID-19.</t>
  </si>
  <si>
    <t>Loss carry-back for the 2020 tax year which will allow taxpayers to carry back their 2020 tax losses against profits in the 2018 and 2019 fiscal years.</t>
  </si>
  <si>
    <t>Self-employed may receive a lump sum of up to CZK 25,000 (about EUR900). Starting May 1, CZK 500 per day for as long as government restrictions are in place (pending approval).</t>
  </si>
  <si>
    <t>Credit lines worth (CZK 10 billion) for businesses through the state development bank.</t>
  </si>
  <si>
    <t>Loss of income for families resulting from the closure of day-care centers or schools is largely compensated; also applicable to self-employed and freelancers.</t>
  </si>
  <si>
    <t>The assets audit will be suspended for six months.</t>
  </si>
  <si>
    <t>Self-employed persons are given easier access to basic security to ensure their livelihood and accommodation.</t>
  </si>
  <si>
    <t>Health Ministry: EUR 1 billion on medical equipment; Research/education Ministry: EUR145 million for development of vaccine.</t>
  </si>
  <si>
    <t>Additional EUR 55 billion are available for pandemic control (not specified).</t>
  </si>
  <si>
    <t>Families who have lower incomes due to short-time work are given easier access to the child benefit supplement.</t>
  </si>
  <si>
    <t>The Federal Government is putting up a protective umbrella for hospitals to cushion the loss of revenue and higher costs.</t>
  </si>
  <si>
    <t>EUR 50 billion for direct credit support to SME and self-employed/freelancers; with up to 5 employees receive up to EUR 9,000; with up to 10 employees receive up to EUR 15,000.</t>
  </si>
  <si>
    <t>Complete reimbursement of social security contributions by the Federal Labor Office for those on reduced hours.</t>
  </si>
  <si>
    <t>Additional public funding is made available to start-ups. This money will be used for funding rounds for start-ups as part of co-investments made jointly with private investors.</t>
  </si>
  <si>
    <t>Default penalties for taxes not paid waived.</t>
  </si>
  <si>
    <t>Concessions on taxes administered by the Directorate General of Customs (e.g. on energy tax and air transport tax).</t>
  </si>
  <si>
    <t>Liquidity support small businesses, artists and self-employed persons suffering from the COVID-19 pandemic by allowing a refund of tax prepayments made in 2019 and the first one made in 2020 based on a lump-sum determination of 2020 losses.</t>
  </si>
  <si>
    <t>Deadline extension for wage withholding tax declaration extended for employers by a maximum period of 2 months.</t>
  </si>
  <si>
    <t>Additional Economic Stabilization Fund to support large enterprises, supplementing the liquidity support implemented through the KfW Special Programs; fund receives: EUR 100 billion for capital measures; EUR 400 billion for guarantees; with up to 100 billion euros, the fund can refinance the already adopted KfW programs.</t>
  </si>
  <si>
    <t>No tax will be levied on the bonus paid to employees by the employer up to EUR 1,500, between 1 March and 31 December 2020.</t>
  </si>
  <si>
    <t>Taxpayers affected by COVID-19 shall be granted a reduction in prepayments for municipal business tax purposes until 31 December 2020 upon request if a taxpayer’s income in the current year is expected to be lower than in the previous year.</t>
  </si>
  <si>
    <t>Freelancers such as artists and nurses are to receive direct grants of up to EUR 15,000 over 3 months. A total of EUR 50 billion is planned for this purpose.</t>
  </si>
  <si>
    <t>State governments have announced own measures to support their economies, amounting to EUR 48 billion in direct support and EUR 63 billion in state-level loan guarantees.</t>
  </si>
  <si>
    <t xml:space="preserve">Employees work a reduced number of hours and get 60% of salary from the employer for up to 12 months (and the government pays their public social insurance contributions). Workers with children get 67% of the salary. </t>
  </si>
  <si>
    <t>Deferral of CIT, PIT and VAT liability for businesses affected by the virus. Businesses must demonstrate need related to COVID-19.</t>
  </si>
  <si>
    <t>Cushioning of current revenue shortfalls for doctors in private practice.</t>
  </si>
  <si>
    <t>Reduction of the VAT rate payable on the supply of food and beverages in restaurants and bars from 1 July 2020 to 30 June 2021.</t>
  </si>
  <si>
    <t>Additional EUR 3.5 billion, among other things for protective equipment and the development of a vaccine and other treatment.</t>
  </si>
  <si>
    <t>Extension of payment deadlines of VAT and of employers' labor market contributions and income tax.</t>
  </si>
  <si>
    <t>R&amp;D intensive companies may have the R&amp;D tax credits paid already in June 2020 instead of November 2020.</t>
  </si>
  <si>
    <t>For firms experiencing large falls in demand, the employees can be send home and the government will cover 75% of the salary under the condition that the firm commits not to lay off any workers for economic reasons.</t>
  </si>
  <si>
    <t>Compensation to employers for temporary absence due to sickness by employees (sickness benefit scheme).</t>
  </si>
  <si>
    <t>Additional funding for research related to the development of drugs and vaccines for COVID-19 (EUR110 million).</t>
  </si>
  <si>
    <t>Expansion of ERTE to cover workers and companies with significant activity reduction in sectors considered essential.</t>
  </si>
  <si>
    <t>EUR100 billion in state loan guarantees for firms and self-employed.</t>
  </si>
  <si>
    <t>Increased sick pay for COVID-19 infected workers or those quarantined, from 60 to 75% of the regulatory base, paid by the Social Security budget.</t>
  </si>
  <si>
    <t>SME's and the self-employed engaged into the PIT/VAT presumptive taxation scheme may temporarily waive the scheme, and may proportionally adapt their instalments to the time period.</t>
  </si>
  <si>
    <t>No surcharge for late payment of tax debts for companies obtaining financing through the ICO Guarantee Lines.</t>
  </si>
  <si>
    <t>Tax payment deferrals for small and medium enterprises and self-employed for six months (EUR 14 billion).</t>
  </si>
  <si>
    <t>Tax debts derived from tax returns and self-assessments with a filing deadline between 20 April 2020 and 30 May 2020 would not be enforced.</t>
  </si>
  <si>
    <t>Additional funding for the Instituto de Crédito Official (ICO) credit lines (EUR10 billion).</t>
  </si>
  <si>
    <t>For employers affected by the COVID-19 pandemic: exemption from the payment of employers' SSCs, provided that the employer guarantees employment of its workers.</t>
  </si>
  <si>
    <t>EUR 2 billion public guarantees for exporters through the Spanish Export Insurance Credit Company.</t>
  </si>
  <si>
    <t>Unemployment benefits for workers temporarily laid off due to COVID-19, with no requirement for prior minimum contribution or reduction of accumulated entitlement.</t>
  </si>
  <si>
    <t xml:space="preserve">Central government loan (EUR 300 million) granted to regional governments to finance basic social benefits for households in need. </t>
  </si>
  <si>
    <t>Custom duties in excess of EUR 100 due from customs declarations submitted from 2 April 2020 to 30 May 2020 may be deferred upon request.</t>
  </si>
  <si>
    <t>VAT payment suspension for electricity, natural gas or piped LPG used during the emergency state for self-employed and SMEs.</t>
  </si>
  <si>
    <t>Extension of unemployment benefits to cover workers who were laid off during the probation period (since March 9), as well as those who were switching jobs but with the new offer falling through (since March 1).</t>
  </si>
  <si>
    <t>An allowance for self-employed workers affected by economic activity suspension.</t>
  </si>
  <si>
    <t>A temporary monthly allowance of about EUR 430 for temporary workers whose contract (at least two months’ duration) expires during the state of emergency and are not entitled to collect unemployment benefits.</t>
  </si>
  <si>
    <t>The deadline for filing tax returns and payment of determined taxes have been extended to 20 May 2020 (previously 20 April 2020) for state´s tax obligations (e.g.: VAT, corporate income tax and individual income tax pre-payments), which submission and payment period, either by assessment or self-assessment, applies from 15 April 2020 to 20 May 2020.</t>
  </si>
  <si>
    <t>Additional budgetary funds of EUR 300 million and further budget flexibility for the provision of assistance to dependents.</t>
  </si>
  <si>
    <t>Mortgage debt deferral for the households in need with respect to their primary residence.</t>
  </si>
  <si>
    <t>Deferral of tax debts (PIT withholding, debit VAT and CIT instalments, and customs) until 30 May for SMEs with a turnover not exceeding EUR 6 million. The maximum amount of taxes that can be deferred is EUR 30,000. In order to obtain the deferral, eligible taxpayers need to apply digitally.</t>
  </si>
  <si>
    <t xml:space="preserve">Strengthened unemployment protection for workers under permanent discontinuous contracts who cannot resume work but are not qualified for unemployment benefits. </t>
  </si>
  <si>
    <t>Reduction in VAT on digital publications from 21 to 4%.</t>
  </si>
  <si>
    <t>Deferred repayment of loans granted to businesses by the Ministry of Industry, Trade, and Tourism.</t>
  </si>
  <si>
    <t>Guarantees for loan maturity extensions to farmers using the special 2017 drought credit lines.</t>
  </si>
  <si>
    <t>Budget support from the contingency fund to the Ministry of Health (EUR1 billion).</t>
  </si>
  <si>
    <t>Introduction of a special credit line for the tourism sector through the ICO (EUR400 million).</t>
  </si>
  <si>
    <t>CIT taxpayers with a turnover up to EUR 600.000 may opt to make their CIT instalments according to the 2020 current tax base instead of on their previous year`s earnings.</t>
  </si>
  <si>
    <t>Advance transfer to the regions for the regional health services (EUR2.8 billion).</t>
  </si>
  <si>
    <t>Centralization of medical supplies; and an emergency management process for the procurement of all goods and services needed by the public sector to implement any measure to address COVID-19.</t>
  </si>
  <si>
    <t>6-month suspension of SSCs for the self-employed (for the period May-July) and companies (for the period April-June) in selected industries.</t>
  </si>
  <si>
    <t>Zero VAT rate on purchases of medical material essential to combat the COVID-19 until July 31, 2020.</t>
  </si>
  <si>
    <t>Measures for homeless persons provided through social services include hygiene kit, food, and drinks, information about prevention measures.</t>
  </si>
  <si>
    <t>Transfer of EUR 25 million to autonomous communities funding meals for children affected by the school closure.</t>
  </si>
  <si>
    <t>A temporary subsidy for household employees affected by COVID-19 with an amount equal to 70% of their contribution base.</t>
  </si>
  <si>
    <t>New rental assistance programs for vulnerable renters whose landlord is not a large property holder; and extension of the social benefit for energy provision.</t>
  </si>
  <si>
    <t>From 12 March 2020 until 1 July 2020, legal persons are exempt from income tax on charitable gifts and donations made to the government, social welfare institutions or hospitals.</t>
  </si>
  <si>
    <t>From 1 May 2020 until 30 April 2022, excise duty rates will be reduced on diesel fuel, heating oil, natural gas and derivatives.</t>
  </si>
  <si>
    <t>The calculation of tax interest is suspended by the state for two months (for the time of emergency situation, March-April).</t>
  </si>
  <si>
    <t>Employers are not required to pay social tax on at least the minimum monthly contribution base of EUR 540 for March, April and May 2020.</t>
  </si>
  <si>
    <t>KredEx will provide the company with an investment loan to take advantage of the new business opportunities created by the spread of COVID-19, and other new business opportunities.</t>
  </si>
  <si>
    <t>The tax administration will not apply interest on tax debts for two months.</t>
  </si>
  <si>
    <t>Tax arrears to be deferred for 18 months and interest rates on tax arrears to be lowered.</t>
  </si>
  <si>
    <t>All companies may defer their tax payments up to 18 months. Late payment interest calculation is suspended for the period from 1 March until 1 May 2020.</t>
  </si>
  <si>
    <t>State compensation for the direct cost of missed events, limited to cultural and sporting events.</t>
  </si>
  <si>
    <t>Registered sole proprietors do not have to pay their quarterly social security contributions for the second quarter of 2020.</t>
  </si>
  <si>
    <t>Loan guarantees for bank loans already issued in order to allow for repayment schedule adjustments.</t>
  </si>
  <si>
    <t>KredEx will provide the company with an operating loan to overcome the liquidity problems caused by the outbreak of the corona virus, including, if necessary, payment of bank loan payments.</t>
  </si>
  <si>
    <t>Wage compensation for employees up to 70% from previous wage paid by the Unemployment insurance Fund and available for all companies, who have difficulties and will not lay off employees.</t>
  </si>
  <si>
    <t>State reimbursement of sick days for workers from the first to the third day of sickness insurance (currently without pay).</t>
  </si>
  <si>
    <t>Financial measures for rural and agricultural businesses offered by the Rural Development Foundation.</t>
  </si>
  <si>
    <t>All books and educational literature, and press publications will be subject to the lower 9% VAT rate from 1 May 2020.</t>
  </si>
  <si>
    <t>Aid for self-employed workers in the event of an emergency situation.</t>
  </si>
  <si>
    <t>The state pays the advance payment of social tax for self-employed persons for the first quarter of 2020.</t>
  </si>
  <si>
    <t>Contributions made by employees to the mandatory funded pension scheme will be suspended by the state from 1 July 2020 until 31 August 2021.</t>
  </si>
  <si>
    <t>EUR 5 million to international non-profit companies working on the development of a COVID-19 vaccine.</t>
  </si>
  <si>
    <t>EUR 27 million in healthcare spending.</t>
  </si>
  <si>
    <t>Companies in financial difficulties can request a payment arrangement for the company’s taxes and can also request a change to prepayments if the company’s profits for the year seem to be less than expected</t>
  </si>
  <si>
    <t>Grants to SMEs and self-employed (EUR 650 million).</t>
  </si>
  <si>
    <t>Extension for filing tax returns can be requested and without an approved extension late-filing penalties may not apply as long as a justified reason (such as illness) can be demonstrated</t>
  </si>
  <si>
    <t>Workers laid off can claim income-linked benefits, provided they are a member of an unemployment fund through their trade union or independently.</t>
  </si>
  <si>
    <t>Penalties for late filing of VAT returns may be waived if a justified reason can be demonstrated, such as sickness</t>
  </si>
  <si>
    <t>Additional spending for healthcare and testing, protection and medical equipment, public safety and border controls, and research on the COVID-19 epidemic (EUR1 billion).</t>
  </si>
  <si>
    <t>Increase funding for the WHO to EUR 5.5 million.</t>
  </si>
  <si>
    <t>Loosening of eligibility criteria for sickness allowance paid by the government.</t>
  </si>
  <si>
    <t>Reduction of the interest rate for late payment to 4% (currently 7%) for taxes due from 1 March 2020</t>
  </si>
  <si>
    <t>Expanded parental allowance, social assistance and unemployment insurance (EUR 3 billion).</t>
  </si>
  <si>
    <t>EUR 73 million in liquidity to businesses as well as broader loan guarantee programs.</t>
  </si>
  <si>
    <t xml:space="preserve">A EUR500 million recapitalization scheme for Finnair (which is 56% state-owned). </t>
  </si>
  <si>
    <t>Elimination of the waiting period before people can claim unemployment benefits, and allow freelancers and sole traders to claim unemployment benefits without shutting down their businesses.</t>
  </si>
  <si>
    <t>Implementation of an exceptional partial activity (partial unemployment) regime. The regime will also apply to domestic workers and caregivers. Government will pay the compensation of employees who are forced to stay at home.</t>
  </si>
  <si>
    <t>A bonus for all civil servants who pursue their public service mission, despite confinement, up to 1,000 euros in tax-free bonuses are provided.</t>
  </si>
  <si>
    <t>Reassessments are postponed.</t>
  </si>
  <si>
    <t xml:space="preserve">Recognition of the COVID-19 as a case of "force majeure" for public contracts. Consequently, for all public contracts, the delay penalties will not be applied </t>
  </si>
  <si>
    <t>Postponement of utility payments for affected SMEs.</t>
  </si>
  <si>
    <t>Reimbursement of health insurance benefits for insured individuals who are forced to stay at home and who need to take care of children younger than 16 years old.</t>
  </si>
  <si>
    <t>No input VAT adjustment for medical products donated to care facilities and public authorities.</t>
  </si>
  <si>
    <t>EUR 300 billion of state guarantees for bank loans to companies.</t>
  </si>
  <si>
    <t>Employers can temporarily reduce the working time of their employees by paying them hourly compensation representing 70% of gross wages. In return, they receive flat-rate allowance at the minimum wage (EUR 8.04 per hour).</t>
  </si>
  <si>
    <t>Tax relief can be given to companies that face financial difficulties as a result of the COVID-19 pandemic on a case-by-case basis.</t>
  </si>
  <si>
    <t>Additional allocation for equity investments or nationalizations of companies in difficulty.</t>
  </si>
  <si>
    <t>Exemption from CIT, income tax and all legal and conventional SSCs for sums paid by the solidarity fund to companies created by Ordinance No. 2020-317; and for exceptional bonuses specifically paid to government employees mobilized in the context of the state of health emergency.</t>
  </si>
  <si>
    <t>Tax audits temporarily scaled back, no new on-site inspections except in exceptional circumstances. For ongoing audits, all non-urgent operations to be postponed, unless the taxpayer requests otherwise.</t>
  </si>
  <si>
    <t>Deferral of payment of certain aeronautical taxes by airline companies with an operating license in France</t>
  </si>
  <si>
    <t>Businesses can postpone payment of most taxes (e.g., advance payment for CIT, social security contributions, payroll taxes) due in March by up to three months.</t>
  </si>
  <si>
    <t>An "emergency aid" of 150 euros per family receiving active solidarity income (RSA) or specific solidarity allowance (ASS), to which will be added 100 euros per child will be paid on May 15.</t>
  </si>
  <si>
    <t>A 3-month extension of the monthly remittance of social security contributions for March and April 2020 without any tax penalties being imposed.</t>
  </si>
  <si>
    <t>Support from the government and the Banque de France to negotiate with banks a rescheduling of bank credits.</t>
  </si>
  <si>
    <t>A refund of the cost of statutory sick pay for up to 2 weeks per employee for small employers with fewer than 250 employees</t>
  </si>
  <si>
    <t>Launch of a joint HM Treasury—Bank of England COVID-19 Corporate Financing Facility which, together with the COVID-19 Business Loans Interruption Scheme, makes £330 billion of loans and guarantees available to businesses (15% of GDP).</t>
  </si>
  <si>
    <t>£5 billion in additional funding for the NHS and other public services.</t>
  </si>
  <si>
    <t>100% business rates relief for 2020-21 for all eligible retail, leisure and hospitality properties.</t>
  </si>
  <si>
    <t>Strengthening the social safety net to support vulnerable people (by nearly £7 billion) by increasing payments under the Universal Credit scheme as well as expanding other benefits, such as the working tax credit (by £1000 pp). Requirements of the Universal Credit Program will be temporarily relaxed for those who have COVID-19 or are self-isolating according to government advice.</t>
  </si>
  <si>
    <t>The Retail and Hospitality Grant Scheme provides businesses in the retail, hospitality and leisure sectors with a cash grant of up to £25,000 per property.</t>
  </si>
  <si>
    <t>Bounce Bank loan scheme for SMEs with 100 percent guarantee for loan amounts up to £50,000.</t>
  </si>
  <si>
    <t>For businesses in these sectors with a ratable value of under £15,000, they will receive a grant of £10,000.</t>
  </si>
  <si>
    <t>Income Tax Self-Assessment, payments due on the 31 July 2020 will be deferred until the 31 January 2021.</t>
  </si>
  <si>
    <t>Introduction of a business rates holiday for retail, hospitality, leisure businesses and nursery businesses in England for the 2020 to 2021 tax year.</t>
  </si>
  <si>
    <t>Self-employed or people earning below the Lower Earnings Limit of £118 per week can now more easily claim Universal Credit or Contributory Employment and Support Allowance.</t>
  </si>
  <si>
    <t>Bespoke Time to Pay arrangements for businesses and self-employed workers who need more time to pay taxes, based on specific circumstances of the taxpayer.</t>
  </si>
  <si>
    <t>Deferral of VAT payments for the next second quarter of 2020 until the end of the financial year and income tax payments of the self-employed by six months</t>
  </si>
  <si>
    <t>Statutory Sick Pay to be paid from the first day of sickness absence, rather than the fourth day, for people who have COVID-19 or have to self‑isolate in accordance with government guidelines.</t>
  </si>
  <si>
    <t>Launch of a COVID-19 Business Interruption Loan Scheme to support SMEs.</t>
  </si>
  <si>
    <t>Government will pay 80% of the salary of furloughed employees (to a maximum of £2,500 per employee per month) for an initial period of 3 months.</t>
  </si>
  <si>
    <t>Compensation for sick leave pay.</t>
  </si>
  <si>
    <t>Medical equipment crucial to the fight against coronavirus arriving from outside the EU will not be subject to customs duty or import VAT.</t>
  </si>
  <si>
    <t>Tenants who face difficulties meeting their mortgage repayments because of the COVID-19 outbreak will be eligible for a 3 month rental holiday. This also includes landlords whose tenants are experiencing financial difficulties.</t>
  </si>
  <si>
    <t>Businesses that received the retail discount in the 2019 to 2020 tax year will be rebilled by their local authority as soon as possible.</t>
  </si>
  <si>
    <t>A 40% reduction in commercial rent, for March and April, paid by firms affected by the COVID-19 crisis.</t>
  </si>
  <si>
    <t>Relief from import duties and VAT exemption for the supply of goods in the form of donations of movable and immovable property for charitable purposes (e.g. any kind of hospital-specific equipment, personal protective equipment and all kinds of medicines).</t>
  </si>
  <si>
    <t>Suspension of payments of VAT, social security contributions and other tax obligations.</t>
  </si>
  <si>
    <t>Extension of deadlines for the payment of certain tax liabilities and the suspension of payments of certified tax liabilities and instalments that expired between 11 March (or 1 April in some cases) and 30 April 2020.</t>
  </si>
  <si>
    <t>Extension of the deadlines for payment of excise duty, VAT and other charges corresponding to alcoholic beverages.</t>
  </si>
  <si>
    <t xml:space="preserve">EUR 200 million in addition to the existing budget of the Ministry of Health, including EUR 70 million for the hiring of 3,300 health professionals for hospitals, health centers and the National Emergency Aid Centre (EKAV). </t>
  </si>
  <si>
    <t>A 25% discount on VAT certified tax liabilities with payment date from 30 March 2020 to 30 April 2020 will be granted, provided that the remaining 75% is paid on time.</t>
  </si>
  <si>
    <t>Employees whose employment contracts are temporarily suspended will receive compensation of EUR 800 tax free. The State will provide full social security coverage based on their total nominal wages.</t>
  </si>
  <si>
    <t>The SSCs of employees (of firms affected by the COVID-19 virus crisis, whose labor contracts have been suspended) and self-employed (considered as employees) affected by the COVID-19 virus crisis based on specific NACE codes will be covered by the state.</t>
  </si>
  <si>
    <t>Accelerated refunding of income tax and VAT of up to EUR 30,000 for all pending tax audit cases to all companies for purposes of CIT and VAT refunds.</t>
  </si>
  <si>
    <t>A scheme for the support of the economy through issuance of guarantees of EUR 2 billion by the Hellenic Development Bank will partially guarantee eligible working capital loans, with the total exposure of the HDB capped at 40% of the volume of loans issued by a financial intermediary.</t>
  </si>
  <si>
    <t>A 25% discount on tax and SSC obligations (excluding VAT), in case they are paid on time, for employees of halted firms as well as for self-employed, freelancers and firms affected by the COVID-19 virus crisis. This measure applies to all those eligible to deferral of tax debt payments and SSC payments.</t>
  </si>
  <si>
    <t>Reduction in the VAT rates from 24% to 6% for products that provide protection against COVID-19 virus and prevent its transmission.</t>
  </si>
  <si>
    <t>Accelerating refunding of PIT to individuals.</t>
  </si>
  <si>
    <t>Suspension of 1) payment of VAT debts certified by VAT returns, 2) payment of any type of certified tax debts and 3) payment of tax debt instalments, for all affected companies of specific sectors until August 2020.</t>
  </si>
  <si>
    <t>Bonus payments to public servants working in hospitals, National Emergency Aid Centre, National Organization of Public Health and Civil Protection.</t>
  </si>
  <si>
    <t>Allowance of 800 euros for self-employed, freelancers, individual businesses and employers with up to 5 employees affected by the COVID-19 crisis.</t>
  </si>
  <si>
    <t>Support of the primary sector 150 million to the Ministry of Rural Development and Food.</t>
  </si>
  <si>
    <t>Unemployment benefit payments will be extended by 2 months for those whose entitlement ends on 31 March.</t>
  </si>
  <si>
    <t>Suspension of loan repayments (for the principal amount) until September for firms affected by the COVID-19 crisis.</t>
  </si>
  <si>
    <t>The interest payment on loans of corporates affected by the COVID-19 crisis for April, May and June will be paid by the state conditional to firms maintaining their job positions.</t>
  </si>
  <si>
    <t xml:space="preserve">Possibility of suspension of tax enforcement. </t>
  </si>
  <si>
    <t>Loan repayment moratorium (both principal and interest) for both private individuals and companies until the end of the year.</t>
  </si>
  <si>
    <t>Temporary abolition of tax liabilities of passenger transport service providers paying taxes under the small entrepreneurs’ business tax from March to June 2020.</t>
  </si>
  <si>
    <t>Employees’ contributions were reduced to the level of the basic health insurance contribution payable.</t>
  </si>
  <si>
    <t>HUF 245 billion reallocated to the healthcare sector.</t>
  </si>
  <si>
    <t>Possibility of a deferment of tax payments for 6 months or payment in instalments for 12 months, or a 20% reduction of tax liability.</t>
  </si>
  <si>
    <t>Simplified income tax payable by sportsmen, artists and journalists permanently is reduced from 17.5% to 15.5%.</t>
  </si>
  <si>
    <t>Companies highly affected by the pandemic may apply for tax reduction of any taxes for an amount of max. HUF 5 million.</t>
  </si>
  <si>
    <t>Provision of interest-subsidized and guaranteed credit facilities to Hungarian companies.</t>
  </si>
  <si>
    <t>Reduced employers' social security contributions for accommodation, food, arts, entertainment and recreation services.</t>
  </si>
  <si>
    <t>Temporary waiver of the tourism development contribution, a levy paid on food, catering and accommodation services.</t>
  </si>
  <si>
    <t>Tax holiday for small businesses under the simplified, small business oriented tax regimes (lump-sum KATA and cash-flow based KIVA taxes) in personal transport services.</t>
  </si>
  <si>
    <t>Extension of deadlines for financial reporting obligations, filing annual tax returns (CIT, small company tax, local business tax energy surtax, innovation tax), payments of annual tax and prepayments obligations to 30 September 2020.</t>
  </si>
  <si>
    <t>Temporary abolition of payroll taxes for employers and abolition of social insurance contributions for employers from March to June 2020 for most affected sectors (such as tourism, catering trade, event organization, entertainment industry).</t>
  </si>
  <si>
    <t>Permanent reduction of taxes: small company tax is reduced from 12 to 11% starting 2021 and SSC by employer is reduced from 17.5% to 15.5% starting July 2020.</t>
  </si>
  <si>
    <t>Creation of two new funds, the Anti-Epidemic Protection Fund and the Economy Protection Fund, aim at spending on: (i) job protection, notably by subsidizing wages to companies on workers who were put on shortened work hours; (ii) job creation by supporting investments worth a total of HUF 450billion; (iii) support for priority sectors, including tourism, health, food, agriculture, construction, logistics, transport, film and entertainment industries.</t>
  </si>
  <si>
    <t>Tax on tourism will be abolished for the year 2020.</t>
  </si>
  <si>
    <t>Expiring benefits for persons currently on maternity leave will be extended until the end of state of emergency.</t>
  </si>
  <si>
    <t>An extra week of pension will be paid out every February during 2021-24.</t>
  </si>
  <si>
    <t>Acceleration of VAT refund procedure for SMEs and reliable taxpayers.</t>
  </si>
  <si>
    <t>A state-owned development bank MFB launched a HUF 1,490bn package of financial support instruments for companies.</t>
  </si>
  <si>
    <t>Abolition of social insurance contributions for employees from March to June 2020 for most affected sectors.</t>
  </si>
  <si>
    <t>EUR 800,000 grant for investments of export companies.</t>
  </si>
  <si>
    <t>Preferential working capital loans.</t>
  </si>
  <si>
    <t>The current 6-day waiting period for illness benefit will not apply to workers who have been diagnosed with COVID-19.</t>
  </si>
  <si>
    <t>Delay stamp duty on credit cards to 1 July 2020.</t>
  </si>
  <si>
    <t>The application of interest on late payments is suspended for January and February VAT and both February and March PAYE (employers) liabilities.</t>
  </si>
  <si>
    <t>The normal social insurance requirements for illness benefits will be waived.</t>
  </si>
  <si>
    <t>Critical pharmaceutical products and medicines will be given a Customs ‘green routing’ to facilitate uninterrupted importation and supply.</t>
  </si>
  <si>
    <t xml:space="preserve">EUR 2 billion health expenditure to expand the capacity in public hospitals, develop community-based responses for vulnerable people and procure the necessary essential equipment to deal with the impact of the COVID-19. </t>
  </si>
  <si>
    <t>COVID-19 Pandemic Unemployment Payment – a payment available to all employees and the self-employed who have lost employment due to a downturn in economic activity caused by the COVID-19 pandemic at a flat rate of EUR 350 per week.</t>
  </si>
  <si>
    <t>Delayed payment of local property tax if payed by annual debit instruction or single debit authority to 21 May 2020.</t>
  </si>
  <si>
    <t>All debt enforcement activity is suspended until further notice.</t>
  </si>
  <si>
    <t>Temporary VAT zero rating of supplies of personal protective equipment, ventilators and other medical products.</t>
  </si>
  <si>
    <t>Reimbursement program for payments to workers temporarily laid off of EUR 203 per week.</t>
  </si>
  <si>
    <t>Moratoriums on evictions and rent increases are being introduced for the duration of the COVID-19 emergency.</t>
  </si>
  <si>
    <t>Tax deferral returns for the most immediately affected businesses, primarily in the retail, hospitality, leisure and childcare sectors, until the end of May.</t>
  </si>
  <si>
    <t>15% subsidy payment available to childcare providers to cover overhead (up to 15% of staff costs).</t>
  </si>
  <si>
    <t>Acceleration of the early payment of 2020 instalments of excess R&amp;D tax credits in the context of the COVID-19 under certain circumstances.</t>
  </si>
  <si>
    <t>The personal rate of illness benefit will increase from EUR 203 to EUR 305 per week for a maximum of 2 weeks for workers who have been diagnosed with COVID-19.</t>
  </si>
  <si>
    <t>COVID-19 wage subsidy scheme: it will refund employers up to 70% of an employee's wages - up to a level of EUR 410 for each qualifying employee regardless of the employee’s income. In April the scheme moved to a subsidy payment based on 70% of the weekly average take home pay for each employee up to a maximum of EUR 412. For workers earning less than EUR 24,400 per year the replacement rate has been increased to 85%.</t>
  </si>
  <si>
    <t>Introduction of simpler temporary rules for financial restructuring of companies.</t>
  </si>
  <si>
    <t>Possibility of deferral of payment for up to three payments of the WHT on wages and SSCs to be paid between 1 April to 1 December, 2020. The deferred payments should be paid by 15 January 2021.</t>
  </si>
  <si>
    <t>R&amp;D subsidies and deductions (announced).</t>
  </si>
  <si>
    <t>Committed to allow part-time workers to claim up to 75% of unemployment benefits, to avoid job losses. Those who are under threat of losing their jobs will become eligible for unemployment benefits which allow them to move to part time hours for their employer and claim additional support from the government. The benefit package allows those who cut back to as low as 25% of their previous employment hours or salary to boost the earnings they receive from their employer with government support up to a combined level of ISK 700,000 per month.</t>
  </si>
  <si>
    <t>Allowing losses of this year to offset 2019 profits for corporate income taxes (announced).</t>
  </si>
  <si>
    <t>ISK 6 million in non-indexed support loans to companies forced to stop operations for public health reasons.</t>
  </si>
  <si>
    <t>State guarantees on loans to eligible companies to allow them to continue business and protect salary payments.</t>
  </si>
  <si>
    <t>Taxes originally due March 16 delayed to April 15; companies can apply to postpone VAT payments until 2021.</t>
  </si>
  <si>
    <t>A one-off child benefit payment will be distributed on 1 June 2020 to all families with children under the age of 18. Parents with an average monthly income below ISK 927,000 in 2019 will receive ISK 40,000 per child and those with higher income will receive 20,000 per child.</t>
  </si>
  <si>
    <t>Guarantee loans to affected small and medium enterprises (announced).</t>
  </si>
  <si>
    <t>Companies forced to stop their operations for public health reasons will be granted closure subsidies of up to ISK 2.4 million.</t>
  </si>
  <si>
    <t>Hotel taxes will be abolished until the end of 2021.</t>
  </si>
  <si>
    <t>Reductions in bank taxes.</t>
  </si>
  <si>
    <t>Extension of payment deadlines for taxes and levies for those industries that have experienced in drop in revenues, in particular the tourism sector.</t>
  </si>
  <si>
    <t>Deadline for submitting 2019 tax returns has been extended until 30 July 2020.</t>
  </si>
  <si>
    <t>Paid leave for workers in the public sector.</t>
  </si>
  <si>
    <t>Deferral of VAT and SSC payments from March to April.</t>
  </si>
  <si>
    <t>Loans up to ILS 500,000 or 8% of turnover if higher to SMEs hit by the virus are guaranteed by government for 85%.</t>
  </si>
  <si>
    <t>Dismissed workers who worked for 6 months will be able to collect unemployment benefits (previously 12 this was months).</t>
  </si>
  <si>
    <t>Grant of ILS 6,000 for all small businesses with annual turnover up to ILS 300,000.</t>
  </si>
  <si>
    <t>Unemployment benefits for salaried workers on unpaid vacation from day 1.</t>
  </si>
  <si>
    <t>Local authorities business tax postponed by a month.</t>
  </si>
  <si>
    <t>Unemployment benefits for tour guides.</t>
  </si>
  <si>
    <t>Workers with income less than EUR 40,000/year are entitled to a non-taxable, one-off benefit of EUR 100 for March.</t>
  </si>
  <si>
    <t>EUR 85 million to schools for technological equipment to support distance learning.</t>
  </si>
  <si>
    <t>Payments of harbor taxes and fees are suspended up to 31st July 2020 for firms operating in the shipping sector.</t>
  </si>
  <si>
    <t>Payment of mortgages for primary residences will be delayed by a period of 9 months and up to 18 months for primary residence loans of self-employed workers and freelancers provided recipients' turnover has declined by more than 33% after February 21 due to the closure or other emergency business restrictions.</t>
  </si>
  <si>
    <t>Introduction of several tax credits</t>
  </si>
  <si>
    <t>Suspension of all firing procedures initiated after February 23.</t>
  </si>
  <si>
    <t>Extension of deadline for applying for unemployment benefits in agriculture to June 1.</t>
  </si>
  <si>
    <t>Payments of fees due by firms operating in the gaming sector are postponed to May 31.</t>
  </si>
  <si>
    <t>An additional "special" allowance of EUR 1,000 for those who need to stay home to look after their children up to 12 years in case the family is without other income support.</t>
  </si>
  <si>
    <t>State guarantees on loans to SMEs.</t>
  </si>
  <si>
    <t>EUR3.5 billion additional funds are allocated for the national health system and civil protection. The funds will support: • Hiring of 20 thousand people with related coverage; • An increase of the National Emergency Fund by EUR 1.65 billion; • EUR 150 million for overtime of healthcare workers and another EUR 340 million for an increase in intensive care beds; • EUR 50 million for subsidizing loans or contributions to companies that produce surgical masks and related products); • EUR 150 million in precautionary funds for requisitioning movable property or hotels to face the emergency.</t>
  </si>
  <si>
    <t>Tax deductions for CIT and PIT of 30% for charitable donations linked to COVID-19.</t>
  </si>
  <si>
    <t>The Suspension of payments of VAT, SSCs and employers' WTH taxes due in April 2020 and May 2020 have been suspended for qualifying enterprises. The suspended payments can be fulfilled in a single instalment by 30 June 2020 or in up to 5 equal monthly instalments starting from June 2020.</t>
  </si>
  <si>
    <t>Social security contributions due by households for domestic workers are suspended until May 31.</t>
  </si>
  <si>
    <t>In March, employees operating in the entertainment, agricultural and touristic sector, self-employed workers, healthcare and law enforcement receive a tax-free lump-sum benefit of EUR 600.</t>
  </si>
  <si>
    <t>Parental leave extended to 15 days with 50% remuneration.</t>
  </si>
  <si>
    <t>The payment of employers' and employees' SSCs as well as employees' PIT withholdings for tourist sector operators is suspended until 30 April 2020 for the entire country.</t>
  </si>
  <si>
    <t>Self-employed revenues and fees are exempted from tax advance payment duties in the period 17th March 2020 - 31th May 2020. The allowance is applied to self-employed with a revenue level lower than EUR 400,000 in 2019.</t>
  </si>
  <si>
    <t>The payment deadline for executive assessment proceedings, tax demands and resolutions of pending tax disputes is postponed to May 31.</t>
  </si>
  <si>
    <t>Expenses incurred for the purchase of personal protective equipment qualify for the tax credit granted for sanitizing workplaces.</t>
  </si>
  <si>
    <t>EUR 10.3 billion package for measures to preserve jobs and support income of laid-off workers and self-employed.</t>
  </si>
  <si>
    <t xml:space="preserve">Employees of companies that have interrupted their activities will be entitled to receive a benefit in the amount of 80% of the salary paid by the state. </t>
  </si>
  <si>
    <t>The government will provide a guarantee to allow the banking system to suspend loan installments or extend loans, including to self-employed workers and those who have lost their jobs.</t>
  </si>
  <si>
    <t>Suspension of tax payments for individuals and firms resident in the 11 municipalities of the so-called Red Zone (50,000 inhabitants of the area initially hit by the virus and subject to a complete ban of individual movements) in the period 21 February until 30 April 2020. Later, this suspension was broadened to all tax and social security contribution payments for March and April, as well as VAT payments for March, for: all firms in the most affected sectors (tourism, transport, catering, entertainment, education); firms with revenues under EUR 2 million; and firms and self employed working in provinces mainly affected by the emergency (namely Bergamo, Cremona, Lodi and Piacenza).</t>
  </si>
  <si>
    <t>Measures to contain the spread of the virus and enhance preparedness of the healthcare system (around ¥62 billion, or 0.01% of GDP).</t>
  </si>
  <si>
    <t>A planned subsidy will reimburse two-thirds of the leave allowance for an SME employer, or half for a large enterprise. The subsidy is capped at JPY8,335 a day per employee on leave as of late February.</t>
  </si>
  <si>
    <t>Deadline extension (from mid-March to mid-April) for personal income tax, gift tax and consumption tax return filing and payment.</t>
  </si>
  <si>
    <t>Deferral of tax payments for people and businesses negatively impacted by COVID-19.</t>
  </si>
  <si>
    <t>Aid to households (about ¥223 billion, or 0.04% of GDP) such as enhanced paid-leave and compensation to working parents affected by the school closure.</t>
  </si>
  <si>
    <t>The April package aims to develop preventive measures against the spread of infection and strengthen treatment capacity (expenditure of 0.5% of GDP).</t>
  </si>
  <si>
    <t>Subsidies to firms who maintain employment during scale down of operations.</t>
  </si>
  <si>
    <t xml:space="preserve">An expected KRW 1.3 trillion in electricity bill payment deferrals. </t>
  </si>
  <si>
    <t>Doubled special tax cuts for SMEs in infected areas. The maximum rate of special tax reduction will be doubled (from15% to 30%) for small &amp; medium businesses in Deagu, Gyeongsan, Bonghwa, and Chungdo. This will reduce income tax or corporate tax by 60% for small businesses and 30% for medium businesses. It applies to all industries except the speculative entertainment, bar, real estate rental business, etc.</t>
  </si>
  <si>
    <t xml:space="preserve">Local government grants for costs of responding. </t>
  </si>
  <si>
    <t>W2.8T are provided via a 4-month-worth purchase vouchers to households receiving child and social assistance.</t>
  </si>
  <si>
    <t>An increased tax deduction to individuals for the use of debt cards (from 30% to 60%) and credit cards (from 15% to 30%) for the period from March to June.</t>
  </si>
  <si>
    <t>To strengthen financial support for SMEs, the BOK increased the ceiling of the Bank Intermediated Lending Support Facility by a total of KRW 5 trillion (about 0.26% of GDP) and lowered the interest rate to 0.25% (from 0.5-0.75%).</t>
  </si>
  <si>
    <t>W84 billion to subsidize employers’ cost for paid leaves offered to those infected.</t>
  </si>
  <si>
    <t>Consumers replacing cars older than 10 years will be eligible for an additional 70% reduction on the consumption tax due.</t>
  </si>
  <si>
    <t>Additional wage subsidies and job seeker benefits (W 10 trillion) (announced).</t>
  </si>
  <si>
    <t>Childcare support with W2.4T to low-income households as they shift from child daycare to homecare. Specifically, parent employees get W50,000/day.</t>
  </si>
  <si>
    <t>Tax cuts for landlords who reduce rent for commercial tenants.</t>
  </si>
  <si>
    <t>Consumption coupons for low-and middle-income households, (W9 trillion) (announced).</t>
  </si>
  <si>
    <t>Reintroduction of job seekers’ allowance for low-income households, with such allowance being increased from W200,000 to 500,000 for up to 3 months.</t>
  </si>
  <si>
    <t>W200B to low-income households getting unemployed and to those under COVID-19 treatment/quarantine.</t>
  </si>
  <si>
    <t>Social security contribution relief (announced).</t>
  </si>
  <si>
    <t>Reduction in the VAT payable by small businesses with turnover below KRW 60 million until the end of 2021.</t>
  </si>
  <si>
    <t>Health care measures: prevention, testing, and treatment costs, and loans and support for medical institutions.</t>
  </si>
  <si>
    <t>Small businesses are granted up to a 9-month extension for filing a tax return and up to 1 year extension for filing and paying local taxes.</t>
  </si>
  <si>
    <t>Employment retention support, consumption coupons for low-income households, and emergency family care support (including 5 days of childcare leave along with pay).</t>
  </si>
  <si>
    <t>Expanded lending of both state-owned and commercial banks to SMEs, small merchants, mid-sized firms, and large companies (the latter on a case-by-case basis) including emergency lending, partial and full guarantees, and collateralization of loan obligations.</t>
  </si>
  <si>
    <t>The Korean social insurance agency will allow for payout of industrial accident insurance to workers who are tested COVID-19 positive.</t>
  </si>
  <si>
    <t>Deduction of health insurance premium payments by 50% is planned for low-income households.</t>
  </si>
  <si>
    <t>Promote consumption through discount coupons for cultural events, farm products, as well as for tourism expenses.</t>
  </si>
  <si>
    <t>Subsidize up to 50% of rental costs for businesses whose activities are banned by government decree if the property manager agrees to a 30% discount.</t>
  </si>
  <si>
    <t xml:space="preserve">Increased sickness benefits for employees who became infected during the performance of their duties, amounting to 77.58% of the average wage. </t>
  </si>
  <si>
    <t>Deferment or payment in instalments of electricity and natural gas bills from UAB Ignitis.</t>
  </si>
  <si>
    <t>Postponement of submission (and payment of) advanced corporate income tax without interests.</t>
  </si>
  <si>
    <t>Self-employed workers who paid social insurance contributions for at least 3 months in the last year and who have lost their work as a result of the crisis, will receive a flat rate sickness benefit equal to 1 amount of minimum consumption needs per month (EUR 257).</t>
  </si>
  <si>
    <t>Postponement of submission (and payment of) personal income tax return.</t>
  </si>
  <si>
    <t>Possibility to defer tax liabilities or pay in instalments; no fines and no default interest for failure to comply with tax obligations in a timely manner.</t>
  </si>
  <si>
    <t>Allocation of EUR 23 million to provide SMEs with interest compensation for deferred loans or finance lease payments.</t>
  </si>
  <si>
    <t>Allocation of EUR 3 million for salary increases of around 15% for health care workers.</t>
  </si>
  <si>
    <t>Additional funds for the healthcare system and emergency management (EUR 500 million).</t>
  </si>
  <si>
    <t>Postponement of the payments date of tax arrears for taxpayers affected by COVID-19.</t>
  </si>
  <si>
    <t>Launch of a business support fund to provide liquidity to medium and large businesses through direct loans or investments in equity and debt securities</t>
  </si>
  <si>
    <t>Relief from import duties and VAT exemption on importation of goods needed to combat the effects of the COVID-19 crisis.</t>
  </si>
  <si>
    <t>Expansion of sickness benefits to individuals who take care of children, elderly people, disabled individuals and individuals with chronic diseases who are affected by the virus-mitigation measures taken by government.</t>
  </si>
  <si>
    <t>Expansion of guarantee schemes, including guarantees for agricultural as well as SME loans by around 1.3 billion euros (2.6% of 2019 GDP).</t>
  </si>
  <si>
    <t>Allocation of EUR 50 million to another financial instrument for SMEs facing working capital shortages to obtain loans or leases from a broader range of financial institutions.</t>
  </si>
  <si>
    <t>Wage subsidy scheme for companies for which the COVID-19 measures prevent the employer from providing work to their employees. Employers have to keep at least 50% jobs for at least 3 months from the end of the payment of the subsidies.</t>
  </si>
  <si>
    <t>Companies and self-employed individuals that realize income from a profession, or commercial or agricultural activities can request help if they are facing liquidity issues due to COVID-19 can file a request for:  A four-month extension to the deadline for the payment of (corporate) income, municipal business and net wealth taxes due after 29 February 2020, without any penalty for late payment. The tax authorities will automatically approve all eligible requests;</t>
  </si>
  <si>
    <t>Delayed payment of net wealth tax to June 30.</t>
  </si>
  <si>
    <t>In-kind transfers of essential products to people who earn living day by day.</t>
  </si>
  <si>
    <t>Non-repayable financial aid to micro enterprises as well as eligible self-employed.</t>
  </si>
  <si>
    <t>Extension of the deadline to file individual (personal) income tax returns to 30 June 2020.</t>
  </si>
  <si>
    <t>Companies and self-employed individuals that realize income from a profession, or commercial or agricultural activities can request help if they are facing liquidity issues due to COVID-19 can file a request for:  Extension of the deadline to file both corporate and individual (personal) income tax returns to 30 June 2020.</t>
  </si>
  <si>
    <t>Self-employed individuals that realize income from a profession, or commercial or agricultural activities can request help if they are facing liquidity issues due to COVID-19.</t>
  </si>
  <si>
    <t>Covered leave for family reasons (EUR 226 million) and sick leave (EUR 106 million).</t>
  </si>
  <si>
    <t>Granting capital advances to cover companies’ operating costs (EUR 400 million).</t>
  </si>
  <si>
    <t>Excess input VAT credits below EUR 10,000 will be reimbursed immediately.</t>
  </si>
  <si>
    <t>Acquisition of medical equipment and infrastructure (EUR194 million).</t>
  </si>
  <si>
    <t>Expansion of short-time working scheme ("chômage partiel") to all companies affected by effects of the current crisis, with 80% of employee's salary being reimbursed through the Fonds pour l'emploi, floored at minimum wage and up to a level of 250% of minimum wage.</t>
  </si>
  <si>
    <t>Partial-unemployment benefits (EUR 1 billion).</t>
  </si>
  <si>
    <t>Companies and self-employed individuals that realize income from a profession, or commercial or agricultural activities can request help if they are facing liquidity issues due to COVID-19 can file a request for:  Cancellation (annulation) of the first and second quarterly advance payments for both (corporate) income tax and municipal business tax for 2020;</t>
  </si>
  <si>
    <t>Postponement of social-security contribution payments for the first half of the year.</t>
  </si>
  <si>
    <t>Extension of credit guarantees for new bank loans and special anti-crisis financing for SMEs and large companies (EUR 3.6 billion).</t>
  </si>
  <si>
    <t>Extension of deadlines for submission of VAT returns and associated VAT payments.</t>
  </si>
  <si>
    <t>EUR 8 million to cover salary increases for three months for about 4,500 “front line” medical workers.</t>
  </si>
  <si>
    <t>Support package announced, includes covering 75% of employees’ wages from the state budget with the maximum monthly payment per employee set at EUR700. No subject to PIT and SSC.</t>
  </si>
  <si>
    <t>EUR 14 million to increase the capital of the three largest hospitals.</t>
  </si>
  <si>
    <t xml:space="preserve">About EUR2 million will be allocated to mass media outlets, about EUR45 million will be spent to support the farming sector, and EUR75 million to support the road construction sector. </t>
  </si>
  <si>
    <t>Companies involved in the production and storage of alcohol used to produce disinfectants can apply for an excise discount of up to 90 %.</t>
  </si>
  <si>
    <t>Support for businesses: about EUR900 million will be made available through the Altum emergency program: EUR200 million in a loan financing program for struggling business; and about EUR700 million through a government guarantee scheme.</t>
  </si>
  <si>
    <t>Refund of approved excess input VAT refund claims to all taxpayers within 30 days after submission of VAT return; plus refund of excess input VAT credits that has been carried forward from previous periods.</t>
  </si>
  <si>
    <t>Extending the rights of the tax administration to divide into time periods or to defer the payment of outstanding taxes for a time period of up to three years for taxpayers in sectors, which have been affected by the COVID-19. This policy measure is now under consideration.</t>
  </si>
  <si>
    <t xml:space="preserve">Exemption from the advance payments for the taxation year 2020. Within a taxation year, the taxpayer may voluntarily make advance payments of personal income tax for the taxation year 2020. </t>
  </si>
  <si>
    <t>25 billion pesos in loans to SMEs.</t>
  </si>
  <si>
    <t>State of Sonora announced the deferral for the payment of permits for the sale of alcoholic beverages and for the revalidation of vehicles permits</t>
  </si>
  <si>
    <t>A fund of 35 billion pesos from ISSSTE is destined to give personal loans ranging from 20 to 56 thousand pesos (each).</t>
  </si>
  <si>
    <t xml:space="preserve">Mexico city announced the deferral of tax returns and payments obligations included in the Mexico City Tax Code, extending the deadline to the end of the month. </t>
  </si>
  <si>
    <t>Mexico city extended the deadline to obtain a discount on the payment of the Tax on Vehicle Ownership from the end of March to the end of April.</t>
  </si>
  <si>
    <t>Advance pension payments to the elderly.</t>
  </si>
  <si>
    <t>Micro-credits for individuals/micro-enterprises.</t>
  </si>
  <si>
    <t>Possibility of instalment agreement for payment of SSCs by employers.</t>
  </si>
  <si>
    <t>Use of remaining resources in revenue stabilization fund (about 0.5% of GDP).</t>
  </si>
  <si>
    <t>Accelerating VAT refunds.</t>
  </si>
  <si>
    <t>Tax inspection acts were suspended from March 23 to April 19.</t>
  </si>
  <si>
    <t>Allowance for living expenses and/or operating capital for self-employed persons with financial problems, implemented by municipal governments.</t>
  </si>
  <si>
    <t>Working time reduction (werktijdverkorting): businesses that face a temporary loss of work for their employees due to a temporary calamity can cut employee work hours and receive unemployment benefits to compensate for the difference in employee earnings, provided the duration of the loss of work is between 2 and 24 weeks and at least 20% of the employees are without work.</t>
  </si>
  <si>
    <t>Introduction of Temporary Emergency Measures for the Preservation of Jobs (NOW) scheme to companies that expect to lose at least 20% of their revenue during the pandemic, including payment of employees' wages for 3 months.</t>
  </si>
  <si>
    <t>Deferral of CIT, PIT, VAT and payroll tax liability for businesses who can demonstrate that they have run into problems due to COVID-19.</t>
  </si>
  <si>
    <t>Lower VAT rate applies to online fitness classes for the period 16 March 2020 until the forced closure of gyms is lifted.</t>
  </si>
  <si>
    <t>An employer may grant tax-free general compensation of 1.2% of the total salary for tax purposes of all employees.</t>
  </si>
  <si>
    <t>Compensation for affected sectors (hospitality, travel, agriculture, culture, and others).</t>
  </si>
  <si>
    <t>Discount for early payment of tax due is available if certain conditions are met.</t>
  </si>
  <si>
    <t>Businesses that expect lower income as a result of the crisis can request a reduction of their provisional assessment.</t>
  </si>
  <si>
    <t>A guarantee scheme for supplier credit is established.</t>
  </si>
  <si>
    <t>Supply of free medical equipment to qualifying institutions will have no VAT input deduction consequences.</t>
  </si>
  <si>
    <t>Interest rate for late payment, late filing and incorrect filing temporarily reduced.</t>
  </si>
  <si>
    <t>A payment extension for customs and excise duties is granted until the fifteenth day following the month in which the COVID-19 measures end.</t>
  </si>
  <si>
    <t>One-off payment of EUR 4,000 for businesses that expect to incur a loss of revenue of at least the same amount.</t>
  </si>
  <si>
    <t>Public guarantee schemes, especially for SME loans, are expanded to help the most vulnerable companies to manage their liquidity problems.</t>
  </si>
  <si>
    <t>Supply of personnel to care for and nurse persons in qualifying institutions is exempt from VAT under conditions.</t>
  </si>
  <si>
    <t>Taxpayers subject to CIT can set off any loss against the profits for the preceding year and for the next 6 years. For entrepreneurs subject to income tax, the carry-back is 3 years, and the carry-forward 9 years.</t>
  </si>
  <si>
    <t>Support for entrepreneurs and the self-employed, start-ups and small innovation companies.</t>
  </si>
  <si>
    <t>Subsidies for 90% of wages for distressed businesses.</t>
  </si>
  <si>
    <t>Larger wage subsidies for temporary lay-offs and more generous unemployment benefits.</t>
  </si>
  <si>
    <t>Postponed payments of taxes for the self-employed, from April 15th to July 15th.</t>
  </si>
  <si>
    <t>Reduction of the reduced VAT rate from 12% to 8% for certain cultural and touristic services.</t>
  </si>
  <si>
    <t xml:space="preserve">Compensation scheme for 80% of "unavoidable fixed costs" for March, April and May to firms (corporations and sole proprietors) that experience a drop in revenues (compared to the same month last year) of at least 20% in March and 30% in April and May. </t>
  </si>
  <si>
    <t>Postpone advance payments of employers' social security contributions from 15 May to 15 August.</t>
  </si>
  <si>
    <t>Strengthen support for skills upgrade and in-house training for companies affected by the virus outbreak, through increased grants to the counties.</t>
  </si>
  <si>
    <t>Rules on unemployment benefit for workers who are laid off from their jobs: Employees will retain 100% of their pay from day 3 up to and including day 20 of the layoff period, for salaries up to approximately 600 000 NOK (USD 56,700).</t>
  </si>
  <si>
    <t>Temporary reduction of reduced VAT rate to 6% until October 31, 2020.</t>
  </si>
  <si>
    <t>Owners of lossmaking companies can postpone payments of the wealth tax; this will reduce the need for firms to provide dividends to owners to cover the wealth tax.</t>
  </si>
  <si>
    <t>Increased grants to the counties that will have large excess expenses due to the virus outbreak</t>
  </si>
  <si>
    <t>Remove the stand down period (was three days).</t>
  </si>
  <si>
    <t>Introduction of loss carry back: companies can deduct losses against taxable profits from the previous two years.</t>
  </si>
  <si>
    <t>Postpone advance payments of taxes for companies from 15 April to 1 September.</t>
  </si>
  <si>
    <t>Special tax measures for the oil and gas industry, including deduction of investments from the special tax base, and a refund for the tax value of losses in the income years 2020 and 2021.</t>
  </si>
  <si>
    <t>Delayed payments of VAT from 14 April to 10 June.</t>
  </si>
  <si>
    <t>Grants for start-ups.</t>
  </si>
  <si>
    <t>Reduce employer's social security contribution with 4 %age points for one term (i.e. for two months).</t>
  </si>
  <si>
    <t>Subsidies of domestic air routes.</t>
  </si>
  <si>
    <t>Measures to ensure that the pension rights are not affected negatively for retired health personnel that returns to service in connection with the COVID-19 outbreak.</t>
  </si>
  <si>
    <t>Loan guarantees for SMEs</t>
  </si>
  <si>
    <t>Temporary tax loss carry-back regime allowing tax losses to be carried back 1 year to businesses that are or anticipate being in a loss position in the 2019-20 or 2020-21.</t>
  </si>
  <si>
    <t>Support for the aviation sector (NZ$ 0.6 billion or 0.2% of GDP).</t>
  </si>
  <si>
    <t>NZ$ 0.5 billion to reinforce healthcare capacity.</t>
  </si>
  <si>
    <t>Increased administrative flexibility for the TA to modify due dates for filing tax returns and making tax payments, and timeframes and other procedural requirements for taxpayers impacted by COVID-19.</t>
  </si>
  <si>
    <t xml:space="preserve">A NZ$ 0.9 billion debt funding agreement (convertible to equity) with Air New Zealand to ensure continued freight operations, domestic flights and limited international flights. </t>
  </si>
  <si>
    <t>To protect SMEs, the threshold for having to pay provisional tax is increased from NZ$ 2500 to NZ$ 5000 for the 2020/21 tax year.</t>
  </si>
  <si>
    <t>Doubling of the Winter Energy Payment.</t>
  </si>
  <si>
    <t>A wage subsidy scheme for any business that can show a 30% decline in revenue for any month in the first half of 2020, relative to a year earlier. A business can receive up to NZ$ 150,000 of the next 12 weeks if they keep employees, with payments of NZ$ 585 per full-time employee and NZ$ 385 per part-time employee.</t>
  </si>
  <si>
    <t>Introducing depreciation deductions for commercial and industrial buildings, including hotels and motels, at 2% declining value.</t>
  </si>
  <si>
    <t>Waiving of interest on late payments of tax from February 14.</t>
  </si>
  <si>
    <t>The minimum work requirement of 20 hours per week for eligibility for the in-work tax credit is removed.</t>
  </si>
  <si>
    <t>A lump sum 12-week wage subsidy to support employers severely affected by the impact of COVID-19 (NZ$ 13 billion or 4.3% of GDP).</t>
  </si>
  <si>
    <t>A NZ$ 25 a week permanent increase in all main benefits.</t>
  </si>
  <si>
    <t>Temporary removal of tariffs on all medical and hygiene imports needed for the COVID-19 response (announced).</t>
  </si>
  <si>
    <t>Application of the research and development tax credit is brought forward by 1 year to the 2019/20 income year.</t>
  </si>
  <si>
    <t>Hours threshold for the In Work Tax Credit was removed.</t>
  </si>
  <si>
    <t>A subsidy is provided to any worker or contractor who needs to self-isolate due to COVID-19.</t>
  </si>
  <si>
    <t>Increase the low value asset write off from NZ$ 500 to NZ$ 5000 temporarily for the 2020/21 tax year, then reduce the threshold to NZ$ 1000 for future tax years.</t>
  </si>
  <si>
    <t>A permanent increase in social spending to protect vulnerable people (total NZ$ 2.4 billion or 0.8% of GDP over the next four years).</t>
  </si>
  <si>
    <t>Stand down periods (waiting time for unemployment benefits) temporarily removed.</t>
  </si>
  <si>
    <t>Refraining from charging interest due for default on tax arrears.</t>
  </si>
  <si>
    <t>Extension of deadline for filing individual income tax returns to 30 June 2020.</t>
  </si>
  <si>
    <t>Fixed assets purchased to produce goods to counteract the COVID-19 pandemic will be subject to an extraordinary one-off tax depreciation write offs equal to the value of fixed assets.</t>
  </si>
  <si>
    <t>Entrepreneurs and companies will be entitled to postpone, until 1 June 2020, the payment of individual income tax advances for March and April withheld from their employees' and contractors' salaries, as well as payment of VAT liabilities.</t>
  </si>
  <si>
    <t>Possibility for CIT taxpayers of using the R&amp;D tax relief during the tax year at the stage of calculating the tax advances. Available for the taxpayers developing anti-COVID-19 products.</t>
  </si>
  <si>
    <t>Possibility for PIT taxpayers of using the preferential 5% tax rate for incomes derived from qualified intellectual property rights (IP Box) during the tax year at the stage of paying tax advanced payments.</t>
  </si>
  <si>
    <t xml:space="preserve">Entrepreneurs and companies will be entitled to carry back tax losses incurred in 2020 and set them off against 2019 income, if the company's turnover dropped by more than 50%. </t>
  </si>
  <si>
    <t>Micro enterprises (with a maximum of nine employees) are entitled to a low-interest loan of up to PLN 5,000 for a period of 12 months.</t>
  </si>
  <si>
    <t>PLN 7.5 billion to be allocated to healthcare services, purchases of medical and protective equipment and modernization of hospital infrastructure.</t>
  </si>
  <si>
    <t>Employers meeting specific criteria concerning turnover decline could lower employee's working time to 80% and get 40% of average wages covered by the state, with firms covering the remaining 40%. In case of significant problems, companies can use economic stoppage with wages reduced to 50% of regular level; the government will cover almost half of the remuneration.</t>
  </si>
  <si>
    <t>Extension of deadline for filing CIT returns to 31 May 2020.</t>
  </si>
  <si>
    <t>Central Bank has recommended commercial banks to grant 3 month grace period for capital and interest loan repayments for both corporate and individual clients.</t>
  </si>
  <si>
    <t>Extraordinary deductions allowed to entrepreneurs, companies and individuals for donations made for the purpose of combatting COVID-19.</t>
  </si>
  <si>
    <t>Small taxpayers who in 2020 paid advances of individual income tax by means of a simplified form can opt out of making further advance payments during the tax year.</t>
  </si>
  <si>
    <t>For micro firms up to 9 employees, social insurance contributions will be covered by the budget for 3 months. For companies employing more 10 to 49 employers 50% of social insurance contributions and possible will paid by the budget.</t>
  </si>
  <si>
    <t>Self-employed and employees working on civil contracts will receive a one-time benefit.</t>
  </si>
  <si>
    <t>Sole entrepreneurs and micro enterprises (employing no more than 9 employees) will be exempt from SSCs for a period of 3 months (until May 2020). Entrepreneurs employing 10 to 49 employees are entitled to a 50% exemption.</t>
  </si>
  <si>
    <t>Small taxpayers who in 2020 paid advances of CIT by means of a simplified form can opt out of making further advance payments during the tax year.</t>
  </si>
  <si>
    <t>0% VAT rate on the supply of laptops and tablets donated by taxpayers to educational institutions.</t>
  </si>
  <si>
    <t>Postponement of the deadline to pay tax on revenues from immovable properties to July 2020.</t>
  </si>
  <si>
    <t>Selected domestic supplies of goods contributing to the combating COVID-19 will be temporarily subject to the zero rate of VAT until the end of the state of emergency.</t>
  </si>
  <si>
    <t>Possibility for CIT taxpayers of using the preferential 5% tax rate for incomes derived from qualified intellectual property rights (IP Box) during the tax year at the stage of paying tax advanced payments.</t>
  </si>
  <si>
    <t xml:space="preserve">Deferment in payment of the real estate tax until 30 September 2020; </t>
  </si>
  <si>
    <t xml:space="preserve">Sole entrepreneurs and persons employed under a civil law contract are entitled to an allowance of PLN 2,000 per month for a period of 3 months. </t>
  </si>
  <si>
    <t>PLN 100 billion for liquidity loans and subsidies for micro, small/medium, and large enterprises.</t>
  </si>
  <si>
    <t>The entry into force of a number of VAT policy and administration reforms has been delayed from 1 April 2020 to 1 July 2020, as well as the retail sales tax, which will be delayed further until the end of 2020.</t>
  </si>
  <si>
    <t>Guarantees for SMEs increased to 80% from 60%.</t>
  </si>
  <si>
    <t>Parents have an additional 14 days of childcare allowance for childcare up to the age of 8 if the nursery, children's club, kindergarten, or school the child attends is closed due to the COVID-19.</t>
  </si>
  <si>
    <t>Additional resources were transferred to the health system.</t>
  </si>
  <si>
    <t>Deferral of CIT payments (namely of the CIT payment usually due in May as well as of the special advance payment usually due in March and of the advance payments usually due in July).</t>
  </si>
  <si>
    <t>State-backed credit guarantees: EUR 1.1 billion for companies operating in the travel and tourism sector, EUR 1.3 billion for the manufacturing industry (i.e. textile, clothing, footwear) and EUR 600 million for the hospitality sector.</t>
  </si>
  <si>
    <t>EUR 3.7 billion (1.9% GDP) of state-guaranteed credit lines for medium, small and micro enterprises in affected sectors, operated through the banking system.</t>
  </si>
  <si>
    <t>Regulation on staff overtime, hiring procedures and procurement rules have been eased.</t>
  </si>
  <si>
    <t>The ceilings for export credit insurance schemes were increased for metallurgic, metal and mechanical industries (+ EUR 100 million), construction abroad (+ EUR 100 million) and short-term exports (+ EUR 50 million).</t>
  </si>
  <si>
    <t>Suspension of the tax enforcement proceedings initiated as well as enforcement proceedings for social security debts by 30 June 2020.</t>
  </si>
  <si>
    <t>EUR 1 billion per month (0.5% GDP) in financial support for those temporarily furloughed by their employer.</t>
  </si>
  <si>
    <t>Extension of deadline of the April and May 2020 personal income withholding taxes.</t>
  </si>
  <si>
    <t>Provisions for temporary loss of employment; workers maintain 2/3 of the remuneration of which 70% is paid by the State and 30% is paid by the employer; exemption of employer's contributions to SS during the temporary lay off. This measure can be combined with the training subsidy.</t>
  </si>
  <si>
    <t>Increased credit for companies, total 200 million euros.</t>
  </si>
  <si>
    <t>Extension of deadline of the April and May 2020 corporate income withholding taxes and VAT returns.</t>
  </si>
  <si>
    <t>Training subsidy of 50% of prior earnings, up to minimum wage, plus the cost of training, for workers without occupation for a long period as a result of the COVID-19 crisis.</t>
  </si>
  <si>
    <t>Automatic extension of unemployment benefits (as well as some other social security benefits) whose concession or renewal period occurs before the end of June 2020.</t>
  </si>
  <si>
    <t>Payment in 3 or 6 monthly installments of VAT due in April, May and June.</t>
  </si>
  <si>
    <t>For self-employed and companies with a turnover of up to EUR 10 million in fiscal year 2018 or that have started the activity after 1 January 2019, it will be possible to defer the withholding tax payment as follows: payment in six instalments with late payment interest being due only over the last three instalments.</t>
  </si>
  <si>
    <t>Deferral of SSCs and some other tax payments.</t>
  </si>
  <si>
    <t>VAT exemption on donations of goods to the State and non-profit organizations, to be distributed to healthcare institutions or needed persons.</t>
  </si>
  <si>
    <t>Wage subsidy; 66% of prior remuneration for workers with dependent children who have to stay at home with their children (up to 12 yrs old) due to school lockdown, half paid by the State (through its Social Security Funds) and half paid by the employer; 1/3 of average earnings for the self-employed, paid by the State.</t>
  </si>
  <si>
    <t>EUR 6.2 billion (3.2% GDP) of (within-year) tax and social security contribution deferrals for companies and employees.</t>
  </si>
  <si>
    <t>Extension of deadline of simplified business information return to 7 August 2020.</t>
  </si>
  <si>
    <t>The equivalent of 14 days sick absence leave for workers who have to self isolate or isolate their children or grandchildren.</t>
  </si>
  <si>
    <t>Financial support for the self-employed in the amount of EUR 438 for 6 months.</t>
  </si>
  <si>
    <t>For self-employed and companies with a turnover of up to EUR 10 million in fiscal year 2018 or that have started the activity after 1 January 2019, it will be possible to defer the withholding tax payment as follows: payment in three instalments with no late payment interest being charged; or</t>
  </si>
  <si>
    <t>Available loan facilities up to a total of 60 million euros for micro companies in the Tourism sector. No reimbursements need to be made the first 12 months, and interest rate is below the market interest rate.</t>
  </si>
  <si>
    <t>Possibility of payment in 3 or 6 monthly installments of PIT withholding tax due in April, May and June.</t>
  </si>
  <si>
    <t>Guarantees of up to half a billion euros per month to help businesses obtain credit.</t>
  </si>
  <si>
    <t>Key measures amount to Euro 1 billion per month (1% of 2019 GDP), targeted at businesses that do not lay-off workers.</t>
  </si>
  <si>
    <t xml:space="preserve">Loan schemes for SMEs and self-employed (about EUR 150 million), featuring loan guarantees and interest payments. </t>
  </si>
  <si>
    <t>Waiver of advance payments if sales declined by more than 40 %.</t>
  </si>
  <si>
    <t>Suspension of tax audits.</t>
  </si>
  <si>
    <t>(Planned): allow a partial waiver of employers’ social security and health contributions for employees idled due to production interruptions or stoppages</t>
  </si>
  <si>
    <t>Improved access to low-interest loans.</t>
  </si>
  <si>
    <t>Individuals, self-employed and SMEs are also allowed to defer loan repayments for up to 9 months.</t>
  </si>
  <si>
    <t>Persons in quarantine are now eligible to receive a sickness benefit up to 55% of the salary (up to 70% for single parents).</t>
  </si>
  <si>
    <t>(Planned) allow companies to carry forward losses for more than four tax years</t>
  </si>
  <si>
    <t>Filing deadlines for 2019 PIT postponed by three months.</t>
  </si>
  <si>
    <t>Penalty relief for late filing of CIT tax returns.</t>
  </si>
  <si>
    <t>Sanction-free loan payment deferrals.</t>
  </si>
  <si>
    <t>Parents with children up to 16 years will be eligible for child support (18 in case of children with severe disabilities).</t>
  </si>
  <si>
    <t>Penalty relief for late filing of PIT tax returns.</t>
  </si>
  <si>
    <t>A rent payment moratorium was imposed until June 30.</t>
  </si>
  <si>
    <t>Postponed employer social security contributions if sales declined by more than 40 %. Also applicable to the self-employed.</t>
  </si>
  <si>
    <t xml:space="preserve">Sick pay for all workers during the pandemic from the first day onwards will be covered by the Health Insurance Institute of Slovenia, not by the employer. Pension. </t>
  </si>
  <si>
    <t>An employer may claim the right to reimbursement on salary only once for a period of at least three months</t>
  </si>
  <si>
    <t xml:space="preserve">Part of unused EU funds from the European Social Fund will be redirected to fund companies and institutions carrying on research and development of solutions to fight the consequences of COVID-19. </t>
  </si>
  <si>
    <t>Pensioners with the lowest pensions will receive a solidarity bonus due to the impact of the COVID-19.</t>
  </si>
  <si>
    <t>For employers who unable to provide work for at least 30% of its regularly workers due to the COVID-19 crisis and these workers are temporarily "non-active", employees will receive a replacement income equal to 80% of their salary; 40% will be paid by government and 60% by the employer.</t>
  </si>
  <si>
    <t>The possibility of delaying the tax payments due to loss of income due to COVID-19 by up to 2 years.</t>
  </si>
  <si>
    <t>Delay of the deadline for submission of the tax return of the advance payment of CIT for 2 months.</t>
  </si>
  <si>
    <t>Salary increases between 10 and 200% for employees of sectors that are key in overcoming the epidemic.</t>
  </si>
  <si>
    <t>Monthly cash transfer (70% of the net minimum wage) to self-employed who are unable to operate due to the crisis or whose operations have been significantly reduced.</t>
  </si>
  <si>
    <t>The possibility of delaying the advance payment of tax and withholding tax due to COVID-19 by up to 2 years without incurring interest.</t>
  </si>
  <si>
    <t>Reduction of electricity prices by about 20% for the next three months.</t>
  </si>
  <si>
    <t>Mandatory health and pension contributions will be covered by the state until 31 May 2020 with the possibility of extension.</t>
  </si>
  <si>
    <t>Workers are unable to work because of a quarantine decision of the Ministry of Health, the government will pay the entire replacement income (i.e. the full 80% of the normal salary).</t>
  </si>
  <si>
    <t>Deferral of payment of social security contributions for self-employed persons who have no other employees for three months. The total value of deferred contributions, excluding interest on late payment, will have to be paid by end-March 2022 at the latest.</t>
  </si>
  <si>
    <t xml:space="preserve">Government guarantees and credit lines available for financial support to the affected businesses, particularly SMEs (EUR 600 million). </t>
  </si>
  <si>
    <t>Delay of the deadline for submission of the tax return of the advance payment of personal income tax for 2 months.</t>
  </si>
  <si>
    <t>Deferral of a maximum of three month worth of payments of companies’ social contributions, VAT and payroll taxes for a period of up to 12 months (SEK 27 billion if uptake similar to GFC, and SEK 315 billion if fully used by all firms), deferral of annual VAT for 2019 (SEK 7 billion) and deferral of SME taxes (SEK 13 billion)</t>
  </si>
  <si>
    <t>Government loan guarantee to make it easier for companies to access bank financing, targeting primarily SMEs. The guarantee could amount to up to SEK 100 billion. The risk is shared between the government and banks (70/30).</t>
  </si>
  <si>
    <t>Extra funding for the cultural and sports sector.</t>
  </si>
  <si>
    <t>Funding of extraordinary costs associated with COVID-19 of municipalities and regions (SEK 103 billion).</t>
  </si>
  <si>
    <t>For employees reducing their working time by either 20, 40 or 60%, the government will cover 75% of the wage costs associated with the reduction.</t>
  </si>
  <si>
    <t>Removed qualifying day of sickness due to COVID-19.</t>
  </si>
  <si>
    <t>Coverage of EKN extended, including to encompass sea shipping.</t>
  </si>
  <si>
    <t>Temporary reduction in individual social security contributions.</t>
  </si>
  <si>
    <t>Government will assume sick pay responsibility for two months.</t>
  </si>
  <si>
    <t>SMEs can claim back the preliminary tax paid in 2019 and either pay it later or set it off against future losses.</t>
  </si>
  <si>
    <t>Temporary reduction of employers' social security contributions; the measure applies to up to 30 employees and up to SEK 5300 per employee per month.</t>
  </si>
  <si>
    <t>Temporary discount for rental costs for firms in sectors with considerable difficulties, such as durable consumer goods, hotels, restaurants and certain other activities.</t>
  </si>
  <si>
    <t>Temporarily grants to businesses based on their loss of turnover to cover their fixed costs (SEK 130170 billion.</t>
  </si>
  <si>
    <t>Extension of credit and credit guarantees via the Swedish Export Credit Agency's (EKN) and the Swedish Export Credit Corporation (SEK).</t>
  </si>
  <si>
    <t>State credit guarantees for Swedish airlines amounting to a maximum of SEK 5 billion.</t>
  </si>
  <si>
    <t>Extension of the Credit Guarantee Fund to encourage banks to lend to SMEs.</t>
  </si>
  <si>
    <t>Amounts of conditional cash transfers for woman are increased by 29% for health, postnatal and pregnancy payments.</t>
  </si>
  <si>
    <t>Reduced taxes for affected industries (particularly tourism).</t>
  </si>
  <si>
    <t>Water bill debts of residences and businesses whose activities have been suspended due to COVID-19 may be postponed by the municipalities for three months.</t>
  </si>
  <si>
    <t>Extension of CIT filing deadlines.</t>
  </si>
  <si>
    <t>Extension of PIT filing deadlines</t>
  </si>
  <si>
    <t>(Wage) withholding tax, VAT and social security payments regarding April, May and June 2020 will be postponed for 6 months for taxpayers in shopping malls, retail, iron-steel, automotive, transportation, cinema-theatre, accommodation, food-drink, textile-clothing, and event-organization sectors.</t>
  </si>
  <si>
    <t>State payment of two-thirds of workers’ salaries in affected firm.</t>
  </si>
  <si>
    <t>A holiday bonus to be paid to retirees will be paid earlier.</t>
  </si>
  <si>
    <t>Income support for workers whenever business is slowed down or suspended as a result of a general, sectoral or regional crisis or another coercive condition.</t>
  </si>
  <si>
    <t>Direct support to Turkish Airlines and other affected entities.</t>
  </si>
  <si>
    <t>Extended deadlines for filing tax returns and informative forms, and issuance and signing of electronic ledgers.</t>
  </si>
  <si>
    <t>An additional 32,000 health care staff will be hired.</t>
  </si>
  <si>
    <t>The effective payment date of the Accommodation Tax is postponed to 1 January 2021 instead of April 1, 2020.</t>
  </si>
  <si>
    <t>Income tax debts of municipalities and municipal firms, social insurance premium payments of municipalities will be postponed for three months.</t>
  </si>
  <si>
    <t>Deferment period for VAT on delivery of goods destined for export extended until 30 June 2020.</t>
  </si>
  <si>
    <t>Postponement of the collection of advertisement taxes and environmental cleaning taxes until entities are allowed to resume operations.</t>
  </si>
  <si>
    <t>Additional 2 billion Turkish Lira for financial aid to families in need according to criteria defined by the Ministry of Family, Labor and Social Services.</t>
  </si>
  <si>
    <t>Healthcare employees will receive the maximum performance payments for 3 months.</t>
  </si>
  <si>
    <t>Minimum pension level will be increased to Turkish Lira 1,500 (USD 230).</t>
  </si>
  <si>
    <t>Individuals over 65 years old or those with chronic conditions are exempt from tax payments until the end of the COVID-19 outbreak.</t>
  </si>
  <si>
    <t>Postponed taxes for affected industries (particularly tourism).</t>
  </si>
  <si>
    <t>A one-time transfer of 1000 TL (around USD 150) are being made to over 4 million current social assistance beneficiary households in two separate phases.</t>
  </si>
  <si>
    <t>The compensatory working period will be increased from 2 to 4 months.</t>
  </si>
  <si>
    <t>Provision of funding to the Small Business Administration (SBA) disaster loans program to support SBA’s administration of loan subsidies that will be made available to entities financially impacted as a result of the coronavirus (US359 billion).</t>
  </si>
  <si>
    <t>An estimated USD 2.3 trillion (around 11% of GDP) Coronavirus Aid, Relief and Economy Security Act (“CARES Act”).</t>
  </si>
  <si>
    <t>The unemployment insurance benefit a recipient receives is increased by USD 600 per week (referred to as Federal Pandemic Unemployment Compensation) and extend the benefits 13 additional weeks. Benefits may vary by state.</t>
  </si>
  <si>
    <t>Temporary increase of the amount of interest expense that businesses are allowed to deduct on their tax returns, by increasing the 30% limitation to 50% of taxable income (with adjustments) for 2019 and 2020.</t>
  </si>
  <si>
    <t>Extension for filing US federal tax returns and making payments for specified affected taxpayers to July 15, 2020.</t>
  </si>
  <si>
    <t>The Families First COVID-19 Response Act allows parents who are caring for children whose schools have closed to have a maximum of 12 weeks of paid family leave. Gig and self-employed workers also get these benefits in the form of a tax credit.</t>
  </si>
  <si>
    <t>Self-employed workers would also qualify for the same level of refundable tax credit to offset wages paid during an illness, with a corresponding lower amount available if the absence from work is used to take care of a family member or provide for a school-aged child who must stay home. The proposed legislation also includes USD 15 million for the IRS to implement the tax credits for paid sick and paid family and medical leave.</t>
  </si>
  <si>
    <t>Coverage expansion of private and government provided health insurance to cover testing for SARS-CoV-2 / COVID-19 with no cost-sharing during the emergency period.</t>
  </si>
  <si>
    <t>Additional funding for hospitals and health care infrastructure (USD 100 billion)</t>
  </si>
  <si>
    <t>Acceleration of the ability of companies to recover corporate AMT credits, permitting companies to claim a refund now.</t>
  </si>
  <si>
    <t>Modifies the loss limitation applicable to pass-through businesses and sole proprietors, so the excess business loss limits of $250,000 ($500,000 joint return) for noncorporate taxpayers beings in tax year 2021.</t>
  </si>
  <si>
    <t>Enhanced deductions for improvements made to real property.</t>
  </si>
  <si>
    <t>Employers are to receive a refundable tax credit to offset the cost of providing workers with paid medical leave, according to a bill summary. The amount of qualified sick leave wages taken into account would be USD 511 per worker/day. The credit would offset USD 200 per day of wages for employees who must care for a family members or whose child is home because of a school or daycare closing.</t>
  </si>
  <si>
    <t>Increases the limitations on deductions for charitable contributions.</t>
  </si>
  <si>
    <t>USD 25 billion for expanding virus testing.</t>
  </si>
  <si>
    <t>The federal excise tax is waived on any distilled spirits used for or contained in hand sanitizer that is produced and distributed in a manner consistent with guidance issued by the Food and Drug Administration and is effective for calendar year 2020.</t>
  </si>
  <si>
    <t>USD 75 billion for hospitals.</t>
  </si>
  <si>
    <t>Businesses, especially in the hospitality industry, are allowed to write off immediately costs associated with improving facilities.</t>
  </si>
  <si>
    <t>Deferment of federal tax payments without interest or penalties for certain individuals and businesses.</t>
  </si>
  <si>
    <t>Provision of greater funding for nutritional programs and provision of an increase in nutritional benefits for families</t>
  </si>
  <si>
    <t>Allowing a high-deductible health plan (HDHP) with a health savings account (HSA) to cover telehealth services prior to a patient reaching the deductible, increasing access for patients who may have the COVID-19 virus and protecting other patients from potential exposure.</t>
  </si>
  <si>
    <t>Transfers to households, extended unemployment insurance, food assistance, incentives for firms to maintain employees on payroll, loans and grants for businesses.</t>
  </si>
  <si>
    <t>Provision of funding for international efforts to support global disease detection and emergency response efforts, support humanitarian assistance needs resulting from the coronavirus outbreak, support health systems responding to the coronavirus outbreak overseas, and support economic, security and stabilization efforts (USD 49.9 billion for international assistance (including SDR28 billion for the IMF’s New Arrangement to Borrow).</t>
  </si>
  <si>
    <t>USD 24 billion to provide a food safety net for the most vulnerable.</t>
  </si>
  <si>
    <t>USD 60 billion to provide SBA grants to assist small businesses.</t>
  </si>
  <si>
    <t>A refundable payroll tax credit for 50% of qualified wages up to $10,000 for each employee for qualifying calendar 2020 quarters during the COVID-19 crisis. The credit is available to employers whose (1) operations were fully or partially suspended, due to a COVID-19-related shut-down order, or (2) gross receipts declined by more than 50% when compared to the same quarter in the prior year.</t>
  </si>
  <si>
    <t>Repeals Federal Excise Taxes collected in relation to commercial aviation.</t>
  </si>
  <si>
    <t>USD 250 billion to provide one-time tax rebates to individuals.</t>
  </si>
  <si>
    <t>USD 310 billion for additional forgivable SBA loans and guarantees to help small businesses that retain workers.</t>
  </si>
  <si>
    <t>Provide aid to States (minimum of USD 1.25 billion per state) with the most populous states receiving an estimated USD 10 billion each.</t>
  </si>
  <si>
    <t>Recipients of loans to be eligible for loan forgiveness on covered loans in an amount equal to the sum of the costs incurred on or after 15 February, 2020, and on or before 30 June, 2020, due to payroll cost, mortgage interest payments, rent or utility payments.</t>
  </si>
  <si>
    <t>For employers and self-employed individuals, deferral of payment of the employer share of the Social Security tax.</t>
  </si>
  <si>
    <t>Funds to states may be used for the administration of its unemployment compensation law, including ensuring adequate resources in periods of high demand.</t>
  </si>
  <si>
    <t>Adults will get USD 1,200 each and children USD 500 each. The benefit will start decreasing at a rate of USD 5 for every additional USD 100 in income.</t>
  </si>
  <si>
    <t>Allowing patients to use funds in HSAs and Flexible Spending Accounts for the purchase of over-the-counter medical products, including those needed in quarantine and social distancing, without a prescription from a physician.</t>
  </si>
  <si>
    <t>Targetability</t>
  </si>
  <si>
    <t>Speed</t>
  </si>
  <si>
    <t>Abuse_Resistance</t>
  </si>
  <si>
    <t>Affordability</t>
  </si>
  <si>
    <t>Predictability_Cost_Control</t>
  </si>
  <si>
    <t>Reversibility</t>
  </si>
  <si>
    <t>Scalability</t>
  </si>
  <si>
    <t>Administrative_Complexity</t>
  </si>
  <si>
    <t>Resilience_Health_Measures</t>
  </si>
  <si>
    <t>Country_Code</t>
  </si>
  <si>
    <t>AUS</t>
  </si>
  <si>
    <t>AUT</t>
  </si>
  <si>
    <t>BEL</t>
  </si>
  <si>
    <t>CAN</t>
  </si>
  <si>
    <t>CHE</t>
  </si>
  <si>
    <t>CHL</t>
  </si>
  <si>
    <t>COL</t>
  </si>
  <si>
    <t>CRI</t>
  </si>
  <si>
    <t>CZE</t>
  </si>
  <si>
    <t>DEU</t>
  </si>
  <si>
    <t>DNK</t>
  </si>
  <si>
    <t>ESP</t>
  </si>
  <si>
    <t>EST</t>
  </si>
  <si>
    <t>FIN</t>
  </si>
  <si>
    <t>FRA</t>
  </si>
  <si>
    <t>GBR</t>
  </si>
  <si>
    <t>GRC</t>
  </si>
  <si>
    <t>HUN</t>
  </si>
  <si>
    <t>IRL</t>
  </si>
  <si>
    <t>ISL</t>
  </si>
  <si>
    <t>ISR</t>
  </si>
  <si>
    <t>ITA</t>
  </si>
  <si>
    <t>JPN</t>
  </si>
  <si>
    <t>KOR</t>
  </si>
  <si>
    <t>LTU</t>
  </si>
  <si>
    <t>LUX</t>
  </si>
  <si>
    <t>LVA</t>
  </si>
  <si>
    <t>MEX</t>
  </si>
  <si>
    <t>NLD</t>
  </si>
  <si>
    <t>NOR</t>
  </si>
  <si>
    <t>NZL</t>
  </si>
  <si>
    <t>POL</t>
  </si>
  <si>
    <t>PRT</t>
  </si>
  <si>
    <t>SVK</t>
  </si>
  <si>
    <t>SVN</t>
  </si>
  <si>
    <t>SWE</t>
  </si>
  <si>
    <t>TUR</t>
  </si>
  <si>
    <t>USA</t>
  </si>
  <si>
    <t>Reg</t>
  </si>
  <si>
    <t>Europe &amp; Central Asia</t>
  </si>
  <si>
    <t>Latin America &amp; the Caribbean</t>
  </si>
  <si>
    <t>South Asia</t>
  </si>
  <si>
    <t>Sub-Saharan Africa</t>
  </si>
  <si>
    <t>Middle East &amp; North Africa</t>
  </si>
  <si>
    <t>East Asia &amp; Pacific</t>
  </si>
  <si>
    <t>North America</t>
  </si>
  <si>
    <t>Lendingcategory</t>
  </si>
  <si>
    <t>None</t>
  </si>
  <si>
    <t>IBRD</t>
  </si>
  <si>
    <t>Incomelevel</t>
  </si>
  <si>
    <t>High Income</t>
  </si>
  <si>
    <t>Low Income</t>
  </si>
  <si>
    <t>Lower Middle Income</t>
  </si>
  <si>
    <t>Upper Middle Income</t>
  </si>
  <si>
    <t>FCV</t>
  </si>
  <si>
    <t>ermrating</t>
  </si>
  <si>
    <t>Targetability (converted)</t>
  </si>
  <si>
    <t>Speed (converted)</t>
  </si>
  <si>
    <t>Abuse_Resistance (converted)</t>
  </si>
  <si>
    <t>Affordability (converted)</t>
  </si>
  <si>
    <t>Predictability_Cost_Control (converted)</t>
  </si>
  <si>
    <t>Reversibility (converted)</t>
  </si>
  <si>
    <t>Scalability (converted)</t>
  </si>
  <si>
    <t>Administrative_Complexity (converted)</t>
  </si>
  <si>
    <t>Resilience_Health_Measures (converted)</t>
  </si>
  <si>
    <t>All Regions</t>
  </si>
  <si>
    <t>All Income Levels</t>
  </si>
  <si>
    <t>All Lending Categories</t>
  </si>
  <si>
    <t>IDA/Blend only</t>
  </si>
  <si>
    <t>IBRD only</t>
  </si>
  <si>
    <t>Data!$AJ:$AJ</t>
  </si>
  <si>
    <t>Data!$AG:$AG</t>
  </si>
  <si>
    <t>Data!$AH:$AH</t>
  </si>
  <si>
    <t>Data!$AI:$AI</t>
  </si>
  <si>
    <t>Neither IDA nor IBRD</t>
  </si>
  <si>
    <t>All Countries</t>
  </si>
  <si>
    <t>Revenue Measures to protect businesses</t>
  </si>
  <si>
    <t>Revenue Measures to protect individuals</t>
  </si>
  <si>
    <t>Revenue Measures to promote availability of medical items</t>
  </si>
  <si>
    <t>Revenue Measures to boost consumption / demand</t>
  </si>
  <si>
    <t>Health Expenditures measures</t>
  </si>
  <si>
    <t>Expenditure Measures for cash transfers to individuals</t>
  </si>
  <si>
    <t>Credit and equity measures</t>
  </si>
  <si>
    <t>Accelerated asset depreciation (CIT)</t>
  </si>
  <si>
    <t>Tax amnesty / incentives</t>
  </si>
  <si>
    <t>Suspend audit activities</t>
  </si>
  <si>
    <t>Expansion of human resources</t>
  </si>
  <si>
    <t>Direct cash transfers for individuals</t>
  </si>
  <si>
    <t>Policy category</t>
  </si>
  <si>
    <t>Revenue Measures to raise revenue</t>
  </si>
  <si>
    <t>Expenditure Measures for businesses</t>
  </si>
  <si>
    <t>Other measures</t>
  </si>
  <si>
    <t>FCV:</t>
  </si>
  <si>
    <t>List of Selected Countries</t>
  </si>
  <si>
    <t>Number</t>
  </si>
  <si>
    <t>Extend loss carry-forward (CIT)</t>
  </si>
  <si>
    <t>Tax credits</t>
  </si>
  <si>
    <t>Deferral of tax filing</t>
  </si>
  <si>
    <t>Deferral of tax payments</t>
  </si>
  <si>
    <t>Tax rate reduction</t>
  </si>
  <si>
    <t>Accelerating refunds</t>
  </si>
  <si>
    <t>Lower advance payment</t>
  </si>
  <si>
    <t>Suspend debt collection</t>
  </si>
  <si>
    <t>Broaden tax deductibility</t>
  </si>
  <si>
    <t>Lower tax rates for medical items</t>
  </si>
  <si>
    <t>Lower tax rates</t>
  </si>
  <si>
    <t>Supply of low cost medical items</t>
  </si>
  <si>
    <t>Supply of high cost medical items</t>
  </si>
  <si>
    <t>Targeted infrastructure investments</t>
  </si>
  <si>
    <t>Expansion of unemployment benefits</t>
  </si>
  <si>
    <t>Temporary expansion of existing benefits</t>
  </si>
  <si>
    <t>Supplementary ad hoc programs</t>
  </si>
  <si>
    <t>Wage compensation/ enhanced paid leave</t>
  </si>
  <si>
    <t>Preferential loans to firms</t>
  </si>
  <si>
    <t>One-off grants</t>
  </si>
  <si>
    <t>Preferential loans to households</t>
  </si>
  <si>
    <t>Revenue increase</t>
  </si>
  <si>
    <t>Income support</t>
  </si>
  <si>
    <t>Tax exemption/waiver/suspension</t>
  </si>
  <si>
    <t>Other</t>
  </si>
  <si>
    <t>General</t>
  </si>
  <si>
    <t>Revenue Measures to protect businesses: Accelerated asset depreciation (CIT)</t>
  </si>
  <si>
    <t>Revenue Measures to protect businesses: Extend loss carry-forward (CIT)</t>
  </si>
  <si>
    <t>Revenue Measures to protect businesses: Broaden tax deductibility</t>
  </si>
  <si>
    <t>Revenue Measures to protect businesses: Tax credits</t>
  </si>
  <si>
    <t>Revenue Measures to protect businesses: Deferral of tax filing</t>
  </si>
  <si>
    <t>Revenue Measures to protect businesses: Deferral of tax payments</t>
  </si>
  <si>
    <t>Revenue Measures to protect businesses: Tax rate reduction</t>
  </si>
  <si>
    <t>Revenue Measures to protect businesses: Tax amnesty / incentives</t>
  </si>
  <si>
    <t>Revenue Measures to protect businesses: Accelerating refunds</t>
  </si>
  <si>
    <t>Revenue Measures to protect businesses: Lower advance payment</t>
  </si>
  <si>
    <t>Revenue Measures to protect businesses: Suspend debt collection</t>
  </si>
  <si>
    <t>Revenue Measures to protect businesses: Suspend audit activities</t>
  </si>
  <si>
    <t>Revenue Measures to protect businesses: Tax exemption/waiver/suspension</t>
  </si>
  <si>
    <t>Revenue Measures to protect businesses: Other</t>
  </si>
  <si>
    <t>Revenue Measures to protect individuals: Deferral of tax filing</t>
  </si>
  <si>
    <t>Revenue Measures to protect individuals: Deferral of tax payments</t>
  </si>
  <si>
    <t>Revenue Measures to protect individuals: Tax rate reduction</t>
  </si>
  <si>
    <t>Revenue Measures to protect individuals: Tax amnesty / incentives</t>
  </si>
  <si>
    <t>Revenue Measures to protect individuals: Broaden tax deductibility</t>
  </si>
  <si>
    <t>Revenue Measures to protect individuals: Tax credits</t>
  </si>
  <si>
    <t>Revenue Measures to protect individuals: Tax exemption/waiver/suspension</t>
  </si>
  <si>
    <t>Revenue Measures to protect individuals: Other</t>
  </si>
  <si>
    <t>Revenue Measures to promote availability of medical items: Lower tax rates for medical items</t>
  </si>
  <si>
    <t>Revenue Measures to promote availability of medical items: Tax exemption/waiver/suspension</t>
  </si>
  <si>
    <t>Revenue Measures to promote availability of medical items: Other</t>
  </si>
  <si>
    <t>Revenue Measures to boost consumption / demand: Lower tax rates</t>
  </si>
  <si>
    <t>Revenue Measures to boost consumption / demand: Tax exemption/waiver/suspension</t>
  </si>
  <si>
    <t>Revenue Measures to boost consumption / demand: Other</t>
  </si>
  <si>
    <t>Health Expenditures measures: Supply of low cost medical items</t>
  </si>
  <si>
    <t>Health Expenditures measures: Supply of high cost medical items</t>
  </si>
  <si>
    <t>Health Expenditures measures: Targeted infrastructure investments</t>
  </si>
  <si>
    <t>Health Expenditures measures: Expansion of human resources</t>
  </si>
  <si>
    <t>Health Expenditures measures: General</t>
  </si>
  <si>
    <t>Expenditure Measures for cash transfers to individuals: Direct cash transfers for individuals</t>
  </si>
  <si>
    <t>Expenditure Measures for cash transfers to individuals: Expansion of unemployment benefits</t>
  </si>
  <si>
    <t>Expenditure Measures for cash transfers to individuals: Temporary expansion of existing benefits</t>
  </si>
  <si>
    <t>Expenditure Measures for cash transfers to individuals: Supplementary ad hoc programs</t>
  </si>
  <si>
    <t>Expenditure Measures for cash transfers to individuals: Wage compensation/ enhanced paid leave</t>
  </si>
  <si>
    <t>Expenditure Measures for cash transfers to individuals: Other</t>
  </si>
  <si>
    <t>Credit and equity measures: Preferential loans to firms</t>
  </si>
  <si>
    <t>Credit and equity measures: One-off grants</t>
  </si>
  <si>
    <t>Credit and equity measures: Preferential loans to households</t>
  </si>
  <si>
    <t>Credit and equity measures: Other</t>
  </si>
  <si>
    <t>None chosen</t>
  </si>
  <si>
    <t>Data!$B:$B</t>
  </si>
  <si>
    <t>Data!$AT:$AT</t>
  </si>
  <si>
    <t>IDA/Blend</t>
  </si>
  <si>
    <t>Non IDA/IBRD</t>
  </si>
  <si>
    <t>aggregate</t>
  </si>
  <si>
    <t>granular</t>
  </si>
  <si>
    <t>Title:</t>
  </si>
  <si>
    <t>Data!$Q:$Q</t>
  </si>
  <si>
    <t>Data!$O:$O</t>
  </si>
  <si>
    <t>Non-FCV</t>
  </si>
  <si>
    <t>Data!$R:$R</t>
  </si>
  <si>
    <t>by Lending Category</t>
  </si>
  <si>
    <t>by Income Group</t>
  </si>
  <si>
    <t>by Region</t>
  </si>
  <si>
    <t>by FCV Status</t>
  </si>
  <si>
    <t>Total number of this policy type</t>
  </si>
  <si>
    <t>Share of total policies that are this policy type</t>
  </si>
  <si>
    <t>Total</t>
  </si>
  <si>
    <t>Share</t>
  </si>
  <si>
    <t>Used data</t>
  </si>
  <si>
    <t>Percent of total policies</t>
  </si>
  <si>
    <t>Number of policies</t>
  </si>
  <si>
    <t>ECA</t>
  </si>
  <si>
    <t>LAC</t>
  </si>
  <si>
    <t>SA</t>
  </si>
  <si>
    <t>SSA</t>
  </si>
  <si>
    <t>MENA</t>
  </si>
  <si>
    <t>EAP</t>
  </si>
  <si>
    <t>NA</t>
  </si>
  <si>
    <t>Data!$V:$V</t>
  </si>
  <si>
    <t>Data!$W:$W</t>
  </si>
  <si>
    <t>Data!$X:$X</t>
  </si>
  <si>
    <t>Data!$Y:$Y</t>
  </si>
  <si>
    <t>Data!$Z:$Z</t>
  </si>
  <si>
    <t>Data!$AA:$AA</t>
  </si>
  <si>
    <t>Data!$AB:$AB</t>
  </si>
  <si>
    <t>Data!$AC:$AC</t>
  </si>
  <si>
    <t>Data!$AD:$AD</t>
  </si>
  <si>
    <t>Abuse Resistance</t>
  </si>
  <si>
    <t>Predictability and Cost Control</t>
  </si>
  <si>
    <t>Administrative Complexity</t>
  </si>
  <si>
    <t>Resilience to Health Measures</t>
  </si>
  <si>
    <t>Dimension</t>
  </si>
  <si>
    <t>Subcategory (clean)</t>
  </si>
  <si>
    <t>First of country row (requires sorting alphabetically by country)</t>
  </si>
  <si>
    <t>AU = 1 for unique country</t>
  </si>
  <si>
    <t>WGI</t>
  </si>
  <si>
    <t>fiscal balance</t>
  </si>
  <si>
    <t>U</t>
  </si>
  <si>
    <t>T</t>
  </si>
  <si>
    <t>S</t>
  </si>
  <si>
    <t>Data!$U:$U</t>
  </si>
  <si>
    <t>Data!$T:$T</t>
  </si>
  <si>
    <t>Data!$S:$S</t>
  </si>
  <si>
    <t>Lending</t>
  </si>
  <si>
    <t>Income</t>
  </si>
  <si>
    <t>Statistically insignificant difference</t>
  </si>
  <si>
    <t>Significant at the 10% level</t>
  </si>
  <si>
    <t>Significant at the 5% level</t>
  </si>
  <si>
    <t>Significant at the 1% level</t>
  </si>
  <si>
    <t>LIC</t>
  </si>
  <si>
    <t>LMIC</t>
  </si>
  <si>
    <t>UMIC</t>
  </si>
  <si>
    <t>HIC</t>
  </si>
  <si>
    <t>Whole World</t>
  </si>
  <si>
    <t>policy 1</t>
  </si>
  <si>
    <t>policy 2</t>
  </si>
  <si>
    <t>Average of all policies</t>
  </si>
  <si>
    <t>Aggregate categories</t>
  </si>
  <si>
    <t>Actually using…</t>
  </si>
  <si>
    <t>rank</t>
  </si>
  <si>
    <t>rownum</t>
  </si>
  <si>
    <t>nth of rank</t>
  </si>
  <si>
    <t>1s</t>
  </si>
  <si>
    <t>2s</t>
  </si>
  <si>
    <t>3s</t>
  </si>
  <si>
    <t>4s</t>
  </si>
  <si>
    <t># of policies</t>
  </si>
  <si>
    <t>5s</t>
  </si>
  <si>
    <t>% of total</t>
  </si>
  <si>
    <t>% of total policies</t>
  </si>
  <si>
    <t>No Selection</t>
  </si>
  <si>
    <t>Rank</t>
  </si>
  <si>
    <t>"No data"</t>
  </si>
  <si>
    <t>Ranking same averages---locator</t>
  </si>
  <si>
    <t>Remove health measures from sample?</t>
  </si>
  <si>
    <t>Including Health Measures</t>
  </si>
  <si>
    <t>Not including health measures</t>
  </si>
  <si>
    <t>Non-health</t>
  </si>
  <si>
    <t>Title</t>
  </si>
  <si>
    <t>incl health</t>
  </si>
  <si>
    <t>no health</t>
  </si>
  <si>
    <t>no health anova results</t>
  </si>
  <si>
    <t>Administrative Complexity***</t>
  </si>
  <si>
    <t>Abuse Resistance*</t>
  </si>
  <si>
    <t>Cost Recoverability</t>
  </si>
  <si>
    <t>Recoverability</t>
  </si>
  <si>
    <t>The Commonwealth government will  help finance a home care package to support senior citizens (A$0.3 billion)</t>
  </si>
  <si>
    <t xml:space="preserve">The Commonwealth government instituted a new JobTrainer skills package (A$2 billion).  </t>
  </si>
  <si>
    <t xml:space="preserve"> The Government is temporarily reducing superannuation minimum drawdown requirements for account based pensions and similar products by 50 per cent for 2019-20 and 2020-21. This measure will benefit retirees by providing them with more flexibility as to how they manage their superannuation assets. </t>
  </si>
  <si>
    <t xml:space="preserve">VAT tax rate reduction from 20% to 0% for respiratory masks for deliveries and intra-Community purchases. </t>
  </si>
  <si>
    <t>There has been a temporary expansion of eligibility for income support payments (the JobSeeker Programme) and the establishment of a new, time-limited Coronavirus supplement to be paid at a rate of A$550 per fortnight until the end of September 2020.  This will be paid to both existing and new recipients of various government benefits. On 21 July, the government announced that the supplementary payment will be extended to the end of December 2020, but that the size of the payment will be reduced to A$250 per fortnight. New arrangements for the supplement are expected to cost A$3.8 billion.</t>
  </si>
  <si>
    <t>On August 3, in response to a rise in COVID-19 cases and tighter confinement measures announced in Victoria, the Federal Government announced $1,500 "disaster payment" for workers who are required to self-isolate because of coronavirus but do not have leave entitlements.</t>
  </si>
  <si>
    <t>Across a large range of work types (103 of the 121 modern awards), employees will receive two weeks of unpaid pandemic leave. The covered employees will also be allowed to take double the duration of annual leave at half pay.</t>
  </si>
  <si>
    <t xml:space="preserve">Tax relief measures for the hospitality sector of € 500 million </t>
  </si>
  <si>
    <t>support to non-profit organizations of € 700 million open for 6 months</t>
  </si>
  <si>
    <t>To jump-start the economy, a new tax incentive was introduced for companies that recruit apprentices, with € 2,000 per position created during March 16 and October 31 of this year.</t>
  </si>
  <si>
    <t>Expenditure: Government investment in climate protection</t>
  </si>
  <si>
    <t>Expenditure: Government investment in affordable housing</t>
  </si>
  <si>
    <t>Expenditure: Investment in health</t>
  </si>
  <si>
    <t xml:space="preserve">Expenditure: one-off support for unemployed and families. </t>
  </si>
  <si>
    <t xml:space="preserve">Several specific tax relief measures are aimed at the agricultural and forestry sectors, culture and publishing. </t>
  </si>
  <si>
    <t xml:space="preserve">The reduction of the lowest income tax rate from 25 to 20 percent, planned for 2021, was brought forward and made retroactive to January 2020. </t>
  </si>
  <si>
    <t>Easy repayment of tax credits (as the VAT cash refund in the case study)</t>
  </si>
  <si>
    <t>General moratorium for social contributions which will be due from April to June</t>
  </si>
  <si>
    <t xml:space="preserve">Abandonment of all tax audits </t>
  </si>
  <si>
    <t>Prolongation of publication of (audited) financial statements from September to the end of December 2020.</t>
  </si>
  <si>
    <t>Prolongation of preparation of the financial statement from May to end of September.</t>
  </si>
  <si>
    <t>Introduction of a reduced VAT rate of 5% for the catering, tourism and cultural sector. This tax reduction will apply from 1 July 2020 to 31 December 2020</t>
  </si>
  <si>
    <t>The Government will make advance payments on credit installments in order to help companies to have sufficient liquidities</t>
  </si>
  <si>
    <t>Additional tax payment deferal extension for businesses until January 15th, 2021</t>
  </si>
  <si>
    <t>Further EUR 36 million are disbursed through an emergency-call for research by the Austrian Research Promotion Agency (FFG) to incentivize eligible research on Covid-19 by Austrian firms.</t>
  </si>
  <si>
    <t>the government has spent around EUR 13 million on medical supplies</t>
  </si>
  <si>
    <t>some €52 bn (about 12 percent of GDP) of loan guarantees. In June, measures have been adopted to extend and modify the bank guarantee scheme to improve access, in particular for SMEs.</t>
  </si>
  <si>
    <t>solvency support through measures allowing losses in 2020 to be offset against income tax liabilities (backward and forward)</t>
  </si>
  <si>
    <t>additional support to affected firms and households provided by subnational governments</t>
  </si>
  <si>
    <t>In June, measures have been adopted to extend existing support schemes until August or end-2020, provide additional support to hard-hit sectors and vulnerable groups</t>
  </si>
  <si>
    <t xml:space="preserve">
Fiscal relief to companies that can prove that they have payment difficulties as a result of the corona crisis. These companies are also exempt from the usual fines and default interest. </t>
  </si>
  <si>
    <t>Increase of the tax benefit related to the advance tax payments to be made for the third (6,75% instead of 6 %) and fourth (5,25 % instead of 4,5%) quarters of assessment year 2021 for companies facing cash problems.</t>
  </si>
  <si>
    <t>Write-downs on doubtful trade receivables are exempted under certain conditions</t>
  </si>
  <si>
    <t>The Brussels Region has decided to waive the tax on the operation of taxis or cars with driver for the year 2020.</t>
  </si>
  <si>
    <t>Stamp duty exemption for certain legal procedures relating to the notarial sector (e.g. notarial power of attorney), the execution of judgements (court fees on dispatch of judgements) and mortgage loans (conversion of mortgage mandates made before March 16, 2020 into effective mortgage registrations).</t>
  </si>
  <si>
    <t>Reducing VAT rate from 21% to 6% for the VAT rate on protective equipment. The reduced rate applies to deliveries, intra-EU acquisitions, and imports of different classifications of masks and hydro alcoholic gels from 4 May through 31 December.</t>
  </si>
  <si>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t>
  </si>
  <si>
    <t>Abolition of the VAT advance payment of December 2020 (for all applicants of periodic returns)</t>
  </si>
  <si>
    <t>Full deductibility of restaurant expenses as business expenses for PIT and CIT</t>
  </si>
  <si>
    <t>Introduction of a tax-free consumption cheque for a maximum of 300€</t>
  </si>
  <si>
    <t>Exemption from payment of withholding tax on earned income up to a maximum amount of 20 million for employers who have employees who have received temporary unemployment benefit for at least 30 days between 12 March 2020 and 31 May 2020</t>
  </si>
  <si>
    <t>Carry back -provision: Exemption of the "reconstruction reserve". Temporary exemption from taxable income for the accounting years from 13 March 2019 to 12 March 2020. This amount to be claimed to amortize the losses of 2020 with a maximum limit of 20 million eur.</t>
  </si>
  <si>
    <t>The percentage of the tax credit for donations from private individuals to accredited associations is increased from 45% to 60% and applies to donations of 40 eur or more.</t>
  </si>
  <si>
    <t>Increase of the investment deduction percentage to 25% for investments made between 12/03/2020 and 31/12/2020</t>
  </si>
  <si>
    <t>The creation of a special Corona unemployment scheme, which consists of a transition from temporary unemployment due to force majeure to regular economic unemployment. This 'transitional' economic unemployment can be used if the company experiences a 10% drop in turnover.</t>
  </si>
  <si>
    <t>Extension of Income Tax Filing Deadlines for trusts, generally, from March 30, 2020 to May 1, 2020.</t>
  </si>
  <si>
    <t>Filing of Notices of Objection to tax re-assessments due March 18, 2020 or later deferred to June 30, 2020.
Announced on March 18, 2020.</t>
  </si>
  <si>
    <t>Payment of custom duties for March, April and May statements of account are deferred to June 30, 2020. Announced on March 18, 2020. Excise taxes and duties are still required to be remitted by the prescribed due dates.</t>
  </si>
  <si>
    <t xml:space="preserve">Policy announcements in August 2020 include increase in support via Employment Insurance (lightening of contribution requirements, a minimum benefit and coverage period) and three new benefits. The latter target, the self employed, those unable to work due to illness or quarantine, and those unable to work due to caring duties.    </t>
  </si>
  <si>
    <t>A nationwide top-up scheme for low-wage essential workers (for instance, low-earning hospital workers) (announced April 15).</t>
  </si>
  <si>
    <t>The Canada Student Service Grant, students will receive grants of $1,000 to $5,000 to support the costs of postsecondary education in the fall, with the amount of each grant dependent on the time the recipient devotes to volunteer work (announced April, launched June 25).</t>
  </si>
  <si>
    <t>The Business Credit Availability Program (BCAP) (valued at CAD 81 billion) includes the Small and Medium-sized Enterprise Loan and Guarantee program (loan support up to CAD 6.25 million) and the Canada Emergency Commercial Business Account (loans up to CAD 40 000 for small business and not-for-profits)</t>
  </si>
  <si>
    <t>On May 17, the authorities announced a program to distribute 2.5 millionwith food and essential elements those in need (for middle-class and vulnerable families), with an expected fiscal cost of US$100 million</t>
  </si>
  <si>
    <t>temporary reduction of the CIT rate; reduction in CIT rate from 25% to 12.5% for SMEs for the fiscal years 2020, 2021 and 2022.</t>
  </si>
  <si>
    <t>allowing for instantaneous investment depreciation (announced by authorities on June 15); 100% depreciation and instantaneous amortization of investments in physical assets of fixed assets (new or imported) and in certain intangibles protected by law (industrial property, copyrights and new plant varieties). This covers investment made until December 31, 2022</t>
  </si>
  <si>
    <t>soft loans from the treasury (announced on July 5);  a credit for the middle class and self-employed (Crédito Covid) at 0% interest rate and which will potentially benefit 600 000 workers</t>
  </si>
  <si>
    <t>subsidies for rentals (announced on July 5); the extension of rent subsidy to the middle class for households who experienced a fall in income of more than 30%</t>
  </si>
  <si>
    <t>direct transfers of about US$635 to middle-class workers with severe income losses (announced on July 14)</t>
  </si>
  <si>
    <t>Waiver of the regional 1% contribution for projects entering the SEIA (environmental management instrument) and companies of all sizes until December 31, 2021</t>
  </si>
  <si>
    <t>Deferral of income tax payments until 31 July 2020 for certain taxpayers with annual sales up to UF 75,000 (approximately U.S. $2.5 million)</t>
  </si>
  <si>
    <t>Reduced stamp tax rate; a rate of 0% for all credit, financial, and refinancing transactions between 1 April and 30 October 2020</t>
  </si>
  <si>
    <t>Exceptional one time refund of VAT surplus credit (only available for small size companies that comply with good practices requirements) ; Refund of excess VAT credits for SMEs who have experienced in a reduction in turnover of at least 30%.</t>
  </si>
  <si>
    <t xml:space="preserve">Exemption of Stamp tax (applicable to credit cash operations) for operations carried out between April – September 2020. </t>
  </si>
  <si>
    <t xml:space="preserve">Extended super accelerated depreciation regime available until 2022 allowing to depreciate within the same year of acquisition 100% of the value of acquired assets. </t>
  </si>
  <si>
    <t>23% of new hires remuneration to be deducted as corporate tax credit</t>
  </si>
  <si>
    <t>Bed capacity for people who must be quarantined will be increased. The government announced on May 17 the expansion of the existing network of Health Residences nationwide to accommodate people in need, with special concern and priority for the elderly.</t>
  </si>
  <si>
    <t>To cope with the effects of the pandemic and the confinement in the mental health of the population, the government announced on May 17 the Healthy-Mind program. This program will strengthen the public and private offer of mental health and will include a digital platform for consultation, support and recommendations on this matter.</t>
  </si>
  <si>
    <t>the expansion of the credit for higher education.</t>
  </si>
  <si>
    <t>Authorities approved end July the withdrawal of 10% pension funds. The maximum amount of withdrawal is equivalent to 150 UF (around 5500 USD), and a minimum of 35 UF (around 130 USD).</t>
  </si>
  <si>
    <t>A return subsidy (for those that were with suspended contracts under the employment protection law, they will receive 160 thousand pesos or 200 USD), available for six months</t>
  </si>
  <si>
    <t>A hiring subsidy (subsidy for the 50% of the nominal wage, 60% for youth, female and disabled with a maximum of 250 or 260 thousand pesos or 318, 345 USD). To apply firms have to show a 20% decrease in income during april-june relative to same period last year. For large firms they cannot  distribute profits above the minimum legal percentage of 30% during the period in which they receive the subsidy. The subsidy applies for workers with wages of less than 3 minimum wages.</t>
  </si>
  <si>
    <t>A new law eases access to government-backed guarantee for loans to firms with annual income of up to US$ 34 million. If fully used, loans granted through this scheme would represent 10% of GDP.</t>
  </si>
  <si>
    <t>The 17th of May the government announced a state guarantee fund to deliver liquidity to SMEs through non-bank financial institutions.</t>
  </si>
  <si>
    <t>Payments to health providers for ICU availability</t>
  </si>
  <si>
    <t>additional benefits for recently unemployed workers; in June an extra support for unemployed for a maximum of 3 months was put in place</t>
  </si>
  <si>
    <t>government announced a payroll subsidy equivalent to 50 percent of the minimum wage per worker for businesses with a fall of over 20 percent in revenues for a period of three months; subsidy of 40% of the minimum wage for firms with at least 20% reduction in turnover from May</t>
  </si>
  <si>
    <t xml:space="preserve">Postpone the terms of procedures and remedies in tax, customs and exchange matters.
</t>
  </si>
  <si>
    <t>Authorize governors and mayors to reduce territorial tax rates.</t>
  </si>
  <si>
    <t>Reduction of consumption tax rate from 8% to 0% for restaurants and cafeterias until 31 December 2020.</t>
  </si>
  <si>
    <t>Exemption of VAT for leases of commercial premises until 31 July 2020, if it had been closed totally or partially for more than 2 weeks.</t>
  </si>
  <si>
    <t xml:space="preserve">Establish a financial tax exemption on monetary transfers in favor of the beneficiaries of the subsidies “Familias en Acción”, “Protección Social al Adulto Mayor -Colombia Mayor y Jóvenes en Acción”. The exemption is effective from 13 May until the termination of the public health emergency decreed by the government. </t>
  </si>
  <si>
    <t>Reduce the interest rate for tax obligations until 30 November, 2020.</t>
  </si>
  <si>
    <t>Exemption of tax on financial transactions for non profit organizations that belong to the Special Tax Regime.</t>
  </si>
  <si>
    <t>Preferential VAT treatment for donations of certain goods; donation of listed goods intended to mitigate the COVID-19 crisis will not be considered as sales for VAT purposes, unless it is donated between related parties.</t>
  </si>
  <si>
    <t>Exemption of withholding tax of the income tax for the year 2020.</t>
  </si>
  <si>
    <t>Withholding tax of VAT reduced to 50% for the year 2020</t>
  </si>
  <si>
    <t>Exemption of presumptive tax for the year 2020.</t>
  </si>
  <si>
    <t>VAT preferential treatment for the acquisition of chemical raw materials for the production of medicines.</t>
  </si>
  <si>
    <t>VAT preferential treatment for commercial establishments of the food and beverage industry, import of public or private transportation, tourism services.</t>
  </si>
  <si>
    <t>The advance payment for 2020 income tax return will be reduced to 25% and 0% for certain business. The 25% rate will apply to business extracting natural resources and manufacturing textile and clothing products. The 0% rate will apply to business engaged in transportation, food and beverage service and entertainment activities.</t>
  </si>
  <si>
    <t>Financial compensation equivalent to 7 days of the minimum legal daily wage, for one time only and per family nucleus, for affiliates of the subsidized health regime who have a confirmed diagnosis of covid-19.</t>
  </si>
  <si>
    <t>the delivery of a food basket to vulnerable families</t>
  </si>
  <si>
    <t>Goverment finances the salaries of workers in SMEs for three months  (for worker up to 5 minimum wages) since 13 April</t>
  </si>
  <si>
    <t>the government announced public investment of 3.1 billion colones over 2020-2021 (out of which 1.1 billion colones are for PPPs).</t>
  </si>
  <si>
    <t>Exemption from VAT for enigneering, architecture, topography and construction services (Law 21.637) from July 1, 2020 to June 30, 2021. The VAT rate will then gradually increase up to June 30, 2023</t>
  </si>
  <si>
    <t>Taxpayers may forgo making partial payments corresponding to the months of April, May, and June without petitioning the tax administration, and no penalties will be assessed.</t>
  </si>
  <si>
    <t>The suspension of commencing new tax audits was in force during the months of April and May.</t>
  </si>
  <si>
    <t xml:space="preserve">Costa Rica is considering cutting the VAT rate from 13% to 9% for one year. No decision has been made yet. </t>
  </si>
  <si>
    <t>exempting the importation of specified goods from all taxes and surcharges</t>
  </si>
  <si>
    <t>allowing accelerated depreciation for qualified assets</t>
  </si>
  <si>
    <t>increasing permitted deductions for investments in international tourism promotions</t>
  </si>
  <si>
    <t>decreasing by 50 percent VAT on payments for commercial premise rentals, goods and services, and tourist-related services</t>
  </si>
  <si>
    <t>allowing consolidated tax declarations</t>
  </si>
  <si>
    <t>allowing tax-loss carryovers for up to five tax periods.</t>
  </si>
  <si>
    <t xml:space="preserve"> CRC 2.4 billion: Additional funding for health ministry to attend the Covid-19 crisis.</t>
  </si>
  <si>
    <t xml:space="preserve">A contribution of 60 percent of wages (incl. SSC) is paid to employers due to obstacles to work on the part of the employer caused by the current epidemiological situation and related measures to prevent the spread of the disease both locally and abroad. </t>
  </si>
  <si>
    <t>Between June and August, the government will waive social security contributions paid by employers (24.8%) with a maximum of 50 employees (if certain conditions are met).</t>
  </si>
  <si>
    <t>The government also lowered the VAT rate (from 15% to 10%) on selected services (accommodation, culture, sport, wellness): accommodation services, admission fees to cultural events and sporting events, admission fees to sports grounds, fare on ski lifts and admission fees to saunas and other similar facilities.</t>
  </si>
  <si>
    <t xml:space="preserve">The CZK 500 lump sum also applied to very small businesses (Ltd) for the period between Mar 12 and Jun 8. </t>
  </si>
  <si>
    <t xml:space="preserve">The state will further cover 50% of rents of businesses after mandating a reduction of 30%, while tenants will have to cover the remaining 20%. </t>
  </si>
  <si>
    <t xml:space="preserve">The government has also approved a bonus for workers in social services and the health-care system of CZK 16.5bn in total. </t>
  </si>
  <si>
    <t xml:space="preserve">The government approved grants for tourism (e.g. spas, hotels, etc.) in total of CZK 4.3 bn. </t>
  </si>
  <si>
    <t>Forgiveness of late payment interest for late payment of tax arrears by 1 July 2020 at the latest.</t>
  </si>
  <si>
    <t>The advance on personal and corporate income tax due on 15 June 2020 will be waived (ie it does not have to be paid without being penalized). This is the second down payment for quarterly payers and the first down payment for half-year payers.</t>
  </si>
  <si>
    <t xml:space="preserve">General waiver of a fine of CZK 1,000 if the obligation to pay a penalty arises between 1 March 2020 and 31 July 2020. </t>
  </si>
  <si>
    <t>Remission of default interest;  remission of interest in respect of the delay in the payment of tax or in the distribution of its payment in installments;  automatic remission of the penalty for late tax claims, if the tax office also waives one of the two sanctions mentioned above; waiver of other sanctions for late submission of a control report (sanctions from CZK 10,000 to CZK 50,000) that shall apply in cases where an application is made between 1 March 2020 and 31 July 2020. In addition, flat waiver of administrative fees for accepting applications for the above waivers. The waiver of interest for late payment is only possible after the tax has been paid in full. Penalties for failure to submit an inspection report can be waived only after the inspection report has been submitted.</t>
  </si>
  <si>
    <t xml:space="preserve">The road tax is cut by 25% applying retroactively to the start of the year for vehicles with a maximum weight exceeding 3.5 tons. </t>
  </si>
  <si>
    <t>General postponement of the payment of advances due in April and July to road tax, by 15 October 2020 at the latest.</t>
  </si>
  <si>
    <t xml:space="preserve">Widespread remission of VAT on the free supply of basic protective equipment to mitigate the effects of the spread of coronavirus infection for which the obligation to declare tax arose in the period from 12 March  2020 to 31 July 2020. </t>
  </si>
  <si>
    <t>Waiver of the fine for late submission of the employer's statement (personal income tax from dependent activity), if the statement was submitted by 31 May 2020</t>
  </si>
  <si>
    <t>Automatic waiver of interest on arrears and interest on postponed payments arising from 12 March 2020 to 31 December 2020 in cases where the tax administrator has individually authorized deferral or payment in installments for reasons related to coronavirus.</t>
  </si>
  <si>
    <t>On May 11, the Ministry of Finance updated its estimate of support to the economy during the COVID-19 crisis, in the total amount of 20.4% (CZK 1.13 trillion). Direct budget support equals 4.6% of GDP, deferred taxes and levies 0.4% of GDP and liquidity support and guarantees 15.4% of GDP. This does not include measures such as interest moratorium, deferral of electronic record of sales (ERS) or higher amounts for social assistance paid.</t>
  </si>
  <si>
    <t xml:space="preserve">Self-employed will be given a six-month waiver on the (minimum) payments of health and social insurance (May to August). </t>
  </si>
  <si>
    <t>shortens the refund time for the overpayment of excise duty on "green diesel"</t>
  </si>
  <si>
    <t xml:space="preserve">Between June and August, the government waived social security contributions paid by employers with a maximum of 50 employees, under certain conditions. </t>
  </si>
  <si>
    <t>On May 18, within the COVID rent programme, the government approved a contribution of half of the payment for commercial rent to entrepreneurs that had to close establishments, with the maximum amount of support at CZK 10m for the period from April to June.</t>
  </si>
  <si>
    <t>A programme COVID - Cultural and Creative Industries has been approved with an allocation of CZK 900 million to support small and medium-sized enterprises in the creative industries in the form of subsidies and creative vouchers (available from August 18). The money will be used, for example, to cover 50 percent of the costs (up to a maximum of CZK 5 million) for the organizers of cultural events, which have been either cancelled or postponed due to the coronavirus crisis.</t>
  </si>
  <si>
    <t>The government introduced the COVID I loan program for SMEs in the total amount of CZK 5bn (about 180m EUR, 0.1% of GDP). SMEs will be able to apply for a direct interest-free loan in the range of CZK 0.5 to 15m. Loans are granted up to 90% of eligible expenditure with a maturity of 2 years including the possibility of deferred repayment for up to 12 months. The government then further approved COVID II program with another 5bn CZK allocation in the form of guarantees for loans (CZK 10k to 15m) from commercial banks (with annual deferral of repayments), where the Czech-Moravian Guarantee and Development Bank will be subsidising the interest rate. This is expected to facilitate distribution of up to CZK 30bn among the programme participants. On May 18, The government approved the COVID III program worth CZK 150bn of guarantees. The self-employed and companies with up to 250 workers can receive a 90% guarantee and companies with 250 to 500 employees an 80% guarantee on loans provided by the commercial banks.</t>
  </si>
  <si>
    <t>COVID Plus programme for large companies with more than 250 workers can receive an 80% guarantee on loans in the range of CZK 5m to 2 billion.</t>
  </si>
  <si>
    <t xml:space="preserve">Support for apprenticeships and in-firm training of DKK 6.1 billion, mainly through a wage subsidy scheme. </t>
  </si>
  <si>
    <t>Temporary increase in R&amp;D tax credits in 2020 and 2021; R&amp;D tax credits for firms temporarily increased from 110% of costs to 130% of costs in 2020 and 2021 (announced on 15 June). Fiscal costs around DKK 1.3 billion.</t>
  </si>
  <si>
    <t>A frontloading of energy renovation of social housing is expected to boost investment by DKK 3.5 billion and 9.4 billion in 2020 and 2021, respectively (announced on 19 May). It is financed by accumulated tenant payments to a social housing fund.</t>
  </si>
  <si>
    <t>Social policy package to help vulnerable groups with additional protection and prevent isolation adopted on 25 April (DKK 215 million).</t>
  </si>
  <si>
    <t>Elderly in nursing homes. Initiatives to facilitate social contact, visits and prevent loneliness adopted on 1 May (DK 165 million).</t>
  </si>
  <si>
    <t xml:space="preserve">Subsidies provided to health research specifically related to covid-19 (announced 16 March, increased 30 March). DKK 150 million available to applications from public and private research institutions. </t>
  </si>
  <si>
    <t xml:space="preserve">The government and social partners agreed on a revised and more generous short-time work scheme on 31 August to replace the job retention scheme no longer in place. It will be temporary and is set to run until 31 December. Unemployment benefits on non-work days are increased to maximum DKK 23 000 per month.  </t>
  </si>
  <si>
    <t>Support in case of large-scale dismissals (announced 12 March). Existing scheme offering job search courses or upskilling (varslingspuljen) provided additional resources of DKK 10 million.</t>
  </si>
  <si>
    <t>Distance VET scheme established (announced 22 March, extended 5 April). Existing funds for upskilling are used to offer low-skilled workers 30 days online training courses, with full wage compensation to employers.</t>
  </si>
  <si>
    <t xml:space="preserve">Compensation scheme to event organiser companies for cancellation and postponement of major events in the period 6 March-31 August (announced 10 March, extended 1 April). 100% lost revenue covered by providing documentation. Estimated costs around DKK 2.4 billion.
</t>
  </si>
  <si>
    <t>Innovation subsidy scheme increased (announced 18 April). An Innobooster-programme administered by the Innovation Fund will be increased by DKK 350 million to support new projects.</t>
  </si>
  <si>
    <t>A range of minor support schemes established to support agents and businesses with cultural activities, sports and private education (announced 31 March to 7 April). In total amounting to around DKK 1.3 billion.</t>
  </si>
  <si>
    <t xml:space="preserve">Subsidies to the travel industry of DKK 725 million (announced 15 May). </t>
  </si>
  <si>
    <t>Injections to the Travel Guarantee Fund, extending previous loan guarantee.</t>
  </si>
  <si>
    <t>Agreement with social partners to support apprenticeships and students in private firms (announced 28 May). Includes a wage subsidy scheme available from 1 May to 31 December 2020. In total, DKK 6.1 billion made available from existing fund of contributions by employers (AUB).</t>
  </si>
  <si>
    <t xml:space="preserve">Tourism support ("Summer package") of DKK 0.7 billion (announced 19 June). Measures include free public transport; discounts on cultural activities; higher tax subsidies for suppliers of private short-term accommodation; and activities for elderly. </t>
  </si>
  <si>
    <t xml:space="preserve">Additional initiatives for SMEs and self-employed (announced 16 March, extended 18 April and 28 May). VAT payments are deferred by combining two payment periods. For small enterprises’ tax period will be extended from 6 months to 12 months in 2020, while medium-sized enterprises’ tax periods will be extended from 3 months to 6 months for the first half of 2020 (estimated DKK 35 billion liquidity impact).
</t>
  </si>
  <si>
    <t>Provisional taxes for self-employed (B-taxes) are deferred, payment deadlines for April and May are postponed by 2 and 7 months respectively (estimated DKK 5 billion liquidity impact).</t>
  </si>
  <si>
    <t xml:space="preserve">Frontloading of payments by local governments to firms of around DKK 6.5 billion (announced 26 March). In addition, pre-payment up to DKK 1 million of deliveries until 1 July is encouraged. </t>
  </si>
  <si>
    <t>Deferral of property taxes for firm with real estate (daekningsafgift) to municipalities (announced 26 March). Second rate payment deferred from 2020 to 2021. Expected to increase liquidity by DKK 1.1 billion.</t>
  </si>
  <si>
    <t xml:space="preserve">Loans and equity provided to entrepreneurs and venture firms (announced 18 April). The state investment fund (Vaekstfonden) will provide risky capital to start-ups and venture firm, facing difficulties in financing as private investors withdraw from the market. Available for 2020 only and a total capacity of DKK 3.4 billion. </t>
  </si>
  <si>
    <t>Borrowing capacity from the Danish students’ Loan Scheme temporarily extended (announced 19 March). The monthly borrowing ceiling increased three times for March and April. Expected increase in total loans around DKK 0.6 billion.</t>
  </si>
  <si>
    <t>A new government-backed fund of DKK 10 billion (0.4% of GDP) will act as investor of last resort with the possibility to recapitalise large and important firms at risk of bankruptcy (announced on 15 June).</t>
  </si>
  <si>
    <t xml:space="preserve">Government has signed a €200 million loan with the council of Europe Development Bank (CEB) to finance local government’s crisis mitigation measures. </t>
  </si>
  <si>
    <t xml:space="preserve">Advanced payments of the social tax of the natural person entrepreneur were recalculated and returned </t>
  </si>
  <si>
    <t>Government provide one-time non-refundable assistance to small businesses to recover damage resulting from the negative impact of the C0VID-19 outbreak</t>
  </si>
  <si>
    <t>The government's payments to the second pillar pension system have been temporarily suspended until September 2021. This will increase revenue by the employers' 4% contributions that are part of the social tax. Exceptions apply for people born from 1942 to 1960, who will continue to receive regular contributions until Nov 2020. From Oct 2020, individuals are free to decide if they will continue to contribute or not (2% of gross remuneration). For those continuing contributions, the government will compensate for reduction and increase contribution to 6% from 2023. Estimated to improve fiscal revenue by EUR 142 million in 2020.</t>
  </si>
  <si>
    <t>One of the preliminary payments of corporate income tax is due on 20 March 2020. The prepayment is based on the expected profits made in 2020. If the spreading of coronavirus is effecting the business in question, it is possible to reduce the expected profits for 2020 and consequently reduce the preliminary payment of tax.</t>
  </si>
  <si>
    <t>Electronic publications subject to reduced 9% VAT rate.</t>
  </si>
  <si>
    <t xml:space="preserve">Grants (€390 billion) which will be channeled through a special Recovery and Resilience Facility (RRF) and a top-up to existing EU budget programs. </t>
  </si>
  <si>
    <t xml:space="preserve">Loans (€360 billion) which will be channeled through a special Recovery and Resilience Facility (RRF) and a top-up to existing EU budget programs. </t>
  </si>
  <si>
    <t>The European Commission proposed modifications to its 2020 budget to make €11.5 billion for crisis repair and recovery available already this year.</t>
  </si>
  <si>
    <t xml:space="preserve">On May 8, the European Commission adopted a second amendment to extend the scope of the State aid Temporary Framework to recapitalization and subordinated debt measures to further support the economy in the context of the coronavirus outbreak. </t>
  </si>
  <si>
    <t>The Pandemic Crisis Support from the ESM has become operational.  On May 15, the Board of Governors of the ESM approved the establishment of Pandemic Crisis Support. On 9 April, EU finance ministers decided to establish Pandemic Crisis Support credit lines within the framework of the European Stability Mechanism (ESM). Access granted will be 2% of the respective country’s GDP as of end-2019, as a benchmark (about €240 billion in total). The credit line will be available until the COVID 19 crisis is over. The only requirement to access the credit line is that euro area Member States requesting support would commit to use this credit line to finance direct and indirect healthcare, cure and prevention related costs due to the COVID 19 crisis. On 8 May, the Eurogroup agreed on further details: requests for Pandemic Crisis Support may be made until end-2022 (with the possibility to adjust this deadline) and the ensuing loans to countries will have a maximum average maturity of 10 years and favourable pricing modalities.</t>
  </si>
  <si>
    <t>€700 million (0.3 percent of GDP) for share acquisitions in state ownership steering</t>
  </si>
  <si>
    <t>€123 million for supporting restaurant and catering businesses</t>
  </si>
  <si>
    <t>€16 million for vaccine and drug development research</t>
  </si>
  <si>
    <t>The temporary loosening of unemployment insurance benefit eligibility was extended until the end of 2020; On June 23, the government extended the duration until end-2020 of temporary amendments to the unemployment security act aimed at enhancing labor market security and flexibility</t>
  </si>
  <si>
    <t>adopted an amendment that allows Business Finland to grant temporary financing to companies with financial difficulties that ordinarily fail to meet eligibility requirements for support from the Decree on Funding for Research, Development, and Innovation Activities</t>
  </si>
  <si>
    <t>Pension funds may grant, upon request from the taxpayer, a postponement up to 3 months for pension premiums paid by employers and self-employed individual</t>
  </si>
  <si>
    <t xml:space="preserve">On 14 May, the government announced a new form of support that covers the business costs up to EUR 500 000 for two months, for firms that (1) belong to sectors where turnover in April 2020 has decreased by at least 10% compared to March-June 2019, and (2) experienced more than 30% decrease in turnover during April and May 2020 compared to March-June 2019. </t>
  </si>
  <si>
    <t>On 2 June, the government proposed in its fourth supplementary budget an additional funding of EUR 250 million for Tesi (Finnish Industry Investment Ltd).</t>
  </si>
  <si>
    <t>Reduction of VAT rate to 5.5% on protective masks and personal hygiene products until 31 December 2021.</t>
  </si>
  <si>
    <t>Companies with fewer than 50 employees who have lost significant profits since March can reduce their social tax liabilities by 50 percent between March and May 2020, or defer their social taxes for up to three years.</t>
  </si>
  <si>
    <t>Extension of state-subsidized furloughs for around 13 million workers, allocating €31 billion to pay two-thirds of their salaries, with the rest covered by unemployment insurance.</t>
  </si>
  <si>
    <t>Deferal of €3 billion in social taxes for small and medium-size enterprises and very small businesses in the tourism, restaurant, culture, and sports sectors, the release says.</t>
  </si>
  <si>
    <t>Reduction of social contributions for small businesses that have experienced more than a 50 percent loss in activity since March, and allow all companies up to 36 months to pay the deferred social taxes.</t>
  </si>
  <si>
    <t>Allocation of about €4.5 billion to municipal agencies in compensation of the loss of state-owned municipality and real estate transfer tax revenue.</t>
  </si>
  <si>
    <t>Creation of an additional emergency fund of EUR 50 million for research on Covid-19</t>
  </si>
  <si>
    <t>Overtime caps for health care professionals in hospitals have been removed, lifting the cap of 15 hours per month (i.e., 180 hours per year),</t>
  </si>
  <si>
    <t>Extension of social rights (minimum welfare benefits, benefits for disabled people)</t>
  </si>
  <si>
    <t>Tax exemptions for bonuses in "essential" sectors. These bonuses can reach 1000 euros or 2000 euros in case of firm-level agreement.</t>
  </si>
  <si>
    <t>Early repayment of corporate tax claims refundable in 2020 and accelerated processing of VAT credit claims</t>
  </si>
  <si>
    <t>Activation of public reinsurance on outstanding credit insurance up to EUR 10 billion, which will help companies to keep the credit insurance cover they need in order to maintain their activity</t>
  </si>
  <si>
    <t>Setting up of reinsurance for short-term export credits with the "Cap Francexport" public reinsurance scheme, launched in October 2018, will be extended to support French exporters. The cap on outstanding amounts reinsured by the State has been doubled to EUR 5 billion, and eligibility has been extended to more destination countries.</t>
  </si>
  <si>
    <t>(Temporary) refraining from enforcement measures including a remission of late-payment penalties for taxes administrated by the Customs Authority and the Federal Central Tax Office. Businesses must themselves demonstrate that they have run into problems due to the corona crisis.</t>
  </si>
  <si>
    <t xml:space="preserve">Deferral of liabilities regarding taxes which are administrated by the Customs Authority and the Federal Central Tax Office for businesses affected by the virus. Businesses must themselves demonstrate that they have run into problems due to the corona crisis. </t>
  </si>
  <si>
    <t>Taxpayers affected by COVID-19 shall be granted an eased reduction in prepayments for energy tax on natural gas and electricity tax upon request until 31th Dezember 2020</t>
  </si>
  <si>
    <t>Simplifications of tax provisions for the production of disinfectants with tax-free alcohol</t>
  </si>
  <si>
    <t>The single-parent income tax allowance will be raised to €4,008 per year in 2020 and 2021, more than double the usual amount</t>
  </si>
  <si>
    <t>The deadline for paying import VAT will be pushed back from the 16th to the 26th of the following month. This will provide businesses with additional liquidity.</t>
  </si>
  <si>
    <t xml:space="preserve">Improving the maximum level of R&amp;D tax support for a fixed period of 6 years. </t>
  </si>
  <si>
    <t xml:space="preserve">Depreciation allowances for movable assets such as machinery will be improved for a fixed period (the 2020 and 2021 tax years). </t>
  </si>
  <si>
    <t>Increase in the gross list price for the tax relief on the private use of a carbon-free company car</t>
  </si>
  <si>
    <t>As part of the 3 June recovery package, further support to health authorities in the technical and digital upgrading of equipment and strengthening their possibilities for personnel recruitment is planned. The Federal Government is setting up a "Hospitals of the Future Programme", which promotes necessary investments by hospitals.</t>
  </si>
  <si>
    <t>VAT rate reductions for research spending and transportation and hospitality sectors.</t>
  </si>
  <si>
    <t>The deadline for payment of social security contributions which were due for the month February will be extended until the end of September 2020 and for March until October 2020.  Moreover, settled debts to social security authorities will be extended for three months. As a general precondition for the payment suspension of the social security debts is the maintenance of the same number of employees.</t>
  </si>
  <si>
    <t>Suspension of the issuing of preliminary or final tax assessment acts and penalties by the tax authorities;</t>
  </si>
  <si>
    <t>Suspension of the deadline for filing administrative appeals, expiring or expired between 11 March and 31 May 2020;</t>
  </si>
  <si>
    <t>Suspension of the deadline for issuing administrative appeals' decisions by the Dispute Resolution Directorate, expiring or expired between 20 March and 31 May 2020</t>
  </si>
  <si>
    <t>Suspension of the deadline for tax administration's statute of limitation period to issue tax assessment acts or penalties, expiring or expired between 30 March and 31 May 2020;</t>
  </si>
  <si>
    <t>Corporate income tax for tax year 2019 can be paid in 8 instalments.</t>
  </si>
  <si>
    <t>Personal income tax For tax year 2019 can be paid in 8 instalments.</t>
  </si>
  <si>
    <t>Annual Real Estate Tax (”ENFIA”) for 2020 can be paid in 6 instalments.</t>
  </si>
  <si>
    <t>Individual taxpayers can benefit from a 2% deduction on the personal income tax if they have paid it in a single lump sum by the due date of the first instalment.</t>
  </si>
  <si>
    <t xml:space="preserve">May 7, the government announced it will purchase up to HUF 150 billion (0.3 percent of GDP) of bonds issued by banks in order to support lending during the crisis and to ensure financial stability. </t>
  </si>
  <si>
    <t xml:space="preserve">Interest-free loans to SMEs will be available from June 12. Half of the program’s budget will be available for investments, while the other 50 percent is intended to finance liquidity and operations. </t>
  </si>
  <si>
    <t>The development reserve of incorporated enterprises may be deducted with respect to the full extent (previously 50%) of the enterprise's pre-tax profit. The maximum value of the reserve is HUF 10 billion. The measure allows companies to receive even an entire corporate tax exemption on earnings to be reinvested in the future.</t>
  </si>
  <si>
    <t>Certain products used in the fight against the COVID-19 pandemic were granted customs and import VAT exemptions.The exemptions apply retroactively form 31 January 2020 until 31 July 2020</t>
  </si>
  <si>
    <t>As a general rule, the tax authority may only reduce tax debts, fines and surcharges for natural persons. However, under the Government Decree businesses have also been given the opportunity to apply for a tax reduction, subject to certainconditions, the request has to be submitted until the 30th day following the end of the emergency period.</t>
  </si>
  <si>
    <t>The submission date of annual tax returns (CIT, small business tax, local business taxes, etc.) postponed from May to September.</t>
  </si>
  <si>
    <t>Suspending the enforcement of debt repayments until June 2020.</t>
  </si>
  <si>
    <t>Taxpayers are exempted from the payment of the amount of security in accordance with the Electronic Public Road Trade Control System - to monitor transport related data (name and quantity of goods, consignee, consignor, registration number of vehicle, etc.) - during the state of emergency and the following 30 days. The amount already transferred for the tax authority will automatically be recovered by the tax authority.</t>
  </si>
  <si>
    <t>quarantine grants</t>
  </si>
  <si>
    <t>state contributions to firms’ dismissal costs to prevent bankruptcies of viable firms and protect workers’ rights</t>
  </si>
  <si>
    <t>Reimbursement of 100% of VAT paid by non-operating individuals from work done for car repair or car painting upon fulfilment of certain conditions.</t>
  </si>
  <si>
    <t xml:space="preserve">Penalties are abolished for VAT payments with due date on 6 April 2020.  The tax authorities may also abolish other penalties on VAT payments in the year 2020. </t>
  </si>
  <si>
    <t>The tax on overnight stays (bed-night tax) will be suspended temporarily from 1 April 2020 through 31 December 2021, and the due date for payments from January through March 2020 will be postponed until February 2022.</t>
  </si>
  <si>
    <t>Customs processing fees for ships and aircraft will be suspended temporarily, through year-end 2021.</t>
  </si>
  <si>
    <t>Local authorities are authorised to defer payment due dates for property tax for companies that have suffered a severe loss of revenue. The local authorities will set their own rules and criteria for this.</t>
  </si>
  <si>
    <t>Employers can request authorisation to defer up to three payments of pay-as-you-earn (PAYE) tax and payroll tax due and payable from 1 April 2020 through 1 December 2020, upon fulfilment of certain requirements.</t>
  </si>
  <si>
    <t>Upon fulfilling certain requirements, those paying property tax can request authorisation to defer up to three payments of commercial property tax due and payable from 1 April 2020 through 1 December 2020.</t>
  </si>
  <si>
    <t>Under specific circumstances, companies are allowed to postpone pre-payment of corporate income tax until tax assessment in October 2020.</t>
  </si>
  <si>
    <t>Business can offset the income tax on 2019  tax year profits with a loss carry forward of up to ISK 20 million (EUR 132,000) in foreseeable tax year 2020 losses.</t>
  </si>
  <si>
    <t>Increased reimbursement ratios for research and development (R&amp;D) expense of 35% for SMEs and 25% for large companies for tax imposed in tax years 2020 and 2021. In addition, up to ISK 1.1 billion (EUR 7 million) can be deducted from the taxable income for 2021 and 2022 tax years. The amount that can be deducted from the taxable income is normally ISK 200 million (EUR 1.3 million).</t>
  </si>
  <si>
    <t>Companies whose revenues declined by more than 75% can apply for support of up to 633'000 ISK per month for three months.</t>
  </si>
  <si>
    <t>Non-indexed loans at the Central Bank’s key rate (currently 1%) is available to companies subsidised through this package</t>
  </si>
  <si>
    <t>State guarantee for bridge loans</t>
  </si>
  <si>
    <t xml:space="preserve">A €2 billion Pandemic Stabilisation and Recovery Fund within the Ireland Strategic Investment Fund (ISIF), which will make capital available to medium and large enterprises on commercial terms; </t>
  </si>
  <si>
    <t>Additional €200 million investment in training, education, skills development, work placement schemes, recruitment subsidies, job search and assistance measures, to help those who have lost their jobs find a new one, retrain, or develop new skills, in particular for emerging growth sectors.</t>
  </si>
  <si>
    <t>The Restart Grant for Enterprises (€550 million);  A €10,000 restart grant for micro and small businesses based on a rates/waiver rebate from 2019</t>
  </si>
  <si>
    <t>Waiver of commercial rates for the six months to end-Sep 2020, at a total cost of €600 million; on 27 May, the government proposed extending the waiver for 6 months in addition to the original 3 month waiver</t>
  </si>
  <si>
    <t>€2 billion credit guarantee scheme. Credit Guarantee Scheme: 80% gov’t guarantee for a wide range of credit products from €10,000 to €1 million fro 3 months up to a maximum term of 6 years at below market interest rates;</t>
  </si>
  <si>
    <t>MicroFinance Ireland and the Local Enterprise Measures: a package of liquidity and enterprise investment measures worth €55 million to reduce lending rate for micro and small businesses;</t>
  </si>
  <si>
    <t>The Future Growth Loan Scheme (€500 million) with the European Investment Bank Group, so businesses with up to 499 employees can invest for the longer-term at competitive rates</t>
  </si>
  <si>
    <t xml:space="preserve">Stay and Spend Incentive through a tax credit; </t>
  </si>
  <si>
    <t>€10 million Restart Fund for the Tourism sector;</t>
  </si>
  <si>
    <t xml:space="preserve">€10 million Performance Support Scheme for the culture sector to assist planning for events in the context of Covid-19.  </t>
  </si>
  <si>
    <t>reduction in the standard rate of VAT from 23 to 21 percent for 6-month starting Sep 2020; across 2020 and 2021, this measure is estimated to cost EUR440 million (0.1% of 2019 GDP).</t>
  </si>
  <si>
    <t>warehousing of tax liabilities for affected businesses to delay payment of their PAYE and VAT debts in part of in full for a set period with no interest or penalties; the ‘warehousing’ of tax liabilities for a period of twelve months after recommencement of trading during which time there will be no debt enforcement action taken by Revenue and no interest charge accruing in respect of the warehoused debt</t>
  </si>
  <si>
    <t>Interest rate reduction to 3%, applying to agreed repayments of all tax debt (where agreement has been reached prior to September 30 2020)</t>
  </si>
  <si>
    <t>To provide immediate cash-flow support to previously profitable companies, the early carryback of trading losses will be allowed, leading to an immediate refund of some or all of corporation tax paid. On 27 July, the government announced (subject to Oireachtas approval) accelerated repayments of corporation tax to businesses that would otherwise become due over the next 18 months. The maximum amount of the expected current year loss which will qualify for early carry-back will be 50%.</t>
  </si>
  <si>
    <t xml:space="preserve">Income tax relief for self-employed individuals who were profitable in 2019, but as a result of the Covid-19 pandemic, incur losses in 2020. On 24 July, the government also announced (subject to Oireachtas approval) that self-employed individuals can off-set up to €25,000 worth of 2020 losses (and certain unused capital allowances) against 2019 profits. </t>
  </si>
  <si>
    <t>RCT (Relevant Contract Tax) rate review scheduled to take place in March 2020 is suspended</t>
  </si>
  <si>
    <t>Application of a surcharge for late filing of corporation tax returns for accounting periods ending 30 June 2019 onwards is suspended until further notice. Restrictions to certain loss relief and group relief claims are also lifted for late filing as a result of Covid-19 circumstances.</t>
  </si>
  <si>
    <t>Parliament approved a one-off grant program amounting NIS 6.72bn for adults and families with children, excluding high earners. Includes the ff: (i) Extension of payments of up to NIS 4000 per month for people aged 67 and above until June 2021 (29 July) and (ii) one-time payment for every resident (over the age of 18 and with income below NIS 651 000) of NIS 750, an additional grant of NIS 500 for each child up to the fourth child, and a grant of NIS 300 for each additional child (29 July).</t>
  </si>
  <si>
    <t>Expanding grants to the self-employed. A social assistance grant to self-employed and controlling shareholders with an annual taxable income of up to NIS 651,000, whose sales turnover fell by more than 40%. These self-employed people will receive a 70% grant of taxable income up to NIS 15,000 every two months, until the end of June 2021 (29 July).</t>
  </si>
  <si>
    <t xml:space="preserve">Reimbursement of tax advances paid for January till March. The ITA is focused on releasing refund to tax payers, and some administrative relieves were announced to lower the threshold to allow an expedite refund. </t>
  </si>
  <si>
    <t>A 100% discount for property tax payment during the period of March 31, 2020 - May 31, 2020 for specific properties specified in the regulations. Alternatively, a 25% discount from the annual property taxes imposed on the property.</t>
  </si>
  <si>
    <t>Temporary increase of the in-work benefit (earned-income tax credit) of 62% for April to December.</t>
  </si>
  <si>
    <t>Extension of property tax reimbursement: property taxes will be reimbursed until June 2021 for SMEs (turnover up to NIS 100 million) that have experienced a decrease of turnover of at least 60% (29 July).</t>
  </si>
  <si>
    <t>Tax exemption on the capital withdrawal up to NIS 7500 from advanced study funds for 6 months, for individuals that suffered income losses (29 July).</t>
  </si>
  <si>
    <t>The purchase tax rates on buying a second or further home has been cut (29 July)</t>
  </si>
  <si>
    <t xml:space="preserve">Loan guarantee fund for large firms: NIS 6 billion loan fund businesses for firms with annual revenue turnover over NIS 200 million. </t>
  </si>
  <si>
    <t>EUR 1.4 bn to raise funding for the health care system for 2020, including EUR 845 m to recruit 20 000 more health workers.</t>
  </si>
  <si>
    <t>Increased cleaning of public transportation facilities, such as metro transit, buses, boats.</t>
  </si>
  <si>
    <t>Measures to increase purchases and production of medical materials (masks, ventilation machines)</t>
  </si>
  <si>
    <t>VAT exemption and duty free imports of equipment used for research, diagnosis and medical treatment offered as a gift or purchased; goods intended to be donated to State bodies, approved charitable or philanthropic organizations, and rescue units; goods received in the framework of international relations. VAT exemption and duty free import for PPE and invasive and non invasive ventilation tools</t>
  </si>
  <si>
    <t>From 8 March to 31 May 2020, there will be a suspension of the deadlines by which the tax agency must finalize tax audits, issue and serve notices of assessment, request payments and pursue litigation; respond to applications for tax rulings (ordinary rulings, fast-track rulings under the cooperative compliance regime, and substantial investment rulings); confirm admission to the cooperative compliance regime (even as part of the procedure to be followed when disclosing an unreported permanent establishment); and respond to applications for international rulings (such as APAs), unilateral corresponding adjustments (transfer pricing), and patent box relief.</t>
  </si>
  <si>
    <t>The payment of balance of regional tax on productive activities for tax year 2019 and the 40% prepayment for 2020 are cancelled for firms and self-employed workers with a turnover up to EUR 250 million.</t>
  </si>
  <si>
    <t>Hotels are exempted from payment of municipal property tax on buildings (IMU). Restaurants are exempted from the payment of land-use fees.</t>
  </si>
  <si>
    <t xml:space="preserve">VAT safeguard clauses are abolished. (VAT safeguard clauses were an automatic rise of VAT rates to meet deficit targets, in absence of other measures).  </t>
  </si>
  <si>
    <t xml:space="preserve">VAT rate on some medical equipment is reduced for 2020 and 2021. </t>
  </si>
  <si>
    <t>Payments of stamp duties related to electronic invoices are postponed to 2021.</t>
  </si>
  <si>
    <t>Introduction of the following tax credits in order to enhance patrimonial resilience of small and medium firms:     
 - 20% tax credit for individuals and legal persons participating with up to 2 million to capital increases of at least EUR 250.000 in corporations suffering a reduction of revenues of at least 33%;                                                                                                                     
 - 50% tax credit for firms with losses exceeding the 10% of net equity.</t>
  </si>
  <si>
    <t>Tax credit of 60% on the rent of march, April and may for buildings where the activity is carried out by companies (including no-profit), craftsmen and self-employed workers with a turnover of less than 5 million euros in 2019 and which suffered a reduction of turnover greater than 50%. This tax credit is due to hotels regardless of their dimension. The tax credit can be transferred to financial intermediaries as well as other firms providing a discount.</t>
  </si>
  <si>
    <t>Additional tax credits include:  
- 60% of the costs incurred sanitizing, upgrading and securing of workplaces and purchasing safety equipments, including renovation costs;  
- Tax credits on press and advertisement expenses are strengthened including a tax credit of 8% on the cost of paper incurred by newspapers. Further measures concern the press sector and  investments in advertising</t>
  </si>
  <si>
    <t>Tax credit on R&amp;D is strengthened for firms operating in the Mezzogiorno.</t>
  </si>
  <si>
    <t>In order to encourage investments in the real economy, tax incentives similar to those already granted to financial revenues are introduced for investments addressed to non-listed companies.</t>
  </si>
  <si>
    <t xml:space="preserve">Cutting of non-domestic electricity tariffs for May, June and July in order to bring costs into line with actual consumption. Down payments for gas and electricity tariffs are cut by 10% for 2020 and 2021. </t>
  </si>
  <si>
    <t>Tax credits of up to 110% for restructuring of domestic buildings aimed at improving energy efficiency and structural and seismic resilience; the measure is benefitted by households over 5 years. It is also possible to transfer the tax credit to the firm performing renovation (in this case the tax credit is 100%).</t>
  </si>
  <si>
    <t>Touristic vouchers that takes the form of a tax credit between EUR 150 - 500 granted to household with income lower than EUR 40.000. Both tax credits can be transferred to hotels, construction companies as well as financial intermediaries</t>
  </si>
  <si>
    <t>Payments related to new environmental charges including the introduction of plastic and sugar tax are postponed</t>
  </si>
  <si>
    <t>State guarantee for up to EUR 10 bn in new loans for medium-large firms.</t>
  </si>
  <si>
    <t>EUR 500 m to support exporting firms.</t>
  </si>
  <si>
    <t xml:space="preserve">For SMEs, etc. facing a severe business environment, the burden of fixed assets tax and city planning tax on depreciable assets and business buildings is reduced to one half or zero for one year of the taxation period for 2021. </t>
  </si>
  <si>
    <t>For the deficits by companies with capital of over 100 million yen and under 1 billion yen, it is possible to apply the corporate tax refund system by carrying back the losses. (In effect since February 1, 2020 to January 31, 2022)</t>
  </si>
  <si>
    <t>Extension of temporary relief of automobile tax and light vehicle tax environmental performance rate In effect since April 30, 2020 to March 31, 2021</t>
  </si>
  <si>
    <t>Exemption of stamp duty on contracts related to special loans. In effect until January 31, 2021.</t>
  </si>
  <si>
    <t>On 28 August, the government launched a new package of health measures, which are to be financed by the contingency fund included in the FY 2020 supplementary budget. The measures cover: 1) an significant increase of the PCR tesiting capacity by the end of 2020; 2) universal supply of vaccines for all residents by mid-2021; 3) support for local governments' efforts in expanding medical and health centres capacity.</t>
  </si>
  <si>
    <t>Cash tansfer of JPY 136.5 billion (0.02% of GDP) targeted at low-income single-parent households.</t>
  </si>
  <si>
    <t>On June 10, an investment plan was approved, comprising 6.3 billion euros (13 percent of 2019 GDP), of which 2.2 billion euros (4.5 percent of 2019 GDP) is new investment and the remainder is already planned investment that will be accelerated.</t>
  </si>
  <si>
    <t xml:space="preserve">Starting from July 1, the government has increased financial support to the agricultural sector through the Agricultural Loan Guarantee Fund. </t>
  </si>
  <si>
    <t>Dairy farmers affected by the COVID-19 pandemic and quarantine will receive additional state aid of 18.5 million euros.</t>
  </si>
  <si>
    <t>On July 30, the European Commission approved a state aid for the Lithuanian poultry and egg sector for an additional 20 million euros.</t>
  </si>
  <si>
    <t xml:space="preserve">The government is providing subsidized unemployment insurance for 3 month to workers that hold a mortgage with the Housing Institute (7.3 billion pesos). </t>
  </si>
  <si>
    <t>The Tax Administration Service extended the deadline for filing the individual 2019 annual tax return until June 30, 2020 (originally April 30).</t>
  </si>
  <si>
    <t>Individuals and companies were exempted of surcharges, fines and other expenses generated during the first three bimesters of 2020 for non-compliance with the payment of the property tax. Additionally, a 5% discount was granted on the payment of this tax for the fourth bimester, as well as for advance payments of the tax corresponding to the fifth and sixth bimesters.</t>
  </si>
  <si>
    <t xml:space="preserve">The State of Mexico also extended the deadline for the payment of the Tax on Vehicle Ownership to the end of July. </t>
  </si>
  <si>
    <t>The Government also granted a 100% discount in the tax on lodging for the months of april, may, june and july</t>
  </si>
  <si>
    <t xml:space="preserve">Corona Bridging Loans (COL): A separate credit option (to TVL) for startups, scale-ups and innovative SMEs, who can apply at Regional Development Companies (EUR 100 million). May 28: The government offers a  second tranche of another 200 million euros in loans available for the COL. </t>
  </si>
  <si>
    <t>Companies subject to Dutch corporate income tax will be allowed to deduct their expected losses in 2020 from their 2019 taxable, in order to create a “corona reserve,”</t>
  </si>
  <si>
    <t>The Dutch customs authorities will grant companies deferment of payment of import duties.</t>
  </si>
  <si>
    <t>Bonus health care workers (1440 million) and training additional healthcare personnel to provide care to corona patients (23 million).</t>
  </si>
  <si>
    <t>Purchase and distribution and sale of medical devices (protective gear, ventilators etc) (952million)</t>
  </si>
  <si>
    <t>Vaccine research contribution (CEPI) (50 million), Vaccine production (700 million), BCG vaccine (5 million)</t>
  </si>
  <si>
    <t>Expansion of test capacity (300million)</t>
  </si>
  <si>
    <t>The government earmarked 1.5bn EUR to compensate public transport companies for the loss of income and extra costs they face due to the corona crisis. The 1.5 billion euro emergency package is intended to enable Netherlands Rail (NS) and other public transport companies to cover 93 percent of their costs. The scheme applies with retrospective effect from 1 March to the year-end.</t>
  </si>
  <si>
    <t>Also included in the CRRF was NZD 3 billion infrastructure investment with 8000 new public homes being built.</t>
  </si>
  <si>
    <t>The New Zealand government also provides loans of up to NZ$100,000 to small businesses that employ 50 or less full-time equivalent employees (NZ$5.2 billion). Announced on 12 May, it allows a business to borrow NZD 10,000 plus NZD 1,800 for each equivalent full-time employee up to a maximum of NZD 100,000. There will be no interest if paid back within a year, otherwise 3% for up to 5 years, with no repayments required for the first 2 years. It was announced on 5 June that the application deadline for the scheme will be pushed back from 12 June to 24 July.</t>
  </si>
  <si>
    <t>Announcement of future changes to the tax loss continuity rules:  Currently the tax asset associated with a loss is extinguished if over 51% of the shares of the firm change hands after the loss occurs.  There will be a shift to a "same or similar" business test for the ability to carry forward losses, which will be available from the 2020/21 tax year.</t>
  </si>
  <si>
    <t xml:space="preserve">The  COVID-19 Response and Recovery Fund (CRRF) announced on 14 May included NZD1.6 billion fund for boosting trades and apprenticeship training, which aims to retrain about 10,000 hospitality and aviation sector workers for construction, agriculture, and manufacturing sector jobs, as well as also for health, counselling and care works. </t>
  </si>
  <si>
    <t xml:space="preserve">On 24 March, the government and RBNZ announced a support package for homeowners and businesses impacted by the economic effects of Covid-19. The Business Finance Guarantee Scheme (NZD 6.25 billion) for solvent SMEs, with the government bearing 80% of the risk of these loans and banks the remaining 20%. On 2 May, the scheme was made available to more firms, by for instance removing the minimum revenue threshold for borrowers eligibility to the scheme. </t>
  </si>
  <si>
    <t xml:space="preserve">To support the Business Finance Guarantee scheme, the RBNZ introduced the Term Lending Facility (TLF) that provides funding for banks for terms of up to three years at low interest rates. </t>
  </si>
  <si>
    <t>Increased immediate write off of machinery etc. from 20 to 30 pct.</t>
  </si>
  <si>
    <t>Introduction of depreciation allowances of 20 pct for ships in local traffic.</t>
  </si>
  <si>
    <t>Reduced valuation for wealth tax purpose of shares and production assets etc. from 75 to 65 pct</t>
  </si>
  <si>
    <t>Increased tax incentives to boost start-up investments: Increased deductions for share investments in start-ups; Including employees in the start-up tax incentive measure; and increased tax exempted amount for underpriced shares bought by employees</t>
  </si>
  <si>
    <t>On 1 July the government annonced a labour-cost subsidy scheme (lonnstilskudd) for employers who take back laid-off workers during July and August. Payouts will be made in autumn and can amount to up to NOK 15 000 per month per employeed. Around NOK 4 billion of payouts are estimated.</t>
  </si>
  <si>
    <t xml:space="preserve">Increased loan-loss provisions (valued at NOK 10 billion) for the Norwegian Export Credit Agency (GIEK) were announced in the Revised National Budget (12 May). </t>
  </si>
  <si>
    <t>A “solidarity benefit” of PLN 1,400 per month for those who lost jobs after March 15, paid for three months (June-August)</t>
  </si>
  <si>
    <t>An increase in the unemployment benefit by 39 percent during the first 90 days of unemployment</t>
  </si>
  <si>
    <t>To support the local tourism industry and families with children, a tourism voucher has been introduced, providing each child entitled to Family 500+ benefits with a one-time PLN 500 voucher to be spent at hotels or tourist events in Poland.</t>
  </si>
  <si>
    <t xml:space="preserve">Financial support of the investment tasks managed by local governments (under new government resolution up to PLN 12 bn will be dedicated to strengthening investments processes in local governments as a Governmental Fund for Local Investments). The support will be transferred to projects worth at least PLN 400000. The aim of new mechanism is to revive public investment in local government subsector. The local government could spend these funds until end of 2022. </t>
  </si>
  <si>
    <t xml:space="preserve">Interest rate subsidies for bank loans granted to provide financial liquidity to entrepreneurs affected by the COVID-19. The new fund in BGK is to be established (Subsidy Fund) with the purpose to support companies affected by pandemic through paying subsidies to lower their interest rate payments on loans granted by banks. Fiscal cost of new mechanism for 2020 budget will be at PLN 0.3 bn and will be covered by the COVID Fund. On August 18, the budget dedicated to the anti-crisis loan fund for companies carried with the cooperation of BGK was increased with an extra 1.1 billon PLN. </t>
  </si>
  <si>
    <t>Introduction of the possibility of issuing a fiscal receipt or an invoice in an electronic form (e-receipts). The measure is available for the last type of cash registers, the so-called on-line cash registers, as well as for cash registers in the form of software.</t>
  </si>
  <si>
    <t>Temporary introduction of 8% VAT rate for some disinfectants (as of 1 March untill 30 June 2020).</t>
  </si>
  <si>
    <t>Increase of the limits for some benefits exempt from income tax</t>
  </si>
  <si>
    <t>Introduction of new tax exemptions for downtime benefit, food and accommodation of employees</t>
  </si>
  <si>
    <t>Introduction of PIT exemption for benefits received in 2020 by farmers and their household members covered by Social Security System in connection with COVID-19 pandemic.</t>
  </si>
  <si>
    <t>Solidarity levy payers may submit their annual tax returns and pay levy due for 2019 after the standard deadline (30 April). They would face no negative consequences if they file their tax returns and pay tax until 31 May.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</si>
  <si>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Has been extended for CIT taxpayers:
• the deadline expiring in the period from March 31, 2020 to May 31, 2020 to be prepared and sent by legal persons, organizational units without legal personality and natural persons conducting business activity information referred to in art. 82 § 1 item 2 of the Tax Ordinance Act (ORD-U), up to the fifth month after the end of the tax year for which they are drawn up
• the deadline for sending by legal persons, organizational units without legal personality and natural persons who are entrepreneurs whose tax year ended in the period from December 31, 2019 to January 31, 2020, the information referred to in art. 26 section 3 point 2 of the CIT Act (IFT-2R), by the end of the fifth month of the year following the tax year in which the payments listed in art. 26 section 1 of this Act.</t>
  </si>
  <si>
    <t>The revenue from remission of a support loan shall not constitute revenue under the regulations of corporate income tax.</t>
  </si>
  <si>
    <t xml:space="preserve">The revenue from remission of a support loan shall not constitute revenue under the regulations of personal income tax. </t>
  </si>
  <si>
    <t>Tax Capital Groups suffering negative economic consequences in 2020 due to COVID-19 and therefore not meeting the conditions of profitability and the absence of tax arrears (the conditions set out in Article 1a (2) (1) (d) or (4) of the Legal Persons' Income Tax Act) shall retain the status of income taxpayers. The suspension of meeting the above-mentioned conditions applies only to the tax year that began before January 1st, 2020 and will end after December 31, 2019, or began after December 31, 2019 but before January 1, 2021.</t>
  </si>
  <si>
    <t>Prolongation of the deadline for (1) filing a statement on preparation of transfer pricing documentation and appling prices complaint with the arm's length principle and (2) attaching a masterfile to the local transfer pricing documentation - for the selected group of related entities for which the deadline for performing these obligation expires before 30 September 2020.</t>
  </si>
  <si>
    <t xml:space="preserve">Exemption from the tax on civil law transactions of sale and conversion of virtual currencies within the meaning of Art. 2 clause 2 point 26 of the Act of 1 March 2018 on combating money laundering and the financing of terrorism. </t>
  </si>
  <si>
    <t>From January 1, 2020 to September 30, 2020, exemption from inheritance and gift tax for natural persons running educational institutions, specified in regulations, if they acquire by donation complete, serviceable and not older than 3 years old portable laptop computers or tablets, for the purposes of running these institutions.</t>
  </si>
  <si>
    <t>Farmers do not have to pay social contrubutions to the Agriculture Social Insurance Fund (KRUS) for the 2nd quarter. Contributions will be paid from the State budget.</t>
  </si>
  <si>
    <t xml:space="preserve">Suspension of the deadline to submit MDR information. Time periods for submitting MDR information do not start running (and those that started to run are suspended) from 31 March 2020 until the date of cancellation of the state of epidemic threat and the state of epidemic announced in connection with COVID-19, but no longer than till 30 June 2020. </t>
  </si>
  <si>
    <t xml:space="preserve">Suspension of administrative enforcement proceedings.
The Council of Ministers is entitled to issue a regulation on the basis of which administrative enforcement proceedings will be suspended by law for the period of epidemic emergency caused by COVID-19. </t>
  </si>
  <si>
    <t>Reduction of VAT rate to 6% on imports, transfers and intra community acquisition of masks and skin disinfectant gel.</t>
  </si>
  <si>
    <t>Additional 40% deduction on CIT for cost incurred on donations granted to public enterprise (EPE) and to medical institutions all having the status of EPE.</t>
  </si>
  <si>
    <t>Stamp duty exemption for the credit moratorium approved by the Government for certain credit operations in the context of the Covid-19 pandemic.</t>
  </si>
  <si>
    <t>Suspension of termination of rental contracts and possible moratorium in case of income loss.</t>
  </si>
  <si>
    <t>Suspension of termination of essential services (water, electricity, natural gas, telecom).</t>
  </si>
  <si>
    <t>€25 million fiscal package to support the entrepreneurship ecosystem</t>
  </si>
  <si>
    <t>Extension of deadline for VAT returns and payments on the basis of tax subject’s notice.</t>
  </si>
  <si>
    <t>Exemption from customs duties and VAT on imports of goods (e.g. medical supplies) from third countries will be applied if intended for allocation free-of-charge to victims of a natural disaster, including a pandemic. The Slovak Ministry of Interior will approve organizations authorized to import goods exempt from import customs duties and VAT.</t>
  </si>
  <si>
    <t>Extraordinary assistance in the form of a monthly basic income will be assigned to the affected self-employed workers, farmers and religious workers.</t>
  </si>
  <si>
    <t>An increase in the amount of a large family allowance by EUR 100 in the case of a family with three children and EUR 200 in the case of a family with four and more children.</t>
  </si>
  <si>
    <t>Any person who lost the employment from March 13, 2020 for business reasons will be entitled to provisional monetary compensation of EUR 513.64.</t>
  </si>
  <si>
    <t>All employees who are working during the COVID-19 epidemic will be eligible for an allowance for performing hazardous work and for higer workloads up to the 100 % of the hourly determined wage of employee</t>
  </si>
  <si>
    <t>Temporary exemption of VAT from supplies and the acquisition of protective and medical equipment if the goods are delivered to cetral or local government or charity organizations</t>
  </si>
  <si>
    <t>Exemption from rents to tenants of state-owned or municipal-owned business premises.</t>
  </si>
  <si>
    <t>In the event of a temporary inability to provide work for business reasons, for the employee who has got a full-time employment contract the employer is able to temporarily order part-time work (between 20 and 35 hours per week). For the remaining working time up to full-time working hours (ie. between 5 and 20 hours per week) a worker is sent on hold. The state budget will subsidize wage compensation for the remaining part of full-time work. The employer is entitled to subsidize part-time work only for the period from 1 June to 31 December.</t>
  </si>
  <si>
    <t>Vouchers to promote domestic consumption in tourism were introduced. The beneficiary of the voucher in the amount of EUR 200 is a person who has or will turn 18 in 2020, with permanent residence in the Republic of Slovenia on 13 March 2020 while other persons who do not meet the age condition will be entitled to the voucher in the amount of € 50. The voucher for the promotion of domestic consumption in tourism is redeemed until 31 December 2020 for the service of accommodation or accommodation with breakfast.</t>
  </si>
  <si>
    <t xml:space="preserve">New tax deduction (1%) for corporations which participate in advance payments
- In case where individual business owners or corporatations make an advance payment to purchase goods and services from small and medium business oweners, 1% of the payment will be deducted from PIT/CIT. </t>
  </si>
  <si>
    <t xml:space="preserve">Early refund from loss carryback for a small and medium enterprise
- Refunds from loss carryback are usually given after the end of one business year, but this refund will be made within this year for the loss of the first half </t>
  </si>
  <si>
    <t>South Sudan</t>
  </si>
  <si>
    <t>Tax credits for process technology innovation investment will be increased from 12% to 25% on the amount of the expense for business in  the supply chain of automobile industry for tax year 2020 and 2021</t>
  </si>
  <si>
    <t>Automobile sectors which makes new investments for property, plant and equipment may benefit from freedom of amortization up to EUR 500,000 under certain conditions. The benefit applies to investments which involve the sensorization and monitoring of the production chain, as well as the implementation of manufacturing systems based on modular platforms that reduce environmental impact.</t>
  </si>
  <si>
    <t>July 3: Fund to support the solvency of strategic firms, managed by the Ministry of Finance (granting of participative loans, acquisition of subordinated debt or subscription of shares or other instruments of capital) (EUR 10 billion).</t>
  </si>
  <si>
    <t xml:space="preserve">May 6: To guarantee the liquidity of companies in the culture sector, inject EUR 20 million to CREA to guarantee loans of up to EUR 880 million. </t>
  </si>
  <si>
    <t>7 May: Increase in the ceiling for income-related benefits from unemployment insurance funds from SEK 760 to SEK 1 000 per day from benefit day 101 and onwards, from 29 June 2020 until 3 January 2021 (cost SEK 1.1bn).</t>
  </si>
  <si>
    <t xml:space="preserve">Temporarily relaxing unemployment insurance eligibility requirements. Under previous rules, workers had to be a member of a fund for 12 months and needed to have worked at least 80 hours/ month for at least six months before qualifying for compensation. Now, workers only need to have worked a minimum of 60 hours/month </t>
  </si>
  <si>
    <t>Expansion of active labour market policy. Fiscal cost: SEK 2.6 billion</t>
  </si>
  <si>
    <t>Removal of income ceiling for student aid to enable health and medical care students to help out in the health care sector without their student aid being reduced.</t>
  </si>
  <si>
    <t>The National Board of Health and Welfare’s credit framework has increased from SEK 100 million to SEK 5 billion to enable purchases of personal protective equipment and intensive care equipment.</t>
  </si>
  <si>
    <t>Reliefs from customs duties and import VAT for goods intended to be imported to State bodies, approved charitable or philanthropic organisations and rescue units.</t>
  </si>
  <si>
    <t>On August 12, the government announced a new set of fiscal measures, including CHF400 million financial support to air traffic control company Skyguide in 2020-21</t>
  </si>
  <si>
    <t xml:space="preserve">CHF288.5 million will be allocated for Covid-19 tests until the end of 2020, which is estimated to cover an average of 8,000 tests per day. </t>
  </si>
  <si>
    <t>The tax authorities continue to refund VAT claims as usual. However, a request for the early refund of VAT can be made. The tax authorities will immediately examine the request and will ensure that both this examination and the payment of the tax credit are carried out quickly.</t>
  </si>
  <si>
    <t>Tanzania</t>
  </si>
  <si>
    <t>Turkey Wealth Fund was assigned to inject a core capital of 0.4 percent of GDP into three state banks, funded by issuance of Treasury bonds; OECD: On 8 May, it was announced that 20 billion TL ($2.8bn) of new capital will be injected into the three state banks - Ziraat Bank, Halkbank and Vakifbank – largely involved in coronavirus crisis-related loan programmes.</t>
  </si>
  <si>
    <t>The Banking and Insurance Transaction Tax rate on real persons’ foreign exchange and gold purchases was raised to 1% from 0.2%</t>
  </si>
  <si>
    <t xml:space="preserve">withholding tax on interest income on banks’ commercial bonds was raised to 15% from 10%, </t>
  </si>
  <si>
    <t>On 28 April, a 100 million USD 10-year loan agreement under World Bank's COVID-19 Fast-Track Facility was finalised, to help finance the extension of the dedicated health infrastructure.</t>
  </si>
  <si>
    <t>On 28 April, the reimbursement of government -subsidised farm loans of around 6 billion TL maturing in May and June was postponed for 6 months, without interest.</t>
  </si>
  <si>
    <t>On 5 June, the Central Bank (CBRT) introduced a new programme of "Advance Loans Against Investment Commitment". It will be channeled through Turkish Development and Investment Bank and will fund investments that will ‘reduce imports and boost exports’ and ‘support sustainable growth’. Loans will be extended for 10 years, at an interest rate 150 basis points below the CBRT policy rate, and under a cap of TL 400 million per firm.</t>
  </si>
  <si>
    <t>On 23 July, the public SME bank (Halkbank) postponed, at no cost and for three months, all capital and interest reimbursements overdue by small tradesmen and craftsmen on credits previously contracted in concessional terms.</t>
  </si>
  <si>
    <t>Tax reporting deadline for Associations has been postponed from 30 April 2020 to 1 August 2020.</t>
  </si>
  <si>
    <t>for domestic airline services, the VAT rate has been decreased to 1% for the period 1 April 2020 to 30 June 2020.</t>
  </si>
  <si>
    <t>All disclosures by taxpayers to the tax authority will be made electronically until 10 April 2020 through İnteractive tax office system or will be delivered by post. All tax and penalty fee payments will be made online through listed banks and through credit banks via the interactive tax office system rather than by cash at tax offices until 10 April 2020. Furthermore, more types of tax can be paid by credit card.</t>
  </si>
  <si>
    <t>1 July: Trade credit insurance for business-to-business transactions will receive up to £10 billion of government guarantees through the Trade Credit Reinsurance scheme, with the scheme available for nine months.</t>
  </si>
  <si>
    <t>The government has put in place a £1bn package to support firms driving innovation and development through grants and loans</t>
  </si>
  <si>
    <t>8 July: temporary reduction of VAT for hospitality, accommodation and attractions from 20% to 5%</t>
  </si>
  <si>
    <t>8 July: “Eat Out to Help Out” subsidy scheme GBP 500 million; subsidizes dining out during the month of August</t>
  </si>
  <si>
    <t>A zero rate of VAT for certain electronic publications.</t>
  </si>
  <si>
    <t>Income tax exemption for employer who has reimbursed expenses to an employee that covers the cost of relevant home-office equipment (laptop, desk or necessary computer accessories) due to the COVID-19 pandemic. The amount reimbursed by the employee will be disregarded when calculating their earnings for social security contributions.</t>
  </si>
  <si>
    <t>11 May: the Government has committed to increase testing capacity to 200,000 tests per day by the end of May.</t>
  </si>
  <si>
    <t>July 1: Stamp Duty Land Tax temporary cut.</t>
  </si>
  <si>
    <t xml:space="preserve">For current Installment Agreements, payments due between April 1 and July 15 are suspended. However, interest will continue to acrue due to statutory law on the unpaid balances. </t>
  </si>
  <si>
    <t xml:space="preserve">The filing deadline for the FATCA Report will be extended from March 31, 2020 to July 15, 2020. </t>
  </si>
  <si>
    <t>Concerning ongoing litigation, the IRS is working with taxpayers concerning 1) obtaining an extension of the statute, 2) processing their appeals by the independent office of appeals 3) processing phone calls by the Taxpayer Advocate Service.</t>
  </si>
  <si>
    <t xml:space="preserve">Borrowers with Federally backed mortgage loans and multifamily borrowers with Federally backed multifamily mortgage loans experiencing a financial hardship due, directly or indirectly, to the COVID-19 emergency may request and obtain forbearance (up to 180 days) on their loans. </t>
  </si>
  <si>
    <t>The legislation provides funding for research and development of vaccines/diagnostics ,and the purchase of necessary medical supplies, medical surge capacity to the Department of Health and Human Services, National Institute of Allergy and Infectious Diseases, and the Food and Drug Administration.</t>
  </si>
  <si>
    <t>Veterans and their beneficiaries who receive Compensation and Pension (C&amp;P) benefit payments from VA will receive a $1,200 Economic Impact Payment.</t>
  </si>
  <si>
    <t xml:space="preserve">Recipients of Supplemental Security Income (SSI) will automatically receive automatic $1200 Economic Impact Payments </t>
  </si>
  <si>
    <t xml:space="preserve">The Coronavirus Aid, Relief, and Economic Security Act  provide for a carryback of any net operating loss arising in a taxable year beginning after December 31, 2017, and before January 1, 2021, to each of the five taxable years preceding the taxable year in which the loss arises (carryback period). Taxpayers may elect  to waive the carryback period  arising in those years. </t>
  </si>
  <si>
    <t xml:space="preserve">Six-month extension of time to file tax return for taxpayers that have an Net Operating Loss that arose in a taxable year that began during calendar year 2018 and that ended on or before June 30, 2019. </t>
  </si>
  <si>
    <t>Deferal of payments and filings until July 15, 2020 for individuals, corporations, gift and estate taxes, certain excise taxes.</t>
  </si>
  <si>
    <t xml:space="preserve">Tax credits for qualified sick leave wages and qualified family leave wages will apply to wages paid for the period beginning on April 1, 2020, and ending on December 31, 2020. </t>
  </si>
  <si>
    <t>Deferral of filing and paying a Federal gift tax or generation-skipping transfer tax payment until July 15, 2020.</t>
  </si>
  <si>
    <t>Extension of the due date to July 15, 2020 for filing federal income tax returns and making Federal income tax payments</t>
  </si>
  <si>
    <t xml:space="preserve">The IRS has released guidance determining that foreign trusts and estates' and federal income tax payments due between 1/4/2020 and 15/7/2020 are now due 15/7/2020. </t>
  </si>
  <si>
    <t>Field, Office and Correspondence Audits – During this period, the IRS will generally not start new field, office and correspondence examinations.However, the IRS may start new examinations where deemed necessary to protect the government's interest in preserving the applicable statute of limitations.</t>
  </si>
  <si>
    <t>Private Debt Collection – New delinquent accounts will not be forwarded by the IRS to private collection agencies to work during this period</t>
  </si>
  <si>
    <t>Allows employers to receive an advance tax credit from Treasury instead of having to be reimbursed on the back end. Creates regulatory authority to implement the tax credit advances.</t>
  </si>
  <si>
    <t>Turkmenistan</t>
  </si>
  <si>
    <t>May 1st sample</t>
  </si>
  <si>
    <t>May 1 2020</t>
  </si>
  <si>
    <t>Sept 1 2020</t>
  </si>
  <si>
    <t>Comparator for "performance within sample" sheet</t>
  </si>
  <si>
    <t>Regions</t>
  </si>
  <si>
    <t>Address</t>
  </si>
  <si>
    <t>Cell link</t>
  </si>
  <si>
    <t>Condition</t>
  </si>
  <si>
    <t>Gross Domestic Product at Market Price Volume Millions 2015 real USD % change</t>
  </si>
  <si>
    <t>Primary Fiscal Balance LCU % of GDP</t>
  </si>
  <si>
    <t>General Government Debt Stock (Millions of Local Currency) LCU % of GDP</t>
  </si>
  <si>
    <t>Micronesia Federated States of</t>
  </si>
  <si>
    <t>Kiribati</t>
  </si>
  <si>
    <t>Iran Islamic Rep.</t>
  </si>
  <si>
    <t>Eritrea</t>
  </si>
  <si>
    <t>Djibouti</t>
  </si>
  <si>
    <t>Burundi</t>
  </si>
  <si>
    <t>Fiscal Balance</t>
  </si>
  <si>
    <t>GDP change</t>
  </si>
  <si>
    <t>Debt</t>
  </si>
  <si>
    <t>Sample</t>
  </si>
  <si>
    <t>Comparator</t>
  </si>
  <si>
    <t>Data!$AM:$AM</t>
  </si>
  <si>
    <t>Add selected sample?</t>
  </si>
  <si>
    <t>Add selected sample</t>
  </si>
  <si>
    <t>Treatment</t>
  </si>
  <si>
    <t>Beschreibung (Beispiel)</t>
  </si>
  <si>
    <t>Gruppe 0</t>
  </si>
  <si>
    <t>Gruppe 1</t>
  </si>
  <si>
    <t>Sonstige Maßnahmen (nicht klass.)</t>
  </si>
  <si>
    <t>KMU-Kreditgarantie-Programme</t>
  </si>
  <si>
    <t>Steuerstundungen/-aufschub</t>
  </si>
  <si>
    <t>Steuer-/Abgabenbefreiungen</t>
  </si>
  <si>
    <t>Lohnsubventionen (Kurzarbeit etc.)</t>
  </si>
  <si>
    <t>Ausweitung Sozialhilfe/Unterstützung</t>
  </si>
  <si>
    <t>Aufgestockte Lohnsubvention (100%)</t>
  </si>
  <si>
    <t>Allg. fiskalische Stimuluspakete</t>
  </si>
  <si>
    <t>Einmalige Hilfszahlung (z.B. 250 $)</t>
  </si>
  <si>
    <t>Erweiterung Arbeitslosenvers.</t>
  </si>
  <si>
    <t>Weitere Einmalzahlung (z.B. 750 $)</t>
  </si>
  <si>
    <t>MwSt-Senkung best. Sektoren</t>
  </si>
  <si>
    <t>Steuerliche Maßnahme</t>
  </si>
  <si>
    <t>Weitere Kredit-/Garantie-Phase</t>
  </si>
  <si>
    <t>Steuererleichterung (z.B. Rückerstattung)</t>
  </si>
  <si>
    <t>MwSt-Befreiung med. Produkte</t>
  </si>
  <si>
    <t>Liquiditätshilfe (z.B. Kreditfazilität)</t>
  </si>
  <si>
    <t>Kapazitätsausbau Gesundheit (Quarantäne)</t>
  </si>
  <si>
    <t>Unterstützung Gesundheitsausgaben</t>
  </si>
  <si>
    <t>Einkommenssteuer-Senkung</t>
  </si>
  <si>
    <t>USt-Befreiung (z.B. Masken)</t>
  </si>
  <si>
    <t>Sonstige Maßnahme</t>
  </si>
  <si>
    <t>Spenden steuerlich begünstigt</t>
  </si>
  <si>
    <t>Schutzausrüstung Beschaffung</t>
  </si>
  <si>
    <t>Medizinische Güter Finanzierung</t>
  </si>
  <si>
    <t>Zusätzliche Transferzahlung</t>
  </si>
  <si>
    <t>Gruppe 0 Share</t>
  </si>
  <si>
    <t>Gruppe 1 Share</t>
  </si>
  <si>
    <t>Gruppe 1 pro Land</t>
  </si>
  <si>
    <t>Gruppe 0 pro Land</t>
  </si>
  <si>
    <t>Group</t>
  </si>
  <si>
    <t>pre Covid real GDP ppp (2019)</t>
  </si>
  <si>
    <t>pre Covid real GDP usd (2019)</t>
  </si>
  <si>
    <t>Gruppe 1 pro Mio GDP $</t>
  </si>
  <si>
    <t>Gruppe 0 pro Mio GDP $ ppp</t>
  </si>
  <si>
    <t>Gruppe 1 pro Mio GDP $ ppp</t>
  </si>
  <si>
    <t xml:space="preserve">Gruppe 0 pro Mio GDP $ </t>
  </si>
  <si>
    <t>Showing 10 to 38 of 38 entries, 2 total col</t>
  </si>
  <si>
    <t>Gruppe 0</t>
  </si>
  <si>
    <t>Gruppe 1</t>
  </si>
  <si>
    <t>Gruppe 0 pro 100'000 Einwohnende</t>
  </si>
  <si>
    <t>Gruppe 1 pro 100'000 Einwohnende</t>
  </si>
  <si>
    <t>ppp per Capita</t>
  </si>
  <si>
    <t>real per Capita</t>
  </si>
  <si>
    <t>in 10'000 CHF</t>
  </si>
  <si>
    <t>Gruppe 1 per Capita ppp</t>
  </si>
  <si>
    <t>Gruppe 0 pro Capita ppp</t>
  </si>
  <si>
    <t>Policy Category</t>
  </si>
  <si>
    <t>ad-hoc programme</t>
  </si>
  <si>
    <t>On 2 April, a subsidy to childcare providers was announced, conditional on them staying open and not charging families for care. The Commonwealth Government will pay 50 per cent of the sector's fee revenue up to the existing hourly rate cap. The funding will apply from 6 April based on the number of children who were in care during the fortnight leading into 2 March, whether or not they are attending services. The existing arrangements will end in mid-July and be replaced by a three month A$708 million support package to the childcare sector. Families will return to paying for childcare, with the reintroduction of the Child Care Subsidy, but the criteria for families impacted by the economic downturn will be loosened.</t>
  </si>
  <si>
    <t>Aged pensioners will receive an additional A$250 payment from December 2020 and a further A$250 payment from March 2021 according to the 2020-21 Federal Budget announced on 6 October.</t>
  </si>
  <si>
    <t>Tax relief measures to individuals experiencing financial hardship, and their tax agents for serious and exceptional circumstances, On 6 October, the Government announced the 2020-21 Federal Budget, which brings forward Stage Two of previously legislated tax cuts by two years, increasing certain tax bracket thresholds to widen the coverage of the relief. The Low and Middle Income Tax Offset will also be retained for an additional year. The Government estimates that more than 7 million Australians will receive a tax relief of approximately A$17.8bn.</t>
  </si>
  <si>
    <t>Deferral: Taxpayers affected by the pandemic are eligible to apply for a deferral of payment of tax liability for up to 6 months without incurring interest or penalties. This deferral may apply to income tax, goods and services tax (GST), fringe benefits tax and excise taxes. Businesses requiring further deferral may be able to access low-interest repayment options. Businesses that vary their PAYG instalment to zero can also claim a refund for any instalments made for the September 2019 and December 2019 quarters. According to the 2020-21 Federal Budget, small, medium and larger businesses with a turnover of up to A$5 billion will be able to write off the full value of eligible assets until June 2022. Losses incurred to June 2022 will also be able to be offset against prior profits made in or after the 2018-19 financial year. The total temporary full expensing will mount to A$31.6bn (1.6% of GDP) over the course of 2020-21/2023-24.</t>
  </si>
  <si>
    <t>The government has also announced the HomeBuilder programme to support residential construction activity in the second half of 2020. The programme will provide all eligible owner-occupiers with a grant of A$25,000 to build a new home or substantially renovate an existing home. Construction must be contracted to commence within three months of the contract date. Applicants are subject to eligibility criteria, including caps on household income and the price of a new home or renovation. The program is expected to provide around 27,000 grants at a total cost of around A$680 million.</t>
  </si>
  <si>
    <t>The Government will allow individuals in financial stress as a result of the Coronavirus to access up to $10,000 of their superannuation in 2019-20 and a further $10,000 in 2020-21. Eligible individuals will be able to apply online for access of up to $10,000 of their superannuation before 1 July 2020. Minimum superannuation drawdown requirements have also been reduced and social security deeming rates (the rate of income beneficiaries are assumed to be earning from financial investments) have also been reduced.</t>
  </si>
  <si>
    <t>According to the 2020-21 Federal Budget, an additional A$1 billion of low cost finance will be spent to support the construction of affordable housing.</t>
  </si>
  <si>
    <t>Since 23 September, the government has made available as part of its recovery plan two wage subsidies for six months available: (i) the return subsidy (for those that were with suspended contracts under the employment protection law, they will receive 160 thousand pesos or 200 USD); and (ii) a hiring subsidy (subsidy for the 50% of the nominal wage, 60% for youth, female and disabled with a maximum of 250 or 260 thousand pesos or 318, 345 USD). To apply firms have to show a 20% decrease in income during april-june relative to same period last year. For large firms they cannot distribute profits above the minimum legal percentage of 30% during the period in which they receive the subsidy. The subsidy applies for workers with wages of less than 3 minimum wages.</t>
  </si>
  <si>
    <t>Waiver of interest and penalties for late filing of income tax returns due 30 April 2020 and for monthly value added tax (VAT) returns, when returns are filed on or before 30 September and November 2020</t>
  </si>
  <si>
    <t>in september 2020 as part of the measures for the recovery, subsidies for mortgage loans and operational leasing for the purchase of new homes of up to 480 million pesos, available until 2022 or up to 100,000 homes, aimed at reactivating the construction sector and boosting the economy</t>
  </si>
  <si>
    <t>On October 26, the government has also approved an extension of the Antivirus B support programme until 31 December 2020 (for companies affected indirectly by the coronavirus crisis).</t>
  </si>
  <si>
    <t>The government also further extended the tax liberation package for the self-employed and companies, notably it waived advanced payments until the end of the year of persona income taxes for the self-employed and corporate income tax and road tax for companies.</t>
  </si>
  <si>
    <t>In connection with newly adopted crisis measures on October 21, the government extended the Covid
- Rent programme. The subsidy program will also include those operations that have been banned or significantly reduced by the measures announced on that day, and the programme funding was boosted to CZK 3 billion.</t>
  </si>
  <si>
    <t>On October 16, the government proposed a compensatory bonus for the self-employed persons, very small businesses and persons working on the employment agreement of CZK 500 per day from 5 October to 4 November 2020.
The government also approved a "nursing care" allowance for the self-employed who, due to the closure of a school or other facility, cannot fully conduct business and care for a child under 10 years of age or a disabled family member. The assistance is CZK 400 per day, and the programme is allocated CZK 200 million in total.</t>
  </si>
  <si>
    <t>The government approved on March 31 a targeted employment support programme (Antivirus, launched April 6), to compensate for all or part of salary costs for the time of the quarantine or emergency measures (from 12 March to the end of April; extended to end of May (on april 27)). Employees will receive all or part of their wages, subsidised by the state, depending on the exact reason and situation of reduced activity. For example, employees ordered into quarantine will receive 60 % of their salaries, while employees working in firms that had to stop operations by a government order will be compensated in full. In both cases the government will reimburse the employer 80% of the employee compensation (up to CZK 39 000 per employee). Employees in firms facing inputs supply issues or drop in sales will receive 60-100% of their salaries, with the state reimbursing 60% of the costs (up to CZK 29 000 per employee). The estimated total costs of the program is 33bn CZK (0.6 % of GDP). The Antivirus A (renamed Antivirus Plus) (for companies that need to shut down or restrict operations due to government decree or workers in quarantine) job-retention scheme will be extended until the end of the year 2020. Support will increase as companies will be entitled to the entire sum of employee compensation (80% before) and maximum monthly limit increased from CZK 39,000 to 50,000 per person (can be claimed as of October 1). Extension of the Antivirus programmes B and C is also expected.
The government will also extend and adjust the COVID</t>
  </si>
  <si>
    <t>On October 19, the government approved CZK 98 million support by the State Fund of Cinematography to help cinema operators, production and distribution companies (not covered by COVID
- Culture programme).
A Covid
- Tourism Support programme has been announced in the amount of CZK 500 million, to support travel agencies and tourist guides ofr lost revenus in 2020 due to the pandemic.</t>
  </si>
  <si>
    <t>On October 16, the government approved a Agrocovid Food industry to support the food industry with an allocation of CZK 3 billion.</t>
  </si>
  <si>
    <t>Bus subsidy program to support bus carriers due to their lost revenues has been introduced. The amount of support will be linked to the degree of eco-friendliness of vehicles. The programme is allocated CZK 1 billion.</t>
  </si>
  <si>
    <t>The government has also decided to support professional sports and sports event organizers with a COVID
- Sport II programme, allocated CZK half a billion. The organizers of sports events will be reimbursed a maximum of fifty percent of eligible costs (up to a maximum of CZK 10 million).</t>
  </si>
  <si>
    <t>2 November, additional support for small businesses and self-employed people affected by more stringent containment measures, at an estimated cost of EUR 10 billion</t>
  </si>
  <si>
    <t>The budget committee provided additional EUR 800 million for protective equipment, equipment for intensive care and research on vaccines. Previously, around EUR 350 million were already agreed on for protective equipment and the WHO. Additional central procurement of special equipment on federal level, in addition to procurement of hospitals and private practices
- participation in EU joint procurement.</t>
  </si>
  <si>
    <t>Derogation for the provision and use of biocidal products (Biocide Ordinance) allows pharmacists to produce and place on the market hand disinfectants.</t>
  </si>
  <si>
    <t>Sick leave by telephone for up to 14 days for patients with minor illnesses.</t>
  </si>
  <si>
    <t>On May 20, the government announced a new wage subsidy program for new hires, with the condition for a company of keeping a worker for at least nine months. On 15 October, the government announced a new wage subsidy scheme. With HUF 12.5 billion (0.03% of 2019 GDP), it will be smaller than its predecessor that covered up to 70% of wage costs of furloughed workers in spring. The new scheme aims to support employment of young adults under 25-years old. It will cover up to 50% of their wage costs, capped at HUF 100,000 (about EUR 270).</t>
  </si>
  <si>
    <t>Employment incentives grants. On 16 June the parliament approved grants to firms that rehire laid-off workers (around NIS 5.5 billion): NIS 7500 for businesses for each employee with a minimum monthly salary of NIS 3300 that they rehire from 1 June, payed in four monthly installments. The eligibility threshold for business grants was lowered from previously 40% to 25% decline in turnover during September and October (30 September)</t>
  </si>
  <si>
    <t>A scheme covering sectors strongly affected by the downturn in tourism was announced in October 2020.</t>
  </si>
  <si>
    <t>A package of support announced on 21 September included various new supports for hard-hit sectors such as culture, volunteering, sports, public transport, toursim, large events.</t>
  </si>
  <si>
    <t>Flexibility to contract exceptional medical and non-medical personnel to face the health crisis caused by COVID
- 19 (which could allow the hiring of up to 10000 people).</t>
  </si>
  <si>
    <t>In addition, the government launched a new program, Job Entry: Targeted Support (JETS), to help the job search of people receiving unemployment benefits for at least 13 weeks.</t>
  </si>
  <si>
    <t>This would be divided in two parts: £4bn of one-off “top-up grants” for an estimated 600,000 retail, hospitality, and leisure companies, which can each claim up to £9,000</t>
  </si>
  <si>
    <t>New £594m discretionary fund made available for councils to support other businesses that were not eligible for those grants but were affected by the restrictions.</t>
  </si>
  <si>
    <t>On November 4, the FC issued guidelines for government loans to support professional and semi-professional sport clubs.</t>
  </si>
  <si>
    <t>Reactivation simplified layoff</t>
  </si>
  <si>
    <t>Capital grants to partly cover fixed costs for most affected sectors (tourism, events, culture, entertainment)</t>
  </si>
  <si>
    <t>Flat-rate financial aid for most affected sectors until March 2021</t>
  </si>
  <si>
    <t>Lump-sum grants to partially compensate the minimum wage increase for affected sectors</t>
  </si>
  <si>
    <t>Grants to 460k SMEs and self-employed</t>
  </si>
  <si>
    <t>Further income support for families</t>
  </si>
  <si>
    <t xml:space="preserve">	Extension of social contribution exemptions for affected businesses</t>
  </si>
  <si>
    <t>Compensation to businesses and self-employed proportional to 2020 turnover loss</t>
  </si>
  <si>
    <t>Apprenticeship subsidies</t>
  </si>
  <si>
    <t>Production tax cuts for firms (impôts de production)</t>
  </si>
  <si>
    <t>Decarbonisation / digitalisation grants to firms (one-off project grants)</t>
  </si>
  <si>
    <t>Firm subsidies for green/digital investment (programme-style support)</t>
  </si>
  <si>
    <t>Apprenticeship / hiring bonuses (per-employee wage support)</t>
  </si>
  <si>
    <t>€200m for rapid increase in cross-border COVID-19 testing capacity and analysis. €750m to municipalities for hybrid testing/tracing strategy and basic public services</t>
  </si>
  <si>
    <t xml:space="preserve">	€200m to hospital districts for pandemic-related costs</t>
  </si>
  <si>
    <t>€350m capital funding for Finavia Corporation</t>
  </si>
  <si>
    <t xml:space="preserve">	Allocation of EU RRF funding (green/digital projects)</t>
  </si>
  <si>
    <t>€5m package (Dec 17) to support businesses in Ida-Viru county and culture, sports, education sectors</t>
  </si>
  <si>
    <t>Summer &amp; business package DKK 1.65 bn to boost tourism &amp; experience economy (May 19, 2021)</t>
  </si>
  <si>
    <t>Self-employed may be compensated for the expected revenue decline due to the COVID-19.</t>
  </si>
  <si>
    <t>Sick leave benefits for people with COVID-19 will be fully covered by the government.</t>
  </si>
  <si>
    <t>Firms affected by COVID-19 can reduce expected profits for 2020 for calculation of CIT advance payments.</t>
  </si>
  <si>
    <t>Compensation for fixed expenses, such as rent, interest expenses on debt and non-cancellable contractual expenses (e.g. leasing contracts) based on decline in turnover.</t>
  </si>
  <si>
    <t>Payment deadlines for companies that settle the payroll tax according to Method 4 are extended. For Q2 the deadline is extended to 1 September 2020 and for Q3 to 16 November 2020.</t>
  </si>
  <si>
    <t>DKK 70 billion in guarantees and liquidity measures.</t>
  </si>
  <si>
    <t>Deadline for filing tax returns will be extended until September 1, 2020 for: i) small enterprises, and private entrepreneurs; and ii) companies and other legal entities.</t>
  </si>
  <si>
    <t xml:space="preserve">SMEs which have made their VAT payment in March 2020 may receive the amount back as an interest-free loan. </t>
  </si>
  <si>
    <t>Deadline for filing tax returns will be extended until September 1, 2020 for employees receiving a tax return, and individuals receiving income from abroad.</t>
  </si>
  <si>
    <t>The government also announced to support the plan to recapitalize Scandinavian Airlines with up to DKK 6 billion.</t>
  </si>
  <si>
    <t>A temporary increase in the amount of credit balance allowed in the tax account has been enacted on 21 April 2020. This was previously raised from DKK 200k to DKK 10m, but it has now been proposed to allow for an unlimited credit balance.The temporary increase will be available in the period 7 May till 1 April 2021</t>
  </si>
  <si>
    <t>Certain SMEs registered for the special Danish payroll duty can apply for an interest free loan</t>
  </si>
  <si>
    <t>One-time check of DKK 1000 (EUR 135) to people on public transfers, including pensioners and students.</t>
  </si>
  <si>
    <t>A one-time bonus for small SMEs was also introduced (with a cost of 0.7 percent of GDP on May 27, 2021</t>
  </si>
  <si>
    <t>Additional Investestments into Infrastructure 11.Mai 2021</t>
  </si>
  <si>
    <t>Additional tax reduction for low and middle income households 11. Mai 2021</t>
  </si>
  <si>
    <t>A$7 bn. for vaccines</t>
  </si>
  <si>
    <t>The Commonwealth government will  help finance a series of fast-track infrastructure projects across States and Territories (A$3.9 billion) and the arts and screen industries to support job creation under the JobMaker program, 06.10 additional A$73 bn.</t>
  </si>
  <si>
    <t>First Case</t>
  </si>
  <si>
    <t>First Lockdown start</t>
  </si>
  <si>
    <t>First Lockdown end</t>
  </si>
  <si>
    <t>First Fiscal</t>
  </si>
  <si>
    <t>Home-Energy-Retrofits – Zuschuesse (Greener Homes Grants) build back better plan</t>
  </si>
  <si>
    <t>Canada Worker Lockdown Benefit: 4. Oktober 2021 bis 7. Mai 2022 build back better plan</t>
  </si>
  <si>
    <t>1 Milliarde CAD Safe Long-term Care Fund zum Schutz von Senioren in Pflegeheimen build back better plan</t>
  </si>
  <si>
    <t xml:space="preserve">Youth-Pakete (Canada Summer Jobs, YESS-Ausbau) </t>
  </si>
  <si>
    <t>Rapid Housing Initiative (1 Mrd.)</t>
  </si>
  <si>
    <t>Universal Broadband Fund – Top-up</t>
  </si>
  <si>
    <t>Duration</t>
  </si>
  <si>
    <t>Increased funding to train health workers</t>
  </si>
  <si>
    <t>Supplementary housing allowances to families with children</t>
  </si>
  <si>
    <t>Infrastructure investment</t>
  </si>
  <si>
    <t>Expansion of education, initiatives for green jobs and summer jobs for young people</t>
  </si>
  <si>
    <t>Temporary grants to businesses based on their loss of turnover to cover their fixed costs</t>
  </si>
  <si>
    <t>Extra support to regional public transport and aid to regional airports;</t>
  </si>
  <si>
    <t>Capital injections to SAS and state-owned enterprises (airport operator Swedavia and education and matching firm Lernia) and increases in appropriations to public aviation and maritime agencies</t>
  </si>
  <si>
    <t xml:space="preserve">Temporary compensation for people belonging to a risk group </t>
  </si>
  <si>
    <t>Introduction of short-term layoffs scheme. Employees can have reduced working hours and continue receiving 90% of their wage. This measure means that employers' wage costs can be reduced by one half. Also for sole trader</t>
  </si>
  <si>
    <t>Introduction of a new means-tested “minimum vital income” (about €3 billion annually)</t>
  </si>
  <si>
    <t>Subsidy for vehicle renewal under the MOVE II program (€100 million</t>
  </si>
  <si>
    <t>Additional fund to support industrial R&amp;D (€50 million).</t>
  </si>
  <si>
    <t xml:space="preserve">Deferral of social security debts for companies and the self-employed (€340 million); </t>
  </si>
  <si>
    <t xml:space="preserve">Credit lines, liquidity loans, and loan guarantees. </t>
  </si>
  <si>
    <t>Subsidies for shortened work time</t>
  </si>
  <si>
    <t>Vouchers for tourism</t>
  </si>
  <si>
    <t>Direct depreciation for explizit investments (recover phase)</t>
  </si>
  <si>
    <t>Subsidies to individuals without income (the “First Aid” program)</t>
  </si>
  <si>
    <t>Higher medical spending.</t>
  </si>
  <si>
    <t>For businesses subject to the mandatory closure: employees will receive 80% of their previous gross salary; employers in other sectors and self-employed are eligible for lump-sum allowances based on revenue drop. A monthly cap of EUR 200 000 is also considered. Depending on the Track (1-4)</t>
  </si>
  <si>
    <t>Rent Subsidy (up to 50%)</t>
  </si>
  <si>
    <t>PFR: Special loans of PLN 5,000 (about USD 1,200) for microenterprises and credit guarantees. Amount PN 100 Mrd.</t>
  </si>
  <si>
    <t>SSC exemption for NACE-Codes (Tarcza 6.0)</t>
  </si>
  <si>
    <t xml:space="preserve">Loans for infrastructure and + PLN 1 Mrd. for airport </t>
  </si>
  <si>
    <t>Employee rentention grant: Firms with maximum turnover of NIS 400 million and a turnover decline of at least 25% in can receive a one-time grant of NIS 5000 per eligible employee (30 September).</t>
  </si>
  <si>
    <t>Extension of the short-time work program</t>
  </si>
  <si>
    <t>Suspension of social security contribution for new hires.</t>
  </si>
  <si>
    <t>Extensions of the moratorium on SMEs’ debt repayment; Suspension of 6 months (until end of September) of loan repayment by SMEs.</t>
  </si>
  <si>
    <t>Provision of subordinated loans by the public financial institutions to affected firms</t>
  </si>
  <si>
    <t xml:space="preserve">Subsidies to affected firms for their rent payments. </t>
  </si>
  <si>
    <t>Financial support for companies</t>
  </si>
  <si>
    <t>Expansion of employment and social safety on 10 September, the government announced the fourth supplementary budget of KRW 7.8 trillion with targeted measures to revitalize people's livelihood and recover the economy. The government will finance the budget with issuing debt.
On the same day, the government also rolled out another KRW 4.6 trillion for quarantine and stimulus package within its discretion.
On 22 September, the National Assembly passed a KRW 7.8 trillion (0.4% of GDP) fourth extra budget.</t>
  </si>
  <si>
    <t>Spending for disease control</t>
  </si>
  <si>
    <t>Spending on digital and green industries.</t>
  </si>
  <si>
    <t>Revise the VAT exemption threshold up for simplified taxpayers</t>
  </si>
  <si>
    <t xml:space="preserve">Extend max 3 months period for report of CIT and preliminary report of VAT </t>
  </si>
  <si>
    <t>Grant a grace period for micro and small entrepreneurs with less than KRW 5 mil. deferred payment to delay payment until end of June</t>
  </si>
  <si>
    <t>Extend 15 days to apply employment subsidy</t>
  </si>
  <si>
    <t>Delay any scheduled tax investigation and put any investigation on hold</t>
  </si>
  <si>
    <t>A sectoral support package of €875 million covering the air and transport industry, health and education sectors as well as infrastructure projects</t>
  </si>
  <si>
    <t>Latvia received 1.067 billion in 2021-2024 from Next Generation EU for investements into the Infrastructure</t>
  </si>
  <si>
    <t xml:space="preserve">Cheap loans targeted to hard hit sectors like travel services and accommodation and services </t>
  </si>
  <si>
    <t>Job search allowances of 200 euros for those who have dropped out of the labor force (265 million euros)</t>
  </si>
  <si>
    <t>Increase in social benefits to pensioners and others (182 million euros)</t>
  </si>
  <si>
    <t>Increase in unemployment benefits of 42 euros per benefit</t>
  </si>
  <si>
    <t xml:space="preserve">The universal child benefit of 60 euros has been increased to 100 euros for a period of six months after the end of the national quarantine for families who lost income during the quarantine. </t>
  </si>
  <si>
    <t>65 Mio. for vaccines</t>
  </si>
  <si>
    <t>Lending to firms and workers in both formal and informal sectors</t>
  </si>
  <si>
    <t xml:space="preserve">Providing liquidity support by development banks (64.5 billion pesos). Specifically: The Ministry of Economy is granting loans with optional repayments to 1 million SMEs that maintain employees on payroll, self-employed and domestic workers (25 thousand pesos per loan), and another 1 million loans to family businesses previously registered in the Welfare Census (25 thousand pesos per loan). </t>
  </si>
  <si>
    <t>Additional resources are allocated to social spending related to infrastructure, security, education, and other areas (50 billion pesos).</t>
  </si>
  <si>
    <t>Personal loans at a low rate (3 billion pesos) and a deferral program of monthly payments (0.5 billion pesos) by the National Fund Institute for Workers’ Consumption (FONACOT</t>
  </si>
  <si>
    <t>School infrastructure upgrade (NZ$0.2 billion or 0.1 percent of GDP</t>
  </si>
  <si>
    <t>Income relief payment to support people who lost their jobs (NZ$3.1 billion or 1 percent of GDP): On 12 June, a non-mean tested Covid-19 Income Relief Payment (CIRP) was introduced, providing income support to individuals losing job or self-employment due to COVID-19 between 1 March and 30 October 2020.</t>
  </si>
  <si>
    <t>Coronavirus SME Guarantee → SME Recovery Loan Scheme (2021/22) – Fortsetzung/Neuauflage mit hoeherer Garantie (bis 80% in 2021; 50% in 2022).</t>
  </si>
  <si>
    <t>Aviation-Pakete – DANS/RANS zur Aufrechterhaltung des Linien- und Regionalverkehrs + Gebuehrennachlaesse; insgesamt &gt; A$5.3 Mrd fuer den Sektor. 
International Freight Assistance Mechanism (IFAM) – Foerdert Luftfracht fuer Exporte/Importe waehrend Grenzschliessungen</t>
  </si>
  <si>
    <t>Consumer Travel Support Program (Reisebuero/-veranstalter) – mehrere Runden bis 2022 (z. B. Round 3 A$75.5 Mio).</t>
  </si>
  <si>
    <t>Grants for businesses from public funds for dealing with the COVID-19 crisis will be tax-exempt.</t>
  </si>
  <si>
    <t>The government has spent around  EUR 10 million to support the care-taking system.</t>
  </si>
  <si>
    <t>16.12.2020 – Verlustersatz (Deckung fuer Verluste; spaeter Verlustersatz II fuer Juli–Dez 2021). 03.11.2020 – Lockdown-Umsatzersatz (spaeter Lockdown-Umsatzersatz II als Folgeregelung).</t>
  </si>
  <si>
    <t>Schutzschirm fuer Veranstaltungen (Absicherungen bei COVID-bedingter Absage/Einschraenkung; Schutzschirm II ab 07/2021).</t>
  </si>
  <si>
    <t>Okt 2020 – Befreiung der Dezember-Btw-Vorauszahlung (einmalig): Vorweganforderung fuer Dezember 2020 ausgesetzt; Zahlung erst im Jan 2021 faellig.</t>
  </si>
  <si>
    <t>Corona-Praemie (Kaufkraft-/Konsumgutschein): Bis 500 EUR pro Beschäftigte/n moeglich, Ausgabe 1.08.–31.12.2021, einloesbar bis 31.12.2022; Sonder-AG-Beitrag 16,5%, steuerfrei fuer Mitarbeitende.</t>
  </si>
  <si>
    <t xml:space="preserve">Horeca-Paket 2021: Neben der Btw-Senkung u. a. Befreiung des jaehrlichen Ferienbeitrags 2021 und RSZ-Ermaessigungen Q3/2021 bei Ruecknahme/Hire von Mitarbeitenden. </t>
  </si>
  <si>
    <t>Canada Recovery (Benefit/Sickness/Caregiver) – Nachfolger von CERB (CRB / CRSB / CRCB)</t>
  </si>
  <si>
    <t xml:space="preserve">	Direkte Miet-/Zins-Subvention mit Lockdown-Top-up (bis zu ~90 %) CERS + Lockdown Support</t>
  </si>
  <si>
    <t>Canada Recovery Hiring Program (CRHP) – Zuschuss bis 50 % auf zusaetzliche Lohnsumme, 06.06.–20.11.2021 (spiegelte CEWS-Perioden)</t>
  </si>
  <si>
    <t>THRP / HHBRP (+ Local Lockdown Program) (Tourism &amp; Hospitality Recovery Program) und HHBRP (Hardest-Hit Business Recovery Program) fuer Lohn/Miete,</t>
  </si>
  <si>
    <t>Canada Worker Lockdown Benefit (CWLB) – 300 $/Woche, 24.10.2021–07.05.2022, spaeter mehrfach kurzfristig ausgeweitet (z. B. bei 50 % Kapazitaetsbeschraenkungen). https://www.canada.ca/en/revenue-agency/services/benefits/worker-lockdown-benefit/cwlb-statistics.html?utm_source=chatgpt.com</t>
  </si>
  <si>
    <t xml:space="preserve">IFE 2021: IFE Covid (Jan–Maerz 2021), IFE Ampliado (Apr–Jun 2021) und IFE Universal (Jun–Nov 2021). Rechtsgrundlage via Decretos Exentos; IFE Universal startete ab Juni 2021. </t>
  </si>
  <si>
    <t>Prestamo Solidario 2021 (kreditartiger Zuschuss, spaeter rueckzuzahlen)</t>
  </si>
  <si>
    <t>Bono Clase Media 2021 (bis zu CLP 500’000, einmalig) https://www.bcn.cl/leychile/navegar?idNorma=1157843&amp;utm_source=chatgpt.com</t>
  </si>
  <si>
    <t>Subsidio al Nuevo Empleo (Foerderung neuer Anstellungen; Start Mai 2021). 
sence.gob.cl and IFE Laboral (Einstellungsbonus fuer neue Vertraege ab 1.8.2021; Postulation ab Sept 2021).</t>
  </si>
  <si>
    <t>Dez 31, 2020 – Ley 2068 (Neue Tourismus-Steuermassnahmen):
Exemption des IVA fuer Hotel-/Tourismusleistungen bis 31.12.2021 (neu eingefuehrt Ende 2020) und Senkung des IVA auf Flugtickets auf 5 % (geltend bis 31.12.2022). Ziel: Reaktivierung von Tourismus/Beherbergung</t>
  </si>
  <si>
    <t>Mai 2021 – Decreto 688/2021 (Jugend-Einstellungszuschuss “Sacudete”):
Neuer Einstellungsbonus fuer Arbeitgeber, die 18–28-Jaehrige neu beschaeftigen (separat vom spaeteren allgemeinen Programm).</t>
  </si>
  <si>
    <t xml:space="preserve">Incentivo a la Generacion de Nuevos Empleos (Art. 24):
Staatlicher Zuschuss pro zusätzlicher Neueinstellung: 25 % SMLMV fuer 18–28, 15 % fuer Frauen &gt; 28, 10 % fuer Maenner &gt; 28 (bis 3 SMLMV). Regelung durch Decreto 1399 (29.10.2021). 
HK Law
Apoyo a Empresas Afectadas por el Paro Nacional (Art. 26):
Neues Programm: Zuschuss = 20 % SMLMV je beschaeftigte Person zur Begleichung von Mai/Juni 2021-Lohnkosten; Kriterien/Methodik in Resolucion 2474 (15.10.2021) festgelegt. </t>
  </si>
  <si>
    <t>Dez 2021 beschlossen / in Kraft Jan 2022 – Ley 10106: Fondo Nacional de Avales
Neuer nationaler Kreditgarantiefonds fuer von COVID betroffene Unternehmen (Garantien bis ca. 75% des Kredit-Hauptbetrags; USD 270 Mio. bereitgestellt).</t>
  </si>
  <si>
    <t>Feb 2021 – Regierungspaket „20 medidas“ zur Reaktivierung des Tourismussektors
Paket kurzfristiger Entlastungen/Finanzierungs- und Kostenmassnahmen (z. B. erleichterter Zugang zu Krediten, Unterstuetzung fuer PYMEs/Transporteure, Kostensenkungen bei Inputs). Neu angekuendigt im Feb 2021</t>
  </si>
  <si>
    <t>Apr 2021 (in Kraft Dez 2021) – Ley 9957: Ley Concursal de Costa Rica
Neuer Insolvenz-/Sanierungsrahmen zur Unternehmensfortfuehrung und Reaktivierung (pandemiebedingt vorangetrieben; kein simples Update bestehender Massnahmen)</t>
  </si>
  <si>
    <t>COVID – Gastro – Uzavrene provozovny (Unterstuetzung fuer geschlossenes Gastgewerbe; Jan–Maerz 2021). Direkte Zuschuesse je Betrieb; eigene Programmlinie.</t>
  </si>
  <si>
    <t xml:space="preserve">Culture program, with a second grant call with the allocation of CZK 750 million. The support can be drawn for events and expenditures from March to November 20, 2020, whereby organizers can claim up to half of the eligible expenditure for cancelled cultural events and up to 80 percent of eligible expenditures for continuous operations (with upper limit per institution of CZK 10 million crowns or for a self-employed person of CZK 60,000).
</t>
  </si>
  <si>
    <t>Mink-Sektor: Vollstaendige Entschaedigung (25.01.2021): Breite politische Aftale ueber 11–12 Mrd. DKK direkte Entschaedigung plus Mittel fuer Folgeerwerbe/Niederlegung; spaeter von der EU als Beihilfe genehmigt</t>
  </si>
  <si>
    <t>18.12.2021 – „Ekstra hjælp“-Paket (Omikron): freiwillige Schliessung mit bis zu 90% Fixkostendeckung, Antragsstart ab Restriktionstag, neue „December-Pulje“ fuer saisonale Kosten und leicht verderbliche Waren</t>
  </si>
  <si>
    <t>The rate of penalty were reduced from 0.06% to 0.03%;</t>
  </si>
  <si>
    <t>There was no penalty for the tax debt from March to May;</t>
  </si>
  <si>
    <t>Remuneration-Kompensation (Harju &amp; Ida-Viru) fuer 28.12.2020–31.01.2021: 1.5 Monatsloehne fuer Firmen, 1.5× Mindestlohn fuer Selbststaendige</t>
  </si>
  <si>
    <t>Wage compensation Maerz–Mai 2021 (Tootukassa): 60% des Durchschnittslohns bis EUR 1’000; Arbeitgeber min. EUR 200</t>
  </si>
  <si>
    <t>Staatliche Zuschuesse fuer Tourismus (EUR 9.9 Mio) – Beihilfe genehmigt 25.03.2021</t>
  </si>
  <si>
    <t>Zuschussregel fuer Tourismus &amp; Detailhandel (EUR 44 Mio) – Beihilfe genehmigt 12.05.2021</t>
  </si>
  <si>
    <t>Unterstuetzung fuer Unternehmen im Zusammenhang mit Einschraenkungen (EAS/KredEx 2021 – breite Zuschussregel)</t>
  </si>
  <si>
    <t>Kompensation fuer geschlossene Ladenlokale (Marschliessung 2021) – Antrag ueber EAS</t>
  </si>
  <si>
    <t>EIB COVID-Top-up fuer Gesundheitswesen (EUR 120 Mio) – Tests, Impfkapazitaet, Ausstattung</t>
  </si>
  <si>
    <t xml:space="preserve">The interest rate for VAT, customs duties, special consumption taxes and incentive taxes will be reduced to 0.0 percent between March 21, 2020 and December 31, 2020. </t>
  </si>
  <si>
    <t>Provide additional financing help to public transport and rail freight companies;</t>
  </si>
  <si>
    <t>Paying the minimum wage for 25 hours per week for six months for young workers at risk of long-term unemployment</t>
  </si>
  <si>
    <t>Increased resources to enhance skills and facilitate reinsertion in the job market</t>
  </si>
  <si>
    <t xml:space="preserve">Increased public spending on infrastructure (including on green projects such as retrofitting houses to improve energy efficiency); </t>
  </si>
  <si>
    <t>A freeze in alcohol and fuel duty (£1.1bn)</t>
  </si>
  <si>
    <t>Suspension of aviation charges</t>
  </si>
  <si>
    <t>Strengthening of critical sectors such as healthcare; Revised National Budget (12 May) announced increased funding for hospitals.</t>
  </si>
  <si>
    <t>The reinstatement of a government fund that buys bonds issued by Norwegian companies</t>
  </si>
  <si>
    <t>Scheme for re-insurance of private credit insurance providers</t>
  </si>
  <si>
    <t>A subsidy for businesses to take back temporarily laid-off workers</t>
  </si>
  <si>
    <t>A green transition package</t>
  </si>
  <si>
    <t>Expanding support for the construction and transportation sectors through compensations</t>
  </si>
  <si>
    <t xml:space="preserve">Transfers to highly impacted localities </t>
  </si>
  <si>
    <t>Expanded funding for education and training</t>
  </si>
  <si>
    <t xml:space="preserve">Tourism recovery package (NZ$0.4 billion or 0.1 percent of GDP); </t>
  </si>
  <si>
    <t>Government housing program (NZ$0.7 billion or 0.2 percent of GDP);</t>
  </si>
  <si>
    <t>Additional benefits for welfare recipients; (food vouchers)</t>
  </si>
  <si>
    <t>Zero rate to domestic sales of mouth masks from 25 May 2020 to 1 September 2020</t>
  </si>
  <si>
    <t>Flat-rate aid to support the non-food retail stores and personal care providers (less than 250 employees);</t>
  </si>
  <si>
    <t>Financial incentives to support national tourism;</t>
  </si>
  <si>
    <t>Extending leave for family reasons to take care of adults with disabilities and elderly</t>
  </si>
  <si>
    <t>Increasing the cost-of-living allowance for low-income households</t>
  </si>
  <si>
    <t xml:space="preserve">Fiscal incentives to support private investment and green recovery (including aid for development and energy efficiency projects).  </t>
  </si>
  <si>
    <t>Providing support for unemployed people of advanced age</t>
  </si>
  <si>
    <t xml:space="preserve">Incentives for businesses to further educate young workers, and making professional training programs more accessible to young workers. </t>
  </si>
  <si>
    <t xml:space="preserve">Expenditure measures supporting idle workers and social benefits amounting to €196 million. </t>
  </si>
  <si>
    <t>Grants for SMEs</t>
  </si>
  <si>
    <t>Further income support for families (€14.5 billion)</t>
  </si>
  <si>
    <t xml:space="preserve">Subsidies to households with delinquent loans tied to their primary residency </t>
  </si>
  <si>
    <t>Liquidity support to hard hit businesses through refundable advance payment an d  rent reductions</t>
  </si>
  <si>
    <t>2 November, new emergency and low interest loans for small businesses affected by more stringent containment measures</t>
  </si>
  <si>
    <t>Temporarily expanded duration of unemployment insurance and parental leave benefits.</t>
  </si>
  <si>
    <t>Temporary VAT reduction. Reduction of the standard VAT rate, from 19 percent to 16 percent, from July 1 through the end of the year. The lower VAT rate of 7 percent, which applies to items like food, medicine, and newspapers, would be cut to 5 percent.</t>
  </si>
  <si>
    <t>Income support for families; One off per-child bonus of EUR 300</t>
  </si>
  <si>
    <t>Grants for hard-hit SME’s</t>
  </si>
  <si>
    <t>Financial support for local governments</t>
  </si>
  <si>
    <t>Expanded credit guarantees for exporters and export-financing banks</t>
  </si>
  <si>
    <t>Subsidies/investment in green energy and digitalization</t>
  </si>
  <si>
    <t>Taxpayers expect to suffer losses due to the COVID-19-pandemic in 2020, which may be carried back to 2019, may apply not only for a reduction of income or corporation tax prepayments for 2020 (to 0 EUR) but also for a retrospectively reduction of income or corporation tax prepayments made for 2019 based on a lump-sum (15% of the tax base for the prepayments in 2019) loss carry back.Tax options for offsetting losses against the previous year’s profits will be expanded. Loss carrybacks will be increased to a maximum of €5 million (or €10 million in the case of joint assessments) for 2020 and 2021. In addition, it will be possible to apply loss carrybacks to 2019 tax returns.</t>
  </si>
  <si>
    <t xml:space="preserve">Additional extension of the deadline for filing tax returns </t>
  </si>
  <si>
    <t>The deductibility of donations and activities of charitable organisations in the time period between 1 March and 31 December 2020</t>
  </si>
  <si>
    <t>Reduce the VAT rate on meals (but not drinks) provided in restaurants and through other catering services to 7 p.c. for services provided after 30 June 2020 and before 1 July 2021</t>
  </si>
  <si>
    <t>Taxpayers who can be shown to be directly and significantly affected by the impact of the coronavirus may apply for a reduction of the special VAT prepayments which have to be made to obtain a permanent extension of the filing deadline for the preliminary monthly VAT returns.</t>
  </si>
  <si>
    <t>Incentives to purchase greener vehicles and green investment support for the auto and aerospace sectors</t>
  </si>
  <si>
    <t>Increased public investment (€1 billion)</t>
  </si>
  <si>
    <t>Adjusted VAT payment arrangements (€750 million)</t>
  </si>
  <si>
    <t>Guarantees for the Employment Fund (€880 million), SURE (€432 million), and the EIB (€372 million).</t>
  </si>
  <si>
    <t>An additional €1.2 billion in support to households and businesses</t>
  </si>
  <si>
    <t>Jahr implementiert</t>
  </si>
  <si>
    <t>Schliessungsentschaedigung (Closure compensation) – neu ab April 2021 fuer Unternehmen, deren Raeume per Gesetz/Behoerde geschlossen wurden; zusaetzlich Runde fuer 21.12.2021–28.02.2022. https://www.valtiokonttori.fi/en/services/services-related-to-compensation-and-accidents/closure-compensation/?utm_source=chatgpt.com#general-information_what-is-it-about</t>
  </si>
  <si>
    <t xml:space="preserve">Tapahtumatakuu / Event Guarantee (2021) – staatliche Ereignisgarantie fuer Veranstaltungen (mind. 200 Teilnehmende), fuer Events Jun–Nov 2021; reduziert das Finanzrisiko und ersetzt Kosten bei Absage/Begrenzung. </t>
  </si>
  <si>
    <t>Kultur/Sport- und Jugendpakete 2021 – zusaetzliche Mittel (u. a. EUR 111 Mio. fuer Kinder/Jugend) sowie gezielte Zuschuesse an Kultur-/Eventakteure; separate Foerderaufrufe 2021.</t>
  </si>
  <si>
    <t>Unterstuetzung fuer Schifffahrt und oeffentlichen Verkehr 2021/2022 – Extra-Appropriationen fuer Fracht-/Passagierschifffahrt (z. B. EUR 23,2 Mio. im Feb 2021) sowie weitere Mittel fuer den oeV (u. a. +EUR 48 Mio. in 2022)</t>
  </si>
  <si>
    <t>On 6 May, the government announced a support scheme for restaurants and cafés that compensates up to 15% of decrease in sales and provides a subsidy of EUR 1 000 per re-hiring of each laid off employee.</t>
  </si>
  <si>
    <t>Aide « couts fixes » (Fixkostenhilfe) – neu per Decret 2021-310 (24.03.2021); spaeter erweitert/abgewandelt: « saisonnalite », « nouvelle entreprise », « rebond », « consolidation » (u. a. Decrete 16.07.2021, 03.11.2021, 16.12.2021 https://www.legifrance.gouv.fr/loda/id/JORFTEXT000043285825/</t>
  </si>
  <si>
    <t>Steuergutschrift fuer Mieterlasse (Credit d’impot abandon de loyers) – neu mit Loi de finances 2021, fuer erlassene November-2020-Mieten (50% des erlassenen Betrags; Modalitaeten in BOFiP).</t>
  </si>
  <si>
    <t>Aide « stocks invendus » – spezifische Hilfe fuer unverkaeufliche Bestaende im Bekleidungs-/Schuhhandel (Decret 2021-594, 14.05.2021).</t>
  </si>
  <si>
    <t>Cheque France Num (500 €) – Zuschuss fuer Digitalisierung von TPE (Ausgaben 30.10.2020–30.06.2021, Antraege bis 31.07.2021).</t>
  </si>
  <si>
    <t>Uebernahme von bis zu 10 Tagen bezahlter Ferien fuer zwangsweise geschlossene Betriebe (Decret 2020-1787, ergaenzt durch 2021-44).</t>
  </si>
  <si>
    <t xml:space="preserve">Exoneration/Aide au paiement der Sozialbeitraege 2021 – neue Runden/Modalitaeten (u. a. 15%-Aide fuer Mai–Juli 2021; spaeter fuer Dez 2021–Feb 2022 erneut aktiviert). </t>
  </si>
  <si>
    <t>Fonds de solidarite (neue End-2021-Runden) – u. a. Aide « nouvelle entreprise novembre » sowie Anpassungen fuer Nov/Dez 2021.  Aide « renfort » (Dez 2021–Jan 2022) – Extra-Hilfe fuer verboten geschlossene Betriebe (v. a. Diskos/Bars dansants), neben erhoehten couts-fixes-Hilfen.</t>
  </si>
  <si>
    <t>Registered sole proprietors do not have to pay their quarterly social security contributions for the second quarter of 2020.  Frankreich gab es Stundungen und zielgerichtete Beitrags-Erlasse/Aide au paiement fuer betroffene Sektoren (S1/S1bis), aber keinen generellen Q2-Erlass fuer alle Einzelunternehmer</t>
  </si>
  <si>
    <t>EUR 1 billion solidarity fund for affected businesses. As part of this, a transfer of Euro 1,500 will be provided to the self-employed and other SMEs. Wurde aufgestockt auf bis zu 8 bn.</t>
  </si>
  <si>
    <t>Government guarantees of around EUR 460 bn. Simplified and broadened access to existing loans provided by the German Development Bank (KfW)</t>
  </si>
  <si>
    <t xml:space="preserve">Firms will be able to apply for immediate loans through the KfW with 100% government guarantee worth up to 25% of 2019 revenue, capped at EUR 500 000 and EUR 800 000 for firms. KfW-Schnellkredit-Deckel: korrekt sind 300k (≤10 MA), 500k (11–50 MA), 800k (&gt;50 MA); per Nov 2020 auch fuer Kleinstunternehmen geoeffnet. </t>
  </si>
  <si>
    <t>Ueberbrueckungshilfe II (Fixkosten­zuschuss Sep–Dez 2020. https://www.dehoga-bundesverband.de/fileadmin/Startseite/09_DEHOGA_compact/Anlagen_2020/UEberbrueckungshilfe_II_Kurzueberblick.pdf?utm_source=chatgpt.com</t>
  </si>
  <si>
    <t>November-/Dezemberhilfe (Umsatzersatz bis 75% fuer vom Lockdown betroffene Unternehmen).</t>
  </si>
  <si>
    <t>Ueberbrueckungshilfe III (Jan–Jun 2021) und III Plus (Jul–Dez 2021).</t>
  </si>
  <si>
    <t>Ueberbrueckungshilfe IV (Jan–Jun 2022).</t>
  </si>
  <si>
    <t xml:space="preserve">Neustarthilfe fuer Solo-Selbststaendige (Jan–Jun 2021, bis 7’500 EUR) sowie Neustarthilfe Plus (Jul–Dez 2021, bis 9’000 EUR) und Neustarthilfe 2022 (Jan–Jun 2022). </t>
  </si>
  <si>
    <t xml:space="preserve">Sonderfonds Kulturveranstaltungen (Wirtschaftlichkeits­hilfe ab 01.07.2021, Ausfallabsicherung ab 01.09.2021). </t>
  </si>
  <si>
    <t xml:space="preserve">Home-Office-Pauschale (5 EUR/Tag, max. 600 EUR fuer 2020–2022). </t>
  </si>
  <si>
    <t>Refundable Advance (Epistreptea Prokatavoli) – weitere Runden 4–7 (Okt 2020–Mai 2021): Betriebsmittelhilfe über die AADE-Plattform myBusinessSupport, teilweise nichtrückzahlbar (i. d. R. 50 %), mit Beschäftigungsauflagen; wiederholte Fristverlängerungen (z. B. Runde 5/Januar 2021 und Runde 7/April–Mai 2021). Später wurden die Rückzahlungsbedingungen erleichtert (mehr Raten, Längerfrist, Skonto bei Einmalzahlung).</t>
  </si>
  <si>
    <t>Mietregelungen/-entlastungen 2021:
– 100 % Mietbefreiung für behördlich geschlossene Betriebe (Jan–März 2021; in einzelnen Monaten auch danach für bestimmte Kataloge).
– 40 % Mietreduktion für betroffene Sektoren in weiteren Monaten 2021.
– Staatliche Kompensation für Vermieter (typisch 60–80 % des vereinbarten Mietzinses, z. B. für Jan/Feb 2021).</t>
  </si>
  <si>
    <t>BRIDGE I (Gefyra I) – Hypothekendarlehen Hauptwohnsitz: 9-monatiger Zuschuss zu Raten (bis 90 % pro Rate; Obergrenze pro Rate), später um weitere 3 Monate verlängert (insgesamt 12 Monate).</t>
  </si>
  <si>
    <t>BRIDGE II (Gefyra II) – Unternehmensdarlehen: Zuschuss zu Darlehensraten von Unternehmen/Selbstständigen für 8 Monate; bis 90 % für „grüne“ (performing) Kredite und bis 80 % für notleidende Kredite; Rechtsgrundlage Gesetz 4790/2021.</t>
  </si>
  <si>
    <t>Deckung fixer Kosten (Kalypsi Pagion Dapanon) – 2021: Zuschuss in Form anrechenbarer Gutschriften für nicht gedeckte Fixkosten 1.3.2020–30.6.2021; einsetzbar bis Jahresende 2021 zur Begleichung laufender Steuer- und Sozialbeitrags-schulden.</t>
  </si>
  <si>
    <t xml:space="preserve">„100 000 neue Jobs“ (ab Okt 2020; später Ausbau auf 150 000): Der Staat übernimmt vollständig Arbeitgeber- und Arbeitnehmer-Sozialbeiträge für 6 Monate für neueinstellungen; zusätzlich 2021 1 200 € Ersteinstellungsbonus für junge Leute. </t>
  </si>
  <si>
    <t>Steuer- und Abgabenpolitik 2021/22 (COVID-Kontext):
– Solidaritätsabgabe für Privatsektor ausgesetzt (2021, verlängert in 2022).
– Senkung der Sozialversicherungsbeiträge für den Privatsektor um 3 Prozentpunkte (2021, verlängert in 2022).
– Reduktion der Vorauszahlung der Körperschaftsteuer (2020: 70 %, 2021: 80 %).
– Später strukturelle Anpassungen (z. B. KöSt-Satzkürzung) als Teil der Erholungsagenda.</t>
  </si>
  <si>
    <t xml:space="preserve">Zusätzliche, sektorspezifische Hilfen (State-aid-Freigaben 2021): z. B. 30 Mio. € für besonders betroffene Bau-/Konstruktionstätigkeiten (Garantien &amp; direkte Zuschuesse). </t>
  </si>
  <si>
    <t>Economic support voucher of 600 euros for six scientific sectors (economists/accountants, engineers, lawyers, doctors, teachers and researchers).</t>
  </si>
  <si>
    <t>Support for short-term employment trough Syn-Ergasia-Mechanismus (Kurzarbeit)</t>
  </si>
  <si>
    <t xml:space="preserve"> Tax debts arisen before March 1 shall be payable after the state of emergency ends. Enforcement measures arising from tax arrears have been suspended.</t>
  </si>
  <si>
    <t>Halbierung der lokalen Unternehmenssteuer (HIPA) 2021 für KMU/Solo-Selbständige (Umsatz ≤ HUF 4 Mrd); de-facto Deckel 1 %. Staatlicher Ausgleich für kleine Gemeinden. https://wtsklient.hu/en/2021/01/14/business-tax/</t>
  </si>
  <si>
    <t>Mietbefreiung für staatliche/kommunale Gewerbeflächen (5 Monate, 10.02.–10.06.2021) für definierte, geschlossene Sektoren (Regierungs-VO 52/2021)</t>
  </si>
  <si>
    <t>Lohn- &amp; Abgabenentlastung für geschlossene Sektoren ab Nov 2020 (Gastro, Freizeit u. a.): 30 Tage Befreiung von Arbeitgeber-Sozialbeiträgen; Verlängerungen Anfang 2021.</t>
  </si>
  <si>
    <t>Kredit-/Tilgungsmoratorium: mehrfache Verlängerung – zunächst bis 31.10.2021 (breit), danach bis 30.06.2022 für definierte vulnerable Gruppen (Haushalte &amp; Firmen, opt-in).</t>
  </si>
  <si>
    <t>Széchenyi-Karte „GO!“ (zinskostensubventionierte KMU-Kredite) – Verlängerung bis 30.06.2022; breit einsetzbar (Betriebsmittel, Investitionen).</t>
  </si>
  <si>
    <t>„Neustart“-/Invest-Förderlinien 2021 (teils als nicht rückzahlbare Zuschuesse, teils als Zins-/Gebührenzuschuss) für Mikro/KMU – inkl. Digitalisierung/Technologie (Budget ca. HUF 200 Mrd; Einzelförderung HUF 10–630 Mio möglich).</t>
  </si>
  <si>
    <t>Zinszuschuss für bestehende Unternehmenskredite (Q1 2021): Staat trägt Zinsen für KMU in Q1/2021 (ERDF-Kofinanzierung).</t>
  </si>
  <si>
    <t xml:space="preserve">Schliessungs-Zuschuss (Closure grants) – offizielle Regelung ab 6. Nov 2020; kompensiert Einkommenseinbussen bei behördlich angeordneten Schliessungen; Antraege bis 30. Juni 2021 moeglich. (Deckt sich inhaltlich mit deinem Punkt zu „closure subsidies“, hier die formale Einfuehrung/Details. </t>
  </si>
  <si>
    <t>Einnahmeausfall-Zuschuss (Tekjufallsstyrkur) – direkte Zuschuesse an Unternehmen &amp; Selbststaendige mit pandemiebedingten Umsatzeinbruechen; von der EFTA-Ueberwachungsbehoerde im Dez 2020 genehmigt. https://www.eftasurv.int/newsroom/updates/covid-19-pandemic-esa-approves-icelandic-grant-scheme-businesses?utm_source=chatgpt.com</t>
  </si>
  <si>
    <t>„Resilience grants“ (Viðspyrnustyrkur, 2021) – Aufbaufonds-Zuschuesse in der Erholungsphase 2021 (eigene Programmlinie neben Tekjufallsstyrkur/Closure grants).</t>
  </si>
  <si>
    <t>Gesamt-„Relief grants“ Rahmen (Skatturinn) – gebuendelte Foerderarchitektur (inkl. Hoechstgrenzen pro Unternehmensverbund; z. B. bis zu ISK 120 Mio kombiniert mit Reise-Gutschein-Gesetz).</t>
  </si>
  <si>
    <t>COVID Restrictions Support Scheme (CRSS) – Eingefuehrt mit Budget 2021 (Nov. 2020). Zahlung als Advance Credit for Trading Expenses (ACTE): 10% des durchschn. Wochenumsatzes 2019 bis 20 000 EUR und 5% darueber (Deckel 5 000 EUR/Woche). Restart-Week bei Wiedereroeffnung ab Mai 2021 (zusaetzliche Woche, spaeter „Enhanced Restart Week“ bis 10 000 EUR/Woche, max. 30 000 EUR).</t>
  </si>
  <si>
    <t>Mehrwertsteuer in Hospitality/Tourismus auf 9% – Wiedereinfuehrung ab 1. Nov. 2020 (zunaechst bis 31. Dez. 2021), spaeter mehrfach verlaengert.</t>
  </si>
  <si>
    <t>Employment Wage Subsidy Scheme (EWSS) – Nachfolger des TWSS seit 1. Sept. 2020. Pauschaler Zuschuss pro Arbeitnehmer; zusaetzlich reduzierter Arbeitgeber-PRSI von 0,5% auf gefoerderte Loehne (bis 28. Feb. 2022). Das EWSS wurde mehrfach verlaengert und in abgestufter Form bis 30. Apr. 2022 fortgefuehrt. https://www.citizensinformation.ie/en/employment/unemployment-and-redundancy/employment-wage-subsidy-scheme/?utm_source=chatgpt.com</t>
  </si>
  <si>
    <t xml:space="preserve">Gewerbesteuer-/Kommunalabgaben-Waiver (Commercial Rates Waiver) – Der allgemeine Waiver 2020 wurde Q4/2020 fortgesetzt und 2021/22 mehrfach zielgerichtet verlaengert (Q1/2021, Q2/2021, Q3/2021, Q4/2021 sowie Q1/2022). </t>
  </si>
  <si>
    <t>Debt Warehousing Scheme – Ausweitung &amp; Verlaengerung
Juni 2021: Ausweitung auf TWSS/EWSS-Ueberzahlungen; Parken der Steuerverbindlichkeiten bis 31. Dez. 2021 bei 0% Zins.
Jan. 2022: weitere Verlaengerung der „Warehouse-Periode 1“ bis 30. Apr. 2022 fuer betroffene Betriebe; Periode 2 (0% Zins) bis Ende 2022 (bzw. 30. Apr. 2023 fuer die Verlaengerten); ab 2023 3% Zins.</t>
  </si>
  <si>
    <t xml:space="preserve">Small Business Assistance Scheme for COVID (SBASC) – 2021 eingefuehrt (Q1/Q2), fuer Betriebe mit &gt;= 75% Umsatzrueckgang, die nicht fuer CRSS in Frage kamen; spaeter auch fuer nicht-veranlagte Standorte (Home-/Yard-Business). </t>
  </si>
  <si>
    <t xml:space="preserve">Business Resumption Support Scheme (BRSS) – einmalige ACTE-Zahlung fuer Betriebe mit &gt;= 75% Umsatzrueckgang nach Aufhebung der Beschraenkungen; Antraege Sep.–Nov. 2021. 
revenue.ie
+1
</t>
  </si>
  <si>
    <t>Outdoor Dining Enhancement Scheme (Fáilte Ireland) – Maerz 2021 gestartet (ca. 17 Mio. EUR): Zuschuesse (typisch bis ~4 000 EUR) fuer Aussen-Sitzplaetze, Heizer, Windschutz usw.; zzgl. kommunale Infrastruktur-Schiene „Weatherproofing“.</t>
  </si>
  <si>
    <t>Kultur/Entertainment-Hilfen 2021
Live Performance Support Scheme (LPSS) 2021, spaeter Strand II (Pantomime) und Phase 3 (Dez. 2021).
Music and Entertainment Business Assistance Scheme (MEBAS) fuer Solo-/Kleinstunternehmen der Musik- und Entertainmentbranche (2021, Phase 2 bis Sept. 2021).</t>
  </si>
  <si>
    <t>Stay &amp; Spend Tax Credit – Laufzeit: Bestaetigung, dass Ausgaben 01.01.–30.04.2021 noch geltend gemacht werden koennen (Credit urspruenglich 10/2020–04/2021).</t>
  </si>
  <si>
    <t xml:space="preserve">PUP (Pandemic Unemployment Payment) – Anpassungen 2021/22: Staffelung auf 4 Saetze und schrittweise Absenkung ab Sept. 2021 bis Ueberfuehrung auf Jobseeker-Regime Anfang 2022. </t>
  </si>
  <si>
    <t>COVID-19 Credit Guarantee Scheme – Verlaengerung: Offen fuer neue Antraege bis Ende 2021 (vorher 30. Juni 2021).</t>
  </si>
  <si>
    <t>Zuschuss für Fixkosten („fixed expenses grant“) – weitere Perioden 2020/21
Die Fixkostenzuschuesse wurden über Sept. 2020 hinaus für weitere Zweimonats-Perioden fortgeführt (u. a. Nov–Dez 2020, Jan–Feb 2021, Maerz–April 2021) und nochmals Mai–Juni 2021; Fristen wurden mehrfach verlaengert. https://www.gov.il/en/service/corona-grant-for-buisnesses-3?utm_source=chatgpt.com</t>
  </si>
  <si>
    <t>Zusatz-Zuschuss bei anhaltendem Umsatzeinbruch (2021)
Extra-Grant für Selbststaendige und Firmen mit dauerhaftem Schaden am Umsatz (Schwellen und Betraege abgestuft; z. B. 5’000 NIS/9’000 NIS je nach Rueckgang).</t>
  </si>
  <si>
    <t>Einmalige Hilfen im Lockdown Jan. 2021 („Wiedereroeffnung/Restart“)
Paket mit Zuschuss bis zu 30’000 NIS für Unternehmen mit ≥ 25 % Umsatzeinbruch; 8’000 NIS für 2020 neu gegruendete Betriebe.</t>
  </si>
  <si>
    <t>Kleinunternehmer-Kostenhilfe (bis 300’000 NIS Umsatz) – weitere Runden
Fortgesetzte Ausgaben-Zuschuesse für sehr kleine Betriebe/Solo-Selbststaendige auch 2021.</t>
  </si>
  <si>
    <t>Service-/Portal-Erweiterungen der Steuerverwaltung für Corona-Hilfen
Zentrale Landing-Pages, Rechner/Simulatoren und wiederholte Fristverlaengerungen (z. B. für Antraege Mai–Juni 2021).</t>
  </si>
  <si>
    <t>Neue nicht rueckzahlbare Zuschuesse (contributi a fondo perduto) fuer betroffene Branchen, teils automatisch und bis 400 % des Betrags aus dem Fruehjahr; Kredit fuer Geschaeftsmieten reaktiviert; zweite IMU-Rate Dez. 2020 gestrichen fuer Tourismus/Gastro/Events. https://www.mimit.gov.it/it/notizie-stampa/pubblicato-in-gazzetta-il-decreto-ristori?utm_source=chatgpt.com</t>
  </si>
  <si>
    <t xml:space="preserve">Sozialbeitrags-Erlass Nov. 2020 fuer private Arbeitgeber bestimmter Sektoren. </t>
  </si>
  <si>
    <t>Steuer-/Abgabenaufschuebe Nov./Dez. 2020 (u. a. IVA, Quellensteuern, Beitraege) fuer von den Einschraenkungen betroffene Steuerpflichtige.</t>
  </si>
  <si>
    <t xml:space="preserve">„Rottamazione“- und Ratenfristen verlaengert (Ristori-quater). </t>
  </si>
  <si>
    <t>Kreditmoratorien fuer KMU aus dem „Cura Italia“ wurden 2021 weiter verlaengert (auf Antrag bis 31.12.2021).</t>
  </si>
  <si>
    <t>Fondo di Garanzia PMI (staatliche Garantien) mehrfach verstaerkt und bis 30.06.2022 verlaengert.</t>
  </si>
  <si>
    <t xml:space="preserve">Der 30 %-Erlass der Arbeitgeber-Sozialbeitraege im Sueden (ab Okt. 2020 mit DL Agosto gestartet) wurde gesetzlich bis 2025 (danach staffelnd) fortgeschrieben. </t>
  </si>
  <si>
    <t>Neue, ATECO-freie Zuschuesse (contributi a fondo perduto) fuer Unternehmen/Selbststaendige mit Umsatzeinbruch; Antrag 30.03.–28.05.2021.</t>
  </si>
  <si>
    <t xml:space="preserve">Weitere Kurzarbeits-Wochen (CIG) und Verlaengerung Kuendigungsschutz; CIGO 13 Wochen (bis 30.06.2021), CIGD/ASO/FIS 28 Wochen (bis 31.12.2021). </t>
  </si>
  <si>
    <t>Branchenfonds u. a. fuer Berggebiete/Tourismus.</t>
  </si>
  <si>
    <t>Zusaetzliche Zuschuesse: automatisch (gleich hoch wie Sostegni I), „alternativ“ (umsatzbasiert) und „perequativo“ (gewinnbasiert).</t>
  </si>
  <si>
    <t xml:space="preserve">Gewerbemieten-Steuergutschrift (credito d’imposta canoni) bis Juli 2021 verlaengert/erweitert; Antrags-/Verfahrensregeln. </t>
  </si>
  <si>
    <t>Steuergutschrift Sanifizierung &amp; Schutzmittel: 30 % der Kosten Juni–Aug. 2021 (bis 60 000 €), inkl. Tests.</t>
  </si>
  <si>
    <t>Weitere Arbeitsmarkt-Kurzarbeits-Kontingente fuer 2021.</t>
  </si>
  <si>
    <t>Sport/Sponsoring-Gutschrift 2021 fortgefuehrt.</t>
  </si>
  <si>
    <t xml:space="preserve">Ristori fuer Bergbahnen/Skigebiete (eigene Aufrufe/Zuordnungen, Herbst 2021). </t>
  </si>
  <si>
    <t xml:space="preserve">Okt–Nov 2020 – „Go To Event“ / „Go To Shotengai“: Ticket-Rabatte bis 20% für Veranstaltungen („Go To Event“) und Fördermassnahmen für Einkaufsstrassen („Go To Shotengai“). </t>
  </si>
  <si>
    <t>Okt 2020 – „Go To Eat“ (Gourmet-Programm): Premium-Essensgutscheine (+25%) und Punkte bei Online-Reservationen zur Stützung der Gastronomie (später regional ausgesetzt). https://tokyocheapo.com/entertainment/go-to-event-campaign/</t>
  </si>
  <si>
    <t>2. Dez 2020 – Gesetz für kostenlose COVID-19-Impfungen: Impfungen wurden per Gesetz gratis gemacht; der Staat übernimmt die Kosten.</t>
  </si>
  <si>
    <t>Medizin &amp; Tests: zusätzliche Zuschüsse für Betten, Einrichtungen und Testkapazität; Aufbau des Impf-logistiksystems inkl. kostenlose Impfungen.</t>
  </si>
  <si>
    <t>Kommunale Corona-Fonds: Aufstockung des Local Revitalization Grant um 1.5 Bio. JPY – u. a. zur Finanzierung von „Kooperationsgeldern“ für Betriebe, die Öffnungszeiten kürzen.</t>
  </si>
  <si>
    <t>Digital &amp; Green Recovery: 2 Bio. JPY Green Innovation Fund (10-Jahres-Förderung über NEDO) und 170 Mrd. JPY Digitalisierungsfonds (u. a. Standardisierung der IT der Kommunen, My-Number-Karte, Bildung).</t>
  </si>
  <si>
    <t xml:space="preserve">Unternehmenswandel: neue Restrukturierungs-/Geschäftsmodell-Zuschüsse (bis 100 Mio. JPY), sowie Verlängerung günstiger Kreditlinien. </t>
  </si>
  <si>
    <t>Jan 2021 – „Kooperationsgeld“ für Gastronomie &amp; Betriebe mit verkürzten Öffnungszeiten: Zentraler Reservefonds + Zuweisungen an Präfekturen/Kommune; in der Praxis bis zu 60 000 JPY pro Tag pro Betrieb.</t>
  </si>
  <si>
    <t>2021 – Kurzarbeits-/Beschäftigungsbeihilfe (Employment Adjustment Subsidy): Die Sonderregelungen (erhöhter Fördersatz/Tagessatz) wurden mehrfach verlängert – u. a. bis zum Monatsende nach Aufhebung des Notstands und darüber hinaus in 2021.</t>
  </si>
  <si>
    <t>Eineltern-Haushalte: Extra-Zahlungen im Dez 2020 („second benefit“).</t>
  </si>
  <si>
    <t xml:space="preserve">2021: 50 000 JPY pro Kind für einkommensschwache familien (Sonderleistung für Kindererziehungshaushalte). </t>
  </si>
  <si>
    <t>Haushaltsstützen: Verlängerung der Notkredite und Wohnbeihilfe</t>
  </si>
  <si>
    <t xml:space="preserve">Zusätzliche Zuschüsse für Eineltern-Haushalte. </t>
  </si>
  <si>
    <t>Initial special financing and guarantees primarily for micro, small and medium-sized business operators affected by COVID-19 to ¥1.6 trillion (USD 15.6 billion, or about 0.3% of GDP) through the Japan Finance Corporation and other institutions.</t>
  </si>
  <si>
    <t>National Employment Support System (ab Jan 2021): neues, landesweites Arbeitsmarktsicherungs-Programm mit 500 000 KRW/Monat fuer bis zu 6 Monate fuer Jobsuchende plus Beratung/Coachings.</t>
  </si>
  <si>
    <t xml:space="preserve">Mehrere Runden „Emergency/Disaster Relief“ 2021:
3. und 4. Runde (Jan u. Maerz 2021) – zielgerichtete Zuschuesse fuer Haushalte und Betriebe.
</t>
  </si>
  <si>
    <t>„Damage Support Package“ (Aug 2021): 250 000 KRW pro Person fuer ca. 80–88 % der Bevoelkerung; zusaetzliche Hilfen fuer Selbststaendige/KMU.</t>
  </si>
  <si>
    <t>Kreditkarten-Cashback (Okt–Nov 2021): 10 % Rueckerstattung auf zusaetzliche Kartenausgaben (monatl. gedeckelt) zur Konsumbelebung.</t>
  </si>
  <si>
    <t>„Hope Recovery Fund“ (Aug 2021): grosser Zuschuss-Topf fuer Selbststaendige/KMU zur Kompensation von Pandemieeinbussen.</t>
  </si>
  <si>
    <t xml:space="preserve">„Loss Compensation“-Gesetz (Herbst 2021): gesetzliche Umsatz-/Verlustkompensation fuer kleine Betriebe, Programmstart 27. Okt 2021 (Volumen ca. 2 Bio. KRW) mit spaeteren Auszahlungen nach Quartalen. </t>
  </si>
  <si>
    <t>„Quarantine Support Fund“ (Dez 2021): 1 Mio. KRW Pauschalzuschuss fuer von neuen Distanzierungsregeln betroffene kleine Betriebe; Paketgroesse rund 4.3 Bio. KRW.</t>
  </si>
  <si>
    <t>Verlaengerung der Employment Retention Subsidy (Kurzarbeitsbeihilfe), inkl. erhoehter Foerdersaetze in stark betroffenen Sektoren (bis zu 90 % der Ausfallzahlungen; mehrfach verlaengert bis Maerz 2022).</t>
  </si>
  <si>
    <t>09.11.2020–31.12.2020: Wiedereinführung Ausfallentschädigung (dīkstāves pabalsts) &amp; Lohnsubventionen. Staatliche Ausfallentschädigung für Beschäftigte in geschlossenen/betroffenen Betrieben sowie Lohnzuschuss für weiterarbeitende Firmen mit Umsatzeinbruch; Abwicklung über den Staatlichen Steuerdienst (VID). Später mehrfach verlängert.</t>
  </si>
  <si>
    <t>11.12.2020: Erleichterungen bei Steuerschulden/-raten. VID erlaubte betroffenen Steuerpflichtigen, COVID-bedingte Rückstände bis 30.06.2021 ohne Sanktionen zu stunden und in Raten zu zahlen (mit Möglichkeit, Zahlungen weiter zu staffeln).</t>
  </si>
  <si>
    <t>12.2020–2021: ALTUM-Programme verlängert/ausgebaut. Verlängerung von Betriebsmittel- und Investitionskrediten sowie Garantieprogrammen zur Liquiditätssicherung von Unternehmen; Programme liefen bis Ende 2021.</t>
  </si>
  <si>
    <t xml:space="preserve">07.–09.01.2021: 0 % MwSt. für COVID-19-Impfstoffe, Tests &amp; verbundene Leistungen. Saeima beschloss Nullsatz (rückwirkend ab 25.12.2020) für Vakzinen, in-vitro-Diagnostika sowie Transport/Lagerung etc.; später wieder aufgehoben ab 01.01.2023. </t>
  </si>
  <si>
    <t>01.2021: Bezahlte COVID-Krankheit/Quarantäne verlängert. Der Staat übernahm die Finanzierung der COVID-bedingten Arbeitsunfähigkeits-/Quarantäne-Tage bis Mitte 2021.</t>
  </si>
  <si>
    <t>01.2021: Kultur-/Veranstaltungsbranche. EU-genehmigtes Beihilfeschema zur Unterstützung von Veranstaltungsorganisatoren (separate Kulturhilfe); daneben Hinweis auf genehmigte Mietkompensation für Mieter staatlicher/kommunaler Immobilien.</t>
  </si>
  <si>
    <t>Herbst 2021 (für Okt–Nov 2021): Betriebsmittel-Zuschuss &amp; Lohnsubvention (neue Runde). Zuschuss zur Deckung laufender Kosten bei Umsatzeinbruch sowie Lohnzuschuss (bis 50 % Lohn, Deckel pro Mitarbeitendem); Antrag bei VID, klare sektorale/umsatzbasierte Kriterien.</t>
  </si>
  <si>
    <t xml:space="preserve">Nov 2020 – Apr 2021: Fixkosten-Zuschuesse fuer Unternehmen mit starkem Umsatzrueckgang (grundsaetzlich ab −50 % Nov–Jan bzw. ab −30 % Feb–Apr). Erstattung i. d. R. bis zu 70 % der (nicht gedeckten) Fixkosten, Hoechstbetraege je nach EU-Beihilfe-rahmen; Antrag ueber die Steuerverwaltung (VMI). </t>
  </si>
  <si>
    <t>Ab Jan 2021: 100 % Ausfallzeit-Erstattung (Prastova) fuer Beschaeftigte waehrend Betriebsschliessungen – bis zu 1,5-fachem Mindestlohn; weitere Lohnzuschuesse und Programme bis in den Sommer 2021.</t>
  </si>
  <si>
    <t>Jan 2021: Paket von rund 180 Mio. EUR (Subventionen und Kredite, inkl. Zuschuesse auf Basis des Umsatzrueckgangs; zusaetzliche Einmalzahlungen).</t>
  </si>
  <si>
    <t>Steuererleichterungen 2021 verlaengert: keine Saeumniszinsen und keine Vollstreckung bis 31.08.2021, Moeglichkeit zinsfreier Steuerstundungen; keine Bussgelder bis 31.10.2021.</t>
  </si>
  <si>
    <t>Unterstuetzung fuer Selbststaendige 2021: gezielte Zuschuesse (inkl. Fixkosten-Komponente) und Verlaengerung von Leistungen/Arbeitslosenhilfe bis Ende Sept 2021; zudem 300 EUR fuer Markthaendler (ab 10.05.2021).</t>
  </si>
  <si>
    <t xml:space="preserve">0 % MwSt auf COVID-Impfstoffe und -Tests (national umgesetzt gem. EU-Vorgabe) – in Kraft ab 01.01.2021. </t>
  </si>
  <si>
    <t xml:space="preserve">Temporäre MwSt-Senkung auf 9 % fuer Gastronomie, Kultur, Sport, Veranstaltungen – 01.07.2021–31.12.2022 </t>
  </si>
  <si>
    <t xml:space="preserve">Sektorspezifische Hilfen 2021:
Gefluegel- und Eiersektor: von der EU genehmigte Beihilfe (Maerz 2021). 
</t>
  </si>
  <si>
    <t>IMF
Weitere Kredit/Garantie-instrumente (INVEGA u. a.) wurden bis 2021 fortgefuehrt/aufgestockt.</t>
  </si>
  <si>
    <t>Allocation of additional EUR 50 million to a new facility to provide soft loans of up to EUR 500,00 to eligible SMEs, and a new financial instrument for businesses to form portfolios from risky business loans and leasing transactions (announced).</t>
  </si>
  <si>
    <t>Aide de relance – pauschale Wiederaufbauhilfe: Monatliche Pauschale fuer stark betroffene Betriebe (z. B. HoReCa, Events, Non-Food-Detailhandel): i. d. R. 1’250 € pro Vollzeit-Mitarbeitenden bzw. 250 € pro Selbststaendigem, mit Branchen- und Umsatzrueckgangs-Vorgaben; mehrmals verlaengert/angepasst bis 2021. https://leinonen.eu/ltu/news/updated-state-aid-measures-for-business-and-individuals-affected-by-covid-19-lithuania/</t>
  </si>
  <si>
    <t>Aide pour les couts non couverts (Uncovered Fixed Costs): Zuschuss zur Deckung ungedeckter Fixkosten fuer Unternehmen mit starkem Umsatzrueckgang; EU-beihilferechtlich genehmigt Nov 2020 (max. 120 Mio. €) und Sept 2021 (Verlaengerung/Anpassung bis 2022).</t>
  </si>
  <si>
    <t>Investitions-Wiederaufbauhilfe (gruen/digital): Aide de relance pour investissements fuer Produktivitaet, Digitalisierung und Nachhaltigkeit – Programm verlaengert (u. a. Anpassungen 19.11.2021).</t>
  </si>
  <si>
    <t xml:space="preserve">Staatsgarantie-Programm (3.6 Mrd. €) – Verlaengerungen: Das Kreditgarantie-schema wurde bis 30.06.2021 und erneut bis 31.12.2021 verlaengert. </t>
  </si>
  <si>
    <t xml:space="preserve">Kultur-Spezialhilfen: Aide de relance speciale fuer professionelle Kunst-/Kulturschaffende und Aide exceptionnelle fuer intermittents du spectacle; wiederholt angepasst/verlaengert 2020–2021. </t>
  </si>
  <si>
    <t>Spezial-Familienurlaub (conge pour raisons familiales – COVID): Mehrfach verlaengert (u. a. bis 17.07.2021, 30.04.2022, spaeter bis 23.07.2022); Tage wurden nicht vom regulaeren Kontingent abgezogen, wenn Quarantaene/Schulschliessung Grund war.</t>
  </si>
  <si>
    <t xml:space="preserve">Chomage partiel (Kurzarbeit) – COVID-Sonderregime: Spezielles Kurzarbeits-Regime wurde 2021 fortgefuehrt (branchenspezifische Plaene, monatliche Antraege), bevor in 2022 in Uebergangs-/strukturelle Regelungen uebergeleitet wurde. </t>
  </si>
  <si>
    <t>Steuer­anreize in den Grenz­zonen (ab 1. Jan 2021, verlängert bis 2024): Erneuerung der Programme für die Zona Fronteriza Norte und neues Programm für die Zona Fronteriza Sur: ermäßigter ISR-Satz 20 % (statt 30 %) und IVA 8 % (statt 16 %) für berechtigte Steuerzahler in den Grenzregionen; zusätzliche Treibstoff-Stimuli. Ziel: Konjunktur­belebung nach der Pandemie</t>
  </si>
  <si>
    <t>„Apoyo Emergente“ (Jan 2021): Einmalzahlung 2 200 MXN für Beschäftigte in Restaurants (bis zu 120 000 Personen), 3 200 MXN für Hausangestellte und nicht-abhängig Beschäftigte, plus FONDESO-Mikrokredite von 10 000 MXN für Mikro­unternehmen.</t>
  </si>
  <si>
    <t xml:space="preserve">FONDESO-Mikrokredite 2021 (CDMX): Programmlinien für Kleinstbetriebe zur Liquiditätsstütze während der pandemiebedingten Einschränkungen (Kredite bis 10 000 MXN). </t>
  </si>
  <si>
    <t>„Crédito a la Palabra“ 2021 (Neuauflagen): Das Mikrokredit-Programm (typisch 25 000 MXN pro Mikro­unternehmen/Haushalt) wurde 2021 fortgeführt/erweitert; die Durchführungsregeln wurden am 15. Sept 2021 angepasst (z. B. für Auswahl/Operation der Begünstigten). https://www.infobae.com/america/mexico/2021/02/15/creditos-a-la-palabra-2021-cuando-y-como-hacer-el-reembolso-del-apoyo-de-823-pesos-mensuales/?utm_source=chatgpt.com</t>
  </si>
  <si>
    <t>State of Sonora announced for March unitl Mai a 50% discount for the payment of payroll tax for companies with up to 50 employees and a 100% discount for the Tax on Lodging.</t>
  </si>
  <si>
    <t>TOZO 3/4/5: Verlängerung der Einkommens- und Betriebsmittelhilfen für Selbständige bis Sep 2021 (mit/ohne Vermögensprüfung; Übergang zum regulären Bbz-Darlehen).T</t>
  </si>
  <si>
    <t>TVL – Tegemoetkoming Vaste Lasten: Fortgeführt und mehrfach ausgeweitet (Q4-2020 auf mehr Branchen, später höhere Erstattungssätze bis zu 85 % der fixen Kosten, höhere Höchstbeträge; Startersregeling TVL für Jungunternehmen).</t>
  </si>
  <si>
    <t>Branchenspezifische TVL-Aufschläge:
VAK Horeca (Voorraad- en Aanpassingskosten) – Pauschale für verderbliche Vorräte/Corona-Anpassungen der Gastronomie (Nov 2020).
VGD/VGDH (Opslag Voorraad Gesloten Detailhandel) – Zuschlag für geschlossenen Non-Food-Einzelhandel (ab Winter 2020/21).
VLE – Regelung für die Event-/Veranstaltungsbranche (ergänzende Fixkostenerstattung).</t>
  </si>
  <si>
    <t>TONK (Tijdelijke Ondersteuning Noodzakelijke Kosten): Kommunale Unterstützung für Haushalte mit starkem Einkommensausfall (ab Q1 2021 bis Sommer 2021).</t>
  </si>
  <si>
    <t>Besonderer Steuerzahlungsaufschub mehrfach verlängert; anschließend Ratenplan über mehrere Jahre; Säumniszins (invorderingsrente) bis Ende 2021 stark abgesenkt.</t>
  </si>
  <si>
    <t>0 %-USt auf COVID-19-Impfstoffe &amp; Testkits (ab Ende 2020); weitere USt-Erleichterungen im Gesundheitsbereich verlängert.</t>
  </si>
  <si>
    <t>Erleichtertes „urencriterium“ für Unternehmer, WKR-Freiraum (werkkostenregeling) auch 2021 erhöht; Fortführung der Möglichkeit, Pendlerpauschalen trotz Homeoffice steuerfrei weiterzuzahlen; Lockerung „gebruikelijk loon“ für DGA auch 2021.</t>
  </si>
  <si>
    <t>Kredit-/Bürgschaftsprogramme verlängert: BMKB-C, GO-C, Klein-Krediet Corona (KKC), Qredits-Erleichterungen – Laufzeit und Konditionen über 2021 hinaus gestreckt.</t>
  </si>
  <si>
    <t>ÖPNV-Verfügbarkeitspauschale: Ausgleich für Verkehrsunternehmen (nach dem 2020er Paket auch 2021 fortgeführt).</t>
  </si>
  <si>
    <t>Kultur &amp; Sport: Mehrere zusätzliche Hilfsrunden 2020/21 (u. a. für Kulturinstitutionen, Kreativ- und Amateursport).</t>
  </si>
  <si>
    <t>Wage Subsidy Scheme – August 2021 (Resurgence) – neue Lohnzuschuss-Runden während der Delta-Phase 2021 (mehrere Tranchen bis in den Herbst).</t>
  </si>
  <si>
    <t>Short-Term Absence Payment (STAP) – einmalige Pauschale für Arbeitgeber, um Beschäftigte zu bezahlen, die sich kurzfristig für einen COVID-19-Test selbst isolieren müssen; eingeführt 2021.</t>
  </si>
  <si>
    <t>Resurgence Support Payment (RSP) – Zuschuss für Unternehmen mit erheblichem Umsatzrückgang infolge erhöhter COVID-Stufen; erstmals geöffnet am 23. Februar 2021; später in mehreren Runden (inkl. Delta-Welle) erneut verfügbar. https://www.ird.govt.nz/covid-19/business-and-organisations/resurgence-support-payment</t>
  </si>
  <si>
    <t>COVID-19 Support Payment (CSP) – wiederkehrender Zuschuss (fortnightly) für Unternehmen bei Umsatzeinbrüchen unter dem COVID-19 Protection Framework (Rot-Stufe), gestartet Feb.–Apr. 2022.</t>
  </si>
  <si>
    <t>Einmalige „Transition Payment“ (über IRD abgewickelt) zur Unterstützung beim Übergang ins Protection Framework Ende 2021. (IRD listet es zusammen mit den Business-Hilfen/RSP.)</t>
  </si>
  <si>
    <t>Kleinst-/KMU-Hilfen – Small Business Cashflow (Loan) Scheme (SBCS): Programm blieb über 2021/22 bestehen (inkl. Anpassungen/Erweiterungen); IRD führt es als zentrales COVID-Instrument für Unternehmen</t>
  </si>
  <si>
    <t>Kompensations­regelung für Fixkosten reaktiviert/verlängert: Nach den Herbst-/Winter­einschränkungen wurde die Unternehmens-Kompensationsregel ab Nov/Dez 2021 erneut geöffnet (inkl. höherer Sätze für behördlich geschlossene Betriebe). Später wurde sie für Dez 2021–Feb 2022 fortgeführt</t>
  </si>
  <si>
    <t>Lohnsubvention (lønnstilskudd) wieder eingeführt: Als Reaktion auf neue Maßnahmen beschloss die Regierung im Dez 2021 eine befristete Lohnsubvention für Arbeitgeber, die Beschäftigte zurückholten/halten – zusätzlich zur Früh-/Sommer-2020-Variante, die du schon notiert hast.</t>
  </si>
  <si>
    <t>Steuer- und Abgaben­stundungen neu aufgelegt (2022-Welle): Für Forderungen mit Fälligkeit Jan–März 2022 gab es wieder eine generelle Zahlungs­aufschub-regel, mit reduzierter Verzugszins­rate (6 %) im Jan–März 2022; zuvor schon temporär 6 % in 2020.</t>
  </si>
  <si>
    <t>Niedriger Mehrwertsteuersatz (6 %) verlängert: Der pandemiebedingte gesenkte „low rate“ (u. a. Kultur/Übernachtung/Transport) wurde mehrfach prolongiert und lief bis 30. Sept 2021, bevor er wieder angehoben wurde</t>
  </si>
  <si>
    <t xml:space="preserve">Kommunaler Kompensations­topf 2021: Zusätzliche Mittel für Gemeinden, um lokale Unternehmen mit zielgenauen Grants zu stützen (aus dem Prop. 192 S (2020–2021) – kompensiert auch kommunale Mehrausgaben). </t>
  </si>
  <si>
    <t>Erleichterungen bei Abgabe/Fristen 2021: Für die Steuererklärung 2020 wurde die Abgabefrist auf 31. Mai 2021 verschoben (mit Option bis 20. Aug 2021).</t>
  </si>
  <si>
    <t>PFR „Tarcza Finansowa 2.0“ (Jan 2021):
Neue Runde der Finanzsubventionen (hauptsächlich Mikro und KMU in betroffenen Branchen, Volumen ~ ein zweistelliger Mrd.-PLN-Betrag). Hoher Erlassanteil bei Beschäftigungserhalt; Programm für große Unternehmen wurde verlängert/re-geöffnet.</t>
  </si>
  <si>
    <t>Zuschüsse zu fixen Kosten („dofinansowanie kosztów stałych“; 2021):
Eigenes Instrument (EU-Beihilferahmen) für KMU mit ≥ 30 % Umsatzrückgang – Erstattung eines Teils der ungedeckten Fixkosten (prozentual begrenzt, mit Förderhöchstbeträgen je Unternehmen).</t>
  </si>
  <si>
    <t>Miet-/Pachtentlastung in Einkaufszentren – neue Schließungsphasen (ab Nov 2020/Jan 2021):
Bei behördlich angeordneter Schließung erneute Befreiung bzw. gesetzliche Reduktion der Mietzahlungspflichten und Mechanismus zur Vertragsverlängerung – analog zu der frühen 2020er Regel, aber für die späteren Lockdown-Phasen nochmals aktiviert.</t>
  </si>
  <si>
    <t>0 %-MwSt. auf COVID-Impfstoffe und bestimmte Diagnostikleistungen/Tests (ab Ende 2020/2021):
Einführung des MwSt-Nullsatzes (sowie Zollbefreiungen) für Lieferungen/Importe von Impfstoffen und In-vitro-Diagnostika sowie für Impfleistungen.</t>
  </si>
  <si>
    <t>Kultur/Sport – zusätzliche Hilfsfonds (Herbst/Winter 2020):
Fonds Wsparcia Kultury (Hilfen für Kulturinstitutionen/Veranstalter) sowie zusätzliche Pakete für Sport und Non-Profit-Akteure der betroffenen Branchen.</t>
  </si>
  <si>
    <t>Verlängerungs-/Erweiterungswellen 2021 für „postojowe“, ZUS-Befreiungen, 5 000-PLN-Zuschüsse &amp; Lohnzuschüsse (branchen- und monatsbezogen; teils rückwirkend für Nov 2020 – Apr 2021 bzw. einzelne Folgemonate).</t>
  </si>
  <si>
    <t xml:space="preserve"> APOIAR Rendas (Zuschuss zu gewerblichen Mieten) und APOIAR +SIMPLIFICADO; Budgetaufstockungen und breitere Anspruchsgruppen durch Portaria 15-B/2021 (Jän. 2021).</t>
  </si>
  <si>
    <t>APOIAR RESTAURAÇÃO (Ausgleich für Wochenend-Schließungen Nov/Dez 2020). Rechtsgrundlage Portaria 271-A/2020 (Dez. 2020).</t>
  </si>
  <si>
    <t xml:space="preserve">Apoio à Retoma Progressiva (Nachfolgeregel des „layoff simplificado“) – eingeführt per Decreto-Lei 46-A/2020 und mehrfach verlängert/angepasst (z. B. DL 23-A/2021, DL 6-E/2021) – u. a. mit teilweisen Befreiungen von Sozialbeiträgen und Regeln zu Arbeitszeitkürzungen. </t>
  </si>
  <si>
    <t>Apoio extraordinário ao rendimento dos trabalhadores (Einkommenshilfe für Arbeitnehmer/gering Verdienende, 2021) – Portaria 19-A/2021.</t>
  </si>
  <si>
    <t>Verlängerung der öffentlichen Kreditmoratorien (u. a. bis 30. 09. 2021) – Decreto-Lei 22-A/2021. Spätere sektorielle Verlängerung/Übergangsregel bis 2022 (z. B. DL 70-B/2021).</t>
  </si>
  <si>
    <t>IVAucher (staatliches „Cashback“ von gezahlter MwSt. für Gastronomie/Beherbergung/Kultur – 2021), geregelt u. a. in DL 48/2021.</t>
  </si>
  <si>
    <t>Null-MwSt. auf COVID-19-Impfstoffe und Testkits (Umsetzung der EU-Ausnahmeregel; 2021 im Budgetprozess fixiert)</t>
  </si>
  <si>
    <t>Garantir Cultura / Medidas de Apoio à Cultura – Rahmen Portaria 37-A/2021 (Feb. 2021) und Portaria 80-A/2021 (Apr. 2021) zur Ausweitung der Kulturhilfen (u. a. für Künstler, Veranstalter, Museen/Bibliotheken).</t>
  </si>
  <si>
    <t>Linhas de apoio de tesouraria para o Turismo (Mikro-/KMU-Liquidität mit nicht-rückzahlbarem Anteil/Fundo-perdido-Komponente; 2021 fortgeführt/aufgestockt).</t>
  </si>
  <si>
    <t>02.02.2021 – „Prvá pomoc++ / First Aid Plus Plus“: Anhebung auf bis zu 100 % der gesamten Lohnkosten (bis 1 100 €); lief bis 30.06.2021.</t>
  </si>
  <si>
    <t>01.10.2020 – „Prvá pomoc+ / First Aid Plus“ ersetzt die Frühphase: Zuschüsse bis 80 % der gesamten Lohnkosten (Deckel 1 100 € pro Beschäftigtem); eigene Linien u. a. für behördlich geschlossene Betriebe (Maßnahme 1), Selbständige (Maßn. 2) und Arbeitgeber zum Erhalt von Jobs (Maßn. 3). https://www.eurofound.europa.eu/system/files/2022-04/wpef22026.pdf</t>
  </si>
  <si>
    <t xml:space="preserve">Zusatzlinie Bildung (First Aid++ Maßnahme 6): Lohnzuschüsse für Lehrer an verpflichtend geschlossenen Grund-Kunstschulen (ZUŠ). </t>
  </si>
  <si>
    <t>SOS-Zuschuss (Maßnahme 5): Unterstützung für Personen ohne Einkommen lief 2021 weiter.</t>
  </si>
  <si>
    <t>Sozial- &amp; Krankenversicherung – Stundungen verlängert: Fristen wurden mehrfach verschoben; Beiträge für Dezember 2021 dürfen bis 31.12.2024 nachgezahlt werden.</t>
  </si>
  <si>
    <t>Mietzuschuss für zwangsweise geschlossene Betriebe: Programm blieb bestehen; Antragsfrist für die 3. Welle bis 30.04.2022 verlängert.</t>
  </si>
  <si>
    <t>Branchenspezifisch Tourismus &amp; Gastronomie: Umsatzbasierte Unterstützung bis 31.12.2022 verlängert.</t>
  </si>
  <si>
    <t>Pandemische Sozialleistungen 2021: Weiterführung/Erweiterung u. a. pandemisches Pflegegeld (OČR), pandemisches Krankengeld sowie verlängerte Bezugsdauer beim Arbeitslosengeld; zusätzlich ein COVID-Unfallzuschlag bei nachweislicher Ansteckung am Arbeitsplatz.</t>
  </si>
  <si>
    <t>Beihilfe für ungedeckte Fixkosten („compensation of uncovered fixed costs“)
– zunächst für 1.10.–31.12.2020 eingeführt (mit Option der Verlängerung um bis zu 6 Monate); Unterstützungshöhe abhängig vom Umsatzeinbruch; adressiert Unternehmen aller Größen. Später mehrfach verlängert (über Winter/Frühjahr 2021). https://seelegal.org/covid19/support-for-uncovered-fixed-costs/?utm_source=chatgpt.com</t>
  </si>
  <si>
    <t>Verlängerung der 2020 eingeführten Tourismus-Gutscheine
– Gültigkeit der „turistični boni“ (200 € für Erwachsene / 50 € für Minderjährige) bis Ende 2021 verlängert (Beschluss Dezember 2020).</t>
  </si>
  <si>
    <t>Neues Gutscheinpaket „BON21“ (2021)
– 100 € pro Erwachsenem / 50 € pro Minderjährigem; Verwendungszweck breiter (Beherbergung, Gastronomie, Sport, Kultur); Laufzeit bis Jahresende 2021.</t>
  </si>
  <si>
    <t>Kurzarbeit &amp; „Warten auf Arbeit“ (Lohnkostenzuschüsse) – Verlängerungen 2021
– die im Frühjahr 2020 eingeführten Lohnersatz- und Kurzarbeitsregelungen wurden mehrfach verlängert (u. a. über Winter/Frühjahr 2021) und angepasst; flankiert durch zusätzliche Unterstützung für besonders betroffene Sektoren.</t>
  </si>
  <si>
    <t>Weitere PKP-Pakete (PKP7–PKP9) mit Verlängerungen/Ergänzungen
– u. a. Aufschub der Insolvenzantragspflicht und Erleichterungen im Restrukturierungsrecht, Teilkompensation für Arbeitgeber im Zusammenhang mit der Mindestlohnerhöhung (PKP8), Verlängerungen der Kreditmoratorien; fortgesetzte Zielprogramme für stark betroffene Branchen.</t>
  </si>
  <si>
    <t>RDL 30/2020 (29. Sep 2020) – Verlängerung der ERTEs bis 31. Jan 2021, neue ERTE-Typen (Impedimento/Limitación), Beitragserleichterungen für Unternehmen, Verlängerung Plan MECUIDA und zusätzliche Leistungen für Selbständige (cese de actividad).</t>
  </si>
  <si>
    <t>RDL 34/2020 (17. Nov 2020) – Steuerpaket &amp; Liquidität:
0 % MwSt. auf bestimmte medizinische Güter (Lieferungen an Klinik-/Behörden) verlängert bis 30. Apr 2021.
4 % MwSt. auf Einweg-OP-Masken bis 31. Dez 2021.
Anpassungen/Verlängerungen der ICO-Aval-Programme (z. B. längere Laufzeiten/Schonfristen, Frist zur Beantragung).</t>
  </si>
  <si>
    <t>RDL 35/2020 (22. Dez 2020) – Paket für Gastronomie/Handel/Tourismus (u. a. Miet- und Steuererleichterungen; Erleichterungen bei Vorauszahlungen).</t>
  </si>
  <si>
    <t>RDL 37/2020 (22. Dez 2020) – Wohnschutz: Verlängerung von Räumungs-Stopps und Mietmoratorien für besonders verletzliche Haushalte.</t>
  </si>
  <si>
    <t>7 Mrd. direkte Zuschüsse an Unternehmen/Selbständige</t>
  </si>
  <si>
    <t>3 Mrd. Rahmen zur Restrukturierung ICO-Kredite, 1 Mrd. Rekapitalisierungsfonds (COFIDES) für mittelständische Firmen.</t>
  </si>
  <si>
    <t>RDL 11/2021 (27. Mai 2021) – erneute ERTE-Verlängerung bis 30. Sep 2021 (mit angepassten Befreiungen).</t>
  </si>
  <si>
    <t>RDL 18/2021 (28. Sep 2021) – ERTE-Verlängerung bis 28. Feb 2022 mit neuem Anreizschema (Weiterbildung/Beitragsrabatte).</t>
  </si>
  <si>
    <t>RDL 2/2021 (26. Jan 2021) – ERTE-Verlängerung bis 31. Mai 2021, erneute Regelungen für Selbständige (cese de actividad). https://www.lamoncloa.gob.es/consejodeministros/Paginas/enlaces/260121-enlace-ertes.aspx?utm_source=chatgpt.com</t>
  </si>
  <si>
    <t>Kurzarbeit/Korttidsarbete – verlängert und phasenweise erhöht.
Für 2021 wurden die Kurzarbeitsregelungen verlängert und der staatliche Anteil am Lohnkostenzuschuss zeitweise angehoben; außerdem flankierende Regeln (u. a. Qualifizierung, Administration) angepasst</t>
  </si>
  <si>
    <t xml:space="preserve">„Nedstängningsstöd“ (Schliessungs­zuschuss) für Betriebe, die durch behördliche Pandemie­schließungen direkt betroffen waren (2021). </t>
  </si>
  <si>
    <t>Messe/Events: neues „Evenemangsstöd“.
Staatliche Risikoabdeckung für Veranstalter, deren Events pandemiebedingt abgesagt/auflagenbedingt stark begrenzt werden (Budget: 3 Mrd. SEK; für 2021)</t>
  </si>
  <si>
    <t xml:space="preserve">Kultur &amp; Sport – zusätzliche Krisenmittel 2021.
Aufstockungen u. a. für Kultur- und Sporteinrichtungen sowie Ferien-/Jugendprogramme. </t>
  </si>
  <si>
    <t>Erstattung von Arbeitgeber-Sick-Pay-Kosten &amp; Karensersatz – verlängert.
Verlängerung der staatlichen Erstattung erhöhter Lohnfortzahlungskosten, des Karens-Ersatzes (Tag 1) sowie gelockerte Attestpflicht – jeweils bis Juni 2021 (weitere Verlängerungen folgten später).</t>
  </si>
  <si>
    <t>Steuererleichterungen für Beschäftigte – Parkerleichterung &amp; Geschenke 2021.
Steuer-/abgabenfreie Vorteile (freie Parkplatznutzung am Arbeitsort; Sachgeschenke) wurden für 2021 verlängert.</t>
  </si>
  <si>
    <t>Mietzuschuss („Hyresstöd“) für gewerbliche Mieter – 2021.
Staatlicher Zuschuss an Vermieter, die Jan.–März 2021 Mieten herabgesetzt haben (Förordning 2021:273; weitere Perioden wurden später erneut aufgelegt).</t>
  </si>
  <si>
    <t xml:space="preserve">Für Unternehmen: erweiterte Steuerstundungen und gesenkte Anstandsgebühr. </t>
  </si>
  <si>
    <t>Steuerstundungen („Anstånd“) – ausgeweitet und Gebühren gesenkt. 
Mehr Abrechnungszeiträume konnten gestundet werden; Anstandsgebühr wurde gesenkt.</t>
  </si>
  <si>
    <t>Umsatz-/„Omställningsstöd“ (Unternehmenszuschüsse bei Umsatzrückgang) – mehrfach verlängert und ausgebaut.
Verlängerungen bis Juni 2021 (inkl. Zuschüsse für Einzelunternehmer und Personengesellschaften); Weitere Verlängerung/Neuauflagen für Mai–September 2021 nach Genehmigung EU. https://www.riksdagen.se/sv/dokument-och-lagar/dokument/betankande/extra-andringsbudget-for-2021-forlangda_h801fiu49/</t>
  </si>
  <si>
    <t>Ausweitung Erwerbsersatz &amp; Verbesserungen bei Kurzarbeit (4. Nov 2020): Zusätzliche APG-Ansprüche (u. a. für Selbständige/indirekt Betroffene) sowie weitere Vereinfachungen/Erleichterungen bei der Kurzarbeitsentschädigung, um die zweite Welle abzufedern.</t>
  </si>
  <si>
    <t>Härtefallregelung für Unternehmen (ab Nov 2020): Bundesrat erliess die COVID-19-Härtefallverordnung (4. Nov 2020). Bund und Kantone unterstützen besonders betroffene Firmen (A-fonds-perdu-Beiträge, Darlehen), die Kriterien/Beitragsansätze wurden mehrmals erhöht/erweitert. https://www.news.admin.ch/de/nsb?id=81212&amp;utm_source=chatgpt.com</t>
  </si>
  <si>
    <t>Dez 2020: 3-Monats-Zuschüsse für Kleinstbetriebe/Esnaf – monatlich 1.000 TL Einkommen­sausfall plus Mietzuschuss (750 TL in Großstädten/500 TL sonst), anfangs für 3 Monate; später mehrfach verlängert/ausgezahlt. https://www.erdem-erdem.av.tr/bilgi-bankasi/gayrimenkul-kiralamalarindaki-vergi-tevkifati-orani-10a-dusuruldu?utm_source=chatgpt.com</t>
  </si>
  <si>
    <t>Mai–Juni 2021: Einmalige Esnaf-Zuschüsse – 3.000 TL (breite Gruppe) bzw. 5.000 TL (besonders betroffene NACE-Branchen) per Präsidialerlass Nr. 3998 (RG 21.05.2021).</t>
  </si>
  <si>
    <t>Kurzarbeitergeld (Kısa Çalışma Ödeneği) – mehrfach verlängert, zuletzt bis 30. Juni 2021 (nur für Betriebe mit bereits genehmigter Kurzarbeit). Parallel dazu wurde die „kostenlose Beurlaubung“/Cash-Wage-Support und das Kündigungsverbot (mit Ausnahmen) ebenfalls schrittweise verlängert.</t>
  </si>
  <si>
    <t>Neues Restrukturierungs­gesetz 2021 (Gesetz Nr. 7326, RG 09.06.2021) – erneute/weitere Stundungen und Ratenmodelle für öffentliche Forderungen.</t>
  </si>
  <si>
    <t>Reduzierte USt-Sätze in stark betroffenen Dienst­leistungs­zweigen (u. a. Beherbergung, Gastronomie, Personen­beförderung, Veranstaltungs-/Kultur­leistungen):
– zunächst per Präsidialbeschl. 2812 (31.07.2020), danach verlängert bis 31.05.2021 (Beschl. 3931) und wiederum bis 30.09.2021 (Beschl. 4312).</t>
  </si>
  <si>
    <t>Reduziertes Quellensteuer-/„Kira-Stopaj“-Niveau auf Geschäftsmieten (10 %) – ab 31.07.2020 eingeführt (Beschl. 2813), später per Folge­beschlüssen teils verlängert; die Verlängerungen liefen im Laufe des Jahres 2021 aus/wechselten zurück.</t>
  </si>
  <si>
    <t>„Nefes Kredisi 2021“ (ab Mai/Juni 2021) – neues, verbilligtes KGF-besichertes Betriebsmittel-Programm für KMU (TOBB-/Banken­konsortium).</t>
  </si>
  <si>
    <t>KOSGEB „Mikro- und Kleinbetriebe-Schnellhilfe“ (2021) – zinsfreie Darlehen/Zuschüsse zur Sicherung/Neuschaffung von Beschäftigung in ausgewählten Branchen (v. a. Verarbeitendes Gewerbe, IKT, Reparatur u. a.).</t>
  </si>
  <si>
    <t>Increase for bonus pensions. Bayram-Bonus meinst: 2021 wurde er von 1 000 TL auf 1 100 TL erhöht – so notieren (mit Datum)</t>
  </si>
  <si>
    <t>Verlängerung/Anpassung der reduzierten MwSt. für Hospitality sowie weitere Steuer- und Zahlungs­erleichterungen.</t>
  </si>
  <si>
    <t>Furlough (CJRS) – Verlängerungen: Das Kurzarbeitsprogramm wurde im November 2020 wieder geöffnet und mehrfach verlängert – schließlich bis 30. Sep 2021; die Arbeitgeber­anteile stiegen staffelweise im Sommer 2021. (Siehe offizielle CJRS-Leitseite/Updates.)</t>
  </si>
  <si>
    <t>SEISS – weitere Zuschüsse für Selbständige (Grants 3–5, 2020/21): weitere Runden von November 2020 bis September 2021 (inkl. Öffnung für Steuererklärungen 2019/20).</t>
  </si>
  <si>
    <t>Additional Restrictions Grant (ARG) – zusätzlicher, nicht zweckgebundener Top-up-Topf für Kommunen zur Unternehmens­förderung.</t>
  </si>
  <si>
    <t>Local Restrictions Support Grants (LRSG) für zwangsweise geschlossene/betroffene Betriebe.</t>
  </si>
  <si>
    <t>MwSt.-Sonderregime Hospitality – Anschlussphase: Nach der 5-%-Phase folgte 12,5 % vom 1. Okt 2021 bis 31. März 2022 (danach Rückkehr zu 20 %).</t>
  </si>
  <si>
    <t>VAT-Deferral – New Payment Scheme (2021): Aufgeschobene MwSt. aus 2020 konnte in bis zu 11 Raten über 2021/22 verteilt werden.</t>
  </si>
  <si>
    <t>£500 Test-and-Trace-Support Payment (ab 28. Sep 2020): Anspruch für einkommensschwache Personen, die sich gesetzlich isolieren müssen (inkl. HMRC-Melde­pflicht).</t>
  </si>
  <si>
    <t>Apprenticeship-Prämien (2021 deutlich erhöht, zeitweise £3,000 je Neueinstellung). https://commonslibrary.parliament.uk/research-briefings/cbp-9015/</t>
  </si>
  <si>
    <t>Recovery Loan Scheme (ab Apr 2021): neues, staatlich garantiertes Kreditprogramm als Nachfolger von BBLS/CBILS (anfangs bis 80 % Garantie; später verlängert/angepasst).</t>
  </si>
  <si>
    <t>Business-Rates-Erleichterungen 2021/22: nach Auslaufen der 100 %-Befreiung 2020/21 weitere Entlastung (in England: 100 % von Apr–Jun 2021, danach 66 % bis Mar 2022, mit Cash-Caps).</t>
  </si>
  <si>
    <t>Commercial rents – Schutz &amp; Schlichtung: Verlängerung des Moratoriums und Commercial Rent (Coronavirus) Act 2022 mit obligatorischem Schiedsverfahren für „protected rent debt“ aus behördlichen Schließungen.</t>
  </si>
  <si>
    <t>Omicron-Hilfspaket (Dez 2021): Omicron Hospitality and Leisure Grant (bis £6,000 je Betriebsstätte) + zusätzlicher ARG-Top-up für Kommunen; Paketumfang rund £1 Mrd</t>
  </si>
  <si>
    <t>Statutory Sick Pay Rebate Scheme – Wiedereinführung (Dez 2021): Rückerstattung von bis zu 2 Wochen SSP pro Mitarbeiter für KMU, reaktiviert wegen Omicron.</t>
  </si>
  <si>
    <t>Restart Grant (ab Apr 2021): einmalige Zuschüsse über Kommunen – bis £6,000 für Non-essential Retail und bis £18,000 für Hospitality/Leisure/Personal Care je Betriebsstätte. https://assets.publishing.service.gov.uk/media/61f435fae90e07689f885d0d/Film_and_TV_Production_Restart_Scheme_-_Final_Report_2601.pdf?</t>
  </si>
  <si>
    <t>Supplies of personal protective equipment are zero-rated from 1 May 2020 to 31 October 2020.</t>
  </si>
  <si>
    <t xml:space="preserve">Kultur/Veranstaltungen:
Film &amp; TV Production Restart Scheme – Verlängerungen 2021/22 (zusätzliche Mittel, Laufzeitverlängerung zur Absicherung pandemiebedingter Ausfälle).
</t>
  </si>
  <si>
    <t>Government-backed Live Events Reinsurance Scheme (ab Aug 2021) für Festivals/Messen/Konzerte (Pandemie-Absage­risiko).</t>
  </si>
  <si>
    <t>2020-12 | CAA 2021 | EIP 2 – Direktzahlung 600 $ je Person (inkl. Kinder)</t>
  </si>
  <si>
    <t>2020-12 | CAA 2021 | FPUC 300 $/Woche + Verlängerungen PUA/PEUC (bis Q1 2021)</t>
  </si>
  <si>
    <t>2020-12 | CAA 2021 | PPP „Second Draw“ + Nachschärfungen (284 Mrd $; neue Anspruchsgruppen, zusätzliche Kosten)</t>
  </si>
  <si>
    <t>2020-12 | CAA 2021 | Shuttered Venue Operators Grant (SVOG) – Zuschüsse für Spielstätten/Kultur</t>
  </si>
  <si>
    <t>2020-12 | CAA 2021 | Targeted EIDL Advances (Low-Income) – 10.000 $; später „Supplemental“ 5.000 $</t>
  </si>
  <si>
    <t>2020-12 | CAA 2021 | SBA §1112 Debt Relief – Verlängerung (Zins-/Tilgungszuschüsse für SBA-7(a)/504/Microloans)</t>
  </si>
  <si>
    <t>2020-12 | CAA 2021 | 100 % Bewirtungsabzug („meals“) für 2021–2022</t>
  </si>
  <si>
    <t>2020-12 | CAA 2021 | Emergency Rental Assistance (ERA1) – 25 Mrd $</t>
  </si>
  <si>
    <t>2020-12 | CAA 2021 | Emergency Broadband Benefit – ~3,2 Mrd $</t>
  </si>
  <si>
    <t>2020-12 | CAA 2021 | Aviation Payroll Support 2 (PSP2)</t>
  </si>
  <si>
    <t>2020-12 | CAA 2021 | Spendenabzug „above-the-line“ 2021: 300 $ Single / 600 $ MFJ</t>
  </si>
  <si>
    <t>2020-12 | CAA 2021 | FFCRA-Lohnsteuer-Credits (optional) verlängert Jan–März 2021</t>
  </si>
  <si>
    <t>2020-12 | CAA 2021 | Employee Retention Credit (ERTC) stark ausgeweitet ab 01/2021 (70 % bis 10.000 $/Quartal; 20 %-Umsatzschwelle)</t>
  </si>
  <si>
    <t>2021-03 | ARPA | EIP 3 – Direktzahlung 1.400 $ je Person (inkl. Dependents)</t>
  </si>
  <si>
    <t>2021-03 | ARPA | FPUC 300 $/Woche + Verlängerungen PUA/PEUC bis 06.09.2021</t>
  </si>
  <si>
    <t>2021-03 | ARPA | Steuerbefreiung UI 2020 – 10.200 $ steuerfrei bei Einkommen &lt; 150.000 $</t>
  </si>
  <si>
    <t>2021-03 | ARPA | State &amp; Local Fiscal Recovery Funds – 350 Mrd $ für Staaten/Kommunen</t>
  </si>
  <si>
    <t>2021-03 | ARPA | Restaurant Revitalization Fund (RRF) – 28,6 Mrd $ Zuschüsse</t>
  </si>
  <si>
    <t>2021-03 | ARPA | COBRA-Prämienhilfe – 100 % Bundeszuschuss April–September 2021</t>
  </si>
  <si>
    <t>2021-03 | ARPA | ERTC bis 12/2021 verlängert + neue Kategorien (Recovery Startup, Severely Financially Distressed Employers)</t>
  </si>
  <si>
    <t>2021-03 | ARPA | Child Tax Credit erhöht + monatliche Vorauszahlungen (Juli–Dez 2021)</t>
  </si>
  <si>
    <t>2021-03 | ARPA | Earned Income Tax Credit (EITC) – Ausbau 2021</t>
  </si>
  <si>
    <t>2021-03 | ARPA | Child &amp; Dependent Care Tax Credit – Ausbau 2021 (voll erstattungsfähig)</t>
  </si>
  <si>
    <t>2021-03 | ARPA | Dependent-Care-FSA-Exclusion 2021 auf 10.500 $ erhöht</t>
  </si>
  <si>
    <t>2021-03 | ARPA | ACA Premium Tax Credit – höhere/ausgeweitete Zuschüsse 2021–2022 (Subsidy-Cliff entfällt)</t>
  </si>
  <si>
    <t>2021-03 | ARPA | Homeowner Assistance Fund – ~10 Mrd $</t>
  </si>
  <si>
    <t>2021-03 | ARPA | Emergency Rental Assistance (ERA2) – zusätzlich 21,6 Mrd $</t>
  </si>
  <si>
    <t>2021-03 | ARPA | State Small Business Credit Initiative 2.0 – 10 Mrd $</t>
  </si>
  <si>
    <t>2021-03 | ARPA | Capital Projects Fund – 10 Mrd $ (Breitband/IT der Länder)</t>
  </si>
  <si>
    <t>2021-03 | ARPA | Aviation Payroll Support 3 (PSP3)</t>
  </si>
  <si>
    <t>2021-03 | ARPA | Child Care – 24 Mrd $ Stabilization Grants + 15 Mrd $ CCDBG-Aufstockung</t>
  </si>
  <si>
    <t>2021-03 | ARPA | FFCRA-Paid-Leave-Credits 04–09/2021 (Impf-/Testtermine, höhere Caps; auch Selbständige – Form 7202)</t>
  </si>
  <si>
    <t>2021-04 | SBA | Supplemental Targeted EIDL Advance +5.000 $ (max. 15.000 $ gesamt)</t>
  </si>
  <si>
    <t>2021-04 | SBA | 7(a)/504 – temporäre Erweiterungen 2021 (höhere Garantien, Gebührenerlass, erweiterte 504-Refinanzierung)</t>
  </si>
  <si>
    <t>2021-05 | Bildungsbehörden | ESSER III K-12 – 122,7 Mrd $ (sicherer Schulbetrieb, Aufholen, IT/Lüftung)</t>
  </si>
  <si>
    <t>2021-05 | Bildungsbehörden | HEERF III – 39,6 Mrd $ Hochschulhilfen (inkl. direkter Studierendenhilfe)</t>
  </si>
  <si>
    <t>2020–2022 | Bildungsministerium | Federal Student Loans – Zahlungs- &amp; Zinsmoratorium (mehrfach verlängert)</t>
  </si>
  <si>
    <r>
      <t>NOW 3</t>
    </r>
    <r>
      <rPr>
        <sz val="11"/>
        <color theme="4"/>
        <rFont val="Calibri"/>
        <family val="2"/>
        <scheme val="minor"/>
      </rPr>
      <t xml:space="preserve"> (Okt 2020–Jun 2021; in drei Tranchen) und danach </t>
    </r>
    <r>
      <rPr>
        <b/>
        <sz val="11"/>
        <color theme="4"/>
        <rFont val="Calibri"/>
        <family val="2"/>
        <scheme val="minor"/>
      </rPr>
      <t>NOW 4</t>
    </r>
    <r>
      <rPr>
        <sz val="11"/>
        <color theme="4"/>
        <rFont val="Calibri"/>
        <family val="2"/>
        <scheme val="minor"/>
      </rPr>
      <t xml:space="preserve"> (Jul–Sep 2021): Lohnkostenzuschüsse für Betriebe mit deutlichen Umsatzeinbrüchen (Schwellen/Prozentsätze wurden je Tranche angepasst und im Winter-Lockdown wieder angehoben).</t>
    </r>
  </si>
  <si>
    <t>Transfers/Subventionen an Unternehmen.</t>
  </si>
  <si>
    <t>On-Budget</t>
  </si>
  <si>
    <t>9 Expenditure Measures for businesses</t>
  </si>
  <si>
    <t>Erhoeht Einnahmen durch Parameteraenderung.</t>
  </si>
  <si>
    <t>8 Revenue Measures to raise revenue</t>
  </si>
  <si>
    <t>Kredite/Garantien/Equity = Off-Budget; reine Zuschuesse = On-Budget.</t>
  </si>
  <si>
    <t>Split (see notes)</t>
  </si>
  <si>
    <t>7 Credit and equity measures</t>
  </si>
  <si>
    <t>Kreditvergabe = Finanztransaktion; Zins-Subvention separat On-Budget.</t>
  </si>
  <si>
    <t>Off-Budget</t>
  </si>
  <si>
    <t>Nicht rueckzahlbare Zuschuesse = Ausgaben.</t>
  </si>
  <si>
    <t>Kreditvergabe = Finanztransaktion (below the line). Zins-Subventionen waeren On-Budget.</t>
  </si>
  <si>
    <t>Andere monetare Transfers/Subventionen.</t>
  </si>
  <si>
    <t>6 Expenditure Measures for cash transfers to individuals</t>
  </si>
  <si>
    <t>Subventionen/Transfers.</t>
  </si>
  <si>
    <t>Zusaetzliche Programme/Transfers.</t>
  </si>
  <si>
    <t>Hoehere Transfers.</t>
  </si>
  <si>
    <t>Hoehere Sozialausgaben.</t>
  </si>
  <si>
    <t>Transfers erhoehen Ausgaben.</t>
  </si>
  <si>
    <t>Allgemeine Gesundheitsausgaben.</t>
  </si>
  <si>
    <t>5 Health Expenditures measures</t>
  </si>
  <si>
    <t>Personal-/Betriebsausgaben.</t>
  </si>
  <si>
    <t>Oeffentliche Investitionen (CapEx).</t>
  </si>
  <si>
    <t>Investitionen/hohe Ausgaben.</t>
  </si>
  <si>
    <t>Zusaetzliche Sachausgaben.</t>
  </si>
  <si>
    <t>Parameteraenderung → On-Budget; reine Timing/Admin → Off-Budget.</t>
  </si>
  <si>
    <t>Context-dependent</t>
  </si>
  <si>
    <t>4 Revenue Measures to boost consumption / demand</t>
  </si>
  <si>
    <t>Befreiung/Erlass = On-Budget; Suspension/Stundung = Off-Budget.</t>
  </si>
  <si>
    <t>Mindereinnahmen (z. B. Mehrwertsteuer).</t>
  </si>
  <si>
    <t>3 Revenue Measures to promote availability of medical items</t>
  </si>
  <si>
    <t>Gezielte Mindereinnahmen.</t>
  </si>
  <si>
    <t>2 Revenue Measures to protect individuals</t>
  </si>
  <si>
    <t>Anrechenbare/auszahlbare Credits; Mindereinnahmen/Ausgaben.</t>
  </si>
  <si>
    <t>Parameteraenderung; Mindereinnahmen.</t>
  </si>
  <si>
    <t>Erlass/Reduktion; Mindereinnahmen.</t>
  </si>
  <si>
    <t>Mindereinnahmen.</t>
  </si>
  <si>
    <t>Wie Code 6; Stundung.</t>
  </si>
  <si>
    <t>Wie Code 5; Timing/Verwaltung.</t>
  </si>
  <si>
    <t>1 Revenue Measures to protect businesses</t>
  </si>
  <si>
    <t>Echte Befreiung/Erlass = On-Budget; blosse Suspension/Stundung = Off-Budget.</t>
  </si>
  <si>
    <t>Verwaltungsakt; keine unmittelbare Accrual-Wirkung.</t>
  </si>
  <si>
    <t>Vollstreckung ausgesetzt; Timing/Verwaltung.</t>
  </si>
  <si>
    <t>Niedrigere Akontos; Timing/Liquiditaet.</t>
  </si>
  <si>
    <t>Vorgezogene Rueckerstattungen; Timing-Effekt.</t>
  </si>
  <si>
    <t>Erlass/Reduktion von Steuerschulden = Mindereinnahmen.</t>
  </si>
  <si>
    <t>Mindereinnahmen durch niedrigere Saetze.</t>
  </si>
  <si>
    <t>Stundung; Liquiditaetsmassnahme.</t>
  </si>
  <si>
    <t>Timing/Verwaltung; keine Accrual-Wirkung.</t>
  </si>
  <si>
    <t>Reduziert kuenftige Steuerbasis; Mindereinnahmen.</t>
  </si>
  <si>
    <t>Parameteraenderung der Steuerbasis; Mindereinnahmen. Auch temporaer On-Budget (Timing-Effekt).</t>
  </si>
  <si>
    <t>Notes</t>
  </si>
  <si>
    <t>IMF_Classification</t>
  </si>
  <si>
    <t>PolicyName</t>
  </si>
  <si>
    <t>Those who own or are building residential property have received a reimbursement of 60% of the VAT paid for work done on the site (i.e. on the property being built, renovated, or maintained). This % will now be increased to 100%, i.e. all VAT levied on labor inputs will be reimbursed. Rules regarding the refund of VAT for the construction of residential properties have been changed to allow a 100% refund of VAT under certain circumstances from 1 March 2020 through 31 December 2020. Also charitable organisations, sport organisations, rescue squads, the Icelandic Association for Search and Rescue (ICE-SAR), accident prevention associations, can apply for reimbursement of 100% of the VAT they pay on-site for construction, maintenance, or renovation of buildings</t>
  </si>
  <si>
    <t>Arnona-Entlastung (Gewerbesteuer auf Gemeindeebene) – Runde 2 / Verlaengerung in 2021. Staatlich finanzierte Gemeindesteuer-Rabatte für Unternehmen wurden in einer zweiten Runde fortgesetzt; vielerorts bis Juni 2021 (z. B. Tel Aviv 95 % Nachlass bei Erfüllen der Kriterien).</t>
  </si>
  <si>
    <t>Temporary exemption from Air Passengers Tax. Fluggastabgabe (Air Passenger Tax) länger ausgesetzt: Die befristete Aufhebung wurde für 2020 &amp; 2021 verlängert und galt bis 1. Juli 2022. (Du hast die anfängliche Befreiung schon, die spätere Verlängerung fehlt noch.)</t>
  </si>
  <si>
    <t>Exemption from the real estate tax for part of the year 2020 for affected entrepreneurs and non-governmental organizations.</t>
  </si>
  <si>
    <t>„Tarcza Branżowa“ / Branchen-Schutzschirm (ab Nov 2020, mehrfach erweitert in 2021 – Tarcza 6.0, 7.0, 8.0, 9.0):
Befreiung von ZUS-Beiträge(n) für ausgewählte PKD-Branchen (u. a. Gastronomie, Tourismus, Fitness, Event)</t>
  </si>
  <si>
    <t xml:space="preserve">Payment deferral of electricity bills, suspension of peak hour charge for electricity bills </t>
  </si>
  <si>
    <t>Postponement of the otherwise mandatory annual vehicle inspection and circulation permit.</t>
  </si>
  <si>
    <t>Mobile services under COP 71 214 will be exempt from taxes for 4 months since April</t>
  </si>
  <si>
    <t>Exempting dividend payments, interest, and remittances to abroad from income tax;</t>
  </si>
  <si>
    <r>
      <t xml:space="preserve">The administration of federal loans is legally delegated to the cantons. In order to strengthen the liquidity of the borrowers, the Confederation allows the cantons to handle the deferral options more flexibly. </t>
    </r>
    <r>
      <rPr>
        <b/>
        <sz val="11"/>
        <rFont val="Calibri"/>
        <family val="2"/>
        <scheme val="minor"/>
      </rPr>
      <t>In this way, the mountain railway sector in particular can be supported in the short term, since here the repayments are often due after the winter season.</t>
    </r>
  </si>
  <si>
    <t>Mortgage payment delays (announced on July 5); the postponement of mortgage payments of mortgages up to 6 months and with state guarantee</t>
  </si>
  <si>
    <t>1</t>
  </si>
  <si>
    <t>10</t>
  </si>
  <si>
    <t>11</t>
  </si>
  <si>
    <t>12</t>
  </si>
  <si>
    <t>2</t>
  </si>
  <si>
    <t>3</t>
  </si>
  <si>
    <t>4</t>
  </si>
  <si>
    <t>5</t>
  </si>
  <si>
    <t>6</t>
  </si>
  <si>
    <t>7</t>
  </si>
  <si>
    <t>8</t>
  </si>
  <si>
    <t>9</t>
  </si>
  <si>
    <t>13</t>
  </si>
  <si>
    <t>14</t>
  </si>
  <si>
    <t>15</t>
  </si>
  <si>
    <t>16</t>
  </si>
  <si>
    <t>17</t>
  </si>
  <si>
    <t>18</t>
  </si>
  <si>
    <t>19</t>
  </si>
  <si>
    <t>20</t>
  </si>
  <si>
    <t>21</t>
  </si>
  <si>
    <t>22</t>
  </si>
  <si>
    <t>23</t>
  </si>
  <si>
    <t>24</t>
  </si>
  <si>
    <t>25</t>
  </si>
  <si>
    <t>26</t>
  </si>
  <si>
    <t>27</t>
  </si>
  <si>
    <t>28</t>
  </si>
  <si>
    <t>29</t>
  </si>
  <si>
    <t>34</t>
  </si>
  <si>
    <t>30</t>
  </si>
  <si>
    <t>31</t>
  </si>
  <si>
    <t>32</t>
  </si>
  <si>
    <t>33</t>
  </si>
  <si>
    <t>Evictions are suspended and rental payments cannot be increased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</si>
</sst>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0000"/>
  </numFmts>
  <fonts count="33" x14ac:knownFonts="1">
    <font>
      <sz val="11"/>
      <name val="Calibri"/>
    </font>
    <font>
      <sz val="11"/>
      <color theme="1"/>
      <name val="Calibri"/>
      <family val="2"/>
      <scheme val="minor"/>
    </font>
    <font>
      <sz val="11"/>
      <color theme="1"/>
      <name val="Calibri"/>
      <family val="2"/>
      <scheme val="minor"/>
    </font>
    <font>
      <sz val="11"/>
      <name val="Calibri"/>
      <family val="2"/>
    </font>
    <font>
      <b/>
      <i/>
      <sz val="11"/>
      <name val="Calibri"/>
      <family val="2"/>
    </font>
    <font>
      <sz val="8"/>
      <color rgb="FF000000"/>
      <name val="Segoe UI"/>
      <family val="2"/>
    </font>
    <font>
      <sz val="11"/>
      <name val="Calibri"/>
      <family val="2"/>
    </font>
    <font>
      <sz val="11"/>
      <color rgb="FFFF0000"/>
      <name val="Calibri"/>
      <family val="2"/>
      <scheme val="minor"/>
    </font>
    <font>
      <b/>
      <sz val="11"/>
      <name val="Calibri"/>
      <family val="2"/>
    </font>
    <font>
      <sz val="12"/>
      <name val="Aptos"/>
      <family val="2"/>
    </font>
    <font>
      <b/>
      <sz val="12"/>
      <name val="Aptos"/>
      <family val="2"/>
    </font>
    <font>
      <i/>
      <sz val="11"/>
      <name val="Aptos"/>
      <family val="2"/>
    </font>
    <font>
      <sz val="11"/>
      <name val="Aptos"/>
      <family val="2"/>
    </font>
    <font>
      <sz val="7"/>
      <name val="Aptos"/>
      <family val="2"/>
    </font>
    <font>
      <sz val="8"/>
      <name val="Aptos"/>
      <family val="2"/>
    </font>
    <font>
      <b/>
      <sz val="11"/>
      <name val="Aptos"/>
      <family val="2"/>
    </font>
    <font>
      <sz val="6"/>
      <name val="Aptos"/>
      <family val="2"/>
    </font>
    <font>
      <sz val="6"/>
      <color rgb="FFFFFFFF"/>
      <name val="Aptos"/>
      <family val="2"/>
    </font>
    <font>
      <b/>
      <sz val="6"/>
      <name val="Aptos"/>
      <family val="2"/>
    </font>
    <font>
      <b/>
      <u/>
      <sz val="11"/>
      <name val="Aptos"/>
      <family val="2"/>
    </font>
    <font>
      <sz val="11"/>
      <color theme="4"/>
      <name val="Calibri"/>
      <family val="2"/>
    </font>
    <font>
      <sz val="11"/>
      <color theme="4"/>
      <name val="Calibri"/>
      <family val="2"/>
      <scheme val="minor"/>
    </font>
    <font>
      <sz val="11"/>
      <name val="Calibri"/>
      <family val="2"/>
      <scheme val="minor"/>
    </font>
    <font>
      <sz val="11"/>
      <color rgb="FF0070C0"/>
      <name val="Calibri"/>
      <family val="2"/>
      <scheme val="minor"/>
    </font>
    <font>
      <sz val="11"/>
      <color rgb="FF0070C0"/>
      <name val="Calibri"/>
      <family val="2"/>
    </font>
    <font>
      <sz val="12"/>
      <name val="Calibri"/>
      <family val="2"/>
      <scheme val="minor"/>
    </font>
    <font>
      <b/>
      <sz val="11"/>
      <color theme="4"/>
      <name val="Calibri"/>
      <family val="2"/>
      <scheme val="minor"/>
    </font>
    <font>
      <b/>
      <i/>
      <sz val="12"/>
      <name val="Aptos"/>
      <family val="2"/>
    </font>
    <font>
      <i/>
      <sz val="12"/>
      <name val="Aptos"/>
      <family val="2"/>
    </font>
    <font>
      <i/>
      <sz val="7"/>
      <name val="Aptos"/>
      <family val="2"/>
    </font>
    <font>
      <i/>
      <sz val="8"/>
      <name val="Aptos"/>
      <family val="2"/>
    </font>
    <font>
      <i/>
      <sz val="6"/>
      <name val="Aptos"/>
      <family val="2"/>
    </font>
    <font>
      <b/>
      <sz val="11"/>
      <name val="Calibri"/>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6" tint="0.79998168889431442"/>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6" fillId="0" borderId="0" applyFont="0" applyFill="0" applyBorder="0" applyAlignment="0" applyProtection="0"/>
    <xf numFmtId="0" fontId="2" fillId="0" borderId="0"/>
    <xf numFmtId="0" fontId="1" fillId="0" borderId="0"/>
  </cellStyleXfs>
  <cellXfs count="8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3" fillId="0" borderId="0" xfId="0" applyFont="1"/>
    <xf numFmtId="0" fontId="0" fillId="2" borderId="0" xfId="0" applyFill="1"/>
    <xf numFmtId="0" fontId="3" fillId="2" borderId="0" xfId="0" applyFont="1" applyFill="1"/>
    <xf numFmtId="0" fontId="4" fillId="3" borderId="1" xfId="0" applyFont="1" applyFill="1" applyBorder="1" applyAlignment="1">
      <alignment horizontal="right"/>
    </xf>
    <xf numFmtId="0" fontId="4" fillId="3" borderId="3" xfId="0" applyFont="1" applyFill="1" applyBorder="1"/>
    <xf numFmtId="0" fontId="0" fillId="3" borderId="4" xfId="0" applyFill="1" applyBorder="1"/>
    <xf numFmtId="0" fontId="0" fillId="3" borderId="5" xfId="0" applyFill="1" applyBorder="1"/>
    <xf numFmtId="0" fontId="0" fillId="3" borderId="6" xfId="0" applyFill="1" applyBorder="1"/>
    <xf numFmtId="0" fontId="0" fillId="3" borderId="8" xfId="0" applyFill="1" applyBorder="1"/>
    <xf numFmtId="2" fontId="0" fillId="0" borderId="0" xfId="1" applyNumberFormat="1" applyFont="1"/>
    <xf numFmtId="0" fontId="0" fillId="0" borderId="0" xfId="1" applyNumberFormat="1" applyFont="1"/>
    <xf numFmtId="2" fontId="0" fillId="0" borderId="0" xfId="0" applyNumberFormat="1"/>
    <xf numFmtId="2" fontId="3" fillId="0" borderId="0" xfId="0" applyNumberFormat="1" applyFont="1"/>
    <xf numFmtId="1" fontId="0" fillId="0" borderId="0" xfId="0" applyNumberFormat="1"/>
    <xf numFmtId="1" fontId="3" fillId="0" borderId="0" xfId="0" applyNumberFormat="1" applyFont="1"/>
    <xf numFmtId="0" fontId="7" fillId="0" borderId="0" xfId="0" applyFont="1"/>
    <xf numFmtId="0" fontId="7" fillId="0" borderId="0" xfId="0" applyFont="1" applyAlignment="1">
      <alignment wrapText="1"/>
    </xf>
    <xf numFmtId="0" fontId="7" fillId="0" borderId="0" xfId="0" quotePrefix="1" applyFont="1"/>
    <xf numFmtId="0" fontId="8" fillId="0" borderId="0" xfId="0" applyFont="1"/>
    <xf numFmtId="0" fontId="9" fillId="0" borderId="0" xfId="0" applyFont="1" applyAlignment="1">
      <alignment vertical="center" wrapText="1"/>
    </xf>
    <xf numFmtId="0" fontId="9" fillId="0" borderId="0" xfId="0" applyFont="1" applyAlignment="1">
      <alignment horizontal="right" vertical="center" wrapText="1"/>
    </xf>
    <xf numFmtId="0" fontId="10" fillId="0" borderId="7" xfId="0" applyFont="1" applyBorder="1" applyAlignment="1">
      <alignment vertical="center" wrapText="1"/>
    </xf>
    <xf numFmtId="0" fontId="10" fillId="0" borderId="7" xfId="0" applyFont="1" applyBorder="1" applyAlignment="1">
      <alignment horizontal="right" vertical="center" wrapText="1"/>
    </xf>
    <xf numFmtId="0" fontId="11" fillId="0" borderId="0" xfId="0" applyFont="1" applyAlignment="1">
      <alignment vertical="center" wrapText="1"/>
    </xf>
    <xf numFmtId="0" fontId="12" fillId="0" borderId="0" xfId="0" applyFont="1"/>
    <xf numFmtId="2" fontId="13" fillId="0" borderId="0" xfId="0" applyNumberFormat="1" applyFont="1" applyAlignment="1">
      <alignment vertical="center"/>
    </xf>
    <xf numFmtId="2" fontId="14" fillId="0" borderId="0" xfId="0" applyNumberFormat="1" applyFont="1" applyAlignment="1">
      <alignment vertical="center"/>
    </xf>
    <xf numFmtId="0" fontId="15" fillId="0" borderId="7" xfId="0" applyFont="1" applyBorder="1"/>
    <xf numFmtId="164" fontId="12" fillId="0" borderId="0" xfId="1" applyNumberFormat="1" applyFont="1"/>
    <xf numFmtId="165" fontId="12" fillId="0" borderId="0" xfId="0" applyNumberFormat="1" applyFont="1"/>
    <xf numFmtId="2" fontId="12" fillId="0" borderId="0" xfId="0" applyNumberFormat="1" applyFont="1"/>
    <xf numFmtId="0" fontId="16" fillId="0" borderId="9" xfId="0" applyFont="1" applyBorder="1" applyAlignment="1">
      <alignment vertical="center"/>
    </xf>
    <xf numFmtId="0" fontId="16" fillId="0" borderId="9" xfId="0" applyFont="1" applyBorder="1" applyAlignment="1">
      <alignment horizontal="right" vertical="center"/>
    </xf>
    <xf numFmtId="0" fontId="17" fillId="0" borderId="0" xfId="0" applyFont="1" applyAlignment="1">
      <alignment horizontal="right" vertical="center"/>
    </xf>
    <xf numFmtId="0" fontId="18" fillId="0" borderId="0" xfId="0" applyFont="1" applyAlignment="1">
      <alignment vertical="center"/>
    </xf>
    <xf numFmtId="0" fontId="16" fillId="0" borderId="0" xfId="0" applyFont="1" applyAlignment="1">
      <alignment horizontal="right" vertical="center"/>
    </xf>
    <xf numFmtId="0" fontId="17" fillId="0" borderId="0" xfId="0" applyFont="1" applyAlignment="1">
      <alignment horizontal="left" vertical="center" wrapText="1"/>
    </xf>
    <xf numFmtId="0" fontId="19" fillId="0" borderId="0" xfId="0" applyFont="1"/>
    <xf numFmtId="0" fontId="20" fillId="0" borderId="0" xfId="0" applyFont="1"/>
    <xf numFmtId="0" fontId="21" fillId="0" borderId="0" xfId="0" applyFont="1"/>
    <xf numFmtId="0" fontId="21" fillId="0" borderId="0" xfId="0" applyFont="1" applyAlignment="1">
      <alignment wrapText="1"/>
    </xf>
    <xf numFmtId="0" fontId="22" fillId="0" borderId="0" xfId="0" applyFont="1"/>
    <xf numFmtId="0" fontId="23" fillId="0" borderId="0" xfId="0" applyFont="1"/>
    <xf numFmtId="0" fontId="24" fillId="0" borderId="0" xfId="0" applyFont="1"/>
    <xf numFmtId="14" fontId="3" fillId="0" borderId="0" xfId="0" applyNumberFormat="1" applyFont="1"/>
    <xf numFmtId="0" fontId="25" fillId="0" borderId="0" xfId="0" applyFont="1"/>
    <xf numFmtId="0" fontId="26" fillId="0" borderId="0" xfId="0" applyFont="1"/>
    <xf numFmtId="0" fontId="21" fillId="0" borderId="0" xfId="0" quotePrefix="1" applyFont="1"/>
    <xf numFmtId="0" fontId="21" fillId="0" borderId="0" xfId="0" quotePrefix="1" applyFont="1" applyAlignment="1">
      <alignment wrapText="1"/>
    </xf>
    <xf numFmtId="0" fontId="1" fillId="0" borderId="0" xfId="3"/>
    <xf numFmtId="0" fontId="1" fillId="6" borderId="0" xfId="3" applyFill="1"/>
    <xf numFmtId="0" fontId="1" fillId="7" borderId="0" xfId="3" applyFill="1"/>
    <xf numFmtId="0" fontId="1" fillId="5" borderId="0" xfId="3" applyFill="1"/>
    <xf numFmtId="0" fontId="8" fillId="0" borderId="9" xfId="3" applyFont="1" applyBorder="1" applyAlignment="1">
      <alignment horizontal="center" vertical="top"/>
    </xf>
    <xf numFmtId="0" fontId="27" fillId="0" borderId="7" xfId="0" applyFont="1" applyBorder="1" applyAlignment="1">
      <alignment horizontal="right" vertical="center" wrapText="1"/>
    </xf>
    <xf numFmtId="0" fontId="28" fillId="0" borderId="0" xfId="0" applyFont="1" applyAlignment="1">
      <alignment horizontal="right" vertical="center" wrapText="1"/>
    </xf>
    <xf numFmtId="0" fontId="11" fillId="0" borderId="0" xfId="0" applyFont="1"/>
    <xf numFmtId="1" fontId="11" fillId="0" borderId="0" xfId="0" applyNumberFormat="1" applyFont="1"/>
    <xf numFmtId="2" fontId="29" fillId="0" borderId="0" xfId="0" applyNumberFormat="1" applyFont="1" applyAlignment="1">
      <alignment vertical="center"/>
    </xf>
    <xf numFmtId="2" fontId="30" fillId="0" borderId="0" xfId="0" applyNumberFormat="1" applyFont="1" applyAlignment="1">
      <alignment vertical="center"/>
    </xf>
    <xf numFmtId="0" fontId="31" fillId="0" borderId="0" xfId="0" applyFont="1" applyAlignment="1">
      <alignment horizontal="right" vertical="center"/>
    </xf>
    <xf numFmtId="164" fontId="12" fillId="0" borderId="0" xfId="1" applyNumberFormat="1" applyFont="1" applyFill="1"/>
    <xf numFmtId="0" fontId="21" fillId="0" borderId="0" xfId="0" applyFont="1" applyAlignment="1"/>
    <xf numFmtId="0" fontId="21" fillId="0" borderId="0" xfId="0" quotePrefix="1" applyFont="1" applyAlignment="1"/>
    <xf numFmtId="0" fontId="8" fillId="4" borderId="0" xfId="0" applyFont="1" applyFill="1" applyAlignment="1">
      <alignment horizontal="center"/>
    </xf>
    <xf numFmtId="0" fontId="3" fillId="5" borderId="0" xfId="0" applyFont="1" applyFill="1" applyAlignment="1">
      <alignment horizontal="center"/>
    </xf>
    <xf numFmtId="0" fontId="0" fillId="5" borderId="0" xfId="0" applyFill="1" applyAlignment="1">
      <alignment horizontal="center"/>
    </xf>
    <xf numFmtId="0" fontId="0" fillId="0" borderId="0" xfId="0" applyAlignment="1">
      <alignment horizontal="center"/>
    </xf>
    <xf numFmtId="1" fontId="3" fillId="0" borderId="0" xfId="0" applyNumberFormat="1" applyFont="1" applyAlignment="1">
      <alignment horizontal="center"/>
    </xf>
    <xf numFmtId="1" fontId="0" fillId="0" borderId="0" xfId="0" applyNumberFormat="1" applyAlignment="1">
      <alignment horizontal="center"/>
    </xf>
    <xf numFmtId="0" fontId="3" fillId="0" borderId="0" xfId="0" applyFont="1" applyAlignment="1">
      <alignment horizontal="center"/>
    </xf>
  </cellXfs>
  <cellStyles count="4">
    <cellStyle name="Normal" xfId="0" builtinId="0"/>
    <cellStyle name="Percent" xfId="1" builtinId="5"/>
    <cellStyle name="Standard 2" xfId="2" xr:uid="{33EACA56-9521-401F-AA2B-3735A87750C5}"/>
    <cellStyle name="Standard 3" xfId="3" xr:uid="{A596752A-F0FB-40FD-9199-20A41FAB0A74}"/>
  </cellStyles>
  <dxfs count="14">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s>
  <tableStyles count="0" defaultTableStyle="TableStyleMedium2" defaultPivotStyle="PivotStyleLight16"/>
  <colors>
    <mruColors>
      <color rgb="FFDBFFEF"/>
      <color rgb="FFD49B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 Id="rId27"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764305641345296"/>
          <c:y val="0.32306988509089712"/>
          <c:w val="0.45087789130720712"/>
          <c:h val="0.47486320508195351"/>
        </c:manualLayout>
      </c:layout>
      <c:barChart>
        <c:barDir val="bar"/>
        <c:grouping val="clustered"/>
        <c:varyColors val="0"/>
        <c:ser>
          <c:idx val="0"/>
          <c:order val="0"/>
          <c:spPr>
            <a:solidFill>
              <a:srgbClr val="C00000"/>
            </a:solidFill>
            <a:ln>
              <a:noFill/>
            </a:ln>
            <a:effectLst/>
          </c:spPr>
          <c:invertIfNegative val="0"/>
          <c:cat>
            <c:strRef>
              <c:f>'Sample Select backend'!$AB$3:$AB$6</c:f>
              <c:strCache>
                <c:ptCount val="4"/>
                <c:pt idx="0">
                  <c:v>Other</c:v>
                </c:pt>
                <c:pt idx="1">
                  <c:v>Preferential loans to households</c:v>
                </c:pt>
                <c:pt idx="2">
                  <c:v>One-off grants</c:v>
                </c:pt>
                <c:pt idx="3">
                  <c:v>Preferential loans to firms</c:v>
                </c:pt>
              </c:strCache>
            </c:strRef>
          </c:cat>
          <c:val>
            <c:numRef>
              <c:f>'Sample Select backend'!$AC$3:$AC$6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A51B-4B9A-AEC5-C5857A4DE57B}"/>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91095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Boosting consumption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manualLayout>
          <c:layoutTarget val="inner"/>
          <c:xMode val="edge"/>
          <c:yMode val="edge"/>
          <c:x val="0.49091920240389453"/>
          <c:y val="0.36699625791482571"/>
          <c:w val="0.40270249009637882"/>
          <c:h val="0.40346269484670538"/>
        </c:manualLayout>
      </c:layout>
      <c:barChart>
        <c:barDir val="bar"/>
        <c:grouping val="clustered"/>
        <c:varyColors val="0"/>
        <c:ser>
          <c:idx val="0"/>
          <c:order val="0"/>
          <c:spPr>
            <a:solidFill>
              <a:schemeClr val="accent6">
                <a:lumMod val="75000"/>
              </a:schemeClr>
            </a:solidFill>
            <a:ln>
              <a:noFill/>
            </a:ln>
            <a:effectLst/>
          </c:spPr>
          <c:invertIfNegative val="0"/>
          <c:cat>
            <c:strRef>
              <c:f>'Sample Select backend'!$AB$21:$AB$23</c:f>
              <c:strCache>
                <c:ptCount val="3"/>
                <c:pt idx="0">
                  <c:v>Other</c:v>
                </c:pt>
                <c:pt idx="1">
                  <c:v>Tax exemption/waiver/suspension</c:v>
                </c:pt>
                <c:pt idx="2">
                  <c:v>Lower tax rates</c:v>
                </c:pt>
              </c:strCache>
            </c:strRef>
          </c:cat>
          <c:val>
            <c:numRef>
              <c:f>'Sample Select backend'!$AC$21:$AC$23</c:f>
              <c:numCache>
                <c:formatCode>General</c:formatCode>
                <c:ptCount val="3"/>
                <c:pt idx="0">
                  <c:v>0</c:v>
                </c:pt>
                <c:pt idx="1">
                  <c:v>0</c:v>
                </c:pt>
                <c:pt idx="2">
                  <c:v>0</c:v>
                </c:pt>
              </c:numCache>
            </c:numRef>
          </c:val>
          <c:extLst>
            <c:ext xmlns:c16="http://schemas.microsoft.com/office/drawing/2014/chart" uri="{C3380CC4-5D6E-409C-BE32-E72D297353CC}">
              <c16:uniqueId val="{00000000-0B60-4B87-976F-95C75983DB2A}"/>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91095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Promoting Availability of Medical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manualLayout>
          <c:layoutTarget val="inner"/>
          <c:xMode val="edge"/>
          <c:yMode val="edge"/>
          <c:x val="0.48836960730314716"/>
          <c:y val="0.37433265996690918"/>
          <c:w val="0.38752051828786127"/>
          <c:h val="0.39153767540771517"/>
        </c:manualLayout>
      </c:layout>
      <c:barChart>
        <c:barDir val="bar"/>
        <c:grouping val="clustered"/>
        <c:varyColors val="0"/>
        <c:ser>
          <c:idx val="0"/>
          <c:order val="0"/>
          <c:spPr>
            <a:solidFill>
              <a:schemeClr val="accent2">
                <a:lumMod val="75000"/>
              </a:schemeClr>
            </a:solidFill>
            <a:ln>
              <a:noFill/>
            </a:ln>
            <a:effectLst/>
          </c:spPr>
          <c:invertIfNegative val="0"/>
          <c:cat>
            <c:strRef>
              <c:f>'Sample Select backend'!$AB$25:$AB$27</c:f>
              <c:strCache>
                <c:ptCount val="3"/>
                <c:pt idx="0">
                  <c:v>Other</c:v>
                </c:pt>
                <c:pt idx="1">
                  <c:v>Tax exemption/waiver/suspension</c:v>
                </c:pt>
                <c:pt idx="2">
                  <c:v>Lower tax rates for medical items</c:v>
                </c:pt>
              </c:strCache>
            </c:strRef>
          </c:cat>
          <c:val>
            <c:numRef>
              <c:f>'Sample Select backend'!$AC$25:$AC$27</c:f>
              <c:numCache>
                <c:formatCode>General</c:formatCode>
                <c:ptCount val="3"/>
                <c:pt idx="0">
                  <c:v>0</c:v>
                </c:pt>
                <c:pt idx="1">
                  <c:v>0</c:v>
                </c:pt>
                <c:pt idx="2">
                  <c:v>0</c:v>
                </c:pt>
              </c:numCache>
            </c:numRef>
          </c:val>
          <c:extLst>
            <c:ext xmlns:c16="http://schemas.microsoft.com/office/drawing/2014/chart" uri="{C3380CC4-5D6E-409C-BE32-E72D297353CC}">
              <c16:uniqueId val="{00000000-20BA-4E52-B6F2-B2794DFEC2DE}"/>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91095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Protecting Individuals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barChart>
        <c:barDir val="bar"/>
        <c:grouping val="clustered"/>
        <c:varyColors val="0"/>
        <c:ser>
          <c:idx val="0"/>
          <c:order val="0"/>
          <c:spPr>
            <a:solidFill>
              <a:srgbClr val="00B0F0"/>
            </a:solidFill>
            <a:ln>
              <a:noFill/>
            </a:ln>
            <a:effectLst/>
          </c:spPr>
          <c:invertIfNegative val="0"/>
          <c:cat>
            <c:strRef>
              <c:f>'Sample Select backend'!$AB$29:$AB$36</c:f>
              <c:strCache>
                <c:ptCount val="8"/>
                <c:pt idx="0">
                  <c:v>Other</c:v>
                </c:pt>
                <c:pt idx="1">
                  <c:v>Tax exemption/waiver/suspension</c:v>
                </c:pt>
                <c:pt idx="2">
                  <c:v>Tax credits</c:v>
                </c:pt>
                <c:pt idx="3">
                  <c:v>Broaden tax deductibility</c:v>
                </c:pt>
                <c:pt idx="4">
                  <c:v>Tax amnesty / incentives</c:v>
                </c:pt>
                <c:pt idx="5">
                  <c:v>Tax rate reduction</c:v>
                </c:pt>
                <c:pt idx="6">
                  <c:v>Deferral of tax payments</c:v>
                </c:pt>
                <c:pt idx="7">
                  <c:v>Deferral of tax filing</c:v>
                </c:pt>
              </c:strCache>
            </c:strRef>
          </c:cat>
          <c:val>
            <c:numRef>
              <c:f>'Sample Select backend'!$AC$29:$AC$36</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F32F-454B-94F1-0FA7FC3C9705}"/>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91095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Protecting Businesses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3">
                <a:lumMod val="75000"/>
              </a:schemeClr>
            </a:solidFill>
            <a:ln>
              <a:noFill/>
            </a:ln>
            <a:effectLst/>
          </c:spPr>
          <c:invertIfNegative val="0"/>
          <c:cat>
            <c:strRef>
              <c:f>'Sample Select backend'!$AB$38:$AB$51</c:f>
              <c:strCache>
                <c:ptCount val="14"/>
                <c:pt idx="0">
                  <c:v>Other</c:v>
                </c:pt>
                <c:pt idx="1">
                  <c:v>Tax exemption/waiver/suspension</c:v>
                </c:pt>
                <c:pt idx="2">
                  <c:v>Suspend audit activities</c:v>
                </c:pt>
                <c:pt idx="3">
                  <c:v>Suspend debt collection</c:v>
                </c:pt>
                <c:pt idx="4">
                  <c:v>Lower advance payment</c:v>
                </c:pt>
                <c:pt idx="5">
                  <c:v>Accelerating refunds</c:v>
                </c:pt>
                <c:pt idx="6">
                  <c:v>Tax amnesty / incentives</c:v>
                </c:pt>
                <c:pt idx="7">
                  <c:v>Tax rate reduction</c:v>
                </c:pt>
                <c:pt idx="8">
                  <c:v>Deferral of tax payments</c:v>
                </c:pt>
                <c:pt idx="9">
                  <c:v>Deferral of tax filing</c:v>
                </c:pt>
                <c:pt idx="10">
                  <c:v>Tax credits</c:v>
                </c:pt>
                <c:pt idx="11">
                  <c:v>Broaden tax deductibility</c:v>
                </c:pt>
                <c:pt idx="12">
                  <c:v>Extend loss carry-forward (CIT)</c:v>
                </c:pt>
                <c:pt idx="13">
                  <c:v>Accelerated asset depreciation (CIT)</c:v>
                </c:pt>
              </c:strCache>
            </c:strRef>
          </c:cat>
          <c:val>
            <c:numRef>
              <c:f>'Sample Select backend'!$AC$38:$AC$51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5F10-4797-878A-A5BB2D5CB488}"/>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91095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Cash Transfers to Individuals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manualLayout>
          <c:layoutTarget val="inner"/>
          <c:xMode val="edge"/>
          <c:yMode val="edge"/>
          <c:x val="0.49479141716430269"/>
          <c:y val="0.26158795494655984"/>
          <c:w val="0.3144649095312983"/>
          <c:h val="0.57479955084283607"/>
        </c:manualLayout>
      </c:layout>
      <c:barChart>
        <c:barDir val="bar"/>
        <c:grouping val="clustered"/>
        <c:varyColors val="0"/>
        <c:ser>
          <c:idx val="0"/>
          <c:order val="0"/>
          <c:spPr>
            <a:solidFill>
              <a:schemeClr val="accent4"/>
            </a:solidFill>
            <a:ln>
              <a:noFill/>
            </a:ln>
            <a:effectLst/>
          </c:spPr>
          <c:invertIfNegative val="0"/>
          <c:cat>
            <c:strRef>
              <c:f>'Sample Select backend'!$AB$8:$AB$13</c:f>
              <c:strCache>
                <c:ptCount val="6"/>
                <c:pt idx="0">
                  <c:v>Other</c:v>
                </c:pt>
                <c:pt idx="1">
                  <c:v>Wage compensation/ enhanced paid leave</c:v>
                </c:pt>
                <c:pt idx="2">
                  <c:v>Supplementary ad hoc programs</c:v>
                </c:pt>
                <c:pt idx="3">
                  <c:v>Temporary expansion of existing benefits</c:v>
                </c:pt>
                <c:pt idx="4">
                  <c:v>Expansion of unemployment benefits</c:v>
                </c:pt>
                <c:pt idx="5">
                  <c:v>Direct cash transfers for individuals</c:v>
                </c:pt>
              </c:strCache>
            </c:strRef>
          </c:cat>
          <c:val>
            <c:numRef>
              <c:f>'Sample Select backend'!$AC$8:$AC$13</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3C4F-4583-8E82-A9488A144F23}"/>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91095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Health Expenditures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manualLayout>
          <c:layoutTarget val="inner"/>
          <c:xMode val="edge"/>
          <c:yMode val="edge"/>
          <c:x val="0.4660805446329388"/>
          <c:y val="0.2843283010007322"/>
          <c:w val="0.36850780327949573"/>
          <c:h val="0.53783605472850338"/>
        </c:manualLayout>
      </c:layout>
      <c:barChart>
        <c:barDir val="bar"/>
        <c:grouping val="clustered"/>
        <c:varyColors val="0"/>
        <c:ser>
          <c:idx val="0"/>
          <c:order val="0"/>
          <c:spPr>
            <a:solidFill>
              <a:srgbClr val="7030A0"/>
            </a:solidFill>
            <a:ln>
              <a:noFill/>
            </a:ln>
            <a:effectLst/>
          </c:spPr>
          <c:invertIfNegative val="0"/>
          <c:cat>
            <c:strRef>
              <c:f>'Sample Select backend'!$AB$15:$AB$19</c:f>
              <c:strCache>
                <c:ptCount val="5"/>
                <c:pt idx="0">
                  <c:v>General</c:v>
                </c:pt>
                <c:pt idx="1">
                  <c:v>Expansion of human resources</c:v>
                </c:pt>
                <c:pt idx="2">
                  <c:v>Targeted infrastructure investments</c:v>
                </c:pt>
                <c:pt idx="3">
                  <c:v>Supply of high cost medical items</c:v>
                </c:pt>
                <c:pt idx="4">
                  <c:v>Supply of low cost medical items</c:v>
                </c:pt>
              </c:strCache>
            </c:strRef>
          </c:cat>
          <c:val>
            <c:numRef>
              <c:f>'Sample Select backend'!$AC$15:$AC$19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087B-4D11-9FF2-86DAFC2C7F5A}"/>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91095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High-Level Policy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0.48677384203770296"/>
          <c:y val="0.20491712707182319"/>
          <c:w val="0.4701183475788337"/>
          <c:h val="0.6669156479749424"/>
        </c:manualLayout>
      </c:layout>
      <c:barChart>
        <c:barDir val="bar"/>
        <c:grouping val="clustered"/>
        <c:varyColors val="0"/>
        <c:ser>
          <c:idx val="0"/>
          <c:order val="0"/>
          <c:spPr>
            <a:solidFill>
              <a:schemeClr val="accent1"/>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7-19D7-4419-9368-08E7DC8D6CB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6-19D7-4419-9368-08E7DC8D6CB5}"/>
              </c:ext>
            </c:extLst>
          </c:dPt>
          <c:dPt>
            <c:idx val="4"/>
            <c:invertIfNegative val="0"/>
            <c:bubble3D val="0"/>
            <c:spPr>
              <a:solidFill>
                <a:srgbClr val="7030A0"/>
              </a:solidFill>
              <a:ln>
                <a:noFill/>
              </a:ln>
              <a:effectLst/>
            </c:spPr>
            <c:extLst>
              <c:ext xmlns:c16="http://schemas.microsoft.com/office/drawing/2014/chart" uri="{C3380CC4-5D6E-409C-BE32-E72D297353CC}">
                <c16:uniqueId val="{00000005-19D7-4419-9368-08E7DC8D6CB5}"/>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4-19D7-4419-9368-08E7DC8D6CB5}"/>
              </c:ext>
            </c:extLst>
          </c:dPt>
          <c:dPt>
            <c:idx val="7"/>
            <c:invertIfNegative val="0"/>
            <c:bubble3D val="0"/>
            <c:spPr>
              <a:solidFill>
                <a:schemeClr val="accent2">
                  <a:lumMod val="75000"/>
                </a:schemeClr>
              </a:solidFill>
              <a:ln>
                <a:noFill/>
              </a:ln>
              <a:effectLst/>
            </c:spPr>
            <c:extLst>
              <c:ext xmlns:c16="http://schemas.microsoft.com/office/drawing/2014/chart" uri="{C3380CC4-5D6E-409C-BE32-E72D297353CC}">
                <c16:uniqueId val="{00000003-19D7-4419-9368-08E7DC8D6CB5}"/>
              </c:ext>
            </c:extLst>
          </c:dPt>
          <c:dPt>
            <c:idx val="8"/>
            <c:invertIfNegative val="0"/>
            <c:bubble3D val="0"/>
            <c:spPr>
              <a:solidFill>
                <a:srgbClr val="00B0F0"/>
              </a:solidFill>
              <a:ln>
                <a:noFill/>
              </a:ln>
              <a:effectLst/>
            </c:spPr>
            <c:extLst>
              <c:ext xmlns:c16="http://schemas.microsoft.com/office/drawing/2014/chart" uri="{C3380CC4-5D6E-409C-BE32-E72D297353CC}">
                <c16:uniqueId val="{00000002-19D7-4419-9368-08E7DC8D6CB5}"/>
              </c:ext>
            </c:extLst>
          </c:dPt>
          <c:dPt>
            <c:idx val="9"/>
            <c:invertIfNegative val="0"/>
            <c:bubble3D val="0"/>
            <c:spPr>
              <a:solidFill>
                <a:schemeClr val="accent3">
                  <a:lumMod val="75000"/>
                </a:schemeClr>
              </a:solidFill>
              <a:ln>
                <a:noFill/>
              </a:ln>
              <a:effectLst/>
            </c:spPr>
            <c:extLst>
              <c:ext xmlns:c16="http://schemas.microsoft.com/office/drawing/2014/chart" uri="{C3380CC4-5D6E-409C-BE32-E72D297353CC}">
                <c16:uniqueId val="{00000001-19D7-4419-9368-08E7DC8D6CB5}"/>
              </c:ext>
            </c:extLst>
          </c:dPt>
          <c:cat>
            <c:strRef>
              <c:f>'Sample Select backend'!$R$52:$R$61</c:f>
              <c:strCache>
                <c:ptCount val="10"/>
                <c:pt idx="0">
                  <c:v>Other measures</c:v>
                </c:pt>
                <c:pt idx="1">
                  <c:v>Credit and equity measures</c:v>
                </c:pt>
                <c:pt idx="2">
                  <c:v>Expenditure Measures for businesses</c:v>
                </c:pt>
                <c:pt idx="3">
                  <c:v>Expenditure Measures for cash transfers to individuals</c:v>
                </c:pt>
                <c:pt idx="4">
                  <c:v>Health Expenditures measures</c:v>
                </c:pt>
                <c:pt idx="5">
                  <c:v>Revenue Measures to raise revenue</c:v>
                </c:pt>
                <c:pt idx="6">
                  <c:v>Revenue Measures to boost consumption / demand</c:v>
                </c:pt>
                <c:pt idx="7">
                  <c:v>Revenue Measures to promote availability of medical items</c:v>
                </c:pt>
                <c:pt idx="8">
                  <c:v>Revenue Measures to protect individuals</c:v>
                </c:pt>
                <c:pt idx="9">
                  <c:v>Revenue Measures to protect businesses</c:v>
                </c:pt>
              </c:strCache>
            </c:strRef>
          </c:cat>
          <c:val>
            <c:numRef>
              <c:f>'Sample Select backend'!$Q$52:$Q$61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19D7-4419-9368-08E7DC8D6CB5}"/>
            </c:ext>
          </c:extLst>
        </c:ser>
        <c:dLbls>
          <c:showLegendKey val="0"/>
          <c:showVal val="0"/>
          <c:showCatName val="0"/>
          <c:showSerName val="0"/>
          <c:showPercent val="0"/>
          <c:showBubbleSize val="0"/>
        </c:dLbls>
        <c:gapWidth val="32"/>
        <c:axId val="910941519"/>
        <c:axId val="601720559"/>
      </c:barChart>
      <c:catAx>
        <c:axId val="91094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de-DE"/>
          </a:p>
        </c:txPr>
        <c:crossAx val="601720559"/>
        <c:crosses val="autoZero"/>
        <c:auto val="1"/>
        <c:lblAlgn val="ctr"/>
        <c:lblOffset val="100"/>
        <c:noMultiLvlLbl val="0"/>
      </c:catAx>
      <c:valAx>
        <c:axId val="601720559"/>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91094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Measures Added</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barChart>
        <c:barDir val="col"/>
        <c:grouping val="clustered"/>
        <c:varyColors val="0"/>
        <c:ser>
          <c:idx val="0"/>
          <c:order val="0"/>
          <c:spPr>
            <a:solidFill>
              <a:srgbClr val="002060"/>
            </a:solidFill>
            <a:ln>
              <a:noFill/>
            </a:ln>
            <a:effectLst/>
          </c:spPr>
          <c:invertIfNegative val="0"/>
          <c:cat>
            <c:strRef>
              <c:f>'Sample Select backend'!$AT$5:$AU$5</c:f>
              <c:strCache>
                <c:ptCount val="2"/>
                <c:pt idx="0">
                  <c:v>May 1 2020</c:v>
                </c:pt>
                <c:pt idx="1">
                  <c:v>Sept 1 2020</c:v>
                </c:pt>
              </c:strCache>
            </c:strRef>
          </c:cat>
          <c:val>
            <c:numRef>
              <c:f>'Sample Select backend'!$AT$6:$AU$6</c:f>
              <c:numCache>
                <c:formatCode>General</c:formatCode>
                <c:ptCount val="2"/>
                <c:pt idx="0">
                  <c:v>0</c:v>
                </c:pt>
                <c:pt idx="1">
                  <c:v>0</c:v>
                </c:pt>
              </c:numCache>
            </c:numRef>
          </c:val>
          <c:extLst>
            <c:ext xmlns:c16="http://schemas.microsoft.com/office/drawing/2014/chart" uri="{C3380CC4-5D6E-409C-BE32-E72D297353CC}">
              <c16:uniqueId val="{00000000-0F43-4154-8593-D2D69D7C7E74}"/>
            </c:ext>
          </c:extLst>
        </c:ser>
        <c:dLbls>
          <c:showLegendKey val="0"/>
          <c:showVal val="0"/>
          <c:showCatName val="0"/>
          <c:showSerName val="0"/>
          <c:showPercent val="0"/>
          <c:showBubbleSize val="0"/>
        </c:dLbls>
        <c:gapWidth val="25"/>
        <c:overlap val="-27"/>
        <c:axId val="1960532079"/>
        <c:axId val="275889135"/>
      </c:barChart>
      <c:catAx>
        <c:axId val="196053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275889135"/>
        <c:crosses val="autoZero"/>
        <c:auto val="1"/>
        <c:lblAlgn val="ctr"/>
        <c:lblOffset val="100"/>
        <c:noMultiLvlLbl val="0"/>
      </c:catAx>
      <c:valAx>
        <c:axId val="275889135"/>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96053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'Policy select backend'!$S$32</c:f>
          <c:strCache>
            <c:ptCount val="1"/>
            <c:pt idx="0">
              <c:v>by Lending Category</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strRef>
              <c:f>'Policy select backend'!$H$31:$H$34</c:f>
              <c:strCache>
                <c:ptCount val="4"/>
                <c:pt idx="0">
                  <c:v>IDA/Blend</c:v>
                </c:pt>
                <c:pt idx="1">
                  <c:v>IBRD</c:v>
                </c:pt>
                <c:pt idx="2">
                  <c:v>Non IDA/IBRD</c:v>
                </c:pt>
                <c:pt idx="3">
                  <c:v>Selected Sample</c:v>
                </c:pt>
              </c:strCache>
            </c:strRef>
          </c:cat>
          <c:val>
            <c:numRef>
              <c:f>[0]!Lending_added</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60B1-4CEE-9CC4-63E507DDE9EB}"/>
            </c:ext>
          </c:extLst>
        </c:ser>
        <c:dLbls>
          <c:showLegendKey val="0"/>
          <c:showVal val="0"/>
          <c:showCatName val="0"/>
          <c:showSerName val="0"/>
          <c:showPercent val="0"/>
          <c:showBubbleSize val="0"/>
        </c:dLbls>
        <c:gapWidth val="32"/>
        <c:overlap val="-27"/>
        <c:axId val="543098352"/>
        <c:axId val="687371808"/>
      </c:barChart>
      <c:catAx>
        <c:axId val="54309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687371808"/>
        <c:crosses val="autoZero"/>
        <c:auto val="1"/>
        <c:lblAlgn val="ctr"/>
        <c:lblOffset val="100"/>
        <c:noMultiLvlLbl val="0"/>
      </c:catAx>
      <c:valAx>
        <c:axId val="687371808"/>
        <c:scaling>
          <c:orientation val="minMax"/>
        </c:scaling>
        <c:delete val="0"/>
        <c:axPos val="l"/>
        <c:majorGridlines>
          <c:spPr>
            <a:ln w="6350" cap="flat" cmpd="sng" algn="ctr">
              <a:solidFill>
                <a:schemeClr val="tx1">
                  <a:lumMod val="15000"/>
                  <a:lumOff val="85000"/>
                </a:schemeClr>
              </a:solidFill>
              <a:prstDash val="dash"/>
              <a:round/>
            </a:ln>
            <a:effectLst/>
          </c:spPr>
        </c:majorGridlines>
        <c:title>
          <c:tx>
            <c:strRef>
              <c:f>'Policy select backend'!$E$9</c:f>
              <c:strCache>
                <c:ptCount val="1"/>
                <c:pt idx="0">
                  <c:v>% of total policies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43098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'Policy select backend'!$S$38</c:f>
          <c:strCache>
            <c:ptCount val="1"/>
            <c:pt idx="0">
              <c:v>by Income Group</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2"/>
            </a:solidFill>
            <a:ln>
              <a:noFill/>
            </a:ln>
            <a:effectLst/>
          </c:spPr>
          <c:invertIfNegative val="0"/>
          <c:cat>
            <c:strRef>
              <c:f>'Policy select backend'!$F$37:$F$41</c:f>
              <c:strCache>
                <c:ptCount val="5"/>
                <c:pt idx="0">
                  <c:v>LIC</c:v>
                </c:pt>
                <c:pt idx="1">
                  <c:v>LMIC</c:v>
                </c:pt>
                <c:pt idx="2">
                  <c:v>UMIC</c:v>
                </c:pt>
                <c:pt idx="3">
                  <c:v>HIC</c:v>
                </c:pt>
                <c:pt idx="4">
                  <c:v>Selected Sample</c:v>
                </c:pt>
              </c:strCache>
            </c:strRef>
          </c:cat>
          <c:val>
            <c:numRef>
              <c:f>[0]!Income_added</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CF20-4508-95F7-8BBF2AA05A2E}"/>
            </c:ext>
          </c:extLst>
        </c:ser>
        <c:dLbls>
          <c:showLegendKey val="0"/>
          <c:showVal val="0"/>
          <c:showCatName val="0"/>
          <c:showSerName val="0"/>
          <c:showPercent val="0"/>
          <c:showBubbleSize val="0"/>
        </c:dLbls>
        <c:gapWidth val="32"/>
        <c:overlap val="-27"/>
        <c:axId val="543098352"/>
        <c:axId val="687371808"/>
      </c:barChart>
      <c:catAx>
        <c:axId val="54309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687371808"/>
        <c:crosses val="autoZero"/>
        <c:auto val="1"/>
        <c:lblAlgn val="ctr"/>
        <c:lblOffset val="100"/>
        <c:noMultiLvlLbl val="0"/>
      </c:catAx>
      <c:valAx>
        <c:axId val="687371808"/>
        <c:scaling>
          <c:orientation val="minMax"/>
        </c:scaling>
        <c:delete val="0"/>
        <c:axPos val="l"/>
        <c:majorGridlines>
          <c:spPr>
            <a:ln w="6350" cap="flat" cmpd="sng" algn="ctr">
              <a:solidFill>
                <a:schemeClr val="tx1">
                  <a:lumMod val="15000"/>
                  <a:lumOff val="85000"/>
                </a:schemeClr>
              </a:solidFill>
              <a:prstDash val="dash"/>
              <a:round/>
            </a:ln>
            <a:effectLst/>
          </c:spPr>
        </c:majorGridlines>
        <c:title>
          <c:tx>
            <c:strRef>
              <c:f>'Policy select backend'!$E$9</c:f>
              <c:strCache>
                <c:ptCount val="1"/>
                <c:pt idx="0">
                  <c:v>% of total policies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43098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'Policy select backend'!$S$44</c:f>
          <c:strCache>
            <c:ptCount val="1"/>
            <c:pt idx="0">
              <c:v>by Region</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6"/>
            </a:solidFill>
            <a:ln>
              <a:noFill/>
            </a:ln>
            <a:effectLst/>
          </c:spPr>
          <c:invertIfNegative val="0"/>
          <c:cat>
            <c:strRef>
              <c:f>'Policy select backend'!$F$43:$F$50</c:f>
              <c:strCache>
                <c:ptCount val="8"/>
                <c:pt idx="0">
                  <c:v>SSA</c:v>
                </c:pt>
                <c:pt idx="1">
                  <c:v>SA</c:v>
                </c:pt>
                <c:pt idx="2">
                  <c:v>NA</c:v>
                </c:pt>
                <c:pt idx="3">
                  <c:v>MENA</c:v>
                </c:pt>
                <c:pt idx="4">
                  <c:v>LAC</c:v>
                </c:pt>
                <c:pt idx="5">
                  <c:v>ECA</c:v>
                </c:pt>
                <c:pt idx="6">
                  <c:v>EAP</c:v>
                </c:pt>
                <c:pt idx="7">
                  <c:v>Sample</c:v>
                </c:pt>
              </c:strCache>
            </c:strRef>
          </c:cat>
          <c:val>
            <c:numRef>
              <c:f>[0]!Regions_added</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EBE6-4C70-B8AA-D017E185DDF2}"/>
            </c:ext>
          </c:extLst>
        </c:ser>
        <c:dLbls>
          <c:showLegendKey val="0"/>
          <c:showVal val="0"/>
          <c:showCatName val="0"/>
          <c:showSerName val="0"/>
          <c:showPercent val="0"/>
          <c:showBubbleSize val="0"/>
        </c:dLbls>
        <c:gapWidth val="32"/>
        <c:axId val="543098352"/>
        <c:axId val="687371808"/>
      </c:barChart>
      <c:catAx>
        <c:axId val="54309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687371808"/>
        <c:crosses val="autoZero"/>
        <c:auto val="1"/>
        <c:lblAlgn val="ctr"/>
        <c:lblOffset val="100"/>
        <c:noMultiLvlLbl val="0"/>
      </c:catAx>
      <c:valAx>
        <c:axId val="687371808"/>
        <c:scaling>
          <c:orientation val="minMax"/>
        </c:scaling>
        <c:delete val="0"/>
        <c:axPos val="b"/>
        <c:majorGridlines>
          <c:spPr>
            <a:ln w="6350" cap="flat" cmpd="sng" algn="ctr">
              <a:solidFill>
                <a:schemeClr val="tx1">
                  <a:lumMod val="15000"/>
                  <a:lumOff val="85000"/>
                </a:schemeClr>
              </a:solidFill>
              <a:prstDash val="dash"/>
              <a:round/>
            </a:ln>
            <a:effectLst/>
          </c:spPr>
        </c:majorGridlines>
        <c:title>
          <c:tx>
            <c:strRef>
              <c:f>'Policy select backend'!$E$9</c:f>
              <c:strCache>
                <c:ptCount val="1"/>
                <c:pt idx="0">
                  <c:v>% of total policies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43098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'Policy select backend'!$S$52</c:f>
          <c:strCache>
            <c:ptCount val="1"/>
            <c:pt idx="0">
              <c:v>by FCV Status</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de-DE"/>
        </a:p>
      </c:txPr>
    </c:title>
    <c:autoTitleDeleted val="0"/>
    <c:plotArea>
      <c:layout/>
      <c:barChart>
        <c:barDir val="col"/>
        <c:grouping val="clustered"/>
        <c:varyColors val="0"/>
        <c:ser>
          <c:idx val="0"/>
          <c:order val="0"/>
          <c:spPr>
            <a:solidFill>
              <a:srgbClr val="C00000"/>
            </a:solidFill>
            <a:ln>
              <a:noFill/>
            </a:ln>
            <a:effectLst/>
          </c:spPr>
          <c:invertIfNegative val="0"/>
          <c:cat>
            <c:strRef>
              <c:f>'Policy select backend'!$F$52:$F$54</c:f>
              <c:strCache>
                <c:ptCount val="3"/>
                <c:pt idx="0">
                  <c:v>FCV</c:v>
                </c:pt>
                <c:pt idx="1">
                  <c:v>Non-FCV</c:v>
                </c:pt>
                <c:pt idx="2">
                  <c:v>Selected Sample</c:v>
                </c:pt>
              </c:strCache>
            </c:strRef>
          </c:cat>
          <c:val>
            <c:numRef>
              <c:f>[0]!FCV_added</c:f>
              <c:numCache>
                <c:formatCode>General</c:formatCode>
                <c:ptCount val="3"/>
                <c:pt idx="0">
                  <c:v>0</c:v>
                </c:pt>
                <c:pt idx="1">
                  <c:v>0</c:v>
                </c:pt>
                <c:pt idx="2">
                  <c:v>0</c:v>
                </c:pt>
              </c:numCache>
            </c:numRef>
          </c:val>
          <c:extLst>
            <c:ext xmlns:c16="http://schemas.microsoft.com/office/drawing/2014/chart" uri="{C3380CC4-5D6E-409C-BE32-E72D297353CC}">
              <c16:uniqueId val="{00000000-0183-4B9A-8A31-37BE780E277F}"/>
            </c:ext>
          </c:extLst>
        </c:ser>
        <c:dLbls>
          <c:showLegendKey val="0"/>
          <c:showVal val="0"/>
          <c:showCatName val="0"/>
          <c:showSerName val="0"/>
          <c:showPercent val="0"/>
          <c:showBubbleSize val="0"/>
        </c:dLbls>
        <c:gapWidth val="40"/>
        <c:overlap val="-27"/>
        <c:axId val="543098352"/>
        <c:axId val="687371808"/>
      </c:barChart>
      <c:catAx>
        <c:axId val="54309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687371808"/>
        <c:crosses val="autoZero"/>
        <c:auto val="1"/>
        <c:lblAlgn val="ctr"/>
        <c:lblOffset val="100"/>
        <c:noMultiLvlLbl val="0"/>
      </c:catAx>
      <c:valAx>
        <c:axId val="687371808"/>
        <c:scaling>
          <c:orientation val="minMax"/>
        </c:scaling>
        <c:delete val="0"/>
        <c:axPos val="l"/>
        <c:majorGridlines>
          <c:spPr>
            <a:ln w="6350" cap="flat" cmpd="sng" algn="ctr">
              <a:solidFill>
                <a:schemeClr val="tx1">
                  <a:lumMod val="15000"/>
                  <a:lumOff val="85000"/>
                </a:schemeClr>
              </a:solidFill>
              <a:prstDash val="dash"/>
              <a:round/>
            </a:ln>
            <a:effectLst/>
          </c:spPr>
        </c:majorGridlines>
        <c:title>
          <c:tx>
            <c:strRef>
              <c:f>'Policy select backend'!$E$9</c:f>
              <c:strCache>
                <c:ptCount val="1"/>
                <c:pt idx="0">
                  <c:v>% of total policies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43098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solidFill>
                  <a:sysClr val="windowText" lastClr="000000"/>
                </a:solidFill>
              </a:rPr>
              <a:t>GDP (% change)</a:t>
            </a:r>
          </a:p>
          <a:p>
            <a:pPr>
              <a:defRPr sz="900">
                <a:solidFill>
                  <a:sysClr val="windowText" lastClr="000000"/>
                </a:solidFill>
              </a:defRPr>
            </a:pPr>
            <a:endParaRPr lang="en-US" sz="900">
              <a:solidFill>
                <a:sysClr val="windowText" lastClr="000000"/>
              </a:solidFill>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de-DE"/>
        </a:p>
      </c:txPr>
    </c:title>
    <c:autoTitleDeleted val="0"/>
    <c:plotArea>
      <c:layout/>
      <c:barChart>
        <c:barDir val="col"/>
        <c:grouping val="clustered"/>
        <c:varyColors val="0"/>
        <c:ser>
          <c:idx val="0"/>
          <c:order val="0"/>
          <c:tx>
            <c:strRef>
              <c:f>'Performance within backend'!$C$16</c:f>
              <c:strCache>
                <c:ptCount val="1"/>
                <c:pt idx="0">
                  <c:v>Sample</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backend'!$B$7</c:f>
              <c:strCache>
                <c:ptCount val="1"/>
                <c:pt idx="0">
                  <c:v>GDP change</c:v>
                </c:pt>
              </c:strCache>
            </c:strRef>
          </c:cat>
          <c:val>
            <c:numRef>
              <c:extLst>
                <c:ext xmlns:c15="http://schemas.microsoft.com/office/drawing/2012/chart" uri="{02D57815-91ED-43cb-92C2-25804820EDAC}">
                  <c15:fullRef>
                    <c15:sqref>'Performance within backend'!$B$9:$D$9</c15:sqref>
                  </c15:fullRef>
                </c:ext>
              </c:extLst>
              <c:f>'Performance within backend'!$B$9</c:f>
              <c:numCache>
                <c:formatCode>General</c:formatCode>
                <c:ptCount val="1"/>
                <c:pt idx="0">
                  <c:v>0</c:v>
                </c:pt>
              </c:numCache>
            </c:numRef>
          </c:val>
          <c:extLst>
            <c:ext xmlns:c16="http://schemas.microsoft.com/office/drawing/2014/chart" uri="{C3380CC4-5D6E-409C-BE32-E72D297353CC}">
              <c16:uniqueId val="{00000000-997E-49C8-A4B6-E640BABFE402}"/>
            </c:ext>
          </c:extLst>
        </c:ser>
        <c:ser>
          <c:idx val="1"/>
          <c:order val="1"/>
          <c:tx>
            <c:v>World Average</c:v>
          </c:tx>
          <c:spPr>
            <a:solidFill>
              <a:schemeClr val="accent2">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backend'!$B$7</c:f>
              <c:strCache>
                <c:ptCount val="1"/>
                <c:pt idx="0">
                  <c:v>GDP change</c:v>
                </c:pt>
              </c:strCache>
            </c:strRef>
          </c:cat>
          <c:val>
            <c:numRef>
              <c:extLst>
                <c:ext xmlns:c15="http://schemas.microsoft.com/office/drawing/2012/chart" uri="{02D57815-91ED-43cb-92C2-25804820EDAC}">
                  <c15:fullRef>
                    <c15:sqref>'Performance within backend'!$B$10:$D$10</c15:sqref>
                  </c15:fullRef>
                </c:ext>
              </c:extLst>
              <c:f>'Performance within backend'!$B$10</c:f>
              <c:numCache>
                <c:formatCode>General</c:formatCode>
                <c:ptCount val="1"/>
                <c:pt idx="0">
                  <c:v>0</c:v>
                </c:pt>
              </c:numCache>
            </c:numRef>
          </c:val>
          <c:extLst>
            <c:ext xmlns:c16="http://schemas.microsoft.com/office/drawing/2014/chart" uri="{C3380CC4-5D6E-409C-BE32-E72D297353CC}">
              <c16:uniqueId val="{00000001-997E-49C8-A4B6-E640BABFE402}"/>
            </c:ext>
          </c:extLst>
        </c:ser>
        <c:dLbls>
          <c:showLegendKey val="0"/>
          <c:showVal val="0"/>
          <c:showCatName val="0"/>
          <c:showSerName val="0"/>
          <c:showPercent val="0"/>
          <c:showBubbleSize val="0"/>
        </c:dLbls>
        <c:gapWidth val="32"/>
        <c:axId val="21098639"/>
        <c:axId val="1243549167"/>
      </c:barChart>
      <c:catAx>
        <c:axId val="21098639"/>
        <c:scaling>
          <c:orientation val="minMax"/>
        </c:scaling>
        <c:delete val="1"/>
        <c:axPos val="b"/>
        <c:numFmt formatCode="General" sourceLinked="1"/>
        <c:majorTickMark val="none"/>
        <c:minorTickMark val="none"/>
        <c:tickLblPos val="nextTo"/>
        <c:crossAx val="1243549167"/>
        <c:crosses val="autoZero"/>
        <c:auto val="1"/>
        <c:lblAlgn val="ctr"/>
        <c:lblOffset val="100"/>
        <c:noMultiLvlLbl val="0"/>
      </c:catAx>
      <c:valAx>
        <c:axId val="124354916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de-DE"/>
          </a:p>
        </c:txPr>
        <c:crossAx val="2109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t>Primary Fiscal Balance (% of GDP)</a:t>
            </a: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de-DE"/>
        </a:p>
      </c:txPr>
    </c:title>
    <c:autoTitleDeleted val="0"/>
    <c:plotArea>
      <c:layout/>
      <c:barChart>
        <c:barDir val="col"/>
        <c:grouping val="clustered"/>
        <c:varyColors val="0"/>
        <c:ser>
          <c:idx val="0"/>
          <c:order val="0"/>
          <c:tx>
            <c:strRef>
              <c:f>'Performance within backend'!$C$16</c:f>
              <c:strCache>
                <c:ptCount val="1"/>
                <c:pt idx="0">
                  <c:v>Sample</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backend'!$C$7</c:f>
              <c:strCache>
                <c:ptCount val="1"/>
                <c:pt idx="0">
                  <c:v>Fiscal Balance</c:v>
                </c:pt>
              </c:strCache>
            </c:strRef>
          </c:cat>
          <c:val>
            <c:numRef>
              <c:extLst>
                <c:ext xmlns:c15="http://schemas.microsoft.com/office/drawing/2012/chart" uri="{02D57815-91ED-43cb-92C2-25804820EDAC}">
                  <c15:fullRef>
                    <c15:sqref>'Performance within backend'!$B$9:$D$9</c15:sqref>
                  </c15:fullRef>
                </c:ext>
              </c:extLst>
              <c:f>'Performance within backend'!$C$9</c:f>
              <c:numCache>
                <c:formatCode>General</c:formatCode>
                <c:ptCount val="1"/>
                <c:pt idx="0">
                  <c:v>0</c:v>
                </c:pt>
              </c:numCache>
            </c:numRef>
          </c:val>
          <c:extLst>
            <c:ext xmlns:c16="http://schemas.microsoft.com/office/drawing/2014/chart" uri="{C3380CC4-5D6E-409C-BE32-E72D297353CC}">
              <c16:uniqueId val="{00000000-D8E0-4553-B105-42699237AC40}"/>
            </c:ext>
          </c:extLst>
        </c:ser>
        <c:ser>
          <c:idx val="1"/>
          <c:order val="1"/>
          <c:tx>
            <c:v>World Average</c:v>
          </c:tx>
          <c:spPr>
            <a:solidFill>
              <a:schemeClr val="accent2">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backend'!$C$7</c:f>
              <c:strCache>
                <c:ptCount val="1"/>
                <c:pt idx="0">
                  <c:v>Fiscal Balance</c:v>
                </c:pt>
              </c:strCache>
            </c:strRef>
          </c:cat>
          <c:val>
            <c:numRef>
              <c:extLst>
                <c:ext xmlns:c15="http://schemas.microsoft.com/office/drawing/2012/chart" uri="{02D57815-91ED-43cb-92C2-25804820EDAC}">
                  <c15:fullRef>
                    <c15:sqref>'Performance within backend'!$B$10:$D$10</c15:sqref>
                  </c15:fullRef>
                </c:ext>
              </c:extLst>
              <c:f>'Performance within backend'!$C$10</c:f>
              <c:numCache>
                <c:formatCode>General</c:formatCode>
                <c:ptCount val="1"/>
                <c:pt idx="0">
                  <c:v>0</c:v>
                </c:pt>
              </c:numCache>
            </c:numRef>
          </c:val>
          <c:extLst>
            <c:ext xmlns:c16="http://schemas.microsoft.com/office/drawing/2014/chart" uri="{C3380CC4-5D6E-409C-BE32-E72D297353CC}">
              <c16:uniqueId val="{00000001-D8E0-4553-B105-42699237AC40}"/>
            </c:ext>
          </c:extLst>
        </c:ser>
        <c:dLbls>
          <c:showLegendKey val="0"/>
          <c:showVal val="0"/>
          <c:showCatName val="0"/>
          <c:showSerName val="0"/>
          <c:showPercent val="0"/>
          <c:showBubbleSize val="0"/>
        </c:dLbls>
        <c:gapWidth val="32"/>
        <c:axId val="21098639"/>
        <c:axId val="1243549167"/>
      </c:barChart>
      <c:catAx>
        <c:axId val="21098639"/>
        <c:scaling>
          <c:orientation val="minMax"/>
        </c:scaling>
        <c:delete val="1"/>
        <c:axPos val="b"/>
        <c:numFmt formatCode="General" sourceLinked="1"/>
        <c:majorTickMark val="none"/>
        <c:minorTickMark val="none"/>
        <c:tickLblPos val="nextTo"/>
        <c:crossAx val="1243549167"/>
        <c:crosses val="autoZero"/>
        <c:auto val="1"/>
        <c:lblAlgn val="ctr"/>
        <c:lblOffset val="100"/>
        <c:noMultiLvlLbl val="0"/>
      </c:catAx>
      <c:valAx>
        <c:axId val="124354916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de-DE"/>
          </a:p>
        </c:txPr>
        <c:crossAx val="2109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t>General Government Debt (% of GDP)</a:t>
            </a: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de-DE"/>
        </a:p>
      </c:txPr>
    </c:title>
    <c:autoTitleDeleted val="0"/>
    <c:plotArea>
      <c:layout/>
      <c:barChart>
        <c:barDir val="col"/>
        <c:grouping val="clustered"/>
        <c:varyColors val="0"/>
        <c:ser>
          <c:idx val="0"/>
          <c:order val="0"/>
          <c:tx>
            <c:strRef>
              <c:f>'Performance within backend'!$C$16</c:f>
              <c:strCache>
                <c:ptCount val="1"/>
                <c:pt idx="0">
                  <c:v>Sample</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backend'!$D$7</c:f>
              <c:strCache>
                <c:ptCount val="1"/>
                <c:pt idx="0">
                  <c:v>Debt</c:v>
                </c:pt>
              </c:strCache>
            </c:strRef>
          </c:cat>
          <c:val>
            <c:numRef>
              <c:extLst>
                <c:ext xmlns:c15="http://schemas.microsoft.com/office/drawing/2012/chart" uri="{02D57815-91ED-43cb-92C2-25804820EDAC}">
                  <c15:fullRef>
                    <c15:sqref>'Performance within backend'!$B$9:$D$9</c15:sqref>
                  </c15:fullRef>
                </c:ext>
              </c:extLst>
              <c:f>'Performance within backend'!$D$9</c:f>
              <c:numCache>
                <c:formatCode>General</c:formatCode>
                <c:ptCount val="1"/>
                <c:pt idx="0">
                  <c:v>0</c:v>
                </c:pt>
              </c:numCache>
            </c:numRef>
          </c:val>
          <c:extLst>
            <c:ext xmlns:c16="http://schemas.microsoft.com/office/drawing/2014/chart" uri="{C3380CC4-5D6E-409C-BE32-E72D297353CC}">
              <c16:uniqueId val="{00000000-A291-4657-9E8E-E93BDB7CA40A}"/>
            </c:ext>
          </c:extLst>
        </c:ser>
        <c:ser>
          <c:idx val="1"/>
          <c:order val="1"/>
          <c:tx>
            <c:v>World Average</c:v>
          </c:tx>
          <c:spPr>
            <a:solidFill>
              <a:schemeClr val="accent2">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backend'!$D$7</c:f>
              <c:strCache>
                <c:ptCount val="1"/>
                <c:pt idx="0">
                  <c:v>Debt</c:v>
                </c:pt>
              </c:strCache>
            </c:strRef>
          </c:cat>
          <c:val>
            <c:numRef>
              <c:extLst>
                <c:ext xmlns:c15="http://schemas.microsoft.com/office/drawing/2012/chart" uri="{02D57815-91ED-43cb-92C2-25804820EDAC}">
                  <c15:fullRef>
                    <c15:sqref>'Performance within backend'!$B$10:$D$10</c15:sqref>
                  </c15:fullRef>
                </c:ext>
              </c:extLst>
              <c:f>'Performance within backend'!$D$10</c:f>
              <c:numCache>
                <c:formatCode>General</c:formatCode>
                <c:ptCount val="1"/>
                <c:pt idx="0">
                  <c:v>0</c:v>
                </c:pt>
              </c:numCache>
            </c:numRef>
          </c:val>
          <c:extLst>
            <c:ext xmlns:c16="http://schemas.microsoft.com/office/drawing/2014/chart" uri="{C3380CC4-5D6E-409C-BE32-E72D297353CC}">
              <c16:uniqueId val="{00000001-A291-4657-9E8E-E93BDB7CA40A}"/>
            </c:ext>
          </c:extLst>
        </c:ser>
        <c:dLbls>
          <c:showLegendKey val="0"/>
          <c:showVal val="0"/>
          <c:showCatName val="0"/>
          <c:showSerName val="0"/>
          <c:showPercent val="0"/>
          <c:showBubbleSize val="0"/>
        </c:dLbls>
        <c:gapWidth val="32"/>
        <c:axId val="21098639"/>
        <c:axId val="1243549167"/>
      </c:barChart>
      <c:catAx>
        <c:axId val="21098639"/>
        <c:scaling>
          <c:orientation val="minMax"/>
        </c:scaling>
        <c:delete val="1"/>
        <c:axPos val="b"/>
        <c:numFmt formatCode="General" sourceLinked="1"/>
        <c:majorTickMark val="none"/>
        <c:minorTickMark val="none"/>
        <c:tickLblPos val="nextTo"/>
        <c:crossAx val="1243549167"/>
        <c:crosses val="autoZero"/>
        <c:auto val="1"/>
        <c:lblAlgn val="ctr"/>
        <c:lblOffset val="100"/>
        <c:noMultiLvlLbl val="0"/>
      </c:catAx>
      <c:valAx>
        <c:axId val="124354916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de-DE"/>
          </a:p>
        </c:txPr>
        <c:crossAx val="2109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Dimensions of Fiscal Policy - Scores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0.32115012590431274"/>
          <c:y val="0.26923729796933277"/>
          <c:w val="0.39953102778452254"/>
          <c:h val="0.62332764193949441"/>
        </c:manualLayout>
      </c:layout>
      <c:radarChart>
        <c:radarStyle val="marker"/>
        <c:varyColors val="0"/>
        <c:ser>
          <c:idx val="1"/>
          <c:order val="0"/>
          <c:tx>
            <c:v>Comparator</c:v>
          </c:tx>
          <c:spPr>
            <a:ln w="28575" cap="rnd">
              <a:solidFill>
                <a:srgbClr val="C00000"/>
              </a:solidFill>
              <a:round/>
            </a:ln>
            <a:effectLst/>
          </c:spPr>
          <c:marker>
            <c:symbol val="none"/>
          </c:marker>
          <c:cat>
            <c:strRef>
              <c:f>'Performance within backend'!$A$24:$I$24</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'Performance within backend'!$A$26:$I$26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A3F-453E-A0FA-D8D05A307DF3}"/>
            </c:ext>
          </c:extLst>
        </c:ser>
        <c:ser>
          <c:idx val="0"/>
          <c:order val="1"/>
          <c:tx>
            <c:v>Selected Sample</c:v>
          </c:tx>
          <c:spPr>
            <a:ln w="28575" cap="rnd">
              <a:solidFill>
                <a:schemeClr val="accent1">
                  <a:lumMod val="75000"/>
                </a:schemeClr>
              </a:solidFill>
              <a:round/>
            </a:ln>
            <a:effectLst/>
          </c:spPr>
          <c:marker>
            <c:symbol val="none"/>
          </c:marker>
          <c:cat>
            <c:strRef>
              <c:f>'Performance within backend'!$A$24:$I$24</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'Performance within backend'!$A$25:$I$25</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6A3F-453E-A0FA-D8D05A307DF3}"/>
            </c:ext>
          </c:extLst>
        </c:ser>
        <c:dLbls>
          <c:showLegendKey val="0"/>
          <c:showVal val="0"/>
          <c:showCatName val="0"/>
          <c:showSerName val="0"/>
          <c:showPercent val="0"/>
          <c:showBubbleSize val="0"/>
        </c:dLbls>
        <c:axId val="1767512255"/>
        <c:axId val="275888719"/>
      </c:radarChart>
      <c:catAx>
        <c:axId val="176751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275888719"/>
        <c:crosses val="autoZero"/>
        <c:auto val="1"/>
        <c:lblAlgn val="ctr"/>
        <c:lblOffset val="100"/>
        <c:noMultiLvlLbl val="0"/>
      </c:catAx>
      <c:valAx>
        <c:axId val="275888719"/>
        <c:scaling>
          <c:orientation val="minMax"/>
          <c:max val="1"/>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76751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t>Fiscal Balance</a:t>
            </a:r>
          </a:p>
          <a:p>
            <a:pPr>
              <a:defRPr sz="900">
                <a:solidFill>
                  <a:sysClr val="windowText" lastClr="000000"/>
                </a:solidFill>
              </a:defRPr>
            </a:pPr>
            <a:r>
              <a:rPr lang="en-US" sz="900"/>
              <a:t>(% of GDP)</a:t>
            </a: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de-DE"/>
        </a:p>
      </c:txPr>
    </c:title>
    <c:autoTitleDeleted val="0"/>
    <c:plotArea>
      <c:layout/>
      <c:barChart>
        <c:barDir val="col"/>
        <c:grouping val="clustered"/>
        <c:varyColors val="0"/>
        <c:ser>
          <c:idx val="0"/>
          <c:order val="0"/>
          <c:tx>
            <c:strRef>
              <c:f>'Performance within backend'!$C$16</c:f>
              <c:strCache>
                <c:ptCount val="1"/>
                <c:pt idx="0">
                  <c:v>Sample</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backend'!$D$7</c:f>
              <c:strCache>
                <c:ptCount val="1"/>
                <c:pt idx="0">
                  <c:v>Debt</c:v>
                </c:pt>
              </c:strCache>
            </c:strRef>
          </c:cat>
          <c:val>
            <c:numRef>
              <c:extLst>
                <c:ext xmlns:c15="http://schemas.microsoft.com/office/drawing/2012/chart" uri="{02D57815-91ED-43cb-92C2-25804820EDAC}">
                  <c15:fullRef>
                    <c15:sqref>'Performance within backend'!$B$9:$D$9</c15:sqref>
                  </c15:fullRef>
                </c:ext>
              </c:extLst>
              <c:f>'Performance within backend'!$D$9</c:f>
              <c:numCache>
                <c:formatCode>General</c:formatCode>
                <c:ptCount val="1"/>
                <c:pt idx="0">
                  <c:v>0</c:v>
                </c:pt>
              </c:numCache>
            </c:numRef>
          </c:val>
          <c:extLst>
            <c:ext xmlns:c16="http://schemas.microsoft.com/office/drawing/2014/chart" uri="{C3380CC4-5D6E-409C-BE32-E72D297353CC}">
              <c16:uniqueId val="{00000000-BAB9-4C00-8EE1-0951C18872E3}"/>
            </c:ext>
          </c:extLst>
        </c:ser>
        <c:ser>
          <c:idx val="1"/>
          <c:order val="1"/>
          <c:tx>
            <c:v>World Average</c:v>
          </c:tx>
          <c:spPr>
            <a:solidFill>
              <a:schemeClr val="accent2">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backend'!$D$7</c:f>
              <c:strCache>
                <c:ptCount val="1"/>
                <c:pt idx="0">
                  <c:v>Debt</c:v>
                </c:pt>
              </c:strCache>
            </c:strRef>
          </c:cat>
          <c:val>
            <c:numRef>
              <c:extLst>
                <c:ext xmlns:c15="http://schemas.microsoft.com/office/drawing/2012/chart" uri="{02D57815-91ED-43cb-92C2-25804820EDAC}">
                  <c15:fullRef>
                    <c15:sqref>'Performance within backend'!$B$10:$D$10</c15:sqref>
                  </c15:fullRef>
                </c:ext>
              </c:extLst>
              <c:f>'Performance within backend'!$D$10</c:f>
              <c:numCache>
                <c:formatCode>General</c:formatCode>
                <c:ptCount val="1"/>
                <c:pt idx="0">
                  <c:v>0</c:v>
                </c:pt>
              </c:numCache>
            </c:numRef>
          </c:val>
          <c:extLst>
            <c:ext xmlns:c16="http://schemas.microsoft.com/office/drawing/2014/chart" uri="{C3380CC4-5D6E-409C-BE32-E72D297353CC}">
              <c16:uniqueId val="{00000001-BAB9-4C00-8EE1-0951C18872E3}"/>
            </c:ext>
          </c:extLst>
        </c:ser>
        <c:dLbls>
          <c:showLegendKey val="0"/>
          <c:showVal val="0"/>
          <c:showCatName val="0"/>
          <c:showSerName val="0"/>
          <c:showPercent val="0"/>
          <c:showBubbleSize val="0"/>
        </c:dLbls>
        <c:gapWidth val="32"/>
        <c:axId val="21098639"/>
        <c:axId val="1243549167"/>
      </c:barChart>
      <c:catAx>
        <c:axId val="21098639"/>
        <c:scaling>
          <c:orientation val="minMax"/>
        </c:scaling>
        <c:delete val="1"/>
        <c:axPos val="b"/>
        <c:numFmt formatCode="General" sourceLinked="1"/>
        <c:majorTickMark val="none"/>
        <c:minorTickMark val="none"/>
        <c:tickLblPos val="nextTo"/>
        <c:crossAx val="1243549167"/>
        <c:crosses val="autoZero"/>
        <c:auto val="1"/>
        <c:lblAlgn val="ctr"/>
        <c:lblOffset val="100"/>
        <c:noMultiLvlLbl val="0"/>
      </c:catAx>
      <c:valAx>
        <c:axId val="124354916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de-DE"/>
          </a:p>
        </c:txPr>
        <c:crossAx val="2109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Dimensions</a:t>
            </a:r>
            <a:r>
              <a:rPr lang="en-US" b="1" baseline="0">
                <a:solidFill>
                  <a:sysClr val="windowText" lastClr="000000"/>
                </a:solidFill>
              </a:rPr>
              <a:t> of Fiscal Policy - Scores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0.30233814523184604"/>
          <c:y val="0.22691783318751818"/>
          <c:w val="0.40197659667541552"/>
          <c:h val="0.6699609944590259"/>
        </c:manualLayout>
      </c:layout>
      <c:radarChart>
        <c:radarStyle val="marker"/>
        <c:varyColors val="0"/>
        <c:ser>
          <c:idx val="0"/>
          <c:order val="0"/>
          <c:spPr>
            <a:ln w="28575" cap="rnd">
              <a:solidFill>
                <a:schemeClr val="accent5">
                  <a:lumMod val="50000"/>
                </a:schemeClr>
              </a:solidFill>
              <a:round/>
            </a:ln>
            <a:effectLst/>
          </c:spPr>
          <c:marker>
            <c:symbol val="none"/>
          </c:marker>
          <c:cat>
            <c:strRef>
              <c:f>'Performance within backend'!$B$2:$J$2</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'Performance within backend'!$B$4:$J$4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A04F-4439-9418-F3150EA77440}"/>
            </c:ext>
          </c:extLst>
        </c:ser>
        <c:dLbls>
          <c:showLegendKey val="0"/>
          <c:showVal val="0"/>
          <c:showCatName val="0"/>
          <c:showSerName val="0"/>
          <c:showPercent val="0"/>
          <c:showBubbleSize val="0"/>
        </c:dLbls>
        <c:axId val="126060863"/>
        <c:axId val="17729615"/>
      </c:radarChart>
      <c:catAx>
        <c:axId val="1260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7729615"/>
        <c:crosses val="autoZero"/>
        <c:auto val="1"/>
        <c:lblAlgn val="ctr"/>
        <c:lblOffset val="100"/>
        <c:noMultiLvlLbl val="0"/>
      </c:catAx>
      <c:valAx>
        <c:axId val="17729615"/>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2606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by Lending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cat>
            <c:strRef>
              <c:f>'Performance across backend'!$G$18:$G$21</c:f>
              <c:strCache>
                <c:ptCount val="4"/>
                <c:pt idx="0">
                  <c:v>IDA/Blend</c:v>
                </c:pt>
                <c:pt idx="1">
                  <c:v>IBRD</c:v>
                </c:pt>
                <c:pt idx="2">
                  <c:v>Non IDA/IBRD</c:v>
                </c:pt>
                <c:pt idx="3">
                  <c:v>Selected Sample</c:v>
                </c:pt>
              </c:strCache>
            </c:strRef>
          </c:cat>
          <c:val>
            <c:numRef>
              <c:f>[0]!Lending_scores</c:f>
              <c:numCache>
                <c:formatCode>General</c:formatCode>
                <c:ptCount val="4"/>
                <c:pt idx="0">
                  <c:v>0.72616984402079721</c:v>
                </c:pt>
                <c:pt idx="1">
                  <c:v>0.61029411764705888</c:v>
                </c:pt>
                <c:pt idx="2">
                  <c:v>0.72818311874105868</c:v>
                </c:pt>
                <c:pt idx="3">
                  <c:v>0</c:v>
                </c:pt>
              </c:numCache>
            </c:numRef>
          </c:val>
          <c:extLst>
            <c:ext xmlns:c16="http://schemas.microsoft.com/office/drawing/2014/chart" uri="{C3380CC4-5D6E-409C-BE32-E72D297353CC}">
              <c16:uniqueId val="{00000000-A371-41ED-81A0-62FB1E8218BF}"/>
            </c:ext>
          </c:extLst>
        </c:ser>
        <c:dLbls>
          <c:showLegendKey val="0"/>
          <c:showVal val="0"/>
          <c:showCatName val="0"/>
          <c:showSerName val="0"/>
          <c:showPercent val="0"/>
          <c:showBubbleSize val="0"/>
        </c:dLbls>
        <c:gapWidth val="32"/>
        <c:overlap val="-27"/>
        <c:axId val="1570338047"/>
        <c:axId val="23767727"/>
      </c:barChart>
      <c:catAx>
        <c:axId val="15703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23767727"/>
        <c:crosses val="autoZero"/>
        <c:auto val="1"/>
        <c:lblAlgn val="ctr"/>
        <c:lblOffset val="100"/>
        <c:noMultiLvlLbl val="0"/>
      </c:catAx>
      <c:valAx>
        <c:axId val="2376772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570338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by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2"/>
            </a:solidFill>
            <a:ln>
              <a:noFill/>
            </a:ln>
            <a:effectLst/>
          </c:spPr>
          <c:invertIfNegative val="0"/>
          <c:cat>
            <c:strRef>
              <c:f>'Performance across backend'!$E$24:$E$28</c:f>
              <c:strCache>
                <c:ptCount val="5"/>
                <c:pt idx="0">
                  <c:v>LIC</c:v>
                </c:pt>
                <c:pt idx="1">
                  <c:v>LMIC</c:v>
                </c:pt>
                <c:pt idx="2">
                  <c:v>UMIC</c:v>
                </c:pt>
                <c:pt idx="3">
                  <c:v>HIC</c:v>
                </c:pt>
                <c:pt idx="4">
                  <c:v>Selected Sample</c:v>
                </c:pt>
              </c:strCache>
            </c:strRef>
          </c:cat>
          <c:val>
            <c:numRef>
              <c:f>[0]!Income_scores</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8153-472B-9C9A-B3165C9A7281}"/>
            </c:ext>
          </c:extLst>
        </c:ser>
        <c:dLbls>
          <c:showLegendKey val="0"/>
          <c:showVal val="0"/>
          <c:showCatName val="0"/>
          <c:showSerName val="0"/>
          <c:showPercent val="0"/>
          <c:showBubbleSize val="0"/>
        </c:dLbls>
        <c:gapWidth val="32"/>
        <c:overlap val="-27"/>
        <c:axId val="1570338047"/>
        <c:axId val="23767727"/>
      </c:barChart>
      <c:catAx>
        <c:axId val="15703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23767727"/>
        <c:crosses val="autoZero"/>
        <c:auto val="1"/>
        <c:lblAlgn val="ctr"/>
        <c:lblOffset val="100"/>
        <c:noMultiLvlLbl val="0"/>
      </c:catAx>
      <c:valAx>
        <c:axId val="2376772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570338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6"/>
            </a:solidFill>
            <a:ln>
              <a:noFill/>
            </a:ln>
            <a:effectLst/>
          </c:spPr>
          <c:invertIfNegative val="0"/>
          <c:cat>
            <c:strRef>
              <c:f>'Performance across backend'!$E$30:$E$37</c:f>
              <c:strCache>
                <c:ptCount val="8"/>
                <c:pt idx="0">
                  <c:v>SSA</c:v>
                </c:pt>
                <c:pt idx="1">
                  <c:v>SA</c:v>
                </c:pt>
                <c:pt idx="2">
                  <c:v>NA</c:v>
                </c:pt>
                <c:pt idx="3">
                  <c:v>MENA</c:v>
                </c:pt>
                <c:pt idx="4">
                  <c:v>LAC</c:v>
                </c:pt>
                <c:pt idx="5">
                  <c:v>ECA</c:v>
                </c:pt>
                <c:pt idx="6">
                  <c:v>EAP</c:v>
                </c:pt>
                <c:pt idx="7">
                  <c:v>Sample</c:v>
                </c:pt>
              </c:strCache>
            </c:strRef>
          </c:cat>
          <c:val>
            <c:numRef>
              <c:f>[0]!Regions_scores</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26F8-47D1-9524-15EDBF72B996}"/>
            </c:ext>
          </c:extLst>
        </c:ser>
        <c:dLbls>
          <c:showLegendKey val="0"/>
          <c:showVal val="0"/>
          <c:showCatName val="0"/>
          <c:showSerName val="0"/>
          <c:showPercent val="0"/>
          <c:showBubbleSize val="0"/>
        </c:dLbls>
        <c:gapWidth val="32"/>
        <c:axId val="1570338047"/>
        <c:axId val="23767727"/>
      </c:barChart>
      <c:catAx>
        <c:axId val="157033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23767727"/>
        <c:crosses val="autoZero"/>
        <c:auto val="1"/>
        <c:lblAlgn val="ctr"/>
        <c:lblOffset val="100"/>
        <c:noMultiLvlLbl val="0"/>
      </c:catAx>
      <c:valAx>
        <c:axId val="23767727"/>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570338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by FCV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barChart>
        <c:barDir val="col"/>
        <c:grouping val="clustered"/>
        <c:varyColors val="0"/>
        <c:ser>
          <c:idx val="0"/>
          <c:order val="0"/>
          <c:spPr>
            <a:solidFill>
              <a:srgbClr val="C00000"/>
            </a:solidFill>
            <a:ln>
              <a:noFill/>
            </a:ln>
            <a:effectLst/>
          </c:spPr>
          <c:invertIfNegative val="0"/>
          <c:cat>
            <c:strRef>
              <c:f>'Performance across backend'!$E$39:$E$41</c:f>
              <c:strCache>
                <c:ptCount val="3"/>
                <c:pt idx="0">
                  <c:v>FCV</c:v>
                </c:pt>
                <c:pt idx="1">
                  <c:v>Non-FCV</c:v>
                </c:pt>
                <c:pt idx="2">
                  <c:v>Selected Sample</c:v>
                </c:pt>
              </c:strCache>
            </c:strRef>
          </c:cat>
          <c:val>
            <c:numRef>
              <c:f>[0]!FCV_Scores</c:f>
              <c:numCache>
                <c:formatCode>General</c:formatCode>
                <c:ptCount val="3"/>
                <c:pt idx="0">
                  <c:v>0.88135593220338981</c:v>
                </c:pt>
                <c:pt idx="1">
                  <c:v>0</c:v>
                </c:pt>
                <c:pt idx="2">
                  <c:v>0</c:v>
                </c:pt>
              </c:numCache>
            </c:numRef>
          </c:val>
          <c:extLst>
            <c:ext xmlns:c16="http://schemas.microsoft.com/office/drawing/2014/chart" uri="{C3380CC4-5D6E-409C-BE32-E72D297353CC}">
              <c16:uniqueId val="{00000000-FD12-4BE2-BA34-E84321596949}"/>
            </c:ext>
          </c:extLst>
        </c:ser>
        <c:dLbls>
          <c:showLegendKey val="0"/>
          <c:showVal val="0"/>
          <c:showCatName val="0"/>
          <c:showSerName val="0"/>
          <c:showPercent val="0"/>
          <c:showBubbleSize val="0"/>
        </c:dLbls>
        <c:gapWidth val="50"/>
        <c:overlap val="-15"/>
        <c:axId val="1570338047"/>
        <c:axId val="23767727"/>
      </c:barChart>
      <c:catAx>
        <c:axId val="15703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23767727"/>
        <c:crosses val="autoZero"/>
        <c:auto val="1"/>
        <c:lblAlgn val="ctr"/>
        <c:lblOffset val="100"/>
        <c:noMultiLvlLbl val="0"/>
      </c:catAx>
      <c:valAx>
        <c:axId val="2376772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570338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259042398230708"/>
          <c:y val="0.12015342004901319"/>
          <c:w val="0.35246786178825096"/>
          <c:h val="0.62282304490944151"/>
        </c:manualLayout>
      </c:layout>
      <c:radarChart>
        <c:radarStyle val="marker"/>
        <c:varyColors val="0"/>
        <c:ser>
          <c:idx val="0"/>
          <c:order val="0"/>
          <c:tx>
            <c:strRef>
              <c:f>'Perf. across Policies backend'!$J$14</c:f>
              <c:strCache>
                <c:ptCount val="1"/>
                <c:pt idx="0">
                  <c:v>Expenditure Measures for cash transfers to individuals: Supplementary ad hoc programs (n=0)</c:v>
                </c:pt>
              </c:strCache>
            </c:strRef>
          </c:tx>
          <c:spPr>
            <a:ln w="28575" cap="rnd">
              <a:solidFill>
                <a:schemeClr val="accent1">
                  <a:lumMod val="75000"/>
                </a:schemeClr>
              </a:solidFill>
              <a:round/>
            </a:ln>
            <a:effectLst/>
          </c:spPr>
          <c:marker>
            <c:symbol val="none"/>
          </c:marker>
          <c:cat>
            <c:strRef>
              <c:f>'Perf. across Policies backend'!$O$6:$W$6</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 across Policies backend'!$O$11:$W$11</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4A26-4FEE-99E8-0D68DFCE0FDB}"/>
            </c:ext>
          </c:extLst>
        </c:ser>
        <c:ser>
          <c:idx val="1"/>
          <c:order val="1"/>
          <c:tx>
            <c:strRef>
              <c:f>'Perf. across Policies backend'!$J$15</c:f>
              <c:strCache>
                <c:ptCount val="1"/>
                <c:pt idx="0">
                  <c:v>No Selection</c:v>
                </c:pt>
              </c:strCache>
            </c:strRef>
          </c:tx>
          <c:spPr>
            <a:ln w="28575" cap="rnd">
              <a:solidFill>
                <a:schemeClr val="accent2">
                  <a:lumMod val="75000"/>
                </a:schemeClr>
              </a:solidFill>
              <a:round/>
            </a:ln>
            <a:effectLst/>
          </c:spPr>
          <c:marker>
            <c:symbol val="none"/>
          </c:marker>
          <c:cat>
            <c:strRef>
              <c:f>'Perf. across Policies backend'!$O$6:$W$6</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 across Policies backend'!$O$12:$W$12</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4A26-4FEE-99E8-0D68DFCE0FDB}"/>
            </c:ext>
          </c:extLst>
        </c:ser>
        <c:dLbls>
          <c:showLegendKey val="0"/>
          <c:showVal val="0"/>
          <c:showCatName val="0"/>
          <c:showSerName val="0"/>
          <c:showPercent val="0"/>
          <c:showBubbleSize val="0"/>
        </c:dLbls>
        <c:axId val="1298235648"/>
        <c:axId val="409148192"/>
      </c:radarChart>
      <c:catAx>
        <c:axId val="1298235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09148192"/>
        <c:crosses val="autoZero"/>
        <c:auto val="1"/>
        <c:lblAlgn val="ctr"/>
        <c:lblOffset val="100"/>
        <c:noMultiLvlLbl val="0"/>
      </c:catAx>
      <c:valAx>
        <c:axId val="409148192"/>
        <c:scaling>
          <c:orientation val="minMax"/>
          <c:max val="1"/>
          <c:min val="0"/>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298235648"/>
        <c:crosses val="autoZero"/>
        <c:crossBetween val="between"/>
      </c:valAx>
      <c:spPr>
        <a:noFill/>
        <a:ln>
          <a:noFill/>
        </a:ln>
        <a:effectLst/>
      </c:spPr>
    </c:plotArea>
    <c:legend>
      <c:legendPos val="b"/>
      <c:layout>
        <c:manualLayout>
          <c:xMode val="edge"/>
          <c:yMode val="edge"/>
          <c:x val="9.755773965008549E-2"/>
          <c:y val="0.81308014674961215"/>
          <c:w val="0.80488452069982896"/>
          <c:h val="0.16850364698887776"/>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Sample Select backend'!$H$9" lockText="1"/>
</file>

<file path=xl/ctrlProps/ctrlProp2.xml><?xml version="1.0" encoding="utf-8"?>
<formControlPr xmlns="http://schemas.microsoft.com/office/spreadsheetml/2009/9/main" objectType="Drop" dropStyle="combo" dx="31" fmlaLink="'Sample Select backend'!$B$2" fmlaRange="'Sample Select backend'!$B$3:$B$10" sel="4" val="0"/>
</file>

<file path=xl/ctrlProps/ctrlProp3.xml><?xml version="1.0" encoding="utf-8"?>
<formControlPr xmlns="http://schemas.microsoft.com/office/spreadsheetml/2009/9/main" objectType="Drop" dropLines="5" dropStyle="combo" dx="31" fmlaLink="'Sample Select backend'!$E$2" fmlaRange="'Sample Select backend'!$E$3:$E$7" sel="1" val="0"/>
</file>

<file path=xl/ctrlProps/ctrlProp4.xml><?xml version="1.0" encoding="utf-8"?>
<formControlPr xmlns="http://schemas.microsoft.com/office/spreadsheetml/2009/9/main" objectType="Drop" dropLines="4" dropStyle="combo" dx="31" fmlaLink="'Sample Select backend'!$H$2" fmlaRange="'Sample Select backend'!$H$3:$H$6" sel="1" val="0"/>
</file>

<file path=xl/ctrlProps/ctrlProp5.xml><?xml version="1.0" encoding="utf-8"?>
<formControlPr xmlns="http://schemas.microsoft.com/office/spreadsheetml/2009/9/main" objectType="Drop" dropLines="10" dropStyle="combo" dx="31" fmlaLink="'Sample Select backend'!$L$2" fmlaRange="'Sample Select backend'!$L$3:$L$205" sel="1" val="0"/>
</file>

<file path=xl/ctrlProps/ctrlProp6.xml><?xml version="1.0" encoding="utf-8"?>
<formControlPr xmlns="http://schemas.microsoft.com/office/spreadsheetml/2009/9/main" objectType="Drop" dropLines="11" dropStyle="combo" dx="31" fmlaLink="'Policy select backend'!$C$30" fmlaRange="'Policy select backend'!$C$31:$C$41" sel="2" val="0"/>
</file>

<file path=xl/ctrlProps/ctrlProp7.xml><?xml version="1.0" encoding="utf-8"?>
<formControlPr xmlns="http://schemas.microsoft.com/office/spreadsheetml/2009/9/main" objectType="Drop" dropLines="20" dropStyle="combo" dx="31" fmlaLink="'Policy select backend'!$AE$7" fmlaRange="'Policy select backend'!$AE$8:$AE$51" sel="1" val="0"/>
</file>

<file path=xl/ctrlProps/ctrlProp8.xml><?xml version="1.0" encoding="utf-8"?>
<formControlPr xmlns="http://schemas.microsoft.com/office/spreadsheetml/2009/9/main" objectType="Drop" dropLines="2" dropStyle="combo" dx="31" fmlaLink="'Policy select backend'!$C$9" fmlaRange="'Policy select backend'!$C$10:$C$11" sel="2" val="0"/>
</file>

<file path=xl/ctrlProps/ctrlProp9.xml><?xml version="1.0" encoding="utf-8"?>
<formControlPr xmlns="http://schemas.microsoft.com/office/spreadsheetml/2009/9/main" objectType="CheckBox" checked="Checked" fmlaLink="'Policy select backend'!$B$52" lockText="1"/>
</file>

<file path=xl/ctrlProps/ctrlProp10.xml><?xml version="1.0" encoding="utf-8"?>
<formControlPr xmlns="http://schemas.microsoft.com/office/spreadsheetml/2009/9/main" objectType="CheckBox" checked="Checked" fmlaLink="'Performance within backend'!$A$20" lockText="1"/>
</file>

<file path=xl/ctrlProps/ctrlProp11.xml><?xml version="1.0" encoding="utf-8"?>
<formControlPr xmlns="http://schemas.microsoft.com/office/spreadsheetml/2009/9/main" objectType="CheckBox" fmlaLink="'Sample Select backend'!$F$24" lockText="1"/>
</file>

<file path=xl/ctrlProps/ctrlProp12.xml><?xml version="1.0" encoding="utf-8"?>
<formControlPr xmlns="http://schemas.microsoft.com/office/spreadsheetml/2009/9/main" objectType="Drop" dropStyle="combo" dx="31" fmlaLink="'Sample Select backend'!$C$24" fmlaRange="'Sample Select backend'!$B$3:$B$10" sel="1" val="0"/>
</file>

<file path=xl/ctrlProps/ctrlProp13.xml><?xml version="1.0" encoding="utf-8"?>
<formControlPr xmlns="http://schemas.microsoft.com/office/spreadsheetml/2009/9/main" objectType="Drop" dropLines="5" dropStyle="combo" dx="31" fmlaLink="'Sample Select backend'!$D$24" fmlaRange="'Sample Select backend'!$E$3:$E$7" sel="2" val="0"/>
</file>

<file path=xl/ctrlProps/ctrlProp14.xml><?xml version="1.0" encoding="utf-8"?>
<formControlPr xmlns="http://schemas.microsoft.com/office/spreadsheetml/2009/9/main" objectType="Drop" dropLines="4" dropStyle="combo" dx="31" fmlaLink="'Sample Select backend'!$E$24" fmlaRange="'Sample Select backend'!$H$3:$H$6" sel="2" val="0"/>
</file>

<file path=xl/ctrlProps/ctrlProp15.xml><?xml version="1.0" encoding="utf-8"?>
<formControlPr xmlns="http://schemas.microsoft.com/office/spreadsheetml/2009/9/main" objectType="Drop" dropLines="10" dropStyle="combo" dx="31" fmlaLink="'Sample Select backend'!$G$24" fmlaRange="'Sample Select backend'!$L$3:$L$205" sel="1" val="0"/>
</file>

<file path=xl/ctrlProps/ctrlProp16.xml><?xml version="1.0" encoding="utf-8"?>
<formControlPr xmlns="http://schemas.microsoft.com/office/spreadsheetml/2009/9/main" objectType="Drop" dropLines="9" dropStyle="combo" dx="31" fmlaLink="'Performance across backend'!$B$3" fmlaRange="'Performance across backend'!$B$4:$B$12" sel="6" val="0"/>
</file>

<file path=xl/ctrlProps/ctrlProp17.xml><?xml version="1.0" encoding="utf-8"?>
<formControlPr xmlns="http://schemas.microsoft.com/office/spreadsheetml/2009/9/main" objectType="CheckBox" checked="Checked" fmlaLink="'Performance across backend'!$K$8" lockText="1"/>
</file>

<file path=xl/ctrlProps/ctrlProp18.xml><?xml version="1.0" encoding="utf-8"?>
<formControlPr xmlns="http://schemas.microsoft.com/office/spreadsheetml/2009/9/main" objectType="CheckBox" checked="Checked" fmlaLink="'Performance across backend'!$P$3" lockText="1"/>
</file>

<file path=xl/ctrlProps/ctrlProp19.xml><?xml version="1.0" encoding="utf-8"?>
<formControlPr xmlns="http://schemas.microsoft.com/office/spreadsheetml/2009/9/main" objectType="Drop" dropStyle="combo" dx="31" fmlaLink="'Perf. across Policies backend'!$C$3" fmlaRange="'Perf. across Policies backend'!$C$4:$C$50" sel="39" val="34"/>
</file>

<file path=xl/ctrlProps/ctrlProp20.xml><?xml version="1.0" encoding="utf-8"?>
<formControlPr xmlns="http://schemas.microsoft.com/office/spreadsheetml/2009/9/main" objectType="Drop" dropStyle="combo" dx="31" fmlaLink="'Perf. across Policies backend'!$D$3" fmlaRange="'Perf. across Policies backend'!$C$4:$C$50" sel="1" val="0"/>
</file>

<file path=xl/ctrlProps/ctrlProp21.xml><?xml version="1.0" encoding="utf-8"?>
<formControlPr xmlns="http://schemas.microsoft.com/office/spreadsheetml/2009/9/main" objectType="CheckBox" checked="Checked" fmlaLink="'Perf. across Policies backend'!$L$11" lockText="1"/>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image" Target="../media/image2.png"/><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image" Target="../media/image1.png"/><Relationship Id="rId5" Type="http://schemas.openxmlformats.org/officeDocument/2006/relationships/chart" Target="../charts/chart18.xml"/><Relationship Id="rId4"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204611</xdr:colOff>
      <xdr:row>0</xdr:row>
      <xdr:rowOff>134058</xdr:rowOff>
    </xdr:from>
    <xdr:to>
      <xdr:col>21</xdr:col>
      <xdr:colOff>70556</xdr:colOff>
      <xdr:row>27</xdr:row>
      <xdr:rowOff>155224</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04611" y="134058"/>
          <a:ext cx="12608278" cy="4974166"/>
        </a:xfrm>
        <a:prstGeom prst="rect">
          <a:avLst/>
        </a:prstGeom>
        <a:solidFill>
          <a:sysClr val="window" lastClr="FFFFFF"/>
        </a:solidFill>
        <a:ln w="571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This dashboard tool helps the user explore fiscal measures in response to COVID-19. This</a:t>
          </a:r>
          <a:r>
            <a:rPr lang="en-US" sz="1000" baseline="0">
              <a:solidFill>
                <a:sysClr val="windowText" lastClr="000000"/>
              </a:solidFill>
            </a:rPr>
            <a:t> page provides an overview of the tabs contained within this tool.</a:t>
          </a:r>
          <a:endParaRPr lang="en-US" sz="1000">
            <a:solidFill>
              <a:sysClr val="windowText" lastClr="000000"/>
            </a:solidFill>
          </a:endParaRPr>
        </a:p>
        <a:p>
          <a:pPr algn="l"/>
          <a:endParaRPr lang="en-US" sz="1000">
            <a:solidFill>
              <a:sysClr val="windowText" lastClr="000000"/>
            </a:solidFill>
          </a:endParaRPr>
        </a:p>
        <a:p>
          <a:pPr algn="l"/>
          <a:r>
            <a:rPr lang="en-US" sz="1000" b="1">
              <a:solidFill>
                <a:sysClr val="windowText" lastClr="000000"/>
              </a:solidFill>
            </a:rPr>
            <a:t>Sample</a:t>
          </a:r>
          <a:r>
            <a:rPr lang="en-US" sz="1000" b="1" baseline="0">
              <a:solidFill>
                <a:sysClr val="windowText" lastClr="000000"/>
              </a:solidFill>
            </a:rPr>
            <a:t> Selection</a:t>
          </a:r>
        </a:p>
        <a:p>
          <a:pPr algn="l"/>
          <a:r>
            <a:rPr lang="en-US" sz="1000" baseline="0">
              <a:solidFill>
                <a:sysClr val="windowText" lastClr="000000"/>
              </a:solidFill>
            </a:rPr>
            <a:t>Select a sample by specifying criteria for countries in the sample. All other tabs will update to reflect your selected sample. A list of selected countries will auto-populate to help verify you have the intended sample.</a:t>
          </a:r>
        </a:p>
        <a:p>
          <a:pPr algn="l"/>
          <a:endParaRPr lang="en-US" sz="1000" baseline="0">
            <a:solidFill>
              <a:sysClr val="windowText" lastClr="000000"/>
            </a:solidFill>
          </a:endParaRPr>
        </a:p>
        <a:p>
          <a:pPr algn="l"/>
          <a:r>
            <a:rPr lang="en-US" sz="1000" b="1" baseline="0">
              <a:solidFill>
                <a:sysClr val="windowText" lastClr="000000"/>
              </a:solidFill>
            </a:rPr>
            <a:t>Policy Choices within Sample</a:t>
          </a:r>
        </a:p>
        <a:p>
          <a:pPr algn="l"/>
          <a:r>
            <a:rPr lang="en-US" sz="1000" baseline="0">
              <a:solidFill>
                <a:sysClr val="windowText" lastClr="000000"/>
              </a:solidFill>
            </a:rPr>
            <a:t>Review fiscal policies implemented by your sample. Counts are available in aggregate categories and drill-downs. The top five list will reflect your sample's favorite policies.</a:t>
          </a:r>
        </a:p>
        <a:p>
          <a:pPr algn="l"/>
          <a:endParaRPr lang="en-US" sz="1000" baseline="0">
            <a:solidFill>
              <a:sysClr val="windowText" lastClr="000000"/>
            </a:solidFill>
          </a:endParaRPr>
        </a:p>
        <a:p>
          <a:pPr algn="l"/>
          <a:r>
            <a:rPr lang="en-US" sz="1000" b="1" baseline="0">
              <a:solidFill>
                <a:sysClr val="windowText" lastClr="000000"/>
              </a:solidFill>
            </a:rPr>
            <a:t>Policy Choices across Samples</a:t>
          </a:r>
        </a:p>
        <a:p>
          <a:pPr algn="l"/>
          <a:r>
            <a:rPr lang="en-US" sz="1000" baseline="0">
              <a:solidFill>
                <a:sysClr val="windowText" lastClr="000000"/>
              </a:solidFill>
            </a:rPr>
            <a:t>Choose a policy (either a category or a specific policy) and compare how favored this policy was across country groups. There is an option to add the selected sample to graphs for benchmarking purposes.</a:t>
          </a:r>
        </a:p>
        <a:p>
          <a:pPr algn="l"/>
          <a:endParaRPr lang="en-US" sz="1000" baseline="0">
            <a:solidFill>
              <a:sysClr val="windowText" lastClr="000000"/>
            </a:solidFill>
          </a:endParaRPr>
        </a:p>
        <a:p>
          <a:pPr algn="l"/>
          <a:r>
            <a:rPr lang="en-US" sz="1000" b="1" baseline="0">
              <a:solidFill>
                <a:sysClr val="windowText" lastClr="000000"/>
              </a:solidFill>
            </a:rPr>
            <a:t>Performance within Sample</a:t>
          </a:r>
        </a:p>
        <a:p>
          <a:pPr algn="l"/>
          <a:r>
            <a:rPr lang="en-US" sz="1000" baseline="0">
              <a:solidFill>
                <a:sysClr val="windowText" lastClr="000000"/>
              </a:solidFill>
            </a:rPr>
            <a:t>Review the share of policies of your sample that meet the criteria of nine policy dimensions. For a detailed discussion of these dimensions and how policies were scored, please see "A Review of Fiscal Policy Responses to COVID-19," circulated with this tool. Pick a second country or group of countries for comparison.</a:t>
          </a:r>
        </a:p>
        <a:p>
          <a:pPr algn="l"/>
          <a:endParaRPr lang="en-US" sz="1000" baseline="0">
            <a:solidFill>
              <a:sysClr val="windowText" lastClr="000000"/>
            </a:solidFill>
          </a:endParaRPr>
        </a:p>
        <a:p>
          <a:pPr algn="l"/>
          <a:r>
            <a:rPr lang="en-US" sz="1000" b="1" baseline="0">
              <a:solidFill>
                <a:sysClr val="windowText" lastClr="000000"/>
              </a:solidFill>
            </a:rPr>
            <a:t>Performance across Samples</a:t>
          </a:r>
        </a:p>
        <a:p>
          <a:pPr algn="l"/>
          <a:r>
            <a:rPr lang="en-US" sz="1000" baseline="0">
              <a:solidFill>
                <a:sysClr val="windowText" lastClr="000000"/>
              </a:solidFill>
            </a:rPr>
            <a:t>Pick a policy dimensions and compare the share of policies meeting the criteria of that dimension across country groups. </a:t>
          </a:r>
          <a:r>
            <a:rPr lang="en-US" sz="1000" baseline="0">
              <a:solidFill>
                <a:sysClr val="windowText" lastClr="000000"/>
              </a:solidFill>
              <a:effectLst/>
              <a:latin typeface="+mn-lt"/>
              <a:ea typeface="+mn-ea"/>
              <a:cs typeface="+mn-cs"/>
            </a:rPr>
            <a:t>There is an option to add the selected sample to graphs for benchmarking purposes.</a:t>
          </a:r>
          <a:endParaRPr lang="en-US" sz="1000" baseline="0">
            <a:solidFill>
              <a:sysClr val="windowText" lastClr="000000"/>
            </a:solidFill>
          </a:endParaRPr>
        </a:p>
        <a:p>
          <a:pPr algn="l"/>
          <a:endParaRPr lang="en-US" sz="1000" b="1" baseline="0">
            <a:solidFill>
              <a:sysClr val="windowText" lastClr="000000"/>
            </a:solidFill>
          </a:endParaRPr>
        </a:p>
        <a:p>
          <a:pPr algn="l"/>
          <a:r>
            <a:rPr lang="en-US" sz="1000" b="1">
              <a:solidFill>
                <a:sysClr val="windowText" lastClr="000000"/>
              </a:solidFill>
            </a:rPr>
            <a:t>Performance across Policies</a:t>
          </a:r>
        </a:p>
        <a:p>
          <a:pPr algn="l"/>
          <a:r>
            <a:rPr lang="en-US" sz="1000">
              <a:solidFill>
                <a:sysClr val="windowText" lastClr="000000"/>
              </a:solidFill>
            </a:rPr>
            <a:t>Compare two policies (either a category or a specific policy) by the share of those</a:t>
          </a:r>
          <a:r>
            <a:rPr lang="en-US" sz="1000" baseline="0">
              <a:solidFill>
                <a:sysClr val="windowText" lastClr="000000"/>
              </a:solidFill>
            </a:rPr>
            <a:t> policies meeting the criteria of nine policy dimensions.</a:t>
          </a:r>
        </a:p>
        <a:p>
          <a:pPr algn="l"/>
          <a:endParaRPr lang="en-US" sz="1000" baseline="0">
            <a:solidFill>
              <a:sysClr val="windowText" lastClr="000000"/>
            </a:solidFill>
          </a:endParaRPr>
        </a:p>
        <a:p>
          <a:pPr algn="l"/>
          <a:r>
            <a:rPr lang="en-US" sz="1000" b="1" baseline="0">
              <a:solidFill>
                <a:sysClr val="windowText" lastClr="000000"/>
              </a:solidFill>
            </a:rPr>
            <a:t>Data</a:t>
          </a:r>
        </a:p>
        <a:p>
          <a:pPr algn="l"/>
          <a:r>
            <a:rPr lang="en-US" sz="1000" baseline="0">
              <a:solidFill>
                <a:sysClr val="windowText" lastClr="000000"/>
              </a:solidFill>
            </a:rPr>
            <a:t>Policies featured in this dashboard come from the IMF Policy Tracker (h</a:t>
          </a:r>
          <a:r>
            <a:rPr lang="en-US" sz="1000">
              <a:solidFill>
                <a:sysClr val="windowText" lastClr="000000"/>
              </a:solidFill>
            </a:rPr>
            <a:t>ttps://www.imf.org/en/Topics/imf-and-covid19/Policy-Responses-to-COVID-19), the OECD policy tracker (https://www.oecd.org/coronavirus/country-policy-tracker),</a:t>
          </a:r>
          <a:r>
            <a:rPr lang="en-US" sz="1000" baseline="0">
              <a:solidFill>
                <a:sysClr val="windowText" lastClr="000000"/>
              </a:solidFill>
            </a:rPr>
            <a:t> the World Bank Social Protection policy tracker (https://www.worldbank.org/en/topic/socialprotection/coronavirus), the IBFD policy tracker (https://www.ibfd.org/IBFD-Tax-Portal/COVID-19-Hub), and the Governance policy tracker (https://worldbankgroup.sharepoint.com/sites/RAD/COVID-19/Pages/Home.aspx). Policies can be viewed by unhiding the "Data" sheet: right-click on any tab below and select "Unhide..."</a:t>
          </a:r>
        </a:p>
        <a:p>
          <a:pPr algn="l"/>
          <a:r>
            <a:rPr lang="en-US" sz="1000" b="1" baseline="0">
              <a:solidFill>
                <a:sysClr val="windowText" lastClr="000000"/>
              </a:solidFill>
            </a:rPr>
            <a:t>Policies featured in this tool are updated as of September 1st 2020.</a:t>
          </a:r>
          <a:r>
            <a:rPr lang="en-US" sz="1000" b="0" baseline="0">
              <a:solidFill>
                <a:sysClr val="windowText" lastClr="000000"/>
              </a:solidFill>
            </a:rPr>
            <a:t> </a:t>
          </a:r>
          <a:r>
            <a:rPr lang="en-US" sz="1000" b="1" baseline="0">
              <a:solidFill>
                <a:sysClr val="windowText" lastClr="000000"/>
              </a:solidFill>
            </a:rPr>
            <a:t>Scores apply only to a subset of policies collected through May 1st 2020.</a:t>
          </a:r>
        </a:p>
        <a:p>
          <a:pPr algn="l"/>
          <a:endParaRPr lang="en-US" sz="1000" baseline="0">
            <a:solidFill>
              <a:sysClr val="windowText" lastClr="000000"/>
            </a:solidFill>
          </a:endParaRPr>
        </a:p>
        <a:p>
          <a:pPr algn="l"/>
          <a:r>
            <a:rPr lang="en-US" sz="1000" baseline="0">
              <a:solidFill>
                <a:sysClr val="windowText" lastClr="000000"/>
              </a:solidFill>
            </a:rPr>
            <a:t>Other data (see "Performance within Sample" tab) are from Macro Poverty Outlook, pulled April 7, 2021.</a:t>
          </a:r>
        </a:p>
        <a:p>
          <a:pPr algn="l"/>
          <a:endParaRPr lang="en-US" sz="1000" baseline="0">
            <a:solidFill>
              <a:sysClr val="windowText" lastClr="000000"/>
            </a:solidFill>
          </a:endParaRPr>
        </a:p>
        <a:p>
          <a:pPr algn="l"/>
          <a:r>
            <a:rPr lang="en-US" sz="1000" b="1" baseline="0">
              <a:solidFill>
                <a:sysClr val="windowText" lastClr="000000"/>
              </a:solidFill>
            </a:rPr>
            <a:t>Authors</a:t>
          </a:r>
        </a:p>
        <a:p>
          <a:pPr algn="l"/>
          <a:r>
            <a:rPr lang="en-US" sz="1000" baseline="0">
              <a:solidFill>
                <a:sysClr val="windowText" lastClr="000000"/>
              </a:solidFill>
            </a:rPr>
            <a:t>Robert Utz, Joe Massad, Eric Lacey</a:t>
          </a:r>
        </a:p>
        <a:p>
          <a:pPr algn="l"/>
          <a:endParaRPr lang="en-US" sz="10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476250</xdr:colOff>
      <xdr:row>1</xdr:row>
      <xdr:rowOff>44450</xdr:rowOff>
    </xdr:from>
    <xdr:to>
      <xdr:col>6</xdr:col>
      <xdr:colOff>38100</xdr:colOff>
      <xdr:row>17</xdr:row>
      <xdr:rowOff>19050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476250" y="234950"/>
          <a:ext cx="3219450" cy="2921000"/>
        </a:xfrm>
        <a:prstGeom prst="rect">
          <a:avLst/>
        </a:prstGeom>
        <a:solidFill>
          <a:schemeClr val="bg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260350</xdr:colOff>
      <xdr:row>1</xdr:row>
      <xdr:rowOff>95250</xdr:rowOff>
    </xdr:from>
    <xdr:to>
      <xdr:col>5</xdr:col>
      <xdr:colOff>254000</xdr:colOff>
      <xdr:row>3</xdr:row>
      <xdr:rowOff>165100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869950" y="279400"/>
          <a:ext cx="24320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Aggregate</a:t>
          </a:r>
          <a:r>
            <a:rPr lang="en-US" sz="1100" baseline="0"/>
            <a:t> Group Characteristics </a:t>
          </a:r>
        </a:p>
        <a:p>
          <a:pPr algn="ctr"/>
          <a:r>
            <a:rPr lang="en-US" sz="1100" baseline="0"/>
            <a:t>(restrictive filtering)</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558800</xdr:colOff>
          <xdr:row>4</xdr:row>
          <xdr:rowOff>25400</xdr:rowOff>
        </xdr:from>
        <xdr:to>
          <xdr:col>4</xdr:col>
          <xdr:colOff>25400</xdr:colOff>
          <xdr:row>5</xdr:row>
          <xdr:rowOff>63500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6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FCV 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7</xdr:row>
          <xdr:rowOff>44450</xdr:rowOff>
        </xdr:from>
        <xdr:to>
          <xdr:col>4</xdr:col>
          <xdr:colOff>444500</xdr:colOff>
          <xdr:row>8</xdr:row>
          <xdr:rowOff>31750</xdr:rowOff>
        </xdr:to>
        <xdr:sp macro="" textlink="">
          <xdr:nvSpPr>
            <xdr:cNvPr id="2052" name="Drop Down 4" hidden="1">
              <a:extLst>
                <a:ext uri="{63B3BB69-23CF-44E3-9099-C40C66FF867C}">
                  <a14:compatExt spid="_x0000_s2052"/>
                </a:ext>
                <a:ext uri="{FF2B5EF4-FFF2-40B4-BE49-F238E27FC236}">
                  <a16:creationId xmlns:a16="http://schemas.microsoft.com/office/drawing/2014/main" id="{00000000-0008-0000-06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8</xdr:row>
          <xdr:rowOff>120650</xdr:rowOff>
        </xdr:from>
        <xdr:to>
          <xdr:col>4</xdr:col>
          <xdr:colOff>444500</xdr:colOff>
          <xdr:row>9</xdr:row>
          <xdr:rowOff>120650</xdr:rowOff>
        </xdr:to>
        <xdr:sp macro="" textlink="">
          <xdr:nvSpPr>
            <xdr:cNvPr id="2053" name="Drop Down 5" hidden="1">
              <a:extLst>
                <a:ext uri="{63B3BB69-23CF-44E3-9099-C40C66FF867C}">
                  <a14:compatExt spid="_x0000_s2053"/>
                </a:ext>
                <a:ext uri="{FF2B5EF4-FFF2-40B4-BE49-F238E27FC236}">
                  <a16:creationId xmlns:a16="http://schemas.microsoft.com/office/drawing/2014/main" id="{00000000-0008-0000-06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152400</xdr:rowOff>
        </xdr:from>
        <xdr:to>
          <xdr:col>4</xdr:col>
          <xdr:colOff>444500</xdr:colOff>
          <xdr:row>6</xdr:row>
          <xdr:rowOff>139700</xdr:rowOff>
        </xdr:to>
        <xdr:sp macro="" textlink="">
          <xdr:nvSpPr>
            <xdr:cNvPr id="2054" name="Drop Down 6" hidden="1">
              <a:extLst>
                <a:ext uri="{63B3BB69-23CF-44E3-9099-C40C66FF867C}">
                  <a14:compatExt spid="_x0000_s2054"/>
                </a:ext>
                <a:ext uri="{FF2B5EF4-FFF2-40B4-BE49-F238E27FC236}">
                  <a16:creationId xmlns:a16="http://schemas.microsoft.com/office/drawing/2014/main" id="{00000000-0008-0000-0600-00000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3175</xdr:colOff>
      <xdr:row>3</xdr:row>
      <xdr:rowOff>158750</xdr:rowOff>
    </xdr:from>
    <xdr:to>
      <xdr:col>5</xdr:col>
      <xdr:colOff>511175</xdr:colOff>
      <xdr:row>3</xdr:row>
      <xdr:rowOff>158750</xdr:rowOff>
    </xdr:to>
    <xdr:cxnSp macro="">
      <xdr:nvCxnSpPr>
        <xdr:cNvPr id="5" name="Straight Connector 4">
          <a:extLst>
            <a:ext uri="{FF2B5EF4-FFF2-40B4-BE49-F238E27FC236}">
              <a16:creationId xmlns:a16="http://schemas.microsoft.com/office/drawing/2014/main" id="{00000000-0008-0000-0200-000005000000}"/>
            </a:ext>
          </a:extLst>
        </xdr:cNvPr>
        <xdr:cNvCxnSpPr/>
      </xdr:nvCxnSpPr>
      <xdr:spPr>
        <a:xfrm>
          <a:off x="612775" y="71120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527050</xdr:colOff>
      <xdr:row>10</xdr:row>
      <xdr:rowOff>44450</xdr:rowOff>
    </xdr:from>
    <xdr:to>
      <xdr:col>4</xdr:col>
      <xdr:colOff>596900</xdr:colOff>
      <xdr:row>13</xdr:row>
      <xdr:rowOff>95250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136650" y="1885950"/>
          <a:ext cx="1898650" cy="603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t>-or-</a:t>
          </a:r>
        </a:p>
        <a:p>
          <a:pPr algn="ctr"/>
          <a:r>
            <a:rPr lang="en-US" sz="1100"/>
            <a:t>Select Individual Country</a:t>
          </a:r>
        </a:p>
      </xdr:txBody>
    </xdr:sp>
    <xdr:clientData/>
  </xdr:twoCellAnchor>
  <xdr:twoCellAnchor>
    <xdr:from>
      <xdr:col>1</xdr:col>
      <xdr:colOff>3175</xdr:colOff>
      <xdr:row>13</xdr:row>
      <xdr:rowOff>63500</xdr:rowOff>
    </xdr:from>
    <xdr:to>
      <xdr:col>5</xdr:col>
      <xdr:colOff>511175</xdr:colOff>
      <xdr:row>13</xdr:row>
      <xdr:rowOff>63500</xdr:rowOff>
    </xdr:to>
    <xdr:cxnSp macro="">
      <xdr:nvCxnSpPr>
        <xdr:cNvPr id="13" name="Straight Connector 12">
          <a:extLst>
            <a:ext uri="{FF2B5EF4-FFF2-40B4-BE49-F238E27FC236}">
              <a16:creationId xmlns:a16="http://schemas.microsoft.com/office/drawing/2014/main" id="{00000000-0008-0000-0200-00000D000000}"/>
            </a:ext>
          </a:extLst>
        </xdr:cNvPr>
        <xdr:cNvCxnSpPr/>
      </xdr:nvCxnSpPr>
      <xdr:spPr>
        <a:xfrm>
          <a:off x="612775" y="245745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xdr:col>
          <xdr:colOff>63500</xdr:colOff>
          <xdr:row>14</xdr:row>
          <xdr:rowOff>0</xdr:rowOff>
        </xdr:from>
        <xdr:to>
          <xdr:col>4</xdr:col>
          <xdr:colOff>450850</xdr:colOff>
          <xdr:row>15</xdr:row>
          <xdr:rowOff>6350</xdr:rowOff>
        </xdr:to>
        <xdr:sp macro="" textlink="">
          <xdr:nvSpPr>
            <xdr:cNvPr id="2055" name="Drop Down 7" hidden="1">
              <a:extLst>
                <a:ext uri="{63B3BB69-23CF-44E3-9099-C40C66FF867C}">
                  <a14:compatExt spid="_x0000_s2055"/>
                </a:ext>
                <a:ext uri="{FF2B5EF4-FFF2-40B4-BE49-F238E27FC236}">
                  <a16:creationId xmlns:a16="http://schemas.microsoft.com/office/drawing/2014/main" id="{00000000-0008-0000-0600-00000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549275</xdr:colOff>
      <xdr:row>15</xdr:row>
      <xdr:rowOff>171450</xdr:rowOff>
    </xdr:from>
    <xdr:to>
      <xdr:col>5</xdr:col>
      <xdr:colOff>574675</xdr:colOff>
      <xdr:row>17</xdr:row>
      <xdr:rowOff>6350</xdr:rowOff>
    </xdr:to>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549275" y="2940050"/>
          <a:ext cx="30734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i="1"/>
            <a:t>When selecting one country, set above characteristic fields to general.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11</xdr:row>
      <xdr:rowOff>101600</xdr:rowOff>
    </xdr:from>
    <xdr:to>
      <xdr:col>7</xdr:col>
      <xdr:colOff>31750</xdr:colOff>
      <xdr:row>13</xdr:row>
      <xdr:rowOff>76200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2590800" y="2133600"/>
          <a:ext cx="1708150" cy="3429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Parameters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387055</xdr:colOff>
      <xdr:row>0</xdr:row>
      <xdr:rowOff>139701</xdr:rowOff>
    </xdr:from>
    <xdr:to>
      <xdr:col>19</xdr:col>
      <xdr:colOff>22224</xdr:colOff>
      <xdr:row>48</xdr:row>
      <xdr:rowOff>133351</xdr:rowOff>
    </xdr:to>
    <xdr:sp macro="" textlink="">
      <xdr:nvSpPr>
        <xdr:cNvPr id="11" name="Rectangle 10">
          <a:extLst>
            <a:ext uri="{FF2B5EF4-FFF2-40B4-BE49-F238E27FC236}">
              <a16:creationId xmlns:a16="http://schemas.microsoft.com/office/drawing/2014/main" id="{00000000-0008-0000-0500-00000B000000}"/>
            </a:ext>
          </a:extLst>
        </xdr:cNvPr>
        <xdr:cNvSpPr/>
      </xdr:nvSpPr>
      <xdr:spPr>
        <a:xfrm>
          <a:off x="387055" y="139701"/>
          <a:ext cx="11217569" cy="8832850"/>
        </a:xfrm>
        <a:prstGeom prst="rect">
          <a:avLst/>
        </a:prstGeom>
        <a:solidFill>
          <a:schemeClr val="bg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491257</xdr:colOff>
      <xdr:row>3</xdr:row>
      <xdr:rowOff>27817</xdr:rowOff>
    </xdr:from>
    <xdr:to>
      <xdr:col>18</xdr:col>
      <xdr:colOff>521271</xdr:colOff>
      <xdr:row>4</xdr:row>
      <xdr:rowOff>182336</xdr:rowOff>
    </xdr:to>
    <xdr:sp macro="" textlink="'Sample Select backend'!C18">
      <xdr:nvSpPr>
        <xdr:cNvPr id="3" name="TextBox 2">
          <a:extLst>
            <a:ext uri="{FF2B5EF4-FFF2-40B4-BE49-F238E27FC236}">
              <a16:creationId xmlns:a16="http://schemas.microsoft.com/office/drawing/2014/main" id="{00000000-0008-0000-0500-000003000000}"/>
            </a:ext>
          </a:extLst>
        </xdr:cNvPr>
        <xdr:cNvSpPr txBox="1"/>
      </xdr:nvSpPr>
      <xdr:spPr>
        <a:xfrm>
          <a:off x="491257" y="580267"/>
          <a:ext cx="11002814" cy="338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2E7FEB-B5F2-4F34-A238-A613E8F8A885}" type="TxLink">
            <a:rPr lang="en-US" sz="1600" b="0" i="1" u="none" strike="noStrike">
              <a:solidFill>
                <a:srgbClr val="000000"/>
              </a:solidFill>
              <a:latin typeface="Calibri"/>
              <a:cs typeface="Calibri"/>
            </a:rPr>
            <a:pPr algn="ctr"/>
            <a:t>#N/A</a:t>
          </a:fld>
          <a:endParaRPr lang="en-US" sz="1600" i="1"/>
        </a:p>
      </xdr:txBody>
    </xdr:sp>
    <xdr:clientData/>
  </xdr:twoCellAnchor>
  <xdr:twoCellAnchor>
    <xdr:from>
      <xdr:col>12</xdr:col>
      <xdr:colOff>266138</xdr:colOff>
      <xdr:row>36</xdr:row>
      <xdr:rowOff>108858</xdr:rowOff>
    </xdr:from>
    <xdr:to>
      <xdr:col>20</xdr:col>
      <xdr:colOff>3206</xdr:colOff>
      <xdr:row>48</xdr:row>
      <xdr:rowOff>44449</xdr:rowOff>
    </xdr:to>
    <xdr:grpSp>
      <xdr:nvGrpSpPr>
        <xdr:cNvPr id="25" name="Group 24">
          <a:extLst>
            <a:ext uri="{FF2B5EF4-FFF2-40B4-BE49-F238E27FC236}">
              <a16:creationId xmlns:a16="http://schemas.microsoft.com/office/drawing/2014/main" id="{00000000-0008-0000-0500-000019000000}"/>
            </a:ext>
          </a:extLst>
        </xdr:cNvPr>
        <xdr:cNvGrpSpPr/>
      </xdr:nvGrpSpPr>
      <xdr:grpSpPr>
        <a:xfrm>
          <a:off x="7568638" y="6776358"/>
          <a:ext cx="4605401" cy="2158091"/>
          <a:chOff x="8785655" y="2131783"/>
          <a:chExt cx="4594677" cy="2114775"/>
        </a:xfrm>
      </xdr:grpSpPr>
      <xdr:sp macro="" textlink="">
        <xdr:nvSpPr>
          <xdr:cNvPr id="20" name="Rectangle 19">
            <a:extLst>
              <a:ext uri="{FF2B5EF4-FFF2-40B4-BE49-F238E27FC236}">
                <a16:creationId xmlns:a16="http://schemas.microsoft.com/office/drawing/2014/main" id="{00000000-0008-0000-0500-000014000000}"/>
              </a:ext>
            </a:extLst>
          </xdr:cNvPr>
          <xdr:cNvSpPr/>
        </xdr:nvSpPr>
        <xdr:spPr>
          <a:xfrm>
            <a:off x="8818187" y="2131783"/>
            <a:ext cx="3903555" cy="2114775"/>
          </a:xfrm>
          <a:prstGeom prst="rect">
            <a:avLst/>
          </a:prstGeom>
          <a:solidFill>
            <a:srgbClr val="FF0000">
              <a:alpha val="20000"/>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8785655" y="2587692"/>
          <a:ext cx="4594677" cy="143721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454025</xdr:colOff>
      <xdr:row>19</xdr:row>
      <xdr:rowOff>38100</xdr:rowOff>
    </xdr:from>
    <xdr:to>
      <xdr:col>18</xdr:col>
      <xdr:colOff>555625</xdr:colOff>
      <xdr:row>36</xdr:row>
      <xdr:rowOff>50800</xdr:rowOff>
    </xdr:to>
    <xdr:sp macro="" textlink="">
      <xdr:nvSpPr>
        <xdr:cNvPr id="21" name="Rectangle 20">
          <a:extLst>
            <a:ext uri="{FF2B5EF4-FFF2-40B4-BE49-F238E27FC236}">
              <a16:creationId xmlns:a16="http://schemas.microsoft.com/office/drawing/2014/main" id="{00000000-0008-0000-0500-000015000000}"/>
            </a:ext>
          </a:extLst>
        </xdr:cNvPr>
        <xdr:cNvSpPr/>
      </xdr:nvSpPr>
      <xdr:spPr>
        <a:xfrm>
          <a:off x="454025" y="3536950"/>
          <a:ext cx="11074400" cy="3143250"/>
        </a:xfrm>
        <a:prstGeom prst="rect">
          <a:avLst/>
        </a:prstGeom>
        <a:solidFill>
          <a:schemeClr val="accent1">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527709</xdr:colOff>
      <xdr:row>21</xdr:row>
      <xdr:rowOff>29628</xdr:rowOff>
    </xdr:from>
    <xdr:to>
      <xdr:col>18</xdr:col>
      <xdr:colOff>371474</xdr:colOff>
      <xdr:row>36</xdr:row>
      <xdr:rowOff>96579</xdr:rowOff>
    </xdr:to>
    <xdr:grpSp>
      <xdr:nvGrpSpPr>
        <xdr:cNvPr id="16" name="Group 15">
          <a:extLst>
            <a:ext uri="{FF2B5EF4-FFF2-40B4-BE49-F238E27FC236}">
              <a16:creationId xmlns:a16="http://schemas.microsoft.com/office/drawing/2014/main" id="{00000000-0008-0000-0500-000010000000}"/>
            </a:ext>
          </a:extLst>
        </xdr:cNvPr>
        <xdr:cNvGrpSpPr/>
      </xdr:nvGrpSpPr>
      <xdr:grpSpPr>
        <a:xfrm>
          <a:off x="527709" y="3919003"/>
          <a:ext cx="10797515" cy="2845076"/>
          <a:chOff x="-3448059" y="3209353"/>
          <a:chExt cx="10781580" cy="2782506"/>
        </a:xfrm>
      </xdr:grpSpPr>
      <xdr:graphicFrame macro="">
        <xdr:nvGraphicFramePr>
          <xdr:cNvPr id="7" name="Chart 6">
            <a:extLst>
              <a:ext uri="{FF2B5EF4-FFF2-40B4-BE49-F238E27FC236}">
                <a16:creationId xmlns:a16="http://schemas.microsoft.com/office/drawing/2014/main" id="{00000000-0008-0000-0500-000007000000}"/>
              </a:ext>
            </a:extLst>
          </xdr:cNvPr>
          <xdr:cNvGraphicFramePr>
            <a:graphicFrameLocks/>
          </xdr:cNvGraphicFramePr>
        </xdr:nvGraphicFramePr>
        <xdr:xfrm>
          <a:off x="3677922" y="3209353"/>
          <a:ext cx="3636615" cy="126516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00000000-0008-0000-0500-000008000000}"/>
              </a:ext>
            </a:extLst>
          </xdr:cNvPr>
          <xdr:cNvGraphicFramePr>
            <a:graphicFrameLocks/>
          </xdr:cNvGraphicFramePr>
        </xdr:nvGraphicFramePr>
        <xdr:xfrm>
          <a:off x="3677922" y="4553586"/>
          <a:ext cx="3655599" cy="124036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00000000-0008-0000-0500-000009000000}"/>
              </a:ext>
            </a:extLst>
          </xdr:cNvPr>
          <xdr:cNvGraphicFramePr>
            <a:graphicFrameLocks/>
          </xdr:cNvGraphicFramePr>
        </xdr:nvGraphicFramePr>
        <xdr:xfrm>
          <a:off x="-3448059" y="3209353"/>
          <a:ext cx="3711574" cy="195610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9">
            <a:extLst>
              <a:ext uri="{FF2B5EF4-FFF2-40B4-BE49-F238E27FC236}">
                <a16:creationId xmlns:a16="http://schemas.microsoft.com/office/drawing/2014/main" id="{00000000-0008-0000-0500-00000A000000}"/>
              </a:ext>
            </a:extLst>
          </xdr:cNvPr>
          <xdr:cNvGraphicFramePr>
            <a:graphicFrameLocks/>
          </xdr:cNvGraphicFramePr>
        </xdr:nvGraphicFramePr>
        <xdr:xfrm>
          <a:off x="177723" y="3209353"/>
          <a:ext cx="3731557" cy="278250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4</xdr:col>
      <xdr:colOff>85725</xdr:colOff>
      <xdr:row>19</xdr:row>
      <xdr:rowOff>15872</xdr:rowOff>
    </xdr:from>
    <xdr:to>
      <xdr:col>15</xdr:col>
      <xdr:colOff>314325</xdr:colOff>
      <xdr:row>21</xdr:row>
      <xdr:rowOff>21163</xdr:rowOff>
    </xdr:to>
    <xdr:sp macro="" textlink="">
      <xdr:nvSpPr>
        <xdr:cNvPr id="15" name="TextBox 14">
          <a:extLst>
            <a:ext uri="{FF2B5EF4-FFF2-40B4-BE49-F238E27FC236}">
              <a16:creationId xmlns:a16="http://schemas.microsoft.com/office/drawing/2014/main" id="{00000000-0008-0000-0500-00000F000000}"/>
            </a:ext>
          </a:extLst>
        </xdr:cNvPr>
        <xdr:cNvSpPr txBox="1"/>
      </xdr:nvSpPr>
      <xdr:spPr>
        <a:xfrm>
          <a:off x="2524125" y="3514722"/>
          <a:ext cx="6934200" cy="37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Revenue Measure Drill-downs</a:t>
          </a:r>
        </a:p>
      </xdr:txBody>
    </xdr:sp>
    <xdr:clientData/>
  </xdr:twoCellAnchor>
  <xdr:twoCellAnchor>
    <xdr:from>
      <xdr:col>0</xdr:col>
      <xdr:colOff>454024</xdr:colOff>
      <xdr:row>36</xdr:row>
      <xdr:rowOff>105231</xdr:rowOff>
    </xdr:from>
    <xdr:to>
      <xdr:col>13</xdr:col>
      <xdr:colOff>301624</xdr:colOff>
      <xdr:row>48</xdr:row>
      <xdr:rowOff>52617</xdr:rowOff>
    </xdr:to>
    <xdr:grpSp>
      <xdr:nvGrpSpPr>
        <xdr:cNvPr id="24" name="Group 23">
          <a:extLst>
            <a:ext uri="{FF2B5EF4-FFF2-40B4-BE49-F238E27FC236}">
              <a16:creationId xmlns:a16="http://schemas.microsoft.com/office/drawing/2014/main" id="{00000000-0008-0000-0500-000018000000}"/>
            </a:ext>
          </a:extLst>
        </xdr:cNvPr>
        <xdr:cNvGrpSpPr/>
      </xdr:nvGrpSpPr>
      <xdr:grpSpPr>
        <a:xfrm>
          <a:off x="454024" y="6772731"/>
          <a:ext cx="7758642" cy="2169886"/>
          <a:chOff x="10707047" y="3016250"/>
          <a:chExt cx="7820341" cy="2099878"/>
        </a:xfrm>
      </xdr:grpSpPr>
      <xdr:sp macro="" textlink="">
        <xdr:nvSpPr>
          <xdr:cNvPr id="22" name="Rectangle 21">
            <a:extLst>
              <a:ext uri="{FF2B5EF4-FFF2-40B4-BE49-F238E27FC236}">
                <a16:creationId xmlns:a16="http://schemas.microsoft.com/office/drawing/2014/main" id="{00000000-0008-0000-0500-000016000000}"/>
              </a:ext>
            </a:extLst>
          </xdr:cNvPr>
          <xdr:cNvSpPr/>
        </xdr:nvSpPr>
        <xdr:spPr>
          <a:xfrm>
            <a:off x="10707047" y="3016250"/>
            <a:ext cx="7181423" cy="2099878"/>
          </a:xfrm>
          <a:prstGeom prst="rect">
            <a:avLst/>
          </a:prstGeom>
          <a:solidFill>
            <a:schemeClr val="accent4">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00000000-0008-0000-0500-00000C000000}"/>
              </a:ext>
            </a:extLst>
          </xdr:cNvPr>
          <xdr:cNvSpPr txBox="1"/>
        </xdr:nvSpPr>
        <xdr:spPr>
          <a:xfrm>
            <a:off x="11673091" y="3021536"/>
            <a:ext cx="5249334" cy="4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Expenditure Measure Drill-downs</a:t>
            </a:r>
          </a:p>
        </xdr:txBody>
      </xdr:sp>
      <xdr:grpSp>
        <xdr:nvGrpSpPr>
          <xdr:cNvPr id="23" name="Group 22">
            <a:extLst>
              <a:ext uri="{FF2B5EF4-FFF2-40B4-BE49-F238E27FC236}">
                <a16:creationId xmlns:a16="http://schemas.microsoft.com/office/drawing/2014/main" id="{00000000-0008-0000-0500-000017000000}"/>
              </a:ext>
            </a:extLst>
          </xdr:cNvPr>
          <xdr:cNvGrpSpPr/>
        </xdr:nvGrpSpPr>
        <xdr:grpSpPr>
          <a:xfrm>
            <a:off x="10821694" y="3346299"/>
            <a:ext cx="7705694" cy="1758043"/>
            <a:chOff x="10821694" y="3346299"/>
            <a:chExt cx="7705694" cy="1758043"/>
          </a:xfrm>
        </xdr:grpSpPr>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14116624" y="3346299"/>
            <a:ext cx="4410764" cy="175804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10821694" y="3346299"/>
            <a:ext cx="3923308" cy="1617436"/>
          </xdr:xfrm>
          <a:graphic>
            <a:graphicData uri="http://schemas.openxmlformats.org/drawingml/2006/chart">
              <c:chart xmlns:c="http://schemas.openxmlformats.org/drawingml/2006/chart" xmlns:r="http://schemas.openxmlformats.org/officeDocument/2006/relationships" r:id="rId7"/>
            </a:graphicData>
          </a:graphic>
        </xdr:graphicFrame>
      </xdr:grpSp>
    </xdr:grpSp>
    <xdr:clientData/>
  </xdr:twoCellAnchor>
  <xdr:twoCellAnchor>
    <xdr:from>
      <xdr:col>1</xdr:col>
      <xdr:colOff>178786</xdr:colOff>
      <xdr:row>4</xdr:row>
      <xdr:rowOff>130629</xdr:rowOff>
    </xdr:from>
    <xdr:to>
      <xdr:col>18</xdr:col>
      <xdr:colOff>224143</xdr:colOff>
      <xdr:row>4</xdr:row>
      <xdr:rowOff>139699</xdr:rowOff>
    </xdr:to>
    <xdr:cxnSp macro="">
      <xdr:nvCxnSpPr>
        <xdr:cNvPr id="27" name="Straight Connector 26">
          <a:extLst>
            <a:ext uri="{FF2B5EF4-FFF2-40B4-BE49-F238E27FC236}">
              <a16:creationId xmlns:a16="http://schemas.microsoft.com/office/drawing/2014/main" id="{00000000-0008-0000-0500-00001B000000}"/>
            </a:ext>
          </a:extLst>
        </xdr:cNvPr>
        <xdr:cNvCxnSpPr/>
      </xdr:nvCxnSpPr>
      <xdr:spPr>
        <a:xfrm flipV="1">
          <a:off x="788386" y="867229"/>
          <a:ext cx="10408557" cy="907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473075</xdr:colOff>
      <xdr:row>36</xdr:row>
      <xdr:rowOff>143331</xdr:rowOff>
    </xdr:from>
    <xdr:to>
      <xdr:col>18</xdr:col>
      <xdr:colOff>357491</xdr:colOff>
      <xdr:row>39</xdr:row>
      <xdr:rowOff>68779</xdr:rowOff>
    </xdr:to>
    <xdr:sp macro="" textlink="">
      <xdr:nvSpPr>
        <xdr:cNvPr id="37" name="TextBox 36">
          <a:extLst>
            <a:ext uri="{FF2B5EF4-FFF2-40B4-BE49-F238E27FC236}">
              <a16:creationId xmlns:a16="http://schemas.microsoft.com/office/drawing/2014/main" id="{00000000-0008-0000-0500-000025000000}"/>
            </a:ext>
          </a:extLst>
        </xdr:cNvPr>
        <xdr:cNvSpPr txBox="1"/>
      </xdr:nvSpPr>
      <xdr:spPr>
        <a:xfrm>
          <a:off x="7788275" y="7001331"/>
          <a:ext cx="3542016" cy="496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Credit and Equity Measure Drill-downs</a:t>
          </a:r>
        </a:p>
      </xdr:txBody>
    </xdr:sp>
    <xdr:clientData/>
  </xdr:twoCellAnchor>
  <xdr:twoCellAnchor>
    <xdr:from>
      <xdr:col>5</xdr:col>
      <xdr:colOff>541189</xdr:colOff>
      <xdr:row>1</xdr:row>
      <xdr:rowOff>57150</xdr:rowOff>
    </xdr:from>
    <xdr:to>
      <xdr:col>13</xdr:col>
      <xdr:colOff>477689</xdr:colOff>
      <xdr:row>3</xdr:row>
      <xdr:rowOff>120650</xdr:rowOff>
    </xdr:to>
    <xdr:sp macro="" textlink="">
      <xdr:nvSpPr>
        <xdr:cNvPr id="38" name="TextBox 37">
          <a:extLst>
            <a:ext uri="{FF2B5EF4-FFF2-40B4-BE49-F238E27FC236}">
              <a16:creationId xmlns:a16="http://schemas.microsoft.com/office/drawing/2014/main" id="{00000000-0008-0000-0500-000026000000}"/>
            </a:ext>
          </a:extLst>
        </xdr:cNvPr>
        <xdr:cNvSpPr txBox="1"/>
      </xdr:nvSpPr>
      <xdr:spPr>
        <a:xfrm>
          <a:off x="3589189" y="241300"/>
          <a:ext cx="48133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Policy Breakdown</a:t>
          </a:r>
          <a:r>
            <a:rPr lang="en-US" sz="2400" b="1" baseline="0"/>
            <a:t> within Sample</a:t>
          </a:r>
          <a:endParaRPr lang="en-US" sz="2400" b="1"/>
        </a:p>
      </xdr:txBody>
    </xdr:sp>
    <xdr:clientData/>
  </xdr:twoCellAnchor>
  <xdr:twoCellAnchor>
    <xdr:from>
      <xdr:col>0</xdr:col>
      <xdr:colOff>509770</xdr:colOff>
      <xdr:row>5</xdr:row>
      <xdr:rowOff>46565</xdr:rowOff>
    </xdr:from>
    <xdr:to>
      <xdr:col>19</xdr:col>
      <xdr:colOff>37276</xdr:colOff>
      <xdr:row>19</xdr:row>
      <xdr:rowOff>79514</xdr:rowOff>
    </xdr:to>
    <xdr:grpSp>
      <xdr:nvGrpSpPr>
        <xdr:cNvPr id="26" name="Group 25">
          <a:extLst>
            <a:ext uri="{FF2B5EF4-FFF2-40B4-BE49-F238E27FC236}">
              <a16:creationId xmlns:a16="http://schemas.microsoft.com/office/drawing/2014/main" id="{00000000-0008-0000-0500-00001A000000}"/>
            </a:ext>
          </a:extLst>
        </xdr:cNvPr>
        <xdr:cNvGrpSpPr/>
      </xdr:nvGrpSpPr>
      <xdr:grpSpPr>
        <a:xfrm>
          <a:off x="509770" y="972607"/>
          <a:ext cx="11089798" cy="2625865"/>
          <a:chOff x="1278120" y="1094315"/>
          <a:chExt cx="11109906" cy="2611049"/>
        </a:xfrm>
      </xdr:grpSpPr>
      <xdr:grpSp>
        <xdr:nvGrpSpPr>
          <xdr:cNvPr id="13" name="Group 12">
            <a:extLst>
              <a:ext uri="{FF2B5EF4-FFF2-40B4-BE49-F238E27FC236}">
                <a16:creationId xmlns:a16="http://schemas.microsoft.com/office/drawing/2014/main" id="{00000000-0008-0000-0500-00000D000000}"/>
              </a:ext>
            </a:extLst>
          </xdr:cNvPr>
          <xdr:cNvGrpSpPr/>
        </xdr:nvGrpSpPr>
        <xdr:grpSpPr>
          <a:xfrm>
            <a:off x="3070225" y="1094315"/>
            <a:ext cx="4454506" cy="2288117"/>
            <a:chOff x="7145325" y="588432"/>
            <a:chExt cx="4451328" cy="2381250"/>
          </a:xfrm>
        </xdr:grpSpPr>
        <xdr:sp macro="" textlink="">
          <xdr:nvSpPr>
            <xdr:cNvPr id="19" name="Rectangle 18">
              <a:extLst>
                <a:ext uri="{FF2B5EF4-FFF2-40B4-BE49-F238E27FC236}">
                  <a16:creationId xmlns:a16="http://schemas.microsoft.com/office/drawing/2014/main" id="{00000000-0008-0000-0500-000013000000}"/>
                </a:ext>
              </a:extLst>
            </xdr:cNvPr>
            <xdr:cNvSpPr/>
          </xdr:nvSpPr>
          <xdr:spPr>
            <a:xfrm>
              <a:off x="7253227" y="2350691"/>
              <a:ext cx="4165771" cy="146695"/>
            </a:xfrm>
            <a:prstGeom prst="rect">
              <a:avLst/>
            </a:prstGeom>
            <a:solidFill>
              <a:srgbClr val="FF0000">
                <a:alpha val="20000"/>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00000000-0008-0000-0500-000012000000}"/>
                </a:ext>
              </a:extLst>
            </xdr:cNvPr>
            <xdr:cNvSpPr/>
          </xdr:nvSpPr>
          <xdr:spPr>
            <a:xfrm>
              <a:off x="7253227" y="1871321"/>
              <a:ext cx="4165739" cy="478180"/>
            </a:xfrm>
            <a:prstGeom prst="rect">
              <a:avLst/>
            </a:prstGeom>
            <a:solidFill>
              <a:schemeClr val="accent4">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00000000-0008-0000-0500-000011000000}"/>
                </a:ext>
              </a:extLst>
            </xdr:cNvPr>
            <xdr:cNvSpPr/>
          </xdr:nvSpPr>
          <xdr:spPr>
            <a:xfrm>
              <a:off x="7256954" y="1052286"/>
              <a:ext cx="4168370" cy="816428"/>
            </a:xfrm>
            <a:prstGeom prst="rect">
              <a:avLst/>
            </a:prstGeom>
            <a:solidFill>
              <a:schemeClr val="accent1">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7145325" y="588432"/>
            <a:ext cx="4451328" cy="2381250"/>
          </xdr:xfrm>
          <a:graphic>
            <a:graphicData uri="http://schemas.openxmlformats.org/drawingml/2006/chart">
              <c:chart xmlns:c="http://schemas.openxmlformats.org/drawingml/2006/chart" xmlns:r="http://schemas.openxmlformats.org/officeDocument/2006/relationships" r:id="rId8"/>
            </a:graphicData>
          </a:graphic>
        </xdr:graphicFrame>
      </xdr:grpSp>
      <xdr:sp macro="" textlink="'Sample Select backend'!AH6">
        <xdr:nvSpPr>
          <xdr:cNvPr id="30" name="TextBox 29">
            <a:extLst>
              <a:ext uri="{FF2B5EF4-FFF2-40B4-BE49-F238E27FC236}">
                <a16:creationId xmlns:a16="http://schemas.microsoft.com/office/drawing/2014/main" id="{00000000-0008-0000-0500-00001E000000}"/>
              </a:ext>
            </a:extLst>
          </xdr:cNvPr>
          <xdr:cNvSpPr txBox="1"/>
        </xdr:nvSpPr>
        <xdr:spPr>
          <a:xfrm>
            <a:off x="2852920" y="3338083"/>
            <a:ext cx="2067664" cy="367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29CB4E-93C2-4341-A037-0BCD6F74AC7B}" type="TxLink">
              <a:rPr lang="en-US" sz="1200" b="0" i="0" u="none" strike="noStrike">
                <a:solidFill>
                  <a:sysClr val="windowText" lastClr="000000"/>
                </a:solidFill>
                <a:latin typeface="Calibri"/>
                <a:cs typeface="Calibri"/>
              </a:rPr>
              <a:pPr/>
              <a:t>Total revenue measures: 0</a:t>
            </a:fld>
            <a:endParaRPr lang="en-US" sz="1200">
              <a:solidFill>
                <a:sysClr val="windowText" lastClr="000000"/>
              </a:solidFill>
            </a:endParaRPr>
          </a:p>
        </xdr:txBody>
      </xdr:sp>
      <xdr:sp macro="" textlink="'Sample Select backend'!AH9">
        <xdr:nvSpPr>
          <xdr:cNvPr id="32" name="TextBox 31">
            <a:extLst>
              <a:ext uri="{FF2B5EF4-FFF2-40B4-BE49-F238E27FC236}">
                <a16:creationId xmlns:a16="http://schemas.microsoft.com/office/drawing/2014/main" id="{00000000-0008-0000-0500-000020000000}"/>
              </a:ext>
            </a:extLst>
          </xdr:cNvPr>
          <xdr:cNvSpPr txBox="1"/>
        </xdr:nvSpPr>
        <xdr:spPr>
          <a:xfrm>
            <a:off x="5075420" y="3338083"/>
            <a:ext cx="2321846" cy="36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50E488-3030-4D56-8731-C51C8EFAD1D5}" type="TxLink">
              <a:rPr lang="en-US" sz="1200" b="0" i="0" u="none" strike="noStrike">
                <a:solidFill>
                  <a:srgbClr val="000000"/>
                </a:solidFill>
                <a:latin typeface="Calibri"/>
                <a:cs typeface="Calibri"/>
              </a:rPr>
              <a:pPr/>
              <a:t>Total expenditure measures: 0</a:t>
            </a:fld>
            <a:endParaRPr lang="en-US" sz="1200"/>
          </a:p>
        </xdr:txBody>
      </xdr:sp>
      <xdr:sp macro="" textlink="'Sample Select backend'!AH12">
        <xdr:nvSpPr>
          <xdr:cNvPr id="33" name="TextBox 32">
            <a:extLst>
              <a:ext uri="{FF2B5EF4-FFF2-40B4-BE49-F238E27FC236}">
                <a16:creationId xmlns:a16="http://schemas.microsoft.com/office/drawing/2014/main" id="{00000000-0008-0000-0500-000021000000}"/>
              </a:ext>
            </a:extLst>
          </xdr:cNvPr>
          <xdr:cNvSpPr txBox="1"/>
        </xdr:nvSpPr>
        <xdr:spPr>
          <a:xfrm>
            <a:off x="7685270" y="3338083"/>
            <a:ext cx="2563319" cy="36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EDBBA8-86BD-4F4E-90A8-F6FC75111F3B}" type="TxLink">
              <a:rPr lang="en-US" sz="1200" b="0" i="0" u="none" strike="noStrike">
                <a:solidFill>
                  <a:srgbClr val="000000"/>
                </a:solidFill>
                <a:latin typeface="Calibri"/>
                <a:cs typeface="Calibri"/>
              </a:rPr>
              <a:pPr/>
              <a:t>Total credit and equity measures: 0</a:t>
            </a:fld>
            <a:endParaRPr lang="en-US" sz="1200"/>
          </a:p>
        </xdr:txBody>
      </xdr:sp>
      <xdr:sp macro="" textlink="'Sample Select backend'!AH14">
        <xdr:nvSpPr>
          <xdr:cNvPr id="34" name="TextBox 33">
            <a:extLst>
              <a:ext uri="{FF2B5EF4-FFF2-40B4-BE49-F238E27FC236}">
                <a16:creationId xmlns:a16="http://schemas.microsoft.com/office/drawing/2014/main" id="{00000000-0008-0000-0500-000022000000}"/>
              </a:ext>
            </a:extLst>
          </xdr:cNvPr>
          <xdr:cNvSpPr txBox="1"/>
        </xdr:nvSpPr>
        <xdr:spPr>
          <a:xfrm>
            <a:off x="10542770" y="3338083"/>
            <a:ext cx="1845256" cy="36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6787C4-AF40-40E7-996E-ABBF9E1E615D}" type="TxLink">
              <a:rPr lang="en-US" sz="1200" b="0" i="0" u="none" strike="noStrike">
                <a:solidFill>
                  <a:srgbClr val="000000"/>
                </a:solidFill>
                <a:latin typeface="Calibri"/>
                <a:cs typeface="Calibri"/>
              </a:rPr>
              <a:pPr/>
              <a:t>#REF!</a:t>
            </a:fld>
            <a:endParaRPr lang="en-US" sz="1200"/>
          </a:p>
        </xdr:txBody>
      </xdr:sp>
      <xdr:sp macro="" textlink="'Sample Select backend'!AH16">
        <xdr:nvSpPr>
          <xdr:cNvPr id="36" name="TextBox 35">
            <a:extLst>
              <a:ext uri="{FF2B5EF4-FFF2-40B4-BE49-F238E27FC236}">
                <a16:creationId xmlns:a16="http://schemas.microsoft.com/office/drawing/2014/main" id="{00000000-0008-0000-0500-000024000000}"/>
              </a:ext>
            </a:extLst>
          </xdr:cNvPr>
          <xdr:cNvSpPr txBox="1"/>
        </xdr:nvSpPr>
        <xdr:spPr>
          <a:xfrm>
            <a:off x="1278120" y="3338083"/>
            <a:ext cx="2265180" cy="367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B37584-859B-4A89-AE72-496551D5F1D1}" type="TxLink">
              <a:rPr lang="en-US" sz="1200" b="1" i="0" u="none" strike="noStrike">
                <a:solidFill>
                  <a:srgbClr val="000000"/>
                </a:solidFill>
                <a:latin typeface="Calibri"/>
                <a:cs typeface="Calibri"/>
              </a:rPr>
              <a:pPr/>
              <a:t>#REF!</a:t>
            </a:fld>
            <a:endParaRPr lang="en-US" sz="1200" b="1"/>
          </a:p>
        </xdr:txBody>
      </xdr:sp>
    </xdr:grpSp>
    <xdr:clientData/>
  </xdr:twoCellAnchor>
  <xdr:twoCellAnchor>
    <xdr:from>
      <xdr:col>11</xdr:col>
      <xdr:colOff>133350</xdr:colOff>
      <xdr:row>5</xdr:row>
      <xdr:rowOff>69850</xdr:rowOff>
    </xdr:from>
    <xdr:to>
      <xdr:col>18</xdr:col>
      <xdr:colOff>406400</xdr:colOff>
      <xdr:row>18</xdr:row>
      <xdr:rowOff>57150</xdr:rowOff>
    </xdr:to>
    <xdr:grpSp>
      <xdr:nvGrpSpPr>
        <xdr:cNvPr id="35" name="Group 34">
          <a:extLst>
            <a:ext uri="{FF2B5EF4-FFF2-40B4-BE49-F238E27FC236}">
              <a16:creationId xmlns:a16="http://schemas.microsoft.com/office/drawing/2014/main" id="{00000000-0008-0000-0500-000023000000}"/>
            </a:ext>
          </a:extLst>
        </xdr:cNvPr>
        <xdr:cNvGrpSpPr/>
      </xdr:nvGrpSpPr>
      <xdr:grpSpPr>
        <a:xfrm>
          <a:off x="6827308" y="995892"/>
          <a:ext cx="4532842" cy="2395008"/>
          <a:chOff x="6838950" y="1016000"/>
          <a:chExt cx="4540250" cy="2381250"/>
        </a:xfrm>
      </xdr:grpSpPr>
      <xdr:grpSp>
        <xdr:nvGrpSpPr>
          <xdr:cNvPr id="29" name="Group 28">
            <a:extLst>
              <a:ext uri="{FF2B5EF4-FFF2-40B4-BE49-F238E27FC236}">
                <a16:creationId xmlns:a16="http://schemas.microsoft.com/office/drawing/2014/main" id="{00000000-0008-0000-0500-00001D000000}"/>
              </a:ext>
            </a:extLst>
          </xdr:cNvPr>
          <xdr:cNvGrpSpPr/>
        </xdr:nvGrpSpPr>
        <xdr:grpSpPr>
          <a:xfrm>
            <a:off x="6864350" y="1016000"/>
            <a:ext cx="4489450" cy="2381250"/>
            <a:chOff x="9353550" y="1016000"/>
            <a:chExt cx="4489450" cy="2381250"/>
          </a:xfrm>
        </xdr:grpSpPr>
        <xdr:sp macro="" textlink="">
          <xdr:nvSpPr>
            <xdr:cNvPr id="14" name="TextBox 13">
              <a:extLst>
                <a:ext uri="{FF2B5EF4-FFF2-40B4-BE49-F238E27FC236}">
                  <a16:creationId xmlns:a16="http://schemas.microsoft.com/office/drawing/2014/main" id="{00000000-0008-0000-0500-00000E000000}"/>
                </a:ext>
              </a:extLst>
            </xdr:cNvPr>
            <xdr:cNvSpPr txBox="1"/>
          </xdr:nvSpPr>
          <xdr:spPr>
            <a:xfrm>
              <a:off x="9915525" y="1016000"/>
              <a:ext cx="3365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Most-selected policies for this sample</a:t>
              </a:r>
            </a:p>
          </xdr:txBody>
        </xdr:sp>
        <xdr:sp macro="" textlink="">
          <xdr:nvSpPr>
            <xdr:cNvPr id="28" name="TextBox 27">
              <a:extLst>
                <a:ext uri="{FF2B5EF4-FFF2-40B4-BE49-F238E27FC236}">
                  <a16:creationId xmlns:a16="http://schemas.microsoft.com/office/drawing/2014/main" id="{00000000-0008-0000-0500-00001C000000}"/>
                </a:ext>
              </a:extLst>
            </xdr:cNvPr>
            <xdr:cNvSpPr txBox="1"/>
          </xdr:nvSpPr>
          <xdr:spPr>
            <a:xfrm>
              <a:off x="9353550" y="1327150"/>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a:t>
              </a:r>
            </a:p>
          </xdr:txBody>
        </xdr:sp>
        <xdr:sp macro="" textlink="'Sample Select backend'!AA60">
          <xdr:nvSpPr>
            <xdr:cNvPr id="39" name="TextBox 38">
              <a:extLst>
                <a:ext uri="{FF2B5EF4-FFF2-40B4-BE49-F238E27FC236}">
                  <a16:creationId xmlns:a16="http://schemas.microsoft.com/office/drawing/2014/main" id="{00000000-0008-0000-0500-000027000000}"/>
                </a:ext>
              </a:extLst>
            </xdr:cNvPr>
            <xdr:cNvSpPr txBox="1"/>
          </xdr:nvSpPr>
          <xdr:spPr>
            <a:xfrm>
              <a:off x="9353550" y="1697832"/>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A1F628-28A7-45BE-91E4-CF79A855D744}" type="TxLink">
                <a:rPr lang="en-US" sz="1100" b="0" i="0" u="none" strike="noStrike">
                  <a:solidFill>
                    <a:srgbClr val="000000"/>
                  </a:solidFill>
                  <a:latin typeface="Calibri"/>
                  <a:cs typeface="Calibri"/>
                </a:rPr>
                <a:pPr/>
                <a:t>2</a:t>
              </a:fld>
              <a:endParaRPr lang="en-US" sz="1100"/>
            </a:p>
          </xdr:txBody>
        </xdr:sp>
        <xdr:sp macro="" textlink="'Sample Select backend'!AA61">
          <xdr:nvSpPr>
            <xdr:cNvPr id="40" name="TextBox 39">
              <a:extLst>
                <a:ext uri="{FF2B5EF4-FFF2-40B4-BE49-F238E27FC236}">
                  <a16:creationId xmlns:a16="http://schemas.microsoft.com/office/drawing/2014/main" id="{00000000-0008-0000-0500-000028000000}"/>
                </a:ext>
              </a:extLst>
            </xdr:cNvPr>
            <xdr:cNvSpPr txBox="1"/>
          </xdr:nvSpPr>
          <xdr:spPr>
            <a:xfrm>
              <a:off x="9353550" y="2068514"/>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ECA046-3291-4743-ABD4-CDA053C74194}" type="TxLink">
                <a:rPr lang="en-US" sz="1100" b="0" i="0" u="none" strike="noStrike">
                  <a:solidFill>
                    <a:srgbClr val="000000"/>
                  </a:solidFill>
                  <a:latin typeface="Calibri"/>
                  <a:cs typeface="Calibri"/>
                </a:rPr>
                <a:pPr/>
                <a:t>-</a:t>
              </a:fld>
              <a:endParaRPr lang="en-US" sz="1100"/>
            </a:p>
          </xdr:txBody>
        </xdr:sp>
        <xdr:sp macro="" textlink="'Sample Select backend'!AA62">
          <xdr:nvSpPr>
            <xdr:cNvPr id="41" name="TextBox 40">
              <a:extLst>
                <a:ext uri="{FF2B5EF4-FFF2-40B4-BE49-F238E27FC236}">
                  <a16:creationId xmlns:a16="http://schemas.microsoft.com/office/drawing/2014/main" id="{00000000-0008-0000-0500-000029000000}"/>
                </a:ext>
              </a:extLst>
            </xdr:cNvPr>
            <xdr:cNvSpPr txBox="1"/>
          </xdr:nvSpPr>
          <xdr:spPr>
            <a:xfrm>
              <a:off x="9353550" y="2439196"/>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F87417-2C43-4323-8D0B-2A80815B298A}" type="TxLink">
                <a:rPr lang="en-US" sz="1100" b="0" i="0" u="none" strike="noStrike">
                  <a:solidFill>
                    <a:srgbClr val="000000"/>
                  </a:solidFill>
                  <a:latin typeface="Calibri"/>
                  <a:cs typeface="Calibri"/>
                </a:rPr>
                <a:pPr/>
                <a:t>-</a:t>
              </a:fld>
              <a:endParaRPr lang="en-US" sz="1100"/>
            </a:p>
          </xdr:txBody>
        </xdr:sp>
        <xdr:sp macro="" textlink="'Sample Select backend'!AA63">
          <xdr:nvSpPr>
            <xdr:cNvPr id="42" name="TextBox 41">
              <a:extLst>
                <a:ext uri="{FF2B5EF4-FFF2-40B4-BE49-F238E27FC236}">
                  <a16:creationId xmlns:a16="http://schemas.microsoft.com/office/drawing/2014/main" id="{00000000-0008-0000-0500-00002A000000}"/>
                </a:ext>
              </a:extLst>
            </xdr:cNvPr>
            <xdr:cNvSpPr txBox="1"/>
          </xdr:nvSpPr>
          <xdr:spPr>
            <a:xfrm>
              <a:off x="9353550" y="2809876"/>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E336BF-1FE2-4A93-9DC6-49DFCAC76E6A}" type="TxLink">
                <a:rPr lang="en-US" sz="1100" b="0" i="0" u="none" strike="noStrike">
                  <a:solidFill>
                    <a:srgbClr val="000000"/>
                  </a:solidFill>
                  <a:latin typeface="Calibri"/>
                  <a:cs typeface="Calibri"/>
                </a:rPr>
                <a:pPr/>
                <a:t>-</a:t>
              </a:fld>
              <a:endParaRPr lang="en-US" sz="1100"/>
            </a:p>
          </xdr:txBody>
        </xdr:sp>
        <xdr:sp macro="" textlink="'Sample Select backend'!AC59">
          <xdr:nvSpPr>
            <xdr:cNvPr id="43" name="TextBox 42">
              <a:extLst>
                <a:ext uri="{FF2B5EF4-FFF2-40B4-BE49-F238E27FC236}">
                  <a16:creationId xmlns:a16="http://schemas.microsoft.com/office/drawing/2014/main" id="{00000000-0008-0000-0500-00002B000000}"/>
                </a:ext>
              </a:extLst>
            </xdr:cNvPr>
            <xdr:cNvSpPr txBox="1"/>
          </xdr:nvSpPr>
          <xdr:spPr>
            <a:xfrm>
              <a:off x="9588500" y="1327150"/>
              <a:ext cx="42037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A26DF7-FD61-4826-9559-EDADD4FE2169}" type="TxLink">
                <a:rPr lang="en-US" sz="1100" b="0" i="0" u="none" strike="noStrike">
                  <a:solidFill>
                    <a:srgbClr val="000000"/>
                  </a:solidFill>
                  <a:latin typeface="Calibri"/>
                  <a:cs typeface="Calibri"/>
                </a:rPr>
                <a:pPr/>
                <a:t>#REF!</a:t>
              </a:fld>
              <a:endParaRPr lang="en-US" sz="1100"/>
            </a:p>
          </xdr:txBody>
        </xdr:sp>
        <xdr:sp macro="" textlink="'Sample Select backend'!AC60">
          <xdr:nvSpPr>
            <xdr:cNvPr id="44" name="TextBox 43">
              <a:extLst>
                <a:ext uri="{FF2B5EF4-FFF2-40B4-BE49-F238E27FC236}">
                  <a16:creationId xmlns:a16="http://schemas.microsoft.com/office/drawing/2014/main" id="{00000000-0008-0000-0500-00002C000000}"/>
                </a:ext>
              </a:extLst>
            </xdr:cNvPr>
            <xdr:cNvSpPr txBox="1"/>
          </xdr:nvSpPr>
          <xdr:spPr>
            <a:xfrm>
              <a:off x="9588500" y="1697832"/>
              <a:ext cx="4235450" cy="510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E9166F-2C93-499B-AFFF-F9BC70E55655}" type="TxLink">
                <a:rPr lang="en-US" sz="1100" b="0" i="0" u="none" strike="noStrike">
                  <a:solidFill>
                    <a:srgbClr val="000000"/>
                  </a:solidFill>
                  <a:latin typeface="Calibri"/>
                  <a:cs typeface="Calibri"/>
                </a:rPr>
                <a:pPr/>
                <a:t>No further policies</a:t>
              </a:fld>
              <a:endParaRPr lang="en-US" sz="1100"/>
            </a:p>
          </xdr:txBody>
        </xdr:sp>
        <xdr:sp macro="" textlink="'Sample Select backend'!AC61">
          <xdr:nvSpPr>
            <xdr:cNvPr id="45" name="TextBox 44">
              <a:extLst>
                <a:ext uri="{FF2B5EF4-FFF2-40B4-BE49-F238E27FC236}">
                  <a16:creationId xmlns:a16="http://schemas.microsoft.com/office/drawing/2014/main" id="{00000000-0008-0000-0500-00002D000000}"/>
                </a:ext>
              </a:extLst>
            </xdr:cNvPr>
            <xdr:cNvSpPr txBox="1"/>
          </xdr:nvSpPr>
          <xdr:spPr>
            <a:xfrm>
              <a:off x="9588500" y="2068514"/>
              <a:ext cx="4229100" cy="620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779751-9571-4B5E-9D6C-6DD9E19366BD}" type="TxLink">
                <a:rPr lang="en-US" sz="1100" b="0" i="0" u="none" strike="noStrike">
                  <a:solidFill>
                    <a:srgbClr val="000000"/>
                  </a:solidFill>
                  <a:latin typeface="Calibri"/>
                  <a:cs typeface="Calibri"/>
                </a:rPr>
                <a:pPr/>
                <a:t>No further policies</a:t>
              </a:fld>
              <a:endParaRPr lang="en-US" sz="1100"/>
            </a:p>
          </xdr:txBody>
        </xdr:sp>
        <xdr:sp macro="" textlink="'Sample Select backend'!AC62">
          <xdr:nvSpPr>
            <xdr:cNvPr id="46" name="TextBox 45">
              <a:extLst>
                <a:ext uri="{FF2B5EF4-FFF2-40B4-BE49-F238E27FC236}">
                  <a16:creationId xmlns:a16="http://schemas.microsoft.com/office/drawing/2014/main" id="{00000000-0008-0000-0500-00002E000000}"/>
                </a:ext>
              </a:extLst>
            </xdr:cNvPr>
            <xdr:cNvSpPr txBox="1"/>
          </xdr:nvSpPr>
          <xdr:spPr>
            <a:xfrm>
              <a:off x="9588500" y="2439196"/>
              <a:ext cx="4254500" cy="470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76E058-F467-48E7-8496-4DF583E62334}" type="TxLink">
                <a:rPr lang="en-US" sz="1100" b="0" i="0" u="none" strike="noStrike">
                  <a:solidFill>
                    <a:srgbClr val="000000"/>
                  </a:solidFill>
                  <a:latin typeface="Calibri"/>
                  <a:cs typeface="Calibri"/>
                </a:rPr>
                <a:pPr/>
                <a:t>No further policies</a:t>
              </a:fld>
              <a:endParaRPr lang="en-US" sz="1100"/>
            </a:p>
          </xdr:txBody>
        </xdr:sp>
        <xdr:sp macro="" textlink="'Sample Select backend'!AC63">
          <xdr:nvSpPr>
            <xdr:cNvPr id="47" name="TextBox 46">
              <a:extLst>
                <a:ext uri="{FF2B5EF4-FFF2-40B4-BE49-F238E27FC236}">
                  <a16:creationId xmlns:a16="http://schemas.microsoft.com/office/drawing/2014/main" id="{00000000-0008-0000-0500-00002F000000}"/>
                </a:ext>
              </a:extLst>
            </xdr:cNvPr>
            <xdr:cNvSpPr txBox="1"/>
          </xdr:nvSpPr>
          <xdr:spPr>
            <a:xfrm>
              <a:off x="9588500" y="2809876"/>
              <a:ext cx="4051300" cy="587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E3283A-A56F-48FF-A43F-A221C0A89663}" type="TxLink">
                <a:rPr lang="en-US" sz="1100" b="0" i="0" u="none" strike="noStrike">
                  <a:solidFill>
                    <a:srgbClr val="000000"/>
                  </a:solidFill>
                  <a:latin typeface="Calibri"/>
                  <a:cs typeface="Calibri"/>
                </a:rPr>
                <a:pPr/>
                <a:t>No further policies</a:t>
              </a:fld>
              <a:endParaRPr lang="en-US" sz="1100"/>
            </a:p>
          </xdr:txBody>
        </xdr:sp>
      </xdr:grpSp>
      <xdr:sp macro="" textlink="">
        <xdr:nvSpPr>
          <xdr:cNvPr id="31" name="Rectangle 30">
            <a:extLst>
              <a:ext uri="{FF2B5EF4-FFF2-40B4-BE49-F238E27FC236}">
                <a16:creationId xmlns:a16="http://schemas.microsoft.com/office/drawing/2014/main" id="{00000000-0008-0000-0500-00001F000000}"/>
              </a:ext>
            </a:extLst>
          </xdr:cNvPr>
          <xdr:cNvSpPr/>
        </xdr:nvSpPr>
        <xdr:spPr>
          <a:xfrm>
            <a:off x="6838950" y="1016000"/>
            <a:ext cx="4540250" cy="2235200"/>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438150</xdr:colOff>
      <xdr:row>5</xdr:row>
      <xdr:rowOff>25400</xdr:rowOff>
    </xdr:from>
    <xdr:to>
      <xdr:col>3</xdr:col>
      <xdr:colOff>552450</xdr:colOff>
      <xdr:row>16</xdr:row>
      <xdr:rowOff>158750</xdr:rowOff>
    </xdr:to>
    <xdr:graphicFrame macro="">
      <xdr:nvGraphicFramePr>
        <xdr:cNvPr id="48" name="Chart 47">
          <a:extLst>
            <a:ext uri="{FF2B5EF4-FFF2-40B4-BE49-F238E27FC236}">
              <a16:creationId xmlns:a16="http://schemas.microsoft.com/office/drawing/2014/main" id="{00000000-0008-0000-05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82550</xdr:colOff>
      <xdr:row>0</xdr:row>
      <xdr:rowOff>44450</xdr:rowOff>
    </xdr:from>
    <xdr:to>
      <xdr:col>18</xdr:col>
      <xdr:colOff>457200</xdr:colOff>
      <xdr:row>24</xdr:row>
      <xdr:rowOff>88900</xdr:rowOff>
    </xdr:to>
    <xdr:sp macro="" textlink="">
      <xdr:nvSpPr>
        <xdr:cNvPr id="7" name="Rectangle 6">
          <a:extLst>
            <a:ext uri="{FF2B5EF4-FFF2-40B4-BE49-F238E27FC236}">
              <a16:creationId xmlns:a16="http://schemas.microsoft.com/office/drawing/2014/main" id="{00000000-0008-0000-0600-000007000000}"/>
            </a:ext>
          </a:extLst>
        </xdr:cNvPr>
        <xdr:cNvSpPr/>
      </xdr:nvSpPr>
      <xdr:spPr>
        <a:xfrm>
          <a:off x="82550" y="44450"/>
          <a:ext cx="11347450" cy="4464050"/>
        </a:xfrm>
        <a:prstGeom prst="rect">
          <a:avLst/>
        </a:prstGeom>
        <a:solidFill>
          <a:sysClr val="window" lastClr="FFFFFF"/>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114300</xdr:rowOff>
    </xdr:from>
    <xdr:to>
      <xdr:col>8</xdr:col>
      <xdr:colOff>31750</xdr:colOff>
      <xdr:row>22</xdr:row>
      <xdr:rowOff>171450</xdr:rowOff>
    </xdr:to>
    <xdr:sp macro="" textlink="">
      <xdr:nvSpPr>
        <xdr:cNvPr id="4" name="Rectangle 3">
          <a:extLst>
            <a:ext uri="{FF2B5EF4-FFF2-40B4-BE49-F238E27FC236}">
              <a16:creationId xmlns:a16="http://schemas.microsoft.com/office/drawing/2014/main" id="{00000000-0008-0000-0600-000004000000}"/>
            </a:ext>
          </a:extLst>
        </xdr:cNvPr>
        <xdr:cNvSpPr/>
      </xdr:nvSpPr>
      <xdr:spPr>
        <a:xfrm>
          <a:off x="171450" y="114300"/>
          <a:ext cx="4737100" cy="4108450"/>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2</xdr:col>
      <xdr:colOff>94343</xdr:colOff>
      <xdr:row>1</xdr:row>
      <xdr:rowOff>21772</xdr:rowOff>
    </xdr:from>
    <xdr:to>
      <xdr:col>6</xdr:col>
      <xdr:colOff>121557</xdr:colOff>
      <xdr:row>7</xdr:row>
      <xdr:rowOff>44450</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1313543" y="205922"/>
          <a:ext cx="2465614" cy="11275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Policy Breakdown Across Samples</a:t>
          </a:r>
        </a:p>
      </xdr:txBody>
    </xdr:sp>
    <xdr:clientData/>
  </xdr:twoCellAnchor>
  <mc:AlternateContent xmlns:mc="http://schemas.openxmlformats.org/markup-compatibility/2006">
    <mc:Choice xmlns:a14="http://schemas.microsoft.com/office/drawing/2010/main" Requires="a14">
      <xdr:twoCellAnchor editAs="oneCell">
        <xdr:from>
          <xdr:col>0</xdr:col>
          <xdr:colOff>254000</xdr:colOff>
          <xdr:row>10</xdr:row>
          <xdr:rowOff>38100</xdr:rowOff>
        </xdr:from>
        <xdr:to>
          <xdr:col>7</xdr:col>
          <xdr:colOff>558800</xdr:colOff>
          <xdr:row>11</xdr:row>
          <xdr:rowOff>101600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A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241300</xdr:colOff>
          <xdr:row>15</xdr:row>
          <xdr:rowOff>165100</xdr:rowOff>
        </xdr:from>
        <xdr:to>
          <xdr:col>7</xdr:col>
          <xdr:colOff>571500</xdr:colOff>
          <xdr:row>17</xdr:row>
          <xdr:rowOff>50800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A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87993</xdr:colOff>
      <xdr:row>8</xdr:row>
      <xdr:rowOff>74386</xdr:rowOff>
    </xdr:from>
    <xdr:to>
      <xdr:col>6</xdr:col>
      <xdr:colOff>115207</xdr:colOff>
      <xdr:row>10</xdr:row>
      <xdr:rowOff>44450</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1307193" y="1547586"/>
          <a:ext cx="2465614" cy="338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Choose an aggregate</a:t>
          </a:r>
          <a:r>
            <a:rPr lang="en-US" sz="1100" baseline="0"/>
            <a:t> policy</a:t>
          </a:r>
          <a:r>
            <a:rPr lang="en-US" sz="1100"/>
            <a:t> category</a:t>
          </a:r>
        </a:p>
      </xdr:txBody>
    </xdr:sp>
    <xdr:clientData/>
  </xdr:twoCellAnchor>
  <xdr:twoCellAnchor>
    <xdr:from>
      <xdr:col>2</xdr:col>
      <xdr:colOff>87993</xdr:colOff>
      <xdr:row>13</xdr:row>
      <xdr:rowOff>42636</xdr:rowOff>
    </xdr:from>
    <xdr:to>
      <xdr:col>6</xdr:col>
      <xdr:colOff>115207</xdr:colOff>
      <xdr:row>15</xdr:row>
      <xdr:rowOff>127000</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1307193" y="2436586"/>
          <a:ext cx="2465614" cy="4526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-or-</a:t>
          </a:r>
        </a:p>
        <a:p>
          <a:pPr algn="ctr"/>
          <a:r>
            <a:rPr lang="en-US" sz="1100"/>
            <a:t>Choose a more granular policy category</a:t>
          </a:r>
        </a:p>
      </xdr:txBody>
    </xdr:sp>
    <xdr:clientData/>
  </xdr:twoCellAnchor>
  <xdr:twoCellAnchor>
    <xdr:from>
      <xdr:col>0</xdr:col>
      <xdr:colOff>231775</xdr:colOff>
      <xdr:row>12</xdr:row>
      <xdr:rowOff>50800</xdr:rowOff>
    </xdr:from>
    <xdr:to>
      <xdr:col>7</xdr:col>
      <xdr:colOff>581025</xdr:colOff>
      <xdr:row>13</xdr:row>
      <xdr:rowOff>152400</xdr:rowOff>
    </xdr:to>
    <xdr:sp macro="" textlink="'Policy select backend'!A1">
      <xdr:nvSpPr>
        <xdr:cNvPr id="3" name="TextBox 2">
          <a:extLst>
            <a:ext uri="{FF2B5EF4-FFF2-40B4-BE49-F238E27FC236}">
              <a16:creationId xmlns:a16="http://schemas.microsoft.com/office/drawing/2014/main" id="{00000000-0008-0000-0600-000003000000}"/>
            </a:ext>
          </a:extLst>
        </xdr:cNvPr>
        <xdr:cNvSpPr txBox="1"/>
      </xdr:nvSpPr>
      <xdr:spPr>
        <a:xfrm>
          <a:off x="231775" y="2260600"/>
          <a:ext cx="4616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8A04A3-69E7-48F9-86CE-B6E13BE388D1}" type="TxLink">
            <a:rPr lang="en-US" sz="1100" b="1" i="0" u="none" strike="noStrike">
              <a:solidFill>
                <a:srgbClr val="FF0000"/>
              </a:solidFill>
              <a:latin typeface="Calibri"/>
              <a:cs typeface="Calibri"/>
            </a:rPr>
            <a:pPr/>
            <a:t> </a:t>
          </a:fld>
          <a:endParaRPr lang="en-US" sz="1100" b="1">
            <a:solidFill>
              <a:srgbClr val="FF0000"/>
            </a:solidFill>
          </a:endParaRPr>
        </a:p>
      </xdr:txBody>
    </xdr:sp>
    <xdr:clientData/>
  </xdr:twoCellAnchor>
  <xdr:twoCellAnchor>
    <xdr:from>
      <xdr:col>8</xdr:col>
      <xdr:colOff>195262</xdr:colOff>
      <xdr:row>3</xdr:row>
      <xdr:rowOff>120650</xdr:rowOff>
    </xdr:from>
    <xdr:to>
      <xdr:col>13</xdr:col>
      <xdr:colOff>82550</xdr:colOff>
      <xdr:row>13</xdr:row>
      <xdr:rowOff>50800</xdr:rowOff>
    </xdr:to>
    <xdr:graphicFrame macro="">
      <xdr:nvGraphicFramePr>
        <xdr:cNvPr id="10" name="Chart 9">
          <a:extLst>
            <a:ext uri="{FF2B5EF4-FFF2-40B4-BE49-F238E27FC236}">
              <a16:creationId xmlns:a16="http://schemas.microsoft.com/office/drawing/2014/main" id="{00000000-0008-0000-0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82550</xdr:colOff>
      <xdr:row>3</xdr:row>
      <xdr:rowOff>152400</xdr:rowOff>
    </xdr:from>
    <xdr:to>
      <xdr:col>18</xdr:col>
      <xdr:colOff>349250</xdr:colOff>
      <xdr:row>13</xdr:row>
      <xdr:rowOff>146050</xdr:rowOff>
    </xdr:to>
    <xdr:graphicFrame macro="">
      <xdr:nvGraphicFramePr>
        <xdr:cNvPr id="11" name="Chart 10">
          <a:extLst>
            <a:ext uri="{FF2B5EF4-FFF2-40B4-BE49-F238E27FC236}">
              <a16:creationId xmlns:a16="http://schemas.microsoft.com/office/drawing/2014/main" id="{00000000-0008-0000-06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285750</xdr:colOff>
      <xdr:row>13</xdr:row>
      <xdr:rowOff>88900</xdr:rowOff>
    </xdr:from>
    <xdr:to>
      <xdr:col>13</xdr:col>
      <xdr:colOff>133350</xdr:colOff>
      <xdr:row>25</xdr:row>
      <xdr:rowOff>12700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88900</xdr:colOff>
      <xdr:row>13</xdr:row>
      <xdr:rowOff>152400</xdr:rowOff>
    </xdr:from>
    <xdr:to>
      <xdr:col>18</xdr:col>
      <xdr:colOff>349250</xdr:colOff>
      <xdr:row>24</xdr:row>
      <xdr:rowOff>6350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146050</xdr:colOff>
      <xdr:row>0</xdr:row>
      <xdr:rowOff>95250</xdr:rowOff>
    </xdr:from>
    <xdr:to>
      <xdr:col>18</xdr:col>
      <xdr:colOff>336550</xdr:colOff>
      <xdr:row>2</xdr:row>
      <xdr:rowOff>44450</xdr:rowOff>
    </xdr:to>
    <xdr:sp macro="" textlink="'Policy select backend'!I25">
      <xdr:nvSpPr>
        <xdr:cNvPr id="8" name="TextBox 7">
          <a:extLst>
            <a:ext uri="{FF2B5EF4-FFF2-40B4-BE49-F238E27FC236}">
              <a16:creationId xmlns:a16="http://schemas.microsoft.com/office/drawing/2014/main" id="{00000000-0008-0000-0600-000008000000}"/>
            </a:ext>
          </a:extLst>
        </xdr:cNvPr>
        <xdr:cNvSpPr txBox="1"/>
      </xdr:nvSpPr>
      <xdr:spPr>
        <a:xfrm>
          <a:off x="5022850" y="95250"/>
          <a:ext cx="62865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52ADF-AAD9-4367-B6D7-F9CC8B9FF184}" type="TxLink">
            <a:rPr lang="en-US" sz="1200" b="0" i="0" u="none" strike="noStrike">
              <a:solidFill>
                <a:srgbClr val="000000"/>
              </a:solidFill>
              <a:latin typeface="Calibri"/>
              <a:cs typeface="Calibri"/>
            </a:rPr>
            <a:pPr algn="ctr"/>
            <a:t>Revenue Measures to protect businesses</a:t>
          </a:fld>
          <a:endParaRPr lang="en-US" sz="1200"/>
        </a:p>
      </xdr:txBody>
    </xdr:sp>
    <xdr:clientData/>
  </xdr:twoCellAnchor>
  <xdr:twoCellAnchor>
    <xdr:from>
      <xdr:col>8</xdr:col>
      <xdr:colOff>603250</xdr:colOff>
      <xdr:row>2</xdr:row>
      <xdr:rowOff>0</xdr:rowOff>
    </xdr:from>
    <xdr:to>
      <xdr:col>17</xdr:col>
      <xdr:colOff>450850</xdr:colOff>
      <xdr:row>2</xdr:row>
      <xdr:rowOff>0</xdr:rowOff>
    </xdr:to>
    <xdr:cxnSp macro="">
      <xdr:nvCxnSpPr>
        <xdr:cNvPr id="14" name="Straight Connector 13">
          <a:extLst>
            <a:ext uri="{FF2B5EF4-FFF2-40B4-BE49-F238E27FC236}">
              <a16:creationId xmlns:a16="http://schemas.microsoft.com/office/drawing/2014/main" id="{00000000-0008-0000-0600-00000E000000}"/>
            </a:ext>
          </a:extLst>
        </xdr:cNvPr>
        <xdr:cNvCxnSpPr/>
      </xdr:nvCxnSpPr>
      <xdr:spPr>
        <a:xfrm>
          <a:off x="5480050" y="368300"/>
          <a:ext cx="53340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415925</xdr:colOff>
      <xdr:row>20</xdr:row>
      <xdr:rowOff>31750</xdr:rowOff>
    </xdr:from>
    <xdr:to>
      <xdr:col>5</xdr:col>
      <xdr:colOff>409575</xdr:colOff>
      <xdr:row>21</xdr:row>
      <xdr:rowOff>127000</xdr:rowOff>
    </xdr:to>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1635125" y="3714750"/>
          <a:ext cx="18224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show...</a:t>
          </a:r>
        </a:p>
      </xdr:txBody>
    </xdr:sp>
    <xdr:clientData/>
  </xdr:twoCellAnchor>
  <mc:AlternateContent xmlns:mc="http://schemas.openxmlformats.org/markup-compatibility/2006">
    <mc:Choice xmlns:a14="http://schemas.microsoft.com/office/drawing/2010/main" Requires="a14">
      <xdr:twoCellAnchor editAs="oneCell">
        <xdr:from>
          <xdr:col>2</xdr:col>
          <xdr:colOff>190500</xdr:colOff>
          <xdr:row>21</xdr:row>
          <xdr:rowOff>76200</xdr:rowOff>
        </xdr:from>
        <xdr:to>
          <xdr:col>6</xdr:col>
          <xdr:colOff>31750</xdr:colOff>
          <xdr:row>22</xdr:row>
          <xdr:rowOff>107950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A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177800</xdr:colOff>
      <xdr:row>1</xdr:row>
      <xdr:rowOff>12700</xdr:rowOff>
    </xdr:from>
    <xdr:to>
      <xdr:col>8</xdr:col>
      <xdr:colOff>38100</xdr:colOff>
      <xdr:row>23</xdr:row>
      <xdr:rowOff>120650</xdr:rowOff>
    </xdr:to>
    <xdr:sp macro="" textlink="">
      <xdr:nvSpPr>
        <xdr:cNvPr id="17" name="Rectangle 16">
          <a:extLst>
            <a:ext uri="{FF2B5EF4-FFF2-40B4-BE49-F238E27FC236}">
              <a16:creationId xmlns:a16="http://schemas.microsoft.com/office/drawing/2014/main" id="{00000000-0008-0000-0600-000011000000}"/>
            </a:ext>
          </a:extLst>
        </xdr:cNvPr>
        <xdr:cNvSpPr/>
      </xdr:nvSpPr>
      <xdr:spPr>
        <a:xfrm>
          <a:off x="177800" y="196850"/>
          <a:ext cx="4737100" cy="4159250"/>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63500</xdr:colOff>
      <xdr:row>1</xdr:row>
      <xdr:rowOff>177800</xdr:rowOff>
    </xdr:from>
    <xdr:to>
      <xdr:col>15</xdr:col>
      <xdr:colOff>381000</xdr:colOff>
      <xdr:row>3</xdr:row>
      <xdr:rowOff>19050</xdr:rowOff>
    </xdr:to>
    <xdr:sp macro="" textlink="'Policy select backend'!D9">
      <xdr:nvSpPr>
        <xdr:cNvPr id="9" name="TextBox 8">
          <a:extLst>
            <a:ext uri="{FF2B5EF4-FFF2-40B4-BE49-F238E27FC236}">
              <a16:creationId xmlns:a16="http://schemas.microsoft.com/office/drawing/2014/main" id="{00000000-0008-0000-0600-000009000000}"/>
            </a:ext>
          </a:extLst>
        </xdr:cNvPr>
        <xdr:cNvSpPr txBox="1"/>
      </xdr:nvSpPr>
      <xdr:spPr>
        <a:xfrm>
          <a:off x="6769100" y="361950"/>
          <a:ext cx="2755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C1BC17-9F09-41D2-9BDD-8A569DC85773}" type="TxLink">
            <a:rPr lang="en-US" sz="1100" b="0" i="1" u="none" strike="noStrike">
              <a:solidFill>
                <a:srgbClr val="000000"/>
              </a:solidFill>
              <a:latin typeface="Calibri"/>
              <a:cs typeface="Calibri"/>
            </a:rPr>
            <a:pPr algn="ctr"/>
            <a:t>Percent of total policies</a:t>
          </a:fld>
          <a:endParaRPr lang="en-US" sz="1100" i="1"/>
        </a:p>
      </xdr:txBody>
    </xdr:sp>
    <xdr:clientData/>
  </xdr:twoCellAnchor>
  <xdr:twoCellAnchor>
    <xdr:from>
      <xdr:col>1</xdr:col>
      <xdr:colOff>463550</xdr:colOff>
      <xdr:row>9</xdr:row>
      <xdr:rowOff>127000</xdr:rowOff>
    </xdr:from>
    <xdr:to>
      <xdr:col>6</xdr:col>
      <xdr:colOff>361950</xdr:colOff>
      <xdr:row>9</xdr:row>
      <xdr:rowOff>127000</xdr:rowOff>
    </xdr:to>
    <xdr:cxnSp macro="">
      <xdr:nvCxnSpPr>
        <xdr:cNvPr id="20" name="Straight Connector 19">
          <a:extLst>
            <a:ext uri="{FF2B5EF4-FFF2-40B4-BE49-F238E27FC236}">
              <a16:creationId xmlns:a16="http://schemas.microsoft.com/office/drawing/2014/main" id="{00000000-0008-0000-0600-000014000000}"/>
            </a:ext>
          </a:extLst>
        </xdr:cNvPr>
        <xdr:cNvCxnSpPr/>
      </xdr:nvCxnSpPr>
      <xdr:spPr>
        <a:xfrm>
          <a:off x="1073150" y="178435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463550</xdr:colOff>
      <xdr:row>15</xdr:row>
      <xdr:rowOff>69850</xdr:rowOff>
    </xdr:from>
    <xdr:to>
      <xdr:col>6</xdr:col>
      <xdr:colOff>361950</xdr:colOff>
      <xdr:row>15</xdr:row>
      <xdr:rowOff>69850</xdr:rowOff>
    </xdr:to>
    <xdr:cxnSp macro="">
      <xdr:nvCxnSpPr>
        <xdr:cNvPr id="21" name="Straight Connector 20">
          <a:extLst>
            <a:ext uri="{FF2B5EF4-FFF2-40B4-BE49-F238E27FC236}">
              <a16:creationId xmlns:a16="http://schemas.microsoft.com/office/drawing/2014/main" id="{00000000-0008-0000-0600-000015000000}"/>
            </a:ext>
          </a:extLst>
        </xdr:cNvPr>
        <xdr:cNvCxnSpPr/>
      </xdr:nvCxnSpPr>
      <xdr:spPr>
        <a:xfrm>
          <a:off x="1073150" y="283210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11</xdr:col>
          <xdr:colOff>508000</xdr:colOff>
          <xdr:row>3</xdr:row>
          <xdr:rowOff>0</xdr:rowOff>
        </xdr:from>
        <xdr:to>
          <xdr:col>14</xdr:col>
          <xdr:colOff>482600</xdr:colOff>
          <xdr:row>4</xdr:row>
          <xdr:rowOff>6350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A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Add selected sample for comparison</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203200</xdr:colOff>
      <xdr:row>0</xdr:row>
      <xdr:rowOff>139700</xdr:rowOff>
    </xdr:from>
    <xdr:to>
      <xdr:col>18</xdr:col>
      <xdr:colOff>558800</xdr:colOff>
      <xdr:row>32</xdr:row>
      <xdr:rowOff>82550</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203200" y="139700"/>
          <a:ext cx="11328400" cy="5835650"/>
        </a:xfrm>
        <a:prstGeom prst="rect">
          <a:avLst/>
        </a:prstGeom>
        <a:solidFill>
          <a:sysClr val="window" lastClr="FFFFFF"/>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p>
      </xdr:txBody>
    </xdr:sp>
    <xdr:clientData/>
  </xdr:twoCellAnchor>
  <xdr:twoCellAnchor>
    <xdr:from>
      <xdr:col>0</xdr:col>
      <xdr:colOff>365993</xdr:colOff>
      <xdr:row>3</xdr:row>
      <xdr:rowOff>57150</xdr:rowOff>
    </xdr:from>
    <xdr:to>
      <xdr:col>18</xdr:col>
      <xdr:colOff>396007</xdr:colOff>
      <xdr:row>5</xdr:row>
      <xdr:rowOff>33869</xdr:rowOff>
    </xdr:to>
    <xdr:sp macro="" textlink="'Sample Select backend'!C18">
      <xdr:nvSpPr>
        <xdr:cNvPr id="2" name="TextBox 1">
          <a:extLst>
            <a:ext uri="{FF2B5EF4-FFF2-40B4-BE49-F238E27FC236}">
              <a16:creationId xmlns:a16="http://schemas.microsoft.com/office/drawing/2014/main" id="{00000000-0008-0000-0700-000002000000}"/>
            </a:ext>
          </a:extLst>
        </xdr:cNvPr>
        <xdr:cNvSpPr txBox="1"/>
      </xdr:nvSpPr>
      <xdr:spPr>
        <a:xfrm>
          <a:off x="365993" y="609600"/>
          <a:ext cx="11002814" cy="345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2E7FEB-B5F2-4F34-A238-A613E8F8A885}" type="TxLink">
            <a:rPr lang="en-US" sz="1600" b="0" i="1" u="none" strike="noStrike">
              <a:solidFill>
                <a:srgbClr val="000000"/>
              </a:solidFill>
              <a:latin typeface="Calibri"/>
              <a:cs typeface="Calibri"/>
            </a:rPr>
            <a:pPr algn="ctr"/>
            <a:t>#N/A</a:t>
          </a:fld>
          <a:endParaRPr lang="en-US" sz="1600" i="1"/>
        </a:p>
      </xdr:txBody>
    </xdr:sp>
    <xdr:clientData/>
  </xdr:twoCellAnchor>
  <xdr:twoCellAnchor>
    <xdr:from>
      <xdr:col>5</xdr:col>
      <xdr:colOff>412750</xdr:colOff>
      <xdr:row>1</xdr:row>
      <xdr:rowOff>82550</xdr:rowOff>
    </xdr:from>
    <xdr:to>
      <xdr:col>13</xdr:col>
      <xdr:colOff>349250</xdr:colOff>
      <xdr:row>3</xdr:row>
      <xdr:rowOff>152400</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3460750" y="266700"/>
          <a:ext cx="4813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Policy Performance</a:t>
          </a:r>
          <a:r>
            <a:rPr lang="en-US" sz="2400" b="1" baseline="0"/>
            <a:t> within Sample</a:t>
          </a:r>
          <a:endParaRPr lang="en-US" sz="2400" b="1"/>
        </a:p>
      </xdr:txBody>
    </xdr:sp>
    <xdr:clientData/>
  </xdr:twoCellAnchor>
  <xdr:twoCellAnchor>
    <xdr:from>
      <xdr:col>1</xdr:col>
      <xdr:colOff>53522</xdr:colOff>
      <xdr:row>4</xdr:row>
      <xdr:rowOff>171450</xdr:rowOff>
    </xdr:from>
    <xdr:to>
      <xdr:col>18</xdr:col>
      <xdr:colOff>98879</xdr:colOff>
      <xdr:row>4</xdr:row>
      <xdr:rowOff>180520</xdr:rowOff>
    </xdr:to>
    <xdr:cxnSp macro="">
      <xdr:nvCxnSpPr>
        <xdr:cNvPr id="6" name="Straight Connector 5">
          <a:extLst>
            <a:ext uri="{FF2B5EF4-FFF2-40B4-BE49-F238E27FC236}">
              <a16:creationId xmlns:a16="http://schemas.microsoft.com/office/drawing/2014/main" id="{00000000-0008-0000-0700-000006000000}"/>
            </a:ext>
          </a:extLst>
        </xdr:cNvPr>
        <xdr:cNvCxnSpPr/>
      </xdr:nvCxnSpPr>
      <xdr:spPr>
        <a:xfrm flipV="1">
          <a:off x="663122" y="908050"/>
          <a:ext cx="10408557" cy="907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305595</xdr:colOff>
      <xdr:row>7</xdr:row>
      <xdr:rowOff>103186</xdr:rowOff>
    </xdr:from>
    <xdr:to>
      <xdr:col>16</xdr:col>
      <xdr:colOff>412275</xdr:colOff>
      <xdr:row>20</xdr:row>
      <xdr:rowOff>107314</xdr:rowOff>
    </xdr:to>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430212</xdr:colOff>
      <xdr:row>7</xdr:row>
      <xdr:rowOff>103186</xdr:rowOff>
    </xdr:from>
    <xdr:to>
      <xdr:col>18</xdr:col>
      <xdr:colOff>536892</xdr:colOff>
      <xdr:row>20</xdr:row>
      <xdr:rowOff>107314</xdr:rowOff>
    </xdr:to>
    <xdr:graphicFrame macro="">
      <xdr:nvGraphicFramePr>
        <xdr:cNvPr id="9" name="Chart 8">
          <a:extLst>
            <a:ext uri="{FF2B5EF4-FFF2-40B4-BE49-F238E27FC236}">
              <a16:creationId xmlns:a16="http://schemas.microsoft.com/office/drawing/2014/main" id="{00000000-0008-0000-0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180978</xdr:colOff>
      <xdr:row>7</xdr:row>
      <xdr:rowOff>103186</xdr:rowOff>
    </xdr:from>
    <xdr:to>
      <xdr:col>14</xdr:col>
      <xdr:colOff>287658</xdr:colOff>
      <xdr:row>20</xdr:row>
      <xdr:rowOff>107949</xdr:rowOff>
    </xdr:to>
    <xdr:graphicFrame macro="">
      <xdr:nvGraphicFramePr>
        <xdr:cNvPr id="10" name="Chart 9">
          <a:extLst>
            <a:ext uri="{FF2B5EF4-FFF2-40B4-BE49-F238E27FC236}">
              <a16:creationId xmlns:a16="http://schemas.microsoft.com/office/drawing/2014/main" id="{00000000-0008-0000-07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474663</xdr:colOff>
      <xdr:row>6</xdr:row>
      <xdr:rowOff>23810</xdr:rowOff>
    </xdr:from>
    <xdr:to>
      <xdr:col>19</xdr:col>
      <xdr:colOff>373062</xdr:colOff>
      <xdr:row>7</xdr:row>
      <xdr:rowOff>119060</xdr:rowOff>
    </xdr:to>
    <xdr:sp macro="" textlink="">
      <xdr:nvSpPr>
        <xdr:cNvPr id="11" name="TextBox 10">
          <a:extLst>
            <a:ext uri="{FF2B5EF4-FFF2-40B4-BE49-F238E27FC236}">
              <a16:creationId xmlns:a16="http://schemas.microsoft.com/office/drawing/2014/main" id="{00000000-0008-0000-0700-00000B000000}"/>
            </a:ext>
          </a:extLst>
        </xdr:cNvPr>
        <xdr:cNvSpPr txBox="1"/>
      </xdr:nvSpPr>
      <xdr:spPr>
        <a:xfrm>
          <a:off x="7180263" y="1128710"/>
          <a:ext cx="4775199"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Other relevant</a:t>
          </a:r>
          <a:r>
            <a:rPr lang="en-US" sz="1400" b="1" baseline="0"/>
            <a:t> performance</a:t>
          </a:r>
          <a:endParaRPr lang="en-US" sz="1400" b="1"/>
        </a:p>
      </xdr:txBody>
    </xdr:sp>
    <xdr:clientData/>
  </xdr:twoCellAnchor>
  <xdr:twoCellAnchor>
    <xdr:from>
      <xdr:col>12</xdr:col>
      <xdr:colOff>403222</xdr:colOff>
      <xdr:row>7</xdr:row>
      <xdr:rowOff>95247</xdr:rowOff>
    </xdr:from>
    <xdr:to>
      <xdr:col>18</xdr:col>
      <xdr:colOff>277810</xdr:colOff>
      <xdr:row>7</xdr:row>
      <xdr:rowOff>111122</xdr:rowOff>
    </xdr:to>
    <xdr:cxnSp macro="">
      <xdr:nvCxnSpPr>
        <xdr:cNvPr id="14" name="Straight Connector 13">
          <a:extLst>
            <a:ext uri="{FF2B5EF4-FFF2-40B4-BE49-F238E27FC236}">
              <a16:creationId xmlns:a16="http://schemas.microsoft.com/office/drawing/2014/main" id="{00000000-0008-0000-0700-00000E000000}"/>
            </a:ext>
          </a:extLst>
        </xdr:cNvPr>
        <xdr:cNvCxnSpPr/>
      </xdr:nvCxnSpPr>
      <xdr:spPr>
        <a:xfrm>
          <a:off x="7718422" y="1384297"/>
          <a:ext cx="3532188" cy="15875"/>
        </a:xfrm>
        <a:prstGeom prst="line">
          <a:avLst/>
        </a:prstGeom>
        <a:ln w="19050">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xdr:colOff>
      <xdr:row>21</xdr:row>
      <xdr:rowOff>133350</xdr:rowOff>
    </xdr:from>
    <xdr:to>
      <xdr:col>7</xdr:col>
      <xdr:colOff>87312</xdr:colOff>
      <xdr:row>23</xdr:row>
      <xdr:rowOff>177800</xdr:rowOff>
    </xdr:to>
    <xdr:sp macro="" textlink="">
      <xdr:nvSpPr>
        <xdr:cNvPr id="17" name="TextBox 16">
          <a:extLst>
            <a:ext uri="{FF2B5EF4-FFF2-40B4-BE49-F238E27FC236}">
              <a16:creationId xmlns:a16="http://schemas.microsoft.com/office/drawing/2014/main" id="{00000000-0008-0000-0700-000011000000}"/>
            </a:ext>
          </a:extLst>
        </xdr:cNvPr>
        <xdr:cNvSpPr txBox="1"/>
      </xdr:nvSpPr>
      <xdr:spPr>
        <a:xfrm>
          <a:off x="4762" y="4000500"/>
          <a:ext cx="43497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i="1">
              <a:solidFill>
                <a:sysClr val="windowText" lastClr="000000"/>
              </a:solidFill>
            </a:rPr>
            <a:t>Scores</a:t>
          </a:r>
          <a:r>
            <a:rPr lang="en-US" sz="900" i="1" baseline="0">
              <a:solidFill>
                <a:sysClr val="windowText" lastClr="000000"/>
              </a:solidFill>
            </a:rPr>
            <a:t> show the share of policies meeting the criteria</a:t>
          </a:r>
        </a:p>
        <a:p>
          <a:pPr algn="ctr"/>
          <a:r>
            <a:rPr lang="en-US" sz="900" i="1" baseline="0">
              <a:solidFill>
                <a:sysClr val="windowText" lastClr="000000"/>
              </a:solidFill>
            </a:rPr>
            <a:t>of each policy dimension for this sample.</a:t>
          </a:r>
          <a:endParaRPr lang="en-US" sz="900" i="1">
            <a:solidFill>
              <a:sysClr val="windowText" lastClr="000000"/>
            </a:solidFill>
          </a:endParaRPr>
        </a:p>
      </xdr:txBody>
    </xdr:sp>
    <xdr:clientData/>
  </xdr:twoCellAnchor>
  <xdr:twoCellAnchor>
    <xdr:from>
      <xdr:col>7</xdr:col>
      <xdr:colOff>492125</xdr:colOff>
      <xdr:row>23</xdr:row>
      <xdr:rowOff>152400</xdr:rowOff>
    </xdr:from>
    <xdr:to>
      <xdr:col>11</xdr:col>
      <xdr:colOff>269875</xdr:colOff>
      <xdr:row>26</xdr:row>
      <xdr:rowOff>0</xdr:rowOff>
    </xdr:to>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4759325" y="4387850"/>
          <a:ext cx="2216150"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Rankings</a:t>
          </a:r>
        </a:p>
      </xdr:txBody>
    </xdr:sp>
    <xdr:clientData/>
  </xdr:twoCellAnchor>
  <xdr:twoCellAnchor>
    <xdr:from>
      <xdr:col>0</xdr:col>
      <xdr:colOff>342900</xdr:colOff>
      <xdr:row>26</xdr:row>
      <xdr:rowOff>95250</xdr:rowOff>
    </xdr:from>
    <xdr:to>
      <xdr:col>2</xdr:col>
      <xdr:colOff>38100</xdr:colOff>
      <xdr:row>28</xdr:row>
      <xdr:rowOff>114300</xdr:rowOff>
    </xdr:to>
    <xdr:sp macro="" textlink="">
      <xdr:nvSpPr>
        <xdr:cNvPr id="15" name="TextBox 14">
          <a:extLst>
            <a:ext uri="{FF2B5EF4-FFF2-40B4-BE49-F238E27FC236}">
              <a16:creationId xmlns:a16="http://schemas.microsoft.com/office/drawing/2014/main" id="{00000000-0008-0000-0700-00000F000000}"/>
            </a:ext>
          </a:extLst>
        </xdr:cNvPr>
        <xdr:cNvSpPr txBox="1"/>
      </xdr:nvSpPr>
      <xdr:spPr>
        <a:xfrm>
          <a:off x="342900" y="4883150"/>
          <a:ext cx="91440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Targetability</a:t>
          </a:r>
        </a:p>
      </xdr:txBody>
    </xdr:sp>
    <xdr:clientData/>
  </xdr:twoCellAnchor>
  <xdr:twoCellAnchor>
    <xdr:from>
      <xdr:col>2</xdr:col>
      <xdr:colOff>57944</xdr:colOff>
      <xdr:row>26</xdr:row>
      <xdr:rowOff>95250</xdr:rowOff>
    </xdr:from>
    <xdr:to>
      <xdr:col>3</xdr:col>
      <xdr:colOff>102394</xdr:colOff>
      <xdr:row>28</xdr:row>
      <xdr:rowOff>114300</xdr:rowOff>
    </xdr:to>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1277144" y="4883150"/>
          <a:ext cx="6540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Speed</a:t>
          </a:r>
        </a:p>
      </xdr:txBody>
    </xdr:sp>
    <xdr:clientData/>
  </xdr:twoCellAnchor>
  <xdr:twoCellAnchor>
    <xdr:from>
      <xdr:col>3</xdr:col>
      <xdr:colOff>122238</xdr:colOff>
      <xdr:row>26</xdr:row>
      <xdr:rowOff>95250</xdr:rowOff>
    </xdr:from>
    <xdr:to>
      <xdr:col>5</xdr:col>
      <xdr:colOff>96838</xdr:colOff>
      <xdr:row>28</xdr:row>
      <xdr:rowOff>114300</xdr:rowOff>
    </xdr:to>
    <xdr:sp macro="" textlink="">
      <xdr:nvSpPr>
        <xdr:cNvPr id="18" name="TextBox 17">
          <a:extLst>
            <a:ext uri="{FF2B5EF4-FFF2-40B4-BE49-F238E27FC236}">
              <a16:creationId xmlns:a16="http://schemas.microsoft.com/office/drawing/2014/main" id="{00000000-0008-0000-0700-000012000000}"/>
            </a:ext>
          </a:extLst>
        </xdr:cNvPr>
        <xdr:cNvSpPr txBox="1"/>
      </xdr:nvSpPr>
      <xdr:spPr>
        <a:xfrm>
          <a:off x="1951038" y="4883150"/>
          <a:ext cx="119380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Abuse Resistance</a:t>
          </a:r>
        </a:p>
      </xdr:txBody>
    </xdr:sp>
    <xdr:clientData/>
  </xdr:twoCellAnchor>
  <xdr:twoCellAnchor>
    <xdr:from>
      <xdr:col>5</xdr:col>
      <xdr:colOff>76200</xdr:colOff>
      <xdr:row>26</xdr:row>
      <xdr:rowOff>95250</xdr:rowOff>
    </xdr:from>
    <xdr:to>
      <xdr:col>6</xdr:col>
      <xdr:colOff>459582</xdr:colOff>
      <xdr:row>28</xdr:row>
      <xdr:rowOff>114300</xdr:rowOff>
    </xdr:to>
    <xdr:sp macro="" textlink="">
      <xdr:nvSpPr>
        <xdr:cNvPr id="19" name="TextBox 18">
          <a:extLst>
            <a:ext uri="{FF2B5EF4-FFF2-40B4-BE49-F238E27FC236}">
              <a16:creationId xmlns:a16="http://schemas.microsoft.com/office/drawing/2014/main" id="{00000000-0008-0000-0700-000013000000}"/>
            </a:ext>
          </a:extLst>
        </xdr:cNvPr>
        <xdr:cNvSpPr txBox="1"/>
      </xdr:nvSpPr>
      <xdr:spPr>
        <a:xfrm>
          <a:off x="3124200" y="4883150"/>
          <a:ext cx="992982"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Recoverability</a:t>
          </a:r>
        </a:p>
      </xdr:txBody>
    </xdr:sp>
    <xdr:clientData/>
  </xdr:twoCellAnchor>
  <xdr:twoCellAnchor>
    <xdr:from>
      <xdr:col>6</xdr:col>
      <xdr:colOff>466726</xdr:colOff>
      <xdr:row>26</xdr:row>
      <xdr:rowOff>95250</xdr:rowOff>
    </xdr:from>
    <xdr:to>
      <xdr:col>9</xdr:col>
      <xdr:colOff>600076</xdr:colOff>
      <xdr:row>28</xdr:row>
      <xdr:rowOff>114300</xdr:rowOff>
    </xdr:to>
    <xdr:sp macro="" textlink="">
      <xdr:nvSpPr>
        <xdr:cNvPr id="20" name="TextBox 19">
          <a:extLst>
            <a:ext uri="{FF2B5EF4-FFF2-40B4-BE49-F238E27FC236}">
              <a16:creationId xmlns:a16="http://schemas.microsoft.com/office/drawing/2014/main" id="{00000000-0008-0000-0700-000014000000}"/>
            </a:ext>
          </a:extLst>
        </xdr:cNvPr>
        <xdr:cNvSpPr txBox="1"/>
      </xdr:nvSpPr>
      <xdr:spPr>
        <a:xfrm>
          <a:off x="4124326" y="4883150"/>
          <a:ext cx="19621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Predictability</a:t>
          </a:r>
          <a:r>
            <a:rPr lang="en-US" sz="1100" baseline="0"/>
            <a:t> and Cost Control</a:t>
          </a:r>
          <a:endParaRPr lang="en-US" sz="1100"/>
        </a:p>
      </xdr:txBody>
    </xdr:sp>
    <xdr:clientData/>
  </xdr:twoCellAnchor>
  <xdr:twoCellAnchor>
    <xdr:from>
      <xdr:col>10</xdr:col>
      <xdr:colOff>10320</xdr:colOff>
      <xdr:row>26</xdr:row>
      <xdr:rowOff>95250</xdr:rowOff>
    </xdr:from>
    <xdr:to>
      <xdr:col>11</xdr:col>
      <xdr:colOff>277020</xdr:colOff>
      <xdr:row>28</xdr:row>
      <xdr:rowOff>114300</xdr:rowOff>
    </xdr:to>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6106320" y="4883150"/>
          <a:ext cx="87630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Reversibility</a:t>
          </a:r>
        </a:p>
      </xdr:txBody>
    </xdr:sp>
    <xdr:clientData/>
  </xdr:twoCellAnchor>
  <xdr:twoCellAnchor>
    <xdr:from>
      <xdr:col>11</xdr:col>
      <xdr:colOff>296864</xdr:colOff>
      <xdr:row>26</xdr:row>
      <xdr:rowOff>95250</xdr:rowOff>
    </xdr:from>
    <xdr:to>
      <xdr:col>12</xdr:col>
      <xdr:colOff>468314</xdr:colOff>
      <xdr:row>28</xdr:row>
      <xdr:rowOff>114300</xdr:rowOff>
    </xdr:to>
    <xdr:sp macro="" textlink="">
      <xdr:nvSpPr>
        <xdr:cNvPr id="22" name="TextBox 21">
          <a:extLst>
            <a:ext uri="{FF2B5EF4-FFF2-40B4-BE49-F238E27FC236}">
              <a16:creationId xmlns:a16="http://schemas.microsoft.com/office/drawing/2014/main" id="{00000000-0008-0000-0700-000016000000}"/>
            </a:ext>
          </a:extLst>
        </xdr:cNvPr>
        <xdr:cNvSpPr txBox="1"/>
      </xdr:nvSpPr>
      <xdr:spPr>
        <a:xfrm>
          <a:off x="7002464" y="4883150"/>
          <a:ext cx="7810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Scalability</a:t>
          </a:r>
        </a:p>
      </xdr:txBody>
    </xdr:sp>
    <xdr:clientData/>
  </xdr:twoCellAnchor>
  <xdr:twoCellAnchor>
    <xdr:from>
      <xdr:col>15</xdr:col>
      <xdr:colOff>387350</xdr:colOff>
      <xdr:row>26</xdr:row>
      <xdr:rowOff>95250</xdr:rowOff>
    </xdr:from>
    <xdr:to>
      <xdr:col>18</xdr:col>
      <xdr:colOff>476250</xdr:colOff>
      <xdr:row>28</xdr:row>
      <xdr:rowOff>114300</xdr:rowOff>
    </xdr:to>
    <xdr:sp macro="" textlink="">
      <xdr:nvSpPr>
        <xdr:cNvPr id="23" name="TextBox 22">
          <a:extLst>
            <a:ext uri="{FF2B5EF4-FFF2-40B4-BE49-F238E27FC236}">
              <a16:creationId xmlns:a16="http://schemas.microsoft.com/office/drawing/2014/main" id="{00000000-0008-0000-0700-000017000000}"/>
            </a:ext>
          </a:extLst>
        </xdr:cNvPr>
        <xdr:cNvSpPr txBox="1"/>
      </xdr:nvSpPr>
      <xdr:spPr>
        <a:xfrm>
          <a:off x="9531350" y="4883150"/>
          <a:ext cx="191770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Resilience to Health Measures</a:t>
          </a:r>
        </a:p>
      </xdr:txBody>
    </xdr:sp>
    <xdr:clientData/>
  </xdr:twoCellAnchor>
  <xdr:twoCellAnchor>
    <xdr:from>
      <xdr:col>12</xdr:col>
      <xdr:colOff>488158</xdr:colOff>
      <xdr:row>26</xdr:row>
      <xdr:rowOff>95250</xdr:rowOff>
    </xdr:from>
    <xdr:to>
      <xdr:col>15</xdr:col>
      <xdr:colOff>367508</xdr:colOff>
      <xdr:row>28</xdr:row>
      <xdr:rowOff>114300</xdr:rowOff>
    </xdr:to>
    <xdr:sp macro="" textlink="">
      <xdr:nvSpPr>
        <xdr:cNvPr id="24" name="TextBox 23">
          <a:extLst>
            <a:ext uri="{FF2B5EF4-FFF2-40B4-BE49-F238E27FC236}">
              <a16:creationId xmlns:a16="http://schemas.microsoft.com/office/drawing/2014/main" id="{00000000-0008-0000-0700-000018000000}"/>
            </a:ext>
          </a:extLst>
        </xdr:cNvPr>
        <xdr:cNvSpPr txBox="1"/>
      </xdr:nvSpPr>
      <xdr:spPr>
        <a:xfrm>
          <a:off x="7803358" y="4883150"/>
          <a:ext cx="17081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Administrative Complexity</a:t>
          </a:r>
        </a:p>
      </xdr:txBody>
    </xdr:sp>
    <xdr:clientData/>
  </xdr:twoCellAnchor>
  <xdr:twoCellAnchor>
    <xdr:from>
      <xdr:col>0</xdr:col>
      <xdr:colOff>428625</xdr:colOff>
      <xdr:row>27</xdr:row>
      <xdr:rowOff>82550</xdr:rowOff>
    </xdr:from>
    <xdr:to>
      <xdr:col>1</xdr:col>
      <xdr:colOff>561975</xdr:colOff>
      <xdr:row>29</xdr:row>
      <xdr:rowOff>101600</xdr:rowOff>
    </xdr:to>
    <xdr:sp macro="" textlink="'Performance within backend'!B6">
      <xdr:nvSpPr>
        <xdr:cNvPr id="25" name="TextBox 24">
          <a:extLst>
            <a:ext uri="{FF2B5EF4-FFF2-40B4-BE49-F238E27FC236}">
              <a16:creationId xmlns:a16="http://schemas.microsoft.com/office/drawing/2014/main" id="{00000000-0008-0000-0700-000019000000}"/>
            </a:ext>
          </a:extLst>
        </xdr:cNvPr>
        <xdr:cNvSpPr txBox="1"/>
      </xdr:nvSpPr>
      <xdr:spPr>
        <a:xfrm>
          <a:off x="428625" y="5054600"/>
          <a:ext cx="7429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17326B-4ACB-4632-BB8E-2AECBF2F0983}" type="TxLink">
            <a:rPr lang="en-US" sz="1100" b="0" i="0" u="none" strike="noStrike">
              <a:solidFill>
                <a:srgbClr val="000000"/>
              </a:solidFill>
              <a:latin typeface="Calibri"/>
              <a:cs typeface="Calibri"/>
            </a:rPr>
            <a:pPr algn="ctr"/>
            <a:t>0th</a:t>
          </a:fld>
          <a:endParaRPr lang="en-US" sz="1100"/>
        </a:p>
      </xdr:txBody>
    </xdr:sp>
    <xdr:clientData/>
  </xdr:twoCellAnchor>
  <xdr:twoCellAnchor>
    <xdr:from>
      <xdr:col>2</xdr:col>
      <xdr:colOff>38100</xdr:colOff>
      <xdr:row>27</xdr:row>
      <xdr:rowOff>82550</xdr:rowOff>
    </xdr:from>
    <xdr:to>
      <xdr:col>3</xdr:col>
      <xdr:colOff>152400</xdr:colOff>
      <xdr:row>29</xdr:row>
      <xdr:rowOff>101600</xdr:rowOff>
    </xdr:to>
    <xdr:sp macro="" textlink="'Performance within backend'!C6">
      <xdr:nvSpPr>
        <xdr:cNvPr id="26" name="TextBox 25">
          <a:extLst>
            <a:ext uri="{FF2B5EF4-FFF2-40B4-BE49-F238E27FC236}">
              <a16:creationId xmlns:a16="http://schemas.microsoft.com/office/drawing/2014/main" id="{00000000-0008-0000-0700-00001A000000}"/>
            </a:ext>
          </a:extLst>
        </xdr:cNvPr>
        <xdr:cNvSpPr txBox="1"/>
      </xdr:nvSpPr>
      <xdr:spPr>
        <a:xfrm>
          <a:off x="1257300" y="5054600"/>
          <a:ext cx="7239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0843B4-A50B-42EB-9EA0-052F3E8B9FBA}" type="TxLink">
            <a:rPr lang="en-US" sz="1100" b="0" i="0" u="none" strike="noStrike">
              <a:solidFill>
                <a:srgbClr val="000000"/>
              </a:solidFill>
              <a:latin typeface="Calibri"/>
              <a:cs typeface="Calibri"/>
            </a:rPr>
            <a:pPr algn="ctr"/>
            <a:t>0th</a:t>
          </a:fld>
          <a:endParaRPr lang="en-US" sz="1100"/>
        </a:p>
      </xdr:txBody>
    </xdr:sp>
    <xdr:clientData/>
  </xdr:twoCellAnchor>
  <xdr:twoCellAnchor>
    <xdr:from>
      <xdr:col>3</xdr:col>
      <xdr:colOff>290513</xdr:colOff>
      <xdr:row>27</xdr:row>
      <xdr:rowOff>82550</xdr:rowOff>
    </xdr:from>
    <xdr:to>
      <xdr:col>4</xdr:col>
      <xdr:colOff>538163</xdr:colOff>
      <xdr:row>29</xdr:row>
      <xdr:rowOff>101600</xdr:rowOff>
    </xdr:to>
    <xdr:sp macro="" textlink="'Performance within backend'!D6">
      <xdr:nvSpPr>
        <xdr:cNvPr id="27" name="TextBox 26">
          <a:extLst>
            <a:ext uri="{FF2B5EF4-FFF2-40B4-BE49-F238E27FC236}">
              <a16:creationId xmlns:a16="http://schemas.microsoft.com/office/drawing/2014/main" id="{00000000-0008-0000-0700-00001B000000}"/>
            </a:ext>
          </a:extLst>
        </xdr:cNvPr>
        <xdr:cNvSpPr txBox="1"/>
      </xdr:nvSpPr>
      <xdr:spPr>
        <a:xfrm>
          <a:off x="2119313" y="5054600"/>
          <a:ext cx="8572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B5C2AA-DF3E-4803-AE05-D318E632B7E8}" type="TxLink">
            <a:rPr lang="en-US" sz="1100" b="0" i="0" u="none" strike="noStrike">
              <a:solidFill>
                <a:srgbClr val="000000"/>
              </a:solidFill>
              <a:latin typeface="Calibri"/>
              <a:cs typeface="Calibri"/>
            </a:rPr>
            <a:pPr algn="ctr"/>
            <a:t>0th</a:t>
          </a:fld>
          <a:endParaRPr lang="en-US" sz="1100"/>
        </a:p>
      </xdr:txBody>
    </xdr:sp>
    <xdr:clientData/>
  </xdr:twoCellAnchor>
  <xdr:twoCellAnchor>
    <xdr:from>
      <xdr:col>5</xdr:col>
      <xdr:colOff>192882</xdr:colOff>
      <xdr:row>27</xdr:row>
      <xdr:rowOff>82550</xdr:rowOff>
    </xdr:from>
    <xdr:to>
      <xdr:col>6</xdr:col>
      <xdr:colOff>370682</xdr:colOff>
      <xdr:row>29</xdr:row>
      <xdr:rowOff>101600</xdr:rowOff>
    </xdr:to>
    <xdr:sp macro="" textlink="'Performance within backend'!E6">
      <xdr:nvSpPr>
        <xdr:cNvPr id="28" name="TextBox 27">
          <a:extLst>
            <a:ext uri="{FF2B5EF4-FFF2-40B4-BE49-F238E27FC236}">
              <a16:creationId xmlns:a16="http://schemas.microsoft.com/office/drawing/2014/main" id="{00000000-0008-0000-0700-00001C000000}"/>
            </a:ext>
          </a:extLst>
        </xdr:cNvPr>
        <xdr:cNvSpPr txBox="1"/>
      </xdr:nvSpPr>
      <xdr:spPr>
        <a:xfrm>
          <a:off x="3240882" y="5054600"/>
          <a:ext cx="7874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569BFA-B634-4221-9BEF-423FACFDAAF2}" type="TxLink">
            <a:rPr lang="en-US" sz="1100" b="0" i="0" u="none" strike="noStrike">
              <a:solidFill>
                <a:srgbClr val="000000"/>
              </a:solidFill>
              <a:latin typeface="Calibri"/>
              <a:cs typeface="Calibri"/>
            </a:rPr>
            <a:pPr algn="ctr"/>
            <a:t>0th</a:t>
          </a:fld>
          <a:endParaRPr lang="en-US" sz="1100"/>
        </a:p>
      </xdr:txBody>
    </xdr:sp>
    <xdr:clientData/>
  </xdr:twoCellAnchor>
  <xdr:twoCellAnchor>
    <xdr:from>
      <xdr:col>7</xdr:col>
      <xdr:colOff>536576</xdr:colOff>
      <xdr:row>27</xdr:row>
      <xdr:rowOff>82550</xdr:rowOff>
    </xdr:from>
    <xdr:to>
      <xdr:col>8</xdr:col>
      <xdr:colOff>530226</xdr:colOff>
      <xdr:row>29</xdr:row>
      <xdr:rowOff>101600</xdr:rowOff>
    </xdr:to>
    <xdr:sp macro="" textlink="'Performance within backend'!F6">
      <xdr:nvSpPr>
        <xdr:cNvPr id="29" name="TextBox 28">
          <a:extLst>
            <a:ext uri="{FF2B5EF4-FFF2-40B4-BE49-F238E27FC236}">
              <a16:creationId xmlns:a16="http://schemas.microsoft.com/office/drawing/2014/main" id="{00000000-0008-0000-0700-00001D000000}"/>
            </a:ext>
          </a:extLst>
        </xdr:cNvPr>
        <xdr:cNvSpPr txBox="1"/>
      </xdr:nvSpPr>
      <xdr:spPr>
        <a:xfrm>
          <a:off x="4803776" y="5054600"/>
          <a:ext cx="6032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9E281B-1A65-44F1-8B6A-04014D8E8841}" type="TxLink">
            <a:rPr lang="en-US" sz="1100" b="0" i="0" u="none" strike="noStrike">
              <a:solidFill>
                <a:srgbClr val="000000"/>
              </a:solidFill>
              <a:latin typeface="Calibri"/>
              <a:cs typeface="Calibri"/>
            </a:rPr>
            <a:pPr algn="ctr"/>
            <a:t>0th</a:t>
          </a:fld>
          <a:endParaRPr lang="en-US" sz="1100"/>
        </a:p>
      </xdr:txBody>
    </xdr:sp>
    <xdr:clientData/>
  </xdr:twoCellAnchor>
  <xdr:twoCellAnchor>
    <xdr:from>
      <xdr:col>10</xdr:col>
      <xdr:colOff>96045</xdr:colOff>
      <xdr:row>27</xdr:row>
      <xdr:rowOff>82550</xdr:rowOff>
    </xdr:from>
    <xdr:to>
      <xdr:col>11</xdr:col>
      <xdr:colOff>191295</xdr:colOff>
      <xdr:row>29</xdr:row>
      <xdr:rowOff>101600</xdr:rowOff>
    </xdr:to>
    <xdr:sp macro="" textlink="'Performance within backend'!G6">
      <xdr:nvSpPr>
        <xdr:cNvPr id="30" name="TextBox 29">
          <a:extLst>
            <a:ext uri="{FF2B5EF4-FFF2-40B4-BE49-F238E27FC236}">
              <a16:creationId xmlns:a16="http://schemas.microsoft.com/office/drawing/2014/main" id="{00000000-0008-0000-0700-00001E000000}"/>
            </a:ext>
          </a:extLst>
        </xdr:cNvPr>
        <xdr:cNvSpPr txBox="1"/>
      </xdr:nvSpPr>
      <xdr:spPr>
        <a:xfrm>
          <a:off x="6192045" y="5054600"/>
          <a:ext cx="7048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1DA927-2231-46E7-8E57-01060251D852}" type="TxLink">
            <a:rPr lang="en-US" sz="1100" b="0" i="0" u="none" strike="noStrike">
              <a:solidFill>
                <a:srgbClr val="000000"/>
              </a:solidFill>
              <a:latin typeface="Calibri"/>
              <a:cs typeface="Calibri"/>
            </a:rPr>
            <a:pPr algn="ctr"/>
            <a:t>0th</a:t>
          </a:fld>
          <a:endParaRPr lang="en-US" sz="1100"/>
        </a:p>
      </xdr:txBody>
    </xdr:sp>
    <xdr:clientData/>
  </xdr:twoCellAnchor>
  <xdr:twoCellAnchor>
    <xdr:from>
      <xdr:col>11</xdr:col>
      <xdr:colOff>369889</xdr:colOff>
      <xdr:row>27</xdr:row>
      <xdr:rowOff>82550</xdr:rowOff>
    </xdr:from>
    <xdr:to>
      <xdr:col>12</xdr:col>
      <xdr:colOff>395289</xdr:colOff>
      <xdr:row>29</xdr:row>
      <xdr:rowOff>101600</xdr:rowOff>
    </xdr:to>
    <xdr:sp macro="" textlink="'Performance within backend'!H6">
      <xdr:nvSpPr>
        <xdr:cNvPr id="31" name="TextBox 30">
          <a:extLst>
            <a:ext uri="{FF2B5EF4-FFF2-40B4-BE49-F238E27FC236}">
              <a16:creationId xmlns:a16="http://schemas.microsoft.com/office/drawing/2014/main" id="{00000000-0008-0000-0700-00001F000000}"/>
            </a:ext>
          </a:extLst>
        </xdr:cNvPr>
        <xdr:cNvSpPr txBox="1"/>
      </xdr:nvSpPr>
      <xdr:spPr>
        <a:xfrm>
          <a:off x="7075489" y="5054600"/>
          <a:ext cx="6350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9773BA-2308-4BC5-860E-4EEFD6639ED7}" type="TxLink">
            <a:rPr lang="en-US" sz="1100" b="0" i="0" u="none" strike="noStrike">
              <a:solidFill>
                <a:srgbClr val="000000"/>
              </a:solidFill>
              <a:latin typeface="Calibri"/>
              <a:cs typeface="Calibri"/>
            </a:rPr>
            <a:pPr algn="ctr"/>
            <a:t>0th</a:t>
          </a:fld>
          <a:endParaRPr lang="en-US" sz="1100"/>
        </a:p>
      </xdr:txBody>
    </xdr:sp>
    <xdr:clientData/>
  </xdr:twoCellAnchor>
  <xdr:twoCellAnchor>
    <xdr:from>
      <xdr:col>13</xdr:col>
      <xdr:colOff>272258</xdr:colOff>
      <xdr:row>27</xdr:row>
      <xdr:rowOff>82550</xdr:rowOff>
    </xdr:from>
    <xdr:to>
      <xdr:col>14</xdr:col>
      <xdr:colOff>583408</xdr:colOff>
      <xdr:row>29</xdr:row>
      <xdr:rowOff>101600</xdr:rowOff>
    </xdr:to>
    <xdr:sp macro="" textlink="'Performance within backend'!I6">
      <xdr:nvSpPr>
        <xdr:cNvPr id="32" name="TextBox 31">
          <a:extLst>
            <a:ext uri="{FF2B5EF4-FFF2-40B4-BE49-F238E27FC236}">
              <a16:creationId xmlns:a16="http://schemas.microsoft.com/office/drawing/2014/main" id="{00000000-0008-0000-0700-000020000000}"/>
            </a:ext>
          </a:extLst>
        </xdr:cNvPr>
        <xdr:cNvSpPr txBox="1"/>
      </xdr:nvSpPr>
      <xdr:spPr>
        <a:xfrm>
          <a:off x="8197058" y="5054600"/>
          <a:ext cx="9207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EFC4A3-FE57-4E7C-8A75-52E0DA5C743B}" type="TxLink">
            <a:rPr lang="en-US" sz="1100" b="0" i="0" u="none" strike="noStrike">
              <a:solidFill>
                <a:srgbClr val="000000"/>
              </a:solidFill>
              <a:latin typeface="Calibri"/>
              <a:cs typeface="Calibri"/>
            </a:rPr>
            <a:pPr algn="ctr"/>
            <a:t>0th</a:t>
          </a:fld>
          <a:endParaRPr lang="en-US" sz="1100"/>
        </a:p>
      </xdr:txBody>
    </xdr:sp>
    <xdr:clientData/>
  </xdr:twoCellAnchor>
  <xdr:twoCellAnchor>
    <xdr:from>
      <xdr:col>16</xdr:col>
      <xdr:colOff>187325</xdr:colOff>
      <xdr:row>27</xdr:row>
      <xdr:rowOff>82550</xdr:rowOff>
    </xdr:from>
    <xdr:to>
      <xdr:col>18</xdr:col>
      <xdr:colOff>66675</xdr:colOff>
      <xdr:row>29</xdr:row>
      <xdr:rowOff>101600</xdr:rowOff>
    </xdr:to>
    <xdr:sp macro="" textlink="'Performance within backend'!J6">
      <xdr:nvSpPr>
        <xdr:cNvPr id="33" name="TextBox 32">
          <a:extLst>
            <a:ext uri="{FF2B5EF4-FFF2-40B4-BE49-F238E27FC236}">
              <a16:creationId xmlns:a16="http://schemas.microsoft.com/office/drawing/2014/main" id="{00000000-0008-0000-0700-000021000000}"/>
            </a:ext>
          </a:extLst>
        </xdr:cNvPr>
        <xdr:cNvSpPr txBox="1"/>
      </xdr:nvSpPr>
      <xdr:spPr>
        <a:xfrm>
          <a:off x="9940925" y="5054600"/>
          <a:ext cx="10985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146DB-0615-447B-AEF8-191D915C1900}" type="TxLink">
            <a:rPr lang="en-US" sz="1100" b="0" i="0" u="none" strike="noStrike">
              <a:solidFill>
                <a:srgbClr val="000000"/>
              </a:solidFill>
              <a:latin typeface="Calibri"/>
              <a:cs typeface="Calibri"/>
            </a:rPr>
            <a:pPr algn="ctr"/>
            <a:t>0th</a:t>
          </a:fld>
          <a:endParaRPr lang="en-US" sz="1100"/>
        </a:p>
      </xdr:txBody>
    </xdr:sp>
    <xdr:clientData/>
  </xdr:twoCellAnchor>
  <xdr:twoCellAnchor>
    <xdr:from>
      <xdr:col>4</xdr:col>
      <xdr:colOff>425847</xdr:colOff>
      <xdr:row>29</xdr:row>
      <xdr:rowOff>165100</xdr:rowOff>
    </xdr:from>
    <xdr:to>
      <xdr:col>14</xdr:col>
      <xdr:colOff>336153</xdr:colOff>
      <xdr:row>32</xdr:row>
      <xdr:rowOff>12700</xdr:rowOff>
    </xdr:to>
    <xdr:sp macro="" textlink="'Performance within backend'!B34">
      <xdr:nvSpPr>
        <xdr:cNvPr id="34" name="TextBox 33">
          <a:extLst>
            <a:ext uri="{FF2B5EF4-FFF2-40B4-BE49-F238E27FC236}">
              <a16:creationId xmlns:a16="http://schemas.microsoft.com/office/drawing/2014/main" id="{00000000-0008-0000-0700-000022000000}"/>
            </a:ext>
          </a:extLst>
        </xdr:cNvPr>
        <xdr:cNvSpPr txBox="1"/>
      </xdr:nvSpPr>
      <xdr:spPr>
        <a:xfrm>
          <a:off x="2864247" y="5505450"/>
          <a:ext cx="600630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9E8BF8-FFEE-4115-95AE-AD84B51FB1B4}" type="TxLink">
            <a:rPr lang="en-US" sz="1100" b="0" i="1" u="none" strike="noStrike">
              <a:solidFill>
                <a:srgbClr val="000000"/>
              </a:solidFill>
              <a:latin typeface="Calibri"/>
              <a:cs typeface="Calibri"/>
            </a:rPr>
            <a:pPr algn="ctr"/>
            <a:t>#REF!</a:t>
          </a:fld>
          <a:endParaRPr lang="en-US" sz="1100" b="0" i="1"/>
        </a:p>
      </xdr:txBody>
    </xdr:sp>
    <xdr:clientData/>
  </xdr:twoCellAnchor>
  <xdr:twoCellAnchor>
    <xdr:from>
      <xdr:col>1</xdr:col>
      <xdr:colOff>204838</xdr:colOff>
      <xdr:row>31</xdr:row>
      <xdr:rowOff>6350</xdr:rowOff>
    </xdr:from>
    <xdr:to>
      <xdr:col>17</xdr:col>
      <xdr:colOff>557163</xdr:colOff>
      <xdr:row>33</xdr:row>
      <xdr:rowOff>38100</xdr:rowOff>
    </xdr:to>
    <xdr:sp macro="" textlink="">
      <xdr:nvSpPr>
        <xdr:cNvPr id="35" name="TextBox 34">
          <a:extLst>
            <a:ext uri="{FF2B5EF4-FFF2-40B4-BE49-F238E27FC236}">
              <a16:creationId xmlns:a16="http://schemas.microsoft.com/office/drawing/2014/main" id="{00000000-0008-0000-0700-000023000000}"/>
            </a:ext>
          </a:extLst>
        </xdr:cNvPr>
        <xdr:cNvSpPr txBox="1"/>
      </xdr:nvSpPr>
      <xdr:spPr>
        <a:xfrm>
          <a:off x="814438" y="5715000"/>
          <a:ext cx="101059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1" u="none" strike="noStrike">
              <a:solidFill>
                <a:srgbClr val="000000"/>
              </a:solidFill>
              <a:latin typeface="Calibri"/>
              <a:cs typeface="Calibri"/>
            </a:rPr>
            <a:t>For samples that pool countries, results</a:t>
          </a:r>
          <a:r>
            <a:rPr lang="en-US" sz="1100" b="0" i="1" u="none" strike="noStrike" baseline="0">
              <a:solidFill>
                <a:srgbClr val="000000"/>
              </a:solidFill>
              <a:latin typeface="Calibri"/>
              <a:cs typeface="Calibri"/>
            </a:rPr>
            <a:t> for each policy dimension show the ranking of the sample if it were a country with the same score as the average of the sample.</a:t>
          </a:r>
          <a:endParaRPr lang="en-US" sz="1100" b="0" i="1" u="none" strike="noStrike">
            <a:solidFill>
              <a:srgbClr val="000000"/>
            </a:solidFill>
            <a:latin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8</xdr:col>
          <xdr:colOff>6350</xdr:colOff>
          <xdr:row>5</xdr:row>
          <xdr:rowOff>31750</xdr:rowOff>
        </xdr:from>
        <xdr:to>
          <xdr:col>11</xdr:col>
          <xdr:colOff>152400</xdr:colOff>
          <xdr:row>6</xdr:row>
          <xdr:rowOff>107950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B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Remove health measures from sample</a:t>
              </a:r>
            </a:p>
          </xdr:txBody>
        </xdr:sp>
        <xdr:clientData/>
      </xdr:twoCellAnchor>
    </mc:Choice>
    <mc:Fallback/>
  </mc:AlternateContent>
  <xdr:twoCellAnchor>
    <xdr:from>
      <xdr:col>6</xdr:col>
      <xdr:colOff>596900</xdr:colOff>
      <xdr:row>6</xdr:row>
      <xdr:rowOff>158750</xdr:rowOff>
    </xdr:from>
    <xdr:to>
      <xdr:col>12</xdr:col>
      <xdr:colOff>158750</xdr:colOff>
      <xdr:row>22</xdr:row>
      <xdr:rowOff>133350</xdr:rowOff>
    </xdr:to>
    <xdr:sp macro="" textlink="">
      <xdr:nvSpPr>
        <xdr:cNvPr id="36" name="Rectangle 35">
          <a:extLst>
            <a:ext uri="{FF2B5EF4-FFF2-40B4-BE49-F238E27FC236}">
              <a16:creationId xmlns:a16="http://schemas.microsoft.com/office/drawing/2014/main" id="{00000000-0008-0000-0700-000024000000}"/>
            </a:ext>
          </a:extLst>
        </xdr:cNvPr>
        <xdr:cNvSpPr/>
      </xdr:nvSpPr>
      <xdr:spPr>
        <a:xfrm>
          <a:off x="4254500" y="1263650"/>
          <a:ext cx="3219450" cy="2921000"/>
        </a:xfrm>
        <a:prstGeom prst="rect">
          <a:avLst/>
        </a:prstGeom>
        <a:solidFill>
          <a:schemeClr val="bg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381000</xdr:colOff>
      <xdr:row>7</xdr:row>
      <xdr:rowOff>25400</xdr:rowOff>
    </xdr:from>
    <xdr:to>
      <xdr:col>11</xdr:col>
      <xdr:colOff>374650</xdr:colOff>
      <xdr:row>9</xdr:row>
      <xdr:rowOff>95250</xdr:rowOff>
    </xdr:to>
    <xdr:sp macro="" textlink="">
      <xdr:nvSpPr>
        <xdr:cNvPr id="37" name="TextBox 36">
          <a:extLst>
            <a:ext uri="{FF2B5EF4-FFF2-40B4-BE49-F238E27FC236}">
              <a16:creationId xmlns:a16="http://schemas.microsoft.com/office/drawing/2014/main" id="{00000000-0008-0000-0700-000025000000}"/>
            </a:ext>
          </a:extLst>
        </xdr:cNvPr>
        <xdr:cNvSpPr txBox="1"/>
      </xdr:nvSpPr>
      <xdr:spPr>
        <a:xfrm>
          <a:off x="4648200" y="1314450"/>
          <a:ext cx="24320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Select Comparator</a:t>
          </a:r>
          <a:endParaRPr lang="en-US" sz="1100" baseline="0"/>
        </a:p>
        <a:p>
          <a:pPr algn="ctr"/>
          <a:r>
            <a:rPr lang="en-US" sz="1100" baseline="0"/>
            <a:t>(restrictive filtering)</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9</xdr:col>
          <xdr:colOff>69850</xdr:colOff>
          <xdr:row>9</xdr:row>
          <xdr:rowOff>139700</xdr:rowOff>
        </xdr:from>
        <xdr:to>
          <xdr:col>10</xdr:col>
          <xdr:colOff>146050</xdr:colOff>
          <xdr:row>10</xdr:row>
          <xdr:rowOff>177800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B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FCV 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xdr:row>
          <xdr:rowOff>158750</xdr:rowOff>
        </xdr:from>
        <xdr:to>
          <xdr:col>10</xdr:col>
          <xdr:colOff>565150</xdr:colOff>
          <xdr:row>13</xdr:row>
          <xdr:rowOff>146050</xdr:rowOff>
        </xdr:to>
        <xdr:sp macro="" textlink="">
          <xdr:nvSpPr>
            <xdr:cNvPr id="7171" name="Drop Down 3" hidden="1">
              <a:extLst>
                <a:ext uri="{63B3BB69-23CF-44E3-9099-C40C66FF867C}">
                  <a14:compatExt spid="_x0000_s7171"/>
                </a:ext>
                <a:ext uri="{FF2B5EF4-FFF2-40B4-BE49-F238E27FC236}">
                  <a16:creationId xmlns:a16="http://schemas.microsoft.com/office/drawing/2014/main" id="{00000000-0008-0000-0B00-000003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14</xdr:row>
          <xdr:rowOff>50800</xdr:rowOff>
        </xdr:from>
        <xdr:to>
          <xdr:col>10</xdr:col>
          <xdr:colOff>565150</xdr:colOff>
          <xdr:row>15</xdr:row>
          <xdr:rowOff>50800</xdr:rowOff>
        </xdr:to>
        <xdr:sp macro="" textlink="">
          <xdr:nvSpPr>
            <xdr:cNvPr id="7172" name="Drop Down 4" hidden="1">
              <a:extLst>
                <a:ext uri="{63B3BB69-23CF-44E3-9099-C40C66FF867C}">
                  <a14:compatExt spid="_x0000_s7172"/>
                </a:ext>
                <a:ext uri="{FF2B5EF4-FFF2-40B4-BE49-F238E27FC236}">
                  <a16:creationId xmlns:a16="http://schemas.microsoft.com/office/drawing/2014/main" id="{00000000-0008-0000-0B00-000004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196850</xdr:colOff>
          <xdr:row>11</xdr:row>
          <xdr:rowOff>82550</xdr:rowOff>
        </xdr:from>
        <xdr:to>
          <xdr:col>10</xdr:col>
          <xdr:colOff>565150</xdr:colOff>
          <xdr:row>12</xdr:row>
          <xdr:rowOff>69850</xdr:rowOff>
        </xdr:to>
        <xdr:sp macro="" textlink="">
          <xdr:nvSpPr>
            <xdr:cNvPr id="7173" name="Drop Down 5" hidden="1">
              <a:extLst>
                <a:ext uri="{63B3BB69-23CF-44E3-9099-C40C66FF867C}">
                  <a14:compatExt spid="_x0000_s7173"/>
                </a:ext>
                <a:ext uri="{FF2B5EF4-FFF2-40B4-BE49-F238E27FC236}">
                  <a16:creationId xmlns:a16="http://schemas.microsoft.com/office/drawing/2014/main" id="{00000000-0008-0000-0B00-000005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123825</xdr:colOff>
      <xdr:row>9</xdr:row>
      <xdr:rowOff>88900</xdr:rowOff>
    </xdr:from>
    <xdr:to>
      <xdr:col>12</xdr:col>
      <xdr:colOff>22225</xdr:colOff>
      <xdr:row>9</xdr:row>
      <xdr:rowOff>88900</xdr:rowOff>
    </xdr:to>
    <xdr:cxnSp macro="">
      <xdr:nvCxnSpPr>
        <xdr:cNvPr id="41" name="Straight Connector 40">
          <a:extLst>
            <a:ext uri="{FF2B5EF4-FFF2-40B4-BE49-F238E27FC236}">
              <a16:creationId xmlns:a16="http://schemas.microsoft.com/office/drawing/2014/main" id="{00000000-0008-0000-0700-000029000000}"/>
            </a:ext>
          </a:extLst>
        </xdr:cNvPr>
        <xdr:cNvCxnSpPr/>
      </xdr:nvCxnSpPr>
      <xdr:spPr>
        <a:xfrm>
          <a:off x="4391025" y="174625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38100</xdr:colOff>
      <xdr:row>15</xdr:row>
      <xdr:rowOff>158750</xdr:rowOff>
    </xdr:from>
    <xdr:to>
      <xdr:col>11</xdr:col>
      <xdr:colOff>107950</xdr:colOff>
      <xdr:row>19</xdr:row>
      <xdr:rowOff>25400</xdr:rowOff>
    </xdr:to>
    <xdr:sp macro="" textlink="">
      <xdr:nvSpPr>
        <xdr:cNvPr id="42" name="TextBox 41">
          <a:extLst>
            <a:ext uri="{FF2B5EF4-FFF2-40B4-BE49-F238E27FC236}">
              <a16:creationId xmlns:a16="http://schemas.microsoft.com/office/drawing/2014/main" id="{00000000-0008-0000-0700-00002A000000}"/>
            </a:ext>
          </a:extLst>
        </xdr:cNvPr>
        <xdr:cNvSpPr txBox="1"/>
      </xdr:nvSpPr>
      <xdr:spPr>
        <a:xfrm>
          <a:off x="4914900" y="2921000"/>
          <a:ext cx="1898650" cy="603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t>-or-</a:t>
          </a:r>
        </a:p>
        <a:p>
          <a:pPr algn="ctr"/>
          <a:r>
            <a:rPr lang="en-US" sz="1100"/>
            <a:t>Select Individual Country</a:t>
          </a:r>
        </a:p>
      </xdr:txBody>
    </xdr:sp>
    <xdr:clientData/>
  </xdr:twoCellAnchor>
  <xdr:twoCellAnchor>
    <xdr:from>
      <xdr:col>7</xdr:col>
      <xdr:colOff>123825</xdr:colOff>
      <xdr:row>18</xdr:row>
      <xdr:rowOff>177800</xdr:rowOff>
    </xdr:from>
    <xdr:to>
      <xdr:col>12</xdr:col>
      <xdr:colOff>22225</xdr:colOff>
      <xdr:row>18</xdr:row>
      <xdr:rowOff>177800</xdr:rowOff>
    </xdr:to>
    <xdr:cxnSp macro="">
      <xdr:nvCxnSpPr>
        <xdr:cNvPr id="43" name="Straight Connector 42">
          <a:extLst>
            <a:ext uri="{FF2B5EF4-FFF2-40B4-BE49-F238E27FC236}">
              <a16:creationId xmlns:a16="http://schemas.microsoft.com/office/drawing/2014/main" id="{00000000-0008-0000-0700-00002B000000}"/>
            </a:ext>
          </a:extLst>
        </xdr:cNvPr>
        <xdr:cNvCxnSpPr/>
      </xdr:nvCxnSpPr>
      <xdr:spPr>
        <a:xfrm>
          <a:off x="4391025" y="349250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8</xdr:col>
          <xdr:colOff>184150</xdr:colOff>
          <xdr:row>19</xdr:row>
          <xdr:rowOff>114300</xdr:rowOff>
        </xdr:from>
        <xdr:to>
          <xdr:col>10</xdr:col>
          <xdr:colOff>571500</xdr:colOff>
          <xdr:row>20</xdr:row>
          <xdr:rowOff>120650</xdr:rowOff>
        </xdr:to>
        <xdr:sp macro="" textlink="">
          <xdr:nvSpPr>
            <xdr:cNvPr id="7174" name="Drop Down 6" hidden="1">
              <a:extLst>
                <a:ext uri="{63B3BB69-23CF-44E3-9099-C40C66FF867C}">
                  <a14:compatExt spid="_x0000_s7174"/>
                </a:ext>
                <a:ext uri="{FF2B5EF4-FFF2-40B4-BE49-F238E27FC236}">
                  <a16:creationId xmlns:a16="http://schemas.microsoft.com/office/drawing/2014/main" id="{00000000-0008-0000-0B00-000006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60325</xdr:colOff>
      <xdr:row>21</xdr:row>
      <xdr:rowOff>101600</xdr:rowOff>
    </xdr:from>
    <xdr:to>
      <xdr:col>12</xdr:col>
      <xdr:colOff>85725</xdr:colOff>
      <xdr:row>22</xdr:row>
      <xdr:rowOff>120650</xdr:rowOff>
    </xdr:to>
    <xdr:sp macro="" textlink="">
      <xdr:nvSpPr>
        <xdr:cNvPr id="45" name="TextBox 44">
          <a:extLst>
            <a:ext uri="{FF2B5EF4-FFF2-40B4-BE49-F238E27FC236}">
              <a16:creationId xmlns:a16="http://schemas.microsoft.com/office/drawing/2014/main" id="{00000000-0008-0000-0700-00002D000000}"/>
            </a:ext>
          </a:extLst>
        </xdr:cNvPr>
        <xdr:cNvSpPr txBox="1"/>
      </xdr:nvSpPr>
      <xdr:spPr>
        <a:xfrm>
          <a:off x="4327525" y="3968750"/>
          <a:ext cx="30734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i="1"/>
            <a:t>When selecting one country, set above characteristic fields to general.</a:t>
          </a:r>
        </a:p>
      </xdr:txBody>
    </xdr:sp>
    <xdr:clientData/>
  </xdr:twoCellAnchor>
  <xdr:twoCellAnchor>
    <xdr:from>
      <xdr:col>0</xdr:col>
      <xdr:colOff>17462</xdr:colOff>
      <xdr:row>6</xdr:row>
      <xdr:rowOff>12700</xdr:rowOff>
    </xdr:from>
    <xdr:to>
      <xdr:col>7</xdr:col>
      <xdr:colOff>74612</xdr:colOff>
      <xdr:row>22</xdr:row>
      <xdr:rowOff>82550</xdr:rowOff>
    </xdr:to>
    <xdr:graphicFrame macro="">
      <xdr:nvGraphicFramePr>
        <xdr:cNvPr id="46" name="Chart 45">
          <a:extLst>
            <a:ext uri="{FF2B5EF4-FFF2-40B4-BE49-F238E27FC236}">
              <a16:creationId xmlns:a16="http://schemas.microsoft.com/office/drawing/2014/main" id="{00000000-0008-0000-07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508000</xdr:colOff>
      <xdr:row>10</xdr:row>
      <xdr:rowOff>0</xdr:rowOff>
    </xdr:from>
    <xdr:to>
      <xdr:col>33</xdr:col>
      <xdr:colOff>520700</xdr:colOff>
      <xdr:row>23</xdr:row>
      <xdr:rowOff>4763</xdr:rowOff>
    </xdr:to>
    <xdr:graphicFrame macro="">
      <xdr:nvGraphicFramePr>
        <xdr:cNvPr id="47" name="Chart 46">
          <a:extLst>
            <a:ext uri="{FF2B5EF4-FFF2-40B4-BE49-F238E27FC236}">
              <a16:creationId xmlns:a16="http://schemas.microsoft.com/office/drawing/2014/main" id="{00000000-0008-0000-07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300037</xdr:colOff>
      <xdr:row>22</xdr:row>
      <xdr:rowOff>76200</xdr:rowOff>
    </xdr:from>
    <xdr:to>
      <xdr:col>18</xdr:col>
      <xdr:colOff>547687</xdr:colOff>
      <xdr:row>24</xdr:row>
      <xdr:rowOff>19050</xdr:rowOff>
    </xdr:to>
    <xdr:sp macro="" textlink="">
      <xdr:nvSpPr>
        <xdr:cNvPr id="12" name="TextBox 11">
          <a:extLst>
            <a:ext uri="{FF2B5EF4-FFF2-40B4-BE49-F238E27FC236}">
              <a16:creationId xmlns:a16="http://schemas.microsoft.com/office/drawing/2014/main" id="{00000000-0008-0000-0700-00000C000000}"/>
            </a:ext>
          </a:extLst>
        </xdr:cNvPr>
        <xdr:cNvSpPr txBox="1"/>
      </xdr:nvSpPr>
      <xdr:spPr>
        <a:xfrm>
          <a:off x="7615237" y="4127500"/>
          <a:ext cx="39052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t>Figures from Macro Poverty Outlook, estimates for 2020,</a:t>
          </a:r>
          <a:r>
            <a:rPr lang="en-US" sz="900" i="1" baseline="0"/>
            <a:t> for available countries.</a:t>
          </a:r>
          <a:endParaRPr lang="en-US" sz="900" i="1"/>
        </a:p>
      </xdr:txBody>
    </xdr:sp>
    <xdr:clientData/>
  </xdr:twoCellAnchor>
  <xdr:twoCellAnchor editAs="oneCell">
    <xdr:from>
      <xdr:col>13</xdr:col>
      <xdr:colOff>569912</xdr:colOff>
      <xdr:row>20</xdr:row>
      <xdr:rowOff>107950</xdr:rowOff>
    </xdr:from>
    <xdr:to>
      <xdr:col>17</xdr:col>
      <xdr:colOff>277812</xdr:colOff>
      <xdr:row>21</xdr:row>
      <xdr:rowOff>69850</xdr:rowOff>
    </xdr:to>
    <xdr:pic>
      <xdr:nvPicPr>
        <xdr:cNvPr id="53" name="Picture 52">
          <a:extLst>
            <a:ext uri="{FF2B5EF4-FFF2-40B4-BE49-F238E27FC236}">
              <a16:creationId xmlns:a16="http://schemas.microsoft.com/office/drawing/2014/main" id="{00000000-0008-0000-0700-000035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494712" y="3790950"/>
          <a:ext cx="21463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254000</xdr:colOff>
      <xdr:row>7</xdr:row>
      <xdr:rowOff>177800</xdr:rowOff>
    </xdr:from>
    <xdr:to>
      <xdr:col>5</xdr:col>
      <xdr:colOff>438150</xdr:colOff>
      <xdr:row>9</xdr:row>
      <xdr:rowOff>12700</xdr:rowOff>
    </xdr:to>
    <xdr:pic>
      <xdr:nvPicPr>
        <xdr:cNvPr id="54" name="Picture 53">
          <a:extLst>
            <a:ext uri="{FF2B5EF4-FFF2-40B4-BE49-F238E27FC236}">
              <a16:creationId xmlns:a16="http://schemas.microsoft.com/office/drawing/2014/main" id="{00000000-0008-0000-0700-000036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63600" y="1466850"/>
          <a:ext cx="262255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306917</xdr:colOff>
      <xdr:row>15</xdr:row>
      <xdr:rowOff>95250</xdr:rowOff>
    </xdr:from>
    <xdr:to>
      <xdr:col>8</xdr:col>
      <xdr:colOff>1481667</xdr:colOff>
      <xdr:row>31</xdr:row>
      <xdr:rowOff>39158</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290685</xdr:colOff>
      <xdr:row>0</xdr:row>
      <xdr:rowOff>134057</xdr:rowOff>
    </xdr:from>
    <xdr:to>
      <xdr:col>16</xdr:col>
      <xdr:colOff>595486</xdr:colOff>
      <xdr:row>24</xdr:row>
      <xdr:rowOff>58562</xdr:rowOff>
    </xdr:to>
    <xdr:sp macro="" textlink="">
      <xdr:nvSpPr>
        <xdr:cNvPr id="3" name="Rectangle 2">
          <a:extLst>
            <a:ext uri="{FF2B5EF4-FFF2-40B4-BE49-F238E27FC236}">
              <a16:creationId xmlns:a16="http://schemas.microsoft.com/office/drawing/2014/main" id="{00000000-0008-0000-0900-000003000000}"/>
            </a:ext>
          </a:extLst>
        </xdr:cNvPr>
        <xdr:cNvSpPr/>
      </xdr:nvSpPr>
      <xdr:spPr>
        <a:xfrm>
          <a:off x="897463" y="134057"/>
          <a:ext cx="9406467" cy="4327172"/>
        </a:xfrm>
        <a:prstGeom prst="rect">
          <a:avLst/>
        </a:prstGeom>
        <a:solidFill>
          <a:sysClr val="window" lastClr="FFFFFF"/>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214485</xdr:colOff>
      <xdr:row>14</xdr:row>
      <xdr:rowOff>76907</xdr:rowOff>
    </xdr:from>
    <xdr:to>
      <xdr:col>6</xdr:col>
      <xdr:colOff>290685</xdr:colOff>
      <xdr:row>15</xdr:row>
      <xdr:rowOff>178507</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1428041" y="2645129"/>
          <a:ext cx="2503311"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t>Choose</a:t>
          </a:r>
          <a:r>
            <a:rPr lang="en-US" sz="1100" baseline="0"/>
            <a:t> policy dimension to compare</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419100</xdr:colOff>
          <xdr:row>16</xdr:row>
          <xdr:rowOff>88900</xdr:rowOff>
        </xdr:from>
        <xdr:to>
          <xdr:col>6</xdr:col>
          <xdr:colOff>101600</xdr:colOff>
          <xdr:row>17</xdr:row>
          <xdr:rowOff>152400</xdr:rowOff>
        </xdr:to>
        <xdr:sp macro="" textlink="">
          <xdr:nvSpPr>
            <xdr:cNvPr id="11265" name="Drop Down 1" hidden="1">
              <a:extLst>
                <a:ext uri="{63B3BB69-23CF-44E3-9099-C40C66FF867C}">
                  <a14:compatExt spid="_x0000_s11265"/>
                </a:ext>
                <a:ext uri="{FF2B5EF4-FFF2-40B4-BE49-F238E27FC236}">
                  <a16:creationId xmlns:a16="http://schemas.microsoft.com/office/drawing/2014/main" id="{00000000-0008-0000-0D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114347</xdr:colOff>
      <xdr:row>2</xdr:row>
      <xdr:rowOff>147464</xdr:rowOff>
    </xdr:from>
    <xdr:to>
      <xdr:col>12</xdr:col>
      <xdr:colOff>26808</xdr:colOff>
      <xdr:row>12</xdr:row>
      <xdr:rowOff>178507</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20458</xdr:colOff>
      <xdr:row>2</xdr:row>
      <xdr:rowOff>127000</xdr:rowOff>
    </xdr:from>
    <xdr:to>
      <xdr:col>16</xdr:col>
      <xdr:colOff>541892</xdr:colOff>
      <xdr:row>12</xdr:row>
      <xdr:rowOff>179778</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112152</xdr:colOff>
      <xdr:row>13</xdr:row>
      <xdr:rowOff>71262</xdr:rowOff>
    </xdr:from>
    <xdr:to>
      <xdr:col>12</xdr:col>
      <xdr:colOff>26808</xdr:colOff>
      <xdr:row>23</xdr:row>
      <xdr:rowOff>171450</xdr:rowOff>
    </xdr:to>
    <xdr:graphicFrame macro="">
      <xdr:nvGraphicFramePr>
        <xdr:cNvPr id="6" name="Chart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20458</xdr:colOff>
      <xdr:row>13</xdr:row>
      <xdr:rowOff>71262</xdr:rowOff>
    </xdr:from>
    <xdr:to>
      <xdr:col>16</xdr:col>
      <xdr:colOff>541892</xdr:colOff>
      <xdr:row>23</xdr:row>
      <xdr:rowOff>165807</xdr:rowOff>
    </xdr:to>
    <xdr:graphicFrame macro="">
      <xdr:nvGraphicFramePr>
        <xdr:cNvPr id="7" name="Chart 6">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1407</xdr:colOff>
      <xdr:row>15</xdr:row>
      <xdr:rowOff>153107</xdr:rowOff>
    </xdr:from>
    <xdr:to>
      <xdr:col>6</xdr:col>
      <xdr:colOff>506585</xdr:colOff>
      <xdr:row>15</xdr:row>
      <xdr:rowOff>153107</xdr:rowOff>
    </xdr:to>
    <xdr:cxnSp macro="">
      <xdr:nvCxnSpPr>
        <xdr:cNvPr id="8" name="Straight Connector 7">
          <a:extLst>
            <a:ext uri="{FF2B5EF4-FFF2-40B4-BE49-F238E27FC236}">
              <a16:creationId xmlns:a16="http://schemas.microsoft.com/office/drawing/2014/main" id="{00000000-0008-0000-0900-000008000000}"/>
            </a:ext>
          </a:extLst>
        </xdr:cNvPr>
        <xdr:cNvCxnSpPr/>
      </xdr:nvCxnSpPr>
      <xdr:spPr>
        <a:xfrm>
          <a:off x="1214963" y="2904774"/>
          <a:ext cx="2932289"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33157</xdr:colOff>
      <xdr:row>4</xdr:row>
      <xdr:rowOff>89607</xdr:rowOff>
    </xdr:from>
    <xdr:to>
      <xdr:col>6</xdr:col>
      <xdr:colOff>360535</xdr:colOff>
      <xdr:row>9</xdr:row>
      <xdr:rowOff>134057</xdr:rowOff>
    </xdr:to>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1246713" y="823385"/>
          <a:ext cx="2754489" cy="9616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Policy Performance</a:t>
          </a:r>
          <a:r>
            <a:rPr lang="en-US" sz="2400" b="1" baseline="0"/>
            <a:t> Across Samples</a:t>
          </a:r>
          <a:endParaRPr lang="en-US" sz="2400" b="1"/>
        </a:p>
      </xdr:txBody>
    </xdr:sp>
    <xdr:clientData/>
  </xdr:twoCellAnchor>
  <xdr:twoCellAnchor>
    <xdr:from>
      <xdr:col>1</xdr:col>
      <xdr:colOff>449435</xdr:colOff>
      <xdr:row>20</xdr:row>
      <xdr:rowOff>146050</xdr:rowOff>
    </xdr:from>
    <xdr:to>
      <xdr:col>7</xdr:col>
      <xdr:colOff>45858</xdr:colOff>
      <xdr:row>24</xdr:row>
      <xdr:rowOff>14112</xdr:rowOff>
    </xdr:to>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1059035" y="3829050"/>
          <a:ext cx="3254023" cy="6046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i="1"/>
            <a:t>Score interpretation</a:t>
          </a:r>
          <a:r>
            <a:rPr lang="en-US" sz="900" i="1"/>
            <a:t>: Graphs show the share of policies meeting the criteria</a:t>
          </a:r>
          <a:r>
            <a:rPr lang="en-US" sz="900" i="1" baseline="0"/>
            <a:t> of the</a:t>
          </a:r>
          <a:r>
            <a:rPr lang="en-US" sz="900" i="1"/>
            <a:t> selected policy dimension.</a:t>
          </a:r>
        </a:p>
      </xdr:txBody>
    </xdr:sp>
    <xdr:clientData/>
  </xdr:twoCellAnchor>
  <xdr:twoCellAnchor>
    <xdr:from>
      <xdr:col>7</xdr:col>
      <xdr:colOff>467805</xdr:colOff>
      <xdr:row>12</xdr:row>
      <xdr:rowOff>90312</xdr:rowOff>
    </xdr:from>
    <xdr:to>
      <xdr:col>11</xdr:col>
      <xdr:colOff>277304</xdr:colOff>
      <xdr:row>13</xdr:row>
      <xdr:rowOff>128413</xdr:rowOff>
    </xdr:to>
    <xdr:sp macro="" textlink="'Performance across backend'!F13">
      <xdr:nvSpPr>
        <xdr:cNvPr id="11" name="TextBox 10">
          <a:extLst>
            <a:ext uri="{FF2B5EF4-FFF2-40B4-BE49-F238E27FC236}">
              <a16:creationId xmlns:a16="http://schemas.microsoft.com/office/drawing/2014/main" id="{00000000-0008-0000-0900-00000B000000}"/>
            </a:ext>
          </a:extLst>
        </xdr:cNvPr>
        <xdr:cNvSpPr txBox="1"/>
      </xdr:nvSpPr>
      <xdr:spPr>
        <a:xfrm>
          <a:off x="4735005" y="2300112"/>
          <a:ext cx="2247899" cy="222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2A3943-4DAB-41A7-A726-DC10A51134E3}" type="TxLink">
            <a:rPr lang="en-US" sz="900" b="0" i="1" u="none" strike="noStrike">
              <a:solidFill>
                <a:srgbClr val="000000"/>
              </a:solidFill>
              <a:latin typeface="Calibri"/>
              <a:cs typeface="Calibri"/>
            </a:rPr>
            <a:pPr algn="ctr"/>
            <a:t>Significant at the 1% level</a:t>
          </a:fld>
          <a:endParaRPr lang="en-US" sz="900" i="1"/>
        </a:p>
      </xdr:txBody>
    </xdr:sp>
    <xdr:clientData/>
  </xdr:twoCellAnchor>
  <xdr:twoCellAnchor>
    <xdr:from>
      <xdr:col>12</xdr:col>
      <xdr:colOff>375014</xdr:colOff>
      <xdr:row>12</xdr:row>
      <xdr:rowOff>90312</xdr:rowOff>
    </xdr:from>
    <xdr:to>
      <xdr:col>16</xdr:col>
      <xdr:colOff>184514</xdr:colOff>
      <xdr:row>13</xdr:row>
      <xdr:rowOff>128413</xdr:rowOff>
    </xdr:to>
    <xdr:sp macro="" textlink="'Performance across backend'!E13">
      <xdr:nvSpPr>
        <xdr:cNvPr id="13" name="TextBox 12">
          <a:extLst>
            <a:ext uri="{FF2B5EF4-FFF2-40B4-BE49-F238E27FC236}">
              <a16:creationId xmlns:a16="http://schemas.microsoft.com/office/drawing/2014/main" id="{00000000-0008-0000-0900-00000D000000}"/>
            </a:ext>
          </a:extLst>
        </xdr:cNvPr>
        <xdr:cNvSpPr txBox="1"/>
      </xdr:nvSpPr>
      <xdr:spPr>
        <a:xfrm>
          <a:off x="7690214" y="2300112"/>
          <a:ext cx="2247900" cy="222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3FABDE-DD37-4CB2-A888-A855F774CA61}" type="TxLink">
            <a:rPr lang="en-US" sz="900" b="0" i="1" u="none" strike="noStrike">
              <a:solidFill>
                <a:srgbClr val="000000"/>
              </a:solidFill>
              <a:latin typeface="Calibri"/>
              <a:cs typeface="Calibri"/>
            </a:rPr>
            <a:pPr algn="ctr"/>
            <a:t>Significant at the 1% level</a:t>
          </a:fld>
          <a:endParaRPr lang="en-US" sz="900" i="1"/>
        </a:p>
      </xdr:txBody>
    </xdr:sp>
    <xdr:clientData/>
  </xdr:twoCellAnchor>
  <xdr:twoCellAnchor>
    <xdr:from>
      <xdr:col>7</xdr:col>
      <xdr:colOff>466708</xdr:colOff>
      <xdr:row>23</xdr:row>
      <xdr:rowOff>33162</xdr:rowOff>
    </xdr:from>
    <xdr:to>
      <xdr:col>11</xdr:col>
      <xdr:colOff>276207</xdr:colOff>
      <xdr:row>24</xdr:row>
      <xdr:rowOff>71262</xdr:rowOff>
    </xdr:to>
    <xdr:sp macro="" textlink="'Performance across backend'!G13">
      <xdr:nvSpPr>
        <xdr:cNvPr id="14" name="TextBox 13">
          <a:extLst>
            <a:ext uri="{FF2B5EF4-FFF2-40B4-BE49-F238E27FC236}">
              <a16:creationId xmlns:a16="http://schemas.microsoft.com/office/drawing/2014/main" id="{00000000-0008-0000-0900-00000E000000}"/>
            </a:ext>
          </a:extLst>
        </xdr:cNvPr>
        <xdr:cNvSpPr txBox="1"/>
      </xdr:nvSpPr>
      <xdr:spPr>
        <a:xfrm>
          <a:off x="4733908" y="4268612"/>
          <a:ext cx="2247899"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1307E5-2638-446F-BBDA-AD9B852A1970}" type="TxLink">
            <a:rPr lang="en-US" sz="900" b="0" i="1" u="none" strike="noStrike">
              <a:solidFill>
                <a:srgbClr val="000000"/>
              </a:solidFill>
              <a:latin typeface="Calibri"/>
              <a:cs typeface="Calibri"/>
            </a:rPr>
            <a:pPr algn="ctr"/>
            <a:t>Significant at the 1% level</a:t>
          </a:fld>
          <a:endParaRPr lang="en-US" sz="900" i="1"/>
        </a:p>
      </xdr:txBody>
    </xdr:sp>
    <xdr:clientData/>
  </xdr:twoCellAnchor>
  <xdr:twoCellAnchor>
    <xdr:from>
      <xdr:col>12</xdr:col>
      <xdr:colOff>375014</xdr:colOff>
      <xdr:row>23</xdr:row>
      <xdr:rowOff>32457</xdr:rowOff>
    </xdr:from>
    <xdr:to>
      <xdr:col>16</xdr:col>
      <xdr:colOff>184514</xdr:colOff>
      <xdr:row>24</xdr:row>
      <xdr:rowOff>71262</xdr:rowOff>
    </xdr:to>
    <xdr:sp macro="" textlink="'Performance across backend'!H13">
      <xdr:nvSpPr>
        <xdr:cNvPr id="15" name="TextBox 14">
          <a:extLst>
            <a:ext uri="{FF2B5EF4-FFF2-40B4-BE49-F238E27FC236}">
              <a16:creationId xmlns:a16="http://schemas.microsoft.com/office/drawing/2014/main" id="{00000000-0008-0000-0900-00000F000000}"/>
            </a:ext>
          </a:extLst>
        </xdr:cNvPr>
        <xdr:cNvSpPr txBox="1"/>
      </xdr:nvSpPr>
      <xdr:spPr>
        <a:xfrm>
          <a:off x="7690214" y="4267907"/>
          <a:ext cx="2247900" cy="22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B7FF7D-CEAA-4C0F-879D-DBAED845D269}" type="TxLink">
            <a:rPr lang="en-US" sz="900" b="0" i="1" u="none" strike="noStrike">
              <a:solidFill>
                <a:srgbClr val="000000"/>
              </a:solidFill>
              <a:latin typeface="Calibri"/>
              <a:cs typeface="Calibri"/>
            </a:rPr>
            <a:pPr algn="ctr"/>
            <a:t>Statistically insignificant difference</a:t>
          </a:fld>
          <a:endParaRPr lang="en-US" sz="900" i="1"/>
        </a:p>
      </xdr:txBody>
    </xdr:sp>
    <xdr:clientData/>
  </xdr:twoCellAnchor>
  <xdr:twoCellAnchor>
    <xdr:from>
      <xdr:col>2</xdr:col>
      <xdr:colOff>157335</xdr:colOff>
      <xdr:row>9</xdr:row>
      <xdr:rowOff>14112</xdr:rowOff>
    </xdr:from>
    <xdr:to>
      <xdr:col>6</xdr:col>
      <xdr:colOff>233535</xdr:colOff>
      <xdr:row>11</xdr:row>
      <xdr:rowOff>19049</xdr:rowOff>
    </xdr:to>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1376535" y="1671462"/>
          <a:ext cx="2514600" cy="373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i="1"/>
            <a:t>ANOVA test results under each graph</a:t>
          </a:r>
        </a:p>
        <a:p>
          <a:pPr algn="ctr"/>
          <a:r>
            <a:rPr lang="en-US" sz="900" i="1"/>
            <a:t>(does</a:t>
          </a:r>
          <a:r>
            <a:rPr lang="en-US" sz="900" i="1" baseline="0"/>
            <a:t> not consider selected sample)</a:t>
          </a:r>
          <a:endParaRPr lang="en-US" sz="900" i="1"/>
        </a:p>
      </xdr:txBody>
    </xdr:sp>
    <xdr:clientData/>
  </xdr:twoCellAnchor>
  <xdr:twoCellAnchor>
    <xdr:from>
      <xdr:col>8</xdr:col>
      <xdr:colOff>323850</xdr:colOff>
      <xdr:row>1</xdr:row>
      <xdr:rowOff>63500</xdr:rowOff>
    </xdr:from>
    <xdr:to>
      <xdr:col>15</xdr:col>
      <xdr:colOff>355600</xdr:colOff>
      <xdr:row>2</xdr:row>
      <xdr:rowOff>165100</xdr:rowOff>
    </xdr:to>
    <xdr:sp macro="" textlink="'Performance across backend'!K3">
      <xdr:nvSpPr>
        <xdr:cNvPr id="12" name="TextBox 11">
          <a:extLst>
            <a:ext uri="{FF2B5EF4-FFF2-40B4-BE49-F238E27FC236}">
              <a16:creationId xmlns:a16="http://schemas.microsoft.com/office/drawing/2014/main" id="{00000000-0008-0000-0900-00000C000000}"/>
            </a:ext>
          </a:extLst>
        </xdr:cNvPr>
        <xdr:cNvSpPr txBox="1"/>
      </xdr:nvSpPr>
      <xdr:spPr>
        <a:xfrm>
          <a:off x="5200650" y="247650"/>
          <a:ext cx="42989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532D71-DE10-42EB-A824-E3DD76F24943}" type="TxLink">
            <a:rPr lang="en-US" sz="1800" b="0" i="0" u="none" strike="noStrike">
              <a:solidFill>
                <a:srgbClr val="000000"/>
              </a:solidFill>
              <a:latin typeface="Calibri"/>
              <a:cs typeface="Calibri"/>
            </a:rPr>
            <a:pPr algn="ctr"/>
            <a:t>Reversibility Scores</a:t>
          </a:fld>
          <a:endParaRPr lang="en-US" sz="1800"/>
        </a:p>
      </xdr:txBody>
    </xdr:sp>
    <xdr:clientData/>
  </xdr:twoCellAnchor>
  <mc:AlternateContent xmlns:mc="http://schemas.openxmlformats.org/markup-compatibility/2006">
    <mc:Choice xmlns:a14="http://schemas.microsoft.com/office/drawing/2010/main" Requires="a14">
      <xdr:twoCellAnchor editAs="oneCell">
        <xdr:from>
          <xdr:col>2</xdr:col>
          <xdr:colOff>501650</xdr:colOff>
          <xdr:row>18</xdr:row>
          <xdr:rowOff>69850</xdr:rowOff>
        </xdr:from>
        <xdr:to>
          <xdr:col>6</xdr:col>
          <xdr:colOff>25400</xdr:colOff>
          <xdr:row>19</xdr:row>
          <xdr:rowOff>114300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D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Remove health measures from sample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457200</xdr:colOff>
          <xdr:row>11</xdr:row>
          <xdr:rowOff>146050</xdr:rowOff>
        </xdr:from>
        <xdr:to>
          <xdr:col>6</xdr:col>
          <xdr:colOff>57150</xdr:colOff>
          <xdr:row>13</xdr:row>
          <xdr:rowOff>38100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D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Add selected sample for comparison</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1</xdr:col>
      <xdr:colOff>50800</xdr:colOff>
      <xdr:row>0</xdr:row>
      <xdr:rowOff>107950</xdr:rowOff>
    </xdr:from>
    <xdr:to>
      <xdr:col>17</xdr:col>
      <xdr:colOff>463550</xdr:colOff>
      <xdr:row>21</xdr:row>
      <xdr:rowOff>82550</xdr:rowOff>
    </xdr:to>
    <xdr:sp macro="" textlink="">
      <xdr:nvSpPr>
        <xdr:cNvPr id="3" name="Rectangle 2">
          <a:extLst>
            <a:ext uri="{FF2B5EF4-FFF2-40B4-BE49-F238E27FC236}">
              <a16:creationId xmlns:a16="http://schemas.microsoft.com/office/drawing/2014/main" id="{00000000-0008-0000-0A00-000003000000}"/>
            </a:ext>
          </a:extLst>
        </xdr:cNvPr>
        <xdr:cNvSpPr/>
      </xdr:nvSpPr>
      <xdr:spPr>
        <a:xfrm>
          <a:off x="660400" y="107950"/>
          <a:ext cx="10166350" cy="3841750"/>
        </a:xfrm>
        <a:prstGeom prst="rect">
          <a:avLst/>
        </a:prstGeom>
        <a:solidFill>
          <a:sysClr val="window" lastClr="FFFFFF"/>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412750</xdr:colOff>
      <xdr:row>4</xdr:row>
      <xdr:rowOff>12700</xdr:rowOff>
    </xdr:from>
    <xdr:to>
      <xdr:col>8</xdr:col>
      <xdr:colOff>450850</xdr:colOff>
      <xdr:row>7</xdr:row>
      <xdr:rowOff>69850</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1022350" y="749300"/>
          <a:ext cx="4305300"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Policy</a:t>
          </a:r>
          <a:r>
            <a:rPr lang="en-US" sz="2400" b="1" baseline="0"/>
            <a:t> Performance Comparison</a:t>
          </a:r>
        </a:p>
      </xdr:txBody>
    </xdr:sp>
    <xdr:clientData/>
  </xdr:twoCellAnchor>
  <xdr:twoCellAnchor>
    <xdr:from>
      <xdr:col>3</xdr:col>
      <xdr:colOff>254000</xdr:colOff>
      <xdr:row>8</xdr:row>
      <xdr:rowOff>146050</xdr:rowOff>
    </xdr:from>
    <xdr:to>
      <xdr:col>6</xdr:col>
      <xdr:colOff>584200</xdr:colOff>
      <xdr:row>10</xdr:row>
      <xdr:rowOff>12700</xdr:rowOff>
    </xdr:to>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2082800" y="1619250"/>
          <a:ext cx="21590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Choose policy 1</a:t>
          </a:r>
          <a:endParaRPr lang="en-US" sz="1100" baseline="0"/>
        </a:p>
      </xdr:txBody>
    </xdr:sp>
    <xdr:clientData/>
  </xdr:twoCellAnchor>
  <xdr:twoCellAnchor>
    <xdr:from>
      <xdr:col>3</xdr:col>
      <xdr:colOff>254000</xdr:colOff>
      <xdr:row>12</xdr:row>
      <xdr:rowOff>146050</xdr:rowOff>
    </xdr:from>
    <xdr:to>
      <xdr:col>6</xdr:col>
      <xdr:colOff>584200</xdr:colOff>
      <xdr:row>14</xdr:row>
      <xdr:rowOff>12700</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2082800" y="2355850"/>
          <a:ext cx="21590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Choose policy 2</a:t>
          </a:r>
          <a:endParaRPr lang="en-US" sz="1100" baseline="0"/>
        </a:p>
      </xdr:txBody>
    </xdr:sp>
    <xdr:clientData/>
  </xdr:twoCellAnchor>
  <xdr:twoCellAnchor>
    <xdr:from>
      <xdr:col>9</xdr:col>
      <xdr:colOff>6351</xdr:colOff>
      <xdr:row>1</xdr:row>
      <xdr:rowOff>101600</xdr:rowOff>
    </xdr:from>
    <xdr:to>
      <xdr:col>17</xdr:col>
      <xdr:colOff>450851</xdr:colOff>
      <xdr:row>20</xdr:row>
      <xdr:rowOff>120650</xdr:rowOff>
    </xdr:to>
    <xdr:graphicFrame macro="">
      <xdr:nvGraphicFramePr>
        <xdr:cNvPr id="7" name="Chart 6">
          <a:extLst>
            <a:ext uri="{FF2B5EF4-FFF2-40B4-BE49-F238E27FC236}">
              <a16:creationId xmlns:a16="http://schemas.microsoft.com/office/drawing/2014/main" id="{00000000-0008-0000-0A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311150</xdr:colOff>
          <xdr:row>10</xdr:row>
          <xdr:rowOff>31750</xdr:rowOff>
        </xdr:from>
        <xdr:to>
          <xdr:col>8</xdr:col>
          <xdr:colOff>565150</xdr:colOff>
          <xdr:row>11</xdr:row>
          <xdr:rowOff>63500</xdr:rowOff>
        </xdr:to>
        <xdr:sp macro="" textlink="">
          <xdr:nvSpPr>
            <xdr:cNvPr id="16385" name="Drop Down 1" hidden="1">
              <a:extLst>
                <a:ext uri="{63B3BB69-23CF-44E3-9099-C40C66FF867C}">
                  <a14:compatExt spid="_x0000_s16385"/>
                </a:ext>
                <a:ext uri="{FF2B5EF4-FFF2-40B4-BE49-F238E27FC236}">
                  <a16:creationId xmlns:a16="http://schemas.microsoft.com/office/drawing/2014/main" id="{00000000-0008-0000-0E00-000001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14</xdr:row>
          <xdr:rowOff>31750</xdr:rowOff>
        </xdr:from>
        <xdr:to>
          <xdr:col>8</xdr:col>
          <xdr:colOff>577850</xdr:colOff>
          <xdr:row>15</xdr:row>
          <xdr:rowOff>63500</xdr:rowOff>
        </xdr:to>
        <xdr:sp macro="" textlink="">
          <xdr:nvSpPr>
            <xdr:cNvPr id="16386" name="Drop Down 2" hidden="1">
              <a:extLst>
                <a:ext uri="{63B3BB69-23CF-44E3-9099-C40C66FF867C}">
                  <a14:compatExt spid="_x0000_s16386"/>
                </a:ext>
                <a:ext uri="{FF2B5EF4-FFF2-40B4-BE49-F238E27FC236}">
                  <a16:creationId xmlns:a16="http://schemas.microsoft.com/office/drawing/2014/main" id="{00000000-0008-0000-0E00-000002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16</xdr:row>
          <xdr:rowOff>82550</xdr:rowOff>
        </xdr:from>
        <xdr:to>
          <xdr:col>6</xdr:col>
          <xdr:colOff>254000</xdr:colOff>
          <xdr:row>17</xdr:row>
          <xdr:rowOff>165100</xdr:rowOff>
        </xdr:to>
        <xdr:sp macro="" textlink="">
          <xdr:nvSpPr>
            <xdr:cNvPr id="16387" name="Check Box 3" hidden="1">
              <a:extLst>
                <a:ext uri="{63B3BB69-23CF-44E3-9099-C40C66FF867C}">
                  <a14:compatExt spid="_x0000_s16387"/>
                </a:ext>
                <a:ext uri="{FF2B5EF4-FFF2-40B4-BE49-F238E27FC236}">
                  <a16:creationId xmlns:a16="http://schemas.microsoft.com/office/drawing/2014/main" id="{00000000-0008-0000-0E00-00000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Restrict to selected sample</a:t>
              </a:r>
            </a:p>
          </xdr:txBody>
        </xdr:sp>
        <xdr:clientData/>
      </xdr:twoCellAnchor>
    </mc:Choice>
    <mc:Fallback/>
  </mc:AlternateContent>
  <xdr:twoCellAnchor>
    <xdr:from>
      <xdr:col>2</xdr:col>
      <xdr:colOff>139700</xdr:colOff>
      <xdr:row>17</xdr:row>
      <xdr:rowOff>101600</xdr:rowOff>
    </xdr:from>
    <xdr:to>
      <xdr:col>8</xdr:col>
      <xdr:colOff>133351</xdr:colOff>
      <xdr:row>20</xdr:row>
      <xdr:rowOff>57150</xdr:rowOff>
    </xdr:to>
    <xdr:sp macro="" textlink="'Sample Select backend'!C18">
      <xdr:nvSpPr>
        <xdr:cNvPr id="4" name="TextBox 3">
          <a:extLst>
            <a:ext uri="{FF2B5EF4-FFF2-40B4-BE49-F238E27FC236}">
              <a16:creationId xmlns:a16="http://schemas.microsoft.com/office/drawing/2014/main" id="{00000000-0008-0000-0A00-000004000000}"/>
            </a:ext>
          </a:extLst>
        </xdr:cNvPr>
        <xdr:cNvSpPr txBox="1"/>
      </xdr:nvSpPr>
      <xdr:spPr>
        <a:xfrm>
          <a:off x="1358900" y="3232150"/>
          <a:ext cx="3651251"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53759C-D1E1-4B7D-A633-DC0BEFF0C18B}" type="TxLink">
            <a:rPr lang="en-US" sz="900" b="0" i="1" u="none" strike="noStrike">
              <a:solidFill>
                <a:srgbClr val="000000"/>
              </a:solidFill>
              <a:latin typeface="Calibri"/>
              <a:cs typeface="Calibri"/>
            </a:rPr>
            <a:pPr algn="ctr"/>
            <a:t>#N/A</a:t>
          </a:fld>
          <a:endParaRPr lang="en-US" sz="900" i="1"/>
        </a:p>
      </xdr:txBody>
    </xdr:sp>
    <xdr:clientData/>
  </xdr:twoCellAnchor>
  <xdr:twoCellAnchor>
    <xdr:from>
      <xdr:col>10</xdr:col>
      <xdr:colOff>184152</xdr:colOff>
      <xdr:row>1</xdr:row>
      <xdr:rowOff>114300</xdr:rowOff>
    </xdr:from>
    <xdr:to>
      <xdr:col>16</xdr:col>
      <xdr:colOff>273051</xdr:colOff>
      <xdr:row>3</xdr:row>
      <xdr:rowOff>127000</xdr:rowOff>
    </xdr:to>
    <xdr:sp macro="" textlink="'Perf. across Policies backend'!$L$18">
      <xdr:nvSpPr>
        <xdr:cNvPr id="8" name="TextBox 7">
          <a:extLst>
            <a:ext uri="{FF2B5EF4-FFF2-40B4-BE49-F238E27FC236}">
              <a16:creationId xmlns:a16="http://schemas.microsoft.com/office/drawing/2014/main" id="{00000000-0008-0000-0A00-000008000000}"/>
            </a:ext>
          </a:extLst>
        </xdr:cNvPr>
        <xdr:cNvSpPr txBox="1"/>
      </xdr:nvSpPr>
      <xdr:spPr>
        <a:xfrm>
          <a:off x="6280152" y="298450"/>
          <a:ext cx="374649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3B2869-9F68-40AC-ABE1-4F30480C1218}" type="TxLink">
            <a:rPr lang="en-US" sz="1600" b="1" i="0" u="none" strike="noStrike">
              <a:solidFill>
                <a:srgbClr val="000000"/>
              </a:solidFill>
              <a:latin typeface="Calibri"/>
              <a:cs typeface="Calibri"/>
            </a:rPr>
            <a:pPr algn="ctr"/>
            <a:t>Performance for the Selected Sample</a:t>
          </a:fld>
          <a:endParaRPr lang="en-US" sz="1600" b="1"/>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9.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trlProp" Target="../ctrlProps/ctrlProp8.xml"/><Relationship Id="rId5" Type="http://schemas.openxmlformats.org/officeDocument/2006/relationships/ctrlProp" Target="../ctrlProps/ctrlProp7.xml"/><Relationship Id="rId4" Type="http://schemas.openxmlformats.org/officeDocument/2006/relationships/ctrlProp" Target="../ctrlProps/ctrlProp6.xml"/></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4.xml"/><Relationship Id="rId3" Type="http://schemas.openxmlformats.org/officeDocument/2006/relationships/vmlDrawing" Target="../drawings/vmlDrawing3.vml"/><Relationship Id="rId7" Type="http://schemas.openxmlformats.org/officeDocument/2006/relationships/ctrlProp" Target="../ctrlProps/ctrlProp13.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ctrlProp" Target="../ctrlProps/ctrlProp12.xml"/><Relationship Id="rId5" Type="http://schemas.openxmlformats.org/officeDocument/2006/relationships/ctrlProp" Target="../ctrlProps/ctrlProp11.xml"/><Relationship Id="rId4" Type="http://schemas.openxmlformats.org/officeDocument/2006/relationships/ctrlProp" Target="../ctrlProps/ctrlProp10.xml"/><Relationship Id="rId9" Type="http://schemas.openxmlformats.org/officeDocument/2006/relationships/ctrlProp" Target="../ctrlProps/ctrlProp1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9.bin"/><Relationship Id="rId6" Type="http://schemas.openxmlformats.org/officeDocument/2006/relationships/ctrlProp" Target="../ctrlProps/ctrlProp18.xml"/><Relationship Id="rId5" Type="http://schemas.openxmlformats.org/officeDocument/2006/relationships/ctrlProp" Target="../ctrlProps/ctrlProp17.xml"/><Relationship Id="rId4" Type="http://schemas.openxmlformats.org/officeDocument/2006/relationships/ctrlProp" Target="../ctrlProps/ctrlProp16.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10.bin"/><Relationship Id="rId6" Type="http://schemas.openxmlformats.org/officeDocument/2006/relationships/ctrlProp" Target="../ctrlProps/ctrlProp21.xml"/><Relationship Id="rId5" Type="http://schemas.openxmlformats.org/officeDocument/2006/relationships/ctrlProp" Target="../ctrlProps/ctrlProp20.xml"/><Relationship Id="rId4" Type="http://schemas.openxmlformats.org/officeDocument/2006/relationships/ctrlProp" Target="../ctrlProps/ctrlProp19.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688"/>
  <sheetViews>
    <sheetView tabSelected="1" topLeftCell="A1592" zoomScaleNormal="100" workbookViewId="0">
      <pane xSplit="2" topLeftCell="C1" activePane="topRight" state="frozen"/>
      <selection activeCell="A2" sqref="A2"/>
      <selection pane="topRight" activeCell="L1627" sqref="L1627"/>
    </sheetView>
  </sheetViews>
  <sheetFormatPr defaultColWidth="8.7265625" defaultRowHeight="14.5" x14ac:dyDescent="0.35"/>
  <cols>
    <col min="1" max="1" width="11" style="9" customWidth="1"/>
    <col min="2" max="2" width="18.453125" style="9" customWidth="1"/>
    <col min="3" max="3" width="13.26953125" style="9" customWidth="1"/>
    <col min="4" max="4" width="11.08984375" style="9" customWidth="1"/>
    <col min="5" max="5" width="12.7265625" style="9" customWidth="1"/>
    <col min="6" max="6" width="8.1796875" style="9" customWidth="1"/>
    <col min="7" max="7" width="13.54296875" style="9" customWidth="1"/>
    <col min="8" max="8" width="6.54296875" style="9" customWidth="1"/>
    <col min="9" max="9" width="9.453125" style="9" customWidth="1"/>
    <col min="10" max="10" width="7.08984375" style="9" customWidth="1"/>
    <col min="11" max="11" width="9.81640625" style="9" customWidth="1"/>
    <col min="12" max="12" width="152.26953125" style="50" customWidth="1"/>
    <col min="13" max="13" width="130.90625" hidden="1" customWidth="1"/>
    <col min="14" max="14" width="38.453125" hidden="1" customWidth="1"/>
    <col min="15" max="15" width="29.36328125" hidden="1" customWidth="1"/>
    <col min="16" max="16" width="33" hidden="1" customWidth="1"/>
    <col min="17" max="17" width="30.26953125" hidden="1" customWidth="1"/>
    <col min="18" max="18" width="22.6328125" hidden="1" customWidth="1"/>
    <col min="19" max="19" width="22.26953125" hidden="1" customWidth="1"/>
    <col min="20" max="20" width="28.81640625" customWidth="1"/>
    <col min="21" max="21" width="22.90625" customWidth="1"/>
    <col min="22" max="22" width="16.54296875" customWidth="1"/>
    <col min="23" max="23" width="24.81640625" hidden="1" customWidth="1"/>
    <col min="24" max="24" width="28.6328125" hidden="1" customWidth="1"/>
    <col min="25" max="25" width="23.7265625" hidden="1" customWidth="1"/>
    <col min="26" max="26" width="29.90625" hidden="1" customWidth="1"/>
    <col min="27" max="27" width="31" customWidth="1"/>
    <col min="28" max="28" width="17.453125" customWidth="1"/>
    <col min="29" max="29" width="24.54296875" customWidth="1"/>
    <col min="30" max="30" width="24.453125" customWidth="1"/>
    <col min="31" max="31" width="30.7265625" customWidth="1"/>
    <col min="32" max="32" width="24" customWidth="1"/>
    <col min="33" max="33" width="28.90625" customWidth="1"/>
    <col min="34" max="34" width="20.08984375" customWidth="1"/>
    <col min="35" max="35" width="35.7265625" customWidth="1"/>
    <col min="36" max="36" width="41.08984375" hidden="1" customWidth="1"/>
    <col min="37" max="37" width="49.90625" hidden="1" customWidth="1"/>
    <col min="38" max="38" width="0" hidden="1" customWidth="1"/>
  </cols>
  <sheetData>
    <row r="1" spans="1:40" x14ac:dyDescent="0.35">
      <c r="A1" s="9" t="s">
        <v>1636</v>
      </c>
      <c r="B1" s="9" t="s">
        <v>0</v>
      </c>
      <c r="C1" s="9" t="s">
        <v>1758</v>
      </c>
      <c r="D1" s="9" t="s">
        <v>1759</v>
      </c>
      <c r="E1" s="9" t="s">
        <v>1760</v>
      </c>
      <c r="F1" s="9" t="s">
        <v>1768</v>
      </c>
      <c r="G1" s="9" t="s">
        <v>1761</v>
      </c>
      <c r="H1" s="9" t="s">
        <v>1909</v>
      </c>
      <c r="I1" s="9" t="s">
        <v>1636</v>
      </c>
      <c r="J1" s="9" t="s">
        <v>200</v>
      </c>
      <c r="K1" s="9" t="s">
        <v>203</v>
      </c>
      <c r="L1" s="50" t="s">
        <v>208</v>
      </c>
      <c r="M1" t="s">
        <v>940</v>
      </c>
      <c r="N1" t="s">
        <v>941</v>
      </c>
      <c r="O1" t="s">
        <v>942</v>
      </c>
      <c r="P1" t="s">
        <v>943</v>
      </c>
      <c r="Q1" t="s">
        <v>944</v>
      </c>
      <c r="R1" t="s">
        <v>945</v>
      </c>
      <c r="S1" t="s">
        <v>946</v>
      </c>
      <c r="T1" t="s">
        <v>947</v>
      </c>
      <c r="U1" t="s">
        <v>948</v>
      </c>
      <c r="V1" t="s">
        <v>949</v>
      </c>
      <c r="W1" t="s">
        <v>988</v>
      </c>
      <c r="X1" t="s">
        <v>996</v>
      </c>
      <c r="Y1" t="s">
        <v>999</v>
      </c>
      <c r="Z1" t="s">
        <v>1004</v>
      </c>
      <c r="AA1" t="s">
        <v>1006</v>
      </c>
      <c r="AB1" t="s">
        <v>1007</v>
      </c>
      <c r="AC1" t="s">
        <v>1008</v>
      </c>
      <c r="AD1" t="s">
        <v>1009</v>
      </c>
      <c r="AE1" t="s">
        <v>1010</v>
      </c>
      <c r="AF1" s="9" t="s">
        <v>1011</v>
      </c>
      <c r="AG1" s="9" t="s">
        <v>1012</v>
      </c>
      <c r="AH1" s="9" t="s">
        <v>1013</v>
      </c>
      <c r="AI1" t="s">
        <v>1014</v>
      </c>
      <c r="AJ1" s="9" t="s">
        <v>1158</v>
      </c>
      <c r="AK1" s="9" t="s">
        <v>1159</v>
      </c>
      <c r="AL1" s="9" t="s">
        <v>1611</v>
      </c>
      <c r="AM1" s="9"/>
      <c r="AN1" s="9"/>
    </row>
    <row r="2" spans="1:40" x14ac:dyDescent="0.35">
      <c r="A2" s="9">
        <v>1</v>
      </c>
      <c r="B2" s="9" t="s">
        <v>11</v>
      </c>
      <c r="C2" s="53">
        <v>43855</v>
      </c>
      <c r="D2" s="53">
        <v>43919</v>
      </c>
      <c r="E2" s="53">
        <v>43951</v>
      </c>
      <c r="F2" s="21">
        <f>DATEDIF(D2,E2,"D")</f>
        <v>32</v>
      </c>
      <c r="G2" s="53">
        <v>43919</v>
      </c>
      <c r="H2" s="9">
        <v>2020</v>
      </c>
      <c r="I2" s="9">
        <v>1</v>
      </c>
      <c r="J2" s="9">
        <v>6</v>
      </c>
      <c r="K2" s="9">
        <v>27</v>
      </c>
      <c r="L2" s="50" t="s">
        <v>221</v>
      </c>
      <c r="M2">
        <v>1</v>
      </c>
      <c r="N2">
        <v>1</v>
      </c>
      <c r="O2">
        <v>1</v>
      </c>
      <c r="P2">
        <v>-1</v>
      </c>
      <c r="Q2">
        <v>1</v>
      </c>
      <c r="R2">
        <v>1</v>
      </c>
      <c r="S2">
        <v>1</v>
      </c>
      <c r="T2">
        <v>1</v>
      </c>
      <c r="U2">
        <v>1</v>
      </c>
      <c r="V2" t="s">
        <v>950</v>
      </c>
      <c r="W2" t="s">
        <v>994</v>
      </c>
      <c r="X2" t="s">
        <v>997</v>
      </c>
      <c r="Y2" t="s">
        <v>1000</v>
      </c>
      <c r="Z2">
        <v>1</v>
      </c>
      <c r="AA2">
        <f t="shared" ref="AA2:AA23" si="0">IF(M2&gt;0,1,IF(M2&lt;0,0,-1))</f>
        <v>1</v>
      </c>
      <c r="AB2">
        <f t="shared" ref="AB2:AB23" si="1">IF(N2&gt;0,1,IF(N2&lt;0,0,-1))</f>
        <v>1</v>
      </c>
      <c r="AC2">
        <f t="shared" ref="AC2:AC23" si="2">IF(O2&gt;0,1,IF(O2&lt;0,0,-1))</f>
        <v>1</v>
      </c>
      <c r="AD2">
        <f t="shared" ref="AD2:AD23" si="3">IF(P2&gt;0,1,IF(P2&lt;0,0,-1))</f>
        <v>0</v>
      </c>
      <c r="AE2">
        <f t="shared" ref="AE2:AE23" si="4">IF(Q2&gt;0,1,IF(Q2&lt;0,0,-1))</f>
        <v>1</v>
      </c>
      <c r="AF2">
        <f t="shared" ref="AF2:AF23" si="5">IF(R2&gt;0,1,IF(R2&lt;0,0,-1))</f>
        <v>1</v>
      </c>
      <c r="AG2">
        <f t="shared" ref="AG2:AG23" si="6">IF(S2&gt;0,1,IF(S2&lt;0,0,-1))</f>
        <v>1</v>
      </c>
      <c r="AH2">
        <f t="shared" ref="AH2:AH23" si="7">IF(T2&gt;0,1,IF(T2&lt;0,0,-1))</f>
        <v>1</v>
      </c>
      <c r="AI2">
        <f t="shared" ref="AI2:AI23" si="8">IF(U2&gt;0,1,IF(U2&lt;0,0,-1))</f>
        <v>1</v>
      </c>
      <c r="AJ2" s="9">
        <f t="shared" ref="AJ2:AJ61" si="9">IF(ISNUMBER(K2),K2,IF(OR(K2="general",K2="23;general"),"General",IF(OR(K2="exemption",K2="other (exemption)"),"Tax exemption/waiver/suspension","Other")))</f>
        <v>27</v>
      </c>
      <c r="AK2" t="e">
        <f>IF(B2&lt;&gt;#REF!,1,0)</f>
        <v>#REF!</v>
      </c>
      <c r="AL2" s="9">
        <v>1</v>
      </c>
    </row>
    <row r="3" spans="1:40" x14ac:dyDescent="0.35">
      <c r="A3" s="9">
        <v>1</v>
      </c>
      <c r="B3" s="9" t="s">
        <v>11</v>
      </c>
      <c r="C3" s="53">
        <v>43855</v>
      </c>
      <c r="D3" s="53">
        <v>43919</v>
      </c>
      <c r="E3" s="53">
        <v>43951</v>
      </c>
      <c r="F3" s="21">
        <f t="shared" ref="F3:F69" si="10">DATEDIF(D3,E3,"D")</f>
        <v>32</v>
      </c>
      <c r="G3" s="53">
        <v>43919</v>
      </c>
      <c r="H3" s="9">
        <v>2020</v>
      </c>
      <c r="I3" s="9">
        <v>1</v>
      </c>
      <c r="J3" s="9">
        <v>1</v>
      </c>
      <c r="K3" s="9">
        <v>9</v>
      </c>
      <c r="L3" s="50" t="s">
        <v>227</v>
      </c>
      <c r="M3">
        <v>-2</v>
      </c>
      <c r="N3">
        <v>1</v>
      </c>
      <c r="O3">
        <v>2</v>
      </c>
      <c r="P3">
        <v>1</v>
      </c>
      <c r="Q3">
        <v>2</v>
      </c>
      <c r="R3">
        <v>-2</v>
      </c>
      <c r="S3">
        <v>-2</v>
      </c>
      <c r="T3">
        <v>2</v>
      </c>
      <c r="U3">
        <v>1</v>
      </c>
      <c r="V3" t="s">
        <v>950</v>
      </c>
      <c r="W3" t="s">
        <v>994</v>
      </c>
      <c r="X3" t="s">
        <v>997</v>
      </c>
      <c r="Y3" t="s">
        <v>1000</v>
      </c>
      <c r="Z3">
        <v>1</v>
      </c>
      <c r="AA3">
        <f t="shared" si="0"/>
        <v>0</v>
      </c>
      <c r="AB3">
        <f t="shared" si="1"/>
        <v>1</v>
      </c>
      <c r="AC3">
        <f t="shared" si="2"/>
        <v>1</v>
      </c>
      <c r="AD3">
        <f t="shared" si="3"/>
        <v>1</v>
      </c>
      <c r="AE3">
        <f t="shared" si="4"/>
        <v>1</v>
      </c>
      <c r="AF3">
        <f t="shared" si="5"/>
        <v>0</v>
      </c>
      <c r="AG3">
        <f t="shared" si="6"/>
        <v>0</v>
      </c>
      <c r="AH3">
        <f t="shared" si="7"/>
        <v>1</v>
      </c>
      <c r="AI3">
        <f t="shared" si="8"/>
        <v>1</v>
      </c>
      <c r="AJ3" s="9">
        <f t="shared" si="9"/>
        <v>9</v>
      </c>
      <c r="AK3">
        <f t="shared" ref="AK3:AK61" si="11">IF(B3&lt;&gt;B2,1,0)</f>
        <v>0</v>
      </c>
      <c r="AL3" s="9">
        <v>1</v>
      </c>
    </row>
    <row r="4" spans="1:40" x14ac:dyDescent="0.35">
      <c r="A4" s="9">
        <v>1</v>
      </c>
      <c r="B4" s="9" t="s">
        <v>11</v>
      </c>
      <c r="C4" s="53">
        <v>43855</v>
      </c>
      <c r="D4" s="53">
        <v>43919</v>
      </c>
      <c r="E4" s="53">
        <v>43951</v>
      </c>
      <c r="F4" s="21">
        <f t="shared" si="10"/>
        <v>32</v>
      </c>
      <c r="G4" s="53">
        <v>43919</v>
      </c>
      <c r="H4" s="9">
        <v>2020</v>
      </c>
      <c r="I4" s="9">
        <v>1</v>
      </c>
      <c r="J4" s="9">
        <v>6</v>
      </c>
      <c r="K4" s="9">
        <v>27</v>
      </c>
      <c r="L4" s="50" t="s">
        <v>224</v>
      </c>
      <c r="M4">
        <v>1</v>
      </c>
      <c r="N4">
        <v>1</v>
      </c>
      <c r="R4">
        <v>-2</v>
      </c>
      <c r="S4">
        <v>1</v>
      </c>
      <c r="T4">
        <v>2</v>
      </c>
      <c r="U4">
        <v>1</v>
      </c>
      <c r="V4" t="s">
        <v>950</v>
      </c>
      <c r="W4" t="s">
        <v>994</v>
      </c>
      <c r="X4" t="s">
        <v>997</v>
      </c>
      <c r="Y4" t="s">
        <v>1000</v>
      </c>
      <c r="Z4">
        <v>1</v>
      </c>
      <c r="AA4">
        <f t="shared" si="0"/>
        <v>1</v>
      </c>
      <c r="AB4">
        <f t="shared" si="1"/>
        <v>1</v>
      </c>
      <c r="AC4">
        <f t="shared" si="2"/>
        <v>-1</v>
      </c>
      <c r="AD4">
        <f t="shared" si="3"/>
        <v>-1</v>
      </c>
      <c r="AE4">
        <f t="shared" si="4"/>
        <v>-1</v>
      </c>
      <c r="AF4">
        <f t="shared" si="5"/>
        <v>0</v>
      </c>
      <c r="AG4">
        <f t="shared" si="6"/>
        <v>1</v>
      </c>
      <c r="AH4">
        <f t="shared" si="7"/>
        <v>1</v>
      </c>
      <c r="AI4">
        <f t="shared" si="8"/>
        <v>1</v>
      </c>
      <c r="AJ4" s="9">
        <f t="shared" si="9"/>
        <v>27</v>
      </c>
      <c r="AK4">
        <f t="shared" si="11"/>
        <v>0</v>
      </c>
      <c r="AL4" s="9">
        <v>1</v>
      </c>
    </row>
    <row r="5" spans="1:40" x14ac:dyDescent="0.35">
      <c r="A5" s="9">
        <v>1</v>
      </c>
      <c r="B5" s="9" t="s">
        <v>11</v>
      </c>
      <c r="C5" s="53">
        <v>43855</v>
      </c>
      <c r="D5" s="53">
        <v>43919</v>
      </c>
      <c r="E5" s="53">
        <v>43951</v>
      </c>
      <c r="F5" s="21">
        <f t="shared" si="10"/>
        <v>32</v>
      </c>
      <c r="G5" s="53">
        <v>43919</v>
      </c>
      <c r="H5" s="9">
        <v>2020</v>
      </c>
      <c r="I5" s="9">
        <v>1</v>
      </c>
      <c r="J5" s="9">
        <v>6</v>
      </c>
      <c r="K5" s="9">
        <v>25</v>
      </c>
      <c r="L5" s="50" t="s">
        <v>217</v>
      </c>
      <c r="M5">
        <v>1</v>
      </c>
      <c r="N5">
        <v>1</v>
      </c>
      <c r="O5">
        <v>-2</v>
      </c>
      <c r="P5">
        <v>-1</v>
      </c>
      <c r="Q5">
        <v>2</v>
      </c>
      <c r="R5">
        <v>1</v>
      </c>
      <c r="S5">
        <v>1</v>
      </c>
      <c r="T5">
        <v>-2</v>
      </c>
      <c r="U5">
        <v>1</v>
      </c>
      <c r="V5" t="s">
        <v>950</v>
      </c>
      <c r="W5" t="s">
        <v>994</v>
      </c>
      <c r="X5" t="s">
        <v>997</v>
      </c>
      <c r="Y5" t="s">
        <v>1000</v>
      </c>
      <c r="Z5">
        <v>1</v>
      </c>
      <c r="AA5">
        <f t="shared" si="0"/>
        <v>1</v>
      </c>
      <c r="AB5">
        <f t="shared" si="1"/>
        <v>1</v>
      </c>
      <c r="AC5">
        <f t="shared" si="2"/>
        <v>0</v>
      </c>
      <c r="AD5">
        <f t="shared" si="3"/>
        <v>0</v>
      </c>
      <c r="AE5">
        <f t="shared" si="4"/>
        <v>1</v>
      </c>
      <c r="AF5">
        <f t="shared" si="5"/>
        <v>1</v>
      </c>
      <c r="AG5">
        <f t="shared" si="6"/>
        <v>1</v>
      </c>
      <c r="AH5">
        <f t="shared" si="7"/>
        <v>0</v>
      </c>
      <c r="AI5">
        <f t="shared" si="8"/>
        <v>1</v>
      </c>
      <c r="AJ5" s="9">
        <f t="shared" si="9"/>
        <v>25</v>
      </c>
      <c r="AK5">
        <f t="shared" si="11"/>
        <v>0</v>
      </c>
      <c r="AL5" s="9">
        <v>1</v>
      </c>
    </row>
    <row r="6" spans="1:40" x14ac:dyDescent="0.35">
      <c r="A6" s="9">
        <v>1</v>
      </c>
      <c r="B6" s="9" t="s">
        <v>11</v>
      </c>
      <c r="C6" s="53">
        <v>43855</v>
      </c>
      <c r="D6" s="53">
        <v>43919</v>
      </c>
      <c r="E6" s="53">
        <v>43951</v>
      </c>
      <c r="F6" s="21">
        <f t="shared" si="10"/>
        <v>32</v>
      </c>
      <c r="G6" s="53">
        <v>43919</v>
      </c>
      <c r="H6" s="9">
        <v>2020</v>
      </c>
      <c r="I6" s="9">
        <v>1</v>
      </c>
      <c r="J6" s="9">
        <v>7</v>
      </c>
      <c r="K6" s="9">
        <v>30</v>
      </c>
      <c r="L6" s="50" t="s">
        <v>223</v>
      </c>
      <c r="M6">
        <v>2</v>
      </c>
      <c r="N6">
        <v>1</v>
      </c>
      <c r="O6">
        <v>1</v>
      </c>
      <c r="P6">
        <v>1</v>
      </c>
      <c r="Q6">
        <v>2</v>
      </c>
      <c r="R6">
        <v>2</v>
      </c>
      <c r="S6">
        <v>1</v>
      </c>
      <c r="T6">
        <v>-1</v>
      </c>
      <c r="U6">
        <v>1</v>
      </c>
      <c r="V6" t="s">
        <v>950</v>
      </c>
      <c r="W6" t="s">
        <v>994</v>
      </c>
      <c r="X6" t="s">
        <v>997</v>
      </c>
      <c r="Y6" t="s">
        <v>1000</v>
      </c>
      <c r="Z6">
        <v>1</v>
      </c>
      <c r="AA6">
        <f t="shared" si="0"/>
        <v>1</v>
      </c>
      <c r="AB6">
        <f t="shared" si="1"/>
        <v>1</v>
      </c>
      <c r="AC6">
        <f t="shared" si="2"/>
        <v>1</v>
      </c>
      <c r="AD6">
        <f t="shared" si="3"/>
        <v>1</v>
      </c>
      <c r="AE6">
        <f t="shared" si="4"/>
        <v>1</v>
      </c>
      <c r="AF6">
        <f t="shared" si="5"/>
        <v>1</v>
      </c>
      <c r="AG6">
        <f t="shared" si="6"/>
        <v>1</v>
      </c>
      <c r="AH6">
        <f t="shared" si="7"/>
        <v>0</v>
      </c>
      <c r="AI6">
        <f t="shared" si="8"/>
        <v>1</v>
      </c>
      <c r="AJ6" s="9">
        <f t="shared" si="9"/>
        <v>30</v>
      </c>
      <c r="AK6">
        <f t="shared" si="11"/>
        <v>0</v>
      </c>
      <c r="AL6" s="9">
        <v>1</v>
      </c>
    </row>
    <row r="7" spans="1:40" x14ac:dyDescent="0.35">
      <c r="A7" s="9">
        <v>1</v>
      </c>
      <c r="B7" s="9" t="s">
        <v>11</v>
      </c>
      <c r="C7" s="53">
        <v>43855</v>
      </c>
      <c r="D7" s="53">
        <v>43919</v>
      </c>
      <c r="E7" s="53">
        <v>43951</v>
      </c>
      <c r="F7" s="21">
        <f t="shared" si="10"/>
        <v>32</v>
      </c>
      <c r="G7" s="53">
        <v>43919</v>
      </c>
      <c r="H7" s="9">
        <v>2020</v>
      </c>
      <c r="I7" s="9">
        <v>1</v>
      </c>
      <c r="J7" s="9">
        <v>5</v>
      </c>
      <c r="K7" s="9">
        <v>23</v>
      </c>
      <c r="L7" s="50" t="s">
        <v>228</v>
      </c>
      <c r="M7">
        <v>1</v>
      </c>
      <c r="N7">
        <v>-1</v>
      </c>
      <c r="O7">
        <v>-2</v>
      </c>
      <c r="P7">
        <v>-1</v>
      </c>
      <c r="Q7">
        <v>-2</v>
      </c>
      <c r="R7">
        <v>1</v>
      </c>
      <c r="S7">
        <v>1</v>
      </c>
      <c r="T7">
        <v>1</v>
      </c>
      <c r="U7">
        <v>1</v>
      </c>
      <c r="V7" t="s">
        <v>950</v>
      </c>
      <c r="W7" t="s">
        <v>994</v>
      </c>
      <c r="X7" t="s">
        <v>997</v>
      </c>
      <c r="Y7" t="s">
        <v>1000</v>
      </c>
      <c r="Z7">
        <v>1</v>
      </c>
      <c r="AA7">
        <f t="shared" si="0"/>
        <v>1</v>
      </c>
      <c r="AB7">
        <f t="shared" si="1"/>
        <v>0</v>
      </c>
      <c r="AC7">
        <f t="shared" si="2"/>
        <v>0</v>
      </c>
      <c r="AD7">
        <f t="shared" si="3"/>
        <v>0</v>
      </c>
      <c r="AE7">
        <f t="shared" si="4"/>
        <v>0</v>
      </c>
      <c r="AF7">
        <f t="shared" si="5"/>
        <v>1</v>
      </c>
      <c r="AG7">
        <f t="shared" si="6"/>
        <v>1</v>
      </c>
      <c r="AH7">
        <f t="shared" si="7"/>
        <v>1</v>
      </c>
      <c r="AI7">
        <f t="shared" si="8"/>
        <v>1</v>
      </c>
      <c r="AJ7" s="9">
        <f t="shared" si="9"/>
        <v>23</v>
      </c>
      <c r="AK7">
        <f t="shared" si="11"/>
        <v>0</v>
      </c>
      <c r="AL7" s="9">
        <v>1</v>
      </c>
    </row>
    <row r="8" spans="1:40" x14ac:dyDescent="0.35">
      <c r="A8" s="9">
        <v>1</v>
      </c>
      <c r="B8" s="9" t="s">
        <v>11</v>
      </c>
      <c r="C8" s="53">
        <v>43855</v>
      </c>
      <c r="D8" s="53">
        <v>43919</v>
      </c>
      <c r="E8" s="53">
        <v>43951</v>
      </c>
      <c r="F8" s="21">
        <f t="shared" si="10"/>
        <v>32</v>
      </c>
      <c r="G8" s="53">
        <v>43919</v>
      </c>
      <c r="H8" s="9">
        <v>2020</v>
      </c>
      <c r="I8" s="9">
        <v>1</v>
      </c>
      <c r="J8" s="9">
        <v>2</v>
      </c>
      <c r="K8" s="9">
        <v>17</v>
      </c>
      <c r="L8" s="50" t="s">
        <v>236</v>
      </c>
      <c r="M8">
        <v>-2</v>
      </c>
      <c r="O8">
        <v>-2</v>
      </c>
      <c r="P8">
        <v>-1</v>
      </c>
      <c r="Q8">
        <v>2</v>
      </c>
      <c r="R8">
        <v>2</v>
      </c>
      <c r="S8">
        <v>1</v>
      </c>
      <c r="T8">
        <v>-2</v>
      </c>
      <c r="U8">
        <v>1</v>
      </c>
      <c r="V8" t="s">
        <v>950</v>
      </c>
      <c r="W8" t="s">
        <v>994</v>
      </c>
      <c r="X8" t="s">
        <v>997</v>
      </c>
      <c r="Y8" t="s">
        <v>1000</v>
      </c>
      <c r="Z8">
        <v>1</v>
      </c>
      <c r="AA8">
        <f t="shared" si="0"/>
        <v>0</v>
      </c>
      <c r="AB8">
        <f t="shared" si="1"/>
        <v>-1</v>
      </c>
      <c r="AC8">
        <f t="shared" si="2"/>
        <v>0</v>
      </c>
      <c r="AD8">
        <f t="shared" si="3"/>
        <v>0</v>
      </c>
      <c r="AE8">
        <f t="shared" si="4"/>
        <v>1</v>
      </c>
      <c r="AF8">
        <f t="shared" si="5"/>
        <v>1</v>
      </c>
      <c r="AG8">
        <f t="shared" si="6"/>
        <v>1</v>
      </c>
      <c r="AH8">
        <f t="shared" si="7"/>
        <v>0</v>
      </c>
      <c r="AI8">
        <f t="shared" si="8"/>
        <v>1</v>
      </c>
      <c r="AJ8" s="9">
        <f t="shared" si="9"/>
        <v>17</v>
      </c>
      <c r="AK8">
        <f t="shared" si="11"/>
        <v>0</v>
      </c>
      <c r="AL8" s="9">
        <v>1</v>
      </c>
    </row>
    <row r="9" spans="1:40" x14ac:dyDescent="0.35">
      <c r="A9" s="9">
        <v>1</v>
      </c>
      <c r="B9" s="9" t="s">
        <v>11</v>
      </c>
      <c r="C9" s="53">
        <v>43855</v>
      </c>
      <c r="D9" s="53">
        <v>43919</v>
      </c>
      <c r="E9" s="53">
        <v>43951</v>
      </c>
      <c r="F9" s="21">
        <f t="shared" si="10"/>
        <v>32</v>
      </c>
      <c r="G9" s="53">
        <v>43919</v>
      </c>
      <c r="H9" s="9">
        <v>2020</v>
      </c>
      <c r="I9" s="9">
        <v>1</v>
      </c>
      <c r="J9" s="9">
        <v>6</v>
      </c>
      <c r="K9" s="9">
        <v>25</v>
      </c>
      <c r="L9" s="50" t="s">
        <v>222</v>
      </c>
      <c r="M9">
        <v>1</v>
      </c>
      <c r="N9">
        <v>1</v>
      </c>
      <c r="O9">
        <v>2</v>
      </c>
      <c r="P9">
        <v>-1</v>
      </c>
      <c r="Q9">
        <v>2</v>
      </c>
      <c r="R9">
        <v>1</v>
      </c>
      <c r="S9">
        <v>1</v>
      </c>
      <c r="T9">
        <v>2</v>
      </c>
      <c r="U9">
        <v>1</v>
      </c>
      <c r="V9" t="s">
        <v>950</v>
      </c>
      <c r="W9" t="s">
        <v>994</v>
      </c>
      <c r="X9" t="s">
        <v>997</v>
      </c>
      <c r="Y9" t="s">
        <v>1000</v>
      </c>
      <c r="Z9">
        <v>1</v>
      </c>
      <c r="AA9">
        <f t="shared" si="0"/>
        <v>1</v>
      </c>
      <c r="AB9">
        <f t="shared" si="1"/>
        <v>1</v>
      </c>
      <c r="AC9">
        <f t="shared" si="2"/>
        <v>1</v>
      </c>
      <c r="AD9">
        <f t="shared" si="3"/>
        <v>0</v>
      </c>
      <c r="AE9">
        <f t="shared" si="4"/>
        <v>1</v>
      </c>
      <c r="AF9">
        <f t="shared" si="5"/>
        <v>1</v>
      </c>
      <c r="AG9">
        <f t="shared" si="6"/>
        <v>1</v>
      </c>
      <c r="AH9">
        <f t="shared" si="7"/>
        <v>1</v>
      </c>
      <c r="AI9">
        <f t="shared" si="8"/>
        <v>1</v>
      </c>
      <c r="AJ9" s="9">
        <f t="shared" si="9"/>
        <v>25</v>
      </c>
      <c r="AK9">
        <f t="shared" si="11"/>
        <v>0</v>
      </c>
      <c r="AL9" s="9">
        <v>1</v>
      </c>
    </row>
    <row r="10" spans="1:40" x14ac:dyDescent="0.35">
      <c r="A10" s="9">
        <v>1</v>
      </c>
      <c r="B10" s="9" t="s">
        <v>11</v>
      </c>
      <c r="C10" s="53">
        <v>43855</v>
      </c>
      <c r="D10" s="53">
        <v>43919</v>
      </c>
      <c r="E10" s="53">
        <v>43951</v>
      </c>
      <c r="F10" s="21">
        <f t="shared" si="10"/>
        <v>32</v>
      </c>
      <c r="G10" s="53">
        <v>43919</v>
      </c>
      <c r="H10" s="9">
        <v>2020</v>
      </c>
      <c r="I10" s="9">
        <v>1</v>
      </c>
      <c r="J10" s="9">
        <v>6</v>
      </c>
      <c r="K10" s="9">
        <v>29</v>
      </c>
      <c r="L10" s="50" t="s">
        <v>232</v>
      </c>
      <c r="M10">
        <v>2</v>
      </c>
      <c r="N10">
        <v>1</v>
      </c>
      <c r="O10">
        <v>-2</v>
      </c>
      <c r="P10">
        <v>-1</v>
      </c>
      <c r="Q10">
        <v>-2</v>
      </c>
      <c r="R10">
        <v>1</v>
      </c>
      <c r="S10">
        <v>1</v>
      </c>
      <c r="T10">
        <v>-1</v>
      </c>
      <c r="U10">
        <v>1</v>
      </c>
      <c r="V10" t="s">
        <v>950</v>
      </c>
      <c r="W10" t="s">
        <v>994</v>
      </c>
      <c r="X10" t="s">
        <v>997</v>
      </c>
      <c r="Y10" t="s">
        <v>1000</v>
      </c>
      <c r="Z10">
        <v>1</v>
      </c>
      <c r="AA10">
        <f t="shared" si="0"/>
        <v>1</v>
      </c>
      <c r="AB10">
        <f t="shared" si="1"/>
        <v>1</v>
      </c>
      <c r="AC10">
        <f t="shared" si="2"/>
        <v>0</v>
      </c>
      <c r="AD10">
        <f t="shared" si="3"/>
        <v>0</v>
      </c>
      <c r="AE10">
        <f t="shared" si="4"/>
        <v>0</v>
      </c>
      <c r="AF10">
        <f t="shared" si="5"/>
        <v>1</v>
      </c>
      <c r="AG10">
        <f t="shared" si="6"/>
        <v>1</v>
      </c>
      <c r="AH10">
        <f t="shared" si="7"/>
        <v>0</v>
      </c>
      <c r="AI10">
        <f t="shared" si="8"/>
        <v>1</v>
      </c>
      <c r="AJ10" s="9">
        <f t="shared" si="9"/>
        <v>29</v>
      </c>
      <c r="AK10">
        <f t="shared" si="11"/>
        <v>0</v>
      </c>
      <c r="AL10" s="9">
        <v>1</v>
      </c>
    </row>
    <row r="11" spans="1:40" x14ac:dyDescent="0.35">
      <c r="A11" s="9">
        <v>1</v>
      </c>
      <c r="B11" s="9" t="s">
        <v>11</v>
      </c>
      <c r="C11" s="53">
        <v>43855</v>
      </c>
      <c r="D11" s="53">
        <v>43919</v>
      </c>
      <c r="E11" s="53">
        <v>43951</v>
      </c>
      <c r="F11" s="21">
        <f t="shared" si="10"/>
        <v>32</v>
      </c>
      <c r="G11" s="53">
        <v>43919</v>
      </c>
      <c r="H11" s="9">
        <v>2020</v>
      </c>
      <c r="I11" s="9">
        <v>1</v>
      </c>
      <c r="J11" s="9">
        <v>9</v>
      </c>
      <c r="K11" s="9">
        <v>34</v>
      </c>
      <c r="L11" s="50" t="s">
        <v>229</v>
      </c>
      <c r="V11" t="s">
        <v>950</v>
      </c>
      <c r="W11" t="s">
        <v>994</v>
      </c>
      <c r="X11" t="s">
        <v>997</v>
      </c>
      <c r="Y11" t="s">
        <v>1000</v>
      </c>
      <c r="Z11">
        <v>1</v>
      </c>
      <c r="AA11">
        <f t="shared" si="0"/>
        <v>-1</v>
      </c>
      <c r="AB11">
        <f t="shared" si="1"/>
        <v>-1</v>
      </c>
      <c r="AC11">
        <f t="shared" si="2"/>
        <v>-1</v>
      </c>
      <c r="AD11">
        <f t="shared" si="3"/>
        <v>-1</v>
      </c>
      <c r="AE11">
        <f t="shared" si="4"/>
        <v>-1</v>
      </c>
      <c r="AF11">
        <f t="shared" si="5"/>
        <v>-1</v>
      </c>
      <c r="AG11">
        <f t="shared" si="6"/>
        <v>-1</v>
      </c>
      <c r="AH11">
        <f t="shared" si="7"/>
        <v>-1</v>
      </c>
      <c r="AI11">
        <f t="shared" si="8"/>
        <v>-1</v>
      </c>
      <c r="AJ11" s="9">
        <f t="shared" si="9"/>
        <v>34</v>
      </c>
      <c r="AK11">
        <f t="shared" si="11"/>
        <v>0</v>
      </c>
      <c r="AL11" s="9">
        <v>0</v>
      </c>
    </row>
    <row r="12" spans="1:40" x14ac:dyDescent="0.35">
      <c r="A12" s="9">
        <v>1</v>
      </c>
      <c r="B12" s="9" t="s">
        <v>11</v>
      </c>
      <c r="C12" s="53">
        <v>43855</v>
      </c>
      <c r="D12" s="53">
        <v>43919</v>
      </c>
      <c r="E12" s="53">
        <v>43951</v>
      </c>
      <c r="F12" s="21">
        <f t="shared" si="10"/>
        <v>32</v>
      </c>
      <c r="G12" s="53">
        <v>43919</v>
      </c>
      <c r="H12" s="9">
        <v>2020</v>
      </c>
      <c r="I12" s="9">
        <v>1</v>
      </c>
      <c r="J12" s="9">
        <v>6</v>
      </c>
      <c r="K12" s="9">
        <v>28</v>
      </c>
      <c r="L12" s="50" t="s">
        <v>226</v>
      </c>
      <c r="M12">
        <v>1</v>
      </c>
      <c r="N12">
        <v>1</v>
      </c>
      <c r="O12">
        <v>2</v>
      </c>
      <c r="P12">
        <v>-1</v>
      </c>
      <c r="Q12">
        <v>-2</v>
      </c>
      <c r="R12">
        <v>1</v>
      </c>
      <c r="S12">
        <v>1</v>
      </c>
      <c r="T12">
        <v>-1</v>
      </c>
      <c r="U12">
        <v>1</v>
      </c>
      <c r="V12" t="s">
        <v>950</v>
      </c>
      <c r="W12" t="s">
        <v>994</v>
      </c>
      <c r="X12" t="s">
        <v>997</v>
      </c>
      <c r="Y12" t="s">
        <v>1000</v>
      </c>
      <c r="Z12">
        <v>1</v>
      </c>
      <c r="AA12">
        <f t="shared" si="0"/>
        <v>1</v>
      </c>
      <c r="AB12">
        <f t="shared" si="1"/>
        <v>1</v>
      </c>
      <c r="AC12">
        <f t="shared" si="2"/>
        <v>1</v>
      </c>
      <c r="AD12">
        <f t="shared" si="3"/>
        <v>0</v>
      </c>
      <c r="AE12">
        <f t="shared" si="4"/>
        <v>0</v>
      </c>
      <c r="AF12">
        <f t="shared" si="5"/>
        <v>1</v>
      </c>
      <c r="AG12">
        <f t="shared" si="6"/>
        <v>1</v>
      </c>
      <c r="AH12">
        <f t="shared" si="7"/>
        <v>0</v>
      </c>
      <c r="AI12">
        <f t="shared" si="8"/>
        <v>1</v>
      </c>
      <c r="AJ12" s="9">
        <f t="shared" si="9"/>
        <v>28</v>
      </c>
      <c r="AK12">
        <f t="shared" si="11"/>
        <v>0</v>
      </c>
      <c r="AL12" s="9">
        <v>1</v>
      </c>
    </row>
    <row r="13" spans="1:40" x14ac:dyDescent="0.35">
      <c r="A13" s="9">
        <v>1</v>
      </c>
      <c r="B13" s="9" t="s">
        <v>11</v>
      </c>
      <c r="C13" s="53">
        <v>43855</v>
      </c>
      <c r="D13" s="53">
        <v>43919</v>
      </c>
      <c r="E13" s="53">
        <v>43951</v>
      </c>
      <c r="F13" s="21">
        <f t="shared" si="10"/>
        <v>32</v>
      </c>
      <c r="G13" s="53">
        <v>43919</v>
      </c>
      <c r="H13" s="9">
        <v>2020</v>
      </c>
      <c r="I13" s="9">
        <v>1</v>
      </c>
      <c r="J13" s="9">
        <v>6</v>
      </c>
      <c r="K13" s="9">
        <v>28</v>
      </c>
      <c r="L13" s="50" t="s">
        <v>231</v>
      </c>
      <c r="M13">
        <v>2</v>
      </c>
      <c r="N13">
        <v>1</v>
      </c>
      <c r="O13">
        <v>-2</v>
      </c>
      <c r="P13">
        <v>-1</v>
      </c>
      <c r="Q13">
        <v>1</v>
      </c>
      <c r="R13">
        <v>2</v>
      </c>
      <c r="S13">
        <v>1</v>
      </c>
      <c r="T13">
        <v>2</v>
      </c>
      <c r="U13">
        <v>1</v>
      </c>
      <c r="V13" t="s">
        <v>950</v>
      </c>
      <c r="W13" t="s">
        <v>994</v>
      </c>
      <c r="X13" t="s">
        <v>997</v>
      </c>
      <c r="Y13" t="s">
        <v>1000</v>
      </c>
      <c r="Z13">
        <v>1</v>
      </c>
      <c r="AA13">
        <f t="shared" si="0"/>
        <v>1</v>
      </c>
      <c r="AB13">
        <f t="shared" si="1"/>
        <v>1</v>
      </c>
      <c r="AC13">
        <f t="shared" si="2"/>
        <v>0</v>
      </c>
      <c r="AD13">
        <f t="shared" si="3"/>
        <v>0</v>
      </c>
      <c r="AE13">
        <f t="shared" si="4"/>
        <v>1</v>
      </c>
      <c r="AF13">
        <f t="shared" si="5"/>
        <v>1</v>
      </c>
      <c r="AG13">
        <f t="shared" si="6"/>
        <v>1</v>
      </c>
      <c r="AH13">
        <f t="shared" si="7"/>
        <v>1</v>
      </c>
      <c r="AI13">
        <f t="shared" si="8"/>
        <v>1</v>
      </c>
      <c r="AJ13" s="9">
        <f t="shared" si="9"/>
        <v>28</v>
      </c>
      <c r="AK13">
        <f t="shared" si="11"/>
        <v>0</v>
      </c>
      <c r="AL13" s="9">
        <v>1</v>
      </c>
    </row>
    <row r="14" spans="1:40" x14ac:dyDescent="0.35">
      <c r="A14" s="9">
        <v>1</v>
      </c>
      <c r="B14" s="9" t="s">
        <v>11</v>
      </c>
      <c r="C14" s="53">
        <v>43855</v>
      </c>
      <c r="D14" s="53">
        <v>43919</v>
      </c>
      <c r="E14" s="53">
        <v>43951</v>
      </c>
      <c r="F14" s="21">
        <f t="shared" si="10"/>
        <v>32</v>
      </c>
      <c r="G14" s="53">
        <v>43919</v>
      </c>
      <c r="H14" s="9">
        <v>2020</v>
      </c>
      <c r="I14" s="9">
        <v>1</v>
      </c>
      <c r="J14" s="9">
        <v>1</v>
      </c>
      <c r="K14" s="9">
        <v>1</v>
      </c>
      <c r="L14" s="50" t="s">
        <v>225</v>
      </c>
      <c r="N14">
        <v>1</v>
      </c>
      <c r="O14">
        <v>2</v>
      </c>
      <c r="P14">
        <v>-1</v>
      </c>
      <c r="Q14">
        <v>2</v>
      </c>
      <c r="R14">
        <v>-2</v>
      </c>
      <c r="S14">
        <v>2</v>
      </c>
      <c r="T14">
        <v>2</v>
      </c>
      <c r="U14">
        <v>1</v>
      </c>
      <c r="V14" t="s">
        <v>950</v>
      </c>
      <c r="W14" t="s">
        <v>994</v>
      </c>
      <c r="X14" t="s">
        <v>997</v>
      </c>
      <c r="Y14" t="s">
        <v>1000</v>
      </c>
      <c r="Z14">
        <v>1</v>
      </c>
      <c r="AA14">
        <f t="shared" si="0"/>
        <v>-1</v>
      </c>
      <c r="AB14">
        <f t="shared" si="1"/>
        <v>1</v>
      </c>
      <c r="AC14">
        <f t="shared" si="2"/>
        <v>1</v>
      </c>
      <c r="AD14">
        <f t="shared" si="3"/>
        <v>0</v>
      </c>
      <c r="AE14">
        <f t="shared" si="4"/>
        <v>1</v>
      </c>
      <c r="AF14">
        <f t="shared" si="5"/>
        <v>0</v>
      </c>
      <c r="AG14">
        <f t="shared" si="6"/>
        <v>1</v>
      </c>
      <c r="AH14">
        <f t="shared" si="7"/>
        <v>1</v>
      </c>
      <c r="AI14">
        <f t="shared" si="8"/>
        <v>1</v>
      </c>
      <c r="AJ14" s="9">
        <f t="shared" si="9"/>
        <v>1</v>
      </c>
      <c r="AK14">
        <f t="shared" si="11"/>
        <v>0</v>
      </c>
      <c r="AL14" s="9">
        <v>1</v>
      </c>
    </row>
    <row r="15" spans="1:40" x14ac:dyDescent="0.35">
      <c r="A15" s="9">
        <v>1</v>
      </c>
      <c r="B15" s="9" t="s">
        <v>11</v>
      </c>
      <c r="C15" s="53">
        <v>43855</v>
      </c>
      <c r="D15" s="53">
        <v>43919</v>
      </c>
      <c r="E15" s="53">
        <v>43951</v>
      </c>
      <c r="F15" s="21">
        <f t="shared" si="10"/>
        <v>32</v>
      </c>
      <c r="G15" s="53">
        <v>43919</v>
      </c>
      <c r="H15" s="9">
        <v>2020</v>
      </c>
      <c r="I15" s="9">
        <v>1</v>
      </c>
      <c r="J15" s="9">
        <v>5</v>
      </c>
      <c r="K15" s="9" t="s">
        <v>204</v>
      </c>
      <c r="L15" s="50" t="s">
        <v>218</v>
      </c>
      <c r="M15">
        <v>1</v>
      </c>
      <c r="N15">
        <v>-1</v>
      </c>
      <c r="O15">
        <v>-2</v>
      </c>
      <c r="P15">
        <v>-1</v>
      </c>
      <c r="Q15">
        <v>-2</v>
      </c>
      <c r="R15">
        <v>1</v>
      </c>
      <c r="S15">
        <v>1</v>
      </c>
      <c r="T15">
        <v>1</v>
      </c>
      <c r="U15">
        <v>1</v>
      </c>
      <c r="V15" t="s">
        <v>950</v>
      </c>
      <c r="W15" t="s">
        <v>994</v>
      </c>
      <c r="X15" t="s">
        <v>997</v>
      </c>
      <c r="Y15" t="s">
        <v>1000</v>
      </c>
      <c r="Z15">
        <v>1</v>
      </c>
      <c r="AA15">
        <f t="shared" si="0"/>
        <v>1</v>
      </c>
      <c r="AB15">
        <f t="shared" si="1"/>
        <v>0</v>
      </c>
      <c r="AC15">
        <f t="shared" si="2"/>
        <v>0</v>
      </c>
      <c r="AD15">
        <f t="shared" si="3"/>
        <v>0</v>
      </c>
      <c r="AE15">
        <f t="shared" si="4"/>
        <v>0</v>
      </c>
      <c r="AF15">
        <f t="shared" si="5"/>
        <v>1</v>
      </c>
      <c r="AG15">
        <f t="shared" si="6"/>
        <v>1</v>
      </c>
      <c r="AH15">
        <f t="shared" si="7"/>
        <v>1</v>
      </c>
      <c r="AI15">
        <f t="shared" si="8"/>
        <v>1</v>
      </c>
      <c r="AJ15" s="9" t="str">
        <f t="shared" si="9"/>
        <v>General</v>
      </c>
      <c r="AK15">
        <f t="shared" si="11"/>
        <v>0</v>
      </c>
      <c r="AL15" s="9">
        <v>1</v>
      </c>
    </row>
    <row r="16" spans="1:40" x14ac:dyDescent="0.35">
      <c r="A16" s="9">
        <v>1</v>
      </c>
      <c r="B16" s="9" t="s">
        <v>11</v>
      </c>
      <c r="C16" s="53">
        <v>43855</v>
      </c>
      <c r="D16" s="53">
        <v>43919</v>
      </c>
      <c r="E16" s="53">
        <v>43951</v>
      </c>
      <c r="F16" s="21">
        <f t="shared" si="10"/>
        <v>32</v>
      </c>
      <c r="G16" s="53">
        <v>43919</v>
      </c>
      <c r="H16" s="9">
        <v>2020</v>
      </c>
      <c r="I16" s="9">
        <v>1</v>
      </c>
      <c r="J16" s="9">
        <v>9</v>
      </c>
      <c r="K16" s="9">
        <v>34</v>
      </c>
      <c r="L16" s="50" t="s">
        <v>220</v>
      </c>
      <c r="N16">
        <v>1</v>
      </c>
      <c r="P16">
        <v>-1</v>
      </c>
      <c r="Q16">
        <v>2</v>
      </c>
      <c r="R16">
        <v>1</v>
      </c>
      <c r="S16">
        <v>1</v>
      </c>
      <c r="T16">
        <v>2</v>
      </c>
      <c r="U16">
        <v>1</v>
      </c>
      <c r="V16" t="s">
        <v>950</v>
      </c>
      <c r="W16" t="s">
        <v>994</v>
      </c>
      <c r="X16" t="s">
        <v>997</v>
      </c>
      <c r="Y16" t="s">
        <v>1000</v>
      </c>
      <c r="Z16">
        <v>1</v>
      </c>
      <c r="AA16">
        <f t="shared" si="0"/>
        <v>-1</v>
      </c>
      <c r="AB16">
        <f t="shared" si="1"/>
        <v>1</v>
      </c>
      <c r="AC16">
        <f t="shared" si="2"/>
        <v>-1</v>
      </c>
      <c r="AD16">
        <f t="shared" si="3"/>
        <v>0</v>
      </c>
      <c r="AE16">
        <f t="shared" si="4"/>
        <v>1</v>
      </c>
      <c r="AF16">
        <f t="shared" si="5"/>
        <v>1</v>
      </c>
      <c r="AG16">
        <f t="shared" si="6"/>
        <v>1</v>
      </c>
      <c r="AH16">
        <f t="shared" si="7"/>
        <v>1</v>
      </c>
      <c r="AI16">
        <f t="shared" si="8"/>
        <v>1</v>
      </c>
      <c r="AJ16" s="9">
        <f t="shared" si="9"/>
        <v>34</v>
      </c>
      <c r="AK16">
        <f t="shared" si="11"/>
        <v>0</v>
      </c>
      <c r="AL16" s="9">
        <v>1</v>
      </c>
    </row>
    <row r="17" spans="1:38" x14ac:dyDescent="0.35">
      <c r="A17" s="9">
        <v>1</v>
      </c>
      <c r="B17" s="9" t="s">
        <v>11</v>
      </c>
      <c r="C17" s="53">
        <v>43855</v>
      </c>
      <c r="D17" s="53">
        <v>43919</v>
      </c>
      <c r="E17" s="53">
        <v>43951</v>
      </c>
      <c r="F17" s="21">
        <f t="shared" si="10"/>
        <v>32</v>
      </c>
      <c r="G17" s="53">
        <v>43919</v>
      </c>
      <c r="H17" s="9">
        <v>2020</v>
      </c>
      <c r="I17" s="9">
        <v>1</v>
      </c>
      <c r="J17" s="9">
        <v>9</v>
      </c>
      <c r="K17" s="9">
        <v>34</v>
      </c>
      <c r="L17" s="50" t="s">
        <v>233</v>
      </c>
      <c r="M17">
        <v>1</v>
      </c>
      <c r="N17">
        <v>1</v>
      </c>
      <c r="O17">
        <v>1</v>
      </c>
      <c r="P17">
        <v>-1</v>
      </c>
      <c r="Q17">
        <v>2</v>
      </c>
      <c r="R17">
        <v>1</v>
      </c>
      <c r="S17">
        <v>1</v>
      </c>
      <c r="T17">
        <v>-2</v>
      </c>
      <c r="U17">
        <v>1</v>
      </c>
      <c r="V17" t="s">
        <v>950</v>
      </c>
      <c r="W17" t="s">
        <v>994</v>
      </c>
      <c r="X17" t="s">
        <v>997</v>
      </c>
      <c r="Y17" t="s">
        <v>1000</v>
      </c>
      <c r="Z17">
        <v>1</v>
      </c>
      <c r="AA17">
        <f t="shared" si="0"/>
        <v>1</v>
      </c>
      <c r="AB17">
        <f t="shared" si="1"/>
        <v>1</v>
      </c>
      <c r="AC17">
        <f t="shared" si="2"/>
        <v>1</v>
      </c>
      <c r="AD17">
        <f t="shared" si="3"/>
        <v>0</v>
      </c>
      <c r="AE17">
        <f t="shared" si="4"/>
        <v>1</v>
      </c>
      <c r="AF17">
        <f t="shared" si="5"/>
        <v>1</v>
      </c>
      <c r="AG17">
        <f t="shared" si="6"/>
        <v>1</v>
      </c>
      <c r="AH17">
        <f t="shared" si="7"/>
        <v>0</v>
      </c>
      <c r="AI17">
        <f t="shared" si="8"/>
        <v>1</v>
      </c>
      <c r="AJ17" s="9">
        <f t="shared" si="9"/>
        <v>34</v>
      </c>
      <c r="AK17">
        <f t="shared" si="11"/>
        <v>0</v>
      </c>
      <c r="AL17" s="9">
        <v>1</v>
      </c>
    </row>
    <row r="18" spans="1:38" x14ac:dyDescent="0.35">
      <c r="A18" s="9">
        <v>1</v>
      </c>
      <c r="B18" s="9" t="s">
        <v>11</v>
      </c>
      <c r="C18" s="53">
        <v>43855</v>
      </c>
      <c r="D18" s="53">
        <v>43919</v>
      </c>
      <c r="E18" s="53">
        <v>43951</v>
      </c>
      <c r="F18" s="21">
        <f t="shared" si="10"/>
        <v>32</v>
      </c>
      <c r="G18" s="53">
        <v>43919</v>
      </c>
      <c r="H18" s="9">
        <v>2020</v>
      </c>
      <c r="I18" s="9">
        <v>1</v>
      </c>
      <c r="J18" s="9">
        <v>2</v>
      </c>
      <c r="K18" s="9">
        <v>15</v>
      </c>
      <c r="L18" s="50" t="s">
        <v>1691</v>
      </c>
      <c r="M18">
        <v>2</v>
      </c>
      <c r="N18">
        <v>2</v>
      </c>
      <c r="O18">
        <v>-2</v>
      </c>
      <c r="P18">
        <v>-1</v>
      </c>
      <c r="Q18">
        <v>-2</v>
      </c>
      <c r="R18">
        <v>-2</v>
      </c>
      <c r="S18">
        <v>2</v>
      </c>
      <c r="T18">
        <v>2</v>
      </c>
      <c r="U18">
        <v>1</v>
      </c>
      <c r="V18" t="s">
        <v>950</v>
      </c>
      <c r="W18" t="s">
        <v>994</v>
      </c>
      <c r="X18" t="s">
        <v>997</v>
      </c>
      <c r="Y18" t="s">
        <v>1000</v>
      </c>
      <c r="Z18">
        <v>1</v>
      </c>
      <c r="AA18">
        <f t="shared" si="0"/>
        <v>1</v>
      </c>
      <c r="AB18">
        <f t="shared" si="1"/>
        <v>1</v>
      </c>
      <c r="AC18">
        <f t="shared" si="2"/>
        <v>0</v>
      </c>
      <c r="AD18">
        <f t="shared" si="3"/>
        <v>0</v>
      </c>
      <c r="AE18">
        <f t="shared" si="4"/>
        <v>0</v>
      </c>
      <c r="AF18">
        <f t="shared" si="5"/>
        <v>0</v>
      </c>
      <c r="AG18">
        <f t="shared" si="6"/>
        <v>1</v>
      </c>
      <c r="AH18">
        <f t="shared" si="7"/>
        <v>1</v>
      </c>
      <c r="AI18">
        <f t="shared" si="8"/>
        <v>1</v>
      </c>
      <c r="AJ18" s="9">
        <f t="shared" si="9"/>
        <v>15</v>
      </c>
      <c r="AK18">
        <f t="shared" si="11"/>
        <v>0</v>
      </c>
      <c r="AL18" s="9">
        <v>1</v>
      </c>
    </row>
    <row r="19" spans="1:38" x14ac:dyDescent="0.35">
      <c r="A19" s="9">
        <v>1</v>
      </c>
      <c r="B19" s="9" t="s">
        <v>11</v>
      </c>
      <c r="C19" s="53">
        <v>43855</v>
      </c>
      <c r="D19" s="53">
        <v>43919</v>
      </c>
      <c r="E19" s="53">
        <v>43951</v>
      </c>
      <c r="F19" s="21">
        <f t="shared" si="10"/>
        <v>32</v>
      </c>
      <c r="G19" s="53">
        <v>43919</v>
      </c>
      <c r="H19" s="9">
        <v>2020</v>
      </c>
      <c r="I19" s="9">
        <v>1</v>
      </c>
      <c r="J19" s="9">
        <v>6</v>
      </c>
      <c r="K19" s="9">
        <v>28</v>
      </c>
      <c r="L19" s="50" t="s">
        <v>235</v>
      </c>
      <c r="M19">
        <v>2</v>
      </c>
      <c r="N19">
        <v>2</v>
      </c>
      <c r="O19">
        <v>1</v>
      </c>
      <c r="P19">
        <v>-1</v>
      </c>
      <c r="Q19">
        <v>2</v>
      </c>
      <c r="R19">
        <v>-2</v>
      </c>
      <c r="S19">
        <v>1</v>
      </c>
      <c r="T19">
        <v>-2</v>
      </c>
      <c r="U19">
        <v>-2</v>
      </c>
      <c r="V19" t="s">
        <v>950</v>
      </c>
      <c r="W19" t="s">
        <v>994</v>
      </c>
      <c r="X19" t="s">
        <v>997</v>
      </c>
      <c r="Y19" t="s">
        <v>1000</v>
      </c>
      <c r="Z19">
        <v>1</v>
      </c>
      <c r="AA19">
        <f t="shared" si="0"/>
        <v>1</v>
      </c>
      <c r="AB19">
        <f t="shared" si="1"/>
        <v>1</v>
      </c>
      <c r="AC19">
        <f t="shared" si="2"/>
        <v>1</v>
      </c>
      <c r="AD19">
        <f t="shared" si="3"/>
        <v>0</v>
      </c>
      <c r="AE19">
        <f t="shared" si="4"/>
        <v>1</v>
      </c>
      <c r="AF19">
        <f t="shared" si="5"/>
        <v>0</v>
      </c>
      <c r="AG19">
        <f t="shared" si="6"/>
        <v>1</v>
      </c>
      <c r="AH19">
        <f t="shared" si="7"/>
        <v>0</v>
      </c>
      <c r="AI19">
        <f t="shared" si="8"/>
        <v>0</v>
      </c>
      <c r="AJ19" s="9">
        <f t="shared" si="9"/>
        <v>28</v>
      </c>
      <c r="AK19">
        <f t="shared" si="11"/>
        <v>0</v>
      </c>
      <c r="AL19" s="9">
        <v>1</v>
      </c>
    </row>
    <row r="20" spans="1:38" x14ac:dyDescent="0.35">
      <c r="A20" s="9">
        <v>1</v>
      </c>
      <c r="B20" s="9" t="s">
        <v>11</v>
      </c>
      <c r="C20" s="53">
        <v>43855</v>
      </c>
      <c r="D20" s="53">
        <v>43919</v>
      </c>
      <c r="E20" s="53">
        <v>43951</v>
      </c>
      <c r="F20" s="21">
        <f t="shared" si="10"/>
        <v>32</v>
      </c>
      <c r="G20" s="53">
        <v>43919</v>
      </c>
      <c r="H20" s="9">
        <v>2020</v>
      </c>
      <c r="I20" s="9">
        <v>1</v>
      </c>
      <c r="J20" s="9">
        <v>5</v>
      </c>
      <c r="K20" s="9" t="s">
        <v>204</v>
      </c>
      <c r="L20" s="50" t="s">
        <v>230</v>
      </c>
      <c r="M20">
        <v>1</v>
      </c>
      <c r="N20">
        <v>-1</v>
      </c>
      <c r="O20">
        <v>-2</v>
      </c>
      <c r="P20">
        <v>-1</v>
      </c>
      <c r="Q20">
        <v>-2</v>
      </c>
      <c r="R20">
        <v>1</v>
      </c>
      <c r="S20">
        <v>1</v>
      </c>
      <c r="T20">
        <v>1</v>
      </c>
      <c r="U20">
        <v>1</v>
      </c>
      <c r="V20" t="s">
        <v>950</v>
      </c>
      <c r="W20" t="s">
        <v>994</v>
      </c>
      <c r="X20" t="s">
        <v>997</v>
      </c>
      <c r="Y20" t="s">
        <v>1000</v>
      </c>
      <c r="Z20">
        <v>1</v>
      </c>
      <c r="AA20">
        <f t="shared" si="0"/>
        <v>1</v>
      </c>
      <c r="AB20">
        <f t="shared" si="1"/>
        <v>0</v>
      </c>
      <c r="AC20">
        <f t="shared" si="2"/>
        <v>0</v>
      </c>
      <c r="AD20">
        <f t="shared" si="3"/>
        <v>0</v>
      </c>
      <c r="AE20">
        <f t="shared" si="4"/>
        <v>0</v>
      </c>
      <c r="AF20">
        <f t="shared" si="5"/>
        <v>1</v>
      </c>
      <c r="AG20">
        <f t="shared" si="6"/>
        <v>1</v>
      </c>
      <c r="AH20">
        <f t="shared" si="7"/>
        <v>1</v>
      </c>
      <c r="AI20">
        <f t="shared" si="8"/>
        <v>1</v>
      </c>
      <c r="AJ20" s="9" t="str">
        <f t="shared" si="9"/>
        <v>General</v>
      </c>
      <c r="AK20">
        <f t="shared" si="11"/>
        <v>0</v>
      </c>
      <c r="AL20" s="9">
        <v>1</v>
      </c>
    </row>
    <row r="21" spans="1:38" x14ac:dyDescent="0.35">
      <c r="A21" s="9">
        <v>1</v>
      </c>
      <c r="B21" s="9" t="s">
        <v>11</v>
      </c>
      <c r="C21" s="53">
        <v>43855</v>
      </c>
      <c r="D21" s="53">
        <v>43919</v>
      </c>
      <c r="E21" s="53">
        <v>43951</v>
      </c>
      <c r="F21" s="21">
        <f t="shared" si="10"/>
        <v>32</v>
      </c>
      <c r="G21" s="53">
        <v>43919</v>
      </c>
      <c r="H21" s="9">
        <v>2020</v>
      </c>
      <c r="I21" s="9">
        <v>1</v>
      </c>
      <c r="J21" s="9">
        <v>1</v>
      </c>
      <c r="K21" s="9">
        <v>6</v>
      </c>
      <c r="L21" s="50" t="s">
        <v>1692</v>
      </c>
      <c r="M21">
        <v>2</v>
      </c>
      <c r="N21">
        <v>2</v>
      </c>
      <c r="O21">
        <v>2</v>
      </c>
      <c r="P21">
        <v>1</v>
      </c>
      <c r="Q21">
        <v>2</v>
      </c>
      <c r="R21">
        <v>2</v>
      </c>
      <c r="S21">
        <v>1</v>
      </c>
      <c r="T21">
        <v>1</v>
      </c>
      <c r="U21">
        <v>1</v>
      </c>
      <c r="V21" t="s">
        <v>950</v>
      </c>
      <c r="W21" t="s">
        <v>994</v>
      </c>
      <c r="X21" t="s">
        <v>997</v>
      </c>
      <c r="Y21" t="s">
        <v>1000</v>
      </c>
      <c r="Z21">
        <v>1</v>
      </c>
      <c r="AA21">
        <f t="shared" si="0"/>
        <v>1</v>
      </c>
      <c r="AB21">
        <f t="shared" si="1"/>
        <v>1</v>
      </c>
      <c r="AC21">
        <f t="shared" si="2"/>
        <v>1</v>
      </c>
      <c r="AD21">
        <f t="shared" si="3"/>
        <v>1</v>
      </c>
      <c r="AE21">
        <f t="shared" si="4"/>
        <v>1</v>
      </c>
      <c r="AF21">
        <f t="shared" si="5"/>
        <v>1</v>
      </c>
      <c r="AG21">
        <f t="shared" si="6"/>
        <v>1</v>
      </c>
      <c r="AH21">
        <f t="shared" si="7"/>
        <v>1</v>
      </c>
      <c r="AI21">
        <f t="shared" si="8"/>
        <v>1</v>
      </c>
      <c r="AJ21" s="9">
        <f t="shared" si="9"/>
        <v>6</v>
      </c>
      <c r="AK21">
        <f t="shared" si="11"/>
        <v>0</v>
      </c>
      <c r="AL21" s="9">
        <v>1</v>
      </c>
    </row>
    <row r="22" spans="1:38" x14ac:dyDescent="0.35">
      <c r="A22" s="9">
        <v>1</v>
      </c>
      <c r="B22" s="9" t="s">
        <v>11</v>
      </c>
      <c r="C22" s="53">
        <v>43855</v>
      </c>
      <c r="D22" s="53">
        <v>43919</v>
      </c>
      <c r="E22" s="53">
        <v>43951</v>
      </c>
      <c r="F22" s="21">
        <f t="shared" si="10"/>
        <v>32</v>
      </c>
      <c r="G22" s="53">
        <v>43919</v>
      </c>
      <c r="H22" s="9">
        <v>2020</v>
      </c>
      <c r="I22" s="9">
        <v>1</v>
      </c>
      <c r="J22" s="9">
        <v>9</v>
      </c>
      <c r="K22" s="9">
        <v>34</v>
      </c>
      <c r="L22" s="50" t="s">
        <v>219</v>
      </c>
      <c r="M22">
        <v>1</v>
      </c>
      <c r="N22">
        <v>1</v>
      </c>
      <c r="O22">
        <v>1</v>
      </c>
      <c r="P22">
        <v>-1</v>
      </c>
      <c r="Q22">
        <v>2</v>
      </c>
      <c r="R22">
        <v>2</v>
      </c>
      <c r="S22">
        <v>1</v>
      </c>
      <c r="T22">
        <v>-2</v>
      </c>
      <c r="U22">
        <v>1</v>
      </c>
      <c r="V22" t="s">
        <v>950</v>
      </c>
      <c r="W22" t="s">
        <v>994</v>
      </c>
      <c r="X22" t="s">
        <v>997</v>
      </c>
      <c r="Y22" t="s">
        <v>1000</v>
      </c>
      <c r="Z22">
        <v>1</v>
      </c>
      <c r="AA22">
        <f t="shared" si="0"/>
        <v>1</v>
      </c>
      <c r="AB22">
        <f t="shared" si="1"/>
        <v>1</v>
      </c>
      <c r="AC22">
        <f t="shared" si="2"/>
        <v>1</v>
      </c>
      <c r="AD22">
        <f t="shared" si="3"/>
        <v>0</v>
      </c>
      <c r="AE22">
        <f t="shared" si="4"/>
        <v>1</v>
      </c>
      <c r="AF22">
        <f t="shared" si="5"/>
        <v>1</v>
      </c>
      <c r="AG22">
        <f t="shared" si="6"/>
        <v>1</v>
      </c>
      <c r="AH22">
        <f t="shared" si="7"/>
        <v>0</v>
      </c>
      <c r="AI22">
        <f t="shared" si="8"/>
        <v>1</v>
      </c>
      <c r="AJ22" s="9">
        <f t="shared" si="9"/>
        <v>34</v>
      </c>
      <c r="AK22">
        <f t="shared" si="11"/>
        <v>0</v>
      </c>
      <c r="AL22" s="9">
        <v>1</v>
      </c>
    </row>
    <row r="23" spans="1:38" x14ac:dyDescent="0.35">
      <c r="A23" s="9">
        <v>1</v>
      </c>
      <c r="B23" s="9" t="s">
        <v>11</v>
      </c>
      <c r="C23" s="53">
        <v>43855</v>
      </c>
      <c r="D23" s="53">
        <v>43919</v>
      </c>
      <c r="E23" s="53">
        <v>43951</v>
      </c>
      <c r="F23" s="21">
        <f t="shared" si="10"/>
        <v>32</v>
      </c>
      <c r="G23" s="53">
        <v>43919</v>
      </c>
      <c r="H23" s="9">
        <v>2020</v>
      </c>
      <c r="I23" s="9">
        <v>1</v>
      </c>
      <c r="J23" s="9">
        <v>1</v>
      </c>
      <c r="K23" s="9">
        <v>3</v>
      </c>
      <c r="L23" s="50" t="s">
        <v>234</v>
      </c>
      <c r="M23">
        <v>-2</v>
      </c>
      <c r="N23">
        <v>-2</v>
      </c>
      <c r="O23">
        <v>-2</v>
      </c>
      <c r="P23">
        <v>-1</v>
      </c>
      <c r="Q23">
        <v>2</v>
      </c>
      <c r="R23">
        <v>-2</v>
      </c>
      <c r="S23">
        <v>1</v>
      </c>
      <c r="T23">
        <v>-2</v>
      </c>
      <c r="U23">
        <v>1</v>
      </c>
      <c r="V23" t="s">
        <v>950</v>
      </c>
      <c r="W23" t="s">
        <v>994</v>
      </c>
      <c r="X23" t="s">
        <v>997</v>
      </c>
      <c r="Y23" t="s">
        <v>1000</v>
      </c>
      <c r="Z23">
        <v>1</v>
      </c>
      <c r="AA23">
        <f t="shared" si="0"/>
        <v>0</v>
      </c>
      <c r="AB23">
        <f t="shared" si="1"/>
        <v>0</v>
      </c>
      <c r="AC23">
        <f t="shared" si="2"/>
        <v>0</v>
      </c>
      <c r="AD23">
        <f t="shared" si="3"/>
        <v>0</v>
      </c>
      <c r="AE23">
        <f t="shared" si="4"/>
        <v>1</v>
      </c>
      <c r="AF23">
        <f t="shared" si="5"/>
        <v>0</v>
      </c>
      <c r="AG23">
        <f t="shared" si="6"/>
        <v>1</v>
      </c>
      <c r="AH23">
        <f t="shared" si="7"/>
        <v>0</v>
      </c>
      <c r="AI23">
        <f t="shared" si="8"/>
        <v>1</v>
      </c>
      <c r="AJ23" s="9">
        <f t="shared" si="9"/>
        <v>3</v>
      </c>
      <c r="AK23">
        <f t="shared" si="11"/>
        <v>0</v>
      </c>
      <c r="AL23" s="9">
        <v>1</v>
      </c>
    </row>
    <row r="24" spans="1:38" x14ac:dyDescent="0.35">
      <c r="A24" s="9">
        <v>1</v>
      </c>
      <c r="B24" s="50" t="s">
        <v>11</v>
      </c>
      <c r="C24" s="53">
        <v>43855</v>
      </c>
      <c r="D24" s="53">
        <v>43919</v>
      </c>
      <c r="E24" s="53">
        <v>43951</v>
      </c>
      <c r="F24" s="21">
        <f t="shared" si="10"/>
        <v>32</v>
      </c>
      <c r="G24" s="53">
        <v>43919</v>
      </c>
      <c r="H24" s="9">
        <v>2020</v>
      </c>
      <c r="I24" s="9">
        <v>1</v>
      </c>
      <c r="J24" s="50">
        <v>4</v>
      </c>
      <c r="K24" s="50" t="s">
        <v>201</v>
      </c>
      <c r="L24" s="24" t="s">
        <v>1757</v>
      </c>
      <c r="M24" s="24"/>
      <c r="V24" t="s">
        <v>950</v>
      </c>
      <c r="W24" t="s">
        <v>994</v>
      </c>
      <c r="X24" t="s">
        <v>997</v>
      </c>
      <c r="Y24" t="s">
        <v>1000</v>
      </c>
      <c r="Z24">
        <v>1</v>
      </c>
      <c r="AA24">
        <v>-1</v>
      </c>
      <c r="AB24">
        <v>-1</v>
      </c>
      <c r="AC24">
        <v>-1</v>
      </c>
      <c r="AD24">
        <v>-1</v>
      </c>
      <c r="AE24">
        <v>-1</v>
      </c>
      <c r="AF24">
        <v>-1</v>
      </c>
      <c r="AG24">
        <v>-1</v>
      </c>
      <c r="AH24">
        <v>-1</v>
      </c>
      <c r="AI24">
        <v>-1</v>
      </c>
      <c r="AJ24" s="9" t="str">
        <f t="shared" si="9"/>
        <v>Other</v>
      </c>
      <c r="AK24">
        <f t="shared" si="11"/>
        <v>0</v>
      </c>
      <c r="AL24" s="9">
        <v>0</v>
      </c>
    </row>
    <row r="25" spans="1:38" x14ac:dyDescent="0.35">
      <c r="A25" s="9">
        <v>1</v>
      </c>
      <c r="B25" s="50" t="s">
        <v>11</v>
      </c>
      <c r="C25" s="53">
        <v>43855</v>
      </c>
      <c r="D25" s="53">
        <v>43919</v>
      </c>
      <c r="E25" s="53">
        <v>43951</v>
      </c>
      <c r="F25" s="21">
        <f t="shared" si="10"/>
        <v>32</v>
      </c>
      <c r="G25" s="53">
        <v>43919</v>
      </c>
      <c r="H25" s="9">
        <v>2020</v>
      </c>
      <c r="I25" s="9">
        <v>1</v>
      </c>
      <c r="J25" s="50">
        <v>6</v>
      </c>
      <c r="K25" s="50">
        <v>28</v>
      </c>
      <c r="L25" s="24" t="s">
        <v>1212</v>
      </c>
      <c r="M25" s="24"/>
      <c r="V25" t="s">
        <v>950</v>
      </c>
      <c r="W25" t="s">
        <v>994</v>
      </c>
      <c r="X25" t="s">
        <v>997</v>
      </c>
      <c r="Y25" t="s">
        <v>1000</v>
      </c>
      <c r="Z25">
        <v>1</v>
      </c>
      <c r="AA25">
        <v>-1</v>
      </c>
      <c r="AB25">
        <v>-1</v>
      </c>
      <c r="AC25">
        <v>-1</v>
      </c>
      <c r="AD25">
        <v>-1</v>
      </c>
      <c r="AE25">
        <v>-1</v>
      </c>
      <c r="AF25">
        <v>-1</v>
      </c>
      <c r="AG25">
        <v>-1</v>
      </c>
      <c r="AH25">
        <v>-1</v>
      </c>
      <c r="AI25">
        <v>-1</v>
      </c>
      <c r="AJ25" s="9">
        <f t="shared" si="9"/>
        <v>28</v>
      </c>
      <c r="AK25">
        <f t="shared" si="11"/>
        <v>0</v>
      </c>
      <c r="AL25" s="9">
        <v>0</v>
      </c>
    </row>
    <row r="26" spans="1:38" x14ac:dyDescent="0.35">
      <c r="A26" s="9">
        <v>1</v>
      </c>
      <c r="B26" s="50" t="s">
        <v>11</v>
      </c>
      <c r="C26" s="53">
        <v>43855</v>
      </c>
      <c r="D26" s="53">
        <v>43919</v>
      </c>
      <c r="E26" s="53">
        <v>43951</v>
      </c>
      <c r="F26" s="21">
        <f t="shared" si="10"/>
        <v>32</v>
      </c>
      <c r="G26" s="53">
        <v>43919</v>
      </c>
      <c r="H26" s="9">
        <v>2020</v>
      </c>
      <c r="I26" s="9">
        <v>1</v>
      </c>
      <c r="J26" s="50">
        <v>6</v>
      </c>
      <c r="K26" s="50">
        <v>26</v>
      </c>
      <c r="L26" s="24" t="s">
        <v>1213</v>
      </c>
      <c r="M26" s="24"/>
      <c r="V26" t="s">
        <v>950</v>
      </c>
      <c r="W26" t="s">
        <v>994</v>
      </c>
      <c r="X26" t="s">
        <v>997</v>
      </c>
      <c r="Y26" t="s">
        <v>1000</v>
      </c>
      <c r="Z26">
        <v>1</v>
      </c>
      <c r="AA26">
        <v>-1</v>
      </c>
      <c r="AB26">
        <v>-1</v>
      </c>
      <c r="AC26">
        <v>-1</v>
      </c>
      <c r="AD26">
        <v>-1</v>
      </c>
      <c r="AE26">
        <v>-1</v>
      </c>
      <c r="AF26">
        <v>-1</v>
      </c>
      <c r="AG26">
        <v>-1</v>
      </c>
      <c r="AH26">
        <v>-1</v>
      </c>
      <c r="AI26">
        <v>-1</v>
      </c>
      <c r="AJ26" s="9">
        <f t="shared" si="9"/>
        <v>26</v>
      </c>
      <c r="AK26">
        <f t="shared" si="11"/>
        <v>0</v>
      </c>
      <c r="AL26" s="9">
        <v>0</v>
      </c>
    </row>
    <row r="27" spans="1:38" x14ac:dyDescent="0.35">
      <c r="A27" s="9">
        <v>1</v>
      </c>
      <c r="B27" s="50" t="s">
        <v>11</v>
      </c>
      <c r="C27" s="53">
        <v>43855</v>
      </c>
      <c r="D27" s="53">
        <v>43919</v>
      </c>
      <c r="E27" s="53">
        <v>43951</v>
      </c>
      <c r="F27" s="21">
        <f t="shared" si="10"/>
        <v>32</v>
      </c>
      <c r="G27" s="53">
        <v>43919</v>
      </c>
      <c r="H27" s="9">
        <v>2020</v>
      </c>
      <c r="I27" s="9">
        <v>1</v>
      </c>
      <c r="J27" s="50">
        <v>6</v>
      </c>
      <c r="K27" s="50">
        <v>27</v>
      </c>
      <c r="L27" s="24" t="s">
        <v>1694</v>
      </c>
      <c r="M27" s="24"/>
      <c r="V27" t="s">
        <v>950</v>
      </c>
      <c r="W27" t="s">
        <v>994</v>
      </c>
      <c r="X27" t="s">
        <v>997</v>
      </c>
      <c r="Y27" t="s">
        <v>1000</v>
      </c>
      <c r="Z27">
        <v>1</v>
      </c>
      <c r="AA27">
        <v>-1</v>
      </c>
      <c r="AB27">
        <v>-1</v>
      </c>
      <c r="AC27">
        <v>-1</v>
      </c>
      <c r="AD27">
        <v>-1</v>
      </c>
      <c r="AE27">
        <v>-1</v>
      </c>
      <c r="AF27">
        <v>-1</v>
      </c>
      <c r="AG27">
        <v>-1</v>
      </c>
      <c r="AH27">
        <v>-1</v>
      </c>
      <c r="AI27">
        <v>-1</v>
      </c>
      <c r="AJ27" s="9">
        <f t="shared" si="9"/>
        <v>27</v>
      </c>
      <c r="AK27">
        <f t="shared" si="11"/>
        <v>0</v>
      </c>
      <c r="AL27" s="9">
        <v>0</v>
      </c>
    </row>
    <row r="28" spans="1:38" x14ac:dyDescent="0.35">
      <c r="A28" s="9">
        <v>1</v>
      </c>
      <c r="B28" s="50" t="s">
        <v>11</v>
      </c>
      <c r="C28" s="53">
        <v>43855</v>
      </c>
      <c r="D28" s="53">
        <v>43919</v>
      </c>
      <c r="E28" s="53">
        <v>43951</v>
      </c>
      <c r="F28" s="21">
        <f t="shared" si="10"/>
        <v>32</v>
      </c>
      <c r="G28" s="53">
        <v>43919</v>
      </c>
      <c r="H28" s="9">
        <v>2020</v>
      </c>
      <c r="I28" s="9">
        <v>1</v>
      </c>
      <c r="J28" s="50">
        <v>6</v>
      </c>
      <c r="K28" s="50">
        <v>27</v>
      </c>
      <c r="L28" s="24" t="s">
        <v>1214</v>
      </c>
      <c r="M28" s="24"/>
      <c r="V28" t="s">
        <v>950</v>
      </c>
      <c r="W28" t="s">
        <v>994</v>
      </c>
      <c r="X28" t="s">
        <v>997</v>
      </c>
      <c r="Y28" t="s">
        <v>1000</v>
      </c>
      <c r="Z28">
        <v>1</v>
      </c>
      <c r="AA28">
        <v>-1</v>
      </c>
      <c r="AB28">
        <v>-1</v>
      </c>
      <c r="AC28">
        <v>-1</v>
      </c>
      <c r="AD28">
        <v>-1</v>
      </c>
      <c r="AE28">
        <v>-1</v>
      </c>
      <c r="AF28">
        <v>-1</v>
      </c>
      <c r="AG28">
        <v>-1</v>
      </c>
      <c r="AH28">
        <v>-1</v>
      </c>
      <c r="AI28">
        <v>-1</v>
      </c>
      <c r="AJ28" s="9">
        <f t="shared" si="9"/>
        <v>27</v>
      </c>
      <c r="AK28">
        <f t="shared" si="11"/>
        <v>0</v>
      </c>
      <c r="AL28" s="9">
        <v>0</v>
      </c>
    </row>
    <row r="29" spans="1:38" x14ac:dyDescent="0.35">
      <c r="A29" s="9">
        <v>1</v>
      </c>
      <c r="B29" s="50" t="s">
        <v>11</v>
      </c>
      <c r="C29" s="53">
        <v>43855</v>
      </c>
      <c r="D29" s="53">
        <v>43919</v>
      </c>
      <c r="E29" s="53">
        <v>43951</v>
      </c>
      <c r="F29" s="21">
        <f t="shared" si="10"/>
        <v>32</v>
      </c>
      <c r="G29" s="53">
        <v>43919</v>
      </c>
      <c r="H29" s="9">
        <v>2020</v>
      </c>
      <c r="I29" s="9">
        <v>1</v>
      </c>
      <c r="J29" s="50">
        <v>3</v>
      </c>
      <c r="K29" s="50">
        <v>19</v>
      </c>
      <c r="L29" s="24" t="s">
        <v>1215</v>
      </c>
      <c r="M29" s="24"/>
      <c r="V29" t="s">
        <v>950</v>
      </c>
      <c r="W29" t="s">
        <v>994</v>
      </c>
      <c r="X29" t="s">
        <v>997</v>
      </c>
      <c r="Y29" t="s">
        <v>1000</v>
      </c>
      <c r="Z29">
        <v>1</v>
      </c>
      <c r="AA29">
        <v>-1</v>
      </c>
      <c r="AB29">
        <v>-1</v>
      </c>
      <c r="AC29">
        <v>-1</v>
      </c>
      <c r="AD29">
        <v>-1</v>
      </c>
      <c r="AE29">
        <v>-1</v>
      </c>
      <c r="AF29">
        <v>-1</v>
      </c>
      <c r="AG29">
        <v>-1</v>
      </c>
      <c r="AH29">
        <v>-1</v>
      </c>
      <c r="AI29">
        <v>-1</v>
      </c>
      <c r="AJ29" s="9">
        <f t="shared" si="9"/>
        <v>19</v>
      </c>
      <c r="AK29">
        <f t="shared" si="11"/>
        <v>0</v>
      </c>
      <c r="AL29" s="9">
        <v>0</v>
      </c>
    </row>
    <row r="30" spans="1:38" x14ac:dyDescent="0.35">
      <c r="A30" s="9">
        <v>1</v>
      </c>
      <c r="B30" s="50" t="s">
        <v>11</v>
      </c>
      <c r="C30" s="53">
        <v>43855</v>
      </c>
      <c r="D30" s="53">
        <v>43919</v>
      </c>
      <c r="E30" s="53">
        <v>43951</v>
      </c>
      <c r="F30" s="21">
        <f t="shared" si="10"/>
        <v>32</v>
      </c>
      <c r="G30" s="53">
        <v>43919</v>
      </c>
      <c r="H30" s="9">
        <v>2020</v>
      </c>
      <c r="I30" s="9">
        <v>1</v>
      </c>
      <c r="J30" s="50">
        <v>6</v>
      </c>
      <c r="K30" s="50">
        <v>27</v>
      </c>
      <c r="L30" s="24" t="s">
        <v>1216</v>
      </c>
      <c r="M30" s="24"/>
      <c r="V30" t="s">
        <v>950</v>
      </c>
      <c r="W30" t="s">
        <v>994</v>
      </c>
      <c r="X30" t="s">
        <v>997</v>
      </c>
      <c r="Y30" t="s">
        <v>1000</v>
      </c>
      <c r="Z30">
        <v>1</v>
      </c>
      <c r="AA30">
        <v>-1</v>
      </c>
      <c r="AB30">
        <v>-1</v>
      </c>
      <c r="AC30">
        <v>-1</v>
      </c>
      <c r="AD30">
        <v>-1</v>
      </c>
      <c r="AE30">
        <v>-1</v>
      </c>
      <c r="AF30">
        <v>-1</v>
      </c>
      <c r="AG30">
        <v>-1</v>
      </c>
      <c r="AH30">
        <v>-1</v>
      </c>
      <c r="AI30">
        <v>-1</v>
      </c>
      <c r="AJ30" s="9">
        <f t="shared" si="9"/>
        <v>27</v>
      </c>
      <c r="AK30">
        <f t="shared" si="11"/>
        <v>0</v>
      </c>
      <c r="AL30" s="9">
        <v>0</v>
      </c>
    </row>
    <row r="31" spans="1:38" x14ac:dyDescent="0.35">
      <c r="A31" s="9">
        <v>1</v>
      </c>
      <c r="B31" s="50" t="s">
        <v>11</v>
      </c>
      <c r="C31" s="53">
        <v>43855</v>
      </c>
      <c r="D31" s="53">
        <v>43919</v>
      </c>
      <c r="E31" s="53">
        <v>43951</v>
      </c>
      <c r="F31" s="21">
        <f t="shared" si="10"/>
        <v>32</v>
      </c>
      <c r="G31" s="53">
        <v>43919</v>
      </c>
      <c r="H31" s="9">
        <v>2020</v>
      </c>
      <c r="I31" s="9">
        <v>1</v>
      </c>
      <c r="J31" s="50">
        <v>6</v>
      </c>
      <c r="K31" s="50">
        <v>25</v>
      </c>
      <c r="L31" s="24" t="s">
        <v>1217</v>
      </c>
      <c r="M31" s="24"/>
      <c r="V31" t="s">
        <v>950</v>
      </c>
      <c r="W31" t="s">
        <v>994</v>
      </c>
      <c r="X31" t="s">
        <v>997</v>
      </c>
      <c r="Y31" t="s">
        <v>1000</v>
      </c>
      <c r="Z31">
        <v>1</v>
      </c>
      <c r="AA31">
        <v>-1</v>
      </c>
      <c r="AB31">
        <v>-1</v>
      </c>
      <c r="AC31">
        <v>-1</v>
      </c>
      <c r="AD31">
        <v>-1</v>
      </c>
      <c r="AE31">
        <v>-1</v>
      </c>
      <c r="AF31">
        <v>-1</v>
      </c>
      <c r="AG31">
        <v>-1</v>
      </c>
      <c r="AH31">
        <v>-1</v>
      </c>
      <c r="AI31">
        <v>-1</v>
      </c>
      <c r="AJ31" s="9">
        <f t="shared" si="9"/>
        <v>25</v>
      </c>
      <c r="AK31">
        <f t="shared" si="11"/>
        <v>0</v>
      </c>
      <c r="AL31" s="9">
        <v>0</v>
      </c>
    </row>
    <row r="32" spans="1:38" x14ac:dyDescent="0.35">
      <c r="A32" s="9">
        <v>1</v>
      </c>
      <c r="B32" s="50" t="s">
        <v>11</v>
      </c>
      <c r="C32" s="53">
        <v>43855</v>
      </c>
      <c r="D32" s="53">
        <v>43919</v>
      </c>
      <c r="E32" s="53">
        <v>43951</v>
      </c>
      <c r="F32" s="21">
        <f t="shared" si="10"/>
        <v>32</v>
      </c>
      <c r="G32" s="53">
        <v>43919</v>
      </c>
      <c r="H32" s="9">
        <v>2020</v>
      </c>
      <c r="I32" s="9">
        <v>1</v>
      </c>
      <c r="J32" s="50">
        <v>6</v>
      </c>
      <c r="K32" s="50">
        <v>29</v>
      </c>
      <c r="L32" s="24" t="s">
        <v>1218</v>
      </c>
      <c r="M32" s="24"/>
      <c r="V32" t="s">
        <v>950</v>
      </c>
      <c r="W32" t="s">
        <v>994</v>
      </c>
      <c r="X32" t="s">
        <v>997</v>
      </c>
      <c r="Y32" t="s">
        <v>1000</v>
      </c>
      <c r="Z32">
        <v>1</v>
      </c>
      <c r="AA32">
        <v>-1</v>
      </c>
      <c r="AB32">
        <v>-1</v>
      </c>
      <c r="AC32">
        <v>-1</v>
      </c>
      <c r="AD32">
        <v>-1</v>
      </c>
      <c r="AE32">
        <v>-1</v>
      </c>
      <c r="AF32">
        <v>-1</v>
      </c>
      <c r="AG32">
        <v>-1</v>
      </c>
      <c r="AH32">
        <v>-1</v>
      </c>
      <c r="AI32">
        <v>-1</v>
      </c>
      <c r="AJ32" s="9">
        <f t="shared" si="9"/>
        <v>29</v>
      </c>
      <c r="AK32">
        <f>IF(B32&lt;&gt;B31,1,0)</f>
        <v>0</v>
      </c>
      <c r="AL32" s="9">
        <v>0</v>
      </c>
    </row>
    <row r="33" spans="1:38" s="47" customFormat="1" x14ac:dyDescent="0.35">
      <c r="A33" s="9">
        <v>1</v>
      </c>
      <c r="B33" s="50" t="s">
        <v>11</v>
      </c>
      <c r="C33" s="53">
        <v>43855</v>
      </c>
      <c r="D33" s="53">
        <v>43919</v>
      </c>
      <c r="E33" s="53">
        <v>43951</v>
      </c>
      <c r="F33" s="21">
        <f t="shared" si="10"/>
        <v>32</v>
      </c>
      <c r="G33" s="53">
        <v>43919</v>
      </c>
      <c r="H33" s="9">
        <v>2021</v>
      </c>
      <c r="I33" s="9">
        <v>1</v>
      </c>
      <c r="J33" s="50">
        <v>6</v>
      </c>
      <c r="K33" s="50">
        <v>29</v>
      </c>
      <c r="L33" s="48" t="s">
        <v>1689</v>
      </c>
      <c r="M33" s="48"/>
      <c r="V33" t="s">
        <v>950</v>
      </c>
      <c r="AA33" s="47">
        <v>1</v>
      </c>
      <c r="AB33">
        <v>-1</v>
      </c>
      <c r="AC33" s="47">
        <v>-1</v>
      </c>
      <c r="AD33" s="47">
        <v>-1</v>
      </c>
      <c r="AE33" s="47">
        <v>1</v>
      </c>
      <c r="AF33" s="47">
        <v>1</v>
      </c>
      <c r="AG33" s="47">
        <v>1</v>
      </c>
      <c r="AH33" s="47">
        <v>1</v>
      </c>
      <c r="AI33" s="47">
        <v>1</v>
      </c>
      <c r="AJ33" s="47">
        <f t="shared" si="9"/>
        <v>29</v>
      </c>
    </row>
    <row r="34" spans="1:38" s="47" customFormat="1" x14ac:dyDescent="0.35">
      <c r="A34" s="9">
        <v>1</v>
      </c>
      <c r="B34" s="50" t="s">
        <v>11</v>
      </c>
      <c r="C34" s="53">
        <v>43855</v>
      </c>
      <c r="D34" s="53">
        <v>43919</v>
      </c>
      <c r="E34" s="53">
        <v>43951</v>
      </c>
      <c r="F34" s="21">
        <f t="shared" si="10"/>
        <v>32</v>
      </c>
      <c r="G34" s="53">
        <v>43919</v>
      </c>
      <c r="H34" s="9">
        <v>2021</v>
      </c>
      <c r="I34" s="9">
        <v>1</v>
      </c>
      <c r="J34" s="50">
        <v>6</v>
      </c>
      <c r="K34" s="50">
        <v>25</v>
      </c>
      <c r="L34" s="48" t="s">
        <v>1690</v>
      </c>
      <c r="M34" s="48"/>
      <c r="V34" t="s">
        <v>950</v>
      </c>
      <c r="AA34" s="47">
        <v>1</v>
      </c>
      <c r="AB34">
        <v>-1</v>
      </c>
      <c r="AC34" s="47">
        <v>1</v>
      </c>
      <c r="AD34" s="47">
        <v>-1</v>
      </c>
      <c r="AE34" s="47">
        <v>1</v>
      </c>
      <c r="AF34" s="47">
        <v>1</v>
      </c>
      <c r="AG34" s="47">
        <v>1</v>
      </c>
      <c r="AH34" s="47">
        <v>1</v>
      </c>
      <c r="AI34" s="47">
        <v>1</v>
      </c>
      <c r="AJ34" s="47">
        <f t="shared" si="9"/>
        <v>25</v>
      </c>
    </row>
    <row r="35" spans="1:38" s="47" customFormat="1" x14ac:dyDescent="0.35">
      <c r="A35" s="9">
        <v>1</v>
      </c>
      <c r="B35" s="50" t="s">
        <v>11</v>
      </c>
      <c r="C35" s="53">
        <v>43855</v>
      </c>
      <c r="D35" s="53">
        <v>43919</v>
      </c>
      <c r="E35" s="53">
        <v>43951</v>
      </c>
      <c r="F35" s="21">
        <f t="shared" si="10"/>
        <v>32</v>
      </c>
      <c r="G35" s="53">
        <v>43919</v>
      </c>
      <c r="H35" s="9">
        <v>2021</v>
      </c>
      <c r="I35" s="9">
        <v>1</v>
      </c>
      <c r="J35" s="50">
        <v>4</v>
      </c>
      <c r="K35" s="50" t="s">
        <v>201</v>
      </c>
      <c r="L35" s="48" t="s">
        <v>1693</v>
      </c>
      <c r="M35" s="48"/>
      <c r="V35" t="s">
        <v>950</v>
      </c>
      <c r="AA35" s="47">
        <v>1</v>
      </c>
      <c r="AB35">
        <v>-1</v>
      </c>
      <c r="AC35" s="47">
        <v>-1</v>
      </c>
      <c r="AD35" s="47">
        <v>-1</v>
      </c>
      <c r="AE35" s="47">
        <v>1</v>
      </c>
      <c r="AF35" s="47">
        <v>1</v>
      </c>
      <c r="AG35" s="47">
        <v>1</v>
      </c>
      <c r="AH35" s="47">
        <v>1</v>
      </c>
      <c r="AI35" s="47">
        <v>1</v>
      </c>
      <c r="AJ35" s="47" t="str">
        <f t="shared" si="9"/>
        <v>Other</v>
      </c>
    </row>
    <row r="36" spans="1:38" s="47" customFormat="1" x14ac:dyDescent="0.35">
      <c r="A36" s="9">
        <v>1</v>
      </c>
      <c r="B36" s="50" t="s">
        <v>11</v>
      </c>
      <c r="C36" s="53">
        <v>43855</v>
      </c>
      <c r="D36" s="53">
        <v>43919</v>
      </c>
      <c r="E36" s="53">
        <v>43951</v>
      </c>
      <c r="F36" s="21">
        <f t="shared" si="10"/>
        <v>32</v>
      </c>
      <c r="G36" s="53">
        <v>43919</v>
      </c>
      <c r="H36" s="9">
        <v>2021</v>
      </c>
      <c r="I36" s="9">
        <v>1</v>
      </c>
      <c r="J36" s="50">
        <v>4</v>
      </c>
      <c r="K36" s="50" t="s">
        <v>201</v>
      </c>
      <c r="L36" s="48" t="s">
        <v>1695</v>
      </c>
      <c r="M36" s="48"/>
      <c r="V36" t="s">
        <v>950</v>
      </c>
      <c r="AA36" s="47">
        <v>1</v>
      </c>
      <c r="AB36">
        <v>-1</v>
      </c>
      <c r="AC36" s="47">
        <v>1</v>
      </c>
      <c r="AD36" s="47">
        <v>1</v>
      </c>
      <c r="AE36" s="47">
        <v>1</v>
      </c>
      <c r="AF36" s="47">
        <v>1</v>
      </c>
      <c r="AG36" s="47">
        <v>1</v>
      </c>
      <c r="AH36" s="47">
        <v>1</v>
      </c>
      <c r="AI36" s="47">
        <v>1</v>
      </c>
      <c r="AJ36" s="47" t="str">
        <f t="shared" si="9"/>
        <v>Other</v>
      </c>
    </row>
    <row r="37" spans="1:38" s="47" customFormat="1" x14ac:dyDescent="0.35">
      <c r="A37" s="9">
        <v>1</v>
      </c>
      <c r="B37" s="50" t="s">
        <v>11</v>
      </c>
      <c r="C37" s="53">
        <v>43855</v>
      </c>
      <c r="D37" s="53">
        <v>43919</v>
      </c>
      <c r="E37" s="53">
        <v>43951</v>
      </c>
      <c r="F37" s="21">
        <f t="shared" si="10"/>
        <v>32</v>
      </c>
      <c r="G37" s="53">
        <v>43919</v>
      </c>
      <c r="H37" s="9">
        <v>2021</v>
      </c>
      <c r="I37" s="9">
        <v>1</v>
      </c>
      <c r="J37" s="50">
        <v>2</v>
      </c>
      <c r="K37" s="50">
        <v>15</v>
      </c>
      <c r="L37" s="48" t="s">
        <v>1755</v>
      </c>
      <c r="M37" s="48"/>
      <c r="V37" t="s">
        <v>950</v>
      </c>
      <c r="AA37" s="47">
        <v>1</v>
      </c>
      <c r="AB37">
        <v>-1</v>
      </c>
      <c r="AC37" s="47">
        <v>-1</v>
      </c>
      <c r="AD37" s="47">
        <v>-1</v>
      </c>
      <c r="AE37" s="47">
        <v>1</v>
      </c>
      <c r="AF37" s="47">
        <v>1</v>
      </c>
      <c r="AG37" s="47">
        <v>1</v>
      </c>
      <c r="AH37" s="47">
        <v>1</v>
      </c>
      <c r="AI37" s="47">
        <v>1</v>
      </c>
      <c r="AJ37" s="47">
        <f t="shared" si="9"/>
        <v>15</v>
      </c>
    </row>
    <row r="38" spans="1:38" s="47" customFormat="1" x14ac:dyDescent="0.35">
      <c r="A38" s="9">
        <v>1</v>
      </c>
      <c r="B38" s="50" t="s">
        <v>11</v>
      </c>
      <c r="C38" s="53">
        <v>43855</v>
      </c>
      <c r="D38" s="53">
        <v>43919</v>
      </c>
      <c r="E38" s="53">
        <v>43951</v>
      </c>
      <c r="F38" s="21">
        <f t="shared" si="10"/>
        <v>32</v>
      </c>
      <c r="G38" s="53">
        <v>43919</v>
      </c>
      <c r="H38" s="9">
        <v>2021</v>
      </c>
      <c r="I38" s="9">
        <v>1</v>
      </c>
      <c r="J38" s="50">
        <v>4</v>
      </c>
      <c r="K38" s="50" t="s">
        <v>201</v>
      </c>
      <c r="L38" s="48" t="s">
        <v>1754</v>
      </c>
      <c r="M38" s="48"/>
      <c r="V38" t="s">
        <v>950</v>
      </c>
      <c r="AA38" s="47">
        <v>-1</v>
      </c>
      <c r="AB38">
        <v>-1</v>
      </c>
      <c r="AC38" s="47">
        <v>-1</v>
      </c>
      <c r="AD38" s="47">
        <v>-1</v>
      </c>
      <c r="AE38" s="47">
        <v>-1</v>
      </c>
      <c r="AF38" s="47">
        <v>-1</v>
      </c>
      <c r="AG38" s="47">
        <v>1</v>
      </c>
      <c r="AH38" s="47">
        <v>-1</v>
      </c>
      <c r="AI38" s="47">
        <v>1</v>
      </c>
      <c r="AJ38" s="47" t="str">
        <f t="shared" si="9"/>
        <v>Other</v>
      </c>
    </row>
    <row r="39" spans="1:38" s="47" customFormat="1" x14ac:dyDescent="0.35">
      <c r="A39" s="9">
        <v>1</v>
      </c>
      <c r="B39" s="50" t="s">
        <v>11</v>
      </c>
      <c r="C39" s="53">
        <v>43855</v>
      </c>
      <c r="D39" s="53">
        <v>43919</v>
      </c>
      <c r="E39" s="53">
        <v>43951</v>
      </c>
      <c r="F39" s="21">
        <f t="shared" si="10"/>
        <v>32</v>
      </c>
      <c r="G39" s="53">
        <v>43919</v>
      </c>
      <c r="H39" s="9">
        <v>2021</v>
      </c>
      <c r="I39" s="9">
        <v>1</v>
      </c>
      <c r="J39" s="50">
        <v>5</v>
      </c>
      <c r="K39" s="50">
        <v>22</v>
      </c>
      <c r="L39" s="48" t="s">
        <v>1756</v>
      </c>
      <c r="M39" s="48"/>
      <c r="V39" t="s">
        <v>950</v>
      </c>
      <c r="AA39" s="47">
        <v>-1</v>
      </c>
      <c r="AB39">
        <v>-1</v>
      </c>
      <c r="AC39" s="47">
        <v>-1</v>
      </c>
      <c r="AD39" s="47">
        <v>-1</v>
      </c>
      <c r="AE39" s="47">
        <v>-1</v>
      </c>
      <c r="AF39" s="47">
        <v>-1</v>
      </c>
      <c r="AG39" s="47">
        <v>1</v>
      </c>
      <c r="AH39" s="47">
        <v>-1</v>
      </c>
      <c r="AI39" s="47">
        <v>1</v>
      </c>
      <c r="AJ39" s="47">
        <f t="shared" si="9"/>
        <v>22</v>
      </c>
    </row>
    <row r="40" spans="1:38" s="47" customFormat="1" x14ac:dyDescent="0.35">
      <c r="A40" s="9">
        <v>1</v>
      </c>
      <c r="B40" s="50" t="s">
        <v>11</v>
      </c>
      <c r="C40" s="53">
        <v>43855</v>
      </c>
      <c r="D40" s="53">
        <v>43919</v>
      </c>
      <c r="E40" s="53">
        <v>43951</v>
      </c>
      <c r="F40" s="21">
        <f t="shared" ref="F40:F42" si="12">DATEDIF(D40,E40,"D")</f>
        <v>32</v>
      </c>
      <c r="G40" s="53">
        <v>43919</v>
      </c>
      <c r="H40" s="9">
        <v>2021</v>
      </c>
      <c r="I40" s="9">
        <v>1</v>
      </c>
      <c r="J40" s="50">
        <v>7</v>
      </c>
      <c r="K40" s="50">
        <v>30</v>
      </c>
      <c r="L40" s="48" t="s">
        <v>1822</v>
      </c>
      <c r="M40" s="48"/>
      <c r="V40"/>
      <c r="AB40"/>
      <c r="AJ40" s="47">
        <f t="shared" si="9"/>
        <v>30</v>
      </c>
    </row>
    <row r="41" spans="1:38" s="47" customFormat="1" x14ac:dyDescent="0.35">
      <c r="A41" s="9">
        <v>1</v>
      </c>
      <c r="B41" s="50" t="s">
        <v>11</v>
      </c>
      <c r="C41" s="53">
        <v>43855</v>
      </c>
      <c r="D41" s="53">
        <v>43919</v>
      </c>
      <c r="E41" s="53">
        <v>43951</v>
      </c>
      <c r="F41" s="21">
        <f t="shared" si="12"/>
        <v>32</v>
      </c>
      <c r="G41" s="53">
        <v>43919</v>
      </c>
      <c r="H41" s="9">
        <v>2021</v>
      </c>
      <c r="I41" s="9">
        <v>1</v>
      </c>
      <c r="J41" s="50">
        <v>1</v>
      </c>
      <c r="K41" s="50">
        <v>7</v>
      </c>
      <c r="L41" s="71" t="s">
        <v>1823</v>
      </c>
      <c r="M41" s="48"/>
      <c r="V41"/>
      <c r="AB41"/>
      <c r="AJ41" s="47">
        <f t="shared" si="9"/>
        <v>7</v>
      </c>
    </row>
    <row r="42" spans="1:38" s="47" customFormat="1" x14ac:dyDescent="0.35">
      <c r="A42" s="9">
        <v>1</v>
      </c>
      <c r="B42" s="50" t="s">
        <v>11</v>
      </c>
      <c r="C42" s="53">
        <v>43855</v>
      </c>
      <c r="D42" s="53">
        <v>43919</v>
      </c>
      <c r="E42" s="53">
        <v>43951</v>
      </c>
      <c r="F42" s="21">
        <f t="shared" si="12"/>
        <v>32</v>
      </c>
      <c r="G42" s="53">
        <v>43919</v>
      </c>
      <c r="H42" s="9">
        <v>2021</v>
      </c>
      <c r="I42" s="9">
        <v>1</v>
      </c>
      <c r="J42" s="50">
        <v>7</v>
      </c>
      <c r="K42" s="50">
        <v>30</v>
      </c>
      <c r="L42" s="49" t="s">
        <v>1824</v>
      </c>
      <c r="M42" s="48"/>
      <c r="V42"/>
      <c r="AB42"/>
      <c r="AJ42" s="47">
        <f t="shared" si="9"/>
        <v>30</v>
      </c>
    </row>
    <row r="43" spans="1:38" x14ac:dyDescent="0.35">
      <c r="A43" s="50">
        <v>0</v>
      </c>
      <c r="B43" s="9" t="s">
        <v>12</v>
      </c>
      <c r="C43" s="53">
        <v>43886</v>
      </c>
      <c r="D43" s="53">
        <v>43906</v>
      </c>
      <c r="E43" s="53">
        <v>43970</v>
      </c>
      <c r="F43" s="21">
        <f t="shared" si="10"/>
        <v>64</v>
      </c>
      <c r="G43" s="53">
        <v>43906</v>
      </c>
      <c r="H43" s="9">
        <v>2020</v>
      </c>
      <c r="I43" s="50">
        <v>0</v>
      </c>
      <c r="J43" s="9">
        <v>6</v>
      </c>
      <c r="K43" s="9">
        <v>27</v>
      </c>
      <c r="L43" s="50" t="s">
        <v>238</v>
      </c>
      <c r="M43">
        <v>2</v>
      </c>
      <c r="N43">
        <v>1</v>
      </c>
      <c r="O43">
        <v>2</v>
      </c>
      <c r="P43">
        <v>-2</v>
      </c>
      <c r="Q43">
        <v>2</v>
      </c>
      <c r="R43">
        <v>1</v>
      </c>
      <c r="S43">
        <v>1</v>
      </c>
      <c r="T43">
        <v>1</v>
      </c>
      <c r="U43">
        <v>1</v>
      </c>
      <c r="V43" t="s">
        <v>951</v>
      </c>
      <c r="W43" t="s">
        <v>989</v>
      </c>
      <c r="X43" t="s">
        <v>997</v>
      </c>
      <c r="Y43" t="s">
        <v>1000</v>
      </c>
      <c r="Z43">
        <v>0</v>
      </c>
      <c r="AA43">
        <f t="shared" ref="AA43:AA58" si="13">IF(M43&gt;0,1,IF(M43&lt;0,0,-1))</f>
        <v>1</v>
      </c>
      <c r="AB43">
        <f t="shared" ref="AB43:AB58" si="14">IF(N43&gt;0,1,IF(N43&lt;0,0,-1))</f>
        <v>1</v>
      </c>
      <c r="AC43">
        <f t="shared" ref="AC43:AC58" si="15">IF(O43&gt;0,1,IF(O43&lt;0,0,-1))</f>
        <v>1</v>
      </c>
      <c r="AD43">
        <f t="shared" ref="AD43:AD58" si="16">IF(P43&gt;0,1,IF(P43&lt;0,0,-1))</f>
        <v>0</v>
      </c>
      <c r="AE43">
        <f t="shared" ref="AE43:AE58" si="17">IF(Q43&gt;0,1,IF(Q43&lt;0,0,-1))</f>
        <v>1</v>
      </c>
      <c r="AF43">
        <f t="shared" ref="AF43:AF58" si="18">IF(R43&gt;0,1,IF(R43&lt;0,0,-1))</f>
        <v>1</v>
      </c>
      <c r="AG43">
        <f t="shared" ref="AG43:AG58" si="19">IF(S43&gt;0,1,IF(S43&lt;0,0,-1))</f>
        <v>1</v>
      </c>
      <c r="AH43">
        <f t="shared" ref="AH43:AH58" si="20">IF(T43&gt;0,1,IF(T43&lt;0,0,-1))</f>
        <v>1</v>
      </c>
      <c r="AI43">
        <f t="shared" ref="AI43:AI58" si="21">IF(U43&gt;0,1,IF(U43&lt;0,0,-1))</f>
        <v>1</v>
      </c>
      <c r="AJ43" s="9">
        <f t="shared" si="9"/>
        <v>27</v>
      </c>
      <c r="AK43">
        <f>IF(B43&lt;&gt;B32,1,0)</f>
        <v>1</v>
      </c>
      <c r="AL43" s="9">
        <v>1</v>
      </c>
    </row>
    <row r="44" spans="1:38" x14ac:dyDescent="0.35">
      <c r="A44" s="50">
        <v>0</v>
      </c>
      <c r="B44" s="9" t="s">
        <v>12</v>
      </c>
      <c r="C44" s="53">
        <v>43886</v>
      </c>
      <c r="D44" s="53">
        <v>43906</v>
      </c>
      <c r="E44" s="53">
        <v>43970</v>
      </c>
      <c r="F44" s="21">
        <f t="shared" si="10"/>
        <v>64</v>
      </c>
      <c r="G44" s="53">
        <v>43906</v>
      </c>
      <c r="H44" s="9">
        <v>2020</v>
      </c>
      <c r="I44" s="50">
        <v>0</v>
      </c>
      <c r="J44" s="9">
        <v>5</v>
      </c>
      <c r="K44" s="9">
        <v>21</v>
      </c>
      <c r="L44" s="50" t="s">
        <v>250</v>
      </c>
      <c r="M44">
        <v>1</v>
      </c>
      <c r="N44">
        <v>1</v>
      </c>
      <c r="O44">
        <v>-2</v>
      </c>
      <c r="P44">
        <v>-1</v>
      </c>
      <c r="Q44">
        <v>-2</v>
      </c>
      <c r="R44">
        <v>-2</v>
      </c>
      <c r="S44">
        <v>-2</v>
      </c>
      <c r="U44">
        <v>1</v>
      </c>
      <c r="V44" t="s">
        <v>951</v>
      </c>
      <c r="W44" t="s">
        <v>989</v>
      </c>
      <c r="X44" t="s">
        <v>997</v>
      </c>
      <c r="Y44" t="s">
        <v>1000</v>
      </c>
      <c r="Z44">
        <v>0</v>
      </c>
      <c r="AA44">
        <f t="shared" si="13"/>
        <v>1</v>
      </c>
      <c r="AB44">
        <f t="shared" si="14"/>
        <v>1</v>
      </c>
      <c r="AC44">
        <f t="shared" si="15"/>
        <v>0</v>
      </c>
      <c r="AD44">
        <f t="shared" si="16"/>
        <v>0</v>
      </c>
      <c r="AE44">
        <f t="shared" si="17"/>
        <v>0</v>
      </c>
      <c r="AF44">
        <f t="shared" si="18"/>
        <v>0</v>
      </c>
      <c r="AG44">
        <f t="shared" si="19"/>
        <v>0</v>
      </c>
      <c r="AH44">
        <f t="shared" si="20"/>
        <v>-1</v>
      </c>
      <c r="AI44">
        <f t="shared" si="21"/>
        <v>1</v>
      </c>
      <c r="AJ44" s="9">
        <f>IF(ISNUMBER(K44),K44,IF(OR(K44="general",K44="23;general"),"General",IF(OR(K44="exemption",K44="other (exemption)"),"Tax exemption/waiver/suspension","Other")))</f>
        <v>21</v>
      </c>
      <c r="AK44">
        <f t="shared" si="11"/>
        <v>0</v>
      </c>
      <c r="AL44" s="9">
        <v>1</v>
      </c>
    </row>
    <row r="45" spans="1:38" x14ac:dyDescent="0.35">
      <c r="A45" s="50">
        <v>0</v>
      </c>
      <c r="B45" s="9" t="s">
        <v>12</v>
      </c>
      <c r="C45" s="53">
        <v>43886</v>
      </c>
      <c r="D45" s="53">
        <v>43906</v>
      </c>
      <c r="E45" s="53">
        <v>43970</v>
      </c>
      <c r="F45" s="21">
        <f t="shared" si="10"/>
        <v>64</v>
      </c>
      <c r="G45" s="53">
        <v>43906</v>
      </c>
      <c r="H45" s="9">
        <v>2020</v>
      </c>
      <c r="I45" s="50">
        <v>0</v>
      </c>
      <c r="J45" s="9">
        <v>1</v>
      </c>
      <c r="K45" s="9" t="s">
        <v>206</v>
      </c>
      <c r="L45" s="50" t="s">
        <v>1825</v>
      </c>
      <c r="M45">
        <v>2</v>
      </c>
      <c r="N45">
        <v>2</v>
      </c>
      <c r="O45">
        <v>-2</v>
      </c>
      <c r="P45">
        <v>-1</v>
      </c>
      <c r="Q45">
        <v>-2</v>
      </c>
      <c r="R45">
        <v>2</v>
      </c>
      <c r="S45">
        <v>-2</v>
      </c>
      <c r="T45">
        <v>2</v>
      </c>
      <c r="U45">
        <v>1</v>
      </c>
      <c r="V45" t="s">
        <v>951</v>
      </c>
      <c r="W45" t="s">
        <v>989</v>
      </c>
      <c r="X45" t="s">
        <v>997</v>
      </c>
      <c r="Y45" t="s">
        <v>1000</v>
      </c>
      <c r="Z45">
        <v>0</v>
      </c>
      <c r="AA45">
        <f t="shared" si="13"/>
        <v>1</v>
      </c>
      <c r="AB45">
        <f t="shared" si="14"/>
        <v>1</v>
      </c>
      <c r="AC45">
        <f t="shared" si="15"/>
        <v>0</v>
      </c>
      <c r="AD45">
        <f t="shared" si="16"/>
        <v>0</v>
      </c>
      <c r="AE45">
        <f t="shared" si="17"/>
        <v>0</v>
      </c>
      <c r="AF45">
        <f t="shared" si="18"/>
        <v>1</v>
      </c>
      <c r="AG45">
        <f t="shared" si="19"/>
        <v>0</v>
      </c>
      <c r="AH45">
        <f t="shared" si="20"/>
        <v>1</v>
      </c>
      <c r="AI45">
        <f t="shared" si="21"/>
        <v>1</v>
      </c>
      <c r="AJ45" s="9" t="str">
        <f t="shared" si="9"/>
        <v>Tax exemption/waiver/suspension</v>
      </c>
      <c r="AK45">
        <f t="shared" si="11"/>
        <v>0</v>
      </c>
      <c r="AL45" s="9">
        <v>1</v>
      </c>
    </row>
    <row r="46" spans="1:38" x14ac:dyDescent="0.35">
      <c r="A46" s="50">
        <v>0</v>
      </c>
      <c r="B46" s="9" t="s">
        <v>12</v>
      </c>
      <c r="C46" s="53">
        <v>43886</v>
      </c>
      <c r="D46" s="53">
        <v>43906</v>
      </c>
      <c r="E46" s="53">
        <v>43970</v>
      </c>
      <c r="F46" s="21">
        <f t="shared" si="10"/>
        <v>64</v>
      </c>
      <c r="G46" s="53">
        <v>43906</v>
      </c>
      <c r="H46" s="9">
        <v>2020</v>
      </c>
      <c r="I46" s="50">
        <v>0</v>
      </c>
      <c r="J46" s="9">
        <v>6</v>
      </c>
      <c r="K46" s="9">
        <v>27</v>
      </c>
      <c r="L46" s="50" t="s">
        <v>249</v>
      </c>
      <c r="M46">
        <v>2</v>
      </c>
      <c r="N46">
        <v>1</v>
      </c>
      <c r="O46">
        <v>1</v>
      </c>
      <c r="P46">
        <v>-1</v>
      </c>
      <c r="Q46">
        <v>1</v>
      </c>
      <c r="R46">
        <v>2</v>
      </c>
      <c r="S46">
        <v>1</v>
      </c>
      <c r="T46">
        <v>1</v>
      </c>
      <c r="U46">
        <v>1</v>
      </c>
      <c r="V46" t="s">
        <v>951</v>
      </c>
      <c r="W46" t="s">
        <v>989</v>
      </c>
      <c r="X46" t="s">
        <v>997</v>
      </c>
      <c r="Y46" t="s">
        <v>1000</v>
      </c>
      <c r="Z46">
        <v>0</v>
      </c>
      <c r="AA46">
        <f t="shared" si="13"/>
        <v>1</v>
      </c>
      <c r="AB46">
        <f t="shared" si="14"/>
        <v>1</v>
      </c>
      <c r="AC46">
        <f t="shared" si="15"/>
        <v>1</v>
      </c>
      <c r="AD46">
        <f t="shared" si="16"/>
        <v>0</v>
      </c>
      <c r="AE46">
        <f t="shared" si="17"/>
        <v>1</v>
      </c>
      <c r="AF46">
        <f t="shared" si="18"/>
        <v>1</v>
      </c>
      <c r="AG46">
        <f t="shared" si="19"/>
        <v>1</v>
      </c>
      <c r="AH46">
        <f t="shared" si="20"/>
        <v>1</v>
      </c>
      <c r="AI46">
        <f t="shared" si="21"/>
        <v>1</v>
      </c>
      <c r="AJ46" s="9">
        <f t="shared" si="9"/>
        <v>27</v>
      </c>
      <c r="AK46">
        <f t="shared" si="11"/>
        <v>0</v>
      </c>
      <c r="AL46" s="9">
        <v>1</v>
      </c>
    </row>
    <row r="47" spans="1:38" x14ac:dyDescent="0.35">
      <c r="A47" s="50">
        <v>0</v>
      </c>
      <c r="B47" s="9" t="s">
        <v>12</v>
      </c>
      <c r="C47" s="53">
        <v>43886</v>
      </c>
      <c r="D47" s="53">
        <v>43906</v>
      </c>
      <c r="E47" s="53">
        <v>43970</v>
      </c>
      <c r="F47" s="21">
        <f t="shared" si="10"/>
        <v>64</v>
      </c>
      <c r="G47" s="53">
        <v>43906</v>
      </c>
      <c r="H47" s="9">
        <v>2020</v>
      </c>
      <c r="I47" s="50">
        <v>0</v>
      </c>
      <c r="J47" s="9">
        <v>7</v>
      </c>
      <c r="K47" s="9">
        <v>30</v>
      </c>
      <c r="L47" s="50" t="s">
        <v>243</v>
      </c>
      <c r="M47">
        <v>-2</v>
      </c>
      <c r="N47">
        <v>1</v>
      </c>
      <c r="O47">
        <v>1</v>
      </c>
      <c r="P47">
        <v>1</v>
      </c>
      <c r="Q47">
        <v>1</v>
      </c>
      <c r="R47">
        <v>2</v>
      </c>
      <c r="S47">
        <v>1</v>
      </c>
      <c r="T47">
        <v>-2</v>
      </c>
      <c r="U47">
        <v>1</v>
      </c>
      <c r="V47" t="s">
        <v>951</v>
      </c>
      <c r="W47" t="s">
        <v>989</v>
      </c>
      <c r="X47" t="s">
        <v>997</v>
      </c>
      <c r="Y47" t="s">
        <v>1000</v>
      </c>
      <c r="Z47">
        <v>0</v>
      </c>
      <c r="AA47">
        <f t="shared" si="13"/>
        <v>0</v>
      </c>
      <c r="AB47">
        <f t="shared" si="14"/>
        <v>1</v>
      </c>
      <c r="AC47">
        <f t="shared" si="15"/>
        <v>1</v>
      </c>
      <c r="AD47">
        <f t="shared" si="16"/>
        <v>1</v>
      </c>
      <c r="AE47">
        <f t="shared" si="17"/>
        <v>1</v>
      </c>
      <c r="AF47">
        <f t="shared" si="18"/>
        <v>1</v>
      </c>
      <c r="AG47">
        <f t="shared" si="19"/>
        <v>1</v>
      </c>
      <c r="AH47">
        <f t="shared" si="20"/>
        <v>0</v>
      </c>
      <c r="AI47">
        <f t="shared" si="21"/>
        <v>1</v>
      </c>
      <c r="AJ47" s="9">
        <f t="shared" si="9"/>
        <v>30</v>
      </c>
      <c r="AK47">
        <f t="shared" si="11"/>
        <v>0</v>
      </c>
      <c r="AL47" s="9">
        <v>1</v>
      </c>
    </row>
    <row r="48" spans="1:38" x14ac:dyDescent="0.35">
      <c r="A48" s="50">
        <v>0</v>
      </c>
      <c r="B48" s="9" t="s">
        <v>12</v>
      </c>
      <c r="C48" s="53">
        <v>43886</v>
      </c>
      <c r="D48" s="53">
        <v>43906</v>
      </c>
      <c r="E48" s="53">
        <v>43970</v>
      </c>
      <c r="F48" s="21">
        <f t="shared" si="10"/>
        <v>64</v>
      </c>
      <c r="G48" s="53">
        <v>43906</v>
      </c>
      <c r="H48" s="9">
        <v>2020</v>
      </c>
      <c r="I48" s="50">
        <v>0</v>
      </c>
      <c r="J48" s="9">
        <v>6</v>
      </c>
      <c r="K48" s="9">
        <v>28</v>
      </c>
      <c r="L48" s="50" t="s">
        <v>245</v>
      </c>
      <c r="M48">
        <v>2</v>
      </c>
      <c r="N48">
        <v>2</v>
      </c>
      <c r="P48">
        <v>-1</v>
      </c>
      <c r="Q48">
        <v>2</v>
      </c>
      <c r="R48">
        <v>2</v>
      </c>
      <c r="S48">
        <v>1</v>
      </c>
      <c r="U48">
        <v>1</v>
      </c>
      <c r="V48" t="s">
        <v>951</v>
      </c>
      <c r="W48" t="s">
        <v>989</v>
      </c>
      <c r="X48" t="s">
        <v>997</v>
      </c>
      <c r="Y48" t="s">
        <v>1000</v>
      </c>
      <c r="Z48">
        <v>0</v>
      </c>
      <c r="AA48">
        <f t="shared" si="13"/>
        <v>1</v>
      </c>
      <c r="AB48">
        <f t="shared" si="14"/>
        <v>1</v>
      </c>
      <c r="AC48">
        <f t="shared" si="15"/>
        <v>-1</v>
      </c>
      <c r="AD48">
        <f t="shared" si="16"/>
        <v>0</v>
      </c>
      <c r="AE48">
        <f t="shared" si="17"/>
        <v>1</v>
      </c>
      <c r="AF48">
        <f t="shared" si="18"/>
        <v>1</v>
      </c>
      <c r="AG48">
        <f t="shared" si="19"/>
        <v>1</v>
      </c>
      <c r="AH48">
        <f t="shared" si="20"/>
        <v>-1</v>
      </c>
      <c r="AI48">
        <f t="shared" si="21"/>
        <v>1</v>
      </c>
      <c r="AJ48" s="9">
        <f t="shared" si="9"/>
        <v>28</v>
      </c>
      <c r="AK48">
        <f t="shared" si="11"/>
        <v>0</v>
      </c>
      <c r="AL48" s="9">
        <v>1</v>
      </c>
    </row>
    <row r="49" spans="1:38" x14ac:dyDescent="0.35">
      <c r="A49" s="50">
        <v>0</v>
      </c>
      <c r="B49" s="9" t="s">
        <v>12</v>
      </c>
      <c r="C49" s="53">
        <v>43886</v>
      </c>
      <c r="D49" s="53">
        <v>43906</v>
      </c>
      <c r="E49" s="53">
        <v>43970</v>
      </c>
      <c r="F49" s="21">
        <f t="shared" si="10"/>
        <v>64</v>
      </c>
      <c r="G49" s="53">
        <v>43906</v>
      </c>
      <c r="H49" s="9">
        <v>2020</v>
      </c>
      <c r="I49" s="50">
        <v>0</v>
      </c>
      <c r="J49" s="9">
        <v>9</v>
      </c>
      <c r="K49" s="9">
        <v>34</v>
      </c>
      <c r="L49" s="50" t="s">
        <v>240</v>
      </c>
      <c r="M49">
        <v>1</v>
      </c>
      <c r="N49">
        <v>1</v>
      </c>
      <c r="O49">
        <v>-2</v>
      </c>
      <c r="P49">
        <v>-1</v>
      </c>
      <c r="Q49">
        <v>-2</v>
      </c>
      <c r="R49">
        <v>-2</v>
      </c>
      <c r="S49">
        <v>1</v>
      </c>
      <c r="T49">
        <v>-2</v>
      </c>
      <c r="U49">
        <v>1</v>
      </c>
      <c r="V49" t="s">
        <v>951</v>
      </c>
      <c r="W49" t="s">
        <v>989</v>
      </c>
      <c r="X49" t="s">
        <v>997</v>
      </c>
      <c r="Y49" t="s">
        <v>1000</v>
      </c>
      <c r="Z49">
        <v>0</v>
      </c>
      <c r="AA49">
        <f t="shared" si="13"/>
        <v>1</v>
      </c>
      <c r="AB49">
        <f t="shared" si="14"/>
        <v>1</v>
      </c>
      <c r="AC49">
        <f t="shared" si="15"/>
        <v>0</v>
      </c>
      <c r="AD49">
        <f t="shared" si="16"/>
        <v>0</v>
      </c>
      <c r="AE49">
        <f t="shared" si="17"/>
        <v>0</v>
      </c>
      <c r="AF49">
        <f t="shared" si="18"/>
        <v>0</v>
      </c>
      <c r="AG49">
        <f t="shared" si="19"/>
        <v>1</v>
      </c>
      <c r="AH49">
        <f t="shared" si="20"/>
        <v>0</v>
      </c>
      <c r="AI49">
        <f t="shared" si="21"/>
        <v>1</v>
      </c>
      <c r="AJ49" s="9">
        <f t="shared" si="9"/>
        <v>34</v>
      </c>
      <c r="AK49">
        <f t="shared" si="11"/>
        <v>0</v>
      </c>
      <c r="AL49" s="9">
        <v>1</v>
      </c>
    </row>
    <row r="50" spans="1:38" x14ac:dyDescent="0.35">
      <c r="A50" s="50">
        <v>0</v>
      </c>
      <c r="B50" s="9" t="s">
        <v>12</v>
      </c>
      <c r="C50" s="53">
        <v>43886</v>
      </c>
      <c r="D50" s="53">
        <v>43906</v>
      </c>
      <c r="E50" s="53">
        <v>43970</v>
      </c>
      <c r="F50" s="21">
        <f t="shared" si="10"/>
        <v>64</v>
      </c>
      <c r="G50" s="53">
        <v>43906</v>
      </c>
      <c r="H50" s="9">
        <v>2020</v>
      </c>
      <c r="I50" s="50">
        <v>0</v>
      </c>
      <c r="J50" s="9">
        <v>1</v>
      </c>
      <c r="K50" s="9">
        <v>5</v>
      </c>
      <c r="L50" s="50" t="s">
        <v>247</v>
      </c>
      <c r="M50">
        <v>-2</v>
      </c>
      <c r="N50">
        <v>2</v>
      </c>
      <c r="O50">
        <v>2</v>
      </c>
      <c r="P50">
        <v>1</v>
      </c>
      <c r="Q50">
        <v>-2</v>
      </c>
      <c r="R50">
        <v>2</v>
      </c>
      <c r="S50">
        <v>1</v>
      </c>
      <c r="T50">
        <v>1</v>
      </c>
      <c r="U50">
        <v>1</v>
      </c>
      <c r="V50" t="s">
        <v>951</v>
      </c>
      <c r="W50" t="s">
        <v>989</v>
      </c>
      <c r="X50" t="s">
        <v>997</v>
      </c>
      <c r="Y50" t="s">
        <v>1000</v>
      </c>
      <c r="Z50">
        <v>0</v>
      </c>
      <c r="AA50">
        <f t="shared" si="13"/>
        <v>0</v>
      </c>
      <c r="AB50">
        <f t="shared" si="14"/>
        <v>1</v>
      </c>
      <c r="AC50">
        <f t="shared" si="15"/>
        <v>1</v>
      </c>
      <c r="AD50">
        <f t="shared" si="16"/>
        <v>1</v>
      </c>
      <c r="AE50">
        <f t="shared" si="17"/>
        <v>0</v>
      </c>
      <c r="AF50">
        <f t="shared" si="18"/>
        <v>1</v>
      </c>
      <c r="AG50">
        <f t="shared" si="19"/>
        <v>1</v>
      </c>
      <c r="AH50">
        <f t="shared" si="20"/>
        <v>1</v>
      </c>
      <c r="AI50">
        <f t="shared" si="21"/>
        <v>1</v>
      </c>
      <c r="AJ50" s="9">
        <f t="shared" si="9"/>
        <v>5</v>
      </c>
      <c r="AK50">
        <f t="shared" si="11"/>
        <v>0</v>
      </c>
      <c r="AL50" s="9">
        <v>1</v>
      </c>
    </row>
    <row r="51" spans="1:38" x14ac:dyDescent="0.35">
      <c r="A51" s="50">
        <v>0</v>
      </c>
      <c r="B51" s="9" t="s">
        <v>12</v>
      </c>
      <c r="C51" s="53">
        <v>43886</v>
      </c>
      <c r="D51" s="53">
        <v>43906</v>
      </c>
      <c r="E51" s="53">
        <v>43970</v>
      </c>
      <c r="F51" s="21">
        <f t="shared" si="10"/>
        <v>64</v>
      </c>
      <c r="G51" s="53">
        <v>43906</v>
      </c>
      <c r="H51" s="9">
        <v>2020</v>
      </c>
      <c r="I51" s="50">
        <v>0</v>
      </c>
      <c r="J51" s="9">
        <v>6</v>
      </c>
      <c r="K51" s="9">
        <v>29</v>
      </c>
      <c r="L51" s="50" t="s">
        <v>237</v>
      </c>
      <c r="N51">
        <v>1</v>
      </c>
      <c r="P51">
        <v>-1</v>
      </c>
      <c r="R51">
        <v>-2</v>
      </c>
      <c r="S51">
        <v>1</v>
      </c>
      <c r="T51">
        <v>-1</v>
      </c>
      <c r="V51" t="s">
        <v>951</v>
      </c>
      <c r="W51" t="s">
        <v>989</v>
      </c>
      <c r="X51" t="s">
        <v>997</v>
      </c>
      <c r="Y51" t="s">
        <v>1000</v>
      </c>
      <c r="Z51">
        <v>0</v>
      </c>
      <c r="AA51">
        <f t="shared" si="13"/>
        <v>-1</v>
      </c>
      <c r="AB51">
        <f t="shared" si="14"/>
        <v>1</v>
      </c>
      <c r="AC51">
        <f t="shared" si="15"/>
        <v>-1</v>
      </c>
      <c r="AD51">
        <f t="shared" si="16"/>
        <v>0</v>
      </c>
      <c r="AE51">
        <f t="shared" si="17"/>
        <v>-1</v>
      </c>
      <c r="AF51">
        <f t="shared" si="18"/>
        <v>0</v>
      </c>
      <c r="AG51">
        <f t="shared" si="19"/>
        <v>1</v>
      </c>
      <c r="AH51">
        <f t="shared" si="20"/>
        <v>0</v>
      </c>
      <c r="AI51">
        <f t="shared" si="21"/>
        <v>-1</v>
      </c>
      <c r="AJ51" s="9">
        <f t="shared" si="9"/>
        <v>29</v>
      </c>
      <c r="AK51">
        <f t="shared" si="11"/>
        <v>0</v>
      </c>
      <c r="AL51" s="9">
        <v>1</v>
      </c>
    </row>
    <row r="52" spans="1:38" x14ac:dyDescent="0.35">
      <c r="A52" s="50">
        <v>0</v>
      </c>
      <c r="B52" s="9" t="s">
        <v>12</v>
      </c>
      <c r="C52" s="53">
        <v>43886</v>
      </c>
      <c r="D52" s="53">
        <v>43906</v>
      </c>
      <c r="E52" s="53">
        <v>43970</v>
      </c>
      <c r="F52" s="21">
        <f t="shared" si="10"/>
        <v>64</v>
      </c>
      <c r="G52" s="53">
        <v>43906</v>
      </c>
      <c r="H52" s="9">
        <v>2020</v>
      </c>
      <c r="I52" s="50">
        <v>0</v>
      </c>
      <c r="J52" s="9">
        <v>2</v>
      </c>
      <c r="K52" s="9" t="s">
        <v>206</v>
      </c>
      <c r="L52" s="50" t="s">
        <v>244</v>
      </c>
      <c r="M52">
        <v>-2</v>
      </c>
      <c r="N52">
        <v>2</v>
      </c>
      <c r="O52">
        <v>-2</v>
      </c>
      <c r="P52">
        <v>-1</v>
      </c>
      <c r="Q52">
        <v>-2</v>
      </c>
      <c r="R52">
        <v>2</v>
      </c>
      <c r="S52">
        <v>1</v>
      </c>
      <c r="T52">
        <v>-2</v>
      </c>
      <c r="U52">
        <v>1</v>
      </c>
      <c r="V52" t="s">
        <v>951</v>
      </c>
      <c r="W52" t="s">
        <v>989</v>
      </c>
      <c r="X52" t="s">
        <v>997</v>
      </c>
      <c r="Y52" t="s">
        <v>1000</v>
      </c>
      <c r="Z52">
        <v>0</v>
      </c>
      <c r="AA52">
        <f t="shared" si="13"/>
        <v>0</v>
      </c>
      <c r="AB52">
        <f t="shared" si="14"/>
        <v>1</v>
      </c>
      <c r="AC52">
        <f t="shared" si="15"/>
        <v>0</v>
      </c>
      <c r="AD52">
        <f t="shared" si="16"/>
        <v>0</v>
      </c>
      <c r="AE52">
        <f t="shared" si="17"/>
        <v>0</v>
      </c>
      <c r="AF52">
        <f t="shared" si="18"/>
        <v>1</v>
      </c>
      <c r="AG52">
        <f t="shared" si="19"/>
        <v>1</v>
      </c>
      <c r="AH52">
        <f t="shared" si="20"/>
        <v>0</v>
      </c>
      <c r="AI52">
        <f t="shared" si="21"/>
        <v>1</v>
      </c>
      <c r="AJ52" s="9" t="str">
        <f t="shared" si="9"/>
        <v>Tax exemption/waiver/suspension</v>
      </c>
      <c r="AK52">
        <f t="shared" si="11"/>
        <v>0</v>
      </c>
      <c r="AL52" s="9">
        <v>1</v>
      </c>
    </row>
    <row r="53" spans="1:38" x14ac:dyDescent="0.35">
      <c r="A53" s="50">
        <v>0</v>
      </c>
      <c r="B53" s="9" t="s">
        <v>12</v>
      </c>
      <c r="C53" s="53">
        <v>43886</v>
      </c>
      <c r="D53" s="53">
        <v>43906</v>
      </c>
      <c r="E53" s="53">
        <v>43970</v>
      </c>
      <c r="F53" s="21">
        <f t="shared" si="10"/>
        <v>64</v>
      </c>
      <c r="G53" s="53">
        <v>43906</v>
      </c>
      <c r="H53" s="9">
        <v>2020</v>
      </c>
      <c r="I53" s="50">
        <v>0</v>
      </c>
      <c r="J53" s="9">
        <v>1</v>
      </c>
      <c r="K53" s="9">
        <v>6</v>
      </c>
      <c r="L53" s="50" t="s">
        <v>241</v>
      </c>
      <c r="M53">
        <v>-2</v>
      </c>
      <c r="N53">
        <v>2</v>
      </c>
      <c r="O53">
        <v>2</v>
      </c>
      <c r="P53">
        <v>1</v>
      </c>
      <c r="Q53">
        <v>2</v>
      </c>
      <c r="R53">
        <v>2</v>
      </c>
      <c r="S53">
        <v>1</v>
      </c>
      <c r="U53">
        <v>1</v>
      </c>
      <c r="V53" t="s">
        <v>951</v>
      </c>
      <c r="W53" t="s">
        <v>989</v>
      </c>
      <c r="X53" t="s">
        <v>997</v>
      </c>
      <c r="Y53" t="s">
        <v>1000</v>
      </c>
      <c r="Z53">
        <v>0</v>
      </c>
      <c r="AA53">
        <f t="shared" si="13"/>
        <v>0</v>
      </c>
      <c r="AB53">
        <f t="shared" si="14"/>
        <v>1</v>
      </c>
      <c r="AC53">
        <f t="shared" si="15"/>
        <v>1</v>
      </c>
      <c r="AD53">
        <f t="shared" si="16"/>
        <v>1</v>
      </c>
      <c r="AE53">
        <f t="shared" si="17"/>
        <v>1</v>
      </c>
      <c r="AF53">
        <f t="shared" si="18"/>
        <v>1</v>
      </c>
      <c r="AG53">
        <f t="shared" si="19"/>
        <v>1</v>
      </c>
      <c r="AH53">
        <f t="shared" si="20"/>
        <v>-1</v>
      </c>
      <c r="AI53">
        <f t="shared" si="21"/>
        <v>1</v>
      </c>
      <c r="AJ53" s="9">
        <f t="shared" si="9"/>
        <v>6</v>
      </c>
      <c r="AK53">
        <f t="shared" si="11"/>
        <v>0</v>
      </c>
      <c r="AL53" s="9">
        <v>1</v>
      </c>
    </row>
    <row r="54" spans="1:38" x14ac:dyDescent="0.35">
      <c r="A54" s="50">
        <v>0</v>
      </c>
      <c r="B54" s="9" t="s">
        <v>12</v>
      </c>
      <c r="C54" s="53">
        <v>43886</v>
      </c>
      <c r="D54" s="53">
        <v>43906</v>
      </c>
      <c r="E54" s="53">
        <v>43970</v>
      </c>
      <c r="F54" s="21">
        <f t="shared" si="10"/>
        <v>64</v>
      </c>
      <c r="G54" s="53">
        <v>43906</v>
      </c>
      <c r="H54" s="9">
        <v>2020</v>
      </c>
      <c r="I54" s="50">
        <v>0</v>
      </c>
      <c r="J54" s="9">
        <v>1</v>
      </c>
      <c r="K54" s="9">
        <v>6</v>
      </c>
      <c r="L54" s="50" t="s">
        <v>248</v>
      </c>
      <c r="M54">
        <v>2</v>
      </c>
      <c r="N54">
        <v>2</v>
      </c>
      <c r="O54">
        <v>-2</v>
      </c>
      <c r="P54">
        <v>1</v>
      </c>
      <c r="Q54">
        <v>2</v>
      </c>
      <c r="R54">
        <v>2</v>
      </c>
      <c r="S54">
        <v>1</v>
      </c>
      <c r="U54">
        <v>1</v>
      </c>
      <c r="V54" t="s">
        <v>951</v>
      </c>
      <c r="W54" t="s">
        <v>989</v>
      </c>
      <c r="X54" t="s">
        <v>997</v>
      </c>
      <c r="Y54" t="s">
        <v>1000</v>
      </c>
      <c r="Z54">
        <v>0</v>
      </c>
      <c r="AA54">
        <f t="shared" si="13"/>
        <v>1</v>
      </c>
      <c r="AB54">
        <f t="shared" si="14"/>
        <v>1</v>
      </c>
      <c r="AC54">
        <f t="shared" si="15"/>
        <v>0</v>
      </c>
      <c r="AD54">
        <f t="shared" si="16"/>
        <v>1</v>
      </c>
      <c r="AE54">
        <f t="shared" si="17"/>
        <v>1</v>
      </c>
      <c r="AF54">
        <f t="shared" si="18"/>
        <v>1</v>
      </c>
      <c r="AG54">
        <f t="shared" si="19"/>
        <v>1</v>
      </c>
      <c r="AH54">
        <f t="shared" si="20"/>
        <v>-1</v>
      </c>
      <c r="AI54">
        <f t="shared" si="21"/>
        <v>1</v>
      </c>
      <c r="AJ54" s="9">
        <f t="shared" si="9"/>
        <v>6</v>
      </c>
      <c r="AK54">
        <f t="shared" si="11"/>
        <v>0</v>
      </c>
      <c r="AL54" s="9">
        <v>1</v>
      </c>
    </row>
    <row r="55" spans="1:38" x14ac:dyDescent="0.35">
      <c r="A55" s="50">
        <v>0</v>
      </c>
      <c r="B55" s="9" t="s">
        <v>12</v>
      </c>
      <c r="C55" s="53">
        <v>43886</v>
      </c>
      <c r="D55" s="53">
        <v>43906</v>
      </c>
      <c r="E55" s="53">
        <v>43970</v>
      </c>
      <c r="F55" s="21">
        <f t="shared" si="10"/>
        <v>64</v>
      </c>
      <c r="G55" s="53">
        <v>43906</v>
      </c>
      <c r="H55" s="9">
        <v>2020</v>
      </c>
      <c r="I55" s="50">
        <v>0</v>
      </c>
      <c r="J55" s="9">
        <v>1</v>
      </c>
      <c r="K55" s="9">
        <v>6</v>
      </c>
      <c r="L55" s="50" t="s">
        <v>247</v>
      </c>
      <c r="M55">
        <v>-2</v>
      </c>
      <c r="N55">
        <v>2</v>
      </c>
      <c r="O55">
        <v>2</v>
      </c>
      <c r="P55">
        <v>1</v>
      </c>
      <c r="Q55">
        <v>2</v>
      </c>
      <c r="R55">
        <v>2</v>
      </c>
      <c r="S55">
        <v>1</v>
      </c>
      <c r="T55">
        <v>2</v>
      </c>
      <c r="U55">
        <v>1</v>
      </c>
      <c r="V55" t="s">
        <v>951</v>
      </c>
      <c r="W55" t="s">
        <v>989</v>
      </c>
      <c r="X55" t="s">
        <v>997</v>
      </c>
      <c r="Y55" t="s">
        <v>1000</v>
      </c>
      <c r="Z55">
        <v>0</v>
      </c>
      <c r="AA55">
        <f t="shared" si="13"/>
        <v>0</v>
      </c>
      <c r="AB55">
        <f t="shared" si="14"/>
        <v>1</v>
      </c>
      <c r="AC55">
        <f t="shared" si="15"/>
        <v>1</v>
      </c>
      <c r="AD55">
        <f t="shared" si="16"/>
        <v>1</v>
      </c>
      <c r="AE55">
        <f t="shared" si="17"/>
        <v>1</v>
      </c>
      <c r="AF55">
        <f t="shared" si="18"/>
        <v>1</v>
      </c>
      <c r="AG55">
        <f t="shared" si="19"/>
        <v>1</v>
      </c>
      <c r="AH55">
        <f t="shared" si="20"/>
        <v>1</v>
      </c>
      <c r="AI55">
        <f t="shared" si="21"/>
        <v>1</v>
      </c>
      <c r="AJ55" s="9">
        <f t="shared" si="9"/>
        <v>6</v>
      </c>
      <c r="AK55">
        <f t="shared" si="11"/>
        <v>0</v>
      </c>
      <c r="AL55" s="9">
        <v>1</v>
      </c>
    </row>
    <row r="56" spans="1:38" x14ac:dyDescent="0.35">
      <c r="A56" s="50">
        <v>0</v>
      </c>
      <c r="B56" s="9" t="s">
        <v>12</v>
      </c>
      <c r="C56" s="53">
        <v>43886</v>
      </c>
      <c r="D56" s="53">
        <v>43906</v>
      </c>
      <c r="E56" s="53">
        <v>43970</v>
      </c>
      <c r="F56" s="21">
        <f t="shared" si="10"/>
        <v>64</v>
      </c>
      <c r="G56" s="53">
        <v>43906</v>
      </c>
      <c r="H56" s="9">
        <v>2020</v>
      </c>
      <c r="I56" s="50">
        <v>0</v>
      </c>
      <c r="J56" s="9">
        <v>1</v>
      </c>
      <c r="K56" s="9">
        <v>5</v>
      </c>
      <c r="L56" s="50" t="s">
        <v>242</v>
      </c>
      <c r="M56">
        <v>-2</v>
      </c>
      <c r="N56">
        <v>2</v>
      </c>
      <c r="O56">
        <v>2</v>
      </c>
      <c r="P56">
        <v>1</v>
      </c>
      <c r="Q56">
        <v>2</v>
      </c>
      <c r="R56">
        <v>2</v>
      </c>
      <c r="S56">
        <v>1</v>
      </c>
      <c r="T56">
        <v>1</v>
      </c>
      <c r="U56">
        <v>1</v>
      </c>
      <c r="V56" t="s">
        <v>951</v>
      </c>
      <c r="W56" t="s">
        <v>989</v>
      </c>
      <c r="X56" t="s">
        <v>997</v>
      </c>
      <c r="Y56" t="s">
        <v>1000</v>
      </c>
      <c r="Z56">
        <v>0</v>
      </c>
      <c r="AA56">
        <f t="shared" si="13"/>
        <v>0</v>
      </c>
      <c r="AB56">
        <f t="shared" si="14"/>
        <v>1</v>
      </c>
      <c r="AC56">
        <f t="shared" si="15"/>
        <v>1</v>
      </c>
      <c r="AD56">
        <f t="shared" si="16"/>
        <v>1</v>
      </c>
      <c r="AE56">
        <f t="shared" si="17"/>
        <v>1</v>
      </c>
      <c r="AF56">
        <f t="shared" si="18"/>
        <v>1</v>
      </c>
      <c r="AG56">
        <f t="shared" si="19"/>
        <v>1</v>
      </c>
      <c r="AH56">
        <f t="shared" si="20"/>
        <v>1</v>
      </c>
      <c r="AI56">
        <f t="shared" si="21"/>
        <v>1</v>
      </c>
      <c r="AJ56" s="9">
        <f t="shared" si="9"/>
        <v>5</v>
      </c>
      <c r="AK56">
        <f t="shared" si="11"/>
        <v>0</v>
      </c>
      <c r="AL56" s="9">
        <v>1</v>
      </c>
    </row>
    <row r="57" spans="1:38" x14ac:dyDescent="0.35">
      <c r="A57" s="50">
        <v>0</v>
      </c>
      <c r="B57" s="9" t="s">
        <v>12</v>
      </c>
      <c r="C57" s="53">
        <v>43886</v>
      </c>
      <c r="D57" s="53">
        <v>43906</v>
      </c>
      <c r="E57" s="53">
        <v>43970</v>
      </c>
      <c r="F57" s="21">
        <f t="shared" si="10"/>
        <v>64</v>
      </c>
      <c r="G57" s="53">
        <v>43906</v>
      </c>
      <c r="H57" s="9">
        <v>2020</v>
      </c>
      <c r="I57" s="50">
        <v>0</v>
      </c>
      <c r="J57" s="9">
        <v>3</v>
      </c>
      <c r="K57" s="9" t="s">
        <v>206</v>
      </c>
      <c r="L57" s="50" t="s">
        <v>239</v>
      </c>
      <c r="M57">
        <v>1</v>
      </c>
      <c r="N57">
        <v>1</v>
      </c>
      <c r="O57">
        <v>-2</v>
      </c>
      <c r="P57">
        <v>-1</v>
      </c>
      <c r="Q57">
        <v>-2</v>
      </c>
      <c r="R57">
        <v>-2</v>
      </c>
      <c r="S57">
        <v>-2</v>
      </c>
      <c r="U57">
        <v>1</v>
      </c>
      <c r="V57" t="s">
        <v>951</v>
      </c>
      <c r="W57" t="s">
        <v>989</v>
      </c>
      <c r="X57" t="s">
        <v>997</v>
      </c>
      <c r="Y57" t="s">
        <v>1000</v>
      </c>
      <c r="Z57">
        <v>0</v>
      </c>
      <c r="AA57">
        <f t="shared" si="13"/>
        <v>1</v>
      </c>
      <c r="AB57">
        <f t="shared" si="14"/>
        <v>1</v>
      </c>
      <c r="AC57">
        <f t="shared" si="15"/>
        <v>0</v>
      </c>
      <c r="AD57">
        <f t="shared" si="16"/>
        <v>0</v>
      </c>
      <c r="AE57">
        <f t="shared" si="17"/>
        <v>0</v>
      </c>
      <c r="AF57">
        <f t="shared" si="18"/>
        <v>0</v>
      </c>
      <c r="AG57">
        <f t="shared" si="19"/>
        <v>0</v>
      </c>
      <c r="AH57">
        <f t="shared" si="20"/>
        <v>-1</v>
      </c>
      <c r="AI57">
        <f t="shared" si="21"/>
        <v>1</v>
      </c>
      <c r="AJ57" s="9" t="str">
        <f t="shared" si="9"/>
        <v>Tax exemption/waiver/suspension</v>
      </c>
      <c r="AK57">
        <f t="shared" si="11"/>
        <v>0</v>
      </c>
      <c r="AL57" s="9">
        <v>1</v>
      </c>
    </row>
    <row r="58" spans="1:38" x14ac:dyDescent="0.35">
      <c r="A58" s="50">
        <v>0</v>
      </c>
      <c r="B58" s="9" t="s">
        <v>12</v>
      </c>
      <c r="C58" s="53">
        <v>43886</v>
      </c>
      <c r="D58" s="53">
        <v>43906</v>
      </c>
      <c r="E58" s="53">
        <v>43970</v>
      </c>
      <c r="F58" s="21">
        <f t="shared" si="10"/>
        <v>64</v>
      </c>
      <c r="G58" s="53">
        <v>43906</v>
      </c>
      <c r="H58" s="9">
        <v>2020</v>
      </c>
      <c r="I58" s="50">
        <v>0</v>
      </c>
      <c r="J58" s="9">
        <v>6</v>
      </c>
      <c r="K58" s="9">
        <v>29</v>
      </c>
      <c r="L58" s="50" t="s">
        <v>246</v>
      </c>
      <c r="M58">
        <v>-2</v>
      </c>
      <c r="N58">
        <v>1</v>
      </c>
      <c r="O58">
        <v>2</v>
      </c>
      <c r="P58">
        <v>-1</v>
      </c>
      <c r="Q58">
        <v>-2</v>
      </c>
      <c r="R58">
        <v>1</v>
      </c>
      <c r="S58">
        <v>1</v>
      </c>
      <c r="T58">
        <v>-2</v>
      </c>
      <c r="U58">
        <v>1</v>
      </c>
      <c r="V58" t="s">
        <v>951</v>
      </c>
      <c r="W58" t="s">
        <v>989</v>
      </c>
      <c r="X58" t="s">
        <v>997</v>
      </c>
      <c r="Y58" t="s">
        <v>1000</v>
      </c>
      <c r="Z58">
        <v>0</v>
      </c>
      <c r="AA58">
        <f t="shared" si="13"/>
        <v>0</v>
      </c>
      <c r="AB58">
        <f t="shared" si="14"/>
        <v>1</v>
      </c>
      <c r="AC58">
        <f t="shared" si="15"/>
        <v>1</v>
      </c>
      <c r="AD58">
        <f t="shared" si="16"/>
        <v>0</v>
      </c>
      <c r="AE58">
        <f t="shared" si="17"/>
        <v>0</v>
      </c>
      <c r="AF58">
        <f t="shared" si="18"/>
        <v>1</v>
      </c>
      <c r="AG58">
        <f t="shared" si="19"/>
        <v>1</v>
      </c>
      <c r="AH58">
        <f t="shared" si="20"/>
        <v>0</v>
      </c>
      <c r="AI58">
        <f t="shared" si="21"/>
        <v>1</v>
      </c>
      <c r="AJ58" s="9">
        <f t="shared" si="9"/>
        <v>29</v>
      </c>
      <c r="AK58">
        <f t="shared" si="11"/>
        <v>0</v>
      </c>
      <c r="AL58" s="9">
        <v>1</v>
      </c>
    </row>
    <row r="59" spans="1:38" x14ac:dyDescent="0.35">
      <c r="A59" s="50">
        <v>0</v>
      </c>
      <c r="B59" s="50" t="s">
        <v>12</v>
      </c>
      <c r="C59" s="53">
        <v>43886</v>
      </c>
      <c r="D59" s="53">
        <v>43906</v>
      </c>
      <c r="E59" s="53">
        <v>43970</v>
      </c>
      <c r="F59" s="21">
        <f t="shared" si="10"/>
        <v>64</v>
      </c>
      <c r="G59" s="53">
        <v>43906</v>
      </c>
      <c r="H59" s="9">
        <v>2020</v>
      </c>
      <c r="I59" s="50">
        <v>0</v>
      </c>
      <c r="J59" s="50">
        <v>4</v>
      </c>
      <c r="K59" s="50">
        <v>20</v>
      </c>
      <c r="L59" s="24" t="s">
        <v>1219</v>
      </c>
      <c r="M59" s="24"/>
      <c r="V59" t="s">
        <v>951</v>
      </c>
      <c r="W59" t="s">
        <v>989</v>
      </c>
      <c r="X59" t="s">
        <v>997</v>
      </c>
      <c r="Y59" t="s">
        <v>1000</v>
      </c>
      <c r="Z59">
        <v>0</v>
      </c>
      <c r="AA59">
        <v>-1</v>
      </c>
      <c r="AB59">
        <v>-1</v>
      </c>
      <c r="AC59">
        <v>-1</v>
      </c>
      <c r="AD59">
        <v>-1</v>
      </c>
      <c r="AE59">
        <v>-1</v>
      </c>
      <c r="AF59">
        <v>-1</v>
      </c>
      <c r="AG59">
        <v>-1</v>
      </c>
      <c r="AH59">
        <v>-1</v>
      </c>
      <c r="AI59">
        <v>-1</v>
      </c>
      <c r="AJ59" s="9">
        <f t="shared" si="9"/>
        <v>20</v>
      </c>
      <c r="AK59">
        <f t="shared" si="11"/>
        <v>0</v>
      </c>
      <c r="AL59" s="9">
        <v>0</v>
      </c>
    </row>
    <row r="60" spans="1:38" x14ac:dyDescent="0.35">
      <c r="A60" s="50">
        <v>0</v>
      </c>
      <c r="B60" s="50" t="s">
        <v>12</v>
      </c>
      <c r="C60" s="53">
        <v>43886</v>
      </c>
      <c r="D60" s="53">
        <v>43906</v>
      </c>
      <c r="E60" s="53">
        <v>43970</v>
      </c>
      <c r="F60" s="21">
        <f t="shared" si="10"/>
        <v>64</v>
      </c>
      <c r="G60" s="53">
        <v>43906</v>
      </c>
      <c r="H60" s="9">
        <v>2020</v>
      </c>
      <c r="I60" s="50">
        <v>0</v>
      </c>
      <c r="J60" s="50">
        <v>9</v>
      </c>
      <c r="K60" s="50">
        <v>34</v>
      </c>
      <c r="L60" s="24" t="s">
        <v>1220</v>
      </c>
      <c r="M60" s="24"/>
      <c r="V60" t="s">
        <v>951</v>
      </c>
      <c r="W60" t="s">
        <v>989</v>
      </c>
      <c r="X60" t="s">
        <v>997</v>
      </c>
      <c r="Y60" t="s">
        <v>1000</v>
      </c>
      <c r="Z60">
        <v>0</v>
      </c>
      <c r="AA60">
        <v>-1</v>
      </c>
      <c r="AB60">
        <v>-1</v>
      </c>
      <c r="AC60">
        <v>-1</v>
      </c>
      <c r="AD60">
        <v>-1</v>
      </c>
      <c r="AE60">
        <v>-1</v>
      </c>
      <c r="AF60">
        <v>-1</v>
      </c>
      <c r="AG60">
        <v>-1</v>
      </c>
      <c r="AH60">
        <v>-1</v>
      </c>
      <c r="AI60">
        <v>-1</v>
      </c>
      <c r="AJ60" s="9">
        <f t="shared" si="9"/>
        <v>34</v>
      </c>
      <c r="AK60">
        <f t="shared" si="11"/>
        <v>0</v>
      </c>
      <c r="AL60" s="9">
        <v>0</v>
      </c>
    </row>
    <row r="61" spans="1:38" x14ac:dyDescent="0.35">
      <c r="A61" s="50">
        <v>0</v>
      </c>
      <c r="B61" s="50" t="s">
        <v>12</v>
      </c>
      <c r="C61" s="53">
        <v>43886</v>
      </c>
      <c r="D61" s="53">
        <v>43906</v>
      </c>
      <c r="E61" s="53">
        <v>43970</v>
      </c>
      <c r="F61" s="21">
        <f t="shared" si="10"/>
        <v>64</v>
      </c>
      <c r="G61" s="53">
        <v>43906</v>
      </c>
      <c r="H61" s="9">
        <v>2020</v>
      </c>
      <c r="I61" s="50">
        <v>0</v>
      </c>
      <c r="J61" s="50">
        <v>2</v>
      </c>
      <c r="K61" s="50">
        <v>16</v>
      </c>
      <c r="L61" s="24" t="s">
        <v>1221</v>
      </c>
      <c r="M61" s="24"/>
      <c r="V61" t="s">
        <v>951</v>
      </c>
      <c r="W61" t="s">
        <v>989</v>
      </c>
      <c r="X61" t="s">
        <v>997</v>
      </c>
      <c r="Y61" t="s">
        <v>1000</v>
      </c>
      <c r="Z61">
        <v>0</v>
      </c>
      <c r="AA61">
        <v>-1</v>
      </c>
      <c r="AB61">
        <v>-1</v>
      </c>
      <c r="AC61">
        <v>-1</v>
      </c>
      <c r="AD61">
        <v>-1</v>
      </c>
      <c r="AE61">
        <v>-1</v>
      </c>
      <c r="AF61">
        <v>-1</v>
      </c>
      <c r="AG61">
        <v>-1</v>
      </c>
      <c r="AH61">
        <v>-1</v>
      </c>
      <c r="AI61">
        <v>-1</v>
      </c>
      <c r="AJ61" s="9">
        <f t="shared" si="9"/>
        <v>16</v>
      </c>
      <c r="AK61">
        <f t="shared" si="11"/>
        <v>0</v>
      </c>
      <c r="AL61" s="9">
        <v>0</v>
      </c>
    </row>
    <row r="62" spans="1:38" x14ac:dyDescent="0.35">
      <c r="A62" s="50">
        <v>0</v>
      </c>
      <c r="B62" s="50" t="s">
        <v>12</v>
      </c>
      <c r="C62" s="53">
        <v>43886</v>
      </c>
      <c r="D62" s="53">
        <v>43906</v>
      </c>
      <c r="E62" s="53">
        <v>43970</v>
      </c>
      <c r="F62" s="21">
        <f t="shared" si="10"/>
        <v>64</v>
      </c>
      <c r="G62" s="53">
        <v>43906</v>
      </c>
      <c r="H62" s="9">
        <v>2020</v>
      </c>
      <c r="I62" s="50">
        <v>0</v>
      </c>
      <c r="J62" s="50">
        <v>5</v>
      </c>
      <c r="K62" s="50" t="s">
        <v>204</v>
      </c>
      <c r="L62" s="24" t="s">
        <v>1222</v>
      </c>
      <c r="M62" s="24"/>
      <c r="V62" t="s">
        <v>951</v>
      </c>
      <c r="W62" t="s">
        <v>989</v>
      </c>
      <c r="X62" t="s">
        <v>997</v>
      </c>
      <c r="Y62" t="s">
        <v>1000</v>
      </c>
      <c r="Z62">
        <v>0</v>
      </c>
      <c r="AA62">
        <v>-1</v>
      </c>
      <c r="AB62">
        <v>-1</v>
      </c>
      <c r="AC62">
        <v>-1</v>
      </c>
      <c r="AD62">
        <v>-1</v>
      </c>
      <c r="AE62">
        <v>-1</v>
      </c>
      <c r="AF62">
        <v>-1</v>
      </c>
      <c r="AG62">
        <v>-1</v>
      </c>
      <c r="AH62">
        <v>-1</v>
      </c>
      <c r="AI62">
        <v>-1</v>
      </c>
      <c r="AJ62" s="9" t="str">
        <f t="shared" ref="AJ62:AJ78" si="22">IF(ISNUMBER(K62),K62,IF(OR(K62="general",K62="23;general"),"General",IF(OR(K62="exemption",K62="other (exemption)"),"Tax exemption/waiver/suspension","Other")))</f>
        <v>General</v>
      </c>
      <c r="AK62">
        <f t="shared" ref="AK62:AK78" si="23">IF(B62&lt;&gt;B61,1,0)</f>
        <v>0</v>
      </c>
      <c r="AL62" s="9">
        <v>0</v>
      </c>
    </row>
    <row r="63" spans="1:38" x14ac:dyDescent="0.35">
      <c r="A63" s="50">
        <v>0</v>
      </c>
      <c r="B63" s="50" t="s">
        <v>12</v>
      </c>
      <c r="C63" s="53">
        <v>43886</v>
      </c>
      <c r="D63" s="53">
        <v>43906</v>
      </c>
      <c r="E63" s="53">
        <v>43970</v>
      </c>
      <c r="F63" s="21">
        <f t="shared" si="10"/>
        <v>64</v>
      </c>
      <c r="G63" s="53">
        <v>43906</v>
      </c>
      <c r="H63" s="9">
        <v>2020</v>
      </c>
      <c r="I63" s="50">
        <v>0</v>
      </c>
      <c r="J63" s="50">
        <v>6</v>
      </c>
      <c r="K63" s="50">
        <v>28</v>
      </c>
      <c r="L63" s="24" t="s">
        <v>1223</v>
      </c>
      <c r="M63" s="24"/>
      <c r="V63" t="s">
        <v>951</v>
      </c>
      <c r="W63" t="s">
        <v>989</v>
      </c>
      <c r="X63" t="s">
        <v>997</v>
      </c>
      <c r="Y63" t="s">
        <v>1000</v>
      </c>
      <c r="Z63">
        <v>0</v>
      </c>
      <c r="AA63">
        <v>-1</v>
      </c>
      <c r="AB63">
        <v>-1</v>
      </c>
      <c r="AC63">
        <v>-1</v>
      </c>
      <c r="AD63">
        <v>-1</v>
      </c>
      <c r="AE63">
        <v>-1</v>
      </c>
      <c r="AF63">
        <v>-1</v>
      </c>
      <c r="AG63">
        <v>-1</v>
      </c>
      <c r="AH63">
        <v>-1</v>
      </c>
      <c r="AI63">
        <v>-1</v>
      </c>
      <c r="AJ63" s="9">
        <f t="shared" si="22"/>
        <v>28</v>
      </c>
      <c r="AK63">
        <f t="shared" si="23"/>
        <v>0</v>
      </c>
      <c r="AL63" s="9">
        <v>0</v>
      </c>
    </row>
    <row r="64" spans="1:38" x14ac:dyDescent="0.35">
      <c r="A64" s="50">
        <v>0</v>
      </c>
      <c r="B64" s="50" t="s">
        <v>12</v>
      </c>
      <c r="C64" s="53">
        <v>43886</v>
      </c>
      <c r="D64" s="53">
        <v>43906</v>
      </c>
      <c r="E64" s="53">
        <v>43970</v>
      </c>
      <c r="F64" s="21">
        <f t="shared" si="10"/>
        <v>64</v>
      </c>
      <c r="G64" s="53">
        <v>43906</v>
      </c>
      <c r="H64" s="9">
        <v>2020</v>
      </c>
      <c r="I64" s="50">
        <v>0</v>
      </c>
      <c r="J64" s="50">
        <v>5</v>
      </c>
      <c r="K64" s="50" t="s">
        <v>204</v>
      </c>
      <c r="L64" s="24" t="s">
        <v>1224</v>
      </c>
      <c r="M64" s="24"/>
      <c r="V64" t="s">
        <v>951</v>
      </c>
      <c r="W64" t="s">
        <v>989</v>
      </c>
      <c r="X64" t="s">
        <v>997</v>
      </c>
      <c r="Y64" t="s">
        <v>1000</v>
      </c>
      <c r="Z64">
        <v>0</v>
      </c>
      <c r="AA64">
        <v>-1</v>
      </c>
      <c r="AB64">
        <v>-1</v>
      </c>
      <c r="AC64">
        <v>-1</v>
      </c>
      <c r="AD64">
        <v>-1</v>
      </c>
      <c r="AE64">
        <v>-1</v>
      </c>
      <c r="AF64">
        <v>-1</v>
      </c>
      <c r="AG64">
        <v>-1</v>
      </c>
      <c r="AH64">
        <v>-1</v>
      </c>
      <c r="AI64">
        <v>-1</v>
      </c>
      <c r="AJ64" s="9" t="str">
        <f t="shared" si="22"/>
        <v>General</v>
      </c>
      <c r="AK64">
        <f t="shared" si="23"/>
        <v>0</v>
      </c>
      <c r="AL64" s="9">
        <v>0</v>
      </c>
    </row>
    <row r="65" spans="1:38" x14ac:dyDescent="0.35">
      <c r="A65" s="50">
        <v>0</v>
      </c>
      <c r="B65" s="50" t="s">
        <v>12</v>
      </c>
      <c r="C65" s="53">
        <v>43886</v>
      </c>
      <c r="D65" s="53">
        <v>43906</v>
      </c>
      <c r="E65" s="53">
        <v>43970</v>
      </c>
      <c r="F65" s="21">
        <f t="shared" si="10"/>
        <v>64</v>
      </c>
      <c r="G65" s="53">
        <v>43906</v>
      </c>
      <c r="H65" s="9">
        <v>2020</v>
      </c>
      <c r="I65" s="50">
        <v>0</v>
      </c>
      <c r="J65" s="50">
        <v>6</v>
      </c>
      <c r="K65" s="50">
        <v>25</v>
      </c>
      <c r="L65" s="24" t="s">
        <v>1225</v>
      </c>
      <c r="M65" s="24"/>
      <c r="V65" t="s">
        <v>951</v>
      </c>
      <c r="W65" t="s">
        <v>989</v>
      </c>
      <c r="X65" t="s">
        <v>997</v>
      </c>
      <c r="Y65" t="s">
        <v>1000</v>
      </c>
      <c r="Z65">
        <v>0</v>
      </c>
      <c r="AA65">
        <v>-1</v>
      </c>
      <c r="AB65">
        <v>-1</v>
      </c>
      <c r="AC65">
        <v>-1</v>
      </c>
      <c r="AD65">
        <v>-1</v>
      </c>
      <c r="AE65">
        <v>-1</v>
      </c>
      <c r="AF65">
        <v>-1</v>
      </c>
      <c r="AG65">
        <v>-1</v>
      </c>
      <c r="AH65">
        <v>-1</v>
      </c>
      <c r="AI65">
        <v>-1</v>
      </c>
      <c r="AJ65" s="9">
        <f t="shared" si="22"/>
        <v>25</v>
      </c>
      <c r="AK65">
        <f t="shared" si="23"/>
        <v>0</v>
      </c>
      <c r="AL65" s="9">
        <v>0</v>
      </c>
    </row>
    <row r="66" spans="1:38" x14ac:dyDescent="0.35">
      <c r="A66" s="50">
        <v>0</v>
      </c>
      <c r="B66" s="50" t="s">
        <v>12</v>
      </c>
      <c r="C66" s="53">
        <v>43886</v>
      </c>
      <c r="D66" s="53">
        <v>43906</v>
      </c>
      <c r="E66" s="53">
        <v>43970</v>
      </c>
      <c r="F66" s="21">
        <f t="shared" si="10"/>
        <v>64</v>
      </c>
      <c r="G66" s="53">
        <v>43906</v>
      </c>
      <c r="H66" s="9">
        <v>2020</v>
      </c>
      <c r="I66" s="50">
        <v>0</v>
      </c>
      <c r="J66" s="50">
        <v>4</v>
      </c>
      <c r="K66" s="50">
        <v>20</v>
      </c>
      <c r="L66" s="24" t="s">
        <v>1226</v>
      </c>
      <c r="M66" s="24"/>
      <c r="V66" t="s">
        <v>951</v>
      </c>
      <c r="W66" t="s">
        <v>989</v>
      </c>
      <c r="X66" t="s">
        <v>997</v>
      </c>
      <c r="Y66" t="s">
        <v>1000</v>
      </c>
      <c r="Z66">
        <v>0</v>
      </c>
      <c r="AA66">
        <v>-1</v>
      </c>
      <c r="AB66">
        <v>-1</v>
      </c>
      <c r="AC66">
        <v>-1</v>
      </c>
      <c r="AD66">
        <v>-1</v>
      </c>
      <c r="AE66">
        <v>-1</v>
      </c>
      <c r="AF66">
        <v>-1</v>
      </c>
      <c r="AG66">
        <v>-1</v>
      </c>
      <c r="AH66">
        <v>-1</v>
      </c>
      <c r="AI66">
        <v>-1</v>
      </c>
      <c r="AJ66" s="9">
        <f t="shared" si="22"/>
        <v>20</v>
      </c>
      <c r="AK66">
        <f t="shared" si="23"/>
        <v>0</v>
      </c>
      <c r="AL66" s="9">
        <v>0</v>
      </c>
    </row>
    <row r="67" spans="1:38" x14ac:dyDescent="0.35">
      <c r="A67" s="50">
        <v>0</v>
      </c>
      <c r="B67" s="50" t="s">
        <v>12</v>
      </c>
      <c r="C67" s="53">
        <v>43886</v>
      </c>
      <c r="D67" s="53">
        <v>43906</v>
      </c>
      <c r="E67" s="53">
        <v>43970</v>
      </c>
      <c r="F67" s="21">
        <f t="shared" si="10"/>
        <v>64</v>
      </c>
      <c r="G67" s="53">
        <v>43906</v>
      </c>
      <c r="H67" s="9">
        <v>2020</v>
      </c>
      <c r="I67" s="50">
        <v>0</v>
      </c>
      <c r="J67" s="50">
        <v>2</v>
      </c>
      <c r="K67" s="50">
        <v>15</v>
      </c>
      <c r="L67" s="24" t="s">
        <v>1227</v>
      </c>
      <c r="M67" s="24"/>
      <c r="V67" t="s">
        <v>951</v>
      </c>
      <c r="W67" t="s">
        <v>989</v>
      </c>
      <c r="X67" t="s">
        <v>997</v>
      </c>
      <c r="Y67" t="s">
        <v>1000</v>
      </c>
      <c r="Z67">
        <v>0</v>
      </c>
      <c r="AA67">
        <v>-1</v>
      </c>
      <c r="AB67">
        <v>-1</v>
      </c>
      <c r="AC67">
        <v>-1</v>
      </c>
      <c r="AD67">
        <v>-1</v>
      </c>
      <c r="AE67">
        <v>-1</v>
      </c>
      <c r="AF67">
        <v>-1</v>
      </c>
      <c r="AG67">
        <v>-1</v>
      </c>
      <c r="AH67">
        <v>-1</v>
      </c>
      <c r="AI67">
        <v>-1</v>
      </c>
      <c r="AJ67" s="9">
        <f t="shared" si="22"/>
        <v>15</v>
      </c>
      <c r="AK67">
        <f t="shared" si="23"/>
        <v>0</v>
      </c>
      <c r="AL67" s="9">
        <v>0</v>
      </c>
    </row>
    <row r="68" spans="1:38" x14ac:dyDescent="0.35">
      <c r="A68" s="50">
        <v>0</v>
      </c>
      <c r="B68" s="50" t="s">
        <v>12</v>
      </c>
      <c r="C68" s="53">
        <v>43886</v>
      </c>
      <c r="D68" s="53">
        <v>43906</v>
      </c>
      <c r="E68" s="53">
        <v>43970</v>
      </c>
      <c r="F68" s="21">
        <f t="shared" si="10"/>
        <v>64</v>
      </c>
      <c r="G68" s="53">
        <v>43906</v>
      </c>
      <c r="H68" s="9">
        <v>2020</v>
      </c>
      <c r="I68" s="50">
        <v>0</v>
      </c>
      <c r="J68" s="50">
        <v>1</v>
      </c>
      <c r="K68" s="50">
        <v>9</v>
      </c>
      <c r="L68" s="24" t="s">
        <v>1228</v>
      </c>
      <c r="M68" s="24"/>
      <c r="V68" t="s">
        <v>951</v>
      </c>
      <c r="W68" t="s">
        <v>989</v>
      </c>
      <c r="X68" t="s">
        <v>997</v>
      </c>
      <c r="Y68" t="s">
        <v>1000</v>
      </c>
      <c r="Z68">
        <v>0</v>
      </c>
      <c r="AA68">
        <v>-1</v>
      </c>
      <c r="AB68">
        <v>-1</v>
      </c>
      <c r="AC68">
        <v>-1</v>
      </c>
      <c r="AD68">
        <v>-1</v>
      </c>
      <c r="AE68">
        <v>-1</v>
      </c>
      <c r="AF68">
        <v>-1</v>
      </c>
      <c r="AG68">
        <v>-1</v>
      </c>
      <c r="AH68">
        <v>-1</v>
      </c>
      <c r="AI68">
        <v>-1</v>
      </c>
      <c r="AJ68" s="9">
        <f t="shared" si="22"/>
        <v>9</v>
      </c>
      <c r="AK68">
        <f t="shared" si="23"/>
        <v>0</v>
      </c>
      <c r="AL68" s="9">
        <v>0</v>
      </c>
    </row>
    <row r="69" spans="1:38" x14ac:dyDescent="0.35">
      <c r="A69" s="50">
        <v>0</v>
      </c>
      <c r="B69" s="50" t="s">
        <v>12</v>
      </c>
      <c r="C69" s="53">
        <v>43886</v>
      </c>
      <c r="D69" s="53">
        <v>43906</v>
      </c>
      <c r="E69" s="53">
        <v>43970</v>
      </c>
      <c r="F69" s="21">
        <f t="shared" si="10"/>
        <v>64</v>
      </c>
      <c r="G69" s="53">
        <v>43906</v>
      </c>
      <c r="H69" s="9">
        <v>2020</v>
      </c>
      <c r="I69" s="50">
        <v>0</v>
      </c>
      <c r="J69" s="50">
        <v>1</v>
      </c>
      <c r="K69" s="9">
        <v>6</v>
      </c>
      <c r="L69" s="24" t="s">
        <v>1229</v>
      </c>
      <c r="M69" s="24"/>
      <c r="V69" t="s">
        <v>951</v>
      </c>
      <c r="W69" t="s">
        <v>989</v>
      </c>
      <c r="X69" t="s">
        <v>997</v>
      </c>
      <c r="Y69" t="s">
        <v>1000</v>
      </c>
      <c r="Z69">
        <v>0</v>
      </c>
      <c r="AA69">
        <v>-1</v>
      </c>
      <c r="AB69">
        <v>-1</v>
      </c>
      <c r="AC69">
        <v>-1</v>
      </c>
      <c r="AD69">
        <v>-1</v>
      </c>
      <c r="AE69">
        <v>-1</v>
      </c>
      <c r="AF69">
        <v>-1</v>
      </c>
      <c r="AG69">
        <v>-1</v>
      </c>
      <c r="AH69">
        <v>-1</v>
      </c>
      <c r="AI69">
        <v>-1</v>
      </c>
      <c r="AJ69" s="9">
        <f t="shared" si="22"/>
        <v>6</v>
      </c>
      <c r="AK69">
        <f t="shared" si="23"/>
        <v>0</v>
      </c>
      <c r="AL69" s="9">
        <v>0</v>
      </c>
    </row>
    <row r="70" spans="1:38" x14ac:dyDescent="0.35">
      <c r="A70" s="50">
        <v>0</v>
      </c>
      <c r="B70" s="50" t="s">
        <v>12</v>
      </c>
      <c r="C70" s="53">
        <v>43886</v>
      </c>
      <c r="D70" s="53">
        <v>43906</v>
      </c>
      <c r="E70" s="53">
        <v>43970</v>
      </c>
      <c r="F70" s="21">
        <f t="shared" ref="F70:F137" si="24">DATEDIF(D70,E70,"D")</f>
        <v>64</v>
      </c>
      <c r="G70" s="53">
        <v>43906</v>
      </c>
      <c r="H70" s="9">
        <v>2020</v>
      </c>
      <c r="I70" s="50">
        <v>0</v>
      </c>
      <c r="J70" s="50">
        <v>1</v>
      </c>
      <c r="K70" s="50">
        <v>12</v>
      </c>
      <c r="L70" s="24" t="s">
        <v>1230</v>
      </c>
      <c r="M70" s="24"/>
      <c r="V70" t="s">
        <v>951</v>
      </c>
      <c r="W70" t="s">
        <v>989</v>
      </c>
      <c r="X70" t="s">
        <v>997</v>
      </c>
      <c r="Y70" t="s">
        <v>1000</v>
      </c>
      <c r="Z70">
        <v>0</v>
      </c>
      <c r="AA70">
        <v>-1</v>
      </c>
      <c r="AB70">
        <v>-1</v>
      </c>
      <c r="AC70">
        <v>-1</v>
      </c>
      <c r="AD70">
        <v>-1</v>
      </c>
      <c r="AE70">
        <v>-1</v>
      </c>
      <c r="AF70">
        <v>-1</v>
      </c>
      <c r="AG70">
        <v>-1</v>
      </c>
      <c r="AH70">
        <v>-1</v>
      </c>
      <c r="AI70">
        <v>-1</v>
      </c>
      <c r="AJ70" s="9">
        <f t="shared" si="22"/>
        <v>12</v>
      </c>
      <c r="AK70">
        <f t="shared" si="23"/>
        <v>0</v>
      </c>
      <c r="AL70" s="9">
        <v>0</v>
      </c>
    </row>
    <row r="71" spans="1:38" x14ac:dyDescent="0.35">
      <c r="A71" s="50">
        <v>0</v>
      </c>
      <c r="B71" s="50" t="s">
        <v>12</v>
      </c>
      <c r="C71" s="53">
        <v>43886</v>
      </c>
      <c r="D71" s="53">
        <v>43906</v>
      </c>
      <c r="E71" s="53">
        <v>43970</v>
      </c>
      <c r="F71" s="21">
        <f t="shared" si="24"/>
        <v>64</v>
      </c>
      <c r="G71" s="53">
        <v>43906</v>
      </c>
      <c r="H71" s="9">
        <v>2020</v>
      </c>
      <c r="I71" s="50">
        <v>0</v>
      </c>
      <c r="J71" s="50">
        <v>1</v>
      </c>
      <c r="K71" s="50">
        <v>11</v>
      </c>
      <c r="L71" s="24" t="s">
        <v>1231</v>
      </c>
      <c r="M71" s="24"/>
      <c r="V71" t="s">
        <v>951</v>
      </c>
      <c r="W71" t="s">
        <v>989</v>
      </c>
      <c r="X71" t="s">
        <v>997</v>
      </c>
      <c r="Y71" t="s">
        <v>1000</v>
      </c>
      <c r="Z71">
        <v>0</v>
      </c>
      <c r="AA71">
        <v>-1</v>
      </c>
      <c r="AB71">
        <v>-1</v>
      </c>
      <c r="AC71">
        <v>-1</v>
      </c>
      <c r="AD71">
        <v>-1</v>
      </c>
      <c r="AE71">
        <v>-1</v>
      </c>
      <c r="AF71">
        <v>-1</v>
      </c>
      <c r="AG71">
        <v>-1</v>
      </c>
      <c r="AH71">
        <v>-1</v>
      </c>
      <c r="AI71">
        <v>-1</v>
      </c>
      <c r="AJ71" s="9">
        <f t="shared" si="22"/>
        <v>11</v>
      </c>
      <c r="AK71">
        <f t="shared" si="23"/>
        <v>0</v>
      </c>
      <c r="AL71" s="9">
        <v>0</v>
      </c>
    </row>
    <row r="72" spans="1:38" x14ac:dyDescent="0.35">
      <c r="A72" s="50">
        <v>0</v>
      </c>
      <c r="B72" s="50" t="s">
        <v>12</v>
      </c>
      <c r="C72" s="53">
        <v>43886</v>
      </c>
      <c r="D72" s="53">
        <v>43906</v>
      </c>
      <c r="E72" s="53">
        <v>43970</v>
      </c>
      <c r="F72" s="21">
        <f t="shared" si="24"/>
        <v>64</v>
      </c>
      <c r="G72" s="53">
        <v>43906</v>
      </c>
      <c r="H72" s="9">
        <v>2020</v>
      </c>
      <c r="I72" s="50">
        <v>0</v>
      </c>
      <c r="J72" s="50">
        <v>1</v>
      </c>
      <c r="K72" s="50">
        <v>11</v>
      </c>
      <c r="L72" s="24" t="s">
        <v>1232</v>
      </c>
      <c r="M72" s="24"/>
      <c r="V72" t="s">
        <v>951</v>
      </c>
      <c r="W72" t="s">
        <v>989</v>
      </c>
      <c r="X72" t="s">
        <v>997</v>
      </c>
      <c r="Y72" t="s">
        <v>1000</v>
      </c>
      <c r="Z72">
        <v>0</v>
      </c>
      <c r="AA72">
        <v>-1</v>
      </c>
      <c r="AB72">
        <v>-1</v>
      </c>
      <c r="AC72">
        <v>-1</v>
      </c>
      <c r="AD72">
        <v>-1</v>
      </c>
      <c r="AE72">
        <v>-1</v>
      </c>
      <c r="AF72">
        <v>-1</v>
      </c>
      <c r="AG72">
        <v>-1</v>
      </c>
      <c r="AH72">
        <v>-1</v>
      </c>
      <c r="AI72">
        <v>-1</v>
      </c>
      <c r="AJ72" s="9">
        <f t="shared" si="22"/>
        <v>11</v>
      </c>
      <c r="AK72">
        <f t="shared" si="23"/>
        <v>0</v>
      </c>
      <c r="AL72" s="9">
        <v>0</v>
      </c>
    </row>
    <row r="73" spans="1:38" x14ac:dyDescent="0.35">
      <c r="A73" s="50">
        <v>0</v>
      </c>
      <c r="B73" s="50" t="s">
        <v>12</v>
      </c>
      <c r="C73" s="53">
        <v>43886</v>
      </c>
      <c r="D73" s="53">
        <v>43906</v>
      </c>
      <c r="E73" s="53">
        <v>43970</v>
      </c>
      <c r="F73" s="21">
        <f t="shared" si="24"/>
        <v>64</v>
      </c>
      <c r="G73" s="53">
        <v>43906</v>
      </c>
      <c r="H73" s="9">
        <v>2020</v>
      </c>
      <c r="I73" s="50">
        <v>0</v>
      </c>
      <c r="J73" s="50">
        <v>4</v>
      </c>
      <c r="K73" s="50">
        <v>20</v>
      </c>
      <c r="L73" s="24" t="s">
        <v>1233</v>
      </c>
      <c r="M73" s="24"/>
      <c r="V73" t="s">
        <v>951</v>
      </c>
      <c r="W73" t="s">
        <v>989</v>
      </c>
      <c r="X73" t="s">
        <v>997</v>
      </c>
      <c r="Y73" t="s">
        <v>1000</v>
      </c>
      <c r="Z73">
        <v>0</v>
      </c>
      <c r="AA73">
        <v>-1</v>
      </c>
      <c r="AB73">
        <v>-1</v>
      </c>
      <c r="AC73">
        <v>-1</v>
      </c>
      <c r="AD73">
        <v>-1</v>
      </c>
      <c r="AE73">
        <v>-1</v>
      </c>
      <c r="AF73">
        <v>-1</v>
      </c>
      <c r="AG73">
        <v>-1</v>
      </c>
      <c r="AH73">
        <v>-1</v>
      </c>
      <c r="AI73">
        <v>-1</v>
      </c>
      <c r="AJ73" s="9">
        <f t="shared" si="22"/>
        <v>20</v>
      </c>
      <c r="AK73">
        <f t="shared" si="23"/>
        <v>0</v>
      </c>
      <c r="AL73" s="9">
        <v>0</v>
      </c>
    </row>
    <row r="74" spans="1:38" x14ac:dyDescent="0.35">
      <c r="A74" s="50">
        <v>0</v>
      </c>
      <c r="B74" s="50" t="s">
        <v>12</v>
      </c>
      <c r="C74" s="53">
        <v>43886</v>
      </c>
      <c r="D74" s="53">
        <v>43906</v>
      </c>
      <c r="E74" s="53">
        <v>43970</v>
      </c>
      <c r="F74" s="21">
        <f t="shared" si="24"/>
        <v>64</v>
      </c>
      <c r="G74" s="53">
        <v>43906</v>
      </c>
      <c r="H74" s="9">
        <v>2020</v>
      </c>
      <c r="I74" s="50">
        <v>0</v>
      </c>
      <c r="J74" s="50">
        <v>1</v>
      </c>
      <c r="K74" s="50">
        <v>4</v>
      </c>
      <c r="L74" s="24" t="s">
        <v>1234</v>
      </c>
      <c r="M74" s="24"/>
      <c r="V74" t="s">
        <v>951</v>
      </c>
      <c r="W74" t="s">
        <v>989</v>
      </c>
      <c r="X74" t="s">
        <v>997</v>
      </c>
      <c r="Y74" t="s">
        <v>1000</v>
      </c>
      <c r="Z74">
        <v>0</v>
      </c>
      <c r="AA74">
        <v>-1</v>
      </c>
      <c r="AB74">
        <v>-1</v>
      </c>
      <c r="AC74">
        <v>-1</v>
      </c>
      <c r="AD74">
        <v>-1</v>
      </c>
      <c r="AE74">
        <v>-1</v>
      </c>
      <c r="AF74">
        <v>-1</v>
      </c>
      <c r="AG74">
        <v>-1</v>
      </c>
      <c r="AH74">
        <v>-1</v>
      </c>
      <c r="AI74">
        <v>-1</v>
      </c>
      <c r="AJ74" s="9">
        <f t="shared" si="22"/>
        <v>4</v>
      </c>
      <c r="AK74">
        <f t="shared" si="23"/>
        <v>0</v>
      </c>
      <c r="AL74" s="9">
        <v>0</v>
      </c>
    </row>
    <row r="75" spans="1:38" x14ac:dyDescent="0.35">
      <c r="A75" s="50">
        <v>0</v>
      </c>
      <c r="B75" s="50" t="s">
        <v>12</v>
      </c>
      <c r="C75" s="53">
        <v>43886</v>
      </c>
      <c r="D75" s="53">
        <v>43906</v>
      </c>
      <c r="E75" s="53">
        <v>43970</v>
      </c>
      <c r="F75" s="21">
        <f t="shared" si="24"/>
        <v>64</v>
      </c>
      <c r="G75" s="53">
        <v>43906</v>
      </c>
      <c r="H75" s="9">
        <v>2020</v>
      </c>
      <c r="I75" s="50">
        <v>0</v>
      </c>
      <c r="J75" s="50">
        <v>1</v>
      </c>
      <c r="K75" s="50">
        <v>6</v>
      </c>
      <c r="L75" s="24" t="s">
        <v>1235</v>
      </c>
      <c r="M75" s="24"/>
      <c r="V75" t="s">
        <v>951</v>
      </c>
      <c r="W75" t="s">
        <v>989</v>
      </c>
      <c r="X75" t="s">
        <v>997</v>
      </c>
      <c r="Y75" t="s">
        <v>1000</v>
      </c>
      <c r="Z75">
        <v>0</v>
      </c>
      <c r="AA75">
        <v>-1</v>
      </c>
      <c r="AB75">
        <v>-1</v>
      </c>
      <c r="AC75">
        <v>-1</v>
      </c>
      <c r="AD75">
        <v>-1</v>
      </c>
      <c r="AE75">
        <v>-1</v>
      </c>
      <c r="AF75">
        <v>-1</v>
      </c>
      <c r="AG75">
        <v>-1</v>
      </c>
      <c r="AH75">
        <v>-1</v>
      </c>
      <c r="AI75">
        <v>-1</v>
      </c>
      <c r="AJ75" s="9">
        <f t="shared" si="22"/>
        <v>6</v>
      </c>
      <c r="AK75">
        <f t="shared" si="23"/>
        <v>0</v>
      </c>
      <c r="AL75" s="9">
        <v>0</v>
      </c>
    </row>
    <row r="76" spans="1:38" x14ac:dyDescent="0.35">
      <c r="A76" s="50">
        <v>0</v>
      </c>
      <c r="B76" s="50" t="s">
        <v>12</v>
      </c>
      <c r="C76" s="53">
        <v>43886</v>
      </c>
      <c r="D76" s="53">
        <v>43906</v>
      </c>
      <c r="E76" s="53">
        <v>43970</v>
      </c>
      <c r="F76" s="21">
        <f t="shared" si="24"/>
        <v>64</v>
      </c>
      <c r="G76" s="53">
        <v>43906</v>
      </c>
      <c r="H76" s="9">
        <v>2020</v>
      </c>
      <c r="I76" s="50">
        <v>0</v>
      </c>
      <c r="J76" s="50">
        <v>7</v>
      </c>
      <c r="K76" s="50">
        <v>31</v>
      </c>
      <c r="L76" s="24" t="s">
        <v>1236</v>
      </c>
      <c r="M76" s="24"/>
      <c r="V76" t="s">
        <v>951</v>
      </c>
      <c r="W76" t="s">
        <v>989</v>
      </c>
      <c r="X76" t="s">
        <v>997</v>
      </c>
      <c r="Y76" t="s">
        <v>1000</v>
      </c>
      <c r="Z76">
        <v>0</v>
      </c>
      <c r="AA76">
        <v>-1</v>
      </c>
      <c r="AB76">
        <v>-1</v>
      </c>
      <c r="AC76">
        <v>-1</v>
      </c>
      <c r="AD76">
        <v>-1</v>
      </c>
      <c r="AE76">
        <v>-1</v>
      </c>
      <c r="AF76">
        <v>-1</v>
      </c>
      <c r="AG76">
        <v>-1</v>
      </c>
      <c r="AH76">
        <v>-1</v>
      </c>
      <c r="AI76">
        <v>-1</v>
      </c>
      <c r="AJ76" s="9">
        <f t="shared" si="22"/>
        <v>31</v>
      </c>
      <c r="AK76">
        <f t="shared" si="23"/>
        <v>0</v>
      </c>
      <c r="AL76" s="9">
        <v>0</v>
      </c>
    </row>
    <row r="77" spans="1:38" x14ac:dyDescent="0.35">
      <c r="A77" s="50">
        <v>0</v>
      </c>
      <c r="B77" s="50" t="s">
        <v>12</v>
      </c>
      <c r="C77" s="53">
        <v>43886</v>
      </c>
      <c r="D77" s="53">
        <v>43906</v>
      </c>
      <c r="E77" s="53">
        <v>43970</v>
      </c>
      <c r="F77" s="21">
        <f t="shared" si="24"/>
        <v>64</v>
      </c>
      <c r="G77" s="53">
        <v>43906</v>
      </c>
      <c r="H77" s="9">
        <v>2020</v>
      </c>
      <c r="I77" s="50">
        <v>0</v>
      </c>
      <c r="J77" s="50">
        <v>5</v>
      </c>
      <c r="K77" s="50">
        <v>21</v>
      </c>
      <c r="L77" s="24" t="s">
        <v>1237</v>
      </c>
      <c r="M77" s="24"/>
      <c r="V77" t="s">
        <v>951</v>
      </c>
      <c r="W77" t="s">
        <v>989</v>
      </c>
      <c r="X77" t="s">
        <v>997</v>
      </c>
      <c r="Y77" t="s">
        <v>1000</v>
      </c>
      <c r="Z77">
        <v>0</v>
      </c>
      <c r="AA77">
        <v>-1</v>
      </c>
      <c r="AB77">
        <v>-1</v>
      </c>
      <c r="AC77">
        <v>-1</v>
      </c>
      <c r="AD77">
        <v>-1</v>
      </c>
      <c r="AE77">
        <v>-1</v>
      </c>
      <c r="AF77">
        <v>-1</v>
      </c>
      <c r="AG77">
        <v>-1</v>
      </c>
      <c r="AH77">
        <v>-1</v>
      </c>
      <c r="AI77">
        <v>-1</v>
      </c>
      <c r="AJ77" s="9">
        <f t="shared" si="22"/>
        <v>21</v>
      </c>
      <c r="AK77">
        <f t="shared" si="23"/>
        <v>0</v>
      </c>
      <c r="AL77" s="9">
        <v>0</v>
      </c>
    </row>
    <row r="78" spans="1:38" x14ac:dyDescent="0.35">
      <c r="A78" s="50">
        <v>0</v>
      </c>
      <c r="B78" s="50" t="s">
        <v>12</v>
      </c>
      <c r="C78" s="53">
        <v>43886</v>
      </c>
      <c r="D78" s="53">
        <v>43906</v>
      </c>
      <c r="E78" s="53">
        <v>43970</v>
      </c>
      <c r="F78" s="21">
        <f t="shared" si="24"/>
        <v>64</v>
      </c>
      <c r="G78" s="53">
        <v>43906</v>
      </c>
      <c r="H78" s="9">
        <v>2020</v>
      </c>
      <c r="I78" s="50">
        <v>0</v>
      </c>
      <c r="J78" s="50">
        <v>5</v>
      </c>
      <c r="K78" s="50" t="s">
        <v>204</v>
      </c>
      <c r="L78" s="24" t="s">
        <v>1826</v>
      </c>
      <c r="M78" s="24"/>
      <c r="V78" t="s">
        <v>951</v>
      </c>
      <c r="W78" t="s">
        <v>989</v>
      </c>
      <c r="X78" t="s">
        <v>997</v>
      </c>
      <c r="Y78" t="s">
        <v>1000</v>
      </c>
      <c r="Z78">
        <v>0</v>
      </c>
      <c r="AA78">
        <v>-1</v>
      </c>
      <c r="AB78">
        <v>-1</v>
      </c>
      <c r="AC78">
        <v>-1</v>
      </c>
      <c r="AD78">
        <v>-1</v>
      </c>
      <c r="AE78">
        <v>-1</v>
      </c>
      <c r="AF78">
        <v>-1</v>
      </c>
      <c r="AG78">
        <v>-1</v>
      </c>
      <c r="AH78">
        <v>-1</v>
      </c>
      <c r="AI78">
        <v>-1</v>
      </c>
      <c r="AJ78" s="9" t="str">
        <f t="shared" si="22"/>
        <v>General</v>
      </c>
      <c r="AK78">
        <f t="shared" si="23"/>
        <v>0</v>
      </c>
      <c r="AL78" s="9">
        <v>0</v>
      </c>
    </row>
    <row r="79" spans="1:38" s="47" customFormat="1" x14ac:dyDescent="0.35">
      <c r="A79" s="50">
        <v>0</v>
      </c>
      <c r="B79" s="50" t="s">
        <v>12</v>
      </c>
      <c r="C79" s="53">
        <v>43886</v>
      </c>
      <c r="D79" s="53">
        <v>43906</v>
      </c>
      <c r="E79" s="53">
        <v>43970</v>
      </c>
      <c r="F79" s="21">
        <f t="shared" ref="F79:F80" si="25">DATEDIF(D79,E79,"D")</f>
        <v>64</v>
      </c>
      <c r="G79" s="53">
        <v>43906</v>
      </c>
      <c r="H79" s="9">
        <v>2021</v>
      </c>
      <c r="I79" s="50">
        <v>0</v>
      </c>
      <c r="J79" s="50">
        <v>9</v>
      </c>
      <c r="K79" s="50">
        <v>34</v>
      </c>
      <c r="L79" s="48" t="s">
        <v>1827</v>
      </c>
      <c r="M79" s="48"/>
    </row>
    <row r="80" spans="1:38" s="47" customFormat="1" x14ac:dyDescent="0.35">
      <c r="A80" s="50">
        <v>0</v>
      </c>
      <c r="B80" s="50" t="s">
        <v>12</v>
      </c>
      <c r="C80" s="53">
        <v>43886</v>
      </c>
      <c r="D80" s="53">
        <v>43906</v>
      </c>
      <c r="E80" s="53">
        <v>43970</v>
      </c>
      <c r="F80" s="21">
        <f t="shared" si="25"/>
        <v>64</v>
      </c>
      <c r="G80" s="53">
        <v>43906</v>
      </c>
      <c r="H80" s="9">
        <v>2021</v>
      </c>
      <c r="I80" s="50">
        <v>0</v>
      </c>
      <c r="J80" s="50">
        <v>7</v>
      </c>
      <c r="K80" s="50">
        <v>31</v>
      </c>
      <c r="L80" s="48" t="s">
        <v>1828</v>
      </c>
      <c r="M80" s="48"/>
    </row>
    <row r="81" spans="1:38" x14ac:dyDescent="0.35">
      <c r="A81" s="50">
        <v>0</v>
      </c>
      <c r="B81" s="9" t="s">
        <v>14</v>
      </c>
      <c r="C81" s="53">
        <v>43865</v>
      </c>
      <c r="D81" s="53">
        <v>43908</v>
      </c>
      <c r="E81" s="53">
        <v>43962</v>
      </c>
      <c r="F81" s="21">
        <f t="shared" si="24"/>
        <v>54</v>
      </c>
      <c r="G81" s="53">
        <v>43914</v>
      </c>
      <c r="H81" s="9">
        <v>2020</v>
      </c>
      <c r="I81" s="50">
        <v>0</v>
      </c>
      <c r="J81" s="9">
        <v>2</v>
      </c>
      <c r="K81" s="9" t="s">
        <v>206</v>
      </c>
      <c r="L81" s="50" t="s">
        <v>275</v>
      </c>
      <c r="M81">
        <v>2</v>
      </c>
      <c r="N81">
        <v>2</v>
      </c>
      <c r="O81">
        <v>2</v>
      </c>
      <c r="P81">
        <v>-1</v>
      </c>
      <c r="Q81">
        <v>2</v>
      </c>
      <c r="R81">
        <v>2</v>
      </c>
      <c r="S81">
        <v>-2</v>
      </c>
      <c r="T81">
        <v>-2</v>
      </c>
      <c r="U81">
        <v>1</v>
      </c>
      <c r="V81" t="s">
        <v>952</v>
      </c>
      <c r="W81" t="s">
        <v>989</v>
      </c>
      <c r="X81" t="s">
        <v>997</v>
      </c>
      <c r="Y81" t="s">
        <v>1000</v>
      </c>
      <c r="Z81">
        <v>0</v>
      </c>
      <c r="AA81">
        <f t="shared" ref="AA81:AA106" si="26">IF(M81&gt;0,1,IF(M81&lt;0,0,-1))</f>
        <v>1</v>
      </c>
      <c r="AB81">
        <f t="shared" ref="AB81:AB106" si="27">IF(N81&gt;0,1,IF(N81&lt;0,0,-1))</f>
        <v>1</v>
      </c>
      <c r="AC81">
        <f t="shared" ref="AC81:AC106" si="28">IF(O81&gt;0,1,IF(O81&lt;0,0,-1))</f>
        <v>1</v>
      </c>
      <c r="AD81">
        <f t="shared" ref="AD81:AD106" si="29">IF(P81&gt;0,1,IF(P81&lt;0,0,-1))</f>
        <v>0</v>
      </c>
      <c r="AE81">
        <f t="shared" ref="AE81:AE106" si="30">IF(Q81&gt;0,1,IF(Q81&lt;0,0,-1))</f>
        <v>1</v>
      </c>
      <c r="AF81">
        <f t="shared" ref="AF81:AF106" si="31">IF(R81&gt;0,1,IF(R81&lt;0,0,-1))</f>
        <v>1</v>
      </c>
      <c r="AG81">
        <f t="shared" ref="AG81:AG106" si="32">IF(S81&gt;0,1,IF(S81&lt;0,0,-1))</f>
        <v>0</v>
      </c>
      <c r="AH81">
        <f t="shared" ref="AH81:AH106" si="33">IF(T81&gt;0,1,IF(T81&lt;0,0,-1))</f>
        <v>0</v>
      </c>
      <c r="AI81">
        <f t="shared" ref="AI81:AI106" si="34">IF(U81&gt;0,1,IF(U81&lt;0,0,-1))</f>
        <v>1</v>
      </c>
      <c r="AJ81" s="9" t="str">
        <f t="shared" ref="AJ81:AJ91" si="35">IF(ISNUMBER(K81),K81,IF(OR(K81="general",K81="23;general"),"General",IF(OR(K81="exemption",K81="other (exemption)"),"Tax exemption/waiver/suspension","Other")))</f>
        <v>Tax exemption/waiver/suspension</v>
      </c>
      <c r="AK81" t="e">
        <f>IF(B81&lt;&gt;#REF!,1,0)</f>
        <v>#REF!</v>
      </c>
      <c r="AL81" s="9">
        <v>1</v>
      </c>
    </row>
    <row r="82" spans="1:38" x14ac:dyDescent="0.35">
      <c r="A82" s="50">
        <v>0</v>
      </c>
      <c r="B82" s="9" t="s">
        <v>14</v>
      </c>
      <c r="C82" s="53">
        <v>43865</v>
      </c>
      <c r="D82" s="53">
        <v>43908</v>
      </c>
      <c r="E82" s="53">
        <v>43962</v>
      </c>
      <c r="F82" s="21">
        <f t="shared" si="24"/>
        <v>54</v>
      </c>
      <c r="G82" s="53">
        <v>43914</v>
      </c>
      <c r="H82" s="9">
        <v>2020</v>
      </c>
      <c r="I82" s="50">
        <v>0</v>
      </c>
      <c r="J82" s="9">
        <v>6</v>
      </c>
      <c r="K82" s="9">
        <v>29</v>
      </c>
      <c r="L82" s="50" t="s">
        <v>269</v>
      </c>
      <c r="M82">
        <v>-1</v>
      </c>
      <c r="N82">
        <v>1</v>
      </c>
      <c r="O82">
        <v>-2</v>
      </c>
      <c r="P82">
        <v>-1</v>
      </c>
      <c r="Q82">
        <v>1</v>
      </c>
      <c r="R82">
        <v>1</v>
      </c>
      <c r="S82">
        <v>1</v>
      </c>
      <c r="T82">
        <v>2</v>
      </c>
      <c r="U82">
        <v>1</v>
      </c>
      <c r="V82" t="s">
        <v>952</v>
      </c>
      <c r="W82" t="s">
        <v>989</v>
      </c>
      <c r="X82" t="s">
        <v>997</v>
      </c>
      <c r="Y82" t="s">
        <v>1000</v>
      </c>
      <c r="Z82">
        <v>0</v>
      </c>
      <c r="AA82">
        <f t="shared" si="26"/>
        <v>0</v>
      </c>
      <c r="AB82">
        <f t="shared" si="27"/>
        <v>1</v>
      </c>
      <c r="AC82">
        <f t="shared" si="28"/>
        <v>0</v>
      </c>
      <c r="AD82">
        <f t="shared" si="29"/>
        <v>0</v>
      </c>
      <c r="AE82">
        <f t="shared" si="30"/>
        <v>1</v>
      </c>
      <c r="AF82">
        <f t="shared" si="31"/>
        <v>1</v>
      </c>
      <c r="AG82">
        <f t="shared" si="32"/>
        <v>1</v>
      </c>
      <c r="AH82">
        <f t="shared" si="33"/>
        <v>1</v>
      </c>
      <c r="AI82">
        <f t="shared" si="34"/>
        <v>1</v>
      </c>
      <c r="AJ82" s="9">
        <f t="shared" si="35"/>
        <v>29</v>
      </c>
      <c r="AK82">
        <f t="shared" ref="AK82:AK91" si="36">IF(B82&lt;&gt;B81,1,0)</f>
        <v>0</v>
      </c>
      <c r="AL82" s="9">
        <v>1</v>
      </c>
    </row>
    <row r="83" spans="1:38" x14ac:dyDescent="0.35">
      <c r="A83" s="50">
        <v>0</v>
      </c>
      <c r="B83" s="9" t="s">
        <v>14</v>
      </c>
      <c r="C83" s="53">
        <v>43865</v>
      </c>
      <c r="D83" s="53">
        <v>43908</v>
      </c>
      <c r="E83" s="53">
        <v>43962</v>
      </c>
      <c r="F83" s="21">
        <f t="shared" si="24"/>
        <v>54</v>
      </c>
      <c r="G83" s="53">
        <v>43914</v>
      </c>
      <c r="H83" s="9">
        <v>2020</v>
      </c>
      <c r="I83" s="50">
        <v>0</v>
      </c>
      <c r="J83" s="9">
        <v>3</v>
      </c>
      <c r="K83" s="9" t="s">
        <v>206</v>
      </c>
      <c r="L83" s="50" t="s">
        <v>265</v>
      </c>
      <c r="M83">
        <v>1</v>
      </c>
      <c r="N83">
        <v>2</v>
      </c>
      <c r="O83">
        <v>-2</v>
      </c>
      <c r="P83">
        <v>-1</v>
      </c>
      <c r="Q83">
        <v>-2</v>
      </c>
      <c r="R83">
        <v>2</v>
      </c>
      <c r="S83">
        <v>2</v>
      </c>
      <c r="U83">
        <v>1</v>
      </c>
      <c r="V83" t="s">
        <v>952</v>
      </c>
      <c r="W83" t="s">
        <v>989</v>
      </c>
      <c r="X83" t="s">
        <v>997</v>
      </c>
      <c r="Y83" t="s">
        <v>1000</v>
      </c>
      <c r="Z83">
        <v>0</v>
      </c>
      <c r="AA83">
        <f t="shared" si="26"/>
        <v>1</v>
      </c>
      <c r="AB83">
        <f t="shared" si="27"/>
        <v>1</v>
      </c>
      <c r="AC83">
        <f t="shared" si="28"/>
        <v>0</v>
      </c>
      <c r="AD83">
        <f t="shared" si="29"/>
        <v>0</v>
      </c>
      <c r="AE83">
        <f t="shared" si="30"/>
        <v>0</v>
      </c>
      <c r="AF83">
        <f t="shared" si="31"/>
        <v>1</v>
      </c>
      <c r="AG83">
        <f t="shared" si="32"/>
        <v>1</v>
      </c>
      <c r="AH83">
        <f t="shared" si="33"/>
        <v>-1</v>
      </c>
      <c r="AI83">
        <f t="shared" si="34"/>
        <v>1</v>
      </c>
      <c r="AJ83" s="9" t="str">
        <f t="shared" si="35"/>
        <v>Tax exemption/waiver/suspension</v>
      </c>
      <c r="AK83">
        <f t="shared" si="36"/>
        <v>0</v>
      </c>
      <c r="AL83" s="9">
        <v>1</v>
      </c>
    </row>
    <row r="84" spans="1:38" x14ac:dyDescent="0.35">
      <c r="A84" s="50">
        <v>0</v>
      </c>
      <c r="B84" s="9" t="s">
        <v>14</v>
      </c>
      <c r="C84" s="53">
        <v>43865</v>
      </c>
      <c r="D84" s="53">
        <v>43908</v>
      </c>
      <c r="E84" s="53">
        <v>43962</v>
      </c>
      <c r="F84" s="21">
        <f t="shared" si="24"/>
        <v>54</v>
      </c>
      <c r="G84" s="53">
        <v>43914</v>
      </c>
      <c r="H84" s="9">
        <v>2020</v>
      </c>
      <c r="I84" s="50">
        <v>0</v>
      </c>
      <c r="J84" s="9">
        <v>1</v>
      </c>
      <c r="K84" s="9">
        <v>8</v>
      </c>
      <c r="L84" s="50" t="s">
        <v>254</v>
      </c>
      <c r="M84">
        <v>2</v>
      </c>
      <c r="N84">
        <v>2</v>
      </c>
      <c r="O84">
        <v>-2</v>
      </c>
      <c r="P84">
        <v>-1</v>
      </c>
      <c r="Q84">
        <v>-2</v>
      </c>
      <c r="R84">
        <v>-2</v>
      </c>
      <c r="S84">
        <v>-2</v>
      </c>
      <c r="T84">
        <v>2</v>
      </c>
      <c r="U84">
        <v>1</v>
      </c>
      <c r="V84" t="s">
        <v>952</v>
      </c>
      <c r="W84" t="s">
        <v>989</v>
      </c>
      <c r="X84" t="s">
        <v>997</v>
      </c>
      <c r="Y84" t="s">
        <v>1000</v>
      </c>
      <c r="Z84">
        <v>0</v>
      </c>
      <c r="AA84">
        <f t="shared" si="26"/>
        <v>1</v>
      </c>
      <c r="AB84">
        <f t="shared" si="27"/>
        <v>1</v>
      </c>
      <c r="AC84">
        <f t="shared" si="28"/>
        <v>0</v>
      </c>
      <c r="AD84">
        <f t="shared" si="29"/>
        <v>0</v>
      </c>
      <c r="AE84">
        <f t="shared" si="30"/>
        <v>0</v>
      </c>
      <c r="AF84">
        <f t="shared" si="31"/>
        <v>0</v>
      </c>
      <c r="AG84">
        <f t="shared" si="32"/>
        <v>0</v>
      </c>
      <c r="AH84">
        <f t="shared" si="33"/>
        <v>1</v>
      </c>
      <c r="AI84">
        <f t="shared" si="34"/>
        <v>1</v>
      </c>
      <c r="AJ84" s="9">
        <f t="shared" si="35"/>
        <v>8</v>
      </c>
      <c r="AK84">
        <f t="shared" si="36"/>
        <v>0</v>
      </c>
      <c r="AL84" s="9">
        <v>1</v>
      </c>
    </row>
    <row r="85" spans="1:38" x14ac:dyDescent="0.35">
      <c r="A85" s="50">
        <v>0</v>
      </c>
      <c r="B85" s="9" t="s">
        <v>14</v>
      </c>
      <c r="C85" s="53">
        <v>43865</v>
      </c>
      <c r="D85" s="53">
        <v>43908</v>
      </c>
      <c r="E85" s="53">
        <v>43962</v>
      </c>
      <c r="F85" s="21">
        <f t="shared" si="24"/>
        <v>54</v>
      </c>
      <c r="G85" s="53">
        <v>43914</v>
      </c>
      <c r="H85" s="9">
        <v>2020</v>
      </c>
      <c r="I85" s="50">
        <v>0</v>
      </c>
      <c r="J85" s="9">
        <v>3</v>
      </c>
      <c r="K85" s="9" t="s">
        <v>206</v>
      </c>
      <c r="L85" s="50" t="s">
        <v>273</v>
      </c>
      <c r="M85">
        <v>2</v>
      </c>
      <c r="N85">
        <v>2</v>
      </c>
      <c r="O85">
        <v>2</v>
      </c>
      <c r="P85">
        <v>2</v>
      </c>
      <c r="Q85">
        <v>2</v>
      </c>
      <c r="R85">
        <v>1</v>
      </c>
      <c r="S85">
        <v>2</v>
      </c>
      <c r="T85">
        <v>2</v>
      </c>
      <c r="U85">
        <v>1</v>
      </c>
      <c r="V85" t="s">
        <v>952</v>
      </c>
      <c r="W85" t="s">
        <v>989</v>
      </c>
      <c r="X85" t="s">
        <v>997</v>
      </c>
      <c r="Y85" t="s">
        <v>1000</v>
      </c>
      <c r="Z85">
        <v>0</v>
      </c>
      <c r="AA85">
        <f t="shared" si="26"/>
        <v>1</v>
      </c>
      <c r="AB85">
        <f t="shared" si="27"/>
        <v>1</v>
      </c>
      <c r="AC85">
        <f t="shared" si="28"/>
        <v>1</v>
      </c>
      <c r="AD85">
        <f t="shared" si="29"/>
        <v>1</v>
      </c>
      <c r="AE85">
        <f t="shared" si="30"/>
        <v>1</v>
      </c>
      <c r="AF85">
        <f t="shared" si="31"/>
        <v>1</v>
      </c>
      <c r="AG85">
        <f t="shared" si="32"/>
        <v>1</v>
      </c>
      <c r="AH85">
        <f t="shared" si="33"/>
        <v>1</v>
      </c>
      <c r="AI85">
        <f t="shared" si="34"/>
        <v>1</v>
      </c>
      <c r="AJ85" s="9" t="str">
        <f t="shared" si="35"/>
        <v>Tax exemption/waiver/suspension</v>
      </c>
      <c r="AK85">
        <f t="shared" si="36"/>
        <v>0</v>
      </c>
      <c r="AL85" s="9">
        <v>1</v>
      </c>
    </row>
    <row r="86" spans="1:38" x14ac:dyDescent="0.35">
      <c r="A86" s="50">
        <v>0</v>
      </c>
      <c r="B86" s="9" t="s">
        <v>14</v>
      </c>
      <c r="C86" s="53">
        <v>43865</v>
      </c>
      <c r="D86" s="53">
        <v>43908</v>
      </c>
      <c r="E86" s="53">
        <v>43962</v>
      </c>
      <c r="F86" s="21">
        <f t="shared" si="24"/>
        <v>54</v>
      </c>
      <c r="G86" s="53">
        <v>43914</v>
      </c>
      <c r="H86" s="9">
        <v>2020</v>
      </c>
      <c r="I86" s="50">
        <v>0</v>
      </c>
      <c r="J86" s="9">
        <v>1</v>
      </c>
      <c r="K86" s="9">
        <v>7</v>
      </c>
      <c r="L86" s="50" t="s">
        <v>262</v>
      </c>
      <c r="M86">
        <v>-1</v>
      </c>
      <c r="N86">
        <v>-1</v>
      </c>
      <c r="R86">
        <v>-1</v>
      </c>
      <c r="U86">
        <v>1</v>
      </c>
      <c r="V86" t="s">
        <v>952</v>
      </c>
      <c r="W86" t="s">
        <v>989</v>
      </c>
      <c r="X86" t="s">
        <v>997</v>
      </c>
      <c r="Y86" t="s">
        <v>1000</v>
      </c>
      <c r="Z86">
        <v>0</v>
      </c>
      <c r="AA86">
        <f t="shared" si="26"/>
        <v>0</v>
      </c>
      <c r="AB86">
        <f t="shared" si="27"/>
        <v>0</v>
      </c>
      <c r="AC86">
        <f t="shared" si="28"/>
        <v>-1</v>
      </c>
      <c r="AD86">
        <f t="shared" si="29"/>
        <v>-1</v>
      </c>
      <c r="AE86">
        <f t="shared" si="30"/>
        <v>-1</v>
      </c>
      <c r="AF86">
        <f t="shared" si="31"/>
        <v>0</v>
      </c>
      <c r="AG86">
        <f t="shared" si="32"/>
        <v>-1</v>
      </c>
      <c r="AH86">
        <f t="shared" si="33"/>
        <v>-1</v>
      </c>
      <c r="AI86">
        <f t="shared" si="34"/>
        <v>1</v>
      </c>
      <c r="AJ86" s="9">
        <f t="shared" si="35"/>
        <v>7</v>
      </c>
      <c r="AK86">
        <f t="shared" si="36"/>
        <v>0</v>
      </c>
      <c r="AL86" s="9">
        <v>1</v>
      </c>
    </row>
    <row r="87" spans="1:38" x14ac:dyDescent="0.35">
      <c r="A87" s="50">
        <v>0</v>
      </c>
      <c r="B87" s="9" t="s">
        <v>14</v>
      </c>
      <c r="C87" s="53">
        <v>43865</v>
      </c>
      <c r="D87" s="53">
        <v>43908</v>
      </c>
      <c r="E87" s="53">
        <v>43962</v>
      </c>
      <c r="F87" s="21">
        <f t="shared" si="24"/>
        <v>54</v>
      </c>
      <c r="G87" s="53">
        <v>43914</v>
      </c>
      <c r="H87" s="9">
        <v>2020</v>
      </c>
      <c r="I87" s="50">
        <v>0</v>
      </c>
      <c r="J87" s="9">
        <v>2</v>
      </c>
      <c r="K87" s="9" t="s">
        <v>206</v>
      </c>
      <c r="L87" s="50" t="s">
        <v>255</v>
      </c>
      <c r="M87">
        <v>-2</v>
      </c>
      <c r="N87">
        <v>2</v>
      </c>
      <c r="O87">
        <v>-2</v>
      </c>
      <c r="P87">
        <v>-1</v>
      </c>
      <c r="Q87">
        <v>-2</v>
      </c>
      <c r="R87">
        <v>2</v>
      </c>
      <c r="S87">
        <v>-2</v>
      </c>
      <c r="T87">
        <v>-2</v>
      </c>
      <c r="U87">
        <v>1</v>
      </c>
      <c r="V87" t="s">
        <v>952</v>
      </c>
      <c r="W87" t="s">
        <v>989</v>
      </c>
      <c r="X87" t="s">
        <v>997</v>
      </c>
      <c r="Y87" t="s">
        <v>1000</v>
      </c>
      <c r="Z87">
        <v>0</v>
      </c>
      <c r="AA87">
        <f t="shared" si="26"/>
        <v>0</v>
      </c>
      <c r="AB87">
        <f t="shared" si="27"/>
        <v>1</v>
      </c>
      <c r="AC87">
        <f t="shared" si="28"/>
        <v>0</v>
      </c>
      <c r="AD87">
        <f t="shared" si="29"/>
        <v>0</v>
      </c>
      <c r="AE87">
        <f t="shared" si="30"/>
        <v>0</v>
      </c>
      <c r="AF87">
        <f t="shared" si="31"/>
        <v>1</v>
      </c>
      <c r="AG87">
        <f t="shared" si="32"/>
        <v>0</v>
      </c>
      <c r="AH87">
        <f t="shared" si="33"/>
        <v>0</v>
      </c>
      <c r="AI87">
        <f t="shared" si="34"/>
        <v>1</v>
      </c>
      <c r="AJ87" s="9" t="str">
        <f t="shared" si="35"/>
        <v>Tax exemption/waiver/suspension</v>
      </c>
      <c r="AK87">
        <f t="shared" si="36"/>
        <v>0</v>
      </c>
      <c r="AL87" s="9">
        <v>1</v>
      </c>
    </row>
    <row r="88" spans="1:38" x14ac:dyDescent="0.35">
      <c r="A88" s="50">
        <v>0</v>
      </c>
      <c r="B88" s="9" t="s">
        <v>14</v>
      </c>
      <c r="C88" s="53">
        <v>43865</v>
      </c>
      <c r="D88" s="53">
        <v>43908</v>
      </c>
      <c r="E88" s="53">
        <v>43962</v>
      </c>
      <c r="F88" s="21">
        <f t="shared" si="24"/>
        <v>54</v>
      </c>
      <c r="G88" s="53">
        <v>43914</v>
      </c>
      <c r="H88" s="9">
        <v>2020</v>
      </c>
      <c r="I88" s="50">
        <v>0</v>
      </c>
      <c r="J88" s="9">
        <v>1</v>
      </c>
      <c r="K88" s="9">
        <v>6</v>
      </c>
      <c r="L88" s="50" t="s">
        <v>276</v>
      </c>
      <c r="M88">
        <v>-1</v>
      </c>
      <c r="N88">
        <v>2</v>
      </c>
      <c r="O88">
        <v>2</v>
      </c>
      <c r="P88">
        <v>2</v>
      </c>
      <c r="Q88">
        <v>2</v>
      </c>
      <c r="R88">
        <v>2</v>
      </c>
      <c r="S88">
        <v>1</v>
      </c>
      <c r="T88">
        <v>1</v>
      </c>
      <c r="U88">
        <v>1</v>
      </c>
      <c r="V88" t="s">
        <v>952</v>
      </c>
      <c r="W88" t="s">
        <v>989</v>
      </c>
      <c r="X88" t="s">
        <v>997</v>
      </c>
      <c r="Y88" t="s">
        <v>1000</v>
      </c>
      <c r="Z88">
        <v>0</v>
      </c>
      <c r="AA88">
        <f t="shared" si="26"/>
        <v>0</v>
      </c>
      <c r="AB88">
        <f t="shared" si="27"/>
        <v>1</v>
      </c>
      <c r="AC88">
        <f t="shared" si="28"/>
        <v>1</v>
      </c>
      <c r="AD88">
        <f t="shared" si="29"/>
        <v>1</v>
      </c>
      <c r="AE88">
        <f t="shared" si="30"/>
        <v>1</v>
      </c>
      <c r="AF88">
        <f t="shared" si="31"/>
        <v>1</v>
      </c>
      <c r="AG88">
        <f t="shared" si="32"/>
        <v>1</v>
      </c>
      <c r="AH88">
        <f t="shared" si="33"/>
        <v>1</v>
      </c>
      <c r="AI88">
        <f t="shared" si="34"/>
        <v>1</v>
      </c>
      <c r="AJ88" s="9">
        <f t="shared" si="35"/>
        <v>6</v>
      </c>
      <c r="AK88">
        <f t="shared" si="36"/>
        <v>0</v>
      </c>
      <c r="AL88" s="9">
        <v>1</v>
      </c>
    </row>
    <row r="89" spans="1:38" x14ac:dyDescent="0.35">
      <c r="A89" s="50">
        <v>0</v>
      </c>
      <c r="B89" s="9" t="s">
        <v>14</v>
      </c>
      <c r="C89" s="53">
        <v>43865</v>
      </c>
      <c r="D89" s="53">
        <v>43908</v>
      </c>
      <c r="E89" s="53">
        <v>43962</v>
      </c>
      <c r="F89" s="21">
        <f t="shared" si="24"/>
        <v>54</v>
      </c>
      <c r="G89" s="53">
        <v>43914</v>
      </c>
      <c r="H89" s="9">
        <v>2020</v>
      </c>
      <c r="I89" s="50">
        <v>0</v>
      </c>
      <c r="J89" s="9">
        <v>6</v>
      </c>
      <c r="K89" s="9">
        <v>28</v>
      </c>
      <c r="L89" s="50" t="s">
        <v>264</v>
      </c>
      <c r="M89">
        <v>1</v>
      </c>
      <c r="N89">
        <v>2</v>
      </c>
      <c r="O89">
        <v>1</v>
      </c>
      <c r="Q89">
        <v>-2</v>
      </c>
      <c r="R89">
        <v>1</v>
      </c>
      <c r="S89">
        <v>1</v>
      </c>
      <c r="T89">
        <v>1</v>
      </c>
      <c r="U89">
        <v>1</v>
      </c>
      <c r="V89" t="s">
        <v>952</v>
      </c>
      <c r="W89" t="s">
        <v>989</v>
      </c>
      <c r="X89" t="s">
        <v>997</v>
      </c>
      <c r="Y89" t="s">
        <v>1000</v>
      </c>
      <c r="Z89">
        <v>0</v>
      </c>
      <c r="AA89">
        <f t="shared" si="26"/>
        <v>1</v>
      </c>
      <c r="AB89">
        <f t="shared" si="27"/>
        <v>1</v>
      </c>
      <c r="AC89">
        <f t="shared" si="28"/>
        <v>1</v>
      </c>
      <c r="AD89">
        <f t="shared" si="29"/>
        <v>-1</v>
      </c>
      <c r="AE89">
        <f t="shared" si="30"/>
        <v>0</v>
      </c>
      <c r="AF89">
        <f t="shared" si="31"/>
        <v>1</v>
      </c>
      <c r="AG89">
        <f t="shared" si="32"/>
        <v>1</v>
      </c>
      <c r="AH89">
        <f t="shared" si="33"/>
        <v>1</v>
      </c>
      <c r="AI89">
        <f t="shared" si="34"/>
        <v>1</v>
      </c>
      <c r="AJ89" s="9">
        <f t="shared" si="35"/>
        <v>28</v>
      </c>
      <c r="AK89">
        <f t="shared" si="36"/>
        <v>0</v>
      </c>
      <c r="AL89" s="9">
        <v>1</v>
      </c>
    </row>
    <row r="90" spans="1:38" x14ac:dyDescent="0.35">
      <c r="A90" s="50">
        <v>0</v>
      </c>
      <c r="B90" s="9" t="s">
        <v>14</v>
      </c>
      <c r="C90" s="53">
        <v>43865</v>
      </c>
      <c r="D90" s="53">
        <v>43908</v>
      </c>
      <c r="E90" s="53">
        <v>43962</v>
      </c>
      <c r="F90" s="21">
        <f t="shared" si="24"/>
        <v>54</v>
      </c>
      <c r="G90" s="53">
        <v>43914</v>
      </c>
      <c r="H90" s="9">
        <v>2020</v>
      </c>
      <c r="I90" s="50">
        <v>0</v>
      </c>
      <c r="J90" s="9">
        <v>3</v>
      </c>
      <c r="K90" s="9" t="s">
        <v>206</v>
      </c>
      <c r="L90" s="50" t="s">
        <v>270</v>
      </c>
      <c r="M90">
        <v>2</v>
      </c>
      <c r="N90">
        <v>2</v>
      </c>
      <c r="O90">
        <v>-2</v>
      </c>
      <c r="P90">
        <v>-2</v>
      </c>
      <c r="Q90">
        <v>2</v>
      </c>
      <c r="R90">
        <v>2</v>
      </c>
      <c r="S90">
        <v>-2</v>
      </c>
      <c r="T90">
        <v>-2</v>
      </c>
      <c r="U90">
        <v>1</v>
      </c>
      <c r="V90" t="s">
        <v>952</v>
      </c>
      <c r="W90" t="s">
        <v>989</v>
      </c>
      <c r="X90" t="s">
        <v>997</v>
      </c>
      <c r="Y90" t="s">
        <v>1000</v>
      </c>
      <c r="Z90">
        <v>0</v>
      </c>
      <c r="AA90">
        <f t="shared" si="26"/>
        <v>1</v>
      </c>
      <c r="AB90">
        <f t="shared" si="27"/>
        <v>1</v>
      </c>
      <c r="AC90">
        <f t="shared" si="28"/>
        <v>0</v>
      </c>
      <c r="AD90">
        <f t="shared" si="29"/>
        <v>0</v>
      </c>
      <c r="AE90">
        <f t="shared" si="30"/>
        <v>1</v>
      </c>
      <c r="AF90">
        <f t="shared" si="31"/>
        <v>1</v>
      </c>
      <c r="AG90">
        <f t="shared" si="32"/>
        <v>0</v>
      </c>
      <c r="AH90">
        <f t="shared" si="33"/>
        <v>0</v>
      </c>
      <c r="AI90">
        <f t="shared" si="34"/>
        <v>1</v>
      </c>
      <c r="AJ90" s="9" t="str">
        <f t="shared" si="35"/>
        <v>Tax exemption/waiver/suspension</v>
      </c>
      <c r="AK90">
        <f t="shared" si="36"/>
        <v>0</v>
      </c>
      <c r="AL90" s="9">
        <v>1</v>
      </c>
    </row>
    <row r="91" spans="1:38" x14ac:dyDescent="0.35">
      <c r="A91" s="50">
        <v>0</v>
      </c>
      <c r="B91" s="9" t="s">
        <v>14</v>
      </c>
      <c r="C91" s="53">
        <v>43865</v>
      </c>
      <c r="D91" s="53">
        <v>43908</v>
      </c>
      <c r="E91" s="53">
        <v>43962</v>
      </c>
      <c r="F91" s="21">
        <f t="shared" si="24"/>
        <v>54</v>
      </c>
      <c r="G91" s="53">
        <v>43914</v>
      </c>
      <c r="H91" s="9">
        <v>2020</v>
      </c>
      <c r="I91" s="50">
        <v>0</v>
      </c>
      <c r="J91" s="9">
        <v>1</v>
      </c>
      <c r="K91" s="9">
        <v>10</v>
      </c>
      <c r="L91" s="50" t="s">
        <v>266</v>
      </c>
      <c r="M91">
        <v>-2</v>
      </c>
      <c r="N91">
        <v>2</v>
      </c>
      <c r="O91">
        <v>2</v>
      </c>
      <c r="P91">
        <v>2</v>
      </c>
      <c r="Q91">
        <v>2</v>
      </c>
      <c r="R91">
        <v>-2</v>
      </c>
      <c r="S91">
        <v>2</v>
      </c>
      <c r="T91">
        <v>2</v>
      </c>
      <c r="U91">
        <v>1</v>
      </c>
      <c r="V91" t="s">
        <v>952</v>
      </c>
      <c r="W91" t="s">
        <v>989</v>
      </c>
      <c r="X91" t="s">
        <v>997</v>
      </c>
      <c r="Y91" t="s">
        <v>1000</v>
      </c>
      <c r="Z91">
        <v>0</v>
      </c>
      <c r="AA91">
        <f t="shared" si="26"/>
        <v>0</v>
      </c>
      <c r="AB91">
        <f t="shared" si="27"/>
        <v>1</v>
      </c>
      <c r="AC91">
        <f t="shared" si="28"/>
        <v>1</v>
      </c>
      <c r="AD91">
        <f t="shared" si="29"/>
        <v>1</v>
      </c>
      <c r="AE91">
        <f t="shared" si="30"/>
        <v>1</v>
      </c>
      <c r="AF91">
        <f t="shared" si="31"/>
        <v>0</v>
      </c>
      <c r="AG91">
        <f t="shared" si="32"/>
        <v>1</v>
      </c>
      <c r="AH91">
        <f t="shared" si="33"/>
        <v>1</v>
      </c>
      <c r="AI91">
        <f t="shared" si="34"/>
        <v>1</v>
      </c>
      <c r="AJ91" s="9">
        <f t="shared" si="35"/>
        <v>10</v>
      </c>
      <c r="AK91">
        <f t="shared" si="36"/>
        <v>0</v>
      </c>
      <c r="AL91" s="9">
        <v>1</v>
      </c>
    </row>
    <row r="92" spans="1:38" x14ac:dyDescent="0.35">
      <c r="A92" s="50">
        <v>0</v>
      </c>
      <c r="B92" s="9" t="s">
        <v>14</v>
      </c>
      <c r="C92" s="53">
        <v>43865</v>
      </c>
      <c r="D92" s="53">
        <v>43908</v>
      </c>
      <c r="E92" s="53">
        <v>43962</v>
      </c>
      <c r="F92" s="21">
        <f t="shared" si="24"/>
        <v>54</v>
      </c>
      <c r="G92" s="53">
        <v>43914</v>
      </c>
      <c r="H92" s="9">
        <v>2020</v>
      </c>
      <c r="I92" s="50">
        <v>0</v>
      </c>
      <c r="J92" s="9">
        <v>1</v>
      </c>
      <c r="K92" s="9" t="s">
        <v>201</v>
      </c>
      <c r="L92" s="50" t="s">
        <v>267</v>
      </c>
      <c r="M92">
        <v>-1</v>
      </c>
      <c r="N92">
        <v>2</v>
      </c>
      <c r="O92">
        <v>-2</v>
      </c>
      <c r="P92">
        <v>-1</v>
      </c>
      <c r="Q92">
        <v>-2</v>
      </c>
      <c r="R92">
        <v>2</v>
      </c>
      <c r="S92">
        <v>-2</v>
      </c>
      <c r="T92">
        <v>2</v>
      </c>
      <c r="U92">
        <v>1</v>
      </c>
      <c r="V92" t="s">
        <v>952</v>
      </c>
      <c r="W92" t="s">
        <v>989</v>
      </c>
      <c r="X92" t="s">
        <v>997</v>
      </c>
      <c r="Y92" t="s">
        <v>1000</v>
      </c>
      <c r="Z92">
        <v>0</v>
      </c>
      <c r="AA92">
        <f t="shared" si="26"/>
        <v>0</v>
      </c>
      <c r="AB92">
        <f t="shared" si="27"/>
        <v>1</v>
      </c>
      <c r="AC92">
        <f t="shared" si="28"/>
        <v>0</v>
      </c>
      <c r="AD92">
        <f t="shared" si="29"/>
        <v>0</v>
      </c>
      <c r="AE92">
        <f t="shared" si="30"/>
        <v>0</v>
      </c>
      <c r="AF92">
        <f t="shared" si="31"/>
        <v>1</v>
      </c>
      <c r="AG92">
        <f t="shared" si="32"/>
        <v>0</v>
      </c>
      <c r="AH92">
        <f t="shared" si="33"/>
        <v>1</v>
      </c>
      <c r="AI92">
        <f t="shared" si="34"/>
        <v>1</v>
      </c>
      <c r="AJ92" s="9" t="str">
        <f t="shared" ref="AJ92:AJ125" si="37">IF(ISNUMBER(K92),K92,IF(OR(K92="general",K92="23;general"),"General",IF(OR(K92="exemption",K92="other (exemption)"),"Tax exemption/waiver/suspension","Other")))</f>
        <v>Other</v>
      </c>
      <c r="AK92">
        <f t="shared" ref="AK92:AK125" si="38">IF(B92&lt;&gt;B91,1,0)</f>
        <v>0</v>
      </c>
      <c r="AL92" s="9">
        <v>1</v>
      </c>
    </row>
    <row r="93" spans="1:38" x14ac:dyDescent="0.35">
      <c r="A93" s="50">
        <v>0</v>
      </c>
      <c r="B93" s="9" t="s">
        <v>14</v>
      </c>
      <c r="C93" s="53">
        <v>43865</v>
      </c>
      <c r="D93" s="53">
        <v>43908</v>
      </c>
      <c r="E93" s="53">
        <v>43962</v>
      </c>
      <c r="F93" s="21">
        <f t="shared" si="24"/>
        <v>54</v>
      </c>
      <c r="G93" s="53">
        <v>43914</v>
      </c>
      <c r="H93" s="9">
        <v>2020</v>
      </c>
      <c r="I93" s="50">
        <v>0</v>
      </c>
      <c r="J93" s="9">
        <v>6</v>
      </c>
      <c r="K93" s="9">
        <v>29</v>
      </c>
      <c r="L93" s="50" t="s">
        <v>268</v>
      </c>
      <c r="M93">
        <v>1</v>
      </c>
      <c r="N93">
        <v>1</v>
      </c>
      <c r="O93">
        <v>-2</v>
      </c>
      <c r="P93">
        <v>-1</v>
      </c>
      <c r="R93">
        <v>-2</v>
      </c>
      <c r="S93">
        <v>1</v>
      </c>
      <c r="T93">
        <v>-2</v>
      </c>
      <c r="U93">
        <v>1</v>
      </c>
      <c r="V93" t="s">
        <v>952</v>
      </c>
      <c r="W93" t="s">
        <v>989</v>
      </c>
      <c r="X93" t="s">
        <v>997</v>
      </c>
      <c r="Y93" t="s">
        <v>1000</v>
      </c>
      <c r="Z93">
        <v>0</v>
      </c>
      <c r="AA93">
        <f t="shared" si="26"/>
        <v>1</v>
      </c>
      <c r="AB93">
        <f t="shared" si="27"/>
        <v>1</v>
      </c>
      <c r="AC93">
        <f t="shared" si="28"/>
        <v>0</v>
      </c>
      <c r="AD93">
        <f t="shared" si="29"/>
        <v>0</v>
      </c>
      <c r="AE93">
        <f t="shared" si="30"/>
        <v>-1</v>
      </c>
      <c r="AF93">
        <f t="shared" si="31"/>
        <v>0</v>
      </c>
      <c r="AG93">
        <f t="shared" si="32"/>
        <v>1</v>
      </c>
      <c r="AH93">
        <f t="shared" si="33"/>
        <v>0</v>
      </c>
      <c r="AI93">
        <f t="shared" si="34"/>
        <v>1</v>
      </c>
      <c r="AJ93" s="9">
        <f t="shared" si="37"/>
        <v>29</v>
      </c>
      <c r="AK93">
        <f t="shared" si="38"/>
        <v>0</v>
      </c>
      <c r="AL93" s="9">
        <v>1</v>
      </c>
    </row>
    <row r="94" spans="1:38" x14ac:dyDescent="0.35">
      <c r="A94" s="50">
        <v>0</v>
      </c>
      <c r="B94" s="9" t="s">
        <v>14</v>
      </c>
      <c r="C94" s="53">
        <v>43865</v>
      </c>
      <c r="D94" s="53">
        <v>43908</v>
      </c>
      <c r="E94" s="53">
        <v>43962</v>
      </c>
      <c r="F94" s="21">
        <f t="shared" si="24"/>
        <v>54</v>
      </c>
      <c r="G94" s="53">
        <v>43914</v>
      </c>
      <c r="H94" s="9">
        <v>2020</v>
      </c>
      <c r="I94" s="50">
        <v>0</v>
      </c>
      <c r="J94" s="9">
        <v>6</v>
      </c>
      <c r="K94" s="9">
        <v>25</v>
      </c>
      <c r="L94" s="50" t="s">
        <v>256</v>
      </c>
      <c r="M94">
        <v>1</v>
      </c>
      <c r="N94">
        <v>1</v>
      </c>
      <c r="O94">
        <v>1</v>
      </c>
      <c r="P94">
        <v>-1</v>
      </c>
      <c r="Q94">
        <v>1</v>
      </c>
      <c r="R94">
        <v>1</v>
      </c>
      <c r="S94">
        <v>1</v>
      </c>
      <c r="T94">
        <v>-2</v>
      </c>
      <c r="U94">
        <v>1</v>
      </c>
      <c r="V94" t="s">
        <v>952</v>
      </c>
      <c r="W94" t="s">
        <v>989</v>
      </c>
      <c r="X94" t="s">
        <v>997</v>
      </c>
      <c r="Y94" t="s">
        <v>1000</v>
      </c>
      <c r="Z94">
        <v>0</v>
      </c>
      <c r="AA94">
        <f t="shared" si="26"/>
        <v>1</v>
      </c>
      <c r="AB94">
        <f t="shared" si="27"/>
        <v>1</v>
      </c>
      <c r="AC94">
        <f t="shared" si="28"/>
        <v>1</v>
      </c>
      <c r="AD94">
        <f t="shared" si="29"/>
        <v>0</v>
      </c>
      <c r="AE94">
        <f t="shared" si="30"/>
        <v>1</v>
      </c>
      <c r="AF94">
        <f t="shared" si="31"/>
        <v>1</v>
      </c>
      <c r="AG94">
        <f t="shared" si="32"/>
        <v>1</v>
      </c>
      <c r="AH94">
        <f t="shared" si="33"/>
        <v>0</v>
      </c>
      <c r="AI94">
        <f t="shared" si="34"/>
        <v>1</v>
      </c>
      <c r="AJ94" s="9">
        <f t="shared" si="37"/>
        <v>25</v>
      </c>
      <c r="AK94">
        <f t="shared" si="38"/>
        <v>0</v>
      </c>
      <c r="AL94" s="9">
        <v>1</v>
      </c>
    </row>
    <row r="95" spans="1:38" x14ac:dyDescent="0.35">
      <c r="A95" s="50">
        <v>0</v>
      </c>
      <c r="B95" s="9" t="s">
        <v>14</v>
      </c>
      <c r="C95" s="53">
        <v>43865</v>
      </c>
      <c r="D95" s="53">
        <v>43908</v>
      </c>
      <c r="E95" s="53">
        <v>43962</v>
      </c>
      <c r="F95" s="21">
        <f t="shared" si="24"/>
        <v>54</v>
      </c>
      <c r="G95" s="53">
        <v>43914</v>
      </c>
      <c r="H95" s="9">
        <v>2020</v>
      </c>
      <c r="I95" s="50">
        <v>0</v>
      </c>
      <c r="J95" s="9">
        <v>6</v>
      </c>
      <c r="K95" s="9">
        <v>28</v>
      </c>
      <c r="L95" s="50" t="s">
        <v>257</v>
      </c>
      <c r="M95">
        <v>-2</v>
      </c>
      <c r="N95">
        <v>1</v>
      </c>
      <c r="O95">
        <v>-2</v>
      </c>
      <c r="P95">
        <v>-1</v>
      </c>
      <c r="Q95">
        <v>-1</v>
      </c>
      <c r="R95">
        <v>1</v>
      </c>
      <c r="S95">
        <v>1</v>
      </c>
      <c r="T95">
        <v>2</v>
      </c>
      <c r="U95">
        <v>1</v>
      </c>
      <c r="V95" t="s">
        <v>952</v>
      </c>
      <c r="W95" t="s">
        <v>989</v>
      </c>
      <c r="X95" t="s">
        <v>997</v>
      </c>
      <c r="Y95" t="s">
        <v>1000</v>
      </c>
      <c r="Z95">
        <v>0</v>
      </c>
      <c r="AA95">
        <f t="shared" si="26"/>
        <v>0</v>
      </c>
      <c r="AB95">
        <f t="shared" si="27"/>
        <v>1</v>
      </c>
      <c r="AC95">
        <f t="shared" si="28"/>
        <v>0</v>
      </c>
      <c r="AD95">
        <f t="shared" si="29"/>
        <v>0</v>
      </c>
      <c r="AE95">
        <f t="shared" si="30"/>
        <v>0</v>
      </c>
      <c r="AF95">
        <f t="shared" si="31"/>
        <v>1</v>
      </c>
      <c r="AG95">
        <f t="shared" si="32"/>
        <v>1</v>
      </c>
      <c r="AH95">
        <f t="shared" si="33"/>
        <v>1</v>
      </c>
      <c r="AI95">
        <f t="shared" si="34"/>
        <v>1</v>
      </c>
      <c r="AJ95" s="9">
        <f t="shared" si="37"/>
        <v>28</v>
      </c>
      <c r="AK95">
        <f t="shared" si="38"/>
        <v>0</v>
      </c>
      <c r="AL95" s="9">
        <v>1</v>
      </c>
    </row>
    <row r="96" spans="1:38" x14ac:dyDescent="0.35">
      <c r="A96" s="50">
        <v>0</v>
      </c>
      <c r="B96" s="9" t="s">
        <v>14</v>
      </c>
      <c r="C96" s="53">
        <v>43865</v>
      </c>
      <c r="D96" s="53">
        <v>43908</v>
      </c>
      <c r="E96" s="53">
        <v>43962</v>
      </c>
      <c r="F96" s="21">
        <f t="shared" si="24"/>
        <v>54</v>
      </c>
      <c r="G96" s="53">
        <v>43914</v>
      </c>
      <c r="H96" s="9">
        <v>2020</v>
      </c>
      <c r="I96" s="50">
        <v>0</v>
      </c>
      <c r="J96" s="9">
        <v>7</v>
      </c>
      <c r="K96" s="9">
        <v>30</v>
      </c>
      <c r="L96" s="50" t="s">
        <v>274</v>
      </c>
      <c r="M96">
        <v>-1</v>
      </c>
      <c r="N96">
        <v>1</v>
      </c>
      <c r="O96">
        <v>1</v>
      </c>
      <c r="P96">
        <v>1</v>
      </c>
      <c r="Q96">
        <v>1</v>
      </c>
      <c r="R96">
        <v>1</v>
      </c>
      <c r="S96">
        <v>1</v>
      </c>
      <c r="T96">
        <v>1</v>
      </c>
      <c r="U96">
        <v>1</v>
      </c>
      <c r="V96" t="s">
        <v>952</v>
      </c>
      <c r="W96" t="s">
        <v>989</v>
      </c>
      <c r="X96" t="s">
        <v>997</v>
      </c>
      <c r="Y96" t="s">
        <v>1000</v>
      </c>
      <c r="Z96">
        <v>0</v>
      </c>
      <c r="AA96">
        <f t="shared" si="26"/>
        <v>0</v>
      </c>
      <c r="AB96">
        <f t="shared" si="27"/>
        <v>1</v>
      </c>
      <c r="AC96">
        <f t="shared" si="28"/>
        <v>1</v>
      </c>
      <c r="AD96">
        <f t="shared" si="29"/>
        <v>1</v>
      </c>
      <c r="AE96">
        <f t="shared" si="30"/>
        <v>1</v>
      </c>
      <c r="AF96">
        <f t="shared" si="31"/>
        <v>1</v>
      </c>
      <c r="AG96">
        <f t="shared" si="32"/>
        <v>1</v>
      </c>
      <c r="AH96">
        <f t="shared" si="33"/>
        <v>1</v>
      </c>
      <c r="AI96">
        <f t="shared" si="34"/>
        <v>1</v>
      </c>
      <c r="AJ96" s="9">
        <f t="shared" si="37"/>
        <v>30</v>
      </c>
      <c r="AK96">
        <f t="shared" si="38"/>
        <v>0</v>
      </c>
      <c r="AL96" s="9">
        <v>1</v>
      </c>
    </row>
    <row r="97" spans="1:38" x14ac:dyDescent="0.35">
      <c r="A97" s="50">
        <v>0</v>
      </c>
      <c r="B97" s="9" t="s">
        <v>14</v>
      </c>
      <c r="C97" s="53">
        <v>43865</v>
      </c>
      <c r="D97" s="53">
        <v>43908</v>
      </c>
      <c r="E97" s="53">
        <v>43962</v>
      </c>
      <c r="F97" s="21">
        <f t="shared" si="24"/>
        <v>54</v>
      </c>
      <c r="G97" s="53">
        <v>43914</v>
      </c>
      <c r="H97" s="9">
        <v>2020</v>
      </c>
      <c r="I97" s="50">
        <v>0</v>
      </c>
      <c r="J97" s="9">
        <v>6</v>
      </c>
      <c r="K97" s="9">
        <v>29</v>
      </c>
      <c r="L97" s="50" t="s">
        <v>251</v>
      </c>
      <c r="M97">
        <v>1</v>
      </c>
      <c r="N97">
        <v>1</v>
      </c>
      <c r="O97">
        <v>1</v>
      </c>
      <c r="Q97">
        <v>-1</v>
      </c>
      <c r="R97">
        <v>-2</v>
      </c>
      <c r="S97">
        <v>1</v>
      </c>
      <c r="T97">
        <v>-2</v>
      </c>
      <c r="U97">
        <v>1</v>
      </c>
      <c r="V97" t="s">
        <v>952</v>
      </c>
      <c r="W97" t="s">
        <v>989</v>
      </c>
      <c r="X97" t="s">
        <v>997</v>
      </c>
      <c r="Y97" t="s">
        <v>1000</v>
      </c>
      <c r="Z97">
        <v>0</v>
      </c>
      <c r="AA97">
        <f t="shared" si="26"/>
        <v>1</v>
      </c>
      <c r="AB97">
        <f t="shared" si="27"/>
        <v>1</v>
      </c>
      <c r="AC97">
        <f t="shared" si="28"/>
        <v>1</v>
      </c>
      <c r="AD97">
        <f t="shared" si="29"/>
        <v>-1</v>
      </c>
      <c r="AE97">
        <f t="shared" si="30"/>
        <v>0</v>
      </c>
      <c r="AF97">
        <f t="shared" si="31"/>
        <v>0</v>
      </c>
      <c r="AG97">
        <f t="shared" si="32"/>
        <v>1</v>
      </c>
      <c r="AH97">
        <f t="shared" si="33"/>
        <v>0</v>
      </c>
      <c r="AI97">
        <f t="shared" si="34"/>
        <v>1</v>
      </c>
      <c r="AJ97" s="9">
        <f t="shared" si="37"/>
        <v>29</v>
      </c>
      <c r="AK97">
        <f t="shared" si="38"/>
        <v>0</v>
      </c>
      <c r="AL97" s="9">
        <v>1</v>
      </c>
    </row>
    <row r="98" spans="1:38" x14ac:dyDescent="0.35">
      <c r="A98" s="50">
        <v>0</v>
      </c>
      <c r="B98" s="9" t="s">
        <v>14</v>
      </c>
      <c r="C98" s="53">
        <v>43865</v>
      </c>
      <c r="D98" s="53">
        <v>43908</v>
      </c>
      <c r="E98" s="53">
        <v>43962</v>
      </c>
      <c r="F98" s="21">
        <f t="shared" si="24"/>
        <v>54</v>
      </c>
      <c r="G98" s="53">
        <v>43914</v>
      </c>
      <c r="H98" s="9">
        <v>2020</v>
      </c>
      <c r="I98" s="50">
        <v>0</v>
      </c>
      <c r="J98" s="9">
        <v>1</v>
      </c>
      <c r="K98" s="9">
        <v>9</v>
      </c>
      <c r="L98" s="50" t="s">
        <v>253</v>
      </c>
      <c r="M98">
        <v>-1</v>
      </c>
      <c r="N98">
        <v>2</v>
      </c>
      <c r="O98">
        <v>2</v>
      </c>
      <c r="P98">
        <v>2</v>
      </c>
      <c r="Q98">
        <v>2</v>
      </c>
      <c r="R98">
        <v>-2</v>
      </c>
      <c r="S98">
        <v>-2</v>
      </c>
      <c r="T98">
        <v>2</v>
      </c>
      <c r="U98">
        <v>1</v>
      </c>
      <c r="V98" t="s">
        <v>952</v>
      </c>
      <c r="W98" t="s">
        <v>989</v>
      </c>
      <c r="X98" t="s">
        <v>997</v>
      </c>
      <c r="Y98" t="s">
        <v>1000</v>
      </c>
      <c r="Z98">
        <v>0</v>
      </c>
      <c r="AA98">
        <f t="shared" si="26"/>
        <v>0</v>
      </c>
      <c r="AB98">
        <f t="shared" si="27"/>
        <v>1</v>
      </c>
      <c r="AC98">
        <f t="shared" si="28"/>
        <v>1</v>
      </c>
      <c r="AD98">
        <f t="shared" si="29"/>
        <v>1</v>
      </c>
      <c r="AE98">
        <f t="shared" si="30"/>
        <v>1</v>
      </c>
      <c r="AF98">
        <f t="shared" si="31"/>
        <v>0</v>
      </c>
      <c r="AG98">
        <f t="shared" si="32"/>
        <v>0</v>
      </c>
      <c r="AH98">
        <f t="shared" si="33"/>
        <v>1</v>
      </c>
      <c r="AI98">
        <f t="shared" si="34"/>
        <v>1</v>
      </c>
      <c r="AJ98" s="9">
        <f t="shared" si="37"/>
        <v>9</v>
      </c>
      <c r="AK98">
        <f t="shared" si="38"/>
        <v>0</v>
      </c>
      <c r="AL98" s="9">
        <v>1</v>
      </c>
    </row>
    <row r="99" spans="1:38" x14ac:dyDescent="0.35">
      <c r="A99" s="50">
        <v>0</v>
      </c>
      <c r="B99" s="9" t="s">
        <v>14</v>
      </c>
      <c r="C99" s="53">
        <v>43865</v>
      </c>
      <c r="D99" s="53">
        <v>43908</v>
      </c>
      <c r="E99" s="53">
        <v>43962</v>
      </c>
      <c r="F99" s="21">
        <f t="shared" si="24"/>
        <v>54</v>
      </c>
      <c r="G99" s="53">
        <v>43914</v>
      </c>
      <c r="H99" s="9">
        <v>2020</v>
      </c>
      <c r="I99" s="50">
        <v>0</v>
      </c>
      <c r="J99" s="9">
        <v>1</v>
      </c>
      <c r="K99" s="9">
        <v>6</v>
      </c>
      <c r="L99" s="50" t="s">
        <v>259</v>
      </c>
      <c r="M99">
        <v>-1</v>
      </c>
      <c r="N99">
        <v>2</v>
      </c>
      <c r="O99">
        <v>2</v>
      </c>
      <c r="P99">
        <v>2</v>
      </c>
      <c r="Q99">
        <v>2</v>
      </c>
      <c r="R99">
        <v>2</v>
      </c>
      <c r="S99">
        <v>1</v>
      </c>
      <c r="T99">
        <v>1</v>
      </c>
      <c r="U99">
        <v>1</v>
      </c>
      <c r="V99" t="s">
        <v>952</v>
      </c>
      <c r="W99" t="s">
        <v>989</v>
      </c>
      <c r="X99" t="s">
        <v>997</v>
      </c>
      <c r="Y99" t="s">
        <v>1000</v>
      </c>
      <c r="Z99">
        <v>0</v>
      </c>
      <c r="AA99">
        <f t="shared" si="26"/>
        <v>0</v>
      </c>
      <c r="AB99">
        <f t="shared" si="27"/>
        <v>1</v>
      </c>
      <c r="AC99">
        <f t="shared" si="28"/>
        <v>1</v>
      </c>
      <c r="AD99">
        <f t="shared" si="29"/>
        <v>1</v>
      </c>
      <c r="AE99">
        <f t="shared" si="30"/>
        <v>1</v>
      </c>
      <c r="AF99">
        <f t="shared" si="31"/>
        <v>1</v>
      </c>
      <c r="AG99">
        <f t="shared" si="32"/>
        <v>1</v>
      </c>
      <c r="AH99">
        <f t="shared" si="33"/>
        <v>1</v>
      </c>
      <c r="AI99">
        <f t="shared" si="34"/>
        <v>1</v>
      </c>
      <c r="AJ99" s="9">
        <f t="shared" si="37"/>
        <v>6</v>
      </c>
      <c r="AK99">
        <f t="shared" si="38"/>
        <v>0</v>
      </c>
      <c r="AL99" s="9">
        <v>1</v>
      </c>
    </row>
    <row r="100" spans="1:38" x14ac:dyDescent="0.35">
      <c r="A100" s="50">
        <v>0</v>
      </c>
      <c r="B100" s="9" t="s">
        <v>14</v>
      </c>
      <c r="C100" s="53">
        <v>43865</v>
      </c>
      <c r="D100" s="53">
        <v>43908</v>
      </c>
      <c r="E100" s="53">
        <v>43962</v>
      </c>
      <c r="F100" s="21">
        <f t="shared" si="24"/>
        <v>54</v>
      </c>
      <c r="G100" s="53">
        <v>43914</v>
      </c>
      <c r="H100" s="9">
        <v>2020</v>
      </c>
      <c r="I100" s="50">
        <v>0</v>
      </c>
      <c r="J100" s="9">
        <v>3</v>
      </c>
      <c r="K100" s="9" t="s">
        <v>206</v>
      </c>
      <c r="L100" s="50" t="s">
        <v>271</v>
      </c>
      <c r="M100">
        <v>2</v>
      </c>
      <c r="N100">
        <v>2</v>
      </c>
      <c r="O100">
        <v>-2</v>
      </c>
      <c r="P100">
        <v>-1</v>
      </c>
      <c r="Q100">
        <v>2</v>
      </c>
      <c r="R100">
        <v>-2</v>
      </c>
      <c r="S100">
        <v>2</v>
      </c>
      <c r="T100">
        <v>-2</v>
      </c>
      <c r="U100">
        <v>1</v>
      </c>
      <c r="V100" t="s">
        <v>952</v>
      </c>
      <c r="W100" t="s">
        <v>989</v>
      </c>
      <c r="X100" t="s">
        <v>997</v>
      </c>
      <c r="Y100" t="s">
        <v>1000</v>
      </c>
      <c r="Z100">
        <v>0</v>
      </c>
      <c r="AA100">
        <f t="shared" si="26"/>
        <v>1</v>
      </c>
      <c r="AB100">
        <f t="shared" si="27"/>
        <v>1</v>
      </c>
      <c r="AC100">
        <f t="shared" si="28"/>
        <v>0</v>
      </c>
      <c r="AD100">
        <f t="shared" si="29"/>
        <v>0</v>
      </c>
      <c r="AE100">
        <f t="shared" si="30"/>
        <v>1</v>
      </c>
      <c r="AF100">
        <f t="shared" si="31"/>
        <v>0</v>
      </c>
      <c r="AG100">
        <f t="shared" si="32"/>
        <v>1</v>
      </c>
      <c r="AH100">
        <f t="shared" si="33"/>
        <v>0</v>
      </c>
      <c r="AI100">
        <f t="shared" si="34"/>
        <v>1</v>
      </c>
      <c r="AJ100" s="9" t="str">
        <f t="shared" si="37"/>
        <v>Tax exemption/waiver/suspension</v>
      </c>
      <c r="AK100">
        <f t="shared" si="38"/>
        <v>0</v>
      </c>
      <c r="AL100" s="9">
        <v>1</v>
      </c>
    </row>
    <row r="101" spans="1:38" x14ac:dyDescent="0.35">
      <c r="A101" s="50">
        <v>0</v>
      </c>
      <c r="B101" s="9" t="s">
        <v>14</v>
      </c>
      <c r="C101" s="53">
        <v>43865</v>
      </c>
      <c r="D101" s="53">
        <v>43908</v>
      </c>
      <c r="E101" s="53">
        <v>43962</v>
      </c>
      <c r="F101" s="21">
        <f t="shared" si="24"/>
        <v>54</v>
      </c>
      <c r="G101" s="53">
        <v>43914</v>
      </c>
      <c r="H101" s="9">
        <v>2020</v>
      </c>
      <c r="I101" s="50">
        <v>0</v>
      </c>
      <c r="J101" s="9">
        <v>6</v>
      </c>
      <c r="K101" s="9">
        <v>26</v>
      </c>
      <c r="L101" s="50" t="s">
        <v>263</v>
      </c>
      <c r="M101">
        <v>2</v>
      </c>
      <c r="N101">
        <v>1</v>
      </c>
      <c r="O101">
        <v>1</v>
      </c>
      <c r="P101">
        <v>-1</v>
      </c>
      <c r="Q101">
        <v>-1</v>
      </c>
      <c r="R101">
        <v>-2</v>
      </c>
      <c r="S101">
        <v>1</v>
      </c>
      <c r="T101">
        <v>1</v>
      </c>
      <c r="U101">
        <v>1</v>
      </c>
      <c r="V101" t="s">
        <v>952</v>
      </c>
      <c r="W101" t="s">
        <v>989</v>
      </c>
      <c r="X101" t="s">
        <v>997</v>
      </c>
      <c r="Y101" t="s">
        <v>1000</v>
      </c>
      <c r="Z101">
        <v>0</v>
      </c>
      <c r="AA101">
        <f t="shared" si="26"/>
        <v>1</v>
      </c>
      <c r="AB101">
        <f t="shared" si="27"/>
        <v>1</v>
      </c>
      <c r="AC101">
        <f t="shared" si="28"/>
        <v>1</v>
      </c>
      <c r="AD101">
        <f t="shared" si="29"/>
        <v>0</v>
      </c>
      <c r="AE101">
        <f t="shared" si="30"/>
        <v>0</v>
      </c>
      <c r="AF101">
        <f t="shared" si="31"/>
        <v>0</v>
      </c>
      <c r="AG101">
        <f t="shared" si="32"/>
        <v>1</v>
      </c>
      <c r="AH101">
        <f t="shared" si="33"/>
        <v>1</v>
      </c>
      <c r="AI101">
        <f t="shared" si="34"/>
        <v>1</v>
      </c>
      <c r="AJ101" s="9">
        <f t="shared" si="37"/>
        <v>26</v>
      </c>
      <c r="AK101">
        <f t="shared" si="38"/>
        <v>0</v>
      </c>
      <c r="AL101" s="9">
        <v>1</v>
      </c>
    </row>
    <row r="102" spans="1:38" x14ac:dyDescent="0.35">
      <c r="A102" s="50">
        <v>0</v>
      </c>
      <c r="B102" s="9" t="s">
        <v>14</v>
      </c>
      <c r="C102" s="53">
        <v>43865</v>
      </c>
      <c r="D102" s="53">
        <v>43908</v>
      </c>
      <c r="E102" s="53">
        <v>43962</v>
      </c>
      <c r="F102" s="21">
        <f t="shared" si="24"/>
        <v>54</v>
      </c>
      <c r="G102" s="53">
        <v>43914</v>
      </c>
      <c r="H102" s="9">
        <v>2020</v>
      </c>
      <c r="I102" s="50">
        <v>0</v>
      </c>
      <c r="J102" s="9">
        <v>7</v>
      </c>
      <c r="K102" s="9">
        <v>30</v>
      </c>
      <c r="L102" s="50" t="s">
        <v>252</v>
      </c>
      <c r="M102">
        <v>-1</v>
      </c>
      <c r="N102">
        <v>1</v>
      </c>
      <c r="O102">
        <v>1</v>
      </c>
      <c r="P102">
        <v>1</v>
      </c>
      <c r="Q102">
        <v>1</v>
      </c>
      <c r="R102">
        <v>2</v>
      </c>
      <c r="S102">
        <v>1</v>
      </c>
      <c r="T102">
        <v>-2</v>
      </c>
      <c r="U102">
        <v>1</v>
      </c>
      <c r="V102" t="s">
        <v>952</v>
      </c>
      <c r="W102" t="s">
        <v>989</v>
      </c>
      <c r="X102" t="s">
        <v>997</v>
      </c>
      <c r="Y102" t="s">
        <v>1000</v>
      </c>
      <c r="Z102">
        <v>0</v>
      </c>
      <c r="AA102">
        <f t="shared" si="26"/>
        <v>0</v>
      </c>
      <c r="AB102">
        <f t="shared" si="27"/>
        <v>1</v>
      </c>
      <c r="AC102">
        <f t="shared" si="28"/>
        <v>1</v>
      </c>
      <c r="AD102">
        <f t="shared" si="29"/>
        <v>1</v>
      </c>
      <c r="AE102">
        <f t="shared" si="30"/>
        <v>1</v>
      </c>
      <c r="AF102">
        <f t="shared" si="31"/>
        <v>1</v>
      </c>
      <c r="AG102">
        <f t="shared" si="32"/>
        <v>1</v>
      </c>
      <c r="AH102">
        <f t="shared" si="33"/>
        <v>0</v>
      </c>
      <c r="AI102">
        <f t="shared" si="34"/>
        <v>1</v>
      </c>
      <c r="AJ102" s="9">
        <f t="shared" si="37"/>
        <v>30</v>
      </c>
      <c r="AK102">
        <f t="shared" si="38"/>
        <v>0</v>
      </c>
      <c r="AL102" s="9">
        <v>1</v>
      </c>
    </row>
    <row r="103" spans="1:38" x14ac:dyDescent="0.35">
      <c r="A103" s="50">
        <v>0</v>
      </c>
      <c r="B103" s="9" t="s">
        <v>14</v>
      </c>
      <c r="C103" s="53">
        <v>43865</v>
      </c>
      <c r="D103" s="53">
        <v>43908</v>
      </c>
      <c r="E103" s="53">
        <v>43962</v>
      </c>
      <c r="F103" s="21">
        <f t="shared" si="24"/>
        <v>54</v>
      </c>
      <c r="G103" s="53">
        <v>43914</v>
      </c>
      <c r="H103" s="9">
        <v>2020</v>
      </c>
      <c r="I103" s="50">
        <v>0</v>
      </c>
      <c r="J103" s="9">
        <v>1</v>
      </c>
      <c r="K103" s="9">
        <v>6</v>
      </c>
      <c r="L103" s="50" t="s">
        <v>258</v>
      </c>
      <c r="M103">
        <v>-1</v>
      </c>
      <c r="N103">
        <v>2</v>
      </c>
      <c r="O103">
        <v>2</v>
      </c>
      <c r="P103">
        <v>2</v>
      </c>
      <c r="Q103">
        <v>2</v>
      </c>
      <c r="R103">
        <v>1</v>
      </c>
      <c r="S103">
        <v>1</v>
      </c>
      <c r="T103">
        <v>2</v>
      </c>
      <c r="U103">
        <v>1</v>
      </c>
      <c r="V103" t="s">
        <v>952</v>
      </c>
      <c r="W103" t="s">
        <v>989</v>
      </c>
      <c r="X103" t="s">
        <v>997</v>
      </c>
      <c r="Y103" t="s">
        <v>1000</v>
      </c>
      <c r="Z103">
        <v>0</v>
      </c>
      <c r="AA103">
        <f t="shared" si="26"/>
        <v>0</v>
      </c>
      <c r="AB103">
        <f t="shared" si="27"/>
        <v>1</v>
      </c>
      <c r="AC103">
        <f t="shared" si="28"/>
        <v>1</v>
      </c>
      <c r="AD103">
        <f t="shared" si="29"/>
        <v>1</v>
      </c>
      <c r="AE103">
        <f t="shared" si="30"/>
        <v>1</v>
      </c>
      <c r="AF103">
        <f t="shared" si="31"/>
        <v>1</v>
      </c>
      <c r="AG103">
        <f t="shared" si="32"/>
        <v>1</v>
      </c>
      <c r="AH103">
        <f t="shared" si="33"/>
        <v>1</v>
      </c>
      <c r="AI103">
        <f t="shared" si="34"/>
        <v>1</v>
      </c>
      <c r="AJ103" s="9">
        <f t="shared" si="37"/>
        <v>6</v>
      </c>
      <c r="AK103">
        <f t="shared" si="38"/>
        <v>0</v>
      </c>
      <c r="AL103" s="9">
        <v>1</v>
      </c>
    </row>
    <row r="104" spans="1:38" x14ac:dyDescent="0.35">
      <c r="A104" s="50">
        <v>0</v>
      </c>
      <c r="B104" s="9" t="s">
        <v>14</v>
      </c>
      <c r="C104" s="53">
        <v>43865</v>
      </c>
      <c r="D104" s="53">
        <v>43908</v>
      </c>
      <c r="E104" s="53">
        <v>43962</v>
      </c>
      <c r="F104" s="21">
        <f t="shared" si="24"/>
        <v>54</v>
      </c>
      <c r="G104" s="53">
        <v>43914</v>
      </c>
      <c r="H104" s="9">
        <v>2020</v>
      </c>
      <c r="I104" s="50">
        <v>0</v>
      </c>
      <c r="J104" s="9">
        <v>1</v>
      </c>
      <c r="K104" s="9">
        <v>3</v>
      </c>
      <c r="L104" s="50" t="s">
        <v>261</v>
      </c>
      <c r="M104">
        <v>2</v>
      </c>
      <c r="N104">
        <v>-2</v>
      </c>
      <c r="O104">
        <v>-2</v>
      </c>
      <c r="P104">
        <v>-1</v>
      </c>
      <c r="Q104">
        <v>2</v>
      </c>
      <c r="R104">
        <v>2</v>
      </c>
      <c r="S104">
        <v>1</v>
      </c>
      <c r="T104">
        <v>-2</v>
      </c>
      <c r="U104">
        <v>1</v>
      </c>
      <c r="V104" t="s">
        <v>952</v>
      </c>
      <c r="W104" t="s">
        <v>989</v>
      </c>
      <c r="X104" t="s">
        <v>997</v>
      </c>
      <c r="Y104" t="s">
        <v>1000</v>
      </c>
      <c r="Z104">
        <v>0</v>
      </c>
      <c r="AA104">
        <f t="shared" si="26"/>
        <v>1</v>
      </c>
      <c r="AB104">
        <f t="shared" si="27"/>
        <v>0</v>
      </c>
      <c r="AC104">
        <f t="shared" si="28"/>
        <v>0</v>
      </c>
      <c r="AD104">
        <f t="shared" si="29"/>
        <v>0</v>
      </c>
      <c r="AE104">
        <f t="shared" si="30"/>
        <v>1</v>
      </c>
      <c r="AF104">
        <f t="shared" si="31"/>
        <v>1</v>
      </c>
      <c r="AG104">
        <f t="shared" si="32"/>
        <v>1</v>
      </c>
      <c r="AH104">
        <f t="shared" si="33"/>
        <v>0</v>
      </c>
      <c r="AI104">
        <f t="shared" si="34"/>
        <v>1</v>
      </c>
      <c r="AJ104" s="9">
        <f t="shared" si="37"/>
        <v>3</v>
      </c>
      <c r="AK104">
        <f t="shared" si="38"/>
        <v>0</v>
      </c>
      <c r="AL104" s="9">
        <v>1</v>
      </c>
    </row>
    <row r="105" spans="1:38" x14ac:dyDescent="0.35">
      <c r="A105" s="50">
        <v>0</v>
      </c>
      <c r="B105" s="9" t="s">
        <v>14</v>
      </c>
      <c r="C105" s="53">
        <v>43865</v>
      </c>
      <c r="D105" s="53">
        <v>43908</v>
      </c>
      <c r="E105" s="53">
        <v>43962</v>
      </c>
      <c r="F105" s="21">
        <f t="shared" si="24"/>
        <v>54</v>
      </c>
      <c r="G105" s="53">
        <v>43914</v>
      </c>
      <c r="H105" s="9">
        <v>2020</v>
      </c>
      <c r="I105" s="50">
        <v>0</v>
      </c>
      <c r="J105" s="9">
        <v>2</v>
      </c>
      <c r="K105" s="9" t="s">
        <v>206</v>
      </c>
      <c r="L105" s="50" t="s">
        <v>260</v>
      </c>
      <c r="M105">
        <v>-1</v>
      </c>
      <c r="N105">
        <v>2</v>
      </c>
      <c r="O105">
        <v>-2</v>
      </c>
      <c r="P105">
        <v>-1</v>
      </c>
      <c r="Q105">
        <v>-2</v>
      </c>
      <c r="R105">
        <v>2</v>
      </c>
      <c r="S105">
        <v>1</v>
      </c>
      <c r="T105">
        <v>-2</v>
      </c>
      <c r="U105">
        <v>1</v>
      </c>
      <c r="V105" t="s">
        <v>952</v>
      </c>
      <c r="W105" t="s">
        <v>989</v>
      </c>
      <c r="X105" t="s">
        <v>997</v>
      </c>
      <c r="Y105" t="s">
        <v>1000</v>
      </c>
      <c r="Z105">
        <v>0</v>
      </c>
      <c r="AA105">
        <f t="shared" si="26"/>
        <v>0</v>
      </c>
      <c r="AB105">
        <f t="shared" si="27"/>
        <v>1</v>
      </c>
      <c r="AC105">
        <f t="shared" si="28"/>
        <v>0</v>
      </c>
      <c r="AD105">
        <f t="shared" si="29"/>
        <v>0</v>
      </c>
      <c r="AE105">
        <f t="shared" si="30"/>
        <v>0</v>
      </c>
      <c r="AF105">
        <f t="shared" si="31"/>
        <v>1</v>
      </c>
      <c r="AG105">
        <f t="shared" si="32"/>
        <v>1</v>
      </c>
      <c r="AH105">
        <f t="shared" si="33"/>
        <v>0</v>
      </c>
      <c r="AI105">
        <f t="shared" si="34"/>
        <v>1</v>
      </c>
      <c r="AJ105" s="9" t="str">
        <f t="shared" si="37"/>
        <v>Tax exemption/waiver/suspension</v>
      </c>
      <c r="AK105">
        <f t="shared" si="38"/>
        <v>0</v>
      </c>
      <c r="AL105" s="9">
        <v>1</v>
      </c>
    </row>
    <row r="106" spans="1:38" x14ac:dyDescent="0.35">
      <c r="A106" s="50">
        <v>0</v>
      </c>
      <c r="B106" s="9" t="s">
        <v>14</v>
      </c>
      <c r="C106" s="53">
        <v>43865</v>
      </c>
      <c r="D106" s="53">
        <v>43908</v>
      </c>
      <c r="E106" s="53">
        <v>43962</v>
      </c>
      <c r="F106" s="21">
        <f t="shared" si="24"/>
        <v>54</v>
      </c>
      <c r="G106" s="53">
        <v>43914</v>
      </c>
      <c r="H106" s="9">
        <v>2020</v>
      </c>
      <c r="I106" s="50">
        <v>0</v>
      </c>
      <c r="J106" s="9">
        <v>1</v>
      </c>
      <c r="K106" s="9">
        <v>10</v>
      </c>
      <c r="L106" s="50" t="s">
        <v>272</v>
      </c>
      <c r="M106">
        <v>2</v>
      </c>
      <c r="N106">
        <v>2</v>
      </c>
      <c r="O106">
        <v>2</v>
      </c>
      <c r="P106">
        <v>2</v>
      </c>
      <c r="Q106">
        <v>2</v>
      </c>
      <c r="R106">
        <v>1</v>
      </c>
      <c r="S106">
        <v>2</v>
      </c>
      <c r="T106">
        <v>-2</v>
      </c>
      <c r="U106">
        <v>1</v>
      </c>
      <c r="V106" t="s">
        <v>952</v>
      </c>
      <c r="W106" t="s">
        <v>989</v>
      </c>
      <c r="X106" t="s">
        <v>997</v>
      </c>
      <c r="Y106" t="s">
        <v>1000</v>
      </c>
      <c r="Z106">
        <v>0</v>
      </c>
      <c r="AA106">
        <f t="shared" si="26"/>
        <v>1</v>
      </c>
      <c r="AB106">
        <f t="shared" si="27"/>
        <v>1</v>
      </c>
      <c r="AC106">
        <f t="shared" si="28"/>
        <v>1</v>
      </c>
      <c r="AD106">
        <f t="shared" si="29"/>
        <v>1</v>
      </c>
      <c r="AE106">
        <f t="shared" si="30"/>
        <v>1</v>
      </c>
      <c r="AF106">
        <f t="shared" si="31"/>
        <v>1</v>
      </c>
      <c r="AG106">
        <f t="shared" si="32"/>
        <v>1</v>
      </c>
      <c r="AH106">
        <f t="shared" si="33"/>
        <v>0</v>
      </c>
      <c r="AI106">
        <f t="shared" si="34"/>
        <v>1</v>
      </c>
      <c r="AJ106" s="9">
        <f t="shared" si="37"/>
        <v>10</v>
      </c>
      <c r="AK106">
        <f t="shared" si="38"/>
        <v>0</v>
      </c>
      <c r="AL106" s="9">
        <v>1</v>
      </c>
    </row>
    <row r="107" spans="1:38" x14ac:dyDescent="0.35">
      <c r="A107" s="50">
        <v>0</v>
      </c>
      <c r="B107" s="50" t="s">
        <v>14</v>
      </c>
      <c r="C107" s="53">
        <v>43865</v>
      </c>
      <c r="D107" s="53">
        <v>43908</v>
      </c>
      <c r="E107" s="53">
        <v>43962</v>
      </c>
      <c r="F107" s="21">
        <f t="shared" si="24"/>
        <v>54</v>
      </c>
      <c r="G107" s="53">
        <v>43914</v>
      </c>
      <c r="H107" s="9">
        <v>2020</v>
      </c>
      <c r="I107" s="50">
        <v>0</v>
      </c>
      <c r="J107" s="50">
        <v>7</v>
      </c>
      <c r="K107" s="50">
        <v>30</v>
      </c>
      <c r="L107" s="24" t="s">
        <v>1238</v>
      </c>
      <c r="M107" s="24"/>
      <c r="V107" t="s">
        <v>952</v>
      </c>
      <c r="W107" t="s">
        <v>989</v>
      </c>
      <c r="X107" t="s">
        <v>997</v>
      </c>
      <c r="Y107" t="s">
        <v>1000</v>
      </c>
      <c r="Z107">
        <v>0</v>
      </c>
      <c r="AA107">
        <v>-1</v>
      </c>
      <c r="AB107">
        <v>-1</v>
      </c>
      <c r="AC107">
        <v>-1</v>
      </c>
      <c r="AD107">
        <v>-1</v>
      </c>
      <c r="AE107">
        <v>-1</v>
      </c>
      <c r="AF107">
        <v>-1</v>
      </c>
      <c r="AG107">
        <v>-1</v>
      </c>
      <c r="AH107">
        <v>-1</v>
      </c>
      <c r="AI107">
        <v>-1</v>
      </c>
      <c r="AJ107" s="9">
        <f t="shared" si="37"/>
        <v>30</v>
      </c>
      <c r="AK107">
        <f t="shared" si="38"/>
        <v>0</v>
      </c>
      <c r="AL107" s="9">
        <v>0</v>
      </c>
    </row>
    <row r="108" spans="1:38" x14ac:dyDescent="0.35">
      <c r="A108" s="50">
        <v>0</v>
      </c>
      <c r="B108" s="50" t="s">
        <v>14</v>
      </c>
      <c r="C108" s="53">
        <v>43865</v>
      </c>
      <c r="D108" s="53">
        <v>43908</v>
      </c>
      <c r="E108" s="53">
        <v>43962</v>
      </c>
      <c r="F108" s="21">
        <f t="shared" si="24"/>
        <v>54</v>
      </c>
      <c r="G108" s="53">
        <v>43914</v>
      </c>
      <c r="H108" s="9">
        <v>2020</v>
      </c>
      <c r="I108" s="50">
        <v>0</v>
      </c>
      <c r="J108" s="50">
        <v>1</v>
      </c>
      <c r="K108" s="50">
        <v>2</v>
      </c>
      <c r="L108" s="24" t="s">
        <v>1239</v>
      </c>
      <c r="M108" s="24"/>
      <c r="V108" t="s">
        <v>952</v>
      </c>
      <c r="W108" t="s">
        <v>989</v>
      </c>
      <c r="X108" t="s">
        <v>997</v>
      </c>
      <c r="Y108" t="s">
        <v>1000</v>
      </c>
      <c r="Z108">
        <v>0</v>
      </c>
      <c r="AA108">
        <v>-1</v>
      </c>
      <c r="AB108">
        <v>-1</v>
      </c>
      <c r="AC108">
        <v>-1</v>
      </c>
      <c r="AD108">
        <v>-1</v>
      </c>
      <c r="AE108">
        <v>-1</v>
      </c>
      <c r="AF108">
        <v>-1</v>
      </c>
      <c r="AG108">
        <v>-1</v>
      </c>
      <c r="AH108">
        <v>-1</v>
      </c>
      <c r="AI108">
        <v>-1</v>
      </c>
      <c r="AJ108" s="9">
        <f t="shared" si="37"/>
        <v>2</v>
      </c>
      <c r="AK108">
        <f t="shared" si="38"/>
        <v>0</v>
      </c>
      <c r="AL108" s="9">
        <v>0</v>
      </c>
    </row>
    <row r="109" spans="1:38" x14ac:dyDescent="0.35">
      <c r="A109" s="50">
        <v>0</v>
      </c>
      <c r="B109" s="50" t="s">
        <v>14</v>
      </c>
      <c r="C109" s="53">
        <v>43865</v>
      </c>
      <c r="D109" s="53">
        <v>43908</v>
      </c>
      <c r="E109" s="53">
        <v>43962</v>
      </c>
      <c r="F109" s="21">
        <f t="shared" si="24"/>
        <v>54</v>
      </c>
      <c r="G109" s="53">
        <v>43914</v>
      </c>
      <c r="H109" s="9">
        <v>2020</v>
      </c>
      <c r="I109" s="50">
        <v>0</v>
      </c>
      <c r="J109" s="50">
        <v>6</v>
      </c>
      <c r="K109" s="50">
        <v>28</v>
      </c>
      <c r="L109" s="24" t="s">
        <v>1240</v>
      </c>
      <c r="M109" s="24"/>
      <c r="V109" t="s">
        <v>952</v>
      </c>
      <c r="W109" t="s">
        <v>989</v>
      </c>
      <c r="X109" t="s">
        <v>997</v>
      </c>
      <c r="Y109" t="s">
        <v>1000</v>
      </c>
      <c r="Z109">
        <v>0</v>
      </c>
      <c r="AA109">
        <v>-1</v>
      </c>
      <c r="AB109">
        <v>-1</v>
      </c>
      <c r="AC109">
        <v>-1</v>
      </c>
      <c r="AD109">
        <v>-1</v>
      </c>
      <c r="AE109">
        <v>-1</v>
      </c>
      <c r="AF109">
        <v>-1</v>
      </c>
      <c r="AG109">
        <v>-1</v>
      </c>
      <c r="AH109">
        <v>-1</v>
      </c>
      <c r="AI109">
        <v>-1</v>
      </c>
      <c r="AJ109" s="9">
        <f t="shared" si="37"/>
        <v>28</v>
      </c>
      <c r="AK109">
        <f t="shared" si="38"/>
        <v>0</v>
      </c>
      <c r="AL109" s="9">
        <v>0</v>
      </c>
    </row>
    <row r="110" spans="1:38" x14ac:dyDescent="0.35">
      <c r="A110" s="50">
        <v>0</v>
      </c>
      <c r="B110" s="50" t="s">
        <v>14</v>
      </c>
      <c r="C110" s="53">
        <v>43865</v>
      </c>
      <c r="D110" s="53">
        <v>43908</v>
      </c>
      <c r="E110" s="53">
        <v>43962</v>
      </c>
      <c r="F110" s="21">
        <f t="shared" si="24"/>
        <v>54</v>
      </c>
      <c r="G110" s="53">
        <v>43914</v>
      </c>
      <c r="H110" s="9">
        <v>2020</v>
      </c>
      <c r="I110" s="50">
        <v>0</v>
      </c>
      <c r="J110" s="50">
        <v>6</v>
      </c>
      <c r="K110" s="50">
        <v>28</v>
      </c>
      <c r="L110" s="24" t="s">
        <v>1241</v>
      </c>
      <c r="M110" s="24"/>
      <c r="V110" t="s">
        <v>952</v>
      </c>
      <c r="W110" t="s">
        <v>989</v>
      </c>
      <c r="X110" t="s">
        <v>997</v>
      </c>
      <c r="Y110" t="s">
        <v>1000</v>
      </c>
      <c r="Z110">
        <v>0</v>
      </c>
      <c r="AA110">
        <v>-1</v>
      </c>
      <c r="AB110">
        <v>-1</v>
      </c>
      <c r="AC110">
        <v>-1</v>
      </c>
      <c r="AD110">
        <v>-1</v>
      </c>
      <c r="AE110">
        <v>-1</v>
      </c>
      <c r="AF110">
        <v>-1</v>
      </c>
      <c r="AG110">
        <v>-1</v>
      </c>
      <c r="AH110">
        <v>-1</v>
      </c>
      <c r="AI110">
        <v>-1</v>
      </c>
      <c r="AJ110" s="9">
        <f t="shared" si="37"/>
        <v>28</v>
      </c>
      <c r="AK110">
        <f t="shared" si="38"/>
        <v>0</v>
      </c>
      <c r="AL110" s="9">
        <v>0</v>
      </c>
    </row>
    <row r="111" spans="1:38" x14ac:dyDescent="0.35">
      <c r="A111" s="50">
        <v>0</v>
      </c>
      <c r="B111" s="50" t="s">
        <v>14</v>
      </c>
      <c r="C111" s="53">
        <v>43865</v>
      </c>
      <c r="D111" s="53">
        <v>43908</v>
      </c>
      <c r="E111" s="53">
        <v>43962</v>
      </c>
      <c r="F111" s="21">
        <f t="shared" si="24"/>
        <v>54</v>
      </c>
      <c r="G111" s="53">
        <v>43914</v>
      </c>
      <c r="H111" s="9">
        <v>2020</v>
      </c>
      <c r="I111" s="50">
        <v>0</v>
      </c>
      <c r="J111" s="50">
        <v>1</v>
      </c>
      <c r="K111" s="50">
        <v>8</v>
      </c>
      <c r="L111" s="24" t="s">
        <v>1242</v>
      </c>
      <c r="M111" s="24"/>
      <c r="V111" t="s">
        <v>952</v>
      </c>
      <c r="W111" t="s">
        <v>989</v>
      </c>
      <c r="X111" t="s">
        <v>997</v>
      </c>
      <c r="Y111" t="s">
        <v>1000</v>
      </c>
      <c r="Z111">
        <v>0</v>
      </c>
      <c r="AA111">
        <v>-1</v>
      </c>
      <c r="AB111">
        <v>-1</v>
      </c>
      <c r="AC111">
        <v>-1</v>
      </c>
      <c r="AD111">
        <v>-1</v>
      </c>
      <c r="AE111">
        <v>-1</v>
      </c>
      <c r="AF111">
        <v>-1</v>
      </c>
      <c r="AG111">
        <v>-1</v>
      </c>
      <c r="AH111">
        <v>-1</v>
      </c>
      <c r="AI111">
        <v>-1</v>
      </c>
      <c r="AJ111" s="9">
        <f t="shared" si="37"/>
        <v>8</v>
      </c>
      <c r="AK111">
        <f t="shared" si="38"/>
        <v>0</v>
      </c>
      <c r="AL111" s="9">
        <v>0</v>
      </c>
    </row>
    <row r="112" spans="1:38" x14ac:dyDescent="0.35">
      <c r="A112" s="50">
        <v>0</v>
      </c>
      <c r="B112" s="50" t="s">
        <v>14</v>
      </c>
      <c r="C112" s="53">
        <v>43865</v>
      </c>
      <c r="D112" s="53">
        <v>43908</v>
      </c>
      <c r="E112" s="53">
        <v>43962</v>
      </c>
      <c r="F112" s="21">
        <f t="shared" si="24"/>
        <v>54</v>
      </c>
      <c r="G112" s="53">
        <v>43914</v>
      </c>
      <c r="H112" s="9">
        <v>2020</v>
      </c>
      <c r="I112" s="50">
        <v>0</v>
      </c>
      <c r="J112" s="50">
        <v>1</v>
      </c>
      <c r="K112" s="50">
        <v>8</v>
      </c>
      <c r="L112" s="24" t="s">
        <v>1243</v>
      </c>
      <c r="M112" s="24"/>
      <c r="V112" t="s">
        <v>952</v>
      </c>
      <c r="W112" t="s">
        <v>989</v>
      </c>
      <c r="X112" t="s">
        <v>997</v>
      </c>
      <c r="Y112" t="s">
        <v>1000</v>
      </c>
      <c r="Z112">
        <v>0</v>
      </c>
      <c r="AA112">
        <v>-1</v>
      </c>
      <c r="AB112">
        <v>-1</v>
      </c>
      <c r="AC112">
        <v>-1</v>
      </c>
      <c r="AD112">
        <v>-1</v>
      </c>
      <c r="AE112">
        <v>-1</v>
      </c>
      <c r="AF112">
        <v>-1</v>
      </c>
      <c r="AG112">
        <v>-1</v>
      </c>
      <c r="AH112">
        <v>-1</v>
      </c>
      <c r="AI112">
        <v>-1</v>
      </c>
      <c r="AJ112" s="9">
        <f t="shared" si="37"/>
        <v>8</v>
      </c>
      <c r="AK112">
        <f t="shared" si="38"/>
        <v>0</v>
      </c>
      <c r="AL112" s="9">
        <v>0</v>
      </c>
    </row>
    <row r="113" spans="1:38" x14ac:dyDescent="0.35">
      <c r="A113" s="50">
        <v>0</v>
      </c>
      <c r="B113" s="50" t="s">
        <v>14</v>
      </c>
      <c r="C113" s="53">
        <v>43865</v>
      </c>
      <c r="D113" s="53">
        <v>43908</v>
      </c>
      <c r="E113" s="53">
        <v>43962</v>
      </c>
      <c r="F113" s="21">
        <f t="shared" si="24"/>
        <v>54</v>
      </c>
      <c r="G113" s="53">
        <v>43914</v>
      </c>
      <c r="H113" s="9">
        <v>2020</v>
      </c>
      <c r="I113" s="50">
        <v>0</v>
      </c>
      <c r="J113" s="50">
        <v>1</v>
      </c>
      <c r="K113" s="50" t="s">
        <v>206</v>
      </c>
      <c r="L113" s="24" t="s">
        <v>1244</v>
      </c>
      <c r="M113" s="24"/>
      <c r="V113" t="s">
        <v>952</v>
      </c>
      <c r="W113" t="s">
        <v>989</v>
      </c>
      <c r="X113" t="s">
        <v>997</v>
      </c>
      <c r="Y113" t="s">
        <v>1000</v>
      </c>
      <c r="Z113">
        <v>0</v>
      </c>
      <c r="AA113">
        <v>-1</v>
      </c>
      <c r="AB113">
        <v>-1</v>
      </c>
      <c r="AC113">
        <v>-1</v>
      </c>
      <c r="AD113">
        <v>-1</v>
      </c>
      <c r="AE113">
        <v>-1</v>
      </c>
      <c r="AF113">
        <v>-1</v>
      </c>
      <c r="AG113">
        <v>-1</v>
      </c>
      <c r="AH113">
        <v>-1</v>
      </c>
      <c r="AI113">
        <v>-1</v>
      </c>
      <c r="AJ113" s="9" t="str">
        <f t="shared" si="37"/>
        <v>Tax exemption/waiver/suspension</v>
      </c>
      <c r="AK113">
        <f t="shared" si="38"/>
        <v>0</v>
      </c>
      <c r="AL113" s="9">
        <v>0</v>
      </c>
    </row>
    <row r="114" spans="1:38" x14ac:dyDescent="0.35">
      <c r="A114" s="50">
        <v>0</v>
      </c>
      <c r="B114" s="50" t="s">
        <v>14</v>
      </c>
      <c r="C114" s="53">
        <v>43865</v>
      </c>
      <c r="D114" s="53">
        <v>43908</v>
      </c>
      <c r="E114" s="53">
        <v>43962</v>
      </c>
      <c r="F114" s="21">
        <f t="shared" si="24"/>
        <v>54</v>
      </c>
      <c r="G114" s="53">
        <v>43914</v>
      </c>
      <c r="H114" s="9">
        <v>2020</v>
      </c>
      <c r="I114" s="50">
        <v>0</v>
      </c>
      <c r="J114" s="50">
        <v>1</v>
      </c>
      <c r="K114" s="9" t="s">
        <v>206</v>
      </c>
      <c r="L114" s="24" t="s">
        <v>1245</v>
      </c>
      <c r="M114" s="24"/>
      <c r="V114" t="s">
        <v>952</v>
      </c>
      <c r="W114" t="s">
        <v>989</v>
      </c>
      <c r="X114" t="s">
        <v>997</v>
      </c>
      <c r="Y114" t="s">
        <v>1000</v>
      </c>
      <c r="Z114">
        <v>0</v>
      </c>
      <c r="AA114">
        <v>-1</v>
      </c>
      <c r="AB114">
        <v>-1</v>
      </c>
      <c r="AC114">
        <v>-1</v>
      </c>
      <c r="AD114">
        <v>-1</v>
      </c>
      <c r="AE114">
        <v>-1</v>
      </c>
      <c r="AF114">
        <v>-1</v>
      </c>
      <c r="AG114">
        <v>-1</v>
      </c>
      <c r="AH114">
        <v>-1</v>
      </c>
      <c r="AI114">
        <v>-1</v>
      </c>
      <c r="AJ114" s="9" t="str">
        <f t="shared" si="37"/>
        <v>Tax exemption/waiver/suspension</v>
      </c>
      <c r="AK114">
        <f t="shared" si="38"/>
        <v>0</v>
      </c>
      <c r="AL114" s="9">
        <v>0</v>
      </c>
    </row>
    <row r="115" spans="1:38" x14ac:dyDescent="0.35">
      <c r="A115" s="50">
        <v>0</v>
      </c>
      <c r="B115" s="50" t="s">
        <v>14</v>
      </c>
      <c r="C115" s="53">
        <v>43865</v>
      </c>
      <c r="D115" s="53">
        <v>43908</v>
      </c>
      <c r="E115" s="53">
        <v>43962</v>
      </c>
      <c r="F115" s="21">
        <f t="shared" si="24"/>
        <v>54</v>
      </c>
      <c r="G115" s="53">
        <v>43914</v>
      </c>
      <c r="H115" s="9">
        <v>2020</v>
      </c>
      <c r="I115" s="50">
        <v>0</v>
      </c>
      <c r="J115" s="50">
        <v>2</v>
      </c>
      <c r="K115" s="9" t="s">
        <v>206</v>
      </c>
      <c r="L115" s="24" t="s">
        <v>1246</v>
      </c>
      <c r="M115" s="24"/>
      <c r="V115" t="s">
        <v>952</v>
      </c>
      <c r="W115" t="s">
        <v>989</v>
      </c>
      <c r="X115" t="s">
        <v>997</v>
      </c>
      <c r="Y115" t="s">
        <v>1000</v>
      </c>
      <c r="Z115">
        <v>0</v>
      </c>
      <c r="AA115">
        <v>-1</v>
      </c>
      <c r="AB115">
        <v>-1</v>
      </c>
      <c r="AC115">
        <v>-1</v>
      </c>
      <c r="AD115">
        <v>-1</v>
      </c>
      <c r="AE115">
        <v>-1</v>
      </c>
      <c r="AF115">
        <v>-1</v>
      </c>
      <c r="AG115">
        <v>-1</v>
      </c>
      <c r="AH115">
        <v>-1</v>
      </c>
      <c r="AI115">
        <v>-1</v>
      </c>
      <c r="AJ115" s="9" t="str">
        <f t="shared" si="37"/>
        <v>Tax exemption/waiver/suspension</v>
      </c>
      <c r="AK115" t="e">
        <f>IF(B115&lt;&gt;#REF!,1,0)</f>
        <v>#REF!</v>
      </c>
      <c r="AL115" s="9">
        <v>0</v>
      </c>
    </row>
    <row r="116" spans="1:38" x14ac:dyDescent="0.35">
      <c r="A116" s="50">
        <v>0</v>
      </c>
      <c r="B116" s="50" t="s">
        <v>14</v>
      </c>
      <c r="C116" s="53">
        <v>43865</v>
      </c>
      <c r="D116" s="53">
        <v>43908</v>
      </c>
      <c r="E116" s="53">
        <v>43962</v>
      </c>
      <c r="F116" s="21">
        <f t="shared" si="24"/>
        <v>54</v>
      </c>
      <c r="G116" s="53">
        <v>43914</v>
      </c>
      <c r="H116" s="9">
        <v>2020</v>
      </c>
      <c r="I116" s="50">
        <v>0</v>
      </c>
      <c r="J116" s="50">
        <v>3</v>
      </c>
      <c r="K116" s="50">
        <v>19</v>
      </c>
      <c r="L116" s="24" t="s">
        <v>1247</v>
      </c>
      <c r="M116" s="24"/>
      <c r="V116" t="s">
        <v>952</v>
      </c>
      <c r="W116" t="s">
        <v>989</v>
      </c>
      <c r="X116" t="s">
        <v>997</v>
      </c>
      <c r="Y116" t="s">
        <v>1000</v>
      </c>
      <c r="Z116">
        <v>0</v>
      </c>
      <c r="AA116">
        <v>-1</v>
      </c>
      <c r="AB116">
        <v>-1</v>
      </c>
      <c r="AC116">
        <v>-1</v>
      </c>
      <c r="AD116">
        <v>-1</v>
      </c>
      <c r="AE116">
        <v>-1</v>
      </c>
      <c r="AF116">
        <v>-1</v>
      </c>
      <c r="AG116">
        <v>-1</v>
      </c>
      <c r="AH116">
        <v>-1</v>
      </c>
      <c r="AI116">
        <v>-1</v>
      </c>
      <c r="AJ116" s="9">
        <f t="shared" si="37"/>
        <v>19</v>
      </c>
      <c r="AK116">
        <f t="shared" si="38"/>
        <v>0</v>
      </c>
      <c r="AL116" s="9">
        <v>0</v>
      </c>
    </row>
    <row r="117" spans="1:38" x14ac:dyDescent="0.35">
      <c r="A117" s="50">
        <v>0</v>
      </c>
      <c r="B117" s="50" t="s">
        <v>14</v>
      </c>
      <c r="C117" s="53">
        <v>43865</v>
      </c>
      <c r="D117" s="53">
        <v>43908</v>
      </c>
      <c r="E117" s="53">
        <v>43962</v>
      </c>
      <c r="F117" s="21">
        <f t="shared" si="24"/>
        <v>54</v>
      </c>
      <c r="G117" s="53">
        <v>43914</v>
      </c>
      <c r="H117" s="9">
        <v>2020</v>
      </c>
      <c r="I117" s="50">
        <v>0</v>
      </c>
      <c r="J117" s="50">
        <v>4</v>
      </c>
      <c r="K117" s="50">
        <v>20</v>
      </c>
      <c r="L117" s="24" t="s">
        <v>1248</v>
      </c>
      <c r="M117" s="24"/>
      <c r="V117" t="s">
        <v>952</v>
      </c>
      <c r="W117" t="s">
        <v>989</v>
      </c>
      <c r="X117" t="s">
        <v>997</v>
      </c>
      <c r="Y117" t="s">
        <v>1000</v>
      </c>
      <c r="Z117">
        <v>0</v>
      </c>
      <c r="AA117">
        <v>-1</v>
      </c>
      <c r="AB117">
        <v>-1</v>
      </c>
      <c r="AC117">
        <v>-1</v>
      </c>
      <c r="AD117">
        <v>-1</v>
      </c>
      <c r="AE117">
        <v>-1</v>
      </c>
      <c r="AF117">
        <v>-1</v>
      </c>
      <c r="AG117">
        <v>-1</v>
      </c>
      <c r="AH117">
        <v>-1</v>
      </c>
      <c r="AI117">
        <v>-1</v>
      </c>
      <c r="AJ117" s="9">
        <f t="shared" si="37"/>
        <v>20</v>
      </c>
      <c r="AK117">
        <f t="shared" si="38"/>
        <v>0</v>
      </c>
      <c r="AL117" s="9">
        <v>0</v>
      </c>
    </row>
    <row r="118" spans="1:38" x14ac:dyDescent="0.35">
      <c r="A118" s="50">
        <v>0</v>
      </c>
      <c r="B118" s="50" t="s">
        <v>14</v>
      </c>
      <c r="C118" s="53">
        <v>43865</v>
      </c>
      <c r="D118" s="53">
        <v>43908</v>
      </c>
      <c r="E118" s="53">
        <v>43962</v>
      </c>
      <c r="F118" s="21">
        <f t="shared" si="24"/>
        <v>54</v>
      </c>
      <c r="G118" s="53">
        <v>43914</v>
      </c>
      <c r="H118" s="9">
        <v>2020</v>
      </c>
      <c r="I118" s="50">
        <v>0</v>
      </c>
      <c r="J118" s="50">
        <v>2</v>
      </c>
      <c r="K118" s="50">
        <v>14</v>
      </c>
      <c r="L118" s="24" t="s">
        <v>1249</v>
      </c>
      <c r="M118" s="24"/>
      <c r="V118" t="s">
        <v>952</v>
      </c>
      <c r="W118" t="s">
        <v>989</v>
      </c>
      <c r="X118" t="s">
        <v>997</v>
      </c>
      <c r="Y118" t="s">
        <v>1000</v>
      </c>
      <c r="Z118">
        <v>0</v>
      </c>
      <c r="AA118">
        <v>-1</v>
      </c>
      <c r="AB118">
        <v>-1</v>
      </c>
      <c r="AC118">
        <v>-1</v>
      </c>
      <c r="AD118">
        <v>-1</v>
      </c>
      <c r="AE118">
        <v>-1</v>
      </c>
      <c r="AF118">
        <v>-1</v>
      </c>
      <c r="AG118">
        <v>-1</v>
      </c>
      <c r="AH118">
        <v>-1</v>
      </c>
      <c r="AI118">
        <v>-1</v>
      </c>
      <c r="AJ118" s="9">
        <f t="shared" si="37"/>
        <v>14</v>
      </c>
      <c r="AK118">
        <f t="shared" si="38"/>
        <v>0</v>
      </c>
      <c r="AL118" s="9">
        <v>0</v>
      </c>
    </row>
    <row r="119" spans="1:38" x14ac:dyDescent="0.35">
      <c r="A119" s="50">
        <v>0</v>
      </c>
      <c r="B119" s="50" t="s">
        <v>14</v>
      </c>
      <c r="C119" s="53">
        <v>43865</v>
      </c>
      <c r="D119" s="53">
        <v>43908</v>
      </c>
      <c r="E119" s="53">
        <v>43962</v>
      </c>
      <c r="F119" s="21">
        <f t="shared" si="24"/>
        <v>54</v>
      </c>
      <c r="G119" s="53">
        <v>43914</v>
      </c>
      <c r="H119" s="9">
        <v>2020</v>
      </c>
      <c r="I119" s="50">
        <v>0</v>
      </c>
      <c r="J119" s="50">
        <v>2</v>
      </c>
      <c r="K119" s="50">
        <v>17</v>
      </c>
      <c r="L119" s="24" t="s">
        <v>1250</v>
      </c>
      <c r="M119" s="24"/>
      <c r="V119" t="s">
        <v>952</v>
      </c>
      <c r="W119" t="s">
        <v>989</v>
      </c>
      <c r="X119" t="s">
        <v>997</v>
      </c>
      <c r="Y119" t="s">
        <v>1000</v>
      </c>
      <c r="Z119">
        <v>0</v>
      </c>
      <c r="AA119">
        <v>-1</v>
      </c>
      <c r="AB119">
        <v>-1</v>
      </c>
      <c r="AC119">
        <v>-1</v>
      </c>
      <c r="AD119">
        <v>-1</v>
      </c>
      <c r="AE119">
        <v>-1</v>
      </c>
      <c r="AF119">
        <v>-1</v>
      </c>
      <c r="AG119">
        <v>-1</v>
      </c>
      <c r="AH119">
        <v>-1</v>
      </c>
      <c r="AI119">
        <v>-1</v>
      </c>
      <c r="AJ119" s="9">
        <f t="shared" si="37"/>
        <v>17</v>
      </c>
      <c r="AK119">
        <f t="shared" si="38"/>
        <v>0</v>
      </c>
      <c r="AL119" s="9">
        <v>0</v>
      </c>
    </row>
    <row r="120" spans="1:38" x14ac:dyDescent="0.35">
      <c r="A120" s="50">
        <v>0</v>
      </c>
      <c r="B120" s="50" t="s">
        <v>14</v>
      </c>
      <c r="C120" s="53">
        <v>43865</v>
      </c>
      <c r="D120" s="53">
        <v>43908</v>
      </c>
      <c r="E120" s="53">
        <v>43962</v>
      </c>
      <c r="F120" s="21">
        <f t="shared" si="24"/>
        <v>54</v>
      </c>
      <c r="G120" s="53">
        <v>43914</v>
      </c>
      <c r="H120" s="9">
        <v>2020</v>
      </c>
      <c r="I120" s="50">
        <v>0</v>
      </c>
      <c r="J120" s="50">
        <v>6</v>
      </c>
      <c r="K120" s="50">
        <v>25</v>
      </c>
      <c r="L120" s="25" t="s">
        <v>1251</v>
      </c>
      <c r="M120" s="25"/>
      <c r="V120" t="s">
        <v>952</v>
      </c>
      <c r="W120" t="s">
        <v>989</v>
      </c>
      <c r="X120" t="s">
        <v>997</v>
      </c>
      <c r="Y120" t="s">
        <v>1000</v>
      </c>
      <c r="Z120">
        <v>0</v>
      </c>
      <c r="AA120">
        <v>-1</v>
      </c>
      <c r="AB120">
        <v>-1</v>
      </c>
      <c r="AC120">
        <v>-1</v>
      </c>
      <c r="AD120">
        <v>-1</v>
      </c>
      <c r="AE120">
        <v>-1</v>
      </c>
      <c r="AF120">
        <v>-1</v>
      </c>
      <c r="AG120">
        <v>-1</v>
      </c>
      <c r="AH120">
        <v>-1</v>
      </c>
      <c r="AI120">
        <v>-1</v>
      </c>
      <c r="AJ120" s="9">
        <f t="shared" si="37"/>
        <v>25</v>
      </c>
      <c r="AK120">
        <f t="shared" si="38"/>
        <v>0</v>
      </c>
      <c r="AL120" s="9">
        <v>0</v>
      </c>
    </row>
    <row r="121" spans="1:38" x14ac:dyDescent="0.35">
      <c r="A121" s="50">
        <v>0</v>
      </c>
      <c r="B121" s="50" t="s">
        <v>14</v>
      </c>
      <c r="C121" s="53">
        <v>43865</v>
      </c>
      <c r="D121" s="53">
        <v>43908</v>
      </c>
      <c r="E121" s="53">
        <v>43962</v>
      </c>
      <c r="F121" s="21">
        <f t="shared" si="24"/>
        <v>54</v>
      </c>
      <c r="G121" s="53">
        <v>43914</v>
      </c>
      <c r="H121" s="9">
        <v>2020</v>
      </c>
      <c r="I121" s="50">
        <v>0</v>
      </c>
      <c r="J121" s="50">
        <v>1</v>
      </c>
      <c r="K121" s="50">
        <v>10</v>
      </c>
      <c r="L121" s="24" t="s">
        <v>1252</v>
      </c>
      <c r="M121" s="24"/>
      <c r="V121" t="s">
        <v>952</v>
      </c>
      <c r="W121" t="s">
        <v>989</v>
      </c>
      <c r="X121" t="s">
        <v>997</v>
      </c>
      <c r="Y121" t="s">
        <v>1000</v>
      </c>
      <c r="Z121">
        <v>0</v>
      </c>
      <c r="AA121">
        <v>-1</v>
      </c>
      <c r="AB121">
        <v>-1</v>
      </c>
      <c r="AC121">
        <v>-1</v>
      </c>
      <c r="AD121">
        <v>-1</v>
      </c>
      <c r="AE121">
        <v>-1</v>
      </c>
      <c r="AF121">
        <v>-1</v>
      </c>
      <c r="AG121">
        <v>-1</v>
      </c>
      <c r="AH121">
        <v>-1</v>
      </c>
      <c r="AI121">
        <v>-1</v>
      </c>
      <c r="AJ121" s="9">
        <f t="shared" si="37"/>
        <v>10</v>
      </c>
      <c r="AK121">
        <f t="shared" si="38"/>
        <v>0</v>
      </c>
      <c r="AL121" s="9">
        <v>0</v>
      </c>
    </row>
    <row r="122" spans="1:38" x14ac:dyDescent="0.35">
      <c r="A122" s="50">
        <v>0</v>
      </c>
      <c r="B122" s="50" t="s">
        <v>14</v>
      </c>
      <c r="C122" s="53">
        <v>43865</v>
      </c>
      <c r="D122" s="53">
        <v>43908</v>
      </c>
      <c r="E122" s="53">
        <v>43962</v>
      </c>
      <c r="F122" s="21">
        <f t="shared" si="24"/>
        <v>54</v>
      </c>
      <c r="G122" s="53">
        <v>43914</v>
      </c>
      <c r="H122" s="9">
        <v>2020</v>
      </c>
      <c r="I122" s="50">
        <v>0</v>
      </c>
      <c r="J122" s="50">
        <v>1</v>
      </c>
      <c r="K122" s="9" t="s">
        <v>206</v>
      </c>
      <c r="L122" s="24" t="s">
        <v>1253</v>
      </c>
      <c r="M122" s="24"/>
      <c r="V122" t="s">
        <v>952</v>
      </c>
      <c r="W122" t="s">
        <v>989</v>
      </c>
      <c r="X122" t="s">
        <v>997</v>
      </c>
      <c r="Y122" t="s">
        <v>1000</v>
      </c>
      <c r="Z122">
        <v>0</v>
      </c>
      <c r="AA122">
        <v>-1</v>
      </c>
      <c r="AB122">
        <v>-1</v>
      </c>
      <c r="AC122">
        <v>-1</v>
      </c>
      <c r="AD122">
        <v>-1</v>
      </c>
      <c r="AE122">
        <v>-1</v>
      </c>
      <c r="AF122">
        <v>-1</v>
      </c>
      <c r="AG122">
        <v>-1</v>
      </c>
      <c r="AH122">
        <v>-1</v>
      </c>
      <c r="AI122">
        <v>-1</v>
      </c>
      <c r="AJ122" s="9" t="str">
        <f t="shared" si="37"/>
        <v>Tax exemption/waiver/suspension</v>
      </c>
      <c r="AK122">
        <f t="shared" si="38"/>
        <v>0</v>
      </c>
      <c r="AL122" s="9">
        <v>0</v>
      </c>
    </row>
    <row r="123" spans="1:38" x14ac:dyDescent="0.35">
      <c r="A123" s="50">
        <v>0</v>
      </c>
      <c r="B123" s="50" t="s">
        <v>14</v>
      </c>
      <c r="C123" s="53">
        <v>43865</v>
      </c>
      <c r="D123" s="53">
        <v>43908</v>
      </c>
      <c r="E123" s="53">
        <v>43962</v>
      </c>
      <c r="F123" s="21">
        <f t="shared" si="24"/>
        <v>54</v>
      </c>
      <c r="G123" s="53">
        <v>43914</v>
      </c>
      <c r="H123" s="9">
        <v>2020</v>
      </c>
      <c r="I123" s="50">
        <v>0</v>
      </c>
      <c r="J123" s="50">
        <v>2</v>
      </c>
      <c r="K123" s="50">
        <v>18</v>
      </c>
      <c r="L123" s="24" t="s">
        <v>1254</v>
      </c>
      <c r="M123" s="24"/>
      <c r="V123" t="s">
        <v>952</v>
      </c>
      <c r="W123" t="s">
        <v>989</v>
      </c>
      <c r="X123" t="s">
        <v>997</v>
      </c>
      <c r="Y123" t="s">
        <v>1000</v>
      </c>
      <c r="Z123">
        <v>0</v>
      </c>
      <c r="AA123">
        <v>-1</v>
      </c>
      <c r="AB123">
        <v>-1</v>
      </c>
      <c r="AC123">
        <v>-1</v>
      </c>
      <c r="AD123">
        <v>-1</v>
      </c>
      <c r="AE123">
        <v>-1</v>
      </c>
      <c r="AF123">
        <v>-1</v>
      </c>
      <c r="AG123">
        <v>-1</v>
      </c>
      <c r="AH123">
        <v>-1</v>
      </c>
      <c r="AI123">
        <v>-1</v>
      </c>
      <c r="AJ123" s="9">
        <f t="shared" si="37"/>
        <v>18</v>
      </c>
      <c r="AK123">
        <f t="shared" si="38"/>
        <v>0</v>
      </c>
      <c r="AL123" s="9">
        <v>0</v>
      </c>
    </row>
    <row r="124" spans="1:38" x14ac:dyDescent="0.35">
      <c r="A124" s="50">
        <v>0</v>
      </c>
      <c r="B124" s="50" t="s">
        <v>14</v>
      </c>
      <c r="C124" s="53">
        <v>43865</v>
      </c>
      <c r="D124" s="53">
        <v>43908</v>
      </c>
      <c r="E124" s="53">
        <v>43962</v>
      </c>
      <c r="F124" s="21">
        <f t="shared" si="24"/>
        <v>54</v>
      </c>
      <c r="G124" s="53">
        <v>43914</v>
      </c>
      <c r="H124" s="9">
        <v>2020</v>
      </c>
      <c r="I124" s="50">
        <v>0</v>
      </c>
      <c r="J124" s="50">
        <v>2</v>
      </c>
      <c r="K124" s="50">
        <v>17</v>
      </c>
      <c r="L124" s="24" t="s">
        <v>1255</v>
      </c>
      <c r="M124" s="24"/>
      <c r="V124" t="s">
        <v>952</v>
      </c>
      <c r="W124" t="s">
        <v>989</v>
      </c>
      <c r="X124" t="s">
        <v>997</v>
      </c>
      <c r="Y124" t="s">
        <v>1000</v>
      </c>
      <c r="Z124">
        <v>0</v>
      </c>
      <c r="AA124">
        <v>-1</v>
      </c>
      <c r="AB124">
        <v>-1</v>
      </c>
      <c r="AC124">
        <v>-1</v>
      </c>
      <c r="AD124">
        <v>-1</v>
      </c>
      <c r="AE124">
        <v>-1</v>
      </c>
      <c r="AF124">
        <v>-1</v>
      </c>
      <c r="AG124">
        <v>-1</v>
      </c>
      <c r="AH124">
        <v>-1</v>
      </c>
      <c r="AI124">
        <v>-1</v>
      </c>
      <c r="AJ124" s="9">
        <f t="shared" si="37"/>
        <v>17</v>
      </c>
      <c r="AK124">
        <f t="shared" si="38"/>
        <v>0</v>
      </c>
      <c r="AL124" s="9">
        <v>0</v>
      </c>
    </row>
    <row r="125" spans="1:38" x14ac:dyDescent="0.35">
      <c r="A125" s="50">
        <v>0</v>
      </c>
      <c r="B125" s="50" t="s">
        <v>14</v>
      </c>
      <c r="C125" s="53">
        <v>43865</v>
      </c>
      <c r="D125" s="53">
        <v>43908</v>
      </c>
      <c r="E125" s="53">
        <v>43962</v>
      </c>
      <c r="F125" s="21">
        <f t="shared" si="24"/>
        <v>54</v>
      </c>
      <c r="G125" s="53">
        <v>43914</v>
      </c>
      <c r="H125" s="9">
        <v>2020</v>
      </c>
      <c r="I125" s="50">
        <v>0</v>
      </c>
      <c r="J125" s="50">
        <v>6</v>
      </c>
      <c r="K125" s="50">
        <v>26</v>
      </c>
      <c r="L125" s="24" t="s">
        <v>1256</v>
      </c>
      <c r="M125" s="24"/>
      <c r="V125" t="s">
        <v>952</v>
      </c>
      <c r="W125" t="s">
        <v>989</v>
      </c>
      <c r="X125" t="s">
        <v>997</v>
      </c>
      <c r="Y125" t="s">
        <v>1000</v>
      </c>
      <c r="Z125">
        <v>0</v>
      </c>
      <c r="AA125">
        <v>-1</v>
      </c>
      <c r="AB125">
        <v>-1</v>
      </c>
      <c r="AC125">
        <v>-1</v>
      </c>
      <c r="AD125">
        <v>-1</v>
      </c>
      <c r="AE125">
        <v>-1</v>
      </c>
      <c r="AF125">
        <v>-1</v>
      </c>
      <c r="AG125">
        <v>-1</v>
      </c>
      <c r="AH125">
        <v>-1</v>
      </c>
      <c r="AI125">
        <v>-1</v>
      </c>
      <c r="AJ125" s="9">
        <f t="shared" si="37"/>
        <v>26</v>
      </c>
      <c r="AK125">
        <f t="shared" si="38"/>
        <v>0</v>
      </c>
      <c r="AL125" s="9">
        <v>0</v>
      </c>
    </row>
    <row r="126" spans="1:38" s="47" customFormat="1" x14ac:dyDescent="0.35">
      <c r="A126" s="50">
        <v>0</v>
      </c>
      <c r="B126" s="50" t="s">
        <v>14</v>
      </c>
      <c r="C126" s="53">
        <v>43865</v>
      </c>
      <c r="D126" s="53">
        <v>43908</v>
      </c>
      <c r="E126" s="53">
        <v>43962</v>
      </c>
      <c r="F126" s="21">
        <f t="shared" ref="F126:F128" si="39">DATEDIF(D126,E126,"D")</f>
        <v>54</v>
      </c>
      <c r="G126" s="53">
        <v>43914</v>
      </c>
      <c r="H126" s="9">
        <v>2021</v>
      </c>
      <c r="I126" s="50">
        <v>0</v>
      </c>
      <c r="J126" s="50">
        <v>1</v>
      </c>
      <c r="K126" s="50" t="s">
        <v>206</v>
      </c>
      <c r="L126" s="48" t="s">
        <v>1829</v>
      </c>
      <c r="M126" s="48"/>
    </row>
    <row r="127" spans="1:38" s="47" customFormat="1" x14ac:dyDescent="0.35">
      <c r="A127" s="50">
        <v>0</v>
      </c>
      <c r="B127" s="50" t="s">
        <v>14</v>
      </c>
      <c r="C127" s="53">
        <v>43865</v>
      </c>
      <c r="D127" s="53">
        <v>43908</v>
      </c>
      <c r="E127" s="53">
        <v>43962</v>
      </c>
      <c r="F127" s="21">
        <f t="shared" si="39"/>
        <v>54</v>
      </c>
      <c r="G127" s="53">
        <v>43914</v>
      </c>
      <c r="H127" s="9">
        <v>2021</v>
      </c>
      <c r="I127" s="50">
        <v>0</v>
      </c>
      <c r="J127" s="50">
        <v>4</v>
      </c>
      <c r="K127" s="50" t="s">
        <v>201</v>
      </c>
      <c r="L127" s="48" t="s">
        <v>1830</v>
      </c>
      <c r="M127" s="48"/>
    </row>
    <row r="128" spans="1:38" s="47" customFormat="1" x14ac:dyDescent="0.35">
      <c r="A128" s="50">
        <v>0</v>
      </c>
      <c r="B128" s="50" t="s">
        <v>14</v>
      </c>
      <c r="C128" s="53">
        <v>43865</v>
      </c>
      <c r="D128" s="53">
        <v>43908</v>
      </c>
      <c r="E128" s="53">
        <v>43962</v>
      </c>
      <c r="F128" s="21">
        <f t="shared" si="39"/>
        <v>54</v>
      </c>
      <c r="G128" s="53">
        <v>43914</v>
      </c>
      <c r="H128" s="9">
        <v>2021</v>
      </c>
      <c r="I128" s="50">
        <v>0</v>
      </c>
      <c r="J128" s="50">
        <v>1</v>
      </c>
      <c r="K128" s="50">
        <v>7</v>
      </c>
      <c r="L128" s="48" t="s">
        <v>1831</v>
      </c>
      <c r="M128" s="48"/>
    </row>
    <row r="129" spans="1:38" x14ac:dyDescent="0.35">
      <c r="A129" s="9">
        <v>1</v>
      </c>
      <c r="B129" s="9" t="s">
        <v>32</v>
      </c>
      <c r="C129" s="53">
        <v>43855</v>
      </c>
      <c r="D129" s="53">
        <v>43903</v>
      </c>
      <c r="E129" s="53">
        <v>43994</v>
      </c>
      <c r="F129" s="21">
        <f t="shared" si="24"/>
        <v>91</v>
      </c>
      <c r="G129" s="53">
        <v>43903</v>
      </c>
      <c r="H129" s="9">
        <v>2020</v>
      </c>
      <c r="I129" s="9">
        <v>1</v>
      </c>
      <c r="J129" s="9">
        <v>3</v>
      </c>
      <c r="K129" s="9">
        <v>19</v>
      </c>
      <c r="L129" s="50" t="s">
        <v>298</v>
      </c>
      <c r="M129">
        <v>2</v>
      </c>
      <c r="N129">
        <v>2</v>
      </c>
      <c r="O129">
        <v>-2</v>
      </c>
      <c r="P129">
        <v>-1</v>
      </c>
      <c r="Q129">
        <v>-2</v>
      </c>
      <c r="R129">
        <v>2</v>
      </c>
      <c r="S129">
        <v>-2</v>
      </c>
      <c r="U129">
        <v>1</v>
      </c>
      <c r="V129" t="s">
        <v>953</v>
      </c>
      <c r="W129" t="s">
        <v>995</v>
      </c>
      <c r="X129" t="s">
        <v>997</v>
      </c>
      <c r="Y129" t="s">
        <v>1000</v>
      </c>
      <c r="Z129">
        <v>1</v>
      </c>
      <c r="AA129">
        <f t="shared" ref="AA129:AA154" si="40">IF(M129&gt;0,1,IF(M129&lt;0,0,-1))</f>
        <v>1</v>
      </c>
      <c r="AB129">
        <f t="shared" ref="AB129:AB154" si="41">IF(N129&gt;0,1,IF(N129&lt;0,0,-1))</f>
        <v>1</v>
      </c>
      <c r="AC129">
        <f t="shared" ref="AC129:AC154" si="42">IF(O129&gt;0,1,IF(O129&lt;0,0,-1))</f>
        <v>0</v>
      </c>
      <c r="AD129">
        <f t="shared" ref="AD129:AD154" si="43">IF(P129&gt;0,1,IF(P129&lt;0,0,-1))</f>
        <v>0</v>
      </c>
      <c r="AE129">
        <f t="shared" ref="AE129:AE154" si="44">IF(Q129&gt;0,1,IF(Q129&lt;0,0,-1))</f>
        <v>0</v>
      </c>
      <c r="AF129">
        <f t="shared" ref="AF129:AF154" si="45">IF(R129&gt;0,1,IF(R129&lt;0,0,-1))</f>
        <v>1</v>
      </c>
      <c r="AG129">
        <f t="shared" ref="AG129:AG154" si="46">IF(S129&gt;0,1,IF(S129&lt;0,0,-1))</f>
        <v>0</v>
      </c>
      <c r="AH129">
        <f t="shared" ref="AH129:AH154" si="47">IF(T129&gt;0,1,IF(T129&lt;0,0,-1))</f>
        <v>-1</v>
      </c>
      <c r="AI129">
        <f t="shared" ref="AI129:AI154" si="48">IF(U129&gt;0,1,IF(U129&lt;0,0,-1))</f>
        <v>1</v>
      </c>
      <c r="AJ129" s="9">
        <f t="shared" ref="AJ129:AJ166" si="49">IF(ISNUMBER(K129),K129,IF(OR(K129="general",K129="23;general"),"General",IF(OR(K129="exemption",K129="other (exemption)"),"Tax exemption/waiver/suspension","Other")))</f>
        <v>19</v>
      </c>
      <c r="AK129" t="e">
        <f>IF(B129&lt;&gt;#REF!,1,0)</f>
        <v>#REF!</v>
      </c>
      <c r="AL129" s="9">
        <v>1</v>
      </c>
    </row>
    <row r="130" spans="1:38" x14ac:dyDescent="0.35">
      <c r="A130" s="9">
        <v>1</v>
      </c>
      <c r="B130" s="9" t="s">
        <v>32</v>
      </c>
      <c r="C130" s="53">
        <v>43855</v>
      </c>
      <c r="D130" s="53">
        <v>43903</v>
      </c>
      <c r="E130" s="53">
        <v>43994</v>
      </c>
      <c r="F130" s="21">
        <f t="shared" si="24"/>
        <v>91</v>
      </c>
      <c r="G130" s="53">
        <v>43903</v>
      </c>
      <c r="H130" s="9">
        <v>2020</v>
      </c>
      <c r="I130" s="9">
        <v>1</v>
      </c>
      <c r="J130" s="9">
        <v>2</v>
      </c>
      <c r="K130" s="9">
        <v>14</v>
      </c>
      <c r="L130" s="50" t="s">
        <v>297</v>
      </c>
      <c r="M130">
        <v>-2</v>
      </c>
      <c r="N130">
        <v>2</v>
      </c>
      <c r="O130">
        <v>2</v>
      </c>
      <c r="P130">
        <v>2</v>
      </c>
      <c r="Q130">
        <v>2</v>
      </c>
      <c r="R130">
        <v>2</v>
      </c>
      <c r="S130">
        <v>1</v>
      </c>
      <c r="T130">
        <v>2</v>
      </c>
      <c r="U130">
        <v>1</v>
      </c>
      <c r="V130" t="s">
        <v>953</v>
      </c>
      <c r="W130" t="s">
        <v>995</v>
      </c>
      <c r="X130" t="s">
        <v>997</v>
      </c>
      <c r="Y130" t="s">
        <v>1000</v>
      </c>
      <c r="Z130">
        <v>1</v>
      </c>
      <c r="AA130">
        <f t="shared" si="40"/>
        <v>0</v>
      </c>
      <c r="AB130">
        <f t="shared" si="41"/>
        <v>1</v>
      </c>
      <c r="AC130">
        <f t="shared" si="42"/>
        <v>1</v>
      </c>
      <c r="AD130">
        <f t="shared" si="43"/>
        <v>1</v>
      </c>
      <c r="AE130">
        <f t="shared" si="44"/>
        <v>1</v>
      </c>
      <c r="AF130">
        <f t="shared" si="45"/>
        <v>1</v>
      </c>
      <c r="AG130">
        <f t="shared" si="46"/>
        <v>1</v>
      </c>
      <c r="AH130">
        <f t="shared" si="47"/>
        <v>1</v>
      </c>
      <c r="AI130">
        <f t="shared" si="48"/>
        <v>1</v>
      </c>
      <c r="AJ130" s="9">
        <f t="shared" si="49"/>
        <v>14</v>
      </c>
      <c r="AK130">
        <f t="shared" ref="AK130:AK161" si="50">IF(B130&lt;&gt;B129,1,0)</f>
        <v>0</v>
      </c>
      <c r="AL130" s="9">
        <v>1</v>
      </c>
    </row>
    <row r="131" spans="1:38" x14ac:dyDescent="0.35">
      <c r="A131" s="9">
        <v>1</v>
      </c>
      <c r="B131" s="9" t="s">
        <v>32</v>
      </c>
      <c r="C131" s="53">
        <v>43855</v>
      </c>
      <c r="D131" s="53">
        <v>43903</v>
      </c>
      <c r="E131" s="53">
        <v>43994</v>
      </c>
      <c r="F131" s="21">
        <f t="shared" si="24"/>
        <v>91</v>
      </c>
      <c r="G131" s="53">
        <v>43903</v>
      </c>
      <c r="H131" s="9">
        <v>2020</v>
      </c>
      <c r="I131" s="9">
        <v>1</v>
      </c>
      <c r="J131" s="9">
        <v>6</v>
      </c>
      <c r="K131" s="9">
        <v>29</v>
      </c>
      <c r="L131" s="50" t="s">
        <v>292</v>
      </c>
      <c r="M131">
        <v>1</v>
      </c>
      <c r="N131">
        <v>1</v>
      </c>
      <c r="O131">
        <v>-2</v>
      </c>
      <c r="P131">
        <v>-1</v>
      </c>
      <c r="Q131">
        <v>-1</v>
      </c>
      <c r="R131">
        <v>1</v>
      </c>
      <c r="S131">
        <v>-1</v>
      </c>
      <c r="T131">
        <v>-2</v>
      </c>
      <c r="U131">
        <v>1</v>
      </c>
      <c r="V131" t="s">
        <v>953</v>
      </c>
      <c r="W131" t="s">
        <v>995</v>
      </c>
      <c r="X131" t="s">
        <v>997</v>
      </c>
      <c r="Y131" t="s">
        <v>1000</v>
      </c>
      <c r="Z131">
        <v>1</v>
      </c>
      <c r="AA131">
        <f t="shared" si="40"/>
        <v>1</v>
      </c>
      <c r="AB131">
        <f t="shared" si="41"/>
        <v>1</v>
      </c>
      <c r="AC131">
        <f t="shared" si="42"/>
        <v>0</v>
      </c>
      <c r="AD131">
        <f t="shared" si="43"/>
        <v>0</v>
      </c>
      <c r="AE131">
        <f t="shared" si="44"/>
        <v>0</v>
      </c>
      <c r="AF131">
        <f t="shared" si="45"/>
        <v>1</v>
      </c>
      <c r="AG131">
        <f t="shared" si="46"/>
        <v>0</v>
      </c>
      <c r="AH131">
        <f t="shared" si="47"/>
        <v>0</v>
      </c>
      <c r="AI131">
        <f t="shared" si="48"/>
        <v>1</v>
      </c>
      <c r="AJ131" s="9">
        <f t="shared" si="49"/>
        <v>29</v>
      </c>
      <c r="AK131">
        <f t="shared" si="50"/>
        <v>0</v>
      </c>
      <c r="AL131" s="9">
        <v>1</v>
      </c>
    </row>
    <row r="132" spans="1:38" x14ac:dyDescent="0.35">
      <c r="A132" s="9">
        <v>1</v>
      </c>
      <c r="B132" s="9" t="s">
        <v>32</v>
      </c>
      <c r="C132" s="53">
        <v>43855</v>
      </c>
      <c r="D132" s="53">
        <v>43903</v>
      </c>
      <c r="E132" s="53">
        <v>43994</v>
      </c>
      <c r="F132" s="21">
        <f t="shared" si="24"/>
        <v>91</v>
      </c>
      <c r="G132" s="53">
        <v>43903</v>
      </c>
      <c r="H132" s="9">
        <v>2020</v>
      </c>
      <c r="I132" s="9">
        <v>1</v>
      </c>
      <c r="J132" s="9">
        <v>6</v>
      </c>
      <c r="K132" s="9">
        <v>26</v>
      </c>
      <c r="L132" s="50" t="s">
        <v>294</v>
      </c>
      <c r="M132">
        <v>1</v>
      </c>
      <c r="N132">
        <v>1</v>
      </c>
      <c r="O132">
        <v>-2</v>
      </c>
      <c r="P132">
        <v>-1</v>
      </c>
      <c r="Q132">
        <v>-1</v>
      </c>
      <c r="R132">
        <v>1</v>
      </c>
      <c r="S132">
        <v>1</v>
      </c>
      <c r="T132">
        <v>-2</v>
      </c>
      <c r="U132">
        <v>1</v>
      </c>
      <c r="V132" t="s">
        <v>953</v>
      </c>
      <c r="W132" t="s">
        <v>995</v>
      </c>
      <c r="X132" t="s">
        <v>997</v>
      </c>
      <c r="Y132" t="s">
        <v>1000</v>
      </c>
      <c r="Z132">
        <v>1</v>
      </c>
      <c r="AA132">
        <f t="shared" si="40"/>
        <v>1</v>
      </c>
      <c r="AB132">
        <f t="shared" si="41"/>
        <v>1</v>
      </c>
      <c r="AC132">
        <f t="shared" si="42"/>
        <v>0</v>
      </c>
      <c r="AD132">
        <f t="shared" si="43"/>
        <v>0</v>
      </c>
      <c r="AE132">
        <f t="shared" si="44"/>
        <v>0</v>
      </c>
      <c r="AF132">
        <f t="shared" si="45"/>
        <v>1</v>
      </c>
      <c r="AG132">
        <f t="shared" si="46"/>
        <v>1</v>
      </c>
      <c r="AH132">
        <f t="shared" si="47"/>
        <v>0</v>
      </c>
      <c r="AI132">
        <f t="shared" si="48"/>
        <v>1</v>
      </c>
      <c r="AJ132" s="9">
        <f t="shared" si="49"/>
        <v>26</v>
      </c>
      <c r="AK132">
        <f t="shared" si="50"/>
        <v>0</v>
      </c>
      <c r="AL132" s="9">
        <v>1</v>
      </c>
    </row>
    <row r="133" spans="1:38" x14ac:dyDescent="0.35">
      <c r="A133" s="9">
        <v>1</v>
      </c>
      <c r="B133" s="9" t="s">
        <v>32</v>
      </c>
      <c r="C133" s="53">
        <v>43855</v>
      </c>
      <c r="D133" s="53">
        <v>43903</v>
      </c>
      <c r="E133" s="53">
        <v>43994</v>
      </c>
      <c r="F133" s="21">
        <f t="shared" si="24"/>
        <v>91</v>
      </c>
      <c r="G133" s="53">
        <v>43903</v>
      </c>
      <c r="H133" s="9">
        <v>2020</v>
      </c>
      <c r="I133" s="9">
        <v>1</v>
      </c>
      <c r="J133" s="9">
        <v>7</v>
      </c>
      <c r="K133" s="9">
        <v>30</v>
      </c>
      <c r="L133" s="50" t="s">
        <v>289</v>
      </c>
      <c r="M133">
        <v>1</v>
      </c>
      <c r="N133">
        <v>1</v>
      </c>
      <c r="O133">
        <v>-1</v>
      </c>
      <c r="P133">
        <v>-1</v>
      </c>
      <c r="Q133">
        <v>-1</v>
      </c>
      <c r="R133">
        <v>1</v>
      </c>
      <c r="S133">
        <v>-1</v>
      </c>
      <c r="T133">
        <v>-1</v>
      </c>
      <c r="U133">
        <v>1</v>
      </c>
      <c r="V133" t="s">
        <v>953</v>
      </c>
      <c r="W133" t="s">
        <v>995</v>
      </c>
      <c r="X133" t="s">
        <v>997</v>
      </c>
      <c r="Y133" t="s">
        <v>1000</v>
      </c>
      <c r="Z133">
        <v>1</v>
      </c>
      <c r="AA133">
        <f t="shared" si="40"/>
        <v>1</v>
      </c>
      <c r="AB133">
        <f t="shared" si="41"/>
        <v>1</v>
      </c>
      <c r="AC133">
        <f t="shared" si="42"/>
        <v>0</v>
      </c>
      <c r="AD133">
        <f t="shared" si="43"/>
        <v>0</v>
      </c>
      <c r="AE133">
        <f t="shared" si="44"/>
        <v>0</v>
      </c>
      <c r="AF133">
        <f t="shared" si="45"/>
        <v>1</v>
      </c>
      <c r="AG133">
        <f t="shared" si="46"/>
        <v>0</v>
      </c>
      <c r="AH133">
        <f t="shared" si="47"/>
        <v>0</v>
      </c>
      <c r="AI133">
        <f t="shared" si="48"/>
        <v>1</v>
      </c>
      <c r="AJ133" s="9">
        <f t="shared" si="49"/>
        <v>30</v>
      </c>
      <c r="AK133">
        <f t="shared" si="50"/>
        <v>0</v>
      </c>
      <c r="AL133" s="9">
        <v>1</v>
      </c>
    </row>
    <row r="134" spans="1:38" x14ac:dyDescent="0.35">
      <c r="A134" s="9">
        <v>1</v>
      </c>
      <c r="B134" s="9" t="s">
        <v>32</v>
      </c>
      <c r="C134" s="53">
        <v>43855</v>
      </c>
      <c r="D134" s="53">
        <v>43903</v>
      </c>
      <c r="E134" s="53">
        <v>43994</v>
      </c>
      <c r="F134" s="21">
        <f t="shared" si="24"/>
        <v>91</v>
      </c>
      <c r="G134" s="53">
        <v>43903</v>
      </c>
      <c r="H134" s="9">
        <v>2020</v>
      </c>
      <c r="I134" s="9">
        <v>1</v>
      </c>
      <c r="J134" s="9">
        <v>7</v>
      </c>
      <c r="K134" s="9">
        <v>30</v>
      </c>
      <c r="L134" s="50" t="s">
        <v>300</v>
      </c>
      <c r="M134">
        <v>1</v>
      </c>
      <c r="N134">
        <v>1</v>
      </c>
      <c r="O134">
        <v>1</v>
      </c>
      <c r="R134">
        <v>2</v>
      </c>
      <c r="S134">
        <v>1</v>
      </c>
      <c r="T134">
        <v>2</v>
      </c>
      <c r="U134">
        <v>1</v>
      </c>
      <c r="V134" t="s">
        <v>953</v>
      </c>
      <c r="W134" t="s">
        <v>995</v>
      </c>
      <c r="X134" t="s">
        <v>997</v>
      </c>
      <c r="Y134" t="s">
        <v>1000</v>
      </c>
      <c r="Z134">
        <v>1</v>
      </c>
      <c r="AA134">
        <f t="shared" si="40"/>
        <v>1</v>
      </c>
      <c r="AB134">
        <f t="shared" si="41"/>
        <v>1</v>
      </c>
      <c r="AC134">
        <f t="shared" si="42"/>
        <v>1</v>
      </c>
      <c r="AD134">
        <f t="shared" si="43"/>
        <v>-1</v>
      </c>
      <c r="AE134">
        <f t="shared" si="44"/>
        <v>-1</v>
      </c>
      <c r="AF134">
        <f t="shared" si="45"/>
        <v>1</v>
      </c>
      <c r="AG134">
        <f t="shared" si="46"/>
        <v>1</v>
      </c>
      <c r="AH134">
        <f t="shared" si="47"/>
        <v>1</v>
      </c>
      <c r="AI134">
        <f t="shared" si="48"/>
        <v>1</v>
      </c>
      <c r="AJ134" s="9">
        <f t="shared" si="49"/>
        <v>30</v>
      </c>
      <c r="AK134">
        <f t="shared" si="50"/>
        <v>0</v>
      </c>
      <c r="AL134" s="9">
        <v>1</v>
      </c>
    </row>
    <row r="135" spans="1:38" x14ac:dyDescent="0.35">
      <c r="A135" s="9">
        <v>1</v>
      </c>
      <c r="B135" s="9" t="s">
        <v>32</v>
      </c>
      <c r="C135" s="53">
        <v>43855</v>
      </c>
      <c r="D135" s="53">
        <v>43903</v>
      </c>
      <c r="E135" s="53">
        <v>43994</v>
      </c>
      <c r="F135" s="21">
        <f t="shared" si="24"/>
        <v>91</v>
      </c>
      <c r="G135" s="53">
        <v>43903</v>
      </c>
      <c r="H135" s="9">
        <v>2020</v>
      </c>
      <c r="I135" s="9">
        <v>1</v>
      </c>
      <c r="J135" s="9">
        <v>6</v>
      </c>
      <c r="K135" s="9">
        <v>25</v>
      </c>
      <c r="L135" s="50" t="s">
        <v>282</v>
      </c>
      <c r="M135">
        <v>1</v>
      </c>
      <c r="N135">
        <v>1</v>
      </c>
      <c r="O135">
        <v>-2</v>
      </c>
      <c r="P135">
        <v>-1</v>
      </c>
      <c r="Q135">
        <v>-1</v>
      </c>
      <c r="R135">
        <v>1</v>
      </c>
      <c r="S135">
        <v>1</v>
      </c>
      <c r="T135">
        <v>-2</v>
      </c>
      <c r="U135">
        <v>1</v>
      </c>
      <c r="V135" t="s">
        <v>953</v>
      </c>
      <c r="W135" t="s">
        <v>995</v>
      </c>
      <c r="X135" t="s">
        <v>997</v>
      </c>
      <c r="Y135" t="s">
        <v>1000</v>
      </c>
      <c r="Z135">
        <v>1</v>
      </c>
      <c r="AA135">
        <f t="shared" si="40"/>
        <v>1</v>
      </c>
      <c r="AB135">
        <f t="shared" si="41"/>
        <v>1</v>
      </c>
      <c r="AC135">
        <f t="shared" si="42"/>
        <v>0</v>
      </c>
      <c r="AD135">
        <f t="shared" si="43"/>
        <v>0</v>
      </c>
      <c r="AE135">
        <f t="shared" si="44"/>
        <v>0</v>
      </c>
      <c r="AF135">
        <f t="shared" si="45"/>
        <v>1</v>
      </c>
      <c r="AG135">
        <f t="shared" si="46"/>
        <v>1</v>
      </c>
      <c r="AH135">
        <f t="shared" si="47"/>
        <v>0</v>
      </c>
      <c r="AI135">
        <f t="shared" si="48"/>
        <v>1</v>
      </c>
      <c r="AJ135" s="9">
        <f t="shared" si="49"/>
        <v>25</v>
      </c>
      <c r="AK135">
        <f t="shared" si="50"/>
        <v>0</v>
      </c>
      <c r="AL135" s="9">
        <v>1</v>
      </c>
    </row>
    <row r="136" spans="1:38" x14ac:dyDescent="0.35">
      <c r="A136" s="9">
        <v>1</v>
      </c>
      <c r="B136" s="9" t="s">
        <v>32</v>
      </c>
      <c r="C136" s="53">
        <v>43855</v>
      </c>
      <c r="D136" s="53">
        <v>43903</v>
      </c>
      <c r="E136" s="53">
        <v>43994</v>
      </c>
      <c r="F136" s="21">
        <f t="shared" si="24"/>
        <v>91</v>
      </c>
      <c r="G136" s="53">
        <v>43903</v>
      </c>
      <c r="H136" s="9">
        <v>2020</v>
      </c>
      <c r="I136" s="9">
        <v>1</v>
      </c>
      <c r="J136" s="9">
        <v>6</v>
      </c>
      <c r="K136" s="9">
        <v>27</v>
      </c>
      <c r="L136" s="50" t="s">
        <v>280</v>
      </c>
      <c r="M136">
        <v>1</v>
      </c>
      <c r="N136">
        <v>1</v>
      </c>
      <c r="O136">
        <v>-2</v>
      </c>
      <c r="P136">
        <v>-1</v>
      </c>
      <c r="Q136">
        <v>-2</v>
      </c>
      <c r="R136">
        <v>-2</v>
      </c>
      <c r="S136">
        <v>-1</v>
      </c>
      <c r="T136">
        <v>-2</v>
      </c>
      <c r="U136">
        <v>1</v>
      </c>
      <c r="V136" t="s">
        <v>953</v>
      </c>
      <c r="W136" t="s">
        <v>995</v>
      </c>
      <c r="X136" t="s">
        <v>997</v>
      </c>
      <c r="Y136" t="s">
        <v>1000</v>
      </c>
      <c r="Z136">
        <v>1</v>
      </c>
      <c r="AA136">
        <f t="shared" si="40"/>
        <v>1</v>
      </c>
      <c r="AB136">
        <f t="shared" si="41"/>
        <v>1</v>
      </c>
      <c r="AC136">
        <f t="shared" si="42"/>
        <v>0</v>
      </c>
      <c r="AD136">
        <f t="shared" si="43"/>
        <v>0</v>
      </c>
      <c r="AE136">
        <f t="shared" si="44"/>
        <v>0</v>
      </c>
      <c r="AF136">
        <f t="shared" si="45"/>
        <v>0</v>
      </c>
      <c r="AG136">
        <f t="shared" si="46"/>
        <v>0</v>
      </c>
      <c r="AH136">
        <f t="shared" si="47"/>
        <v>0</v>
      </c>
      <c r="AI136">
        <f t="shared" si="48"/>
        <v>1</v>
      </c>
      <c r="AJ136" s="9">
        <f t="shared" si="49"/>
        <v>27</v>
      </c>
      <c r="AK136">
        <f t="shared" si="50"/>
        <v>0</v>
      </c>
      <c r="AL136" s="9">
        <v>1</v>
      </c>
    </row>
    <row r="137" spans="1:38" x14ac:dyDescent="0.35">
      <c r="A137" s="9">
        <v>1</v>
      </c>
      <c r="B137" s="9" t="s">
        <v>32</v>
      </c>
      <c r="C137" s="53">
        <v>43855</v>
      </c>
      <c r="D137" s="53">
        <v>43903</v>
      </c>
      <c r="E137" s="53">
        <v>43994</v>
      </c>
      <c r="F137" s="21">
        <f t="shared" si="24"/>
        <v>91</v>
      </c>
      <c r="G137" s="53">
        <v>43903</v>
      </c>
      <c r="H137" s="9">
        <v>2020</v>
      </c>
      <c r="I137" s="9">
        <v>1</v>
      </c>
      <c r="J137" s="9">
        <v>5</v>
      </c>
      <c r="K137" s="9" t="s">
        <v>204</v>
      </c>
      <c r="L137" s="50" t="s">
        <v>299</v>
      </c>
      <c r="M137">
        <v>1</v>
      </c>
      <c r="N137">
        <v>-1</v>
      </c>
      <c r="O137">
        <v>-2</v>
      </c>
      <c r="P137">
        <v>-1</v>
      </c>
      <c r="Q137">
        <v>-1</v>
      </c>
      <c r="R137">
        <v>1</v>
      </c>
      <c r="S137">
        <v>1</v>
      </c>
      <c r="T137">
        <v>2</v>
      </c>
      <c r="U137">
        <v>1</v>
      </c>
      <c r="V137" t="s">
        <v>953</v>
      </c>
      <c r="W137" t="s">
        <v>995</v>
      </c>
      <c r="X137" t="s">
        <v>997</v>
      </c>
      <c r="Y137" t="s">
        <v>1000</v>
      </c>
      <c r="Z137">
        <v>1</v>
      </c>
      <c r="AA137">
        <f t="shared" si="40"/>
        <v>1</v>
      </c>
      <c r="AB137">
        <f t="shared" si="41"/>
        <v>0</v>
      </c>
      <c r="AC137">
        <f t="shared" si="42"/>
        <v>0</v>
      </c>
      <c r="AD137">
        <f t="shared" si="43"/>
        <v>0</v>
      </c>
      <c r="AE137">
        <f t="shared" si="44"/>
        <v>0</v>
      </c>
      <c r="AF137">
        <f t="shared" si="45"/>
        <v>1</v>
      </c>
      <c r="AG137">
        <f t="shared" si="46"/>
        <v>1</v>
      </c>
      <c r="AH137">
        <f t="shared" si="47"/>
        <v>1</v>
      </c>
      <c r="AI137">
        <f t="shared" si="48"/>
        <v>1</v>
      </c>
      <c r="AJ137" s="9" t="str">
        <f t="shared" si="49"/>
        <v>General</v>
      </c>
      <c r="AK137">
        <f t="shared" si="50"/>
        <v>0</v>
      </c>
      <c r="AL137" s="9">
        <v>1</v>
      </c>
    </row>
    <row r="138" spans="1:38" x14ac:dyDescent="0.35">
      <c r="A138" s="9">
        <v>1</v>
      </c>
      <c r="B138" s="9" t="s">
        <v>32</v>
      </c>
      <c r="C138" s="53">
        <v>43855</v>
      </c>
      <c r="D138" s="53">
        <v>43903</v>
      </c>
      <c r="E138" s="53">
        <v>43994</v>
      </c>
      <c r="F138" s="21">
        <f t="shared" ref="F138:F206" si="51">DATEDIF(D138,E138,"D")</f>
        <v>91</v>
      </c>
      <c r="G138" s="53">
        <v>43903</v>
      </c>
      <c r="H138" s="9">
        <v>2020</v>
      </c>
      <c r="I138" s="9">
        <v>1</v>
      </c>
      <c r="J138" s="9">
        <v>6</v>
      </c>
      <c r="K138" s="9">
        <v>27</v>
      </c>
      <c r="L138" s="50" t="s">
        <v>290</v>
      </c>
      <c r="M138">
        <v>1</v>
      </c>
      <c r="N138">
        <v>1</v>
      </c>
      <c r="O138">
        <v>1</v>
      </c>
      <c r="P138">
        <v>1</v>
      </c>
      <c r="Q138">
        <v>1</v>
      </c>
      <c r="S138">
        <v>1</v>
      </c>
      <c r="T138">
        <v>1</v>
      </c>
      <c r="U138">
        <v>1</v>
      </c>
      <c r="V138" t="s">
        <v>953</v>
      </c>
      <c r="W138" t="s">
        <v>995</v>
      </c>
      <c r="X138" t="s">
        <v>997</v>
      </c>
      <c r="Y138" t="s">
        <v>1000</v>
      </c>
      <c r="Z138">
        <v>1</v>
      </c>
      <c r="AA138">
        <f t="shared" si="40"/>
        <v>1</v>
      </c>
      <c r="AB138">
        <f t="shared" si="41"/>
        <v>1</v>
      </c>
      <c r="AC138">
        <f t="shared" si="42"/>
        <v>1</v>
      </c>
      <c r="AD138">
        <f t="shared" si="43"/>
        <v>1</v>
      </c>
      <c r="AE138">
        <f t="shared" si="44"/>
        <v>1</v>
      </c>
      <c r="AF138">
        <f t="shared" si="45"/>
        <v>-1</v>
      </c>
      <c r="AG138">
        <f t="shared" si="46"/>
        <v>1</v>
      </c>
      <c r="AH138">
        <f t="shared" si="47"/>
        <v>1</v>
      </c>
      <c r="AI138">
        <f t="shared" si="48"/>
        <v>1</v>
      </c>
      <c r="AJ138" s="9">
        <f t="shared" si="49"/>
        <v>27</v>
      </c>
      <c r="AK138">
        <f t="shared" si="50"/>
        <v>0</v>
      </c>
      <c r="AL138" s="9">
        <v>1</v>
      </c>
    </row>
    <row r="139" spans="1:38" x14ac:dyDescent="0.35">
      <c r="A139" s="9">
        <v>1</v>
      </c>
      <c r="B139" s="9" t="s">
        <v>32</v>
      </c>
      <c r="C139" s="53">
        <v>43855</v>
      </c>
      <c r="D139" s="53">
        <v>43903</v>
      </c>
      <c r="E139" s="53">
        <v>43994</v>
      </c>
      <c r="F139" s="21">
        <f t="shared" si="51"/>
        <v>91</v>
      </c>
      <c r="G139" s="53">
        <v>43903</v>
      </c>
      <c r="H139" s="9">
        <v>2020</v>
      </c>
      <c r="I139" s="9">
        <v>1</v>
      </c>
      <c r="J139" s="9">
        <v>6</v>
      </c>
      <c r="K139" s="9">
        <v>27</v>
      </c>
      <c r="L139" s="50" t="s">
        <v>284</v>
      </c>
      <c r="M139">
        <v>1</v>
      </c>
      <c r="N139">
        <v>1</v>
      </c>
      <c r="O139">
        <v>2</v>
      </c>
      <c r="P139">
        <v>-1</v>
      </c>
      <c r="S139">
        <v>1</v>
      </c>
      <c r="T139">
        <v>-2</v>
      </c>
      <c r="U139">
        <v>1</v>
      </c>
      <c r="V139" t="s">
        <v>953</v>
      </c>
      <c r="W139" t="s">
        <v>995</v>
      </c>
      <c r="X139" t="s">
        <v>997</v>
      </c>
      <c r="Y139" t="s">
        <v>1000</v>
      </c>
      <c r="Z139">
        <v>1</v>
      </c>
      <c r="AA139">
        <f t="shared" si="40"/>
        <v>1</v>
      </c>
      <c r="AB139">
        <f t="shared" si="41"/>
        <v>1</v>
      </c>
      <c r="AC139">
        <f t="shared" si="42"/>
        <v>1</v>
      </c>
      <c r="AD139">
        <f t="shared" si="43"/>
        <v>0</v>
      </c>
      <c r="AE139">
        <f t="shared" si="44"/>
        <v>-1</v>
      </c>
      <c r="AF139">
        <f t="shared" si="45"/>
        <v>-1</v>
      </c>
      <c r="AG139">
        <f t="shared" si="46"/>
        <v>1</v>
      </c>
      <c r="AH139">
        <f t="shared" si="47"/>
        <v>0</v>
      </c>
      <c r="AI139">
        <f t="shared" si="48"/>
        <v>1</v>
      </c>
      <c r="AJ139" s="9">
        <f t="shared" si="49"/>
        <v>27</v>
      </c>
      <c r="AK139">
        <f t="shared" si="50"/>
        <v>0</v>
      </c>
      <c r="AL139" s="9">
        <v>1</v>
      </c>
    </row>
    <row r="140" spans="1:38" x14ac:dyDescent="0.35">
      <c r="A140" s="9">
        <v>1</v>
      </c>
      <c r="B140" s="9" t="s">
        <v>32</v>
      </c>
      <c r="C140" s="53">
        <v>43855</v>
      </c>
      <c r="D140" s="53">
        <v>43903</v>
      </c>
      <c r="E140" s="53">
        <v>43994</v>
      </c>
      <c r="F140" s="21">
        <f t="shared" si="51"/>
        <v>91</v>
      </c>
      <c r="G140" s="53">
        <v>43903</v>
      </c>
      <c r="H140" s="9">
        <v>2020</v>
      </c>
      <c r="I140" s="9">
        <v>1</v>
      </c>
      <c r="J140" s="9">
        <v>1</v>
      </c>
      <c r="K140" s="9" t="s">
        <v>201</v>
      </c>
      <c r="L140" s="50" t="s">
        <v>277</v>
      </c>
      <c r="M140">
        <v>2</v>
      </c>
      <c r="N140">
        <v>1</v>
      </c>
      <c r="O140">
        <v>2</v>
      </c>
      <c r="P140">
        <v>2</v>
      </c>
      <c r="Q140">
        <v>2</v>
      </c>
      <c r="R140">
        <v>2</v>
      </c>
      <c r="S140">
        <v>-1</v>
      </c>
      <c r="U140">
        <v>1</v>
      </c>
      <c r="V140" t="s">
        <v>953</v>
      </c>
      <c r="W140" t="s">
        <v>995</v>
      </c>
      <c r="X140" t="s">
        <v>997</v>
      </c>
      <c r="Y140" t="s">
        <v>1000</v>
      </c>
      <c r="Z140">
        <v>1</v>
      </c>
      <c r="AA140">
        <f t="shared" si="40"/>
        <v>1</v>
      </c>
      <c r="AB140">
        <f t="shared" si="41"/>
        <v>1</v>
      </c>
      <c r="AC140">
        <f t="shared" si="42"/>
        <v>1</v>
      </c>
      <c r="AD140">
        <f t="shared" si="43"/>
        <v>1</v>
      </c>
      <c r="AE140">
        <f t="shared" si="44"/>
        <v>1</v>
      </c>
      <c r="AF140">
        <f t="shared" si="45"/>
        <v>1</v>
      </c>
      <c r="AG140">
        <f t="shared" si="46"/>
        <v>0</v>
      </c>
      <c r="AH140">
        <f t="shared" si="47"/>
        <v>-1</v>
      </c>
      <c r="AI140">
        <f t="shared" si="48"/>
        <v>1</v>
      </c>
      <c r="AJ140" s="9" t="str">
        <f t="shared" si="49"/>
        <v>Other</v>
      </c>
      <c r="AK140">
        <f t="shared" si="50"/>
        <v>0</v>
      </c>
      <c r="AL140" s="9">
        <v>1</v>
      </c>
    </row>
    <row r="141" spans="1:38" x14ac:dyDescent="0.35">
      <c r="A141" s="9">
        <v>1</v>
      </c>
      <c r="B141" s="9" t="s">
        <v>32</v>
      </c>
      <c r="C141" s="53">
        <v>43855</v>
      </c>
      <c r="D141" s="53">
        <v>43903</v>
      </c>
      <c r="E141" s="53">
        <v>43994</v>
      </c>
      <c r="F141" s="21">
        <f t="shared" si="51"/>
        <v>91</v>
      </c>
      <c r="G141" s="53">
        <v>43903</v>
      </c>
      <c r="H141" s="9">
        <v>2020</v>
      </c>
      <c r="I141" s="9">
        <v>1</v>
      </c>
      <c r="J141" s="9">
        <v>6</v>
      </c>
      <c r="K141" s="9">
        <v>27</v>
      </c>
      <c r="L141" s="50" t="s">
        <v>281</v>
      </c>
      <c r="M141">
        <v>2</v>
      </c>
      <c r="N141">
        <v>1</v>
      </c>
      <c r="O141">
        <v>-2</v>
      </c>
      <c r="P141">
        <v>-1</v>
      </c>
      <c r="Q141">
        <v>-2</v>
      </c>
      <c r="R141">
        <v>2</v>
      </c>
      <c r="S141">
        <v>1</v>
      </c>
      <c r="U141">
        <v>1</v>
      </c>
      <c r="V141" t="s">
        <v>953</v>
      </c>
      <c r="W141" t="s">
        <v>995</v>
      </c>
      <c r="X141" t="s">
        <v>997</v>
      </c>
      <c r="Y141" t="s">
        <v>1000</v>
      </c>
      <c r="Z141">
        <v>1</v>
      </c>
      <c r="AA141">
        <f t="shared" si="40"/>
        <v>1</v>
      </c>
      <c r="AB141">
        <f t="shared" si="41"/>
        <v>1</v>
      </c>
      <c r="AC141">
        <f t="shared" si="42"/>
        <v>0</v>
      </c>
      <c r="AD141">
        <f t="shared" si="43"/>
        <v>0</v>
      </c>
      <c r="AE141">
        <f t="shared" si="44"/>
        <v>0</v>
      </c>
      <c r="AF141">
        <f t="shared" si="45"/>
        <v>1</v>
      </c>
      <c r="AG141">
        <f t="shared" si="46"/>
        <v>1</v>
      </c>
      <c r="AH141">
        <f t="shared" si="47"/>
        <v>-1</v>
      </c>
      <c r="AI141">
        <f t="shared" si="48"/>
        <v>1</v>
      </c>
      <c r="AJ141" s="9">
        <f t="shared" si="49"/>
        <v>27</v>
      </c>
      <c r="AK141">
        <f t="shared" si="50"/>
        <v>0</v>
      </c>
      <c r="AL141" s="9">
        <v>1</v>
      </c>
    </row>
    <row r="142" spans="1:38" x14ac:dyDescent="0.35">
      <c r="A142" s="9">
        <v>1</v>
      </c>
      <c r="B142" s="9" t="s">
        <v>32</v>
      </c>
      <c r="C142" s="53">
        <v>43855</v>
      </c>
      <c r="D142" s="53">
        <v>43903</v>
      </c>
      <c r="E142" s="53">
        <v>43994</v>
      </c>
      <c r="F142" s="21">
        <f t="shared" si="51"/>
        <v>91</v>
      </c>
      <c r="G142" s="53">
        <v>43903</v>
      </c>
      <c r="H142" s="9">
        <v>2020</v>
      </c>
      <c r="I142" s="9">
        <v>1</v>
      </c>
      <c r="J142" s="9">
        <v>6</v>
      </c>
      <c r="K142" s="9">
        <v>29</v>
      </c>
      <c r="L142" s="50" t="s">
        <v>291</v>
      </c>
      <c r="M142">
        <v>1</v>
      </c>
      <c r="N142">
        <v>1</v>
      </c>
      <c r="O142">
        <v>1</v>
      </c>
      <c r="P142">
        <v>-1</v>
      </c>
      <c r="Q142">
        <v>-2</v>
      </c>
      <c r="R142">
        <v>1</v>
      </c>
      <c r="S142">
        <v>1</v>
      </c>
      <c r="T142">
        <v>-2</v>
      </c>
      <c r="U142">
        <v>1</v>
      </c>
      <c r="V142" t="s">
        <v>953</v>
      </c>
      <c r="W142" t="s">
        <v>995</v>
      </c>
      <c r="X142" t="s">
        <v>997</v>
      </c>
      <c r="Y142" t="s">
        <v>1000</v>
      </c>
      <c r="Z142">
        <v>1</v>
      </c>
      <c r="AA142">
        <f t="shared" si="40"/>
        <v>1</v>
      </c>
      <c r="AB142">
        <f t="shared" si="41"/>
        <v>1</v>
      </c>
      <c r="AC142">
        <f t="shared" si="42"/>
        <v>1</v>
      </c>
      <c r="AD142">
        <f t="shared" si="43"/>
        <v>0</v>
      </c>
      <c r="AE142">
        <f t="shared" si="44"/>
        <v>0</v>
      </c>
      <c r="AF142">
        <f t="shared" si="45"/>
        <v>1</v>
      </c>
      <c r="AG142">
        <f t="shared" si="46"/>
        <v>1</v>
      </c>
      <c r="AH142">
        <f t="shared" si="47"/>
        <v>0</v>
      </c>
      <c r="AI142">
        <f t="shared" si="48"/>
        <v>1</v>
      </c>
      <c r="AJ142" s="9">
        <f t="shared" si="49"/>
        <v>29</v>
      </c>
      <c r="AK142">
        <f t="shared" si="50"/>
        <v>0</v>
      </c>
      <c r="AL142" s="9">
        <v>1</v>
      </c>
    </row>
    <row r="143" spans="1:38" x14ac:dyDescent="0.35">
      <c r="A143" s="9">
        <v>1</v>
      </c>
      <c r="B143" s="9" t="s">
        <v>32</v>
      </c>
      <c r="C143" s="53">
        <v>43855</v>
      </c>
      <c r="D143" s="53">
        <v>43903</v>
      </c>
      <c r="E143" s="53">
        <v>43994</v>
      </c>
      <c r="F143" s="21">
        <f t="shared" si="51"/>
        <v>91</v>
      </c>
      <c r="G143" s="53">
        <v>43903</v>
      </c>
      <c r="H143" s="9">
        <v>2020</v>
      </c>
      <c r="I143" s="9">
        <v>1</v>
      </c>
      <c r="J143" s="9">
        <v>6</v>
      </c>
      <c r="K143" s="9">
        <v>25</v>
      </c>
      <c r="L143" s="50" t="s">
        <v>295</v>
      </c>
      <c r="M143">
        <v>-2</v>
      </c>
      <c r="N143">
        <v>1</v>
      </c>
      <c r="O143">
        <v>2</v>
      </c>
      <c r="P143">
        <v>-1</v>
      </c>
      <c r="Q143">
        <v>2</v>
      </c>
      <c r="R143">
        <v>1</v>
      </c>
      <c r="S143">
        <v>1</v>
      </c>
      <c r="T143">
        <v>2</v>
      </c>
      <c r="U143">
        <v>1</v>
      </c>
      <c r="V143" t="s">
        <v>953</v>
      </c>
      <c r="W143" t="s">
        <v>995</v>
      </c>
      <c r="X143" t="s">
        <v>997</v>
      </c>
      <c r="Y143" t="s">
        <v>1000</v>
      </c>
      <c r="Z143">
        <v>1</v>
      </c>
      <c r="AA143">
        <f t="shared" si="40"/>
        <v>0</v>
      </c>
      <c r="AB143">
        <f t="shared" si="41"/>
        <v>1</v>
      </c>
      <c r="AC143">
        <f t="shared" si="42"/>
        <v>1</v>
      </c>
      <c r="AD143">
        <f t="shared" si="43"/>
        <v>0</v>
      </c>
      <c r="AE143">
        <f t="shared" si="44"/>
        <v>1</v>
      </c>
      <c r="AF143">
        <f t="shared" si="45"/>
        <v>1</v>
      </c>
      <c r="AG143">
        <f t="shared" si="46"/>
        <v>1</v>
      </c>
      <c r="AH143">
        <f t="shared" si="47"/>
        <v>1</v>
      </c>
      <c r="AI143">
        <f t="shared" si="48"/>
        <v>1</v>
      </c>
      <c r="AJ143" s="9">
        <f t="shared" si="49"/>
        <v>25</v>
      </c>
      <c r="AK143">
        <f t="shared" si="50"/>
        <v>0</v>
      </c>
      <c r="AL143" s="9">
        <v>1</v>
      </c>
    </row>
    <row r="144" spans="1:38" x14ac:dyDescent="0.35">
      <c r="A144" s="9">
        <v>1</v>
      </c>
      <c r="B144" s="9" t="s">
        <v>32</v>
      </c>
      <c r="C144" s="53">
        <v>43855</v>
      </c>
      <c r="D144" s="53">
        <v>43903</v>
      </c>
      <c r="E144" s="53">
        <v>43994</v>
      </c>
      <c r="F144" s="21">
        <f t="shared" si="51"/>
        <v>91</v>
      </c>
      <c r="G144" s="53">
        <v>43903</v>
      </c>
      <c r="H144" s="9">
        <v>2020</v>
      </c>
      <c r="I144" s="9">
        <v>1</v>
      </c>
      <c r="J144" s="9">
        <v>6</v>
      </c>
      <c r="K144" s="9">
        <v>28</v>
      </c>
      <c r="L144" s="50" t="s">
        <v>286</v>
      </c>
      <c r="M144">
        <v>1</v>
      </c>
      <c r="N144">
        <v>2</v>
      </c>
      <c r="O144">
        <v>2</v>
      </c>
      <c r="P144">
        <v>-1</v>
      </c>
      <c r="R144">
        <v>2</v>
      </c>
      <c r="S144">
        <v>1</v>
      </c>
      <c r="T144">
        <v>-2</v>
      </c>
      <c r="U144">
        <v>1</v>
      </c>
      <c r="V144" t="s">
        <v>953</v>
      </c>
      <c r="W144" t="s">
        <v>995</v>
      </c>
      <c r="X144" t="s">
        <v>997</v>
      </c>
      <c r="Y144" t="s">
        <v>1000</v>
      </c>
      <c r="Z144">
        <v>1</v>
      </c>
      <c r="AA144">
        <f t="shared" si="40"/>
        <v>1</v>
      </c>
      <c r="AB144">
        <f t="shared" si="41"/>
        <v>1</v>
      </c>
      <c r="AC144">
        <f t="shared" si="42"/>
        <v>1</v>
      </c>
      <c r="AD144">
        <f t="shared" si="43"/>
        <v>0</v>
      </c>
      <c r="AE144">
        <f t="shared" si="44"/>
        <v>-1</v>
      </c>
      <c r="AF144">
        <f t="shared" si="45"/>
        <v>1</v>
      </c>
      <c r="AG144">
        <f t="shared" si="46"/>
        <v>1</v>
      </c>
      <c r="AH144">
        <f t="shared" si="47"/>
        <v>0</v>
      </c>
      <c r="AI144">
        <f t="shared" si="48"/>
        <v>1</v>
      </c>
      <c r="AJ144" s="9">
        <f t="shared" si="49"/>
        <v>28</v>
      </c>
      <c r="AK144">
        <f t="shared" si="50"/>
        <v>0</v>
      </c>
      <c r="AL144" s="9">
        <v>1</v>
      </c>
    </row>
    <row r="145" spans="1:38" x14ac:dyDescent="0.35">
      <c r="A145" s="9">
        <v>1</v>
      </c>
      <c r="B145" s="9" t="s">
        <v>32</v>
      </c>
      <c r="C145" s="53">
        <v>43855</v>
      </c>
      <c r="D145" s="53">
        <v>43903</v>
      </c>
      <c r="E145" s="53">
        <v>43994</v>
      </c>
      <c r="F145" s="21">
        <f t="shared" si="51"/>
        <v>91</v>
      </c>
      <c r="G145" s="53">
        <v>43903</v>
      </c>
      <c r="H145" s="9">
        <v>2020</v>
      </c>
      <c r="I145" s="9">
        <v>1</v>
      </c>
      <c r="J145" s="9">
        <v>6</v>
      </c>
      <c r="K145" s="9">
        <v>25</v>
      </c>
      <c r="L145" s="50" t="s">
        <v>301</v>
      </c>
      <c r="M145">
        <v>-2</v>
      </c>
      <c r="N145">
        <v>1</v>
      </c>
      <c r="O145">
        <v>2</v>
      </c>
      <c r="P145">
        <v>-1</v>
      </c>
      <c r="Q145">
        <v>-1</v>
      </c>
      <c r="R145">
        <v>1</v>
      </c>
      <c r="S145">
        <v>1</v>
      </c>
      <c r="T145">
        <v>-1</v>
      </c>
      <c r="U145">
        <v>1</v>
      </c>
      <c r="V145" t="s">
        <v>953</v>
      </c>
      <c r="W145" t="s">
        <v>995</v>
      </c>
      <c r="X145" t="s">
        <v>997</v>
      </c>
      <c r="Y145" t="s">
        <v>1000</v>
      </c>
      <c r="Z145">
        <v>1</v>
      </c>
      <c r="AA145">
        <f t="shared" si="40"/>
        <v>0</v>
      </c>
      <c r="AB145">
        <f t="shared" si="41"/>
        <v>1</v>
      </c>
      <c r="AC145">
        <f t="shared" si="42"/>
        <v>1</v>
      </c>
      <c r="AD145">
        <f t="shared" si="43"/>
        <v>0</v>
      </c>
      <c r="AE145">
        <f t="shared" si="44"/>
        <v>0</v>
      </c>
      <c r="AF145">
        <f t="shared" si="45"/>
        <v>1</v>
      </c>
      <c r="AG145">
        <f t="shared" si="46"/>
        <v>1</v>
      </c>
      <c r="AH145">
        <f t="shared" si="47"/>
        <v>0</v>
      </c>
      <c r="AI145">
        <f t="shared" si="48"/>
        <v>1</v>
      </c>
      <c r="AJ145" s="9">
        <f t="shared" si="49"/>
        <v>25</v>
      </c>
      <c r="AK145">
        <f t="shared" si="50"/>
        <v>0</v>
      </c>
      <c r="AL145" s="9">
        <v>1</v>
      </c>
    </row>
    <row r="146" spans="1:38" x14ac:dyDescent="0.35">
      <c r="A146" s="9">
        <v>1</v>
      </c>
      <c r="B146" s="9" t="s">
        <v>32</v>
      </c>
      <c r="C146" s="53">
        <v>43855</v>
      </c>
      <c r="D146" s="53">
        <v>43903</v>
      </c>
      <c r="E146" s="53">
        <v>43994</v>
      </c>
      <c r="F146" s="21">
        <f t="shared" si="51"/>
        <v>91</v>
      </c>
      <c r="G146" s="53">
        <v>43903</v>
      </c>
      <c r="H146" s="9">
        <v>2020</v>
      </c>
      <c r="I146" s="9">
        <v>1</v>
      </c>
      <c r="J146" s="9">
        <v>1</v>
      </c>
      <c r="K146" s="9">
        <v>12</v>
      </c>
      <c r="L146" s="50" t="s">
        <v>288</v>
      </c>
      <c r="M146">
        <v>-1</v>
      </c>
      <c r="N146">
        <v>2</v>
      </c>
      <c r="O146">
        <v>-1</v>
      </c>
      <c r="P146">
        <v>-2</v>
      </c>
      <c r="Q146">
        <v>-1</v>
      </c>
      <c r="R146">
        <v>2</v>
      </c>
      <c r="S146">
        <v>1</v>
      </c>
      <c r="T146">
        <v>1</v>
      </c>
      <c r="U146">
        <v>1</v>
      </c>
      <c r="V146" t="s">
        <v>953</v>
      </c>
      <c r="W146" t="s">
        <v>995</v>
      </c>
      <c r="X146" t="s">
        <v>997</v>
      </c>
      <c r="Y146" t="s">
        <v>1000</v>
      </c>
      <c r="Z146">
        <v>1</v>
      </c>
      <c r="AA146">
        <f t="shared" si="40"/>
        <v>0</v>
      </c>
      <c r="AB146">
        <f t="shared" si="41"/>
        <v>1</v>
      </c>
      <c r="AC146">
        <f t="shared" si="42"/>
        <v>0</v>
      </c>
      <c r="AD146">
        <f t="shared" si="43"/>
        <v>0</v>
      </c>
      <c r="AE146">
        <f t="shared" si="44"/>
        <v>0</v>
      </c>
      <c r="AF146">
        <f t="shared" si="45"/>
        <v>1</v>
      </c>
      <c r="AG146">
        <f t="shared" si="46"/>
        <v>1</v>
      </c>
      <c r="AH146">
        <f t="shared" si="47"/>
        <v>1</v>
      </c>
      <c r="AI146">
        <f t="shared" si="48"/>
        <v>1</v>
      </c>
      <c r="AJ146" s="9">
        <f t="shared" si="49"/>
        <v>12</v>
      </c>
      <c r="AK146">
        <f t="shared" si="50"/>
        <v>0</v>
      </c>
      <c r="AL146" s="9">
        <v>1</v>
      </c>
    </row>
    <row r="147" spans="1:38" x14ac:dyDescent="0.35">
      <c r="A147" s="9">
        <v>1</v>
      </c>
      <c r="B147" s="9" t="s">
        <v>32</v>
      </c>
      <c r="C147" s="53">
        <v>43855</v>
      </c>
      <c r="D147" s="53">
        <v>43903</v>
      </c>
      <c r="E147" s="53">
        <v>43994</v>
      </c>
      <c r="F147" s="21">
        <f t="shared" si="51"/>
        <v>91</v>
      </c>
      <c r="G147" s="53">
        <v>43903</v>
      </c>
      <c r="H147" s="9">
        <v>2020</v>
      </c>
      <c r="I147" s="9">
        <v>1</v>
      </c>
      <c r="J147" s="9">
        <v>1</v>
      </c>
      <c r="K147" s="9">
        <v>6</v>
      </c>
      <c r="L147" s="50" t="s">
        <v>296</v>
      </c>
      <c r="M147">
        <v>-2</v>
      </c>
      <c r="N147">
        <v>2</v>
      </c>
      <c r="O147">
        <v>2</v>
      </c>
      <c r="P147">
        <v>2</v>
      </c>
      <c r="Q147">
        <v>2</v>
      </c>
      <c r="R147">
        <v>2</v>
      </c>
      <c r="S147">
        <v>1</v>
      </c>
      <c r="T147">
        <v>2</v>
      </c>
      <c r="U147">
        <v>1</v>
      </c>
      <c r="V147" t="s">
        <v>953</v>
      </c>
      <c r="W147" t="s">
        <v>995</v>
      </c>
      <c r="X147" t="s">
        <v>997</v>
      </c>
      <c r="Y147" t="s">
        <v>1000</v>
      </c>
      <c r="Z147">
        <v>1</v>
      </c>
      <c r="AA147">
        <f t="shared" si="40"/>
        <v>0</v>
      </c>
      <c r="AB147">
        <f t="shared" si="41"/>
        <v>1</v>
      </c>
      <c r="AC147">
        <f t="shared" si="42"/>
        <v>1</v>
      </c>
      <c r="AD147">
        <f t="shared" si="43"/>
        <v>1</v>
      </c>
      <c r="AE147">
        <f t="shared" si="44"/>
        <v>1</v>
      </c>
      <c r="AF147">
        <f t="shared" si="45"/>
        <v>1</v>
      </c>
      <c r="AG147">
        <f t="shared" si="46"/>
        <v>1</v>
      </c>
      <c r="AH147">
        <f t="shared" si="47"/>
        <v>1</v>
      </c>
      <c r="AI147">
        <f t="shared" si="48"/>
        <v>1</v>
      </c>
      <c r="AJ147" s="9">
        <f t="shared" si="49"/>
        <v>6</v>
      </c>
      <c r="AK147">
        <f t="shared" si="50"/>
        <v>0</v>
      </c>
      <c r="AL147" s="9">
        <v>1</v>
      </c>
    </row>
    <row r="148" spans="1:38" x14ac:dyDescent="0.35">
      <c r="A148" s="9">
        <v>1</v>
      </c>
      <c r="B148" s="9" t="s">
        <v>32</v>
      </c>
      <c r="C148" s="53">
        <v>43855</v>
      </c>
      <c r="D148" s="53">
        <v>43903</v>
      </c>
      <c r="E148" s="53">
        <v>43994</v>
      </c>
      <c r="F148" s="21">
        <f t="shared" si="51"/>
        <v>91</v>
      </c>
      <c r="G148" s="53">
        <v>43903</v>
      </c>
      <c r="H148" s="9">
        <v>2020</v>
      </c>
      <c r="I148" s="9">
        <v>1</v>
      </c>
      <c r="J148" s="9">
        <v>7</v>
      </c>
      <c r="K148" s="9">
        <v>32</v>
      </c>
      <c r="L148" s="50" t="s">
        <v>302</v>
      </c>
      <c r="M148">
        <v>1</v>
      </c>
      <c r="N148">
        <v>1</v>
      </c>
      <c r="O148">
        <v>1</v>
      </c>
      <c r="P148">
        <v>-1</v>
      </c>
      <c r="Q148">
        <v>2</v>
      </c>
      <c r="R148">
        <v>1</v>
      </c>
      <c r="S148">
        <v>1</v>
      </c>
      <c r="T148">
        <v>1</v>
      </c>
      <c r="U148">
        <v>1</v>
      </c>
      <c r="V148" t="s">
        <v>953</v>
      </c>
      <c r="W148" t="s">
        <v>995</v>
      </c>
      <c r="X148" t="s">
        <v>997</v>
      </c>
      <c r="Y148" t="s">
        <v>1000</v>
      </c>
      <c r="Z148">
        <v>1</v>
      </c>
      <c r="AA148">
        <f t="shared" si="40"/>
        <v>1</v>
      </c>
      <c r="AB148">
        <f t="shared" si="41"/>
        <v>1</v>
      </c>
      <c r="AC148">
        <f t="shared" si="42"/>
        <v>1</v>
      </c>
      <c r="AD148">
        <f t="shared" si="43"/>
        <v>0</v>
      </c>
      <c r="AE148">
        <f t="shared" si="44"/>
        <v>1</v>
      </c>
      <c r="AF148">
        <f t="shared" si="45"/>
        <v>1</v>
      </c>
      <c r="AG148">
        <f t="shared" si="46"/>
        <v>1</v>
      </c>
      <c r="AH148">
        <f t="shared" si="47"/>
        <v>1</v>
      </c>
      <c r="AI148">
        <f t="shared" si="48"/>
        <v>1</v>
      </c>
      <c r="AJ148" s="9">
        <f t="shared" si="49"/>
        <v>32</v>
      </c>
      <c r="AK148">
        <f t="shared" si="50"/>
        <v>0</v>
      </c>
      <c r="AL148" s="9">
        <v>1</v>
      </c>
    </row>
    <row r="149" spans="1:38" x14ac:dyDescent="0.35">
      <c r="A149" s="9">
        <v>1</v>
      </c>
      <c r="B149" s="9" t="s">
        <v>32</v>
      </c>
      <c r="C149" s="53">
        <v>43855</v>
      </c>
      <c r="D149" s="53">
        <v>43903</v>
      </c>
      <c r="E149" s="53">
        <v>43994</v>
      </c>
      <c r="F149" s="21">
        <f t="shared" si="51"/>
        <v>91</v>
      </c>
      <c r="G149" s="53">
        <v>43903</v>
      </c>
      <c r="H149" s="9">
        <v>2020</v>
      </c>
      <c r="I149" s="9">
        <v>1</v>
      </c>
      <c r="J149" s="9">
        <v>6</v>
      </c>
      <c r="K149" s="9">
        <v>26</v>
      </c>
      <c r="L149" s="50" t="s">
        <v>287</v>
      </c>
      <c r="M149">
        <v>1</v>
      </c>
      <c r="N149">
        <v>1</v>
      </c>
      <c r="O149">
        <v>-2</v>
      </c>
      <c r="P149">
        <v>-1</v>
      </c>
      <c r="Q149">
        <v>-1</v>
      </c>
      <c r="R149">
        <v>2</v>
      </c>
      <c r="S149">
        <v>1</v>
      </c>
      <c r="U149">
        <v>1</v>
      </c>
      <c r="V149" t="s">
        <v>953</v>
      </c>
      <c r="W149" t="s">
        <v>995</v>
      </c>
      <c r="X149" t="s">
        <v>997</v>
      </c>
      <c r="Y149" t="s">
        <v>1000</v>
      </c>
      <c r="Z149">
        <v>1</v>
      </c>
      <c r="AA149">
        <f t="shared" si="40"/>
        <v>1</v>
      </c>
      <c r="AB149">
        <f t="shared" si="41"/>
        <v>1</v>
      </c>
      <c r="AC149">
        <f t="shared" si="42"/>
        <v>0</v>
      </c>
      <c r="AD149">
        <f t="shared" si="43"/>
        <v>0</v>
      </c>
      <c r="AE149">
        <f t="shared" si="44"/>
        <v>0</v>
      </c>
      <c r="AF149">
        <f t="shared" si="45"/>
        <v>1</v>
      </c>
      <c r="AG149">
        <f t="shared" si="46"/>
        <v>1</v>
      </c>
      <c r="AH149">
        <f t="shared" si="47"/>
        <v>-1</v>
      </c>
      <c r="AI149">
        <f t="shared" si="48"/>
        <v>1</v>
      </c>
      <c r="AJ149" s="9">
        <f t="shared" si="49"/>
        <v>26</v>
      </c>
      <c r="AK149">
        <f t="shared" si="50"/>
        <v>0</v>
      </c>
      <c r="AL149" s="9">
        <v>1</v>
      </c>
    </row>
    <row r="150" spans="1:38" x14ac:dyDescent="0.35">
      <c r="A150" s="9">
        <v>1</v>
      </c>
      <c r="B150" s="9" t="s">
        <v>32</v>
      </c>
      <c r="C150" s="53">
        <v>43855</v>
      </c>
      <c r="D150" s="53">
        <v>43903</v>
      </c>
      <c r="E150" s="53">
        <v>43994</v>
      </c>
      <c r="F150" s="21">
        <f t="shared" si="51"/>
        <v>91</v>
      </c>
      <c r="G150" s="53">
        <v>43903</v>
      </c>
      <c r="H150" s="9">
        <v>2020</v>
      </c>
      <c r="I150" s="9">
        <v>1</v>
      </c>
      <c r="J150" s="9">
        <v>1</v>
      </c>
      <c r="K150" s="9">
        <v>6</v>
      </c>
      <c r="L150" s="50" t="s">
        <v>278</v>
      </c>
      <c r="M150">
        <v>-2</v>
      </c>
      <c r="N150">
        <v>2</v>
      </c>
      <c r="O150">
        <v>2</v>
      </c>
      <c r="P150">
        <v>2</v>
      </c>
      <c r="Q150">
        <v>2</v>
      </c>
      <c r="R150">
        <v>2</v>
      </c>
      <c r="S150">
        <v>1</v>
      </c>
      <c r="T150">
        <v>2</v>
      </c>
      <c r="U150">
        <v>1</v>
      </c>
      <c r="V150" t="s">
        <v>953</v>
      </c>
      <c r="W150" t="s">
        <v>995</v>
      </c>
      <c r="X150" t="s">
        <v>997</v>
      </c>
      <c r="Y150" t="s">
        <v>1000</v>
      </c>
      <c r="Z150">
        <v>1</v>
      </c>
      <c r="AA150">
        <f t="shared" si="40"/>
        <v>0</v>
      </c>
      <c r="AB150">
        <f t="shared" si="41"/>
        <v>1</v>
      </c>
      <c r="AC150">
        <f t="shared" si="42"/>
        <v>1</v>
      </c>
      <c r="AD150">
        <f t="shared" si="43"/>
        <v>1</v>
      </c>
      <c r="AE150">
        <f t="shared" si="44"/>
        <v>1</v>
      </c>
      <c r="AF150">
        <f t="shared" si="45"/>
        <v>1</v>
      </c>
      <c r="AG150">
        <f t="shared" si="46"/>
        <v>1</v>
      </c>
      <c r="AH150">
        <f t="shared" si="47"/>
        <v>1</v>
      </c>
      <c r="AI150">
        <f t="shared" si="48"/>
        <v>1</v>
      </c>
      <c r="AJ150" s="9">
        <f t="shared" si="49"/>
        <v>6</v>
      </c>
      <c r="AK150">
        <f t="shared" si="50"/>
        <v>0</v>
      </c>
      <c r="AL150" s="9">
        <v>1</v>
      </c>
    </row>
    <row r="151" spans="1:38" x14ac:dyDescent="0.35">
      <c r="A151" s="9">
        <v>1</v>
      </c>
      <c r="B151" s="9" t="s">
        <v>32</v>
      </c>
      <c r="C151" s="53">
        <v>43855</v>
      </c>
      <c r="D151" s="53">
        <v>43903</v>
      </c>
      <c r="E151" s="53">
        <v>43994</v>
      </c>
      <c r="F151" s="21">
        <f t="shared" si="51"/>
        <v>91</v>
      </c>
      <c r="G151" s="53">
        <v>43903</v>
      </c>
      <c r="H151" s="9">
        <v>2020</v>
      </c>
      <c r="I151" s="9">
        <v>1</v>
      </c>
      <c r="J151" s="9">
        <v>6</v>
      </c>
      <c r="K151" s="9">
        <v>29</v>
      </c>
      <c r="L151" s="50" t="s">
        <v>293</v>
      </c>
      <c r="M151">
        <v>1</v>
      </c>
      <c r="N151">
        <v>1</v>
      </c>
      <c r="O151">
        <v>2</v>
      </c>
      <c r="P151">
        <v>-1</v>
      </c>
      <c r="Q151">
        <v>-1</v>
      </c>
      <c r="R151">
        <v>1</v>
      </c>
      <c r="S151">
        <v>1</v>
      </c>
      <c r="T151">
        <v>-2</v>
      </c>
      <c r="U151">
        <v>1</v>
      </c>
      <c r="V151" t="s">
        <v>953</v>
      </c>
      <c r="W151" t="s">
        <v>995</v>
      </c>
      <c r="X151" t="s">
        <v>997</v>
      </c>
      <c r="Y151" t="s">
        <v>1000</v>
      </c>
      <c r="Z151">
        <v>1</v>
      </c>
      <c r="AA151">
        <f t="shared" si="40"/>
        <v>1</v>
      </c>
      <c r="AB151">
        <f t="shared" si="41"/>
        <v>1</v>
      </c>
      <c r="AC151">
        <f t="shared" si="42"/>
        <v>1</v>
      </c>
      <c r="AD151">
        <f t="shared" si="43"/>
        <v>0</v>
      </c>
      <c r="AE151">
        <f t="shared" si="44"/>
        <v>0</v>
      </c>
      <c r="AF151">
        <f t="shared" si="45"/>
        <v>1</v>
      </c>
      <c r="AG151">
        <f t="shared" si="46"/>
        <v>1</v>
      </c>
      <c r="AH151">
        <f t="shared" si="47"/>
        <v>0</v>
      </c>
      <c r="AI151">
        <f t="shared" si="48"/>
        <v>1</v>
      </c>
      <c r="AJ151" s="9">
        <f t="shared" si="49"/>
        <v>29</v>
      </c>
      <c r="AK151">
        <f t="shared" si="50"/>
        <v>0</v>
      </c>
      <c r="AL151" s="9">
        <v>1</v>
      </c>
    </row>
    <row r="152" spans="1:38" x14ac:dyDescent="0.35">
      <c r="A152" s="9">
        <v>1</v>
      </c>
      <c r="B152" s="9" t="s">
        <v>32</v>
      </c>
      <c r="C152" s="53">
        <v>43855</v>
      </c>
      <c r="D152" s="53">
        <v>43903</v>
      </c>
      <c r="E152" s="53">
        <v>43994</v>
      </c>
      <c r="F152" s="21">
        <f t="shared" si="51"/>
        <v>91</v>
      </c>
      <c r="G152" s="53">
        <v>43903</v>
      </c>
      <c r="H152" s="9">
        <v>2020</v>
      </c>
      <c r="I152" s="9">
        <v>1</v>
      </c>
      <c r="J152" s="9">
        <v>6</v>
      </c>
      <c r="K152" s="9">
        <v>29</v>
      </c>
      <c r="L152" s="50" t="s">
        <v>285</v>
      </c>
      <c r="M152">
        <v>1</v>
      </c>
      <c r="N152">
        <v>1</v>
      </c>
      <c r="O152">
        <v>-2</v>
      </c>
      <c r="P152">
        <v>-1</v>
      </c>
      <c r="Q152">
        <v>-1</v>
      </c>
      <c r="R152">
        <v>2</v>
      </c>
      <c r="S152">
        <v>1</v>
      </c>
      <c r="T152">
        <v>-1</v>
      </c>
      <c r="U152">
        <v>1</v>
      </c>
      <c r="V152" t="s">
        <v>953</v>
      </c>
      <c r="W152" t="s">
        <v>995</v>
      </c>
      <c r="X152" t="s">
        <v>997</v>
      </c>
      <c r="Y152" t="s">
        <v>1000</v>
      </c>
      <c r="Z152">
        <v>1</v>
      </c>
      <c r="AA152">
        <f t="shared" si="40"/>
        <v>1</v>
      </c>
      <c r="AB152">
        <f t="shared" si="41"/>
        <v>1</v>
      </c>
      <c r="AC152">
        <f t="shared" si="42"/>
        <v>0</v>
      </c>
      <c r="AD152">
        <f t="shared" si="43"/>
        <v>0</v>
      </c>
      <c r="AE152">
        <f t="shared" si="44"/>
        <v>0</v>
      </c>
      <c r="AF152">
        <f t="shared" si="45"/>
        <v>1</v>
      </c>
      <c r="AG152">
        <f t="shared" si="46"/>
        <v>1</v>
      </c>
      <c r="AH152">
        <f t="shared" si="47"/>
        <v>0</v>
      </c>
      <c r="AI152">
        <f t="shared" si="48"/>
        <v>1</v>
      </c>
      <c r="AJ152" s="9">
        <f t="shared" si="49"/>
        <v>29</v>
      </c>
      <c r="AK152">
        <f t="shared" si="50"/>
        <v>0</v>
      </c>
      <c r="AL152" s="9">
        <v>1</v>
      </c>
    </row>
    <row r="153" spans="1:38" x14ac:dyDescent="0.35">
      <c r="A153" s="9">
        <v>1</v>
      </c>
      <c r="B153" s="9" t="s">
        <v>32</v>
      </c>
      <c r="C153" s="53">
        <v>43855</v>
      </c>
      <c r="D153" s="53">
        <v>43903</v>
      </c>
      <c r="E153" s="53">
        <v>43994</v>
      </c>
      <c r="F153" s="21">
        <f t="shared" si="51"/>
        <v>91</v>
      </c>
      <c r="G153" s="53">
        <v>43903</v>
      </c>
      <c r="H153" s="9">
        <v>2020</v>
      </c>
      <c r="I153" s="9">
        <v>1</v>
      </c>
      <c r="J153" s="9">
        <v>1</v>
      </c>
      <c r="K153" s="9">
        <v>6</v>
      </c>
      <c r="L153" s="50" t="s">
        <v>283</v>
      </c>
      <c r="M153">
        <v>-2</v>
      </c>
      <c r="N153">
        <v>2</v>
      </c>
      <c r="O153">
        <v>2</v>
      </c>
      <c r="P153">
        <v>2</v>
      </c>
      <c r="Q153">
        <v>2</v>
      </c>
      <c r="R153">
        <v>2</v>
      </c>
      <c r="S153">
        <v>1</v>
      </c>
      <c r="T153">
        <v>2</v>
      </c>
      <c r="U153">
        <v>1</v>
      </c>
      <c r="V153" t="s">
        <v>953</v>
      </c>
      <c r="W153" t="s">
        <v>995</v>
      </c>
      <c r="X153" t="s">
        <v>997</v>
      </c>
      <c r="Y153" t="s">
        <v>1000</v>
      </c>
      <c r="Z153">
        <v>1</v>
      </c>
      <c r="AA153">
        <f t="shared" si="40"/>
        <v>0</v>
      </c>
      <c r="AB153">
        <f t="shared" si="41"/>
        <v>1</v>
      </c>
      <c r="AC153">
        <f t="shared" si="42"/>
        <v>1</v>
      </c>
      <c r="AD153">
        <f t="shared" si="43"/>
        <v>1</v>
      </c>
      <c r="AE153">
        <f t="shared" si="44"/>
        <v>1</v>
      </c>
      <c r="AF153">
        <f t="shared" si="45"/>
        <v>1</v>
      </c>
      <c r="AG153">
        <f t="shared" si="46"/>
        <v>1</v>
      </c>
      <c r="AH153">
        <f t="shared" si="47"/>
        <v>1</v>
      </c>
      <c r="AI153">
        <f t="shared" si="48"/>
        <v>1</v>
      </c>
      <c r="AJ153" s="9">
        <f t="shared" si="49"/>
        <v>6</v>
      </c>
      <c r="AK153">
        <f t="shared" si="50"/>
        <v>0</v>
      </c>
      <c r="AL153" s="9">
        <v>1</v>
      </c>
    </row>
    <row r="154" spans="1:38" x14ac:dyDescent="0.35">
      <c r="A154" s="9">
        <v>1</v>
      </c>
      <c r="B154" s="9" t="s">
        <v>32</v>
      </c>
      <c r="C154" s="53">
        <v>43855</v>
      </c>
      <c r="D154" s="53">
        <v>43903</v>
      </c>
      <c r="E154" s="53">
        <v>43994</v>
      </c>
      <c r="F154" s="21">
        <f t="shared" si="51"/>
        <v>91</v>
      </c>
      <c r="G154" s="53">
        <v>43903</v>
      </c>
      <c r="H154" s="9">
        <v>2020</v>
      </c>
      <c r="I154" s="9">
        <v>1</v>
      </c>
      <c r="J154" s="9">
        <v>7</v>
      </c>
      <c r="K154" s="9">
        <v>32</v>
      </c>
      <c r="L154" s="50" t="s">
        <v>279</v>
      </c>
      <c r="M154">
        <v>1</v>
      </c>
      <c r="N154">
        <v>2</v>
      </c>
      <c r="O154">
        <v>2</v>
      </c>
      <c r="P154">
        <v>-1</v>
      </c>
      <c r="Q154">
        <v>1</v>
      </c>
      <c r="R154">
        <v>2</v>
      </c>
      <c r="S154">
        <v>1</v>
      </c>
      <c r="T154">
        <v>-2</v>
      </c>
      <c r="U154">
        <v>1</v>
      </c>
      <c r="V154" t="s">
        <v>953</v>
      </c>
      <c r="W154" t="s">
        <v>995</v>
      </c>
      <c r="X154" t="s">
        <v>997</v>
      </c>
      <c r="Y154" t="s">
        <v>1000</v>
      </c>
      <c r="Z154">
        <v>1</v>
      </c>
      <c r="AA154">
        <f t="shared" si="40"/>
        <v>1</v>
      </c>
      <c r="AB154">
        <f t="shared" si="41"/>
        <v>1</v>
      </c>
      <c r="AC154">
        <f t="shared" si="42"/>
        <v>1</v>
      </c>
      <c r="AD154">
        <f t="shared" si="43"/>
        <v>0</v>
      </c>
      <c r="AE154">
        <f t="shared" si="44"/>
        <v>1</v>
      </c>
      <c r="AF154">
        <f t="shared" si="45"/>
        <v>1</v>
      </c>
      <c r="AG154">
        <f t="shared" si="46"/>
        <v>1</v>
      </c>
      <c r="AH154">
        <f t="shared" si="47"/>
        <v>0</v>
      </c>
      <c r="AI154">
        <f t="shared" si="48"/>
        <v>1</v>
      </c>
      <c r="AJ154" s="9">
        <f t="shared" si="49"/>
        <v>32</v>
      </c>
      <c r="AK154">
        <f t="shared" si="50"/>
        <v>0</v>
      </c>
      <c r="AL154" s="9">
        <v>0</v>
      </c>
    </row>
    <row r="155" spans="1:38" x14ac:dyDescent="0.35">
      <c r="A155" s="9">
        <v>1</v>
      </c>
      <c r="B155" s="50" t="s">
        <v>32</v>
      </c>
      <c r="C155" s="53">
        <v>43855</v>
      </c>
      <c r="D155" s="53">
        <v>43903</v>
      </c>
      <c r="E155" s="53">
        <v>43994</v>
      </c>
      <c r="F155" s="21">
        <f t="shared" si="51"/>
        <v>91</v>
      </c>
      <c r="G155" s="53">
        <v>43903</v>
      </c>
      <c r="H155" s="9">
        <v>2020</v>
      </c>
      <c r="I155" s="9">
        <v>1</v>
      </c>
      <c r="J155" s="50">
        <v>2</v>
      </c>
      <c r="K155" s="50">
        <v>13</v>
      </c>
      <c r="L155" s="24" t="s">
        <v>1257</v>
      </c>
      <c r="M155" s="24"/>
      <c r="V155" t="s">
        <v>953</v>
      </c>
      <c r="W155" t="s">
        <v>995</v>
      </c>
      <c r="X155" t="s">
        <v>997</v>
      </c>
      <c r="Y155" t="s">
        <v>1000</v>
      </c>
      <c r="Z155">
        <v>1</v>
      </c>
      <c r="AA155">
        <v>-1</v>
      </c>
      <c r="AB155">
        <v>-1</v>
      </c>
      <c r="AC155">
        <v>-1</v>
      </c>
      <c r="AD155">
        <v>-1</v>
      </c>
      <c r="AE155">
        <v>-1</v>
      </c>
      <c r="AF155">
        <v>-1</v>
      </c>
      <c r="AG155">
        <v>-1</v>
      </c>
      <c r="AH155">
        <v>-1</v>
      </c>
      <c r="AI155">
        <v>-1</v>
      </c>
      <c r="AJ155" s="9">
        <f t="shared" si="49"/>
        <v>13</v>
      </c>
      <c r="AK155">
        <f t="shared" si="50"/>
        <v>0</v>
      </c>
      <c r="AL155" s="9">
        <v>0</v>
      </c>
    </row>
    <row r="156" spans="1:38" x14ac:dyDescent="0.35">
      <c r="A156" s="9">
        <v>1</v>
      </c>
      <c r="B156" s="50" t="s">
        <v>32</v>
      </c>
      <c r="C156" s="53">
        <v>43855</v>
      </c>
      <c r="D156" s="53">
        <v>43903</v>
      </c>
      <c r="E156" s="53">
        <v>43994</v>
      </c>
      <c r="F156" s="21">
        <f t="shared" si="51"/>
        <v>91</v>
      </c>
      <c r="G156" s="53">
        <v>43903</v>
      </c>
      <c r="H156" s="9">
        <v>2020</v>
      </c>
      <c r="I156" s="9">
        <v>1</v>
      </c>
      <c r="J156" s="50">
        <v>1</v>
      </c>
      <c r="K156" s="50">
        <v>5</v>
      </c>
      <c r="L156" s="24" t="s">
        <v>1258</v>
      </c>
      <c r="M156" s="24"/>
      <c r="V156" t="s">
        <v>953</v>
      </c>
      <c r="W156" t="s">
        <v>995</v>
      </c>
      <c r="X156" t="s">
        <v>997</v>
      </c>
      <c r="Y156" t="s">
        <v>1000</v>
      </c>
      <c r="Z156">
        <v>1</v>
      </c>
      <c r="AA156">
        <v>-1</v>
      </c>
      <c r="AB156">
        <v>-1</v>
      </c>
      <c r="AC156">
        <v>-1</v>
      </c>
      <c r="AD156">
        <v>-1</v>
      </c>
      <c r="AE156">
        <v>-1</v>
      </c>
      <c r="AF156">
        <v>-1</v>
      </c>
      <c r="AG156">
        <v>-1</v>
      </c>
      <c r="AH156">
        <v>-1</v>
      </c>
      <c r="AI156">
        <v>-1</v>
      </c>
      <c r="AJ156" s="9">
        <f t="shared" si="49"/>
        <v>5</v>
      </c>
      <c r="AK156">
        <f t="shared" si="50"/>
        <v>0</v>
      </c>
      <c r="AL156" s="9">
        <v>0</v>
      </c>
    </row>
    <row r="157" spans="1:38" x14ac:dyDescent="0.35">
      <c r="A157" s="9">
        <v>1</v>
      </c>
      <c r="B157" s="50" t="s">
        <v>32</v>
      </c>
      <c r="C157" s="53">
        <v>43855</v>
      </c>
      <c r="D157" s="53">
        <v>43903</v>
      </c>
      <c r="E157" s="53">
        <v>43994</v>
      </c>
      <c r="F157" s="21">
        <f t="shared" si="51"/>
        <v>91</v>
      </c>
      <c r="G157" s="53">
        <v>43903</v>
      </c>
      <c r="H157" s="9">
        <v>2020</v>
      </c>
      <c r="I157" s="9">
        <v>1</v>
      </c>
      <c r="J157" s="50">
        <v>1</v>
      </c>
      <c r="K157" s="50">
        <v>6</v>
      </c>
      <c r="L157" s="24" t="s">
        <v>1259</v>
      </c>
      <c r="M157" s="24"/>
      <c r="V157" t="s">
        <v>953</v>
      </c>
      <c r="W157" t="s">
        <v>995</v>
      </c>
      <c r="X157" t="s">
        <v>997</v>
      </c>
      <c r="Y157" t="s">
        <v>1000</v>
      </c>
      <c r="Z157">
        <v>1</v>
      </c>
      <c r="AA157">
        <v>-1</v>
      </c>
      <c r="AB157">
        <v>-1</v>
      </c>
      <c r="AC157">
        <v>-1</v>
      </c>
      <c r="AD157">
        <v>-1</v>
      </c>
      <c r="AE157">
        <v>-1</v>
      </c>
      <c r="AF157">
        <v>-1</v>
      </c>
      <c r="AG157">
        <v>-1</v>
      </c>
      <c r="AH157">
        <v>-1</v>
      </c>
      <c r="AI157">
        <v>-1</v>
      </c>
      <c r="AJ157" s="9">
        <f t="shared" si="49"/>
        <v>6</v>
      </c>
      <c r="AK157">
        <f t="shared" si="50"/>
        <v>0</v>
      </c>
      <c r="AL157" s="9">
        <v>0</v>
      </c>
    </row>
    <row r="158" spans="1:38" x14ac:dyDescent="0.35">
      <c r="A158" s="9">
        <v>1</v>
      </c>
      <c r="B158" s="50" t="s">
        <v>32</v>
      </c>
      <c r="C158" s="53">
        <v>43855</v>
      </c>
      <c r="D158" s="53">
        <v>43903</v>
      </c>
      <c r="E158" s="53">
        <v>43994</v>
      </c>
      <c r="F158" s="21">
        <f t="shared" si="51"/>
        <v>91</v>
      </c>
      <c r="G158" s="53">
        <v>43903</v>
      </c>
      <c r="H158" s="9">
        <v>2020</v>
      </c>
      <c r="I158" s="9">
        <v>1</v>
      </c>
      <c r="J158" s="50">
        <v>6</v>
      </c>
      <c r="K158" s="50">
        <v>26</v>
      </c>
      <c r="L158" s="24" t="s">
        <v>1260</v>
      </c>
      <c r="M158" s="24"/>
      <c r="V158" t="s">
        <v>953</v>
      </c>
      <c r="W158" t="s">
        <v>995</v>
      </c>
      <c r="X158" t="s">
        <v>997</v>
      </c>
      <c r="Y158" t="s">
        <v>1000</v>
      </c>
      <c r="Z158">
        <v>1</v>
      </c>
      <c r="AA158">
        <v>-1</v>
      </c>
      <c r="AB158">
        <v>-1</v>
      </c>
      <c r="AC158">
        <v>-1</v>
      </c>
      <c r="AD158">
        <v>-1</v>
      </c>
      <c r="AE158">
        <v>-1</v>
      </c>
      <c r="AF158">
        <v>-1</v>
      </c>
      <c r="AG158">
        <v>-1</v>
      </c>
      <c r="AH158">
        <v>-1</v>
      </c>
      <c r="AI158">
        <v>-1</v>
      </c>
      <c r="AJ158" s="9">
        <f t="shared" si="49"/>
        <v>26</v>
      </c>
      <c r="AK158">
        <f t="shared" si="50"/>
        <v>0</v>
      </c>
      <c r="AL158" s="9">
        <v>0</v>
      </c>
    </row>
    <row r="159" spans="1:38" x14ac:dyDescent="0.35">
      <c r="A159" s="9">
        <v>1</v>
      </c>
      <c r="B159" s="50" t="s">
        <v>32</v>
      </c>
      <c r="C159" s="53">
        <v>43855</v>
      </c>
      <c r="D159" s="53">
        <v>43903</v>
      </c>
      <c r="E159" s="53">
        <v>43994</v>
      </c>
      <c r="F159" s="21">
        <f t="shared" si="51"/>
        <v>91</v>
      </c>
      <c r="G159" s="53">
        <v>43903</v>
      </c>
      <c r="H159" s="9">
        <v>2020</v>
      </c>
      <c r="I159" s="9">
        <v>1</v>
      </c>
      <c r="J159" s="50">
        <v>6</v>
      </c>
      <c r="K159" s="50">
        <v>25</v>
      </c>
      <c r="L159" s="24" t="s">
        <v>1261</v>
      </c>
      <c r="M159" s="24"/>
      <c r="V159" t="s">
        <v>953</v>
      </c>
      <c r="W159" t="s">
        <v>995</v>
      </c>
      <c r="X159" t="s">
        <v>997</v>
      </c>
      <c r="Y159" t="s">
        <v>1000</v>
      </c>
      <c r="Z159">
        <v>1</v>
      </c>
      <c r="AA159">
        <v>-1</v>
      </c>
      <c r="AB159">
        <v>-1</v>
      </c>
      <c r="AC159">
        <v>-1</v>
      </c>
      <c r="AD159">
        <v>-1</v>
      </c>
      <c r="AE159">
        <v>-1</v>
      </c>
      <c r="AF159">
        <v>-1</v>
      </c>
      <c r="AG159">
        <v>-1</v>
      </c>
      <c r="AH159">
        <v>-1</v>
      </c>
      <c r="AI159">
        <v>-1</v>
      </c>
      <c r="AJ159" s="9">
        <f t="shared" si="49"/>
        <v>25</v>
      </c>
      <c r="AK159">
        <f t="shared" si="50"/>
        <v>0</v>
      </c>
      <c r="AL159" s="9">
        <v>0</v>
      </c>
    </row>
    <row r="160" spans="1:38" x14ac:dyDescent="0.35">
      <c r="A160" s="9">
        <v>1</v>
      </c>
      <c r="B160" s="50" t="s">
        <v>32</v>
      </c>
      <c r="C160" s="53">
        <v>43855</v>
      </c>
      <c r="D160" s="53">
        <v>43903</v>
      </c>
      <c r="E160" s="53">
        <v>43994</v>
      </c>
      <c r="F160" s="21">
        <f t="shared" si="51"/>
        <v>91</v>
      </c>
      <c r="G160" s="53">
        <v>43903</v>
      </c>
      <c r="H160" s="9">
        <v>2020</v>
      </c>
      <c r="I160" s="9">
        <v>1</v>
      </c>
      <c r="J160" s="50">
        <v>7</v>
      </c>
      <c r="K160" s="50">
        <v>31</v>
      </c>
      <c r="L160" s="24" t="s">
        <v>1262</v>
      </c>
      <c r="M160" s="24"/>
      <c r="V160" t="s">
        <v>953</v>
      </c>
      <c r="W160" t="s">
        <v>995</v>
      </c>
      <c r="X160" t="s">
        <v>997</v>
      </c>
      <c r="Y160" t="s">
        <v>1000</v>
      </c>
      <c r="Z160">
        <v>1</v>
      </c>
      <c r="AA160">
        <v>-1</v>
      </c>
      <c r="AB160">
        <v>-1</v>
      </c>
      <c r="AC160">
        <v>-1</v>
      </c>
      <c r="AD160">
        <v>-1</v>
      </c>
      <c r="AE160">
        <v>-1</v>
      </c>
      <c r="AF160">
        <v>-1</v>
      </c>
      <c r="AG160">
        <v>-1</v>
      </c>
      <c r="AH160">
        <v>-1</v>
      </c>
      <c r="AI160">
        <v>-1</v>
      </c>
      <c r="AJ160" s="9">
        <f t="shared" si="49"/>
        <v>31</v>
      </c>
      <c r="AK160">
        <f t="shared" si="50"/>
        <v>0</v>
      </c>
      <c r="AL160" s="9">
        <v>0</v>
      </c>
    </row>
    <row r="161" spans="1:38" x14ac:dyDescent="0.35">
      <c r="A161" s="9">
        <v>1</v>
      </c>
      <c r="B161" s="50" t="s">
        <v>32</v>
      </c>
      <c r="C161" s="53">
        <v>43855</v>
      </c>
      <c r="D161" s="53">
        <v>43903</v>
      </c>
      <c r="E161" s="53">
        <v>43994</v>
      </c>
      <c r="F161" s="21">
        <f t="shared" si="51"/>
        <v>91</v>
      </c>
      <c r="G161" s="53">
        <v>43903</v>
      </c>
      <c r="H161" s="9">
        <v>2020</v>
      </c>
      <c r="I161" s="9">
        <v>1</v>
      </c>
      <c r="J161" s="50">
        <v>7</v>
      </c>
      <c r="K161" s="50">
        <v>30</v>
      </c>
      <c r="L161" s="24" t="s">
        <v>1263</v>
      </c>
      <c r="M161" s="24"/>
      <c r="V161" t="s">
        <v>953</v>
      </c>
      <c r="W161" t="s">
        <v>995</v>
      </c>
      <c r="X161" t="s">
        <v>997</v>
      </c>
      <c r="Y161" t="s">
        <v>1000</v>
      </c>
      <c r="Z161">
        <v>1</v>
      </c>
      <c r="AA161">
        <v>-1</v>
      </c>
      <c r="AB161">
        <v>-1</v>
      </c>
      <c r="AC161">
        <v>-1</v>
      </c>
      <c r="AD161">
        <v>-1</v>
      </c>
      <c r="AE161">
        <v>-1</v>
      </c>
      <c r="AF161">
        <v>-1</v>
      </c>
      <c r="AG161">
        <v>-1</v>
      </c>
      <c r="AH161">
        <v>-1</v>
      </c>
      <c r="AI161">
        <v>-1</v>
      </c>
      <c r="AJ161" s="9">
        <f t="shared" si="49"/>
        <v>30</v>
      </c>
      <c r="AK161">
        <f t="shared" si="50"/>
        <v>0</v>
      </c>
      <c r="AL161" s="9">
        <v>1</v>
      </c>
    </row>
    <row r="162" spans="1:38" s="52" customFormat="1" x14ac:dyDescent="0.35">
      <c r="A162" s="9">
        <v>1</v>
      </c>
      <c r="B162" s="50" t="s">
        <v>32</v>
      </c>
      <c r="C162" s="53">
        <v>43855</v>
      </c>
      <c r="D162" s="53">
        <v>43903</v>
      </c>
      <c r="E162" s="53">
        <v>43994</v>
      </c>
      <c r="F162" s="21">
        <f t="shared" si="51"/>
        <v>91</v>
      </c>
      <c r="G162" s="53">
        <v>43903</v>
      </c>
      <c r="H162" s="9">
        <v>2021</v>
      </c>
      <c r="I162" s="9">
        <v>1</v>
      </c>
      <c r="J162" s="50">
        <v>6</v>
      </c>
      <c r="K162" s="50">
        <v>29</v>
      </c>
      <c r="L162" s="51" t="s">
        <v>1763</v>
      </c>
      <c r="M162" s="51"/>
      <c r="V162" t="s">
        <v>953</v>
      </c>
      <c r="AA162" s="52">
        <v>1</v>
      </c>
      <c r="AB162">
        <v>-1</v>
      </c>
      <c r="AC162" s="52">
        <v>-1</v>
      </c>
      <c r="AD162" s="52">
        <v>-1</v>
      </c>
      <c r="AE162" s="52">
        <v>0</v>
      </c>
      <c r="AF162" s="52">
        <v>1</v>
      </c>
      <c r="AG162" s="52">
        <v>1</v>
      </c>
      <c r="AH162" s="52">
        <v>1</v>
      </c>
      <c r="AI162" s="52">
        <v>1</v>
      </c>
      <c r="AJ162" s="52">
        <f t="shared" si="49"/>
        <v>29</v>
      </c>
    </row>
    <row r="163" spans="1:38" s="52" customFormat="1" x14ac:dyDescent="0.35">
      <c r="A163" s="9">
        <v>1</v>
      </c>
      <c r="B163" s="50" t="s">
        <v>32</v>
      </c>
      <c r="C163" s="53">
        <v>43856</v>
      </c>
      <c r="D163" s="53">
        <v>43903</v>
      </c>
      <c r="E163" s="53">
        <v>43994</v>
      </c>
      <c r="F163" s="21">
        <f t="shared" si="51"/>
        <v>91</v>
      </c>
      <c r="G163" s="53">
        <v>43903</v>
      </c>
      <c r="H163" s="9">
        <v>2021</v>
      </c>
      <c r="I163" s="9">
        <v>1</v>
      </c>
      <c r="J163" s="50">
        <v>6</v>
      </c>
      <c r="K163" s="50">
        <v>28</v>
      </c>
      <c r="L163" s="51" t="s">
        <v>1762</v>
      </c>
      <c r="M163" s="51"/>
      <c r="V163" t="s">
        <v>953</v>
      </c>
      <c r="AA163" s="52">
        <v>1</v>
      </c>
      <c r="AB163">
        <v>-1</v>
      </c>
      <c r="AC163" s="52">
        <v>-1</v>
      </c>
      <c r="AD163" s="52">
        <v>-1</v>
      </c>
      <c r="AE163" s="52">
        <v>1</v>
      </c>
      <c r="AF163" s="52">
        <v>1</v>
      </c>
      <c r="AG163" s="52">
        <v>1</v>
      </c>
      <c r="AH163" s="52">
        <v>-1</v>
      </c>
      <c r="AI163" s="52">
        <v>-1</v>
      </c>
      <c r="AJ163" s="52">
        <f t="shared" si="49"/>
        <v>28</v>
      </c>
    </row>
    <row r="164" spans="1:38" s="52" customFormat="1" x14ac:dyDescent="0.35">
      <c r="A164" s="9">
        <v>1</v>
      </c>
      <c r="B164" s="50" t="s">
        <v>32</v>
      </c>
      <c r="C164" s="53">
        <v>43855</v>
      </c>
      <c r="D164" s="53">
        <v>43903</v>
      </c>
      <c r="E164" s="53">
        <v>43994</v>
      </c>
      <c r="F164" s="21">
        <f t="shared" si="51"/>
        <v>91</v>
      </c>
      <c r="G164" s="53">
        <v>43903</v>
      </c>
      <c r="H164" s="9">
        <v>2021</v>
      </c>
      <c r="I164" s="9">
        <v>1</v>
      </c>
      <c r="J164" s="50">
        <v>6</v>
      </c>
      <c r="K164" s="50">
        <v>28</v>
      </c>
      <c r="L164" s="51" t="s">
        <v>1764</v>
      </c>
      <c r="M164" s="51"/>
      <c r="V164" t="s">
        <v>953</v>
      </c>
      <c r="AA164" s="52">
        <v>1</v>
      </c>
      <c r="AB164">
        <v>-1</v>
      </c>
      <c r="AC164" s="52">
        <v>-1</v>
      </c>
      <c r="AD164" s="52">
        <v>-1</v>
      </c>
      <c r="AE164" s="52">
        <v>1</v>
      </c>
      <c r="AF164" s="52">
        <v>1</v>
      </c>
      <c r="AG164" s="52">
        <v>1</v>
      </c>
      <c r="AH164" s="52">
        <v>-1</v>
      </c>
      <c r="AI164" s="52">
        <v>1</v>
      </c>
      <c r="AJ164" s="52">
        <f t="shared" si="49"/>
        <v>28</v>
      </c>
    </row>
    <row r="165" spans="1:38" s="52" customFormat="1" x14ac:dyDescent="0.35">
      <c r="A165" s="9">
        <v>1</v>
      </c>
      <c r="B165" s="50" t="s">
        <v>32</v>
      </c>
      <c r="C165" s="53">
        <v>43856</v>
      </c>
      <c r="D165" s="53">
        <v>43904</v>
      </c>
      <c r="E165" s="53">
        <v>43995</v>
      </c>
      <c r="F165" s="21">
        <f t="shared" si="51"/>
        <v>91</v>
      </c>
      <c r="G165" s="53">
        <v>43903</v>
      </c>
      <c r="H165" s="9">
        <v>2021</v>
      </c>
      <c r="I165" s="9">
        <v>1</v>
      </c>
      <c r="J165" s="50">
        <v>6</v>
      </c>
      <c r="K165" s="50">
        <v>29</v>
      </c>
      <c r="L165" s="51" t="s">
        <v>1765</v>
      </c>
      <c r="M165" s="51"/>
      <c r="V165" t="s">
        <v>953</v>
      </c>
      <c r="AA165" s="52">
        <v>1</v>
      </c>
      <c r="AB165">
        <v>-1</v>
      </c>
      <c r="AC165" s="52">
        <v>0</v>
      </c>
      <c r="AD165" s="52">
        <v>-1</v>
      </c>
      <c r="AE165" s="52">
        <v>1</v>
      </c>
      <c r="AF165" s="52">
        <v>1</v>
      </c>
      <c r="AG165" s="52">
        <v>1</v>
      </c>
      <c r="AH165" s="52">
        <v>-1</v>
      </c>
      <c r="AI165" s="52">
        <v>-1</v>
      </c>
      <c r="AJ165" s="52">
        <f t="shared" si="49"/>
        <v>29</v>
      </c>
    </row>
    <row r="166" spans="1:38" s="52" customFormat="1" x14ac:dyDescent="0.35">
      <c r="A166" s="9">
        <v>1</v>
      </c>
      <c r="B166" s="50" t="s">
        <v>32</v>
      </c>
      <c r="C166" s="53">
        <v>43857</v>
      </c>
      <c r="D166" s="53">
        <v>43905</v>
      </c>
      <c r="E166" s="53">
        <v>43996</v>
      </c>
      <c r="F166" s="21">
        <f t="shared" si="51"/>
        <v>91</v>
      </c>
      <c r="G166" s="53">
        <v>43903</v>
      </c>
      <c r="H166" s="9">
        <v>2021</v>
      </c>
      <c r="I166" s="9">
        <v>1</v>
      </c>
      <c r="J166" s="50">
        <v>7</v>
      </c>
      <c r="K166" s="50">
        <v>32</v>
      </c>
      <c r="L166" s="51" t="s">
        <v>1766</v>
      </c>
      <c r="M166" s="51"/>
      <c r="V166" t="s">
        <v>953</v>
      </c>
      <c r="AA166" s="52">
        <v>1</v>
      </c>
      <c r="AB166">
        <v>-1</v>
      </c>
      <c r="AC166" s="52">
        <v>-1</v>
      </c>
      <c r="AD166" s="52">
        <v>-1</v>
      </c>
      <c r="AE166" s="52">
        <v>1</v>
      </c>
      <c r="AF166" s="52">
        <v>1</v>
      </c>
      <c r="AG166" s="52">
        <v>1</v>
      </c>
      <c r="AH166" s="52">
        <v>-1</v>
      </c>
      <c r="AI166" s="52">
        <v>0</v>
      </c>
      <c r="AJ166" s="52">
        <f t="shared" si="49"/>
        <v>32</v>
      </c>
    </row>
    <row r="167" spans="1:38" s="52" customFormat="1" x14ac:dyDescent="0.35">
      <c r="A167" s="9">
        <v>1</v>
      </c>
      <c r="B167" s="50" t="s">
        <v>32</v>
      </c>
      <c r="C167" s="53">
        <v>43858</v>
      </c>
      <c r="D167" s="53">
        <v>43906</v>
      </c>
      <c r="E167" s="53">
        <v>43997</v>
      </c>
      <c r="F167" s="21">
        <f t="shared" si="51"/>
        <v>91</v>
      </c>
      <c r="G167" s="53">
        <v>43903</v>
      </c>
      <c r="H167" s="9">
        <v>2021</v>
      </c>
      <c r="I167" s="9">
        <v>1</v>
      </c>
      <c r="J167" s="50">
        <v>4</v>
      </c>
      <c r="K167" s="50" t="s">
        <v>201</v>
      </c>
      <c r="L167" s="51" t="s">
        <v>1767</v>
      </c>
      <c r="M167" s="51"/>
      <c r="V167" t="s">
        <v>953</v>
      </c>
      <c r="AA167" s="52">
        <v>1</v>
      </c>
      <c r="AB167">
        <v>-1</v>
      </c>
      <c r="AC167" s="52">
        <v>-1</v>
      </c>
      <c r="AD167" s="52">
        <v>-1</v>
      </c>
      <c r="AE167" s="52">
        <v>1</v>
      </c>
      <c r="AF167" s="52">
        <v>1</v>
      </c>
      <c r="AG167" s="52">
        <v>1</v>
      </c>
      <c r="AH167" s="52">
        <v>-1</v>
      </c>
      <c r="AI167" s="52">
        <v>1</v>
      </c>
    </row>
    <row r="168" spans="1:38" s="52" customFormat="1" x14ac:dyDescent="0.35">
      <c r="A168" s="9">
        <v>1</v>
      </c>
      <c r="B168" s="50" t="s">
        <v>32</v>
      </c>
      <c r="C168" s="53">
        <v>43858</v>
      </c>
      <c r="D168" s="53">
        <v>43906</v>
      </c>
      <c r="E168" s="53">
        <v>43997</v>
      </c>
      <c r="F168" s="21">
        <f t="shared" ref="F168:F172" si="52">DATEDIF(D168,E168,"D")</f>
        <v>91</v>
      </c>
      <c r="G168" s="53">
        <v>43903</v>
      </c>
      <c r="H168" s="9">
        <v>2021</v>
      </c>
      <c r="I168" s="9">
        <v>1</v>
      </c>
      <c r="J168" s="50">
        <v>6</v>
      </c>
      <c r="K168" s="50">
        <v>29</v>
      </c>
      <c r="L168" s="51" t="s">
        <v>1832</v>
      </c>
      <c r="M168" s="51"/>
      <c r="V168"/>
      <c r="AB168"/>
    </row>
    <row r="169" spans="1:38" s="52" customFormat="1" x14ac:dyDescent="0.35">
      <c r="A169" s="9">
        <v>1</v>
      </c>
      <c r="B169" s="50" t="s">
        <v>32</v>
      </c>
      <c r="C169" s="53">
        <v>43858</v>
      </c>
      <c r="D169" s="53">
        <v>43906</v>
      </c>
      <c r="E169" s="53">
        <v>43997</v>
      </c>
      <c r="F169" s="21">
        <f t="shared" si="52"/>
        <v>91</v>
      </c>
      <c r="G169" s="53">
        <v>43903</v>
      </c>
      <c r="H169" s="9">
        <v>2021</v>
      </c>
      <c r="I169" s="9">
        <v>1</v>
      </c>
      <c r="J169" s="50">
        <v>9</v>
      </c>
      <c r="K169" s="50">
        <v>34</v>
      </c>
      <c r="L169" s="51" t="s">
        <v>1833</v>
      </c>
      <c r="M169" s="51"/>
      <c r="V169"/>
      <c r="AB169"/>
    </row>
    <row r="170" spans="1:38" s="52" customFormat="1" x14ac:dyDescent="0.35">
      <c r="A170" s="9">
        <v>1</v>
      </c>
      <c r="B170" s="50" t="s">
        <v>32</v>
      </c>
      <c r="C170" s="53">
        <v>43858</v>
      </c>
      <c r="D170" s="53">
        <v>43906</v>
      </c>
      <c r="E170" s="53">
        <v>43997</v>
      </c>
      <c r="F170" s="21">
        <f t="shared" si="52"/>
        <v>91</v>
      </c>
      <c r="G170" s="53">
        <v>43903</v>
      </c>
      <c r="H170" s="9">
        <v>2021</v>
      </c>
      <c r="I170" s="9">
        <v>1</v>
      </c>
      <c r="J170" s="50">
        <v>9</v>
      </c>
      <c r="K170" s="50">
        <v>34</v>
      </c>
      <c r="L170" s="51" t="s">
        <v>1834</v>
      </c>
      <c r="M170" s="51"/>
      <c r="V170"/>
      <c r="AB170"/>
    </row>
    <row r="171" spans="1:38" s="52" customFormat="1" x14ac:dyDescent="0.35">
      <c r="A171" s="9">
        <v>1</v>
      </c>
      <c r="B171" s="50" t="s">
        <v>32</v>
      </c>
      <c r="C171" s="53">
        <v>43858</v>
      </c>
      <c r="D171" s="53">
        <v>43906</v>
      </c>
      <c r="E171" s="53">
        <v>43997</v>
      </c>
      <c r="F171" s="21">
        <f t="shared" si="52"/>
        <v>91</v>
      </c>
      <c r="G171" s="53">
        <v>43903</v>
      </c>
      <c r="H171" s="9">
        <v>2021</v>
      </c>
      <c r="I171" s="9">
        <v>1</v>
      </c>
      <c r="J171" s="50">
        <v>9</v>
      </c>
      <c r="K171" s="50">
        <v>34</v>
      </c>
      <c r="L171" s="51" t="s">
        <v>1835</v>
      </c>
      <c r="M171" s="51"/>
      <c r="V171"/>
      <c r="AB171"/>
    </row>
    <row r="172" spans="1:38" s="52" customFormat="1" x14ac:dyDescent="0.35">
      <c r="A172" s="9">
        <v>1</v>
      </c>
      <c r="B172" s="50" t="s">
        <v>32</v>
      </c>
      <c r="C172" s="53">
        <v>43858</v>
      </c>
      <c r="D172" s="53">
        <v>43906</v>
      </c>
      <c r="E172" s="53">
        <v>43997</v>
      </c>
      <c r="F172" s="21">
        <f t="shared" si="52"/>
        <v>91</v>
      </c>
      <c r="G172" s="53">
        <v>43903</v>
      </c>
      <c r="H172" s="9">
        <v>2021</v>
      </c>
      <c r="I172" s="9">
        <v>1</v>
      </c>
      <c r="J172" s="50">
        <v>6</v>
      </c>
      <c r="K172" s="50">
        <v>25</v>
      </c>
      <c r="L172" s="51" t="s">
        <v>1836</v>
      </c>
      <c r="M172" s="51"/>
      <c r="V172"/>
      <c r="AB172"/>
    </row>
    <row r="173" spans="1:38" x14ac:dyDescent="0.35">
      <c r="A173" s="9">
        <v>1</v>
      </c>
      <c r="B173" s="9" t="s">
        <v>34</v>
      </c>
      <c r="C173" s="53">
        <v>43893</v>
      </c>
      <c r="D173" s="53">
        <v>43906</v>
      </c>
      <c r="E173" s="53">
        <v>44060</v>
      </c>
      <c r="F173" s="21">
        <f t="shared" si="51"/>
        <v>154</v>
      </c>
      <c r="G173" s="53">
        <v>43909</v>
      </c>
      <c r="H173" s="9">
        <v>2020</v>
      </c>
      <c r="I173" s="9">
        <v>1</v>
      </c>
      <c r="J173" s="9">
        <v>6</v>
      </c>
      <c r="K173" s="9">
        <v>29</v>
      </c>
      <c r="L173" s="50" t="s">
        <v>334</v>
      </c>
      <c r="M173">
        <v>1</v>
      </c>
      <c r="N173">
        <v>1</v>
      </c>
      <c r="O173">
        <v>2</v>
      </c>
      <c r="P173">
        <v>-1</v>
      </c>
      <c r="Q173">
        <v>-1</v>
      </c>
      <c r="R173">
        <v>1</v>
      </c>
      <c r="S173">
        <v>-1</v>
      </c>
      <c r="T173">
        <v>2</v>
      </c>
      <c r="U173">
        <v>1</v>
      </c>
      <c r="V173" t="s">
        <v>955</v>
      </c>
      <c r="W173" t="s">
        <v>990</v>
      </c>
      <c r="X173" t="s">
        <v>998</v>
      </c>
      <c r="Y173" t="s">
        <v>1000</v>
      </c>
      <c r="Z173">
        <v>1</v>
      </c>
      <c r="AA173">
        <f t="shared" ref="AA173:AA189" si="53">IF(M173&gt;0,1,IF(M173&lt;0,0,-1))</f>
        <v>1</v>
      </c>
      <c r="AB173">
        <f t="shared" ref="AB173:AB189" si="54">IF(N173&gt;0,1,IF(N173&lt;0,0,-1))</f>
        <v>1</v>
      </c>
      <c r="AC173">
        <f t="shared" ref="AC173:AC189" si="55">IF(O173&gt;0,1,IF(O173&lt;0,0,-1))</f>
        <v>1</v>
      </c>
      <c r="AD173">
        <f t="shared" ref="AD173:AD189" si="56">IF(P173&gt;0,1,IF(P173&lt;0,0,-1))</f>
        <v>0</v>
      </c>
      <c r="AE173">
        <f t="shared" ref="AE173:AE189" si="57">IF(Q173&gt;0,1,IF(Q173&lt;0,0,-1))</f>
        <v>0</v>
      </c>
      <c r="AF173">
        <f t="shared" ref="AF173:AF189" si="58">IF(R173&gt;0,1,IF(R173&lt;0,0,-1))</f>
        <v>1</v>
      </c>
      <c r="AG173">
        <f t="shared" ref="AG173:AG189" si="59">IF(S173&gt;0,1,IF(S173&lt;0,0,-1))</f>
        <v>0</v>
      </c>
      <c r="AH173">
        <f t="shared" ref="AH173:AH189" si="60">IF(T173&gt;0,1,IF(T173&lt;0,0,-1))</f>
        <v>1</v>
      </c>
      <c r="AI173">
        <f t="shared" ref="AI173:AI189" si="61">IF(U173&gt;0,1,IF(U173&lt;0,0,-1))</f>
        <v>1</v>
      </c>
      <c r="AJ173" s="9">
        <f t="shared" ref="AJ173:AJ208" si="62">IF(ISNUMBER(K173),K173,IF(OR(K173="general",K173="23;general"),"General",IF(OR(K173="exemption",K173="other (exemption)"),"Tax exemption/waiver/suspension","Other")))</f>
        <v>29</v>
      </c>
      <c r="AK173" t="e">
        <f>IF(B173&lt;&gt;#REF!,1,0)</f>
        <v>#REF!</v>
      </c>
      <c r="AL173" s="9">
        <v>1</v>
      </c>
    </row>
    <row r="174" spans="1:38" x14ac:dyDescent="0.35">
      <c r="A174" s="9">
        <v>1</v>
      </c>
      <c r="B174" s="9" t="s">
        <v>34</v>
      </c>
      <c r="C174" s="53">
        <v>43893</v>
      </c>
      <c r="D174" s="53">
        <v>43906</v>
      </c>
      <c r="E174" s="53">
        <v>44060</v>
      </c>
      <c r="F174" s="21">
        <f t="shared" si="51"/>
        <v>154</v>
      </c>
      <c r="G174" s="53">
        <v>43909</v>
      </c>
      <c r="H174" s="9">
        <v>2020</v>
      </c>
      <c r="I174" s="9">
        <v>1</v>
      </c>
      <c r="J174" s="9">
        <v>1</v>
      </c>
      <c r="K174" s="9">
        <v>10</v>
      </c>
      <c r="L174" s="50" t="s">
        <v>326</v>
      </c>
      <c r="M174">
        <v>-2</v>
      </c>
      <c r="N174">
        <v>2</v>
      </c>
      <c r="O174">
        <v>2</v>
      </c>
      <c r="P174">
        <v>2</v>
      </c>
      <c r="Q174">
        <v>2</v>
      </c>
      <c r="R174">
        <v>2</v>
      </c>
      <c r="S174">
        <v>1</v>
      </c>
      <c r="T174">
        <v>2</v>
      </c>
      <c r="U174">
        <v>1</v>
      </c>
      <c r="V174" t="s">
        <v>955</v>
      </c>
      <c r="W174" t="s">
        <v>990</v>
      </c>
      <c r="X174" t="s">
        <v>998</v>
      </c>
      <c r="Y174" t="s">
        <v>1000</v>
      </c>
      <c r="Z174">
        <v>1</v>
      </c>
      <c r="AA174">
        <f t="shared" si="53"/>
        <v>0</v>
      </c>
      <c r="AB174">
        <f t="shared" si="54"/>
        <v>1</v>
      </c>
      <c r="AC174">
        <f t="shared" si="55"/>
        <v>1</v>
      </c>
      <c r="AD174">
        <f t="shared" si="56"/>
        <v>1</v>
      </c>
      <c r="AE174">
        <f t="shared" si="57"/>
        <v>1</v>
      </c>
      <c r="AF174">
        <f t="shared" si="58"/>
        <v>1</v>
      </c>
      <c r="AG174">
        <f t="shared" si="59"/>
        <v>1</v>
      </c>
      <c r="AH174">
        <f t="shared" si="60"/>
        <v>1</v>
      </c>
      <c r="AI174">
        <f t="shared" si="61"/>
        <v>1</v>
      </c>
      <c r="AJ174" s="9">
        <f t="shared" si="62"/>
        <v>10</v>
      </c>
      <c r="AK174">
        <f t="shared" ref="AK174:AK214" si="63">IF(B174&lt;&gt;B173,1,0)</f>
        <v>0</v>
      </c>
      <c r="AL174" s="9">
        <v>1</v>
      </c>
    </row>
    <row r="175" spans="1:38" x14ac:dyDescent="0.35">
      <c r="A175" s="9">
        <v>1</v>
      </c>
      <c r="B175" s="9" t="s">
        <v>34</v>
      </c>
      <c r="C175" s="53">
        <v>43893</v>
      </c>
      <c r="D175" s="53">
        <v>43906</v>
      </c>
      <c r="E175" s="53">
        <v>44060</v>
      </c>
      <c r="F175" s="21">
        <f t="shared" si="51"/>
        <v>154</v>
      </c>
      <c r="G175" s="53">
        <v>43909</v>
      </c>
      <c r="H175" s="9">
        <v>2020</v>
      </c>
      <c r="I175" s="9">
        <v>1</v>
      </c>
      <c r="J175" s="9">
        <v>2</v>
      </c>
      <c r="K175" s="9">
        <v>14</v>
      </c>
      <c r="L175" s="50" t="s">
        <v>329</v>
      </c>
      <c r="M175">
        <v>2</v>
      </c>
      <c r="N175">
        <v>2</v>
      </c>
      <c r="O175">
        <v>-2</v>
      </c>
      <c r="P175">
        <v>2</v>
      </c>
      <c r="Q175">
        <v>2</v>
      </c>
      <c r="R175">
        <v>-2</v>
      </c>
      <c r="S175">
        <v>2</v>
      </c>
      <c r="U175">
        <v>1</v>
      </c>
      <c r="V175" t="s">
        <v>955</v>
      </c>
      <c r="W175" t="s">
        <v>990</v>
      </c>
      <c r="X175" t="s">
        <v>998</v>
      </c>
      <c r="Y175" t="s">
        <v>1000</v>
      </c>
      <c r="Z175">
        <v>1</v>
      </c>
      <c r="AA175">
        <f t="shared" si="53"/>
        <v>1</v>
      </c>
      <c r="AB175">
        <f t="shared" si="54"/>
        <v>1</v>
      </c>
      <c r="AC175">
        <f t="shared" si="55"/>
        <v>0</v>
      </c>
      <c r="AD175">
        <f t="shared" si="56"/>
        <v>1</v>
      </c>
      <c r="AE175">
        <f t="shared" si="57"/>
        <v>1</v>
      </c>
      <c r="AF175">
        <f t="shared" si="58"/>
        <v>0</v>
      </c>
      <c r="AG175">
        <f t="shared" si="59"/>
        <v>1</v>
      </c>
      <c r="AH175">
        <f t="shared" si="60"/>
        <v>-1</v>
      </c>
      <c r="AI175">
        <f t="shared" si="61"/>
        <v>1</v>
      </c>
      <c r="AJ175" s="9">
        <f t="shared" si="62"/>
        <v>14</v>
      </c>
      <c r="AK175">
        <f t="shared" si="63"/>
        <v>0</v>
      </c>
      <c r="AL175" s="9">
        <v>1</v>
      </c>
    </row>
    <row r="176" spans="1:38" x14ac:dyDescent="0.35">
      <c r="A176" s="9">
        <v>1</v>
      </c>
      <c r="B176" s="9" t="s">
        <v>34</v>
      </c>
      <c r="C176" s="53">
        <v>43893</v>
      </c>
      <c r="D176" s="53">
        <v>43906</v>
      </c>
      <c r="E176" s="53">
        <v>44060</v>
      </c>
      <c r="F176" s="21">
        <f t="shared" si="51"/>
        <v>154</v>
      </c>
      <c r="G176" s="53">
        <v>43909</v>
      </c>
      <c r="H176" s="9">
        <v>2020</v>
      </c>
      <c r="I176" s="9">
        <v>1</v>
      </c>
      <c r="J176" s="9">
        <v>1</v>
      </c>
      <c r="K176" s="9">
        <v>3</v>
      </c>
      <c r="L176" s="50" t="s">
        <v>328</v>
      </c>
      <c r="M176">
        <v>2</v>
      </c>
      <c r="N176">
        <v>2</v>
      </c>
      <c r="O176">
        <v>-2</v>
      </c>
      <c r="P176">
        <v>-1</v>
      </c>
      <c r="Q176">
        <v>-2</v>
      </c>
      <c r="R176">
        <v>2</v>
      </c>
      <c r="S176">
        <v>-2</v>
      </c>
      <c r="T176">
        <v>-2</v>
      </c>
      <c r="U176">
        <v>1</v>
      </c>
      <c r="V176" t="s">
        <v>955</v>
      </c>
      <c r="W176" t="s">
        <v>990</v>
      </c>
      <c r="X176" t="s">
        <v>998</v>
      </c>
      <c r="Y176" t="s">
        <v>1000</v>
      </c>
      <c r="Z176">
        <v>1</v>
      </c>
      <c r="AA176">
        <f t="shared" si="53"/>
        <v>1</v>
      </c>
      <c r="AB176">
        <f t="shared" si="54"/>
        <v>1</v>
      </c>
      <c r="AC176">
        <f t="shared" si="55"/>
        <v>0</v>
      </c>
      <c r="AD176">
        <f t="shared" si="56"/>
        <v>0</v>
      </c>
      <c r="AE176">
        <f t="shared" si="57"/>
        <v>0</v>
      </c>
      <c r="AF176">
        <f t="shared" si="58"/>
        <v>1</v>
      </c>
      <c r="AG176">
        <f t="shared" si="59"/>
        <v>0</v>
      </c>
      <c r="AH176">
        <f t="shared" si="60"/>
        <v>0</v>
      </c>
      <c r="AI176">
        <f t="shared" si="61"/>
        <v>1</v>
      </c>
      <c r="AJ176" s="9">
        <f t="shared" si="62"/>
        <v>3</v>
      </c>
      <c r="AK176">
        <f t="shared" si="63"/>
        <v>0</v>
      </c>
      <c r="AL176" s="9">
        <v>1</v>
      </c>
    </row>
    <row r="177" spans="1:38" x14ac:dyDescent="0.35">
      <c r="A177" s="9">
        <v>1</v>
      </c>
      <c r="B177" s="9" t="s">
        <v>34</v>
      </c>
      <c r="C177" s="53">
        <v>43893</v>
      </c>
      <c r="D177" s="53">
        <v>43906</v>
      </c>
      <c r="E177" s="53">
        <v>44060</v>
      </c>
      <c r="F177" s="21">
        <f t="shared" si="51"/>
        <v>154</v>
      </c>
      <c r="G177" s="53">
        <v>43909</v>
      </c>
      <c r="H177" s="9">
        <v>2020</v>
      </c>
      <c r="I177" s="9">
        <v>1</v>
      </c>
      <c r="J177" s="9">
        <v>6</v>
      </c>
      <c r="K177" s="9">
        <v>29</v>
      </c>
      <c r="L177" s="50" t="s">
        <v>292</v>
      </c>
      <c r="M177">
        <v>1</v>
      </c>
      <c r="N177">
        <v>1</v>
      </c>
      <c r="O177">
        <v>-2</v>
      </c>
      <c r="P177">
        <v>-1</v>
      </c>
      <c r="Q177">
        <v>2</v>
      </c>
      <c r="R177">
        <v>1</v>
      </c>
      <c r="S177">
        <v>-1</v>
      </c>
      <c r="T177">
        <v>1</v>
      </c>
      <c r="U177">
        <v>1</v>
      </c>
      <c r="V177" t="s">
        <v>955</v>
      </c>
      <c r="W177" t="s">
        <v>990</v>
      </c>
      <c r="X177" t="s">
        <v>998</v>
      </c>
      <c r="Y177" t="s">
        <v>1000</v>
      </c>
      <c r="Z177">
        <v>1</v>
      </c>
      <c r="AA177">
        <f t="shared" si="53"/>
        <v>1</v>
      </c>
      <c r="AB177">
        <f t="shared" si="54"/>
        <v>1</v>
      </c>
      <c r="AC177">
        <f t="shared" si="55"/>
        <v>0</v>
      </c>
      <c r="AD177">
        <f t="shared" si="56"/>
        <v>0</v>
      </c>
      <c r="AE177">
        <f t="shared" si="57"/>
        <v>1</v>
      </c>
      <c r="AF177">
        <f t="shared" si="58"/>
        <v>1</v>
      </c>
      <c r="AG177">
        <f t="shared" si="59"/>
        <v>0</v>
      </c>
      <c r="AH177">
        <f t="shared" si="60"/>
        <v>1</v>
      </c>
      <c r="AI177">
        <f t="shared" si="61"/>
        <v>1</v>
      </c>
      <c r="AJ177" s="9">
        <f t="shared" si="62"/>
        <v>29</v>
      </c>
      <c r="AK177">
        <f t="shared" si="63"/>
        <v>0</v>
      </c>
      <c r="AL177" s="9">
        <v>1</v>
      </c>
    </row>
    <row r="178" spans="1:38" x14ac:dyDescent="0.35">
      <c r="A178" s="9">
        <v>1</v>
      </c>
      <c r="B178" s="9" t="s">
        <v>34</v>
      </c>
      <c r="C178" s="53">
        <v>43893</v>
      </c>
      <c r="D178" s="53">
        <v>43906</v>
      </c>
      <c r="E178" s="53">
        <v>44060</v>
      </c>
      <c r="F178" s="21">
        <f t="shared" si="51"/>
        <v>154</v>
      </c>
      <c r="G178" s="53">
        <v>43909</v>
      </c>
      <c r="H178" s="9">
        <v>2020</v>
      </c>
      <c r="I178" s="9">
        <v>1</v>
      </c>
      <c r="J178" s="9">
        <v>6</v>
      </c>
      <c r="K178" s="9">
        <v>25</v>
      </c>
      <c r="L178" s="50" t="s">
        <v>333</v>
      </c>
      <c r="M178">
        <v>1</v>
      </c>
      <c r="N178">
        <v>1</v>
      </c>
      <c r="O178">
        <v>-2</v>
      </c>
      <c r="P178">
        <v>-1</v>
      </c>
      <c r="Q178">
        <v>1</v>
      </c>
      <c r="R178">
        <v>1</v>
      </c>
      <c r="S178">
        <v>1</v>
      </c>
      <c r="U178">
        <v>1</v>
      </c>
      <c r="V178" t="s">
        <v>955</v>
      </c>
      <c r="W178" t="s">
        <v>990</v>
      </c>
      <c r="X178" t="s">
        <v>998</v>
      </c>
      <c r="Y178" t="s">
        <v>1000</v>
      </c>
      <c r="Z178">
        <v>1</v>
      </c>
      <c r="AA178">
        <f t="shared" si="53"/>
        <v>1</v>
      </c>
      <c r="AB178">
        <f t="shared" si="54"/>
        <v>1</v>
      </c>
      <c r="AC178">
        <f t="shared" si="55"/>
        <v>0</v>
      </c>
      <c r="AD178">
        <f t="shared" si="56"/>
        <v>0</v>
      </c>
      <c r="AE178">
        <f t="shared" si="57"/>
        <v>1</v>
      </c>
      <c r="AF178">
        <f t="shared" si="58"/>
        <v>1</v>
      </c>
      <c r="AG178">
        <f t="shared" si="59"/>
        <v>1</v>
      </c>
      <c r="AH178">
        <f t="shared" si="60"/>
        <v>-1</v>
      </c>
      <c r="AI178">
        <f t="shared" si="61"/>
        <v>1</v>
      </c>
      <c r="AJ178" s="9">
        <f t="shared" si="62"/>
        <v>25</v>
      </c>
      <c r="AK178">
        <f t="shared" si="63"/>
        <v>0</v>
      </c>
      <c r="AL178" s="9">
        <v>1</v>
      </c>
    </row>
    <row r="179" spans="1:38" x14ac:dyDescent="0.35">
      <c r="A179" s="9">
        <v>1</v>
      </c>
      <c r="B179" s="9" t="s">
        <v>34</v>
      </c>
      <c r="C179" s="53">
        <v>43893</v>
      </c>
      <c r="D179" s="53">
        <v>43906</v>
      </c>
      <c r="E179" s="53">
        <v>44060</v>
      </c>
      <c r="F179" s="21">
        <f t="shared" si="51"/>
        <v>154</v>
      </c>
      <c r="G179" s="53">
        <v>43909</v>
      </c>
      <c r="H179" s="9">
        <v>2020</v>
      </c>
      <c r="I179" s="9">
        <v>1</v>
      </c>
      <c r="J179" s="9">
        <v>2</v>
      </c>
      <c r="K179" s="9">
        <v>14</v>
      </c>
      <c r="L179" s="50" t="s">
        <v>336</v>
      </c>
      <c r="M179">
        <v>-2</v>
      </c>
      <c r="N179">
        <v>2</v>
      </c>
      <c r="O179">
        <v>2</v>
      </c>
      <c r="P179">
        <v>2</v>
      </c>
      <c r="Q179">
        <v>2</v>
      </c>
      <c r="R179">
        <v>2</v>
      </c>
      <c r="S179">
        <v>1</v>
      </c>
      <c r="T179">
        <v>2</v>
      </c>
      <c r="U179">
        <v>1</v>
      </c>
      <c r="V179" t="s">
        <v>955</v>
      </c>
      <c r="W179" t="s">
        <v>990</v>
      </c>
      <c r="X179" t="s">
        <v>998</v>
      </c>
      <c r="Y179" t="s">
        <v>1000</v>
      </c>
      <c r="Z179">
        <v>1</v>
      </c>
      <c r="AA179">
        <f t="shared" si="53"/>
        <v>0</v>
      </c>
      <c r="AB179">
        <f t="shared" si="54"/>
        <v>1</v>
      </c>
      <c r="AC179">
        <f t="shared" si="55"/>
        <v>1</v>
      </c>
      <c r="AD179">
        <f t="shared" si="56"/>
        <v>1</v>
      </c>
      <c r="AE179">
        <f t="shared" si="57"/>
        <v>1</v>
      </c>
      <c r="AF179">
        <f t="shared" si="58"/>
        <v>1</v>
      </c>
      <c r="AG179">
        <f t="shared" si="59"/>
        <v>1</v>
      </c>
      <c r="AH179">
        <f t="shared" si="60"/>
        <v>1</v>
      </c>
      <c r="AI179">
        <f t="shared" si="61"/>
        <v>1</v>
      </c>
      <c r="AJ179" s="9">
        <f t="shared" si="62"/>
        <v>14</v>
      </c>
      <c r="AK179">
        <f t="shared" si="63"/>
        <v>0</v>
      </c>
      <c r="AL179" s="9">
        <v>1</v>
      </c>
    </row>
    <row r="180" spans="1:38" x14ac:dyDescent="0.35">
      <c r="A180" s="9">
        <v>1</v>
      </c>
      <c r="B180" s="9" t="s">
        <v>34</v>
      </c>
      <c r="C180" s="53">
        <v>43893</v>
      </c>
      <c r="D180" s="53">
        <v>43906</v>
      </c>
      <c r="E180" s="53">
        <v>44060</v>
      </c>
      <c r="F180" s="21">
        <f t="shared" si="51"/>
        <v>154</v>
      </c>
      <c r="G180" s="53">
        <v>43909</v>
      </c>
      <c r="H180" s="9">
        <v>2020</v>
      </c>
      <c r="I180" s="9">
        <v>1</v>
      </c>
      <c r="J180" s="9">
        <v>6</v>
      </c>
      <c r="K180" s="9">
        <v>29</v>
      </c>
      <c r="L180" s="50" t="s">
        <v>323</v>
      </c>
      <c r="M180">
        <v>1</v>
      </c>
      <c r="N180">
        <v>1</v>
      </c>
      <c r="O180">
        <v>2</v>
      </c>
      <c r="P180">
        <v>-1</v>
      </c>
      <c r="Q180">
        <v>-1</v>
      </c>
      <c r="R180">
        <v>1</v>
      </c>
      <c r="S180">
        <v>-1</v>
      </c>
      <c r="T180">
        <v>-1</v>
      </c>
      <c r="U180">
        <v>1</v>
      </c>
      <c r="V180" t="s">
        <v>955</v>
      </c>
      <c r="W180" t="s">
        <v>990</v>
      </c>
      <c r="X180" t="s">
        <v>998</v>
      </c>
      <c r="Y180" t="s">
        <v>1000</v>
      </c>
      <c r="Z180">
        <v>1</v>
      </c>
      <c r="AA180">
        <f t="shared" si="53"/>
        <v>1</v>
      </c>
      <c r="AB180">
        <f t="shared" si="54"/>
        <v>1</v>
      </c>
      <c r="AC180">
        <f t="shared" si="55"/>
        <v>1</v>
      </c>
      <c r="AD180">
        <f t="shared" si="56"/>
        <v>0</v>
      </c>
      <c r="AE180">
        <f t="shared" si="57"/>
        <v>0</v>
      </c>
      <c r="AF180">
        <f t="shared" si="58"/>
        <v>1</v>
      </c>
      <c r="AG180">
        <f t="shared" si="59"/>
        <v>0</v>
      </c>
      <c r="AH180">
        <f t="shared" si="60"/>
        <v>0</v>
      </c>
      <c r="AI180">
        <f t="shared" si="61"/>
        <v>1</v>
      </c>
      <c r="AJ180" s="9">
        <f t="shared" si="62"/>
        <v>29</v>
      </c>
      <c r="AK180">
        <f t="shared" si="63"/>
        <v>0</v>
      </c>
      <c r="AL180" s="9">
        <v>1</v>
      </c>
    </row>
    <row r="181" spans="1:38" x14ac:dyDescent="0.35">
      <c r="A181" s="9">
        <v>1</v>
      </c>
      <c r="B181" s="9" t="s">
        <v>34</v>
      </c>
      <c r="C181" s="53">
        <v>43893</v>
      </c>
      <c r="D181" s="53">
        <v>43906</v>
      </c>
      <c r="E181" s="53">
        <v>44060</v>
      </c>
      <c r="F181" s="21">
        <f t="shared" si="51"/>
        <v>154</v>
      </c>
      <c r="G181" s="53">
        <v>43909</v>
      </c>
      <c r="H181" s="9">
        <v>2020</v>
      </c>
      <c r="I181" s="9">
        <v>1</v>
      </c>
      <c r="J181" s="9">
        <v>7</v>
      </c>
      <c r="K181" s="9">
        <v>30</v>
      </c>
      <c r="L181" s="50" t="s">
        <v>325</v>
      </c>
      <c r="M181">
        <v>1</v>
      </c>
      <c r="N181">
        <v>1</v>
      </c>
      <c r="O181">
        <v>2</v>
      </c>
      <c r="P181">
        <v>1</v>
      </c>
      <c r="Q181">
        <v>1</v>
      </c>
      <c r="R181">
        <v>1</v>
      </c>
      <c r="S181">
        <v>1</v>
      </c>
      <c r="T181">
        <v>-2</v>
      </c>
      <c r="U181">
        <v>1</v>
      </c>
      <c r="V181" t="s">
        <v>955</v>
      </c>
      <c r="W181" t="s">
        <v>990</v>
      </c>
      <c r="X181" t="s">
        <v>998</v>
      </c>
      <c r="Y181" t="s">
        <v>1000</v>
      </c>
      <c r="Z181">
        <v>1</v>
      </c>
      <c r="AA181">
        <f t="shared" si="53"/>
        <v>1</v>
      </c>
      <c r="AB181">
        <f t="shared" si="54"/>
        <v>1</v>
      </c>
      <c r="AC181">
        <f t="shared" si="55"/>
        <v>1</v>
      </c>
      <c r="AD181">
        <f t="shared" si="56"/>
        <v>1</v>
      </c>
      <c r="AE181">
        <f t="shared" si="57"/>
        <v>1</v>
      </c>
      <c r="AF181">
        <f t="shared" si="58"/>
        <v>1</v>
      </c>
      <c r="AG181">
        <f t="shared" si="59"/>
        <v>1</v>
      </c>
      <c r="AH181">
        <f t="shared" si="60"/>
        <v>0</v>
      </c>
      <c r="AI181">
        <f t="shared" si="61"/>
        <v>1</v>
      </c>
      <c r="AJ181" s="9">
        <f t="shared" si="62"/>
        <v>30</v>
      </c>
      <c r="AK181">
        <f t="shared" si="63"/>
        <v>0</v>
      </c>
      <c r="AL181" s="9">
        <v>1</v>
      </c>
    </row>
    <row r="182" spans="1:38" x14ac:dyDescent="0.35">
      <c r="A182" s="9">
        <v>1</v>
      </c>
      <c r="B182" s="9" t="s">
        <v>34</v>
      </c>
      <c r="C182" s="53">
        <v>43893</v>
      </c>
      <c r="D182" s="53">
        <v>43906</v>
      </c>
      <c r="E182" s="53">
        <v>44060</v>
      </c>
      <c r="F182" s="21">
        <f t="shared" si="51"/>
        <v>154</v>
      </c>
      <c r="G182" s="53">
        <v>43909</v>
      </c>
      <c r="H182" s="9">
        <v>2020</v>
      </c>
      <c r="I182" s="9">
        <v>1</v>
      </c>
      <c r="J182" s="9">
        <v>1</v>
      </c>
      <c r="K182" s="9">
        <v>9</v>
      </c>
      <c r="L182" s="50" t="s">
        <v>331</v>
      </c>
      <c r="M182">
        <v>2</v>
      </c>
      <c r="N182">
        <v>2</v>
      </c>
      <c r="O182">
        <v>2</v>
      </c>
      <c r="P182">
        <v>2</v>
      </c>
      <c r="Q182">
        <v>2</v>
      </c>
      <c r="R182">
        <v>2</v>
      </c>
      <c r="S182">
        <v>-2</v>
      </c>
      <c r="T182">
        <v>2</v>
      </c>
      <c r="U182">
        <v>1</v>
      </c>
      <c r="V182" t="s">
        <v>955</v>
      </c>
      <c r="W182" t="s">
        <v>990</v>
      </c>
      <c r="X182" t="s">
        <v>998</v>
      </c>
      <c r="Y182" t="s">
        <v>1000</v>
      </c>
      <c r="Z182">
        <v>1</v>
      </c>
      <c r="AA182">
        <f t="shared" si="53"/>
        <v>1</v>
      </c>
      <c r="AB182">
        <f t="shared" si="54"/>
        <v>1</v>
      </c>
      <c r="AC182">
        <f t="shared" si="55"/>
        <v>1</v>
      </c>
      <c r="AD182">
        <f t="shared" si="56"/>
        <v>1</v>
      </c>
      <c r="AE182">
        <f t="shared" si="57"/>
        <v>1</v>
      </c>
      <c r="AF182">
        <f t="shared" si="58"/>
        <v>1</v>
      </c>
      <c r="AG182">
        <f t="shared" si="59"/>
        <v>0</v>
      </c>
      <c r="AH182">
        <f t="shared" si="60"/>
        <v>1</v>
      </c>
      <c r="AI182">
        <f t="shared" si="61"/>
        <v>1</v>
      </c>
      <c r="AJ182" s="9">
        <f t="shared" si="62"/>
        <v>9</v>
      </c>
      <c r="AK182">
        <f t="shared" si="63"/>
        <v>0</v>
      </c>
      <c r="AL182" s="9">
        <v>1</v>
      </c>
    </row>
    <row r="183" spans="1:38" x14ac:dyDescent="0.35">
      <c r="A183" s="9">
        <v>1</v>
      </c>
      <c r="B183" s="9" t="s">
        <v>34</v>
      </c>
      <c r="C183" s="53">
        <v>43893</v>
      </c>
      <c r="D183" s="53">
        <v>43906</v>
      </c>
      <c r="E183" s="53">
        <v>44060</v>
      </c>
      <c r="F183" s="21">
        <f t="shared" si="51"/>
        <v>154</v>
      </c>
      <c r="G183" s="53">
        <v>43909</v>
      </c>
      <c r="H183" s="9">
        <v>2020</v>
      </c>
      <c r="I183" s="9">
        <v>1</v>
      </c>
      <c r="J183" s="9">
        <v>1</v>
      </c>
      <c r="K183" s="9">
        <v>6</v>
      </c>
      <c r="L183" s="50" t="s">
        <v>338</v>
      </c>
      <c r="M183">
        <v>2</v>
      </c>
      <c r="N183">
        <v>2</v>
      </c>
      <c r="O183">
        <v>2</v>
      </c>
      <c r="P183">
        <v>2</v>
      </c>
      <c r="Q183">
        <v>2</v>
      </c>
      <c r="R183">
        <v>2</v>
      </c>
      <c r="S183">
        <v>1</v>
      </c>
      <c r="T183">
        <v>2</v>
      </c>
      <c r="U183">
        <v>1</v>
      </c>
      <c r="V183" t="s">
        <v>955</v>
      </c>
      <c r="W183" t="s">
        <v>990</v>
      </c>
      <c r="X183" t="s">
        <v>998</v>
      </c>
      <c r="Y183" t="s">
        <v>1000</v>
      </c>
      <c r="Z183">
        <v>1</v>
      </c>
      <c r="AA183">
        <f t="shared" si="53"/>
        <v>1</v>
      </c>
      <c r="AB183">
        <f t="shared" si="54"/>
        <v>1</v>
      </c>
      <c r="AC183">
        <f t="shared" si="55"/>
        <v>1</v>
      </c>
      <c r="AD183">
        <f t="shared" si="56"/>
        <v>1</v>
      </c>
      <c r="AE183">
        <f t="shared" si="57"/>
        <v>1</v>
      </c>
      <c r="AF183">
        <f t="shared" si="58"/>
        <v>1</v>
      </c>
      <c r="AG183">
        <f t="shared" si="59"/>
        <v>1</v>
      </c>
      <c r="AH183">
        <f t="shared" si="60"/>
        <v>1</v>
      </c>
      <c r="AI183">
        <f t="shared" si="61"/>
        <v>1</v>
      </c>
      <c r="AJ183" s="9">
        <f t="shared" si="62"/>
        <v>6</v>
      </c>
      <c r="AK183">
        <f t="shared" si="63"/>
        <v>0</v>
      </c>
      <c r="AL183" s="9">
        <v>1</v>
      </c>
    </row>
    <row r="184" spans="1:38" x14ac:dyDescent="0.35">
      <c r="A184" s="9">
        <v>1</v>
      </c>
      <c r="B184" s="9" t="s">
        <v>34</v>
      </c>
      <c r="C184" s="53">
        <v>43893</v>
      </c>
      <c r="D184" s="53">
        <v>43906</v>
      </c>
      <c r="E184" s="53">
        <v>44060</v>
      </c>
      <c r="F184" s="21">
        <f t="shared" si="51"/>
        <v>154</v>
      </c>
      <c r="G184" s="53">
        <v>43909</v>
      </c>
      <c r="H184" s="9">
        <v>2020</v>
      </c>
      <c r="I184" s="9">
        <v>1</v>
      </c>
      <c r="J184" s="9">
        <v>4</v>
      </c>
      <c r="K184" s="9">
        <v>20</v>
      </c>
      <c r="L184" s="50" t="s">
        <v>327</v>
      </c>
      <c r="M184">
        <v>-2</v>
      </c>
      <c r="N184">
        <v>2</v>
      </c>
      <c r="O184">
        <v>-2</v>
      </c>
      <c r="P184">
        <v>-1</v>
      </c>
      <c r="Q184">
        <v>-2</v>
      </c>
      <c r="R184">
        <v>2</v>
      </c>
      <c r="S184">
        <v>1</v>
      </c>
      <c r="U184">
        <v>1</v>
      </c>
      <c r="V184" t="s">
        <v>955</v>
      </c>
      <c r="W184" t="s">
        <v>990</v>
      </c>
      <c r="X184" t="s">
        <v>998</v>
      </c>
      <c r="Y184" t="s">
        <v>1000</v>
      </c>
      <c r="Z184">
        <v>1</v>
      </c>
      <c r="AA184">
        <f t="shared" si="53"/>
        <v>0</v>
      </c>
      <c r="AB184">
        <f t="shared" si="54"/>
        <v>1</v>
      </c>
      <c r="AC184">
        <f t="shared" si="55"/>
        <v>0</v>
      </c>
      <c r="AD184">
        <f t="shared" si="56"/>
        <v>0</v>
      </c>
      <c r="AE184">
        <f t="shared" si="57"/>
        <v>0</v>
      </c>
      <c r="AF184">
        <f t="shared" si="58"/>
        <v>1</v>
      </c>
      <c r="AG184">
        <f t="shared" si="59"/>
        <v>1</v>
      </c>
      <c r="AH184">
        <f t="shared" si="60"/>
        <v>-1</v>
      </c>
      <c r="AI184">
        <f t="shared" si="61"/>
        <v>1</v>
      </c>
      <c r="AJ184" s="9">
        <f t="shared" si="62"/>
        <v>20</v>
      </c>
      <c r="AK184">
        <f t="shared" si="63"/>
        <v>0</v>
      </c>
      <c r="AL184" s="9">
        <v>1</v>
      </c>
    </row>
    <row r="185" spans="1:38" x14ac:dyDescent="0.35">
      <c r="A185" s="9">
        <v>1</v>
      </c>
      <c r="B185" s="9" t="s">
        <v>34</v>
      </c>
      <c r="C185" s="53">
        <v>43893</v>
      </c>
      <c r="D185" s="53">
        <v>43906</v>
      </c>
      <c r="E185" s="53">
        <v>44060</v>
      </c>
      <c r="F185" s="21">
        <f t="shared" si="51"/>
        <v>154</v>
      </c>
      <c r="G185" s="53">
        <v>43909</v>
      </c>
      <c r="H185" s="9">
        <v>2020</v>
      </c>
      <c r="I185" s="9">
        <v>1</v>
      </c>
      <c r="J185" s="9">
        <v>1</v>
      </c>
      <c r="K185" s="9">
        <v>6</v>
      </c>
      <c r="L185" s="50" t="s">
        <v>337</v>
      </c>
      <c r="M185">
        <v>2</v>
      </c>
      <c r="N185">
        <v>2</v>
      </c>
      <c r="O185">
        <v>2</v>
      </c>
      <c r="P185">
        <v>2</v>
      </c>
      <c r="Q185">
        <v>2</v>
      </c>
      <c r="R185">
        <v>2</v>
      </c>
      <c r="S185">
        <v>1</v>
      </c>
      <c r="T185">
        <v>2</v>
      </c>
      <c r="U185">
        <v>1</v>
      </c>
      <c r="V185" t="s">
        <v>955</v>
      </c>
      <c r="W185" t="s">
        <v>990</v>
      </c>
      <c r="X185" t="s">
        <v>998</v>
      </c>
      <c r="Y185" t="s">
        <v>1000</v>
      </c>
      <c r="Z185">
        <v>1</v>
      </c>
      <c r="AA185">
        <f t="shared" si="53"/>
        <v>1</v>
      </c>
      <c r="AB185">
        <f t="shared" si="54"/>
        <v>1</v>
      </c>
      <c r="AC185">
        <f t="shared" si="55"/>
        <v>1</v>
      </c>
      <c r="AD185">
        <f t="shared" si="56"/>
        <v>1</v>
      </c>
      <c r="AE185">
        <f t="shared" si="57"/>
        <v>1</v>
      </c>
      <c r="AF185">
        <f t="shared" si="58"/>
        <v>1</v>
      </c>
      <c r="AG185">
        <f t="shared" si="59"/>
        <v>1</v>
      </c>
      <c r="AH185">
        <f t="shared" si="60"/>
        <v>1</v>
      </c>
      <c r="AI185">
        <f t="shared" si="61"/>
        <v>1</v>
      </c>
      <c r="AJ185" s="9">
        <f t="shared" si="62"/>
        <v>6</v>
      </c>
      <c r="AK185">
        <f t="shared" si="63"/>
        <v>0</v>
      </c>
      <c r="AL185" s="9">
        <v>1</v>
      </c>
    </row>
    <row r="186" spans="1:38" x14ac:dyDescent="0.35">
      <c r="A186" s="9">
        <v>1</v>
      </c>
      <c r="B186" s="9" t="s">
        <v>34</v>
      </c>
      <c r="C186" s="53">
        <v>43893</v>
      </c>
      <c r="D186" s="53">
        <v>43906</v>
      </c>
      <c r="E186" s="53">
        <v>44060</v>
      </c>
      <c r="F186" s="21">
        <f t="shared" si="51"/>
        <v>154</v>
      </c>
      <c r="G186" s="53">
        <v>43909</v>
      </c>
      <c r="H186" s="9">
        <v>2020</v>
      </c>
      <c r="I186" s="9">
        <v>1</v>
      </c>
      <c r="J186" s="9">
        <v>1</v>
      </c>
      <c r="K186" s="9">
        <v>9</v>
      </c>
      <c r="L186" s="50" t="s">
        <v>332</v>
      </c>
      <c r="M186">
        <v>-2</v>
      </c>
      <c r="N186">
        <v>2</v>
      </c>
      <c r="O186">
        <v>2</v>
      </c>
      <c r="P186">
        <v>2</v>
      </c>
      <c r="Q186">
        <v>2</v>
      </c>
      <c r="R186">
        <v>2</v>
      </c>
      <c r="S186">
        <v>2</v>
      </c>
      <c r="T186">
        <v>2</v>
      </c>
      <c r="U186">
        <v>1</v>
      </c>
      <c r="V186" t="s">
        <v>955</v>
      </c>
      <c r="W186" t="s">
        <v>990</v>
      </c>
      <c r="X186" t="s">
        <v>998</v>
      </c>
      <c r="Y186" t="s">
        <v>1000</v>
      </c>
      <c r="Z186">
        <v>1</v>
      </c>
      <c r="AA186">
        <f t="shared" si="53"/>
        <v>0</v>
      </c>
      <c r="AB186">
        <f t="shared" si="54"/>
        <v>1</v>
      </c>
      <c r="AC186">
        <f t="shared" si="55"/>
        <v>1</v>
      </c>
      <c r="AD186">
        <f t="shared" si="56"/>
        <v>1</v>
      </c>
      <c r="AE186">
        <f t="shared" si="57"/>
        <v>1</v>
      </c>
      <c r="AF186">
        <f t="shared" si="58"/>
        <v>1</v>
      </c>
      <c r="AG186">
        <f t="shared" si="59"/>
        <v>1</v>
      </c>
      <c r="AH186">
        <f t="shared" si="60"/>
        <v>1</v>
      </c>
      <c r="AI186">
        <f t="shared" si="61"/>
        <v>1</v>
      </c>
      <c r="AJ186" s="9">
        <f t="shared" si="62"/>
        <v>9</v>
      </c>
      <c r="AK186">
        <f t="shared" si="63"/>
        <v>0</v>
      </c>
      <c r="AL186" s="9">
        <v>1</v>
      </c>
    </row>
    <row r="187" spans="1:38" x14ac:dyDescent="0.35">
      <c r="A187" s="9">
        <v>1</v>
      </c>
      <c r="B187" s="9" t="s">
        <v>34</v>
      </c>
      <c r="C187" s="53">
        <v>43893</v>
      </c>
      <c r="D187" s="53">
        <v>43906</v>
      </c>
      <c r="E187" s="53">
        <v>44060</v>
      </c>
      <c r="F187" s="21">
        <f t="shared" si="51"/>
        <v>154</v>
      </c>
      <c r="G187" s="53">
        <v>43909</v>
      </c>
      <c r="H187" s="9">
        <v>2020</v>
      </c>
      <c r="I187" s="9">
        <v>1</v>
      </c>
      <c r="J187" s="9">
        <v>2</v>
      </c>
      <c r="K187" s="9">
        <v>14</v>
      </c>
      <c r="L187" s="50" t="s">
        <v>330</v>
      </c>
      <c r="M187">
        <v>2</v>
      </c>
      <c r="N187">
        <v>2</v>
      </c>
      <c r="O187">
        <v>-2</v>
      </c>
      <c r="P187">
        <v>2</v>
      </c>
      <c r="Q187">
        <v>2</v>
      </c>
      <c r="R187">
        <v>-2</v>
      </c>
      <c r="S187">
        <v>2</v>
      </c>
      <c r="U187">
        <v>1</v>
      </c>
      <c r="V187" t="s">
        <v>955</v>
      </c>
      <c r="W187" t="s">
        <v>990</v>
      </c>
      <c r="X187" t="s">
        <v>998</v>
      </c>
      <c r="Y187" t="s">
        <v>1000</v>
      </c>
      <c r="Z187">
        <v>1</v>
      </c>
      <c r="AA187">
        <f t="shared" si="53"/>
        <v>1</v>
      </c>
      <c r="AB187">
        <f t="shared" si="54"/>
        <v>1</v>
      </c>
      <c r="AC187">
        <f t="shared" si="55"/>
        <v>0</v>
      </c>
      <c r="AD187">
        <f t="shared" si="56"/>
        <v>1</v>
      </c>
      <c r="AE187">
        <f t="shared" si="57"/>
        <v>1</v>
      </c>
      <c r="AF187">
        <f t="shared" si="58"/>
        <v>0</v>
      </c>
      <c r="AG187">
        <f t="shared" si="59"/>
        <v>1</v>
      </c>
      <c r="AH187">
        <f t="shared" si="60"/>
        <v>-1</v>
      </c>
      <c r="AI187">
        <f t="shared" si="61"/>
        <v>1</v>
      </c>
      <c r="AJ187" s="9">
        <f t="shared" si="62"/>
        <v>14</v>
      </c>
      <c r="AK187">
        <f t="shared" si="63"/>
        <v>0</v>
      </c>
      <c r="AL187" s="9">
        <v>1</v>
      </c>
    </row>
    <row r="188" spans="1:38" x14ac:dyDescent="0.35">
      <c r="A188" s="9">
        <v>1</v>
      </c>
      <c r="B188" s="9" t="s">
        <v>34</v>
      </c>
      <c r="C188" s="53">
        <v>43893</v>
      </c>
      <c r="D188" s="53">
        <v>43906</v>
      </c>
      <c r="E188" s="53">
        <v>44060</v>
      </c>
      <c r="F188" s="21">
        <f t="shared" si="51"/>
        <v>154</v>
      </c>
      <c r="G188" s="53">
        <v>43909</v>
      </c>
      <c r="H188" s="9">
        <v>2020</v>
      </c>
      <c r="I188" s="9">
        <v>1</v>
      </c>
      <c r="J188" s="9">
        <v>1</v>
      </c>
      <c r="K188" s="9">
        <v>6</v>
      </c>
      <c r="L188" s="50" t="s">
        <v>324</v>
      </c>
      <c r="M188">
        <v>2</v>
      </c>
      <c r="N188">
        <v>2</v>
      </c>
      <c r="O188">
        <v>2</v>
      </c>
      <c r="P188">
        <v>2</v>
      </c>
      <c r="Q188">
        <v>2</v>
      </c>
      <c r="R188">
        <v>2</v>
      </c>
      <c r="S188">
        <v>1</v>
      </c>
      <c r="T188">
        <v>2</v>
      </c>
      <c r="U188">
        <v>1</v>
      </c>
      <c r="V188" t="s">
        <v>955</v>
      </c>
      <c r="W188" t="s">
        <v>990</v>
      </c>
      <c r="X188" t="s">
        <v>998</v>
      </c>
      <c r="Y188" t="s">
        <v>1000</v>
      </c>
      <c r="Z188">
        <v>1</v>
      </c>
      <c r="AA188">
        <f t="shared" si="53"/>
        <v>1</v>
      </c>
      <c r="AB188">
        <f t="shared" si="54"/>
        <v>1</v>
      </c>
      <c r="AC188">
        <f t="shared" si="55"/>
        <v>1</v>
      </c>
      <c r="AD188">
        <f t="shared" si="56"/>
        <v>1</v>
      </c>
      <c r="AE188">
        <f t="shared" si="57"/>
        <v>1</v>
      </c>
      <c r="AF188">
        <f t="shared" si="58"/>
        <v>1</v>
      </c>
      <c r="AG188">
        <f t="shared" si="59"/>
        <v>1</v>
      </c>
      <c r="AH188">
        <f t="shared" si="60"/>
        <v>1</v>
      </c>
      <c r="AI188">
        <f t="shared" si="61"/>
        <v>1</v>
      </c>
      <c r="AJ188" s="9">
        <f t="shared" si="62"/>
        <v>6</v>
      </c>
      <c r="AK188">
        <f t="shared" si="63"/>
        <v>0</v>
      </c>
      <c r="AL188" s="9">
        <v>1</v>
      </c>
    </row>
    <row r="189" spans="1:38" x14ac:dyDescent="0.35">
      <c r="A189" s="9">
        <v>1</v>
      </c>
      <c r="B189" s="9" t="s">
        <v>34</v>
      </c>
      <c r="C189" s="53">
        <v>43893</v>
      </c>
      <c r="D189" s="53">
        <v>43906</v>
      </c>
      <c r="E189" s="53">
        <v>44060</v>
      </c>
      <c r="F189" s="21">
        <f t="shared" si="51"/>
        <v>154</v>
      </c>
      <c r="G189" s="53">
        <v>43909</v>
      </c>
      <c r="H189" s="9">
        <v>2020</v>
      </c>
      <c r="I189" s="9">
        <v>1</v>
      </c>
      <c r="J189" s="9">
        <v>1</v>
      </c>
      <c r="K189" s="9">
        <v>9</v>
      </c>
      <c r="L189" s="50" t="s">
        <v>335</v>
      </c>
      <c r="M189">
        <v>-2</v>
      </c>
      <c r="N189">
        <v>2</v>
      </c>
      <c r="O189">
        <v>2</v>
      </c>
      <c r="P189">
        <v>2</v>
      </c>
      <c r="Q189">
        <v>2</v>
      </c>
      <c r="R189">
        <v>2</v>
      </c>
      <c r="S189">
        <v>-2</v>
      </c>
      <c r="T189">
        <v>2</v>
      </c>
      <c r="U189">
        <v>1</v>
      </c>
      <c r="V189" t="s">
        <v>955</v>
      </c>
      <c r="W189" t="s">
        <v>990</v>
      </c>
      <c r="X189" t="s">
        <v>998</v>
      </c>
      <c r="Y189" t="s">
        <v>1000</v>
      </c>
      <c r="Z189">
        <v>1</v>
      </c>
      <c r="AA189">
        <f t="shared" si="53"/>
        <v>0</v>
      </c>
      <c r="AB189">
        <f t="shared" si="54"/>
        <v>1</v>
      </c>
      <c r="AC189">
        <f t="shared" si="55"/>
        <v>1</v>
      </c>
      <c r="AD189">
        <f t="shared" si="56"/>
        <v>1</v>
      </c>
      <c r="AE189">
        <f t="shared" si="57"/>
        <v>1</v>
      </c>
      <c r="AF189">
        <f t="shared" si="58"/>
        <v>1</v>
      </c>
      <c r="AG189">
        <f t="shared" si="59"/>
        <v>0</v>
      </c>
      <c r="AH189">
        <f t="shared" si="60"/>
        <v>1</v>
      </c>
      <c r="AI189">
        <f t="shared" si="61"/>
        <v>1</v>
      </c>
      <c r="AJ189" s="9">
        <f t="shared" si="62"/>
        <v>9</v>
      </c>
      <c r="AK189">
        <f t="shared" si="63"/>
        <v>0</v>
      </c>
      <c r="AL189" s="9">
        <v>0</v>
      </c>
    </row>
    <row r="190" spans="1:38" x14ac:dyDescent="0.35">
      <c r="A190" s="9">
        <v>1</v>
      </c>
      <c r="B190" s="50" t="s">
        <v>34</v>
      </c>
      <c r="C190" s="53">
        <v>43893</v>
      </c>
      <c r="D190" s="53">
        <v>43906</v>
      </c>
      <c r="E190" s="53">
        <v>44060</v>
      </c>
      <c r="F190" s="21">
        <f t="shared" si="51"/>
        <v>154</v>
      </c>
      <c r="G190" s="53">
        <v>43909</v>
      </c>
      <c r="H190" s="9">
        <v>2020</v>
      </c>
      <c r="I190" s="9">
        <v>1</v>
      </c>
      <c r="J190" s="50">
        <v>6</v>
      </c>
      <c r="K190" s="50">
        <v>25</v>
      </c>
      <c r="L190" s="24" t="s">
        <v>1264</v>
      </c>
      <c r="M190" s="24"/>
      <c r="V190" t="s">
        <v>955</v>
      </c>
      <c r="W190" t="s">
        <v>990</v>
      </c>
      <c r="X190" t="s">
        <v>998</v>
      </c>
      <c r="Y190" t="s">
        <v>1000</v>
      </c>
      <c r="Z190">
        <v>1</v>
      </c>
      <c r="AA190">
        <v>-1</v>
      </c>
      <c r="AB190">
        <v>-1</v>
      </c>
      <c r="AC190">
        <v>-1</v>
      </c>
      <c r="AD190">
        <v>-1</v>
      </c>
      <c r="AE190">
        <v>-1</v>
      </c>
      <c r="AF190">
        <v>-1</v>
      </c>
      <c r="AG190">
        <v>-1</v>
      </c>
      <c r="AH190">
        <v>-1</v>
      </c>
      <c r="AI190">
        <v>-1</v>
      </c>
      <c r="AJ190" s="9">
        <f t="shared" si="62"/>
        <v>25</v>
      </c>
      <c r="AK190">
        <f t="shared" si="63"/>
        <v>0</v>
      </c>
      <c r="AL190" s="9">
        <v>0</v>
      </c>
    </row>
    <row r="191" spans="1:38" x14ac:dyDescent="0.35">
      <c r="A191" s="9">
        <v>1</v>
      </c>
      <c r="B191" s="50" t="s">
        <v>34</v>
      </c>
      <c r="C191" s="53">
        <v>43893</v>
      </c>
      <c r="D191" s="53">
        <v>43906</v>
      </c>
      <c r="E191" s="53">
        <v>44060</v>
      </c>
      <c r="F191" s="21">
        <f t="shared" si="51"/>
        <v>154</v>
      </c>
      <c r="G191" s="53">
        <v>43909</v>
      </c>
      <c r="H191" s="9">
        <v>2020</v>
      </c>
      <c r="I191" s="9">
        <v>1</v>
      </c>
      <c r="J191" s="50">
        <v>1</v>
      </c>
      <c r="K191" s="50">
        <v>7</v>
      </c>
      <c r="L191" s="24" t="s">
        <v>1265</v>
      </c>
      <c r="M191" s="24"/>
      <c r="V191" t="s">
        <v>955</v>
      </c>
      <c r="W191" t="s">
        <v>990</v>
      </c>
      <c r="X191" t="s">
        <v>998</v>
      </c>
      <c r="Y191" t="s">
        <v>1000</v>
      </c>
      <c r="Z191">
        <v>1</v>
      </c>
      <c r="AA191">
        <v>-1</v>
      </c>
      <c r="AB191">
        <v>-1</v>
      </c>
      <c r="AC191">
        <v>-1</v>
      </c>
      <c r="AD191">
        <v>-1</v>
      </c>
      <c r="AE191">
        <v>-1</v>
      </c>
      <c r="AF191">
        <v>-1</v>
      </c>
      <c r="AG191">
        <v>-1</v>
      </c>
      <c r="AH191">
        <v>-1</v>
      </c>
      <c r="AI191">
        <v>-1</v>
      </c>
      <c r="AJ191" s="9">
        <f t="shared" si="62"/>
        <v>7</v>
      </c>
      <c r="AK191">
        <f t="shared" si="63"/>
        <v>0</v>
      </c>
      <c r="AL191" s="9">
        <v>0</v>
      </c>
    </row>
    <row r="192" spans="1:38" x14ac:dyDescent="0.35">
      <c r="A192" s="9">
        <v>1</v>
      </c>
      <c r="B192" s="50" t="s">
        <v>34</v>
      </c>
      <c r="C192" s="53">
        <v>43893</v>
      </c>
      <c r="D192" s="53">
        <v>43906</v>
      </c>
      <c r="E192" s="53">
        <v>44060</v>
      </c>
      <c r="F192" s="21">
        <f t="shared" si="51"/>
        <v>154</v>
      </c>
      <c r="G192" s="53">
        <v>43909</v>
      </c>
      <c r="H192" s="9">
        <v>2020</v>
      </c>
      <c r="I192" s="9">
        <v>1</v>
      </c>
      <c r="J192" s="50">
        <v>1</v>
      </c>
      <c r="K192" s="50">
        <v>1</v>
      </c>
      <c r="L192" s="24" t="s">
        <v>1266</v>
      </c>
      <c r="M192" s="24"/>
      <c r="V192" t="s">
        <v>955</v>
      </c>
      <c r="W192" t="s">
        <v>990</v>
      </c>
      <c r="X192" t="s">
        <v>998</v>
      </c>
      <c r="Y192" t="s">
        <v>1000</v>
      </c>
      <c r="Z192">
        <v>1</v>
      </c>
      <c r="AA192">
        <v>-1</v>
      </c>
      <c r="AB192">
        <v>-1</v>
      </c>
      <c r="AC192">
        <v>-1</v>
      </c>
      <c r="AD192">
        <v>-1</v>
      </c>
      <c r="AE192">
        <v>-1</v>
      </c>
      <c r="AF192">
        <v>-1</v>
      </c>
      <c r="AG192">
        <v>-1</v>
      </c>
      <c r="AH192">
        <v>-1</v>
      </c>
      <c r="AI192">
        <v>-1</v>
      </c>
      <c r="AJ192" s="9">
        <f t="shared" si="62"/>
        <v>1</v>
      </c>
      <c r="AK192">
        <f t="shared" si="63"/>
        <v>0</v>
      </c>
      <c r="AL192" s="9">
        <v>0</v>
      </c>
    </row>
    <row r="193" spans="1:38" x14ac:dyDescent="0.35">
      <c r="A193" s="9">
        <v>1</v>
      </c>
      <c r="B193" s="50" t="s">
        <v>34</v>
      </c>
      <c r="C193" s="53">
        <v>43893</v>
      </c>
      <c r="D193" s="53">
        <v>43906</v>
      </c>
      <c r="E193" s="53">
        <v>44060</v>
      </c>
      <c r="F193" s="21">
        <f t="shared" si="51"/>
        <v>154</v>
      </c>
      <c r="G193" s="53">
        <v>43909</v>
      </c>
      <c r="H193" s="9">
        <v>2020</v>
      </c>
      <c r="I193" s="9">
        <v>1</v>
      </c>
      <c r="J193" s="50">
        <v>7</v>
      </c>
      <c r="K193" s="50">
        <v>30</v>
      </c>
      <c r="L193" s="24" t="s">
        <v>1267</v>
      </c>
      <c r="M193" s="24"/>
      <c r="V193" t="s">
        <v>955</v>
      </c>
      <c r="W193" t="s">
        <v>990</v>
      </c>
      <c r="X193" t="s">
        <v>998</v>
      </c>
      <c r="Y193" t="s">
        <v>1000</v>
      </c>
      <c r="Z193">
        <v>1</v>
      </c>
      <c r="AA193">
        <v>-1</v>
      </c>
      <c r="AB193">
        <v>-1</v>
      </c>
      <c r="AC193">
        <v>-1</v>
      </c>
      <c r="AD193">
        <v>-1</v>
      </c>
      <c r="AE193">
        <v>-1</v>
      </c>
      <c r="AF193">
        <v>-1</v>
      </c>
      <c r="AG193">
        <v>-1</v>
      </c>
      <c r="AH193">
        <v>-1</v>
      </c>
      <c r="AI193">
        <v>-1</v>
      </c>
      <c r="AJ193" s="9">
        <f t="shared" si="62"/>
        <v>30</v>
      </c>
      <c r="AK193">
        <f t="shared" si="63"/>
        <v>0</v>
      </c>
      <c r="AL193" s="9">
        <v>0</v>
      </c>
    </row>
    <row r="194" spans="1:38" x14ac:dyDescent="0.35">
      <c r="A194" s="9">
        <v>1</v>
      </c>
      <c r="B194" s="50" t="s">
        <v>34</v>
      </c>
      <c r="C194" s="53">
        <v>43893</v>
      </c>
      <c r="D194" s="53">
        <v>43906</v>
      </c>
      <c r="E194" s="53">
        <v>44060</v>
      </c>
      <c r="F194" s="21">
        <f t="shared" si="51"/>
        <v>154</v>
      </c>
      <c r="G194" s="53">
        <v>43909</v>
      </c>
      <c r="H194" s="9">
        <v>2020</v>
      </c>
      <c r="I194" s="9">
        <v>1</v>
      </c>
      <c r="J194" s="50">
        <v>7</v>
      </c>
      <c r="K194" s="50" t="s">
        <v>201</v>
      </c>
      <c r="L194" s="24" t="s">
        <v>2239</v>
      </c>
      <c r="M194" s="24"/>
      <c r="V194" t="s">
        <v>955</v>
      </c>
      <c r="W194" t="s">
        <v>990</v>
      </c>
      <c r="X194" t="s">
        <v>998</v>
      </c>
      <c r="Y194" t="s">
        <v>1000</v>
      </c>
      <c r="Z194">
        <v>1</v>
      </c>
      <c r="AA194">
        <v>-1</v>
      </c>
      <c r="AB194">
        <v>-1</v>
      </c>
      <c r="AC194">
        <v>-1</v>
      </c>
      <c r="AD194">
        <v>-1</v>
      </c>
      <c r="AE194">
        <v>-1</v>
      </c>
      <c r="AF194">
        <v>-1</v>
      </c>
      <c r="AG194">
        <v>-1</v>
      </c>
      <c r="AH194">
        <v>-1</v>
      </c>
      <c r="AI194">
        <v>-1</v>
      </c>
      <c r="AJ194" s="9" t="str">
        <f t="shared" si="62"/>
        <v>Other</v>
      </c>
      <c r="AK194">
        <f t="shared" si="63"/>
        <v>0</v>
      </c>
      <c r="AL194" s="9">
        <v>0</v>
      </c>
    </row>
    <row r="195" spans="1:38" x14ac:dyDescent="0.35">
      <c r="A195" s="9">
        <v>1</v>
      </c>
      <c r="B195" s="50" t="s">
        <v>34</v>
      </c>
      <c r="C195" s="53">
        <v>43893</v>
      </c>
      <c r="D195" s="53">
        <v>43906</v>
      </c>
      <c r="E195" s="53">
        <v>44060</v>
      </c>
      <c r="F195" s="21">
        <f t="shared" si="51"/>
        <v>154</v>
      </c>
      <c r="G195" s="53">
        <v>43909</v>
      </c>
      <c r="H195" s="9">
        <v>2020</v>
      </c>
      <c r="I195" s="9">
        <v>1</v>
      </c>
      <c r="J195" s="50">
        <v>6</v>
      </c>
      <c r="K195" s="50">
        <v>28</v>
      </c>
      <c r="L195" s="24" t="s">
        <v>1268</v>
      </c>
      <c r="M195" s="24"/>
      <c r="V195" t="s">
        <v>955</v>
      </c>
      <c r="W195" t="s">
        <v>990</v>
      </c>
      <c r="X195" t="s">
        <v>998</v>
      </c>
      <c r="Y195" t="s">
        <v>1000</v>
      </c>
      <c r="Z195">
        <v>1</v>
      </c>
      <c r="AA195">
        <v>-1</v>
      </c>
      <c r="AB195">
        <v>-1</v>
      </c>
      <c r="AC195">
        <v>-1</v>
      </c>
      <c r="AD195">
        <v>-1</v>
      </c>
      <c r="AE195">
        <v>-1</v>
      </c>
      <c r="AF195">
        <v>-1</v>
      </c>
      <c r="AG195">
        <v>-1</v>
      </c>
      <c r="AH195">
        <v>-1</v>
      </c>
      <c r="AI195">
        <v>-1</v>
      </c>
      <c r="AJ195" s="9">
        <f t="shared" si="62"/>
        <v>28</v>
      </c>
      <c r="AK195">
        <f t="shared" si="63"/>
        <v>0</v>
      </c>
      <c r="AL195" s="9">
        <v>0</v>
      </c>
    </row>
    <row r="196" spans="1:38" x14ac:dyDescent="0.35">
      <c r="A196" s="9">
        <v>1</v>
      </c>
      <c r="B196" s="50" t="s">
        <v>34</v>
      </c>
      <c r="C196" s="53">
        <v>43893</v>
      </c>
      <c r="D196" s="53">
        <v>43906</v>
      </c>
      <c r="E196" s="53">
        <v>44060</v>
      </c>
      <c r="F196" s="21">
        <f t="shared" si="51"/>
        <v>154</v>
      </c>
      <c r="G196" s="53">
        <v>43909</v>
      </c>
      <c r="H196" s="9">
        <v>2020</v>
      </c>
      <c r="I196" s="9">
        <v>1</v>
      </c>
      <c r="J196" s="50">
        <v>6</v>
      </c>
      <c r="K196" s="50">
        <v>25</v>
      </c>
      <c r="L196" s="24" t="s">
        <v>1269</v>
      </c>
      <c r="M196" s="24"/>
      <c r="V196" t="s">
        <v>955</v>
      </c>
      <c r="W196" t="s">
        <v>990</v>
      </c>
      <c r="X196" t="s">
        <v>998</v>
      </c>
      <c r="Y196" t="s">
        <v>1000</v>
      </c>
      <c r="Z196">
        <v>1</v>
      </c>
      <c r="AA196">
        <v>-1</v>
      </c>
      <c r="AB196">
        <v>-1</v>
      </c>
      <c r="AC196">
        <v>-1</v>
      </c>
      <c r="AD196">
        <v>-1</v>
      </c>
      <c r="AE196">
        <v>-1</v>
      </c>
      <c r="AF196">
        <v>-1</v>
      </c>
      <c r="AG196">
        <v>-1</v>
      </c>
      <c r="AH196">
        <v>-1</v>
      </c>
      <c r="AI196">
        <v>-1</v>
      </c>
      <c r="AJ196" s="9">
        <f t="shared" si="62"/>
        <v>25</v>
      </c>
      <c r="AK196">
        <f t="shared" si="63"/>
        <v>0</v>
      </c>
      <c r="AL196" s="9">
        <v>0</v>
      </c>
    </row>
    <row r="197" spans="1:38" x14ac:dyDescent="0.35">
      <c r="A197" s="9">
        <v>1</v>
      </c>
      <c r="B197" s="50" t="s">
        <v>34</v>
      </c>
      <c r="C197" s="53">
        <v>43893</v>
      </c>
      <c r="D197" s="53">
        <v>43906</v>
      </c>
      <c r="E197" s="53">
        <v>44060</v>
      </c>
      <c r="F197" s="21">
        <f t="shared" si="51"/>
        <v>154</v>
      </c>
      <c r="G197" s="53">
        <v>43909</v>
      </c>
      <c r="H197" s="9">
        <v>2020</v>
      </c>
      <c r="I197" s="9">
        <v>1</v>
      </c>
      <c r="J197" s="50">
        <v>1</v>
      </c>
      <c r="K197" s="9" t="s">
        <v>206</v>
      </c>
      <c r="L197" s="24" t="s">
        <v>1270</v>
      </c>
      <c r="M197" s="24"/>
      <c r="V197" t="s">
        <v>955</v>
      </c>
      <c r="W197" t="s">
        <v>990</v>
      </c>
      <c r="X197" t="s">
        <v>998</v>
      </c>
      <c r="Y197" t="s">
        <v>1000</v>
      </c>
      <c r="Z197">
        <v>1</v>
      </c>
      <c r="AA197">
        <v>-1</v>
      </c>
      <c r="AB197">
        <v>-1</v>
      </c>
      <c r="AC197">
        <v>-1</v>
      </c>
      <c r="AD197">
        <v>-1</v>
      </c>
      <c r="AE197">
        <v>-1</v>
      </c>
      <c r="AF197">
        <v>-1</v>
      </c>
      <c r="AG197">
        <v>-1</v>
      </c>
      <c r="AH197">
        <v>-1</v>
      </c>
      <c r="AI197">
        <v>-1</v>
      </c>
      <c r="AJ197" s="9" t="str">
        <f t="shared" si="62"/>
        <v>Tax exemption/waiver/suspension</v>
      </c>
      <c r="AK197">
        <f t="shared" si="63"/>
        <v>0</v>
      </c>
      <c r="AL197" s="9">
        <v>0</v>
      </c>
    </row>
    <row r="198" spans="1:38" x14ac:dyDescent="0.35">
      <c r="A198" s="9">
        <v>1</v>
      </c>
      <c r="B198" s="50" t="s">
        <v>34</v>
      </c>
      <c r="C198" s="53">
        <v>43893</v>
      </c>
      <c r="D198" s="53">
        <v>43906</v>
      </c>
      <c r="E198" s="53">
        <v>44060</v>
      </c>
      <c r="F198" s="21">
        <f t="shared" si="51"/>
        <v>154</v>
      </c>
      <c r="G198" s="53">
        <v>43909</v>
      </c>
      <c r="H198" s="9">
        <v>2020</v>
      </c>
      <c r="I198" s="9">
        <v>1</v>
      </c>
      <c r="J198" s="50">
        <v>1</v>
      </c>
      <c r="K198" s="50">
        <v>6</v>
      </c>
      <c r="L198" s="24" t="s">
        <v>1271</v>
      </c>
      <c r="M198" s="24"/>
      <c r="V198" t="s">
        <v>955</v>
      </c>
      <c r="W198" t="s">
        <v>990</v>
      </c>
      <c r="X198" t="s">
        <v>998</v>
      </c>
      <c r="Y198" t="s">
        <v>1000</v>
      </c>
      <c r="Z198">
        <v>1</v>
      </c>
      <c r="AA198">
        <v>-1</v>
      </c>
      <c r="AB198">
        <v>-1</v>
      </c>
      <c r="AC198">
        <v>-1</v>
      </c>
      <c r="AD198">
        <v>-1</v>
      </c>
      <c r="AE198">
        <v>-1</v>
      </c>
      <c r="AF198">
        <v>-1</v>
      </c>
      <c r="AG198">
        <v>-1</v>
      </c>
      <c r="AH198">
        <v>-1</v>
      </c>
      <c r="AI198">
        <v>-1</v>
      </c>
      <c r="AJ198" s="9">
        <f t="shared" si="62"/>
        <v>6</v>
      </c>
      <c r="AK198">
        <f t="shared" si="63"/>
        <v>0</v>
      </c>
      <c r="AL198" s="9">
        <v>0</v>
      </c>
    </row>
    <row r="199" spans="1:38" x14ac:dyDescent="0.35">
      <c r="A199" s="9">
        <v>1</v>
      </c>
      <c r="B199" s="50" t="s">
        <v>34</v>
      </c>
      <c r="C199" s="53">
        <v>43893</v>
      </c>
      <c r="D199" s="53">
        <v>43906</v>
      </c>
      <c r="E199" s="53">
        <v>44060</v>
      </c>
      <c r="F199" s="21">
        <f t="shared" si="51"/>
        <v>154</v>
      </c>
      <c r="G199" s="53">
        <v>43909</v>
      </c>
      <c r="H199" s="9">
        <v>2020</v>
      </c>
      <c r="I199" s="9">
        <v>1</v>
      </c>
      <c r="J199" s="50">
        <v>2</v>
      </c>
      <c r="K199" s="50">
        <v>16</v>
      </c>
      <c r="L199" s="24" t="s">
        <v>1697</v>
      </c>
      <c r="M199" s="24"/>
      <c r="V199" t="s">
        <v>955</v>
      </c>
      <c r="W199" t="s">
        <v>990</v>
      </c>
      <c r="X199" t="s">
        <v>998</v>
      </c>
      <c r="Y199" t="s">
        <v>1000</v>
      </c>
      <c r="Z199">
        <v>1</v>
      </c>
      <c r="AA199">
        <v>-1</v>
      </c>
      <c r="AB199">
        <v>-1</v>
      </c>
      <c r="AC199">
        <v>-1</v>
      </c>
      <c r="AD199">
        <v>-1</v>
      </c>
      <c r="AE199">
        <v>-1</v>
      </c>
      <c r="AF199">
        <v>-1</v>
      </c>
      <c r="AG199">
        <v>-1</v>
      </c>
      <c r="AH199">
        <v>-1</v>
      </c>
      <c r="AI199">
        <v>-1</v>
      </c>
      <c r="AJ199" s="9">
        <f t="shared" si="62"/>
        <v>16</v>
      </c>
      <c r="AK199">
        <f t="shared" si="63"/>
        <v>0</v>
      </c>
      <c r="AL199" s="9">
        <v>0</v>
      </c>
    </row>
    <row r="200" spans="1:38" x14ac:dyDescent="0.35">
      <c r="A200" s="9">
        <v>1</v>
      </c>
      <c r="B200" s="50" t="s">
        <v>34</v>
      </c>
      <c r="C200" s="53">
        <v>43893</v>
      </c>
      <c r="D200" s="53">
        <v>43906</v>
      </c>
      <c r="E200" s="53">
        <v>44060</v>
      </c>
      <c r="F200" s="21">
        <f t="shared" si="51"/>
        <v>154</v>
      </c>
      <c r="G200" s="53">
        <v>43909</v>
      </c>
      <c r="H200" s="9">
        <v>2020</v>
      </c>
      <c r="I200" s="9">
        <v>1</v>
      </c>
      <c r="J200" s="50">
        <v>1</v>
      </c>
      <c r="K200" s="50">
        <v>7</v>
      </c>
      <c r="L200" s="24" t="s">
        <v>1272</v>
      </c>
      <c r="M200" s="24"/>
      <c r="V200" t="s">
        <v>955</v>
      </c>
      <c r="W200" t="s">
        <v>990</v>
      </c>
      <c r="X200" t="s">
        <v>998</v>
      </c>
      <c r="Y200" t="s">
        <v>1000</v>
      </c>
      <c r="Z200">
        <v>1</v>
      </c>
      <c r="AA200">
        <v>-1</v>
      </c>
      <c r="AB200">
        <v>-1</v>
      </c>
      <c r="AC200">
        <v>-1</v>
      </c>
      <c r="AD200">
        <v>-1</v>
      </c>
      <c r="AE200">
        <v>-1</v>
      </c>
      <c r="AF200">
        <v>-1</v>
      </c>
      <c r="AG200">
        <v>-1</v>
      </c>
      <c r="AH200">
        <v>-1</v>
      </c>
      <c r="AI200">
        <v>-1</v>
      </c>
      <c r="AJ200" s="9">
        <f t="shared" si="62"/>
        <v>7</v>
      </c>
      <c r="AK200">
        <f t="shared" si="63"/>
        <v>0</v>
      </c>
      <c r="AL200" s="9">
        <v>0</v>
      </c>
    </row>
    <row r="201" spans="1:38" x14ac:dyDescent="0.35">
      <c r="A201" s="9">
        <v>1</v>
      </c>
      <c r="B201" s="50" t="s">
        <v>34</v>
      </c>
      <c r="C201" s="53">
        <v>43893</v>
      </c>
      <c r="D201" s="53">
        <v>43906</v>
      </c>
      <c r="E201" s="53">
        <v>44060</v>
      </c>
      <c r="F201" s="21">
        <f t="shared" si="51"/>
        <v>154</v>
      </c>
      <c r="G201" s="53">
        <v>43909</v>
      </c>
      <c r="H201" s="9">
        <v>2020</v>
      </c>
      <c r="I201" s="9">
        <v>1</v>
      </c>
      <c r="J201" s="50">
        <v>1</v>
      </c>
      <c r="K201" s="50">
        <v>9</v>
      </c>
      <c r="L201" s="24" t="s">
        <v>1273</v>
      </c>
      <c r="M201" s="24"/>
      <c r="V201" t="s">
        <v>955</v>
      </c>
      <c r="W201" t="s">
        <v>990</v>
      </c>
      <c r="X201" t="s">
        <v>998</v>
      </c>
      <c r="Y201" t="s">
        <v>1000</v>
      </c>
      <c r="Z201">
        <v>1</v>
      </c>
      <c r="AA201">
        <v>-1</v>
      </c>
      <c r="AB201">
        <v>-1</v>
      </c>
      <c r="AC201">
        <v>-1</v>
      </c>
      <c r="AD201">
        <v>-1</v>
      </c>
      <c r="AE201">
        <v>-1</v>
      </c>
      <c r="AF201">
        <v>-1</v>
      </c>
      <c r="AG201">
        <v>-1</v>
      </c>
      <c r="AH201">
        <v>-1</v>
      </c>
      <c r="AI201">
        <v>-1</v>
      </c>
      <c r="AJ201" s="9">
        <f t="shared" si="62"/>
        <v>9</v>
      </c>
      <c r="AK201">
        <f t="shared" si="63"/>
        <v>0</v>
      </c>
      <c r="AL201" s="9">
        <v>0</v>
      </c>
    </row>
    <row r="202" spans="1:38" ht="15.5" x14ac:dyDescent="0.35">
      <c r="A202" s="9">
        <v>1</v>
      </c>
      <c r="B202" s="50" t="s">
        <v>34</v>
      </c>
      <c r="C202" s="53">
        <v>43893</v>
      </c>
      <c r="D202" s="53">
        <v>43906</v>
      </c>
      <c r="E202" s="53">
        <v>44060</v>
      </c>
      <c r="F202" s="21">
        <f t="shared" si="51"/>
        <v>154</v>
      </c>
      <c r="G202" s="53">
        <v>43909</v>
      </c>
      <c r="H202" s="9">
        <v>2020</v>
      </c>
      <c r="I202" s="9">
        <v>1</v>
      </c>
      <c r="J202" s="50">
        <v>1</v>
      </c>
      <c r="K202" s="54" t="s">
        <v>206</v>
      </c>
      <c r="L202" s="24" t="s">
        <v>1274</v>
      </c>
      <c r="M202" s="24"/>
      <c r="V202" t="s">
        <v>955</v>
      </c>
      <c r="W202" t="s">
        <v>990</v>
      </c>
      <c r="X202" t="s">
        <v>998</v>
      </c>
      <c r="Y202" t="s">
        <v>1000</v>
      </c>
      <c r="Z202">
        <v>1</v>
      </c>
      <c r="AA202">
        <v>-1</v>
      </c>
      <c r="AB202">
        <v>-1</v>
      </c>
      <c r="AC202">
        <v>-1</v>
      </c>
      <c r="AD202">
        <v>-1</v>
      </c>
      <c r="AE202">
        <v>-1</v>
      </c>
      <c r="AF202">
        <v>-1</v>
      </c>
      <c r="AG202">
        <v>-1</v>
      </c>
      <c r="AH202">
        <v>-1</v>
      </c>
      <c r="AI202">
        <v>-1</v>
      </c>
      <c r="AJ202" s="9" t="str">
        <f t="shared" si="62"/>
        <v>Tax exemption/waiver/suspension</v>
      </c>
      <c r="AK202">
        <f t="shared" si="63"/>
        <v>0</v>
      </c>
      <c r="AL202" s="9">
        <v>0</v>
      </c>
    </row>
    <row r="203" spans="1:38" x14ac:dyDescent="0.35">
      <c r="A203" s="9">
        <v>1</v>
      </c>
      <c r="B203" s="50" t="s">
        <v>34</v>
      </c>
      <c r="C203" s="53">
        <v>43893</v>
      </c>
      <c r="D203" s="53">
        <v>43906</v>
      </c>
      <c r="E203" s="53">
        <v>44060</v>
      </c>
      <c r="F203" s="21">
        <f t="shared" si="51"/>
        <v>154</v>
      </c>
      <c r="G203" s="53">
        <v>43909</v>
      </c>
      <c r="H203" s="9">
        <v>2020</v>
      </c>
      <c r="I203" s="9">
        <v>1</v>
      </c>
      <c r="J203" s="50">
        <v>1</v>
      </c>
      <c r="K203" s="50">
        <v>1</v>
      </c>
      <c r="L203" s="24" t="s">
        <v>1275</v>
      </c>
      <c r="M203" s="24"/>
      <c r="V203" t="s">
        <v>955</v>
      </c>
      <c r="W203" t="s">
        <v>990</v>
      </c>
      <c r="X203" t="s">
        <v>998</v>
      </c>
      <c r="Y203" t="s">
        <v>1000</v>
      </c>
      <c r="Z203">
        <v>1</v>
      </c>
      <c r="AA203">
        <v>-1</v>
      </c>
      <c r="AB203">
        <v>-1</v>
      </c>
      <c r="AC203">
        <v>-1</v>
      </c>
      <c r="AD203">
        <v>-1</v>
      </c>
      <c r="AE203">
        <v>-1</v>
      </c>
      <c r="AF203">
        <v>-1</v>
      </c>
      <c r="AG203">
        <v>-1</v>
      </c>
      <c r="AH203">
        <v>-1</v>
      </c>
      <c r="AI203">
        <v>-1</v>
      </c>
      <c r="AJ203" s="9">
        <f t="shared" si="62"/>
        <v>1</v>
      </c>
      <c r="AK203">
        <f t="shared" si="63"/>
        <v>0</v>
      </c>
      <c r="AL203" s="9">
        <v>0</v>
      </c>
    </row>
    <row r="204" spans="1:38" x14ac:dyDescent="0.35">
      <c r="A204" s="9">
        <v>1</v>
      </c>
      <c r="B204" s="50" t="s">
        <v>34</v>
      </c>
      <c r="C204" s="53">
        <v>43893</v>
      </c>
      <c r="D204" s="53">
        <v>43906</v>
      </c>
      <c r="E204" s="53">
        <v>44060</v>
      </c>
      <c r="F204" s="21">
        <f t="shared" si="51"/>
        <v>154</v>
      </c>
      <c r="G204" s="53">
        <v>43909</v>
      </c>
      <c r="H204" s="9">
        <v>2020</v>
      </c>
      <c r="I204" s="9">
        <v>1</v>
      </c>
      <c r="J204" s="50">
        <v>1</v>
      </c>
      <c r="K204" s="50">
        <v>4</v>
      </c>
      <c r="L204" s="24" t="s">
        <v>1276</v>
      </c>
      <c r="M204" s="24"/>
      <c r="V204" t="s">
        <v>955</v>
      </c>
      <c r="W204" t="s">
        <v>990</v>
      </c>
      <c r="X204" t="s">
        <v>998</v>
      </c>
      <c r="Y204" t="s">
        <v>1000</v>
      </c>
      <c r="Z204">
        <v>1</v>
      </c>
      <c r="AA204">
        <v>-1</v>
      </c>
      <c r="AB204">
        <v>-1</v>
      </c>
      <c r="AC204">
        <v>-1</v>
      </c>
      <c r="AD204">
        <v>-1</v>
      </c>
      <c r="AE204">
        <v>-1</v>
      </c>
      <c r="AF204">
        <v>-1</v>
      </c>
      <c r="AG204">
        <v>-1</v>
      </c>
      <c r="AH204">
        <v>-1</v>
      </c>
      <c r="AI204">
        <v>-1</v>
      </c>
      <c r="AJ204" s="9">
        <f t="shared" si="62"/>
        <v>4</v>
      </c>
      <c r="AK204">
        <f t="shared" si="63"/>
        <v>0</v>
      </c>
      <c r="AL204" s="9">
        <v>0</v>
      </c>
    </row>
    <row r="205" spans="1:38" x14ac:dyDescent="0.35">
      <c r="A205" s="9">
        <v>1</v>
      </c>
      <c r="B205" s="50" t="s">
        <v>34</v>
      </c>
      <c r="C205" s="53">
        <v>43893</v>
      </c>
      <c r="D205" s="53">
        <v>43906</v>
      </c>
      <c r="E205" s="53">
        <v>44060</v>
      </c>
      <c r="F205" s="21">
        <f t="shared" si="51"/>
        <v>154</v>
      </c>
      <c r="G205" s="53">
        <v>43909</v>
      </c>
      <c r="H205" s="9">
        <v>2020</v>
      </c>
      <c r="I205" s="9">
        <v>1</v>
      </c>
      <c r="J205" s="50">
        <v>5</v>
      </c>
      <c r="K205" s="50">
        <v>23</v>
      </c>
      <c r="L205" s="24" t="s">
        <v>1277</v>
      </c>
      <c r="M205" s="24"/>
      <c r="V205" t="s">
        <v>955</v>
      </c>
      <c r="W205" t="s">
        <v>990</v>
      </c>
      <c r="X205" t="s">
        <v>998</v>
      </c>
      <c r="Y205" t="s">
        <v>1000</v>
      </c>
      <c r="Z205">
        <v>1</v>
      </c>
      <c r="AA205">
        <v>-1</v>
      </c>
      <c r="AB205">
        <v>-1</v>
      </c>
      <c r="AC205">
        <v>-1</v>
      </c>
      <c r="AD205">
        <v>-1</v>
      </c>
      <c r="AE205">
        <v>-1</v>
      </c>
      <c r="AF205">
        <v>-1</v>
      </c>
      <c r="AG205">
        <v>-1</v>
      </c>
      <c r="AH205">
        <v>-1</v>
      </c>
      <c r="AI205">
        <v>-1</v>
      </c>
      <c r="AJ205" s="9">
        <f t="shared" si="62"/>
        <v>23</v>
      </c>
      <c r="AK205">
        <f t="shared" si="63"/>
        <v>0</v>
      </c>
      <c r="AL205" s="9">
        <v>0</v>
      </c>
    </row>
    <row r="206" spans="1:38" x14ac:dyDescent="0.35">
      <c r="A206" s="9">
        <v>1</v>
      </c>
      <c r="B206" s="50" t="s">
        <v>34</v>
      </c>
      <c r="C206" s="53">
        <v>43893</v>
      </c>
      <c r="D206" s="53">
        <v>43906</v>
      </c>
      <c r="E206" s="53">
        <v>44060</v>
      </c>
      <c r="F206" s="21">
        <f t="shared" si="51"/>
        <v>154</v>
      </c>
      <c r="G206" s="53">
        <v>43909</v>
      </c>
      <c r="H206" s="9">
        <v>2020</v>
      </c>
      <c r="I206" s="9">
        <v>1</v>
      </c>
      <c r="J206" s="50">
        <v>5</v>
      </c>
      <c r="K206" s="50">
        <v>23</v>
      </c>
      <c r="L206" s="24" t="s">
        <v>1278</v>
      </c>
      <c r="M206" s="24"/>
      <c r="V206" t="s">
        <v>955</v>
      </c>
      <c r="W206" t="s">
        <v>990</v>
      </c>
      <c r="X206" t="s">
        <v>998</v>
      </c>
      <c r="Y206" t="s">
        <v>1000</v>
      </c>
      <c r="Z206">
        <v>1</v>
      </c>
      <c r="AA206">
        <v>-1</v>
      </c>
      <c r="AB206">
        <v>-1</v>
      </c>
      <c r="AC206">
        <v>-1</v>
      </c>
      <c r="AD206">
        <v>-1</v>
      </c>
      <c r="AE206">
        <v>-1</v>
      </c>
      <c r="AF206">
        <v>-1</v>
      </c>
      <c r="AG206">
        <v>-1</v>
      </c>
      <c r="AH206">
        <v>-1</v>
      </c>
      <c r="AI206">
        <v>-1</v>
      </c>
      <c r="AJ206" s="9">
        <f t="shared" si="62"/>
        <v>23</v>
      </c>
      <c r="AK206">
        <f t="shared" si="63"/>
        <v>0</v>
      </c>
      <c r="AL206" s="9">
        <v>0</v>
      </c>
    </row>
    <row r="207" spans="1:38" x14ac:dyDescent="0.35">
      <c r="A207" s="9">
        <v>1</v>
      </c>
      <c r="B207" s="50" t="s">
        <v>34</v>
      </c>
      <c r="C207" s="53">
        <v>43893</v>
      </c>
      <c r="D207" s="53">
        <v>43906</v>
      </c>
      <c r="E207" s="53">
        <v>44060</v>
      </c>
      <c r="F207" s="21">
        <f t="shared" ref="F207:F276" si="64">DATEDIF(D207,E207,"D")</f>
        <v>154</v>
      </c>
      <c r="G207" s="53">
        <v>43909</v>
      </c>
      <c r="H207" s="9">
        <v>2020</v>
      </c>
      <c r="I207" s="9">
        <v>1</v>
      </c>
      <c r="J207" s="50">
        <v>2</v>
      </c>
      <c r="K207" s="50">
        <v>14</v>
      </c>
      <c r="L207" s="24" t="s">
        <v>2234</v>
      </c>
      <c r="M207" s="24"/>
      <c r="V207" t="s">
        <v>955</v>
      </c>
      <c r="W207" t="s">
        <v>990</v>
      </c>
      <c r="X207" t="s">
        <v>998</v>
      </c>
      <c r="Y207" t="s">
        <v>1000</v>
      </c>
      <c r="Z207">
        <v>1</v>
      </c>
      <c r="AA207">
        <v>-1</v>
      </c>
      <c r="AB207">
        <v>-1</v>
      </c>
      <c r="AC207">
        <v>-1</v>
      </c>
      <c r="AD207">
        <v>-1</v>
      </c>
      <c r="AE207">
        <v>-1</v>
      </c>
      <c r="AF207">
        <v>-1</v>
      </c>
      <c r="AG207">
        <v>-1</v>
      </c>
      <c r="AH207">
        <v>-1</v>
      </c>
      <c r="AI207">
        <v>-1</v>
      </c>
      <c r="AJ207" s="9">
        <f t="shared" si="62"/>
        <v>14</v>
      </c>
      <c r="AK207">
        <f t="shared" si="63"/>
        <v>0</v>
      </c>
      <c r="AL207" s="9">
        <v>0</v>
      </c>
    </row>
    <row r="208" spans="1:38" x14ac:dyDescent="0.35">
      <c r="A208" s="9">
        <v>1</v>
      </c>
      <c r="B208" s="50" t="s">
        <v>34</v>
      </c>
      <c r="C208" s="53">
        <v>43893</v>
      </c>
      <c r="D208" s="53">
        <v>43906</v>
      </c>
      <c r="E208" s="53">
        <v>44060</v>
      </c>
      <c r="F208" s="21">
        <f t="shared" si="64"/>
        <v>154</v>
      </c>
      <c r="G208" s="53">
        <v>43909</v>
      </c>
      <c r="H208" s="9">
        <v>2020</v>
      </c>
      <c r="I208" s="9">
        <v>1</v>
      </c>
      <c r="J208" s="50">
        <v>2</v>
      </c>
      <c r="K208" s="50" t="s">
        <v>206</v>
      </c>
      <c r="L208" s="24" t="s">
        <v>2235</v>
      </c>
      <c r="M208" s="24"/>
      <c r="V208" t="s">
        <v>955</v>
      </c>
      <c r="W208" t="s">
        <v>990</v>
      </c>
      <c r="X208" t="s">
        <v>998</v>
      </c>
      <c r="Y208" t="s">
        <v>1000</v>
      </c>
      <c r="Z208">
        <v>1</v>
      </c>
      <c r="AA208">
        <v>-1</v>
      </c>
      <c r="AB208">
        <v>-1</v>
      </c>
      <c r="AC208">
        <v>-1</v>
      </c>
      <c r="AD208">
        <v>-1</v>
      </c>
      <c r="AE208">
        <v>-1</v>
      </c>
      <c r="AF208">
        <v>-1</v>
      </c>
      <c r="AG208">
        <v>-1</v>
      </c>
      <c r="AH208">
        <v>-1</v>
      </c>
      <c r="AI208">
        <v>-1</v>
      </c>
      <c r="AJ208" s="9" t="str">
        <f t="shared" si="62"/>
        <v>Tax exemption/waiver/suspension</v>
      </c>
      <c r="AK208">
        <f t="shared" si="63"/>
        <v>0</v>
      </c>
      <c r="AL208" s="9">
        <v>0</v>
      </c>
    </row>
    <row r="209" spans="1:38" x14ac:dyDescent="0.35">
      <c r="A209" s="9">
        <v>1</v>
      </c>
      <c r="B209" s="50" t="s">
        <v>34</v>
      </c>
      <c r="C209" s="53">
        <v>43893</v>
      </c>
      <c r="D209" s="53">
        <v>43906</v>
      </c>
      <c r="E209" s="53">
        <v>44060</v>
      </c>
      <c r="F209" s="21">
        <f t="shared" si="64"/>
        <v>154</v>
      </c>
      <c r="G209" s="53">
        <v>43909</v>
      </c>
      <c r="H209" s="9">
        <v>2020</v>
      </c>
      <c r="I209" s="9">
        <v>1</v>
      </c>
      <c r="J209" s="50">
        <v>7</v>
      </c>
      <c r="K209" s="50">
        <v>32</v>
      </c>
      <c r="L209" s="24" t="s">
        <v>1279</v>
      </c>
      <c r="M209" s="24"/>
      <c r="V209" t="s">
        <v>955</v>
      </c>
      <c r="W209" t="s">
        <v>990</v>
      </c>
      <c r="X209" t="s">
        <v>998</v>
      </c>
      <c r="Y209" t="s">
        <v>1000</v>
      </c>
      <c r="Z209">
        <v>1</v>
      </c>
      <c r="AA209">
        <v>-1</v>
      </c>
      <c r="AB209">
        <v>-1</v>
      </c>
      <c r="AC209">
        <v>-1</v>
      </c>
      <c r="AD209">
        <v>-1</v>
      </c>
      <c r="AE209">
        <v>-1</v>
      </c>
      <c r="AF209">
        <v>-1</v>
      </c>
      <c r="AG209">
        <v>-1</v>
      </c>
      <c r="AH209">
        <v>-1</v>
      </c>
      <c r="AI209">
        <v>-1</v>
      </c>
      <c r="AJ209" s="9">
        <f t="shared" ref="AJ209:AJ235" si="65">IF(ISNUMBER(K209),K209,IF(OR(K209="general",K209="23;general"),"General",IF(OR(K209="exemption",K209="other (exemption)"),"Tax exemption/waiver/suspension","Other")))</f>
        <v>32</v>
      </c>
      <c r="AK209">
        <f t="shared" si="63"/>
        <v>0</v>
      </c>
      <c r="AL209" s="9">
        <v>0</v>
      </c>
    </row>
    <row r="210" spans="1:38" x14ac:dyDescent="0.35">
      <c r="A210" s="9">
        <v>1</v>
      </c>
      <c r="B210" s="50" t="s">
        <v>34</v>
      </c>
      <c r="C210" s="53">
        <v>43893</v>
      </c>
      <c r="D210" s="53">
        <v>43906</v>
      </c>
      <c r="E210" s="53">
        <v>44060</v>
      </c>
      <c r="F210" s="21">
        <f t="shared" si="64"/>
        <v>154</v>
      </c>
      <c r="G210" s="53">
        <v>43909</v>
      </c>
      <c r="H210" s="9">
        <v>2020</v>
      </c>
      <c r="I210" s="9">
        <v>1</v>
      </c>
      <c r="J210" s="50">
        <v>6</v>
      </c>
      <c r="K210" s="50">
        <v>28</v>
      </c>
      <c r="L210" s="24" t="s">
        <v>1280</v>
      </c>
      <c r="M210" s="24"/>
      <c r="V210" t="s">
        <v>955</v>
      </c>
      <c r="W210" t="s">
        <v>990</v>
      </c>
      <c r="X210" t="s">
        <v>998</v>
      </c>
      <c r="Y210" t="s">
        <v>1000</v>
      </c>
      <c r="Z210">
        <v>1</v>
      </c>
      <c r="AA210">
        <v>-1</v>
      </c>
      <c r="AB210">
        <v>-1</v>
      </c>
      <c r="AC210">
        <v>-1</v>
      </c>
      <c r="AD210">
        <v>-1</v>
      </c>
      <c r="AE210">
        <v>-1</v>
      </c>
      <c r="AF210">
        <v>-1</v>
      </c>
      <c r="AG210">
        <v>-1</v>
      </c>
      <c r="AH210">
        <v>-1</v>
      </c>
      <c r="AI210">
        <v>-1</v>
      </c>
      <c r="AJ210" s="9">
        <f t="shared" si="65"/>
        <v>28</v>
      </c>
      <c r="AK210">
        <f t="shared" si="63"/>
        <v>0</v>
      </c>
      <c r="AL210" s="9">
        <v>0</v>
      </c>
    </row>
    <row r="211" spans="1:38" x14ac:dyDescent="0.35">
      <c r="A211" s="9">
        <v>1</v>
      </c>
      <c r="B211" s="50" t="s">
        <v>34</v>
      </c>
      <c r="C211" s="53">
        <v>43893</v>
      </c>
      <c r="D211" s="53">
        <v>43906</v>
      </c>
      <c r="E211" s="53">
        <v>44060</v>
      </c>
      <c r="F211" s="21">
        <f t="shared" si="64"/>
        <v>154</v>
      </c>
      <c r="G211" s="53">
        <v>43909</v>
      </c>
      <c r="H211" s="9">
        <v>2020</v>
      </c>
      <c r="I211" s="9">
        <v>1</v>
      </c>
      <c r="J211" s="50">
        <v>6</v>
      </c>
      <c r="K211" s="50">
        <v>29</v>
      </c>
      <c r="L211" s="24" t="s">
        <v>1281</v>
      </c>
      <c r="M211" s="24"/>
      <c r="V211" t="s">
        <v>955</v>
      </c>
      <c r="W211" t="s">
        <v>990</v>
      </c>
      <c r="X211" t="s">
        <v>998</v>
      </c>
      <c r="Y211" t="s">
        <v>1000</v>
      </c>
      <c r="Z211">
        <v>1</v>
      </c>
      <c r="AA211">
        <v>-1</v>
      </c>
      <c r="AB211">
        <v>-1</v>
      </c>
      <c r="AC211">
        <v>-1</v>
      </c>
      <c r="AD211">
        <v>-1</v>
      </c>
      <c r="AE211">
        <v>-1</v>
      </c>
      <c r="AF211">
        <v>-1</v>
      </c>
      <c r="AG211">
        <v>-1</v>
      </c>
      <c r="AH211">
        <v>-1</v>
      </c>
      <c r="AI211">
        <v>-1</v>
      </c>
      <c r="AJ211" s="9">
        <f t="shared" si="65"/>
        <v>29</v>
      </c>
      <c r="AK211">
        <f t="shared" si="63"/>
        <v>0</v>
      </c>
      <c r="AL211" s="9">
        <v>0</v>
      </c>
    </row>
    <row r="212" spans="1:38" x14ac:dyDescent="0.35">
      <c r="A212" s="9">
        <v>1</v>
      </c>
      <c r="B212" s="50" t="s">
        <v>34</v>
      </c>
      <c r="C212" s="53">
        <v>43893</v>
      </c>
      <c r="D212" s="53">
        <v>43906</v>
      </c>
      <c r="E212" s="53">
        <v>44060</v>
      </c>
      <c r="F212" s="21">
        <f t="shared" si="64"/>
        <v>154</v>
      </c>
      <c r="G212" s="53">
        <v>43909</v>
      </c>
      <c r="H212" s="9">
        <v>2020</v>
      </c>
      <c r="I212" s="9">
        <v>1</v>
      </c>
      <c r="J212" s="50">
        <v>6</v>
      </c>
      <c r="K212" s="50">
        <v>29</v>
      </c>
      <c r="L212" s="24" t="s">
        <v>1282</v>
      </c>
      <c r="M212" s="24"/>
      <c r="V212" t="s">
        <v>955</v>
      </c>
      <c r="W212" t="s">
        <v>990</v>
      </c>
      <c r="X212" t="s">
        <v>998</v>
      </c>
      <c r="Y212" t="s">
        <v>1000</v>
      </c>
      <c r="Z212">
        <v>1</v>
      </c>
      <c r="AA212">
        <v>-1</v>
      </c>
      <c r="AB212">
        <v>-1</v>
      </c>
      <c r="AC212">
        <v>-1</v>
      </c>
      <c r="AD212">
        <v>-1</v>
      </c>
      <c r="AE212">
        <v>-1</v>
      </c>
      <c r="AF212">
        <v>-1</v>
      </c>
      <c r="AG212">
        <v>-1</v>
      </c>
      <c r="AH212">
        <v>-1</v>
      </c>
      <c r="AI212">
        <v>-1</v>
      </c>
      <c r="AJ212" s="9">
        <f t="shared" si="65"/>
        <v>29</v>
      </c>
      <c r="AK212">
        <f t="shared" si="63"/>
        <v>0</v>
      </c>
      <c r="AL212" s="9">
        <v>0</v>
      </c>
    </row>
    <row r="213" spans="1:38" x14ac:dyDescent="0.35">
      <c r="A213" s="9">
        <v>1</v>
      </c>
      <c r="B213" s="50" t="s">
        <v>34</v>
      </c>
      <c r="C213" s="53">
        <v>43893</v>
      </c>
      <c r="D213" s="53">
        <v>43906</v>
      </c>
      <c r="E213" s="53">
        <v>44060</v>
      </c>
      <c r="F213" s="21">
        <f t="shared" si="64"/>
        <v>154</v>
      </c>
      <c r="G213" s="53">
        <v>43909</v>
      </c>
      <c r="H213" s="9">
        <v>2020</v>
      </c>
      <c r="I213" s="9">
        <v>1</v>
      </c>
      <c r="J213" s="50">
        <v>7</v>
      </c>
      <c r="K213" s="50">
        <v>30</v>
      </c>
      <c r="L213" s="24" t="s">
        <v>1283</v>
      </c>
      <c r="M213" s="24"/>
      <c r="V213" t="s">
        <v>955</v>
      </c>
      <c r="W213" t="s">
        <v>990</v>
      </c>
      <c r="X213" t="s">
        <v>998</v>
      </c>
      <c r="Y213" t="s">
        <v>1000</v>
      </c>
      <c r="Z213">
        <v>1</v>
      </c>
      <c r="AA213">
        <v>-1</v>
      </c>
      <c r="AB213">
        <v>-1</v>
      </c>
      <c r="AC213">
        <v>-1</v>
      </c>
      <c r="AD213">
        <v>-1</v>
      </c>
      <c r="AE213">
        <v>-1</v>
      </c>
      <c r="AF213">
        <v>-1</v>
      </c>
      <c r="AG213">
        <v>-1</v>
      </c>
      <c r="AH213">
        <v>-1</v>
      </c>
      <c r="AI213">
        <v>-1</v>
      </c>
      <c r="AJ213" s="9">
        <f t="shared" si="65"/>
        <v>30</v>
      </c>
      <c r="AK213">
        <f t="shared" si="63"/>
        <v>0</v>
      </c>
      <c r="AL213" s="9">
        <v>0</v>
      </c>
    </row>
    <row r="214" spans="1:38" x14ac:dyDescent="0.35">
      <c r="A214" s="9">
        <v>1</v>
      </c>
      <c r="B214" s="50" t="s">
        <v>34</v>
      </c>
      <c r="C214" s="53">
        <v>43893</v>
      </c>
      <c r="D214" s="53">
        <v>43906</v>
      </c>
      <c r="E214" s="53">
        <v>44060</v>
      </c>
      <c r="F214" s="21">
        <f t="shared" si="64"/>
        <v>154</v>
      </c>
      <c r="G214" s="53">
        <v>43909</v>
      </c>
      <c r="H214" s="9">
        <v>2020</v>
      </c>
      <c r="I214" s="9">
        <v>1</v>
      </c>
      <c r="J214" s="50">
        <v>7</v>
      </c>
      <c r="K214" s="50">
        <v>30</v>
      </c>
      <c r="L214" s="24" t="s">
        <v>1284</v>
      </c>
      <c r="M214" s="24"/>
      <c r="V214" t="s">
        <v>955</v>
      </c>
      <c r="W214" t="s">
        <v>990</v>
      </c>
      <c r="X214" t="s">
        <v>998</v>
      </c>
      <c r="Y214" t="s">
        <v>1000</v>
      </c>
      <c r="Z214">
        <v>1</v>
      </c>
      <c r="AA214">
        <v>-1</v>
      </c>
      <c r="AB214">
        <v>-1</v>
      </c>
      <c r="AC214">
        <v>-1</v>
      </c>
      <c r="AD214">
        <v>-1</v>
      </c>
      <c r="AE214">
        <v>-1</v>
      </c>
      <c r="AF214">
        <v>-1</v>
      </c>
      <c r="AG214">
        <v>-1</v>
      </c>
      <c r="AH214">
        <v>-1</v>
      </c>
      <c r="AI214">
        <v>-1</v>
      </c>
      <c r="AJ214" s="9">
        <f t="shared" si="65"/>
        <v>30</v>
      </c>
      <c r="AK214">
        <f t="shared" si="63"/>
        <v>0</v>
      </c>
      <c r="AL214" s="9">
        <v>1</v>
      </c>
    </row>
    <row r="215" spans="1:38" s="47" customFormat="1" x14ac:dyDescent="0.35">
      <c r="A215" s="9">
        <v>1</v>
      </c>
      <c r="B215" s="50" t="s">
        <v>34</v>
      </c>
      <c r="C215" s="53">
        <v>43893</v>
      </c>
      <c r="D215" s="53">
        <v>43906</v>
      </c>
      <c r="E215" s="53">
        <v>44060</v>
      </c>
      <c r="F215" s="21">
        <f t="shared" si="64"/>
        <v>154</v>
      </c>
      <c r="G215" s="53">
        <v>43909</v>
      </c>
      <c r="H215" s="9">
        <v>2021</v>
      </c>
      <c r="I215" s="9">
        <v>1</v>
      </c>
      <c r="J215" s="50">
        <v>6</v>
      </c>
      <c r="K215" s="50">
        <v>29</v>
      </c>
      <c r="L215" s="48" t="s">
        <v>1696</v>
      </c>
      <c r="M215" s="48"/>
      <c r="V215" t="s">
        <v>955</v>
      </c>
      <c r="AB215">
        <v>-1</v>
      </c>
      <c r="AJ215" s="47">
        <f t="shared" si="65"/>
        <v>29</v>
      </c>
    </row>
    <row r="216" spans="1:38" s="47" customFormat="1" x14ac:dyDescent="0.35">
      <c r="A216" s="9">
        <v>1</v>
      </c>
      <c r="B216" s="50" t="s">
        <v>34</v>
      </c>
      <c r="C216" s="53">
        <v>43893</v>
      </c>
      <c r="D216" s="53">
        <v>43906</v>
      </c>
      <c r="E216" s="53">
        <v>44060</v>
      </c>
      <c r="F216" s="21">
        <f t="shared" si="64"/>
        <v>154</v>
      </c>
      <c r="G216" s="53">
        <v>43909</v>
      </c>
      <c r="H216" s="9">
        <v>2021</v>
      </c>
      <c r="I216" s="9">
        <v>1</v>
      </c>
      <c r="J216" s="50">
        <v>8</v>
      </c>
      <c r="K216" s="50">
        <v>33</v>
      </c>
      <c r="L216" s="51" t="s">
        <v>1753</v>
      </c>
      <c r="M216" s="48"/>
      <c r="V216" t="s">
        <v>955</v>
      </c>
      <c r="AB216">
        <v>-1</v>
      </c>
      <c r="AJ216" s="47">
        <f t="shared" si="65"/>
        <v>33</v>
      </c>
    </row>
    <row r="217" spans="1:38" s="47" customFormat="1" x14ac:dyDescent="0.35">
      <c r="A217" s="9">
        <v>1</v>
      </c>
      <c r="B217" s="50" t="s">
        <v>34</v>
      </c>
      <c r="C217" s="53">
        <v>43893</v>
      </c>
      <c r="D217" s="53">
        <v>43906</v>
      </c>
      <c r="E217" s="53">
        <v>44060</v>
      </c>
      <c r="F217" s="21">
        <f t="shared" ref="F217:F220" si="66">DATEDIF(D217,E217,"D")</f>
        <v>154</v>
      </c>
      <c r="G217" s="53">
        <v>43909</v>
      </c>
      <c r="H217" s="9">
        <v>2021</v>
      </c>
      <c r="I217" s="9">
        <v>1</v>
      </c>
      <c r="J217" s="50">
        <v>6</v>
      </c>
      <c r="K217" s="50">
        <v>25</v>
      </c>
      <c r="L217" s="51" t="s">
        <v>1837</v>
      </c>
      <c r="M217" s="48"/>
      <c r="V217"/>
      <c r="AB217"/>
      <c r="AJ217" s="47">
        <f t="shared" si="65"/>
        <v>25</v>
      </c>
    </row>
    <row r="218" spans="1:38" s="47" customFormat="1" x14ac:dyDescent="0.35">
      <c r="A218" s="9">
        <v>1</v>
      </c>
      <c r="B218" s="50" t="s">
        <v>34</v>
      </c>
      <c r="C218" s="53">
        <v>43893</v>
      </c>
      <c r="D218" s="53">
        <v>43906</v>
      </c>
      <c r="E218" s="53">
        <v>44060</v>
      </c>
      <c r="F218" s="21">
        <f t="shared" si="66"/>
        <v>154</v>
      </c>
      <c r="G218" s="53">
        <v>43909</v>
      </c>
      <c r="H218" s="9">
        <v>2021</v>
      </c>
      <c r="I218" s="9">
        <v>1</v>
      </c>
      <c r="J218" s="50">
        <v>6</v>
      </c>
      <c r="K218" s="50">
        <v>25</v>
      </c>
      <c r="L218" s="48" t="s">
        <v>1839</v>
      </c>
      <c r="M218" s="48"/>
      <c r="V218"/>
      <c r="AB218"/>
      <c r="AJ218" s="47">
        <f t="shared" si="65"/>
        <v>25</v>
      </c>
    </row>
    <row r="219" spans="1:38" s="47" customFormat="1" x14ac:dyDescent="0.35">
      <c r="A219" s="9">
        <v>1</v>
      </c>
      <c r="B219" s="50" t="s">
        <v>34</v>
      </c>
      <c r="C219" s="53">
        <v>43893</v>
      </c>
      <c r="D219" s="53">
        <v>43906</v>
      </c>
      <c r="E219" s="53">
        <v>44060</v>
      </c>
      <c r="F219" s="21">
        <f t="shared" si="66"/>
        <v>154</v>
      </c>
      <c r="G219" s="53">
        <v>43909</v>
      </c>
      <c r="H219" s="9">
        <v>2021</v>
      </c>
      <c r="I219" s="9">
        <v>1</v>
      </c>
      <c r="J219" s="50">
        <v>7</v>
      </c>
      <c r="K219" s="50">
        <v>32</v>
      </c>
      <c r="L219" s="48" t="s">
        <v>1838</v>
      </c>
      <c r="M219" s="48"/>
      <c r="V219"/>
      <c r="AB219"/>
      <c r="AJ219" s="47">
        <f t="shared" si="65"/>
        <v>32</v>
      </c>
    </row>
    <row r="220" spans="1:38" s="47" customFormat="1" x14ac:dyDescent="0.35">
      <c r="A220" s="9">
        <v>1</v>
      </c>
      <c r="B220" s="50" t="s">
        <v>34</v>
      </c>
      <c r="C220" s="53">
        <v>43893</v>
      </c>
      <c r="D220" s="53">
        <v>43906</v>
      </c>
      <c r="E220" s="53">
        <v>44060</v>
      </c>
      <c r="F220" s="21">
        <f t="shared" si="66"/>
        <v>154</v>
      </c>
      <c r="G220" s="53">
        <v>43909</v>
      </c>
      <c r="H220" s="9">
        <v>2021</v>
      </c>
      <c r="I220" s="9">
        <v>1</v>
      </c>
      <c r="J220" s="50">
        <v>6</v>
      </c>
      <c r="K220" s="50">
        <v>28</v>
      </c>
      <c r="L220" s="48" t="s">
        <v>1840</v>
      </c>
      <c r="M220" s="48"/>
      <c r="V220"/>
      <c r="AB220"/>
      <c r="AJ220" s="47">
        <f t="shared" si="65"/>
        <v>28</v>
      </c>
    </row>
    <row r="221" spans="1:38" x14ac:dyDescent="0.35">
      <c r="A221" s="9">
        <v>1</v>
      </c>
      <c r="B221" s="9" t="s">
        <v>41</v>
      </c>
      <c r="C221" s="53">
        <v>43896</v>
      </c>
      <c r="D221" s="53">
        <v>43907</v>
      </c>
      <c r="E221" s="53">
        <v>44075</v>
      </c>
      <c r="F221" s="21">
        <f t="shared" si="64"/>
        <v>168</v>
      </c>
      <c r="G221" s="53">
        <v>43908</v>
      </c>
      <c r="H221" s="9">
        <v>2020</v>
      </c>
      <c r="I221" s="9">
        <v>1</v>
      </c>
      <c r="J221" s="9">
        <v>4</v>
      </c>
      <c r="K221" s="9">
        <v>20</v>
      </c>
      <c r="L221" s="50" t="s">
        <v>343</v>
      </c>
      <c r="M221">
        <v>2</v>
      </c>
      <c r="N221">
        <v>2</v>
      </c>
      <c r="O221">
        <v>2</v>
      </c>
      <c r="P221">
        <v>-1</v>
      </c>
      <c r="Q221">
        <v>2</v>
      </c>
      <c r="R221">
        <v>-2</v>
      </c>
      <c r="T221">
        <v>2</v>
      </c>
      <c r="U221">
        <v>1</v>
      </c>
      <c r="V221" t="s">
        <v>956</v>
      </c>
      <c r="W221" t="s">
        <v>990</v>
      </c>
      <c r="X221" t="s">
        <v>998</v>
      </c>
      <c r="Y221" t="s">
        <v>1003</v>
      </c>
      <c r="Z221">
        <v>1</v>
      </c>
      <c r="AA221">
        <f t="shared" ref="AA221:AA246" si="67">IF(M221&gt;0,1,IF(M221&lt;0,0,-1))</f>
        <v>1</v>
      </c>
      <c r="AB221">
        <f t="shared" ref="AB221:AB246" si="68">IF(N221&gt;0,1,IF(N221&lt;0,0,-1))</f>
        <v>1</v>
      </c>
      <c r="AC221">
        <f t="shared" ref="AC221:AC246" si="69">IF(O221&gt;0,1,IF(O221&lt;0,0,-1))</f>
        <v>1</v>
      </c>
      <c r="AD221">
        <f t="shared" ref="AD221:AD246" si="70">IF(P221&gt;0,1,IF(P221&lt;0,0,-1))</f>
        <v>0</v>
      </c>
      <c r="AE221">
        <f t="shared" ref="AE221:AE246" si="71">IF(Q221&gt;0,1,IF(Q221&lt;0,0,-1))</f>
        <v>1</v>
      </c>
      <c r="AF221">
        <f t="shared" ref="AF221:AF246" si="72">IF(R221&gt;0,1,IF(R221&lt;0,0,-1))</f>
        <v>0</v>
      </c>
      <c r="AG221">
        <f t="shared" ref="AG221:AG246" si="73">IF(S221&gt;0,1,IF(S221&lt;0,0,-1))</f>
        <v>-1</v>
      </c>
      <c r="AH221">
        <f t="shared" ref="AH221:AH246" si="74">IF(T221&gt;0,1,IF(T221&lt;0,0,-1))</f>
        <v>1</v>
      </c>
      <c r="AI221">
        <f t="shared" ref="AI221:AI246" si="75">IF(U221&gt;0,1,IF(U221&lt;0,0,-1))</f>
        <v>1</v>
      </c>
      <c r="AJ221" s="9">
        <f t="shared" si="65"/>
        <v>20</v>
      </c>
      <c r="AK221" t="e">
        <f>IF(B221&lt;&gt;#REF!,1,0)</f>
        <v>#REF!</v>
      </c>
      <c r="AL221" s="9">
        <v>1</v>
      </c>
    </row>
    <row r="222" spans="1:38" x14ac:dyDescent="0.35">
      <c r="A222" s="9">
        <v>1</v>
      </c>
      <c r="B222" s="9" t="s">
        <v>41</v>
      </c>
      <c r="C222" s="53">
        <v>43896</v>
      </c>
      <c r="D222" s="53">
        <v>43907</v>
      </c>
      <c r="E222" s="53">
        <v>44075</v>
      </c>
      <c r="F222" s="21">
        <f t="shared" si="64"/>
        <v>168</v>
      </c>
      <c r="G222" s="53">
        <v>43908</v>
      </c>
      <c r="H222" s="9">
        <v>2020</v>
      </c>
      <c r="I222" s="9">
        <v>1</v>
      </c>
      <c r="J222" s="9">
        <v>1</v>
      </c>
      <c r="K222" s="9">
        <v>6</v>
      </c>
      <c r="L222" s="50" t="s">
        <v>342</v>
      </c>
      <c r="M222">
        <v>2</v>
      </c>
      <c r="N222">
        <v>2</v>
      </c>
      <c r="O222">
        <v>2</v>
      </c>
      <c r="P222">
        <v>2</v>
      </c>
      <c r="Q222">
        <v>2</v>
      </c>
      <c r="R222">
        <v>2</v>
      </c>
      <c r="S222">
        <v>1</v>
      </c>
      <c r="T222">
        <v>2</v>
      </c>
      <c r="U222">
        <v>1</v>
      </c>
      <c r="V222" t="s">
        <v>956</v>
      </c>
      <c r="W222" t="s">
        <v>990</v>
      </c>
      <c r="X222" t="s">
        <v>998</v>
      </c>
      <c r="Y222" t="s">
        <v>1003</v>
      </c>
      <c r="Z222">
        <v>1</v>
      </c>
      <c r="AA222">
        <f t="shared" si="67"/>
        <v>1</v>
      </c>
      <c r="AB222">
        <f t="shared" si="68"/>
        <v>1</v>
      </c>
      <c r="AC222">
        <f t="shared" si="69"/>
        <v>1</v>
      </c>
      <c r="AD222">
        <f t="shared" si="70"/>
        <v>1</v>
      </c>
      <c r="AE222">
        <f t="shared" si="71"/>
        <v>1</v>
      </c>
      <c r="AF222">
        <f t="shared" si="72"/>
        <v>1</v>
      </c>
      <c r="AG222">
        <f t="shared" si="73"/>
        <v>1</v>
      </c>
      <c r="AH222">
        <f t="shared" si="74"/>
        <v>1</v>
      </c>
      <c r="AI222">
        <f t="shared" si="75"/>
        <v>1</v>
      </c>
      <c r="AJ222" s="9">
        <f t="shared" si="65"/>
        <v>6</v>
      </c>
      <c r="AK222">
        <f t="shared" ref="AK222:AK268" si="76">IF(B222&lt;&gt;B221,1,0)</f>
        <v>0</v>
      </c>
      <c r="AL222" s="9">
        <v>1</v>
      </c>
    </row>
    <row r="223" spans="1:38" x14ac:dyDescent="0.35">
      <c r="A223" s="9">
        <v>1</v>
      </c>
      <c r="B223" s="9" t="s">
        <v>41</v>
      </c>
      <c r="C223" s="53">
        <v>43896</v>
      </c>
      <c r="D223" s="53">
        <v>43907</v>
      </c>
      <c r="E223" s="53">
        <v>44075</v>
      </c>
      <c r="F223" s="21">
        <f t="shared" si="64"/>
        <v>168</v>
      </c>
      <c r="G223" s="53">
        <v>43908</v>
      </c>
      <c r="H223" s="9">
        <v>2020</v>
      </c>
      <c r="I223" s="9">
        <v>1</v>
      </c>
      <c r="J223" s="9">
        <v>1</v>
      </c>
      <c r="K223" s="9">
        <v>10</v>
      </c>
      <c r="L223" s="50" t="s">
        <v>362</v>
      </c>
      <c r="M223">
        <v>2</v>
      </c>
      <c r="N223">
        <v>2</v>
      </c>
      <c r="O223">
        <v>2</v>
      </c>
      <c r="P223">
        <v>2</v>
      </c>
      <c r="Q223">
        <v>2</v>
      </c>
      <c r="R223">
        <v>2</v>
      </c>
      <c r="S223">
        <v>-2</v>
      </c>
      <c r="T223">
        <v>2</v>
      </c>
      <c r="U223">
        <v>1</v>
      </c>
      <c r="V223" t="s">
        <v>956</v>
      </c>
      <c r="W223" t="s">
        <v>990</v>
      </c>
      <c r="X223" t="s">
        <v>998</v>
      </c>
      <c r="Y223" t="s">
        <v>1003</v>
      </c>
      <c r="Z223">
        <v>1</v>
      </c>
      <c r="AA223">
        <f t="shared" si="67"/>
        <v>1</v>
      </c>
      <c r="AB223">
        <f t="shared" si="68"/>
        <v>1</v>
      </c>
      <c r="AC223">
        <f t="shared" si="69"/>
        <v>1</v>
      </c>
      <c r="AD223">
        <f t="shared" si="70"/>
        <v>1</v>
      </c>
      <c r="AE223">
        <f t="shared" si="71"/>
        <v>1</v>
      </c>
      <c r="AF223">
        <f t="shared" si="72"/>
        <v>1</v>
      </c>
      <c r="AG223">
        <f t="shared" si="73"/>
        <v>0</v>
      </c>
      <c r="AH223">
        <f t="shared" si="74"/>
        <v>1</v>
      </c>
      <c r="AI223">
        <f t="shared" si="75"/>
        <v>1</v>
      </c>
      <c r="AJ223" s="9">
        <f t="shared" si="65"/>
        <v>10</v>
      </c>
      <c r="AK223">
        <f t="shared" si="76"/>
        <v>0</v>
      </c>
      <c r="AL223" s="9">
        <v>1</v>
      </c>
    </row>
    <row r="224" spans="1:38" x14ac:dyDescent="0.35">
      <c r="A224" s="9">
        <v>1</v>
      </c>
      <c r="B224" s="9" t="s">
        <v>41</v>
      </c>
      <c r="C224" s="53">
        <v>43896</v>
      </c>
      <c r="D224" s="53">
        <v>43907</v>
      </c>
      <c r="E224" s="53">
        <v>44075</v>
      </c>
      <c r="F224" s="21">
        <f t="shared" si="64"/>
        <v>168</v>
      </c>
      <c r="G224" s="53">
        <v>43908</v>
      </c>
      <c r="H224" s="9">
        <v>2020</v>
      </c>
      <c r="I224" s="9">
        <v>1</v>
      </c>
      <c r="J224" s="9">
        <v>3</v>
      </c>
      <c r="K224" s="9">
        <v>19</v>
      </c>
      <c r="L224" s="50" t="s">
        <v>341</v>
      </c>
      <c r="M224">
        <v>2</v>
      </c>
      <c r="N224">
        <v>2</v>
      </c>
      <c r="O224">
        <v>-2</v>
      </c>
      <c r="P224">
        <v>-1</v>
      </c>
      <c r="Q224">
        <v>-2</v>
      </c>
      <c r="R224">
        <v>2</v>
      </c>
      <c r="S224">
        <v>-2</v>
      </c>
      <c r="U224">
        <v>1</v>
      </c>
      <c r="V224" t="s">
        <v>956</v>
      </c>
      <c r="W224" t="s">
        <v>990</v>
      </c>
      <c r="X224" t="s">
        <v>998</v>
      </c>
      <c r="Y224" t="s">
        <v>1003</v>
      </c>
      <c r="Z224">
        <v>1</v>
      </c>
      <c r="AA224">
        <f t="shared" si="67"/>
        <v>1</v>
      </c>
      <c r="AB224">
        <f t="shared" si="68"/>
        <v>1</v>
      </c>
      <c r="AC224">
        <f t="shared" si="69"/>
        <v>0</v>
      </c>
      <c r="AD224">
        <f t="shared" si="70"/>
        <v>0</v>
      </c>
      <c r="AE224">
        <f t="shared" si="71"/>
        <v>0</v>
      </c>
      <c r="AF224">
        <f t="shared" si="72"/>
        <v>1</v>
      </c>
      <c r="AG224">
        <f t="shared" si="73"/>
        <v>0</v>
      </c>
      <c r="AH224">
        <f t="shared" si="74"/>
        <v>-1</v>
      </c>
      <c r="AI224">
        <f t="shared" si="75"/>
        <v>1</v>
      </c>
      <c r="AJ224" s="9">
        <f t="shared" si="65"/>
        <v>19</v>
      </c>
      <c r="AK224">
        <f t="shared" si="76"/>
        <v>0</v>
      </c>
      <c r="AL224" s="9">
        <v>1</v>
      </c>
    </row>
    <row r="225" spans="1:38" x14ac:dyDescent="0.35">
      <c r="A225" s="9">
        <v>1</v>
      </c>
      <c r="B225" s="9" t="s">
        <v>41</v>
      </c>
      <c r="C225" s="53">
        <v>43896</v>
      </c>
      <c r="D225" s="53">
        <v>43907</v>
      </c>
      <c r="E225" s="53">
        <v>44075</v>
      </c>
      <c r="F225" s="21">
        <f t="shared" si="64"/>
        <v>168</v>
      </c>
      <c r="G225" s="53">
        <v>43908</v>
      </c>
      <c r="H225" s="9">
        <v>2020</v>
      </c>
      <c r="I225" s="9">
        <v>1</v>
      </c>
      <c r="J225" s="9">
        <v>6</v>
      </c>
      <c r="K225" s="9">
        <v>25</v>
      </c>
      <c r="L225" s="50" t="s">
        <v>349</v>
      </c>
      <c r="M225">
        <v>2</v>
      </c>
      <c r="N225">
        <v>2</v>
      </c>
      <c r="O225">
        <v>-2</v>
      </c>
      <c r="P225">
        <v>-1</v>
      </c>
      <c r="Q225">
        <v>2</v>
      </c>
      <c r="R225">
        <v>-1</v>
      </c>
      <c r="S225">
        <v>2</v>
      </c>
      <c r="T225">
        <v>-2</v>
      </c>
      <c r="U225">
        <v>1</v>
      </c>
      <c r="V225" t="s">
        <v>956</v>
      </c>
      <c r="W225" t="s">
        <v>990</v>
      </c>
      <c r="X225" t="s">
        <v>998</v>
      </c>
      <c r="Y225" t="s">
        <v>1003</v>
      </c>
      <c r="Z225">
        <v>1</v>
      </c>
      <c r="AA225">
        <f t="shared" si="67"/>
        <v>1</v>
      </c>
      <c r="AB225">
        <f t="shared" si="68"/>
        <v>1</v>
      </c>
      <c r="AC225">
        <f t="shared" si="69"/>
        <v>0</v>
      </c>
      <c r="AD225">
        <f t="shared" si="70"/>
        <v>0</v>
      </c>
      <c r="AE225">
        <f t="shared" si="71"/>
        <v>1</v>
      </c>
      <c r="AF225">
        <f t="shared" si="72"/>
        <v>0</v>
      </c>
      <c r="AG225">
        <f t="shared" si="73"/>
        <v>1</v>
      </c>
      <c r="AH225">
        <f t="shared" si="74"/>
        <v>0</v>
      </c>
      <c r="AI225">
        <f t="shared" si="75"/>
        <v>1</v>
      </c>
      <c r="AJ225" s="9">
        <f t="shared" si="65"/>
        <v>25</v>
      </c>
      <c r="AK225">
        <f t="shared" si="76"/>
        <v>0</v>
      </c>
      <c r="AL225" s="9">
        <v>1</v>
      </c>
    </row>
    <row r="226" spans="1:38" x14ac:dyDescent="0.35">
      <c r="A226" s="9">
        <v>1</v>
      </c>
      <c r="B226" s="9" t="s">
        <v>41</v>
      </c>
      <c r="C226" s="53">
        <v>43896</v>
      </c>
      <c r="D226" s="53">
        <v>43907</v>
      </c>
      <c r="E226" s="53">
        <v>44075</v>
      </c>
      <c r="F226" s="21">
        <f t="shared" si="64"/>
        <v>168</v>
      </c>
      <c r="G226" s="53">
        <v>43908</v>
      </c>
      <c r="H226" s="9">
        <v>2020</v>
      </c>
      <c r="I226" s="9">
        <v>1</v>
      </c>
      <c r="J226" s="9">
        <v>6</v>
      </c>
      <c r="K226" s="9">
        <v>27</v>
      </c>
      <c r="L226" s="50" t="s">
        <v>352</v>
      </c>
      <c r="M226">
        <v>1</v>
      </c>
      <c r="N226">
        <v>1</v>
      </c>
      <c r="O226">
        <v>2</v>
      </c>
      <c r="P226">
        <v>-1</v>
      </c>
      <c r="S226">
        <v>1</v>
      </c>
      <c r="T226">
        <v>2</v>
      </c>
      <c r="U226">
        <v>1</v>
      </c>
      <c r="V226" t="s">
        <v>956</v>
      </c>
      <c r="W226" t="s">
        <v>990</v>
      </c>
      <c r="X226" t="s">
        <v>998</v>
      </c>
      <c r="Y226" t="s">
        <v>1003</v>
      </c>
      <c r="Z226">
        <v>1</v>
      </c>
      <c r="AA226">
        <f t="shared" si="67"/>
        <v>1</v>
      </c>
      <c r="AB226">
        <f t="shared" si="68"/>
        <v>1</v>
      </c>
      <c r="AC226">
        <f t="shared" si="69"/>
        <v>1</v>
      </c>
      <c r="AD226">
        <f t="shared" si="70"/>
        <v>0</v>
      </c>
      <c r="AE226">
        <f t="shared" si="71"/>
        <v>-1</v>
      </c>
      <c r="AF226">
        <f t="shared" si="72"/>
        <v>-1</v>
      </c>
      <c r="AG226">
        <f t="shared" si="73"/>
        <v>1</v>
      </c>
      <c r="AH226">
        <f t="shared" si="74"/>
        <v>1</v>
      </c>
      <c r="AI226">
        <f t="shared" si="75"/>
        <v>1</v>
      </c>
      <c r="AJ226" s="9">
        <f t="shared" si="65"/>
        <v>27</v>
      </c>
      <c r="AK226">
        <f t="shared" si="76"/>
        <v>0</v>
      </c>
      <c r="AL226" s="9">
        <v>1</v>
      </c>
    </row>
    <row r="227" spans="1:38" x14ac:dyDescent="0.35">
      <c r="A227" s="9">
        <v>1</v>
      </c>
      <c r="B227" s="9" t="s">
        <v>41</v>
      </c>
      <c r="C227" s="53">
        <v>43896</v>
      </c>
      <c r="D227" s="53">
        <v>43907</v>
      </c>
      <c r="E227" s="53">
        <v>44075</v>
      </c>
      <c r="F227" s="21">
        <f t="shared" si="64"/>
        <v>168</v>
      </c>
      <c r="G227" s="53">
        <v>43908</v>
      </c>
      <c r="H227" s="9">
        <v>2020</v>
      </c>
      <c r="I227" s="9">
        <v>1</v>
      </c>
      <c r="J227" s="9">
        <v>1</v>
      </c>
      <c r="K227" s="9">
        <v>6</v>
      </c>
      <c r="L227" s="50" t="s">
        <v>355</v>
      </c>
      <c r="M227">
        <v>2</v>
      </c>
      <c r="N227">
        <v>2</v>
      </c>
      <c r="O227">
        <v>2</v>
      </c>
      <c r="P227">
        <v>2</v>
      </c>
      <c r="Q227">
        <v>2</v>
      </c>
      <c r="R227">
        <v>2</v>
      </c>
      <c r="S227">
        <v>1</v>
      </c>
      <c r="T227">
        <v>2</v>
      </c>
      <c r="U227">
        <v>1</v>
      </c>
      <c r="V227" t="s">
        <v>956</v>
      </c>
      <c r="W227" t="s">
        <v>990</v>
      </c>
      <c r="X227" t="s">
        <v>998</v>
      </c>
      <c r="Y227" t="s">
        <v>1003</v>
      </c>
      <c r="Z227">
        <v>1</v>
      </c>
      <c r="AA227">
        <f t="shared" si="67"/>
        <v>1</v>
      </c>
      <c r="AB227">
        <f t="shared" si="68"/>
        <v>1</v>
      </c>
      <c r="AC227">
        <f t="shared" si="69"/>
        <v>1</v>
      </c>
      <c r="AD227">
        <f t="shared" si="70"/>
        <v>1</v>
      </c>
      <c r="AE227">
        <f t="shared" si="71"/>
        <v>1</v>
      </c>
      <c r="AF227">
        <f t="shared" si="72"/>
        <v>1</v>
      </c>
      <c r="AG227">
        <f t="shared" si="73"/>
        <v>1</v>
      </c>
      <c r="AH227">
        <f t="shared" si="74"/>
        <v>1</v>
      </c>
      <c r="AI227">
        <f t="shared" si="75"/>
        <v>1</v>
      </c>
      <c r="AJ227" s="9">
        <f t="shared" si="65"/>
        <v>6</v>
      </c>
      <c r="AK227">
        <f t="shared" si="76"/>
        <v>0</v>
      </c>
      <c r="AL227" s="9">
        <v>1</v>
      </c>
    </row>
    <row r="228" spans="1:38" x14ac:dyDescent="0.35">
      <c r="A228" s="9">
        <v>1</v>
      </c>
      <c r="B228" s="9" t="s">
        <v>41</v>
      </c>
      <c r="C228" s="53">
        <v>43896</v>
      </c>
      <c r="D228" s="53">
        <v>43907</v>
      </c>
      <c r="E228" s="53">
        <v>44075</v>
      </c>
      <c r="F228" s="21">
        <f t="shared" si="64"/>
        <v>168</v>
      </c>
      <c r="G228" s="53">
        <v>43908</v>
      </c>
      <c r="H228" s="9">
        <v>2020</v>
      </c>
      <c r="I228" s="9">
        <v>1</v>
      </c>
      <c r="J228" s="9">
        <v>1</v>
      </c>
      <c r="K228" s="9">
        <v>9</v>
      </c>
      <c r="L228" s="50" t="s">
        <v>357</v>
      </c>
      <c r="M228">
        <v>-2</v>
      </c>
      <c r="N228">
        <v>2</v>
      </c>
      <c r="O228">
        <v>2</v>
      </c>
      <c r="P228">
        <v>2</v>
      </c>
      <c r="Q228">
        <v>2</v>
      </c>
      <c r="R228">
        <v>-2</v>
      </c>
      <c r="S228">
        <v>-2</v>
      </c>
      <c r="T228">
        <v>2</v>
      </c>
      <c r="U228">
        <v>1</v>
      </c>
      <c r="V228" t="s">
        <v>956</v>
      </c>
      <c r="W228" t="s">
        <v>990</v>
      </c>
      <c r="X228" t="s">
        <v>998</v>
      </c>
      <c r="Y228" t="s">
        <v>1003</v>
      </c>
      <c r="Z228">
        <v>1</v>
      </c>
      <c r="AA228">
        <f t="shared" si="67"/>
        <v>0</v>
      </c>
      <c r="AB228">
        <f t="shared" si="68"/>
        <v>1</v>
      </c>
      <c r="AC228">
        <f t="shared" si="69"/>
        <v>1</v>
      </c>
      <c r="AD228">
        <f t="shared" si="70"/>
        <v>1</v>
      </c>
      <c r="AE228">
        <f t="shared" si="71"/>
        <v>1</v>
      </c>
      <c r="AF228">
        <f t="shared" si="72"/>
        <v>0</v>
      </c>
      <c r="AG228">
        <f t="shared" si="73"/>
        <v>0</v>
      </c>
      <c r="AH228">
        <f t="shared" si="74"/>
        <v>1</v>
      </c>
      <c r="AI228">
        <f t="shared" si="75"/>
        <v>1</v>
      </c>
      <c r="AJ228" s="9">
        <f t="shared" si="65"/>
        <v>9</v>
      </c>
      <c r="AK228">
        <f t="shared" si="76"/>
        <v>0</v>
      </c>
      <c r="AL228" s="9">
        <v>1</v>
      </c>
    </row>
    <row r="229" spans="1:38" x14ac:dyDescent="0.35">
      <c r="A229" s="9">
        <v>1</v>
      </c>
      <c r="B229" s="9" t="s">
        <v>41</v>
      </c>
      <c r="C229" s="53">
        <v>43896</v>
      </c>
      <c r="D229" s="53">
        <v>43907</v>
      </c>
      <c r="E229" s="53">
        <v>44075</v>
      </c>
      <c r="F229" s="21">
        <f t="shared" si="64"/>
        <v>168</v>
      </c>
      <c r="G229" s="53">
        <v>43908</v>
      </c>
      <c r="H229" s="9">
        <v>2020</v>
      </c>
      <c r="I229" s="9">
        <v>1</v>
      </c>
      <c r="J229" s="9">
        <v>5</v>
      </c>
      <c r="K229" s="9" t="s">
        <v>204</v>
      </c>
      <c r="L229" s="50" t="s">
        <v>348</v>
      </c>
      <c r="M229">
        <v>1</v>
      </c>
      <c r="N229">
        <v>-2</v>
      </c>
      <c r="O229">
        <v>-2</v>
      </c>
      <c r="P229">
        <v>-1</v>
      </c>
      <c r="Q229">
        <v>-1</v>
      </c>
      <c r="R229">
        <v>1</v>
      </c>
      <c r="S229">
        <v>1</v>
      </c>
      <c r="T229">
        <v>2</v>
      </c>
      <c r="U229">
        <v>1</v>
      </c>
      <c r="V229" t="s">
        <v>956</v>
      </c>
      <c r="W229" t="s">
        <v>990</v>
      </c>
      <c r="X229" t="s">
        <v>998</v>
      </c>
      <c r="Y229" t="s">
        <v>1003</v>
      </c>
      <c r="Z229">
        <v>1</v>
      </c>
      <c r="AA229">
        <f t="shared" si="67"/>
        <v>1</v>
      </c>
      <c r="AB229">
        <f t="shared" si="68"/>
        <v>0</v>
      </c>
      <c r="AC229">
        <f t="shared" si="69"/>
        <v>0</v>
      </c>
      <c r="AD229">
        <f t="shared" si="70"/>
        <v>0</v>
      </c>
      <c r="AE229">
        <f t="shared" si="71"/>
        <v>0</v>
      </c>
      <c r="AF229">
        <f t="shared" si="72"/>
        <v>1</v>
      </c>
      <c r="AG229">
        <f t="shared" si="73"/>
        <v>1</v>
      </c>
      <c r="AH229">
        <f t="shared" si="74"/>
        <v>1</v>
      </c>
      <c r="AI229">
        <f t="shared" si="75"/>
        <v>1</v>
      </c>
      <c r="AJ229" s="9" t="str">
        <f t="shared" si="65"/>
        <v>General</v>
      </c>
      <c r="AK229">
        <f t="shared" si="76"/>
        <v>0</v>
      </c>
      <c r="AL229" s="9">
        <v>1</v>
      </c>
    </row>
    <row r="230" spans="1:38" x14ac:dyDescent="0.35">
      <c r="A230" s="9">
        <v>1</v>
      </c>
      <c r="B230" s="9" t="s">
        <v>41</v>
      </c>
      <c r="C230" s="53">
        <v>43896</v>
      </c>
      <c r="D230" s="53">
        <v>43907</v>
      </c>
      <c r="E230" s="53">
        <v>44075</v>
      </c>
      <c r="F230" s="21">
        <f t="shared" si="64"/>
        <v>168</v>
      </c>
      <c r="G230" s="53">
        <v>43908</v>
      </c>
      <c r="H230" s="9">
        <v>2020</v>
      </c>
      <c r="I230" s="9">
        <v>1</v>
      </c>
      <c r="J230" s="9">
        <v>6</v>
      </c>
      <c r="K230" s="9">
        <v>25</v>
      </c>
      <c r="L230" s="50" t="s">
        <v>364</v>
      </c>
      <c r="M230">
        <v>-1</v>
      </c>
      <c r="N230">
        <v>1</v>
      </c>
      <c r="O230">
        <v>1</v>
      </c>
      <c r="P230">
        <v>-1</v>
      </c>
      <c r="Q230">
        <v>1</v>
      </c>
      <c r="R230">
        <v>1</v>
      </c>
      <c r="S230">
        <v>1</v>
      </c>
      <c r="T230">
        <v>-2</v>
      </c>
      <c r="U230">
        <v>1</v>
      </c>
      <c r="V230" t="s">
        <v>956</v>
      </c>
      <c r="W230" t="s">
        <v>990</v>
      </c>
      <c r="X230" t="s">
        <v>998</v>
      </c>
      <c r="Y230" t="s">
        <v>1003</v>
      </c>
      <c r="Z230">
        <v>1</v>
      </c>
      <c r="AA230">
        <f t="shared" si="67"/>
        <v>0</v>
      </c>
      <c r="AB230">
        <f t="shared" si="68"/>
        <v>1</v>
      </c>
      <c r="AC230">
        <f t="shared" si="69"/>
        <v>1</v>
      </c>
      <c r="AD230">
        <f t="shared" si="70"/>
        <v>0</v>
      </c>
      <c r="AE230">
        <f t="shared" si="71"/>
        <v>1</v>
      </c>
      <c r="AF230">
        <f t="shared" si="72"/>
        <v>1</v>
      </c>
      <c r="AG230">
        <f t="shared" si="73"/>
        <v>1</v>
      </c>
      <c r="AH230">
        <f t="shared" si="74"/>
        <v>0</v>
      </c>
      <c r="AI230">
        <f t="shared" si="75"/>
        <v>1</v>
      </c>
      <c r="AJ230" s="9">
        <f t="shared" si="65"/>
        <v>25</v>
      </c>
      <c r="AK230">
        <f t="shared" si="76"/>
        <v>0</v>
      </c>
      <c r="AL230" s="9">
        <v>1</v>
      </c>
    </row>
    <row r="231" spans="1:38" x14ac:dyDescent="0.35">
      <c r="A231" s="9">
        <v>1</v>
      </c>
      <c r="B231" s="9" t="s">
        <v>41</v>
      </c>
      <c r="C231" s="53">
        <v>43896</v>
      </c>
      <c r="D231" s="53">
        <v>43907</v>
      </c>
      <c r="E231" s="53">
        <v>44075</v>
      </c>
      <c r="F231" s="21">
        <f t="shared" si="64"/>
        <v>168</v>
      </c>
      <c r="G231" s="53">
        <v>43908</v>
      </c>
      <c r="H231" s="9">
        <v>2020</v>
      </c>
      <c r="I231" s="9">
        <v>1</v>
      </c>
      <c r="J231" s="9">
        <v>4</v>
      </c>
      <c r="K231" s="9" t="s">
        <v>206</v>
      </c>
      <c r="L231" s="50" t="s">
        <v>363</v>
      </c>
      <c r="M231">
        <v>-2</v>
      </c>
      <c r="N231">
        <v>2</v>
      </c>
      <c r="O231">
        <v>-2</v>
      </c>
      <c r="P231">
        <v>-1</v>
      </c>
      <c r="Q231">
        <v>-2</v>
      </c>
      <c r="R231">
        <v>2</v>
      </c>
      <c r="S231">
        <v>1</v>
      </c>
      <c r="U231">
        <v>1</v>
      </c>
      <c r="V231" t="s">
        <v>956</v>
      </c>
      <c r="W231" t="s">
        <v>990</v>
      </c>
      <c r="X231" t="s">
        <v>998</v>
      </c>
      <c r="Y231" t="s">
        <v>1003</v>
      </c>
      <c r="Z231">
        <v>1</v>
      </c>
      <c r="AA231">
        <f t="shared" si="67"/>
        <v>0</v>
      </c>
      <c r="AB231">
        <f t="shared" si="68"/>
        <v>1</v>
      </c>
      <c r="AC231">
        <f t="shared" si="69"/>
        <v>0</v>
      </c>
      <c r="AD231">
        <f t="shared" si="70"/>
        <v>0</v>
      </c>
      <c r="AE231">
        <f t="shared" si="71"/>
        <v>0</v>
      </c>
      <c r="AF231">
        <f t="shared" si="72"/>
        <v>1</v>
      </c>
      <c r="AG231">
        <f t="shared" si="73"/>
        <v>1</v>
      </c>
      <c r="AH231">
        <f t="shared" si="74"/>
        <v>-1</v>
      </c>
      <c r="AI231">
        <f t="shared" si="75"/>
        <v>1</v>
      </c>
      <c r="AJ231" s="9" t="str">
        <f t="shared" si="65"/>
        <v>Tax exemption/waiver/suspension</v>
      </c>
      <c r="AK231">
        <f t="shared" si="76"/>
        <v>0</v>
      </c>
      <c r="AL231" s="9">
        <v>1</v>
      </c>
    </row>
    <row r="232" spans="1:38" x14ac:dyDescent="0.35">
      <c r="A232" s="9">
        <v>1</v>
      </c>
      <c r="B232" s="9" t="s">
        <v>41</v>
      </c>
      <c r="C232" s="53">
        <v>43896</v>
      </c>
      <c r="D232" s="53">
        <v>43907</v>
      </c>
      <c r="E232" s="53">
        <v>44075</v>
      </c>
      <c r="F232" s="21">
        <f t="shared" si="64"/>
        <v>168</v>
      </c>
      <c r="G232" s="53">
        <v>43908</v>
      </c>
      <c r="H232" s="9">
        <v>2020</v>
      </c>
      <c r="I232" s="9">
        <v>1</v>
      </c>
      <c r="J232" s="9">
        <v>6</v>
      </c>
      <c r="K232" s="9">
        <v>25</v>
      </c>
      <c r="L232" s="50" t="s">
        <v>360</v>
      </c>
      <c r="M232">
        <v>1</v>
      </c>
      <c r="N232">
        <v>1</v>
      </c>
      <c r="O232">
        <v>2</v>
      </c>
      <c r="P232">
        <v>-1</v>
      </c>
      <c r="Q232">
        <v>-1</v>
      </c>
      <c r="R232">
        <v>1</v>
      </c>
      <c r="S232">
        <v>1</v>
      </c>
      <c r="T232">
        <v>-2</v>
      </c>
      <c r="U232">
        <v>1</v>
      </c>
      <c r="V232" t="s">
        <v>956</v>
      </c>
      <c r="W232" t="s">
        <v>990</v>
      </c>
      <c r="X232" t="s">
        <v>998</v>
      </c>
      <c r="Y232" t="s">
        <v>1003</v>
      </c>
      <c r="Z232">
        <v>1</v>
      </c>
      <c r="AA232">
        <f t="shared" si="67"/>
        <v>1</v>
      </c>
      <c r="AB232">
        <f t="shared" si="68"/>
        <v>1</v>
      </c>
      <c r="AC232">
        <f t="shared" si="69"/>
        <v>1</v>
      </c>
      <c r="AD232">
        <f t="shared" si="70"/>
        <v>0</v>
      </c>
      <c r="AE232">
        <f t="shared" si="71"/>
        <v>0</v>
      </c>
      <c r="AF232">
        <f t="shared" si="72"/>
        <v>1</v>
      </c>
      <c r="AG232">
        <f t="shared" si="73"/>
        <v>1</v>
      </c>
      <c r="AH232">
        <f t="shared" si="74"/>
        <v>0</v>
      </c>
      <c r="AI232">
        <f t="shared" si="75"/>
        <v>1</v>
      </c>
      <c r="AJ232" s="9">
        <f t="shared" si="65"/>
        <v>25</v>
      </c>
      <c r="AK232">
        <f t="shared" si="76"/>
        <v>0</v>
      </c>
      <c r="AL232" s="9">
        <v>1</v>
      </c>
    </row>
    <row r="233" spans="1:38" x14ac:dyDescent="0.35">
      <c r="A233" s="9">
        <v>1</v>
      </c>
      <c r="B233" s="9" t="s">
        <v>41</v>
      </c>
      <c r="C233" s="53">
        <v>43896</v>
      </c>
      <c r="D233" s="53">
        <v>43907</v>
      </c>
      <c r="E233" s="53">
        <v>44075</v>
      </c>
      <c r="F233" s="21">
        <f t="shared" si="64"/>
        <v>168</v>
      </c>
      <c r="G233" s="53">
        <v>43908</v>
      </c>
      <c r="H233" s="9">
        <v>2020</v>
      </c>
      <c r="I233" s="9">
        <v>1</v>
      </c>
      <c r="J233" s="9">
        <v>3</v>
      </c>
      <c r="K233" s="9" t="s">
        <v>206</v>
      </c>
      <c r="L233" s="50" t="s">
        <v>356</v>
      </c>
      <c r="M233">
        <v>2</v>
      </c>
      <c r="N233">
        <v>2</v>
      </c>
      <c r="O233">
        <v>-2</v>
      </c>
      <c r="P233">
        <v>-1</v>
      </c>
      <c r="Q233">
        <v>-2</v>
      </c>
      <c r="R233">
        <v>-2</v>
      </c>
      <c r="S233">
        <v>-2</v>
      </c>
      <c r="U233">
        <v>1</v>
      </c>
      <c r="V233" t="s">
        <v>956</v>
      </c>
      <c r="W233" t="s">
        <v>990</v>
      </c>
      <c r="X233" t="s">
        <v>998</v>
      </c>
      <c r="Y233" t="s">
        <v>1003</v>
      </c>
      <c r="Z233">
        <v>1</v>
      </c>
      <c r="AA233">
        <f t="shared" si="67"/>
        <v>1</v>
      </c>
      <c r="AB233">
        <f t="shared" si="68"/>
        <v>1</v>
      </c>
      <c r="AC233">
        <f t="shared" si="69"/>
        <v>0</v>
      </c>
      <c r="AD233">
        <f t="shared" si="70"/>
        <v>0</v>
      </c>
      <c r="AE233">
        <f t="shared" si="71"/>
        <v>0</v>
      </c>
      <c r="AF233">
        <f t="shared" si="72"/>
        <v>0</v>
      </c>
      <c r="AG233">
        <f t="shared" si="73"/>
        <v>0</v>
      </c>
      <c r="AH233">
        <f t="shared" si="74"/>
        <v>-1</v>
      </c>
      <c r="AI233">
        <f t="shared" si="75"/>
        <v>1</v>
      </c>
      <c r="AJ233" s="9" t="str">
        <f t="shared" si="65"/>
        <v>Tax exemption/waiver/suspension</v>
      </c>
      <c r="AK233">
        <f t="shared" si="76"/>
        <v>0</v>
      </c>
      <c r="AL233" s="9">
        <v>1</v>
      </c>
    </row>
    <row r="234" spans="1:38" x14ac:dyDescent="0.35">
      <c r="A234" s="9">
        <v>1</v>
      </c>
      <c r="B234" s="9" t="s">
        <v>41</v>
      </c>
      <c r="C234" s="53">
        <v>43896</v>
      </c>
      <c r="D234" s="53">
        <v>43907</v>
      </c>
      <c r="E234" s="53">
        <v>44075</v>
      </c>
      <c r="F234" s="21">
        <f t="shared" si="64"/>
        <v>168</v>
      </c>
      <c r="G234" s="53">
        <v>43908</v>
      </c>
      <c r="H234" s="9">
        <v>2020</v>
      </c>
      <c r="I234" s="9">
        <v>1</v>
      </c>
      <c r="J234" s="9">
        <v>6</v>
      </c>
      <c r="K234" s="9">
        <v>28</v>
      </c>
      <c r="L234" s="50" t="s">
        <v>340</v>
      </c>
      <c r="M234">
        <v>1</v>
      </c>
      <c r="N234">
        <v>1</v>
      </c>
      <c r="O234">
        <v>2</v>
      </c>
      <c r="P234">
        <v>-1</v>
      </c>
      <c r="Q234">
        <v>2</v>
      </c>
      <c r="R234">
        <v>1</v>
      </c>
      <c r="S234">
        <v>1</v>
      </c>
      <c r="T234">
        <v>1</v>
      </c>
      <c r="U234">
        <v>1</v>
      </c>
      <c r="V234" t="s">
        <v>956</v>
      </c>
      <c r="W234" t="s">
        <v>990</v>
      </c>
      <c r="X234" t="s">
        <v>998</v>
      </c>
      <c r="Y234" t="s">
        <v>1003</v>
      </c>
      <c r="Z234">
        <v>1</v>
      </c>
      <c r="AA234">
        <f t="shared" si="67"/>
        <v>1</v>
      </c>
      <c r="AB234">
        <f t="shared" si="68"/>
        <v>1</v>
      </c>
      <c r="AC234">
        <f t="shared" si="69"/>
        <v>1</v>
      </c>
      <c r="AD234">
        <f t="shared" si="70"/>
        <v>0</v>
      </c>
      <c r="AE234">
        <f t="shared" si="71"/>
        <v>1</v>
      </c>
      <c r="AF234">
        <f t="shared" si="72"/>
        <v>1</v>
      </c>
      <c r="AG234">
        <f t="shared" si="73"/>
        <v>1</v>
      </c>
      <c r="AH234">
        <f t="shared" si="74"/>
        <v>1</v>
      </c>
      <c r="AI234">
        <f t="shared" si="75"/>
        <v>1</v>
      </c>
      <c r="AJ234" s="9">
        <f t="shared" si="65"/>
        <v>28</v>
      </c>
      <c r="AK234">
        <f t="shared" si="76"/>
        <v>0</v>
      </c>
      <c r="AL234" s="9">
        <v>1</v>
      </c>
    </row>
    <row r="235" spans="1:38" x14ac:dyDescent="0.35">
      <c r="A235" s="9">
        <v>1</v>
      </c>
      <c r="B235" s="9" t="s">
        <v>41</v>
      </c>
      <c r="C235" s="53">
        <v>43896</v>
      </c>
      <c r="D235" s="53">
        <v>43907</v>
      </c>
      <c r="E235" s="53">
        <v>44075</v>
      </c>
      <c r="F235" s="21">
        <f t="shared" si="64"/>
        <v>168</v>
      </c>
      <c r="G235" s="53">
        <v>43908</v>
      </c>
      <c r="H235" s="9">
        <v>2020</v>
      </c>
      <c r="I235" s="9">
        <v>1</v>
      </c>
      <c r="J235" s="9">
        <v>6</v>
      </c>
      <c r="K235" s="9">
        <v>25</v>
      </c>
      <c r="L235" s="50" t="s">
        <v>346</v>
      </c>
      <c r="M235">
        <v>1</v>
      </c>
      <c r="N235">
        <v>1</v>
      </c>
      <c r="O235">
        <v>-2</v>
      </c>
      <c r="P235">
        <v>-1</v>
      </c>
      <c r="Q235">
        <v>1</v>
      </c>
      <c r="R235">
        <v>1</v>
      </c>
      <c r="S235">
        <v>1</v>
      </c>
      <c r="T235">
        <v>-2</v>
      </c>
      <c r="U235">
        <v>1</v>
      </c>
      <c r="V235" t="s">
        <v>956</v>
      </c>
      <c r="W235" t="s">
        <v>990</v>
      </c>
      <c r="X235" t="s">
        <v>998</v>
      </c>
      <c r="Y235" t="s">
        <v>1003</v>
      </c>
      <c r="Z235">
        <v>1</v>
      </c>
      <c r="AA235">
        <f t="shared" si="67"/>
        <v>1</v>
      </c>
      <c r="AB235">
        <f t="shared" si="68"/>
        <v>1</v>
      </c>
      <c r="AC235">
        <f t="shared" si="69"/>
        <v>0</v>
      </c>
      <c r="AD235">
        <f t="shared" si="70"/>
        <v>0</v>
      </c>
      <c r="AE235">
        <f t="shared" si="71"/>
        <v>1</v>
      </c>
      <c r="AF235">
        <f t="shared" si="72"/>
        <v>1</v>
      </c>
      <c r="AG235">
        <f t="shared" si="73"/>
        <v>1</v>
      </c>
      <c r="AH235">
        <f t="shared" si="74"/>
        <v>0</v>
      </c>
      <c r="AI235">
        <f t="shared" si="75"/>
        <v>1</v>
      </c>
      <c r="AJ235" s="9">
        <f t="shared" si="65"/>
        <v>25</v>
      </c>
      <c r="AK235">
        <f t="shared" si="76"/>
        <v>0</v>
      </c>
      <c r="AL235" s="9">
        <v>1</v>
      </c>
    </row>
    <row r="236" spans="1:38" x14ac:dyDescent="0.35">
      <c r="A236" s="9">
        <v>1</v>
      </c>
      <c r="B236" s="9" t="s">
        <v>41</v>
      </c>
      <c r="C236" s="53">
        <v>43896</v>
      </c>
      <c r="D236" s="53">
        <v>43907</v>
      </c>
      <c r="E236" s="53">
        <v>44075</v>
      </c>
      <c r="F236" s="21">
        <f t="shared" si="64"/>
        <v>168</v>
      </c>
      <c r="G236" s="53">
        <v>43908</v>
      </c>
      <c r="H236" s="9">
        <v>2020</v>
      </c>
      <c r="I236" s="9">
        <v>1</v>
      </c>
      <c r="J236" s="9">
        <v>6</v>
      </c>
      <c r="K236" s="9">
        <v>28</v>
      </c>
      <c r="L236" s="50" t="s">
        <v>361</v>
      </c>
      <c r="M236">
        <v>-1</v>
      </c>
      <c r="N236">
        <v>1</v>
      </c>
      <c r="O236">
        <v>-2</v>
      </c>
      <c r="P236">
        <v>-1</v>
      </c>
      <c r="Q236">
        <v>2</v>
      </c>
      <c r="R236">
        <v>1</v>
      </c>
      <c r="S236">
        <v>1</v>
      </c>
      <c r="T236">
        <v>1</v>
      </c>
      <c r="U236">
        <v>1</v>
      </c>
      <c r="V236" t="s">
        <v>956</v>
      </c>
      <c r="W236" t="s">
        <v>990</v>
      </c>
      <c r="X236" t="s">
        <v>998</v>
      </c>
      <c r="Y236" t="s">
        <v>1003</v>
      </c>
      <c r="Z236">
        <v>1</v>
      </c>
      <c r="AA236">
        <f t="shared" si="67"/>
        <v>0</v>
      </c>
      <c r="AB236">
        <f t="shared" si="68"/>
        <v>1</v>
      </c>
      <c r="AC236">
        <f t="shared" si="69"/>
        <v>0</v>
      </c>
      <c r="AD236">
        <f t="shared" si="70"/>
        <v>0</v>
      </c>
      <c r="AE236">
        <f t="shared" si="71"/>
        <v>1</v>
      </c>
      <c r="AF236">
        <f t="shared" si="72"/>
        <v>1</v>
      </c>
      <c r="AG236">
        <f t="shared" si="73"/>
        <v>1</v>
      </c>
      <c r="AH236">
        <f t="shared" si="74"/>
        <v>1</v>
      </c>
      <c r="AI236">
        <f t="shared" si="75"/>
        <v>1</v>
      </c>
      <c r="AJ236" s="9">
        <f t="shared" ref="AJ236:AJ269" si="77">IF(ISNUMBER(K236),K236,IF(OR(K236="general",K236="23;general"),"General",IF(OR(K236="exemption",K236="other (exemption)"),"Tax exemption/waiver/suspension","Other")))</f>
        <v>28</v>
      </c>
      <c r="AK236">
        <f t="shared" si="76"/>
        <v>0</v>
      </c>
      <c r="AL236" s="9">
        <v>1</v>
      </c>
    </row>
    <row r="237" spans="1:38" x14ac:dyDescent="0.35">
      <c r="A237" s="9">
        <v>1</v>
      </c>
      <c r="B237" s="9" t="s">
        <v>41</v>
      </c>
      <c r="C237" s="53">
        <v>43896</v>
      </c>
      <c r="D237" s="53">
        <v>43907</v>
      </c>
      <c r="E237" s="53">
        <v>44075</v>
      </c>
      <c r="F237" s="21">
        <f t="shared" si="64"/>
        <v>168</v>
      </c>
      <c r="G237" s="53">
        <v>43908</v>
      </c>
      <c r="H237" s="9">
        <v>2020</v>
      </c>
      <c r="I237" s="9">
        <v>1</v>
      </c>
      <c r="J237" s="9">
        <v>6</v>
      </c>
      <c r="K237" s="9">
        <v>28</v>
      </c>
      <c r="L237" s="50" t="s">
        <v>353</v>
      </c>
      <c r="M237">
        <v>1</v>
      </c>
      <c r="N237">
        <v>1</v>
      </c>
      <c r="O237">
        <v>-2</v>
      </c>
      <c r="P237">
        <v>-1</v>
      </c>
      <c r="R237">
        <v>2</v>
      </c>
      <c r="S237">
        <v>1</v>
      </c>
      <c r="T237">
        <v>-2</v>
      </c>
      <c r="U237">
        <v>1</v>
      </c>
      <c r="V237" t="s">
        <v>956</v>
      </c>
      <c r="W237" t="s">
        <v>990</v>
      </c>
      <c r="X237" t="s">
        <v>998</v>
      </c>
      <c r="Y237" t="s">
        <v>1003</v>
      </c>
      <c r="Z237">
        <v>1</v>
      </c>
      <c r="AA237">
        <f t="shared" si="67"/>
        <v>1</v>
      </c>
      <c r="AB237">
        <f t="shared" si="68"/>
        <v>1</v>
      </c>
      <c r="AC237">
        <f t="shared" si="69"/>
        <v>0</v>
      </c>
      <c r="AD237">
        <f t="shared" si="70"/>
        <v>0</v>
      </c>
      <c r="AE237">
        <f t="shared" si="71"/>
        <v>-1</v>
      </c>
      <c r="AF237">
        <f t="shared" si="72"/>
        <v>1</v>
      </c>
      <c r="AG237">
        <f t="shared" si="73"/>
        <v>1</v>
      </c>
      <c r="AH237">
        <f t="shared" si="74"/>
        <v>0</v>
      </c>
      <c r="AI237">
        <f t="shared" si="75"/>
        <v>1</v>
      </c>
      <c r="AJ237" s="9">
        <f t="shared" si="77"/>
        <v>28</v>
      </c>
      <c r="AK237">
        <f t="shared" si="76"/>
        <v>0</v>
      </c>
      <c r="AL237" s="9">
        <v>1</v>
      </c>
    </row>
    <row r="238" spans="1:38" x14ac:dyDescent="0.35">
      <c r="A238" s="9">
        <v>1</v>
      </c>
      <c r="B238" s="9" t="s">
        <v>41</v>
      </c>
      <c r="C238" s="53">
        <v>43896</v>
      </c>
      <c r="D238" s="53">
        <v>43907</v>
      </c>
      <c r="E238" s="53">
        <v>44075</v>
      </c>
      <c r="F238" s="21">
        <f t="shared" si="64"/>
        <v>168</v>
      </c>
      <c r="G238" s="53">
        <v>43908</v>
      </c>
      <c r="H238" s="9">
        <v>2020</v>
      </c>
      <c r="I238" s="9">
        <v>1</v>
      </c>
      <c r="J238" s="9">
        <v>1</v>
      </c>
      <c r="K238" s="9">
        <v>7</v>
      </c>
      <c r="L238" s="50" t="s">
        <v>345</v>
      </c>
      <c r="M238">
        <v>-2</v>
      </c>
      <c r="N238">
        <v>2</v>
      </c>
      <c r="O238">
        <v>-2</v>
      </c>
      <c r="P238">
        <v>-1</v>
      </c>
      <c r="Q238">
        <v>-2</v>
      </c>
      <c r="R238">
        <v>2</v>
      </c>
      <c r="S238">
        <v>1</v>
      </c>
      <c r="T238">
        <v>2</v>
      </c>
      <c r="U238">
        <v>1</v>
      </c>
      <c r="V238" t="s">
        <v>956</v>
      </c>
      <c r="W238" t="s">
        <v>990</v>
      </c>
      <c r="X238" t="s">
        <v>998</v>
      </c>
      <c r="Y238" t="s">
        <v>1003</v>
      </c>
      <c r="Z238">
        <v>1</v>
      </c>
      <c r="AA238">
        <f t="shared" si="67"/>
        <v>0</v>
      </c>
      <c r="AB238">
        <f t="shared" si="68"/>
        <v>1</v>
      </c>
      <c r="AC238">
        <f t="shared" si="69"/>
        <v>0</v>
      </c>
      <c r="AD238">
        <f t="shared" si="70"/>
        <v>0</v>
      </c>
      <c r="AE238">
        <f t="shared" si="71"/>
        <v>0</v>
      </c>
      <c r="AF238">
        <f t="shared" si="72"/>
        <v>1</v>
      </c>
      <c r="AG238">
        <f t="shared" si="73"/>
        <v>1</v>
      </c>
      <c r="AH238">
        <f t="shared" si="74"/>
        <v>1</v>
      </c>
      <c r="AI238">
        <f t="shared" si="75"/>
        <v>1</v>
      </c>
      <c r="AJ238" s="9">
        <f t="shared" si="77"/>
        <v>7</v>
      </c>
      <c r="AK238">
        <f t="shared" si="76"/>
        <v>0</v>
      </c>
      <c r="AL238" s="9">
        <v>1</v>
      </c>
    </row>
    <row r="239" spans="1:38" x14ac:dyDescent="0.35">
      <c r="A239" s="9">
        <v>1</v>
      </c>
      <c r="B239" s="9" t="s">
        <v>41</v>
      </c>
      <c r="C239" s="53">
        <v>43896</v>
      </c>
      <c r="D239" s="53">
        <v>43907</v>
      </c>
      <c r="E239" s="53">
        <v>44075</v>
      </c>
      <c r="F239" s="21">
        <f t="shared" si="64"/>
        <v>168</v>
      </c>
      <c r="G239" s="53">
        <v>43908</v>
      </c>
      <c r="H239" s="9">
        <v>2020</v>
      </c>
      <c r="I239" s="9">
        <v>1</v>
      </c>
      <c r="J239" s="9">
        <v>6</v>
      </c>
      <c r="K239" s="9">
        <v>25</v>
      </c>
      <c r="L239" s="50" t="s">
        <v>350</v>
      </c>
      <c r="M239">
        <v>1</v>
      </c>
      <c r="N239">
        <v>1</v>
      </c>
      <c r="O239">
        <v>-2</v>
      </c>
      <c r="P239">
        <v>-1</v>
      </c>
      <c r="R239">
        <v>-2</v>
      </c>
      <c r="S239">
        <v>1</v>
      </c>
      <c r="T239">
        <v>-1</v>
      </c>
      <c r="U239">
        <v>1</v>
      </c>
      <c r="V239" t="s">
        <v>956</v>
      </c>
      <c r="W239" t="s">
        <v>990</v>
      </c>
      <c r="X239" t="s">
        <v>998</v>
      </c>
      <c r="Y239" t="s">
        <v>1003</v>
      </c>
      <c r="Z239">
        <v>1</v>
      </c>
      <c r="AA239">
        <f t="shared" si="67"/>
        <v>1</v>
      </c>
      <c r="AB239">
        <f t="shared" si="68"/>
        <v>1</v>
      </c>
      <c r="AC239">
        <f t="shared" si="69"/>
        <v>0</v>
      </c>
      <c r="AD239">
        <f t="shared" si="70"/>
        <v>0</v>
      </c>
      <c r="AE239">
        <f t="shared" si="71"/>
        <v>-1</v>
      </c>
      <c r="AF239">
        <f t="shared" si="72"/>
        <v>0</v>
      </c>
      <c r="AG239">
        <f t="shared" si="73"/>
        <v>1</v>
      </c>
      <c r="AH239">
        <f t="shared" si="74"/>
        <v>0</v>
      </c>
      <c r="AI239">
        <f t="shared" si="75"/>
        <v>1</v>
      </c>
      <c r="AJ239" s="9">
        <f t="shared" si="77"/>
        <v>25</v>
      </c>
      <c r="AK239">
        <f t="shared" si="76"/>
        <v>0</v>
      </c>
      <c r="AL239" s="9">
        <v>1</v>
      </c>
    </row>
    <row r="240" spans="1:38" x14ac:dyDescent="0.35">
      <c r="A240" s="9">
        <v>1</v>
      </c>
      <c r="B240" s="9" t="s">
        <v>41</v>
      </c>
      <c r="C240" s="53">
        <v>43896</v>
      </c>
      <c r="D240" s="53">
        <v>43907</v>
      </c>
      <c r="E240" s="53">
        <v>44075</v>
      </c>
      <c r="F240" s="21">
        <f t="shared" si="64"/>
        <v>168</v>
      </c>
      <c r="G240" s="53">
        <v>43908</v>
      </c>
      <c r="H240" s="9">
        <v>2020</v>
      </c>
      <c r="I240" s="9">
        <v>1</v>
      </c>
      <c r="J240" s="9">
        <v>1</v>
      </c>
      <c r="K240" s="9">
        <v>6</v>
      </c>
      <c r="L240" s="50" t="s">
        <v>351</v>
      </c>
      <c r="M240">
        <v>2</v>
      </c>
      <c r="N240">
        <v>2</v>
      </c>
      <c r="O240">
        <v>2</v>
      </c>
      <c r="P240">
        <v>2</v>
      </c>
      <c r="Q240">
        <v>2</v>
      </c>
      <c r="R240">
        <v>2</v>
      </c>
      <c r="S240">
        <v>1</v>
      </c>
      <c r="T240">
        <v>2</v>
      </c>
      <c r="U240">
        <v>1</v>
      </c>
      <c r="V240" t="s">
        <v>956</v>
      </c>
      <c r="W240" t="s">
        <v>990</v>
      </c>
      <c r="X240" t="s">
        <v>998</v>
      </c>
      <c r="Y240" t="s">
        <v>1003</v>
      </c>
      <c r="Z240">
        <v>1</v>
      </c>
      <c r="AA240">
        <f t="shared" si="67"/>
        <v>1</v>
      </c>
      <c r="AB240">
        <f t="shared" si="68"/>
        <v>1</v>
      </c>
      <c r="AC240">
        <f t="shared" si="69"/>
        <v>1</v>
      </c>
      <c r="AD240">
        <f t="shared" si="70"/>
        <v>1</v>
      </c>
      <c r="AE240">
        <f t="shared" si="71"/>
        <v>1</v>
      </c>
      <c r="AF240">
        <f t="shared" si="72"/>
        <v>1</v>
      </c>
      <c r="AG240">
        <f t="shared" si="73"/>
        <v>1</v>
      </c>
      <c r="AH240">
        <f t="shared" si="74"/>
        <v>1</v>
      </c>
      <c r="AI240">
        <f t="shared" si="75"/>
        <v>1</v>
      </c>
      <c r="AJ240" s="9">
        <f t="shared" si="77"/>
        <v>6</v>
      </c>
      <c r="AK240">
        <f t="shared" si="76"/>
        <v>0</v>
      </c>
      <c r="AL240" s="9">
        <v>1</v>
      </c>
    </row>
    <row r="241" spans="1:38" x14ac:dyDescent="0.35">
      <c r="A241" s="9">
        <v>1</v>
      </c>
      <c r="B241" s="9" t="s">
        <v>41</v>
      </c>
      <c r="C241" s="53">
        <v>43896</v>
      </c>
      <c r="D241" s="53">
        <v>43907</v>
      </c>
      <c r="E241" s="53">
        <v>44075</v>
      </c>
      <c r="F241" s="21">
        <f t="shared" si="64"/>
        <v>168</v>
      </c>
      <c r="G241" s="53">
        <v>43908</v>
      </c>
      <c r="H241" s="9">
        <v>2020</v>
      </c>
      <c r="I241" s="9">
        <v>1</v>
      </c>
      <c r="J241" s="9">
        <v>6</v>
      </c>
      <c r="K241" s="9">
        <v>28</v>
      </c>
      <c r="L241" s="50" t="s">
        <v>358</v>
      </c>
      <c r="M241">
        <v>1</v>
      </c>
      <c r="N241">
        <v>1</v>
      </c>
      <c r="O241">
        <v>2</v>
      </c>
      <c r="P241">
        <v>1</v>
      </c>
      <c r="Q241">
        <v>1</v>
      </c>
      <c r="R241">
        <v>1</v>
      </c>
      <c r="S241">
        <v>1</v>
      </c>
      <c r="T241">
        <v>1</v>
      </c>
      <c r="U241">
        <v>1</v>
      </c>
      <c r="V241" t="s">
        <v>956</v>
      </c>
      <c r="W241" t="s">
        <v>990</v>
      </c>
      <c r="X241" t="s">
        <v>998</v>
      </c>
      <c r="Y241" t="s">
        <v>1003</v>
      </c>
      <c r="Z241">
        <v>1</v>
      </c>
      <c r="AA241">
        <f t="shared" si="67"/>
        <v>1</v>
      </c>
      <c r="AB241">
        <f t="shared" si="68"/>
        <v>1</v>
      </c>
      <c r="AC241">
        <f t="shared" si="69"/>
        <v>1</v>
      </c>
      <c r="AD241">
        <f t="shared" si="70"/>
        <v>1</v>
      </c>
      <c r="AE241">
        <f t="shared" si="71"/>
        <v>1</v>
      </c>
      <c r="AF241">
        <f t="shared" si="72"/>
        <v>1</v>
      </c>
      <c r="AG241">
        <f t="shared" si="73"/>
        <v>1</v>
      </c>
      <c r="AH241">
        <f t="shared" si="74"/>
        <v>1</v>
      </c>
      <c r="AI241">
        <f t="shared" si="75"/>
        <v>1</v>
      </c>
      <c r="AJ241" s="9">
        <f t="shared" si="77"/>
        <v>28</v>
      </c>
      <c r="AK241">
        <f t="shared" si="76"/>
        <v>0</v>
      </c>
      <c r="AL241" s="9">
        <v>1</v>
      </c>
    </row>
    <row r="242" spans="1:38" x14ac:dyDescent="0.35">
      <c r="A242" s="9">
        <v>1</v>
      </c>
      <c r="B242" s="9" t="s">
        <v>41</v>
      </c>
      <c r="C242" s="53">
        <v>43896</v>
      </c>
      <c r="D242" s="53">
        <v>43907</v>
      </c>
      <c r="E242" s="53">
        <v>44075</v>
      </c>
      <c r="F242" s="21">
        <f t="shared" si="64"/>
        <v>168</v>
      </c>
      <c r="G242" s="53">
        <v>43908</v>
      </c>
      <c r="H242" s="9">
        <v>2020</v>
      </c>
      <c r="I242" s="9">
        <v>1</v>
      </c>
      <c r="J242" s="9">
        <v>7</v>
      </c>
      <c r="K242" s="9">
        <v>30</v>
      </c>
      <c r="L242" s="50" t="s">
        <v>347</v>
      </c>
      <c r="M242">
        <v>1</v>
      </c>
      <c r="N242">
        <v>1</v>
      </c>
      <c r="O242">
        <v>2</v>
      </c>
      <c r="P242">
        <v>1</v>
      </c>
      <c r="Q242">
        <v>1</v>
      </c>
      <c r="R242">
        <v>1</v>
      </c>
      <c r="S242">
        <v>1</v>
      </c>
      <c r="T242">
        <v>-2</v>
      </c>
      <c r="U242">
        <v>1</v>
      </c>
      <c r="V242" t="s">
        <v>956</v>
      </c>
      <c r="W242" t="s">
        <v>990</v>
      </c>
      <c r="X242" t="s">
        <v>998</v>
      </c>
      <c r="Y242" t="s">
        <v>1003</v>
      </c>
      <c r="Z242">
        <v>1</v>
      </c>
      <c r="AA242">
        <f t="shared" si="67"/>
        <v>1</v>
      </c>
      <c r="AB242">
        <f t="shared" si="68"/>
        <v>1</v>
      </c>
      <c r="AC242">
        <f t="shared" si="69"/>
        <v>1</v>
      </c>
      <c r="AD242">
        <f t="shared" si="70"/>
        <v>1</v>
      </c>
      <c r="AE242">
        <f t="shared" si="71"/>
        <v>1</v>
      </c>
      <c r="AF242">
        <f t="shared" si="72"/>
        <v>1</v>
      </c>
      <c r="AG242">
        <f t="shared" si="73"/>
        <v>1</v>
      </c>
      <c r="AH242">
        <f t="shared" si="74"/>
        <v>0</v>
      </c>
      <c r="AI242">
        <f t="shared" si="75"/>
        <v>1</v>
      </c>
      <c r="AJ242" s="9">
        <f t="shared" si="77"/>
        <v>30</v>
      </c>
      <c r="AK242">
        <f t="shared" si="76"/>
        <v>0</v>
      </c>
      <c r="AL242" s="9">
        <v>1</v>
      </c>
    </row>
    <row r="243" spans="1:38" x14ac:dyDescent="0.35">
      <c r="A243" s="9">
        <v>1</v>
      </c>
      <c r="B243" s="9" t="s">
        <v>41</v>
      </c>
      <c r="C243" s="53">
        <v>43896</v>
      </c>
      <c r="D243" s="53">
        <v>43907</v>
      </c>
      <c r="E243" s="53">
        <v>44075</v>
      </c>
      <c r="F243" s="21">
        <f t="shared" si="64"/>
        <v>168</v>
      </c>
      <c r="G243" s="53">
        <v>43908</v>
      </c>
      <c r="H243" s="9">
        <v>2020</v>
      </c>
      <c r="I243" s="9">
        <v>1</v>
      </c>
      <c r="J243" s="9">
        <v>3</v>
      </c>
      <c r="K243" s="9" t="s">
        <v>206</v>
      </c>
      <c r="L243" s="50" t="s">
        <v>354</v>
      </c>
      <c r="M243">
        <v>2</v>
      </c>
      <c r="N243">
        <v>2</v>
      </c>
      <c r="O243">
        <v>-2</v>
      </c>
      <c r="P243">
        <v>-1</v>
      </c>
      <c r="Q243">
        <v>-2</v>
      </c>
      <c r="R243">
        <v>2</v>
      </c>
      <c r="S243">
        <v>-2</v>
      </c>
      <c r="U243">
        <v>1</v>
      </c>
      <c r="V243" t="s">
        <v>956</v>
      </c>
      <c r="W243" t="s">
        <v>990</v>
      </c>
      <c r="X243" t="s">
        <v>998</v>
      </c>
      <c r="Y243" t="s">
        <v>1003</v>
      </c>
      <c r="Z243">
        <v>1</v>
      </c>
      <c r="AA243">
        <f t="shared" si="67"/>
        <v>1</v>
      </c>
      <c r="AB243">
        <f t="shared" si="68"/>
        <v>1</v>
      </c>
      <c r="AC243">
        <f t="shared" si="69"/>
        <v>0</v>
      </c>
      <c r="AD243">
        <f t="shared" si="70"/>
        <v>0</v>
      </c>
      <c r="AE243">
        <f t="shared" si="71"/>
        <v>0</v>
      </c>
      <c r="AF243">
        <f t="shared" si="72"/>
        <v>1</v>
      </c>
      <c r="AG243">
        <f t="shared" si="73"/>
        <v>0</v>
      </c>
      <c r="AH243">
        <f t="shared" si="74"/>
        <v>-1</v>
      </c>
      <c r="AI243">
        <f t="shared" si="75"/>
        <v>1</v>
      </c>
      <c r="AJ243" s="9" t="str">
        <f t="shared" si="77"/>
        <v>Tax exemption/waiver/suspension</v>
      </c>
      <c r="AK243">
        <f t="shared" si="76"/>
        <v>0</v>
      </c>
      <c r="AL243" s="9">
        <v>1</v>
      </c>
    </row>
    <row r="244" spans="1:38" x14ac:dyDescent="0.35">
      <c r="A244" s="9">
        <v>1</v>
      </c>
      <c r="B244" s="9" t="s">
        <v>41</v>
      </c>
      <c r="C244" s="53">
        <v>43896</v>
      </c>
      <c r="D244" s="53">
        <v>43907</v>
      </c>
      <c r="E244" s="53">
        <v>44075</v>
      </c>
      <c r="F244" s="21">
        <f t="shared" si="64"/>
        <v>168</v>
      </c>
      <c r="G244" s="53">
        <v>43908</v>
      </c>
      <c r="H244" s="9">
        <v>2020</v>
      </c>
      <c r="I244" s="9">
        <v>1</v>
      </c>
      <c r="J244" s="9">
        <v>1</v>
      </c>
      <c r="K244" s="9">
        <v>5</v>
      </c>
      <c r="L244" s="50" t="s">
        <v>359</v>
      </c>
      <c r="M244">
        <v>-2</v>
      </c>
      <c r="N244">
        <v>2</v>
      </c>
      <c r="O244">
        <v>2</v>
      </c>
      <c r="P244">
        <v>2</v>
      </c>
      <c r="Q244">
        <v>2</v>
      </c>
      <c r="R244">
        <v>2</v>
      </c>
      <c r="S244">
        <v>1</v>
      </c>
      <c r="T244">
        <v>2</v>
      </c>
      <c r="U244">
        <v>1</v>
      </c>
      <c r="V244" t="s">
        <v>956</v>
      </c>
      <c r="W244" t="s">
        <v>990</v>
      </c>
      <c r="X244" t="s">
        <v>998</v>
      </c>
      <c r="Y244" t="s">
        <v>1003</v>
      </c>
      <c r="Z244">
        <v>1</v>
      </c>
      <c r="AA244">
        <f t="shared" si="67"/>
        <v>0</v>
      </c>
      <c r="AB244">
        <f t="shared" si="68"/>
        <v>1</v>
      </c>
      <c r="AC244">
        <f t="shared" si="69"/>
        <v>1</v>
      </c>
      <c r="AD244">
        <f t="shared" si="70"/>
        <v>1</v>
      </c>
      <c r="AE244">
        <f t="shared" si="71"/>
        <v>1</v>
      </c>
      <c r="AF244">
        <f t="shared" si="72"/>
        <v>1</v>
      </c>
      <c r="AG244">
        <f t="shared" si="73"/>
        <v>1</v>
      </c>
      <c r="AH244">
        <f t="shared" si="74"/>
        <v>1</v>
      </c>
      <c r="AI244">
        <f t="shared" si="75"/>
        <v>1</v>
      </c>
      <c r="AJ244" s="9">
        <f t="shared" si="77"/>
        <v>5</v>
      </c>
      <c r="AK244">
        <f t="shared" si="76"/>
        <v>0</v>
      </c>
      <c r="AL244" s="9">
        <v>1</v>
      </c>
    </row>
    <row r="245" spans="1:38" x14ac:dyDescent="0.35">
      <c r="A245" s="9">
        <v>1</v>
      </c>
      <c r="B245" s="9" t="s">
        <v>41</v>
      </c>
      <c r="C245" s="53">
        <v>43896</v>
      </c>
      <c r="D245" s="53">
        <v>43907</v>
      </c>
      <c r="E245" s="53">
        <v>44075</v>
      </c>
      <c r="F245" s="21">
        <f t="shared" si="64"/>
        <v>168</v>
      </c>
      <c r="G245" s="53">
        <v>43908</v>
      </c>
      <c r="H245" s="9">
        <v>2020</v>
      </c>
      <c r="I245" s="9">
        <v>1</v>
      </c>
      <c r="J245" s="9">
        <v>1</v>
      </c>
      <c r="K245" s="9">
        <v>6</v>
      </c>
      <c r="L245" s="50" t="s">
        <v>339</v>
      </c>
      <c r="M245">
        <v>-2</v>
      </c>
      <c r="N245">
        <v>2</v>
      </c>
      <c r="O245">
        <v>-2</v>
      </c>
      <c r="P245">
        <v>-1</v>
      </c>
      <c r="Q245">
        <v>-2</v>
      </c>
      <c r="R245">
        <v>2</v>
      </c>
      <c r="S245">
        <v>1</v>
      </c>
      <c r="U245">
        <v>1</v>
      </c>
      <c r="V245" t="s">
        <v>956</v>
      </c>
      <c r="W245" t="s">
        <v>990</v>
      </c>
      <c r="X245" t="s">
        <v>998</v>
      </c>
      <c r="Y245" t="s">
        <v>1003</v>
      </c>
      <c r="Z245">
        <v>1</v>
      </c>
      <c r="AA245">
        <f t="shared" si="67"/>
        <v>0</v>
      </c>
      <c r="AB245">
        <f t="shared" si="68"/>
        <v>1</v>
      </c>
      <c r="AC245">
        <f t="shared" si="69"/>
        <v>0</v>
      </c>
      <c r="AD245">
        <f t="shared" si="70"/>
        <v>0</v>
      </c>
      <c r="AE245">
        <f t="shared" si="71"/>
        <v>0</v>
      </c>
      <c r="AF245">
        <f t="shared" si="72"/>
        <v>1</v>
      </c>
      <c r="AG245">
        <f t="shared" si="73"/>
        <v>1</v>
      </c>
      <c r="AH245">
        <f t="shared" si="74"/>
        <v>-1</v>
      </c>
      <c r="AI245">
        <f t="shared" si="75"/>
        <v>1</v>
      </c>
      <c r="AJ245" s="9">
        <f t="shared" si="77"/>
        <v>6</v>
      </c>
      <c r="AK245">
        <f t="shared" si="76"/>
        <v>0</v>
      </c>
      <c r="AL245" s="9">
        <v>1</v>
      </c>
    </row>
    <row r="246" spans="1:38" x14ac:dyDescent="0.35">
      <c r="A246" s="9">
        <v>1</v>
      </c>
      <c r="B246" s="9" t="s">
        <v>41</v>
      </c>
      <c r="C246" s="53">
        <v>43896</v>
      </c>
      <c r="D246" s="53">
        <v>43907</v>
      </c>
      <c r="E246" s="53">
        <v>44075</v>
      </c>
      <c r="F246" s="21">
        <f t="shared" si="64"/>
        <v>168</v>
      </c>
      <c r="G246" s="53">
        <v>43908</v>
      </c>
      <c r="H246" s="9">
        <v>2020</v>
      </c>
      <c r="I246" s="9">
        <v>1</v>
      </c>
      <c r="J246" s="9">
        <v>7</v>
      </c>
      <c r="K246" s="9">
        <v>30</v>
      </c>
      <c r="L246" s="50" t="s">
        <v>344</v>
      </c>
      <c r="M246">
        <v>1</v>
      </c>
      <c r="N246">
        <v>1</v>
      </c>
      <c r="O246">
        <v>2</v>
      </c>
      <c r="P246">
        <v>1</v>
      </c>
      <c r="Q246">
        <v>1</v>
      </c>
      <c r="R246">
        <v>1</v>
      </c>
      <c r="S246">
        <v>1</v>
      </c>
      <c r="T246">
        <v>-2</v>
      </c>
      <c r="U246">
        <v>1</v>
      </c>
      <c r="V246" t="s">
        <v>956</v>
      </c>
      <c r="W246" t="s">
        <v>990</v>
      </c>
      <c r="X246" t="s">
        <v>998</v>
      </c>
      <c r="Y246" t="s">
        <v>1003</v>
      </c>
      <c r="Z246">
        <v>1</v>
      </c>
      <c r="AA246">
        <f t="shared" si="67"/>
        <v>1</v>
      </c>
      <c r="AB246">
        <f t="shared" si="68"/>
        <v>1</v>
      </c>
      <c r="AC246">
        <f t="shared" si="69"/>
        <v>1</v>
      </c>
      <c r="AD246">
        <f t="shared" si="70"/>
        <v>1</v>
      </c>
      <c r="AE246">
        <f t="shared" si="71"/>
        <v>1</v>
      </c>
      <c r="AF246">
        <f t="shared" si="72"/>
        <v>1</v>
      </c>
      <c r="AG246">
        <f t="shared" si="73"/>
        <v>1</v>
      </c>
      <c r="AH246">
        <f t="shared" si="74"/>
        <v>0</v>
      </c>
      <c r="AI246">
        <f t="shared" si="75"/>
        <v>1</v>
      </c>
      <c r="AJ246" s="9">
        <f t="shared" si="77"/>
        <v>30</v>
      </c>
      <c r="AK246">
        <f t="shared" si="76"/>
        <v>0</v>
      </c>
      <c r="AL246" s="9">
        <v>0</v>
      </c>
    </row>
    <row r="247" spans="1:38" x14ac:dyDescent="0.35">
      <c r="A247" s="9">
        <v>1</v>
      </c>
      <c r="B247" s="50" t="s">
        <v>41</v>
      </c>
      <c r="C247" s="53">
        <v>43896</v>
      </c>
      <c r="D247" s="53">
        <v>43907</v>
      </c>
      <c r="E247" s="53">
        <v>44075</v>
      </c>
      <c r="F247" s="21">
        <f t="shared" si="64"/>
        <v>168</v>
      </c>
      <c r="G247" s="53">
        <v>43908</v>
      </c>
      <c r="H247" s="9">
        <v>2020</v>
      </c>
      <c r="I247" s="9">
        <v>1</v>
      </c>
      <c r="J247" s="50">
        <v>5</v>
      </c>
      <c r="K247" s="50">
        <v>23</v>
      </c>
      <c r="L247" s="24" t="s">
        <v>1285</v>
      </c>
      <c r="M247" s="24"/>
      <c r="V247" t="s">
        <v>956</v>
      </c>
      <c r="W247" t="s">
        <v>990</v>
      </c>
      <c r="X247" t="s">
        <v>998</v>
      </c>
      <c r="Y247" t="s">
        <v>1003</v>
      </c>
      <c r="Z247">
        <v>1</v>
      </c>
      <c r="AA247">
        <v>-1</v>
      </c>
      <c r="AB247">
        <v>-1</v>
      </c>
      <c r="AC247">
        <v>-1</v>
      </c>
      <c r="AD247">
        <v>-1</v>
      </c>
      <c r="AE247">
        <v>-1</v>
      </c>
      <c r="AF247">
        <v>-1</v>
      </c>
      <c r="AG247">
        <v>-1</v>
      </c>
      <c r="AH247">
        <v>-1</v>
      </c>
      <c r="AI247">
        <v>-1</v>
      </c>
      <c r="AJ247" s="9">
        <f t="shared" si="77"/>
        <v>23</v>
      </c>
      <c r="AK247" t="e">
        <f>IF(B247&lt;&gt;#REF!,1,0)</f>
        <v>#REF!</v>
      </c>
      <c r="AL247" s="9">
        <v>0</v>
      </c>
    </row>
    <row r="248" spans="1:38" x14ac:dyDescent="0.35">
      <c r="A248" s="9">
        <v>1</v>
      </c>
      <c r="B248" s="50" t="s">
        <v>41</v>
      </c>
      <c r="C248" s="53">
        <v>43896</v>
      </c>
      <c r="D248" s="53">
        <v>43907</v>
      </c>
      <c r="E248" s="53">
        <v>44075</v>
      </c>
      <c r="F248" s="21">
        <f t="shared" si="64"/>
        <v>168</v>
      </c>
      <c r="G248" s="53">
        <v>43908</v>
      </c>
      <c r="H248" s="9">
        <v>2020</v>
      </c>
      <c r="I248" s="9">
        <v>1</v>
      </c>
      <c r="J248" s="50">
        <v>6</v>
      </c>
      <c r="K248" s="50">
        <v>29</v>
      </c>
      <c r="L248" s="24" t="s">
        <v>1286</v>
      </c>
      <c r="M248" s="24"/>
      <c r="V248" t="s">
        <v>956</v>
      </c>
      <c r="W248" t="s">
        <v>990</v>
      </c>
      <c r="X248" t="s">
        <v>998</v>
      </c>
      <c r="Y248" t="s">
        <v>1003</v>
      </c>
      <c r="Z248">
        <v>1</v>
      </c>
      <c r="AA248">
        <v>-1</v>
      </c>
      <c r="AB248">
        <v>-1</v>
      </c>
      <c r="AC248">
        <v>-1</v>
      </c>
      <c r="AD248">
        <v>-1</v>
      </c>
      <c r="AE248">
        <v>-1</v>
      </c>
      <c r="AF248">
        <v>-1</v>
      </c>
      <c r="AG248">
        <v>-1</v>
      </c>
      <c r="AH248">
        <v>-1</v>
      </c>
      <c r="AI248">
        <v>-1</v>
      </c>
      <c r="AJ248" s="9">
        <f t="shared" si="77"/>
        <v>29</v>
      </c>
      <c r="AK248">
        <f t="shared" si="76"/>
        <v>0</v>
      </c>
      <c r="AL248" s="9">
        <v>0</v>
      </c>
    </row>
    <row r="249" spans="1:38" x14ac:dyDescent="0.35">
      <c r="A249" s="9">
        <v>1</v>
      </c>
      <c r="B249" s="50" t="s">
        <v>41</v>
      </c>
      <c r="C249" s="53">
        <v>43896</v>
      </c>
      <c r="D249" s="53">
        <v>43907</v>
      </c>
      <c r="E249" s="53">
        <v>44075</v>
      </c>
      <c r="F249" s="21">
        <f t="shared" si="64"/>
        <v>168</v>
      </c>
      <c r="G249" s="53">
        <v>43908</v>
      </c>
      <c r="H249" s="9">
        <v>2020</v>
      </c>
      <c r="I249" s="9">
        <v>1</v>
      </c>
      <c r="J249" s="50">
        <v>9</v>
      </c>
      <c r="K249" s="50">
        <v>34</v>
      </c>
      <c r="L249" s="24" t="s">
        <v>1287</v>
      </c>
      <c r="M249" s="24"/>
      <c r="V249" t="s">
        <v>956</v>
      </c>
      <c r="W249" t="s">
        <v>990</v>
      </c>
      <c r="X249" t="s">
        <v>998</v>
      </c>
      <c r="Y249" t="s">
        <v>1003</v>
      </c>
      <c r="Z249">
        <v>1</v>
      </c>
      <c r="AA249">
        <v>-1</v>
      </c>
      <c r="AB249">
        <v>-1</v>
      </c>
      <c r="AC249">
        <v>-1</v>
      </c>
      <c r="AD249">
        <v>-1</v>
      </c>
      <c r="AE249">
        <v>-1</v>
      </c>
      <c r="AF249">
        <v>-1</v>
      </c>
      <c r="AG249">
        <v>-1</v>
      </c>
      <c r="AH249">
        <v>-1</v>
      </c>
      <c r="AI249">
        <v>-1</v>
      </c>
      <c r="AJ249" s="9">
        <f t="shared" si="77"/>
        <v>34</v>
      </c>
      <c r="AK249">
        <f t="shared" si="76"/>
        <v>0</v>
      </c>
      <c r="AL249" s="9">
        <v>0</v>
      </c>
    </row>
    <row r="250" spans="1:38" x14ac:dyDescent="0.35">
      <c r="A250" s="9">
        <v>1</v>
      </c>
      <c r="B250" s="50" t="s">
        <v>41</v>
      </c>
      <c r="C250" s="53">
        <v>43896</v>
      </c>
      <c r="D250" s="53">
        <v>43907</v>
      </c>
      <c r="E250" s="53">
        <v>44075</v>
      </c>
      <c r="F250" s="21">
        <f t="shared" si="64"/>
        <v>168</v>
      </c>
      <c r="G250" s="53">
        <v>43908</v>
      </c>
      <c r="H250" s="9">
        <v>2020</v>
      </c>
      <c r="I250" s="9">
        <v>1</v>
      </c>
      <c r="J250" s="50">
        <v>1</v>
      </c>
      <c r="K250" s="50">
        <v>11</v>
      </c>
      <c r="L250" s="24" t="s">
        <v>1288</v>
      </c>
      <c r="M250" s="24"/>
      <c r="V250" t="s">
        <v>956</v>
      </c>
      <c r="W250" t="s">
        <v>990</v>
      </c>
      <c r="X250" t="s">
        <v>998</v>
      </c>
      <c r="Y250" t="s">
        <v>1003</v>
      </c>
      <c r="Z250">
        <v>1</v>
      </c>
      <c r="AA250">
        <v>-1</v>
      </c>
      <c r="AB250">
        <v>-1</v>
      </c>
      <c r="AC250">
        <v>-1</v>
      </c>
      <c r="AD250">
        <v>-1</v>
      </c>
      <c r="AE250">
        <v>-1</v>
      </c>
      <c r="AF250">
        <v>-1</v>
      </c>
      <c r="AG250">
        <v>-1</v>
      </c>
      <c r="AH250">
        <v>-1</v>
      </c>
      <c r="AI250">
        <v>-1</v>
      </c>
      <c r="AJ250" s="9">
        <f t="shared" si="77"/>
        <v>11</v>
      </c>
      <c r="AK250">
        <f t="shared" si="76"/>
        <v>0</v>
      </c>
      <c r="AL250" s="9">
        <v>0</v>
      </c>
    </row>
    <row r="251" spans="1:38" x14ac:dyDescent="0.35">
      <c r="A251" s="9">
        <v>1</v>
      </c>
      <c r="B251" s="50" t="s">
        <v>41</v>
      </c>
      <c r="C251" s="53">
        <v>43896</v>
      </c>
      <c r="D251" s="53">
        <v>43907</v>
      </c>
      <c r="E251" s="53">
        <v>44075</v>
      </c>
      <c r="F251" s="21">
        <f t="shared" si="64"/>
        <v>168</v>
      </c>
      <c r="G251" s="53">
        <v>43908</v>
      </c>
      <c r="H251" s="9">
        <v>2020</v>
      </c>
      <c r="I251" s="9">
        <v>1</v>
      </c>
      <c r="J251" s="50">
        <v>1</v>
      </c>
      <c r="K251" s="50">
        <v>7</v>
      </c>
      <c r="L251" s="24" t="s">
        <v>1289</v>
      </c>
      <c r="M251" s="24"/>
      <c r="V251" t="s">
        <v>956</v>
      </c>
      <c r="W251" t="s">
        <v>990</v>
      </c>
      <c r="X251" t="s">
        <v>998</v>
      </c>
      <c r="Y251" t="s">
        <v>1003</v>
      </c>
      <c r="Z251">
        <v>1</v>
      </c>
      <c r="AA251">
        <v>-1</v>
      </c>
      <c r="AB251">
        <v>-1</v>
      </c>
      <c r="AC251">
        <v>-1</v>
      </c>
      <c r="AD251">
        <v>-1</v>
      </c>
      <c r="AE251">
        <v>-1</v>
      </c>
      <c r="AF251">
        <v>-1</v>
      </c>
      <c r="AG251">
        <v>-1</v>
      </c>
      <c r="AH251">
        <v>-1</v>
      </c>
      <c r="AI251">
        <v>-1</v>
      </c>
      <c r="AJ251" s="9">
        <f t="shared" si="77"/>
        <v>7</v>
      </c>
      <c r="AK251">
        <f t="shared" si="76"/>
        <v>0</v>
      </c>
      <c r="AL251" s="9">
        <v>0</v>
      </c>
    </row>
    <row r="252" spans="1:38" x14ac:dyDescent="0.35">
      <c r="A252" s="9">
        <v>1</v>
      </c>
      <c r="B252" s="50" t="s">
        <v>41</v>
      </c>
      <c r="C252" s="53">
        <v>43896</v>
      </c>
      <c r="D252" s="53">
        <v>43907</v>
      </c>
      <c r="E252" s="53">
        <v>44075</v>
      </c>
      <c r="F252" s="21">
        <f t="shared" si="64"/>
        <v>168</v>
      </c>
      <c r="G252" s="53">
        <v>43908</v>
      </c>
      <c r="H252" s="9">
        <v>2020</v>
      </c>
      <c r="I252" s="9">
        <v>1</v>
      </c>
      <c r="J252" s="50">
        <v>4</v>
      </c>
      <c r="K252" s="50">
        <v>20</v>
      </c>
      <c r="L252" s="24" t="s">
        <v>1290</v>
      </c>
      <c r="M252" s="24"/>
      <c r="V252" t="s">
        <v>956</v>
      </c>
      <c r="W252" t="s">
        <v>990</v>
      </c>
      <c r="X252" t="s">
        <v>998</v>
      </c>
      <c r="Y252" t="s">
        <v>1003</v>
      </c>
      <c r="Z252">
        <v>1</v>
      </c>
      <c r="AA252">
        <v>-1</v>
      </c>
      <c r="AB252">
        <v>-1</v>
      </c>
      <c r="AC252">
        <v>-1</v>
      </c>
      <c r="AD252">
        <v>-1</v>
      </c>
      <c r="AE252">
        <v>-1</v>
      </c>
      <c r="AF252">
        <v>-1</v>
      </c>
      <c r="AG252">
        <v>-1</v>
      </c>
      <c r="AH252">
        <v>-1</v>
      </c>
      <c r="AI252">
        <v>-1</v>
      </c>
      <c r="AJ252" s="9">
        <f t="shared" si="77"/>
        <v>20</v>
      </c>
      <c r="AK252">
        <f t="shared" si="76"/>
        <v>0</v>
      </c>
      <c r="AL252" s="9">
        <v>0</v>
      </c>
    </row>
    <row r="253" spans="1:38" x14ac:dyDescent="0.35">
      <c r="A253" s="9">
        <v>1</v>
      </c>
      <c r="B253" s="50" t="s">
        <v>41</v>
      </c>
      <c r="C253" s="53">
        <v>43896</v>
      </c>
      <c r="D253" s="53">
        <v>43907</v>
      </c>
      <c r="E253" s="53">
        <v>44075</v>
      </c>
      <c r="F253" s="21">
        <f t="shared" si="64"/>
        <v>168</v>
      </c>
      <c r="G253" s="53">
        <v>43908</v>
      </c>
      <c r="H253" s="9">
        <v>2020</v>
      </c>
      <c r="I253" s="9">
        <v>1</v>
      </c>
      <c r="J253" s="50">
        <v>1</v>
      </c>
      <c r="K253" s="50" t="s">
        <v>206</v>
      </c>
      <c r="L253" s="24" t="s">
        <v>1291</v>
      </c>
      <c r="M253" s="24"/>
      <c r="V253" t="s">
        <v>956</v>
      </c>
      <c r="W253" t="s">
        <v>990</v>
      </c>
      <c r="X253" t="s">
        <v>998</v>
      </c>
      <c r="Y253" t="s">
        <v>1003</v>
      </c>
      <c r="Z253">
        <v>1</v>
      </c>
      <c r="AA253">
        <v>-1</v>
      </c>
      <c r="AB253">
        <v>-1</v>
      </c>
      <c r="AC253">
        <v>-1</v>
      </c>
      <c r="AD253">
        <v>-1</v>
      </c>
      <c r="AE253">
        <v>-1</v>
      </c>
      <c r="AF253">
        <v>-1</v>
      </c>
      <c r="AG253">
        <v>-1</v>
      </c>
      <c r="AH253">
        <v>-1</v>
      </c>
      <c r="AI253">
        <v>-1</v>
      </c>
      <c r="AJ253" s="9" t="str">
        <f t="shared" si="77"/>
        <v>Tax exemption/waiver/suspension</v>
      </c>
      <c r="AK253">
        <f t="shared" si="76"/>
        <v>0</v>
      </c>
      <c r="AL253" s="9">
        <v>0</v>
      </c>
    </row>
    <row r="254" spans="1:38" x14ac:dyDescent="0.35">
      <c r="A254" s="9">
        <v>1</v>
      </c>
      <c r="B254" s="50" t="s">
        <v>41</v>
      </c>
      <c r="C254" s="53">
        <v>43896</v>
      </c>
      <c r="D254" s="53">
        <v>43907</v>
      </c>
      <c r="E254" s="53">
        <v>44075</v>
      </c>
      <c r="F254" s="21">
        <f t="shared" si="64"/>
        <v>168</v>
      </c>
      <c r="G254" s="53">
        <v>43908</v>
      </c>
      <c r="H254" s="9">
        <v>2020</v>
      </c>
      <c r="I254" s="9">
        <v>1</v>
      </c>
      <c r="J254" s="50">
        <v>2</v>
      </c>
      <c r="K254" s="50" t="s">
        <v>206</v>
      </c>
      <c r="L254" s="24" t="s">
        <v>1292</v>
      </c>
      <c r="M254" s="24"/>
      <c r="V254" t="s">
        <v>956</v>
      </c>
      <c r="W254" t="s">
        <v>990</v>
      </c>
      <c r="X254" t="s">
        <v>998</v>
      </c>
      <c r="Y254" t="s">
        <v>1003</v>
      </c>
      <c r="Z254">
        <v>1</v>
      </c>
      <c r="AA254">
        <v>-1</v>
      </c>
      <c r="AB254">
        <v>-1</v>
      </c>
      <c r="AC254">
        <v>-1</v>
      </c>
      <c r="AD254">
        <v>-1</v>
      </c>
      <c r="AE254">
        <v>-1</v>
      </c>
      <c r="AF254">
        <v>-1</v>
      </c>
      <c r="AG254">
        <v>-1</v>
      </c>
      <c r="AH254">
        <v>-1</v>
      </c>
      <c r="AI254">
        <v>-1</v>
      </c>
      <c r="AJ254" s="9" t="str">
        <f t="shared" si="77"/>
        <v>Tax exemption/waiver/suspension</v>
      </c>
      <c r="AK254">
        <f t="shared" si="76"/>
        <v>0</v>
      </c>
      <c r="AL254" s="9">
        <v>0</v>
      </c>
    </row>
    <row r="255" spans="1:38" x14ac:dyDescent="0.35">
      <c r="A255" s="9">
        <v>1</v>
      </c>
      <c r="B255" s="50" t="s">
        <v>41</v>
      </c>
      <c r="C255" s="53">
        <v>43896</v>
      </c>
      <c r="D255" s="53">
        <v>43907</v>
      </c>
      <c r="E255" s="53">
        <v>44075</v>
      </c>
      <c r="F255" s="21">
        <f t="shared" si="64"/>
        <v>168</v>
      </c>
      <c r="G255" s="53">
        <v>43908</v>
      </c>
      <c r="H255" s="9">
        <v>2020</v>
      </c>
      <c r="I255" s="9">
        <v>1</v>
      </c>
      <c r="J255" s="50">
        <v>1</v>
      </c>
      <c r="K255" s="50">
        <v>7</v>
      </c>
      <c r="L255" s="24" t="s">
        <v>1293</v>
      </c>
      <c r="M255" s="24"/>
      <c r="V255" t="s">
        <v>956</v>
      </c>
      <c r="W255" t="s">
        <v>990</v>
      </c>
      <c r="X255" t="s">
        <v>998</v>
      </c>
      <c r="Y255" t="s">
        <v>1003</v>
      </c>
      <c r="Z255">
        <v>1</v>
      </c>
      <c r="AA255">
        <v>-1</v>
      </c>
      <c r="AB255">
        <v>-1</v>
      </c>
      <c r="AC255">
        <v>-1</v>
      </c>
      <c r="AD255">
        <v>-1</v>
      </c>
      <c r="AE255">
        <v>-1</v>
      </c>
      <c r="AF255">
        <v>-1</v>
      </c>
      <c r="AG255">
        <v>-1</v>
      </c>
      <c r="AH255">
        <v>-1</v>
      </c>
      <c r="AI255">
        <v>-1</v>
      </c>
      <c r="AJ255" s="9">
        <f t="shared" si="77"/>
        <v>7</v>
      </c>
      <c r="AK255">
        <f t="shared" si="76"/>
        <v>0</v>
      </c>
      <c r="AL255" s="9">
        <v>0</v>
      </c>
    </row>
    <row r="256" spans="1:38" x14ac:dyDescent="0.35">
      <c r="A256" s="9">
        <v>1</v>
      </c>
      <c r="B256" s="50" t="s">
        <v>41</v>
      </c>
      <c r="C256" s="53">
        <v>43896</v>
      </c>
      <c r="D256" s="53">
        <v>43907</v>
      </c>
      <c r="E256" s="53">
        <v>44075</v>
      </c>
      <c r="F256" s="21">
        <f t="shared" si="64"/>
        <v>168</v>
      </c>
      <c r="G256" s="53">
        <v>43908</v>
      </c>
      <c r="H256" s="9">
        <v>2020</v>
      </c>
      <c r="I256" s="9">
        <v>1</v>
      </c>
      <c r="J256" s="50">
        <v>1</v>
      </c>
      <c r="K256" s="50" t="s">
        <v>206</v>
      </c>
      <c r="L256" s="24" t="s">
        <v>1294</v>
      </c>
      <c r="M256" s="24"/>
      <c r="V256" t="s">
        <v>956</v>
      </c>
      <c r="W256" t="s">
        <v>990</v>
      </c>
      <c r="X256" t="s">
        <v>998</v>
      </c>
      <c r="Y256" t="s">
        <v>1003</v>
      </c>
      <c r="Z256">
        <v>1</v>
      </c>
      <c r="AA256">
        <v>-1</v>
      </c>
      <c r="AB256">
        <v>-1</v>
      </c>
      <c r="AC256">
        <v>-1</v>
      </c>
      <c r="AD256">
        <v>-1</v>
      </c>
      <c r="AE256">
        <v>-1</v>
      </c>
      <c r="AF256">
        <v>-1</v>
      </c>
      <c r="AG256">
        <v>-1</v>
      </c>
      <c r="AH256">
        <v>-1</v>
      </c>
      <c r="AI256">
        <v>-1</v>
      </c>
      <c r="AJ256" s="9" t="str">
        <f t="shared" si="77"/>
        <v>Tax exemption/waiver/suspension</v>
      </c>
      <c r="AK256">
        <f t="shared" si="76"/>
        <v>0</v>
      </c>
      <c r="AL256" s="9">
        <v>0</v>
      </c>
    </row>
    <row r="257" spans="1:38" x14ac:dyDescent="0.35">
      <c r="A257" s="9">
        <v>1</v>
      </c>
      <c r="B257" s="50" t="s">
        <v>41</v>
      </c>
      <c r="C257" s="53">
        <v>43896</v>
      </c>
      <c r="D257" s="53">
        <v>43907</v>
      </c>
      <c r="E257" s="53">
        <v>44075</v>
      </c>
      <c r="F257" s="21">
        <f t="shared" si="64"/>
        <v>168</v>
      </c>
      <c r="G257" s="53">
        <v>43908</v>
      </c>
      <c r="H257" s="9">
        <v>2020</v>
      </c>
      <c r="I257" s="9">
        <v>1</v>
      </c>
      <c r="J257" s="50">
        <v>3</v>
      </c>
      <c r="K257" s="50" t="s">
        <v>206</v>
      </c>
      <c r="L257" s="24" t="s">
        <v>1295</v>
      </c>
      <c r="M257" s="24"/>
      <c r="V257" t="s">
        <v>956</v>
      </c>
      <c r="W257" t="s">
        <v>990</v>
      </c>
      <c r="X257" t="s">
        <v>998</v>
      </c>
      <c r="Y257" t="s">
        <v>1003</v>
      </c>
      <c r="Z257">
        <v>1</v>
      </c>
      <c r="AA257">
        <v>-1</v>
      </c>
      <c r="AB257">
        <v>-1</v>
      </c>
      <c r="AC257">
        <v>-1</v>
      </c>
      <c r="AD257">
        <v>-1</v>
      </c>
      <c r="AE257">
        <v>-1</v>
      </c>
      <c r="AF257">
        <v>-1</v>
      </c>
      <c r="AG257">
        <v>-1</v>
      </c>
      <c r="AH257">
        <v>-1</v>
      </c>
      <c r="AI257">
        <v>-1</v>
      </c>
      <c r="AJ257" s="9" t="str">
        <f t="shared" si="77"/>
        <v>Tax exemption/waiver/suspension</v>
      </c>
      <c r="AK257">
        <f t="shared" si="76"/>
        <v>0</v>
      </c>
      <c r="AL257" s="9">
        <v>0</v>
      </c>
    </row>
    <row r="258" spans="1:38" x14ac:dyDescent="0.35">
      <c r="A258" s="9">
        <v>1</v>
      </c>
      <c r="B258" s="50" t="s">
        <v>41</v>
      </c>
      <c r="C258" s="53">
        <v>43896</v>
      </c>
      <c r="D258" s="53">
        <v>43907</v>
      </c>
      <c r="E258" s="53">
        <v>44075</v>
      </c>
      <c r="F258" s="21">
        <f t="shared" si="64"/>
        <v>168</v>
      </c>
      <c r="G258" s="53">
        <v>43908</v>
      </c>
      <c r="H258" s="9">
        <v>2020</v>
      </c>
      <c r="I258" s="9">
        <v>1</v>
      </c>
      <c r="J258" s="50">
        <v>1</v>
      </c>
      <c r="K258" s="50" t="s">
        <v>206</v>
      </c>
      <c r="L258" s="24" t="s">
        <v>1296</v>
      </c>
      <c r="M258" s="24"/>
      <c r="V258" t="s">
        <v>956</v>
      </c>
      <c r="W258" t="s">
        <v>990</v>
      </c>
      <c r="X258" t="s">
        <v>998</v>
      </c>
      <c r="Y258" t="s">
        <v>1003</v>
      </c>
      <c r="Z258">
        <v>1</v>
      </c>
      <c r="AA258">
        <v>-1</v>
      </c>
      <c r="AB258">
        <v>-1</v>
      </c>
      <c r="AC258">
        <v>-1</v>
      </c>
      <c r="AD258">
        <v>-1</v>
      </c>
      <c r="AE258">
        <v>-1</v>
      </c>
      <c r="AF258">
        <v>-1</v>
      </c>
      <c r="AG258">
        <v>-1</v>
      </c>
      <c r="AH258">
        <v>-1</v>
      </c>
      <c r="AI258">
        <v>-1</v>
      </c>
      <c r="AJ258" s="9" t="str">
        <f t="shared" si="77"/>
        <v>Tax exemption/waiver/suspension</v>
      </c>
      <c r="AK258">
        <f t="shared" si="76"/>
        <v>0</v>
      </c>
      <c r="AL258" s="9">
        <v>0</v>
      </c>
    </row>
    <row r="259" spans="1:38" x14ac:dyDescent="0.35">
      <c r="A259" s="9">
        <v>1</v>
      </c>
      <c r="B259" s="50" t="s">
        <v>41</v>
      </c>
      <c r="C259" s="53">
        <v>43896</v>
      </c>
      <c r="D259" s="53">
        <v>43907</v>
      </c>
      <c r="E259" s="53">
        <v>44075</v>
      </c>
      <c r="F259" s="21">
        <f t="shared" si="64"/>
        <v>168</v>
      </c>
      <c r="G259" s="53">
        <v>43908</v>
      </c>
      <c r="H259" s="9">
        <v>2020</v>
      </c>
      <c r="I259" s="9">
        <v>1</v>
      </c>
      <c r="J259" s="50">
        <v>1</v>
      </c>
      <c r="K259" s="50">
        <v>7</v>
      </c>
      <c r="L259" s="24" t="s">
        <v>1297</v>
      </c>
      <c r="M259" s="24"/>
      <c r="V259" t="s">
        <v>956</v>
      </c>
      <c r="W259" t="s">
        <v>990</v>
      </c>
      <c r="X259" t="s">
        <v>998</v>
      </c>
      <c r="Y259" t="s">
        <v>1003</v>
      </c>
      <c r="Z259">
        <v>1</v>
      </c>
      <c r="AA259">
        <v>-1</v>
      </c>
      <c r="AB259">
        <v>-1</v>
      </c>
      <c r="AC259">
        <v>-1</v>
      </c>
      <c r="AD259">
        <v>-1</v>
      </c>
      <c r="AE259">
        <v>-1</v>
      </c>
      <c r="AF259">
        <v>-1</v>
      </c>
      <c r="AG259">
        <v>-1</v>
      </c>
      <c r="AH259">
        <v>-1</v>
      </c>
      <c r="AI259">
        <v>-1</v>
      </c>
      <c r="AJ259" s="9">
        <f t="shared" si="77"/>
        <v>7</v>
      </c>
      <c r="AK259">
        <f t="shared" si="76"/>
        <v>0</v>
      </c>
      <c r="AL259" s="9">
        <v>0</v>
      </c>
    </row>
    <row r="260" spans="1:38" x14ac:dyDescent="0.35">
      <c r="A260" s="9">
        <v>1</v>
      </c>
      <c r="B260" s="50" t="s">
        <v>41</v>
      </c>
      <c r="C260" s="53">
        <v>43896</v>
      </c>
      <c r="D260" s="53">
        <v>43907</v>
      </c>
      <c r="E260" s="53">
        <v>44075</v>
      </c>
      <c r="F260" s="21">
        <f t="shared" si="64"/>
        <v>168</v>
      </c>
      <c r="G260" s="53">
        <v>43908</v>
      </c>
      <c r="H260" s="9">
        <v>2020</v>
      </c>
      <c r="I260" s="9">
        <v>1</v>
      </c>
      <c r="J260" s="50">
        <v>1</v>
      </c>
      <c r="K260" s="50" t="s">
        <v>206</v>
      </c>
      <c r="L260" s="24" t="s">
        <v>1298</v>
      </c>
      <c r="M260" s="24"/>
      <c r="V260" t="s">
        <v>956</v>
      </c>
      <c r="W260" t="s">
        <v>990</v>
      </c>
      <c r="X260" t="s">
        <v>998</v>
      </c>
      <c r="Y260" t="s">
        <v>1003</v>
      </c>
      <c r="Z260">
        <v>1</v>
      </c>
      <c r="AA260">
        <v>-1</v>
      </c>
      <c r="AB260">
        <v>-1</v>
      </c>
      <c r="AC260">
        <v>-1</v>
      </c>
      <c r="AD260">
        <v>-1</v>
      </c>
      <c r="AE260">
        <v>-1</v>
      </c>
      <c r="AF260">
        <v>-1</v>
      </c>
      <c r="AG260">
        <v>-1</v>
      </c>
      <c r="AH260">
        <v>-1</v>
      </c>
      <c r="AI260">
        <v>-1</v>
      </c>
      <c r="AJ260" s="9" t="str">
        <f t="shared" si="77"/>
        <v>Tax exemption/waiver/suspension</v>
      </c>
      <c r="AK260">
        <f t="shared" si="76"/>
        <v>0</v>
      </c>
      <c r="AL260" s="9">
        <v>0</v>
      </c>
    </row>
    <row r="261" spans="1:38" x14ac:dyDescent="0.35">
      <c r="A261" s="9">
        <v>1</v>
      </c>
      <c r="B261" s="50" t="s">
        <v>41</v>
      </c>
      <c r="C261" s="53">
        <v>43896</v>
      </c>
      <c r="D261" s="53">
        <v>43907</v>
      </c>
      <c r="E261" s="53">
        <v>44075</v>
      </c>
      <c r="F261" s="21">
        <f t="shared" si="64"/>
        <v>168</v>
      </c>
      <c r="G261" s="53">
        <v>43908</v>
      </c>
      <c r="H261" s="9">
        <v>2020</v>
      </c>
      <c r="I261" s="9">
        <v>1</v>
      </c>
      <c r="J261" s="50">
        <v>3</v>
      </c>
      <c r="K261" s="50">
        <v>19</v>
      </c>
      <c r="L261" s="24" t="s">
        <v>1299</v>
      </c>
      <c r="M261" s="24"/>
      <c r="V261" t="s">
        <v>956</v>
      </c>
      <c r="W261" t="s">
        <v>990</v>
      </c>
      <c r="X261" t="s">
        <v>998</v>
      </c>
      <c r="Y261" t="s">
        <v>1003</v>
      </c>
      <c r="Z261">
        <v>1</v>
      </c>
      <c r="AA261">
        <v>-1</v>
      </c>
      <c r="AB261">
        <v>-1</v>
      </c>
      <c r="AC261">
        <v>-1</v>
      </c>
      <c r="AD261">
        <v>-1</v>
      </c>
      <c r="AE261">
        <v>-1</v>
      </c>
      <c r="AF261">
        <v>-1</v>
      </c>
      <c r="AG261">
        <v>-1</v>
      </c>
      <c r="AH261">
        <v>-1</v>
      </c>
      <c r="AI261">
        <v>-1</v>
      </c>
      <c r="AJ261" s="9">
        <f t="shared" si="77"/>
        <v>19</v>
      </c>
      <c r="AK261">
        <f t="shared" si="76"/>
        <v>0</v>
      </c>
      <c r="AL261" s="9">
        <v>0</v>
      </c>
    </row>
    <row r="262" spans="1:38" x14ac:dyDescent="0.35">
      <c r="A262" s="9">
        <v>1</v>
      </c>
      <c r="B262" s="50" t="s">
        <v>41</v>
      </c>
      <c r="C262" s="53">
        <v>43896</v>
      </c>
      <c r="D262" s="53">
        <v>43907</v>
      </c>
      <c r="E262" s="53">
        <v>44075</v>
      </c>
      <c r="F262" s="21">
        <f t="shared" si="64"/>
        <v>168</v>
      </c>
      <c r="G262" s="53">
        <v>43908</v>
      </c>
      <c r="H262" s="9">
        <v>2020</v>
      </c>
      <c r="I262" s="9">
        <v>1</v>
      </c>
      <c r="J262" s="50">
        <v>4</v>
      </c>
      <c r="K262" s="50">
        <v>20</v>
      </c>
      <c r="L262" s="24" t="s">
        <v>1300</v>
      </c>
      <c r="M262" s="24"/>
      <c r="V262" t="s">
        <v>956</v>
      </c>
      <c r="W262" t="s">
        <v>990</v>
      </c>
      <c r="X262" t="s">
        <v>998</v>
      </c>
      <c r="Y262" t="s">
        <v>1003</v>
      </c>
      <c r="Z262">
        <v>1</v>
      </c>
      <c r="AA262">
        <v>-1</v>
      </c>
      <c r="AB262">
        <v>-1</v>
      </c>
      <c r="AC262">
        <v>-1</v>
      </c>
      <c r="AD262">
        <v>-1</v>
      </c>
      <c r="AE262">
        <v>-1</v>
      </c>
      <c r="AF262">
        <v>-1</v>
      </c>
      <c r="AG262">
        <v>-1</v>
      </c>
      <c r="AH262">
        <v>-1</v>
      </c>
      <c r="AI262">
        <v>-1</v>
      </c>
      <c r="AJ262" s="9">
        <f t="shared" si="77"/>
        <v>20</v>
      </c>
      <c r="AK262">
        <f t="shared" si="76"/>
        <v>0</v>
      </c>
      <c r="AL262" s="9">
        <v>0</v>
      </c>
    </row>
    <row r="263" spans="1:38" x14ac:dyDescent="0.35">
      <c r="A263" s="9">
        <v>1</v>
      </c>
      <c r="B263" s="50" t="s">
        <v>41</v>
      </c>
      <c r="C263" s="53">
        <v>43896</v>
      </c>
      <c r="D263" s="53">
        <v>43907</v>
      </c>
      <c r="E263" s="53">
        <v>44075</v>
      </c>
      <c r="F263" s="21">
        <f t="shared" si="64"/>
        <v>168</v>
      </c>
      <c r="G263" s="53">
        <v>43908</v>
      </c>
      <c r="H263" s="9">
        <v>2020</v>
      </c>
      <c r="I263" s="9">
        <v>1</v>
      </c>
      <c r="J263" s="50">
        <v>1</v>
      </c>
      <c r="K263" s="50">
        <v>10</v>
      </c>
      <c r="L263" s="24" t="s">
        <v>1301</v>
      </c>
      <c r="M263" s="24"/>
      <c r="V263" t="s">
        <v>956</v>
      </c>
      <c r="W263" t="s">
        <v>990</v>
      </c>
      <c r="X263" t="s">
        <v>998</v>
      </c>
      <c r="Y263" t="s">
        <v>1003</v>
      </c>
      <c r="Z263">
        <v>1</v>
      </c>
      <c r="AA263">
        <v>-1</v>
      </c>
      <c r="AB263">
        <v>-1</v>
      </c>
      <c r="AC263">
        <v>-1</v>
      </c>
      <c r="AD263">
        <v>-1</v>
      </c>
      <c r="AE263">
        <v>-1</v>
      </c>
      <c r="AF263">
        <v>-1</v>
      </c>
      <c r="AG263">
        <v>-1</v>
      </c>
      <c r="AH263">
        <v>-1</v>
      </c>
      <c r="AI263">
        <v>-1</v>
      </c>
      <c r="AJ263" s="9">
        <f t="shared" si="77"/>
        <v>10</v>
      </c>
      <c r="AK263">
        <f t="shared" si="76"/>
        <v>0</v>
      </c>
      <c r="AL263" s="9">
        <v>0</v>
      </c>
    </row>
    <row r="264" spans="1:38" x14ac:dyDescent="0.35">
      <c r="A264" s="9">
        <v>1</v>
      </c>
      <c r="B264" s="50" t="s">
        <v>41</v>
      </c>
      <c r="C264" s="53">
        <v>43896</v>
      </c>
      <c r="D264" s="53">
        <v>43907</v>
      </c>
      <c r="E264" s="53">
        <v>44075</v>
      </c>
      <c r="F264" s="21">
        <f t="shared" si="64"/>
        <v>168</v>
      </c>
      <c r="G264" s="53">
        <v>43908</v>
      </c>
      <c r="H264" s="9">
        <v>2020</v>
      </c>
      <c r="I264" s="9">
        <v>1</v>
      </c>
      <c r="J264" s="50">
        <v>6</v>
      </c>
      <c r="K264" s="50">
        <v>29</v>
      </c>
      <c r="L264" s="24" t="s">
        <v>1302</v>
      </c>
      <c r="M264" s="24"/>
      <c r="V264" t="s">
        <v>956</v>
      </c>
      <c r="W264" t="s">
        <v>990</v>
      </c>
      <c r="X264" t="s">
        <v>998</v>
      </c>
      <c r="Y264" t="s">
        <v>1003</v>
      </c>
      <c r="Z264">
        <v>1</v>
      </c>
      <c r="AA264">
        <v>-1</v>
      </c>
      <c r="AB264">
        <v>-1</v>
      </c>
      <c r="AC264">
        <v>-1</v>
      </c>
      <c r="AD264">
        <v>-1</v>
      </c>
      <c r="AE264">
        <v>-1</v>
      </c>
      <c r="AF264">
        <v>-1</v>
      </c>
      <c r="AG264">
        <v>-1</v>
      </c>
      <c r="AH264">
        <v>-1</v>
      </c>
      <c r="AI264">
        <v>-1</v>
      </c>
      <c r="AJ264" s="9">
        <f t="shared" si="77"/>
        <v>29</v>
      </c>
      <c r="AK264">
        <f t="shared" si="76"/>
        <v>0</v>
      </c>
      <c r="AL264" s="9">
        <v>0</v>
      </c>
    </row>
    <row r="265" spans="1:38" x14ac:dyDescent="0.35">
      <c r="A265" s="9">
        <v>1</v>
      </c>
      <c r="B265" s="50" t="s">
        <v>41</v>
      </c>
      <c r="C265" s="53">
        <v>43896</v>
      </c>
      <c r="D265" s="53">
        <v>43907</v>
      </c>
      <c r="E265" s="53">
        <v>44075</v>
      </c>
      <c r="F265" s="21">
        <f t="shared" si="64"/>
        <v>168</v>
      </c>
      <c r="G265" s="53">
        <v>43908</v>
      </c>
      <c r="H265" s="9">
        <v>2020</v>
      </c>
      <c r="I265" s="9">
        <v>1</v>
      </c>
      <c r="J265" s="50">
        <v>6</v>
      </c>
      <c r="K265" s="50">
        <v>28</v>
      </c>
      <c r="L265" s="24" t="s">
        <v>1303</v>
      </c>
      <c r="M265" s="24"/>
      <c r="V265" t="s">
        <v>956</v>
      </c>
      <c r="W265" t="s">
        <v>990</v>
      </c>
      <c r="X265" t="s">
        <v>998</v>
      </c>
      <c r="Y265" t="s">
        <v>1003</v>
      </c>
      <c r="Z265">
        <v>1</v>
      </c>
      <c r="AA265">
        <v>-1</v>
      </c>
      <c r="AB265">
        <v>-1</v>
      </c>
      <c r="AC265">
        <v>-1</v>
      </c>
      <c r="AD265">
        <v>-1</v>
      </c>
      <c r="AE265">
        <v>-1</v>
      </c>
      <c r="AF265">
        <v>-1</v>
      </c>
      <c r="AG265">
        <v>-1</v>
      </c>
      <c r="AH265">
        <v>-1</v>
      </c>
      <c r="AI265">
        <v>-1</v>
      </c>
      <c r="AJ265" s="9">
        <f t="shared" si="77"/>
        <v>28</v>
      </c>
      <c r="AK265">
        <f t="shared" si="76"/>
        <v>0</v>
      </c>
      <c r="AL265" s="9">
        <v>0</v>
      </c>
    </row>
    <row r="266" spans="1:38" x14ac:dyDescent="0.35">
      <c r="A266" s="9">
        <v>1</v>
      </c>
      <c r="B266" s="50" t="s">
        <v>41</v>
      </c>
      <c r="C266" s="53">
        <v>43896</v>
      </c>
      <c r="D266" s="53">
        <v>43907</v>
      </c>
      <c r="E266" s="53">
        <v>44075</v>
      </c>
      <c r="F266" s="21">
        <f t="shared" si="64"/>
        <v>168</v>
      </c>
      <c r="G266" s="53">
        <v>43908</v>
      </c>
      <c r="H266" s="9">
        <v>2020</v>
      </c>
      <c r="I266" s="9">
        <v>1</v>
      </c>
      <c r="J266" s="50">
        <v>2</v>
      </c>
      <c r="K266" s="50" t="s">
        <v>206</v>
      </c>
      <c r="L266" s="24" t="s">
        <v>2274</v>
      </c>
      <c r="M266" s="24"/>
      <c r="V266" t="s">
        <v>956</v>
      </c>
      <c r="W266" t="s">
        <v>990</v>
      </c>
      <c r="X266" t="s">
        <v>998</v>
      </c>
      <c r="Y266" t="s">
        <v>1003</v>
      </c>
      <c r="Z266">
        <v>1</v>
      </c>
      <c r="AA266">
        <v>-1</v>
      </c>
      <c r="AB266">
        <v>-1</v>
      </c>
      <c r="AC266">
        <v>-1</v>
      </c>
      <c r="AD266">
        <v>-1</v>
      </c>
      <c r="AE266">
        <v>-1</v>
      </c>
      <c r="AF266">
        <v>-1</v>
      </c>
      <c r="AG266">
        <v>-1</v>
      </c>
      <c r="AH266">
        <v>-1</v>
      </c>
      <c r="AI266">
        <v>-1</v>
      </c>
      <c r="AJ266" s="9" t="str">
        <f t="shared" si="77"/>
        <v>Tax exemption/waiver/suspension</v>
      </c>
      <c r="AK266">
        <f t="shared" si="76"/>
        <v>0</v>
      </c>
      <c r="AL266" s="9">
        <v>0</v>
      </c>
    </row>
    <row r="267" spans="1:38" x14ac:dyDescent="0.35">
      <c r="A267" s="9">
        <v>1</v>
      </c>
      <c r="B267" s="50" t="s">
        <v>41</v>
      </c>
      <c r="C267" s="53">
        <v>43896</v>
      </c>
      <c r="D267" s="53">
        <v>43907</v>
      </c>
      <c r="E267" s="53">
        <v>44075</v>
      </c>
      <c r="F267" s="21">
        <f t="shared" si="64"/>
        <v>168</v>
      </c>
      <c r="G267" s="53">
        <v>43908</v>
      </c>
      <c r="H267" s="9">
        <v>2020</v>
      </c>
      <c r="I267" s="9">
        <v>1</v>
      </c>
      <c r="J267" s="50">
        <v>2</v>
      </c>
      <c r="K267" s="50" t="s">
        <v>206</v>
      </c>
      <c r="L267" s="24" t="s">
        <v>2236</v>
      </c>
      <c r="M267" s="24"/>
      <c r="V267" t="s">
        <v>956</v>
      </c>
      <c r="W267" t="s">
        <v>990</v>
      </c>
      <c r="X267" t="s">
        <v>998</v>
      </c>
      <c r="Y267" t="s">
        <v>1003</v>
      </c>
      <c r="Z267">
        <v>1</v>
      </c>
      <c r="AA267">
        <v>-1</v>
      </c>
      <c r="AB267">
        <v>-1</v>
      </c>
      <c r="AC267">
        <v>-1</v>
      </c>
      <c r="AD267">
        <v>-1</v>
      </c>
      <c r="AE267">
        <v>-1</v>
      </c>
      <c r="AF267">
        <v>-1</v>
      </c>
      <c r="AG267">
        <v>-1</v>
      </c>
      <c r="AH267">
        <v>-1</v>
      </c>
      <c r="AI267">
        <v>-1</v>
      </c>
      <c r="AJ267" s="9" t="str">
        <f t="shared" si="77"/>
        <v>Tax exemption/waiver/suspension</v>
      </c>
      <c r="AK267">
        <f t="shared" si="76"/>
        <v>0</v>
      </c>
      <c r="AL267" s="9">
        <v>0</v>
      </c>
    </row>
    <row r="268" spans="1:38" x14ac:dyDescent="0.35">
      <c r="A268" s="9">
        <v>1</v>
      </c>
      <c r="B268" s="50" t="s">
        <v>41</v>
      </c>
      <c r="C268" s="53">
        <v>43896</v>
      </c>
      <c r="D268" s="53">
        <v>43907</v>
      </c>
      <c r="E268" s="53">
        <v>44075</v>
      </c>
      <c r="F268" s="21">
        <f t="shared" si="64"/>
        <v>168</v>
      </c>
      <c r="G268" s="53">
        <v>43908</v>
      </c>
      <c r="H268" s="9">
        <v>2020</v>
      </c>
      <c r="I268" s="9">
        <v>1</v>
      </c>
      <c r="J268" s="50">
        <v>6</v>
      </c>
      <c r="K268" s="50">
        <v>29</v>
      </c>
      <c r="L268" s="24" t="s">
        <v>1304</v>
      </c>
      <c r="M268" s="24"/>
      <c r="V268" t="s">
        <v>956</v>
      </c>
      <c r="W268" t="s">
        <v>990</v>
      </c>
      <c r="X268" t="s">
        <v>998</v>
      </c>
      <c r="Y268" t="s">
        <v>1003</v>
      </c>
      <c r="Z268">
        <v>1</v>
      </c>
      <c r="AA268">
        <v>-1</v>
      </c>
      <c r="AB268">
        <v>-1</v>
      </c>
      <c r="AC268">
        <v>-1</v>
      </c>
      <c r="AD268">
        <v>-1</v>
      </c>
      <c r="AE268">
        <v>-1</v>
      </c>
      <c r="AF268">
        <v>-1</v>
      </c>
      <c r="AG268">
        <v>-1</v>
      </c>
      <c r="AH268">
        <v>-1</v>
      </c>
      <c r="AI268">
        <v>-1</v>
      </c>
      <c r="AJ268" s="9">
        <f t="shared" si="77"/>
        <v>29</v>
      </c>
      <c r="AK268">
        <f t="shared" si="76"/>
        <v>0</v>
      </c>
      <c r="AL268" s="9">
        <v>1</v>
      </c>
    </row>
    <row r="269" spans="1:38" s="47" customFormat="1" x14ac:dyDescent="0.35">
      <c r="A269" s="9">
        <v>1</v>
      </c>
      <c r="B269" s="50" t="s">
        <v>41</v>
      </c>
      <c r="C269" s="53">
        <v>43896</v>
      </c>
      <c r="D269" s="53">
        <v>43907</v>
      </c>
      <c r="E269" s="53">
        <v>44075</v>
      </c>
      <c r="F269" s="21">
        <f t="shared" si="64"/>
        <v>168</v>
      </c>
      <c r="G269" s="53">
        <v>43908</v>
      </c>
      <c r="H269" s="9">
        <v>2021</v>
      </c>
      <c r="I269" s="9">
        <v>1</v>
      </c>
      <c r="J269" s="50">
        <v>6</v>
      </c>
      <c r="K269" s="50">
        <v>29</v>
      </c>
      <c r="L269" s="48" t="s">
        <v>1698</v>
      </c>
      <c r="M269" s="48"/>
      <c r="V269" t="s">
        <v>956</v>
      </c>
      <c r="AB269">
        <v>-1</v>
      </c>
      <c r="AJ269" s="47">
        <f t="shared" si="77"/>
        <v>29</v>
      </c>
    </row>
    <row r="270" spans="1:38" s="47" customFormat="1" x14ac:dyDescent="0.35">
      <c r="A270" s="9">
        <v>1</v>
      </c>
      <c r="B270" s="50" t="s">
        <v>41</v>
      </c>
      <c r="C270" s="53">
        <v>43896</v>
      </c>
      <c r="D270" s="53">
        <v>43907</v>
      </c>
      <c r="E270" s="53">
        <v>44075</v>
      </c>
      <c r="F270" s="21">
        <f t="shared" ref="F270:F272" si="78">DATEDIF(D270,E270,"D")</f>
        <v>168</v>
      </c>
      <c r="G270" s="53">
        <v>43908</v>
      </c>
      <c r="H270" s="9">
        <v>2021</v>
      </c>
      <c r="I270" s="9">
        <v>1</v>
      </c>
      <c r="J270" s="50">
        <v>1</v>
      </c>
      <c r="K270" s="50" t="s">
        <v>206</v>
      </c>
      <c r="L270" s="48" t="s">
        <v>1841</v>
      </c>
      <c r="M270" s="48"/>
      <c r="V270"/>
      <c r="AB270"/>
    </row>
    <row r="271" spans="1:38" s="47" customFormat="1" x14ac:dyDescent="0.35">
      <c r="A271" s="9">
        <v>1</v>
      </c>
      <c r="B271" s="50" t="s">
        <v>41</v>
      </c>
      <c r="C271" s="53">
        <v>43896</v>
      </c>
      <c r="D271" s="53">
        <v>43907</v>
      </c>
      <c r="E271" s="53">
        <v>44075</v>
      </c>
      <c r="F271" s="21">
        <f t="shared" si="78"/>
        <v>168</v>
      </c>
      <c r="G271" s="53">
        <v>43908</v>
      </c>
      <c r="H271" s="9">
        <v>2021</v>
      </c>
      <c r="I271" s="9">
        <v>1</v>
      </c>
      <c r="J271" s="50">
        <v>6</v>
      </c>
      <c r="K271" s="50">
        <v>28</v>
      </c>
      <c r="L271" s="48" t="s">
        <v>1842</v>
      </c>
      <c r="M271" s="48"/>
      <c r="V271"/>
      <c r="AB271"/>
    </row>
    <row r="272" spans="1:38" s="47" customFormat="1" x14ac:dyDescent="0.35">
      <c r="A272" s="9">
        <v>1</v>
      </c>
      <c r="B272" s="50" t="s">
        <v>41</v>
      </c>
      <c r="C272" s="53">
        <v>43896</v>
      </c>
      <c r="D272" s="53">
        <v>43907</v>
      </c>
      <c r="E272" s="53">
        <v>44075</v>
      </c>
      <c r="F272" s="21">
        <f t="shared" si="78"/>
        <v>168</v>
      </c>
      <c r="G272" s="53">
        <v>43908</v>
      </c>
      <c r="H272" s="9">
        <v>2021</v>
      </c>
      <c r="I272" s="9">
        <v>1</v>
      </c>
      <c r="J272" s="50">
        <v>6</v>
      </c>
      <c r="K272" s="50">
        <v>28</v>
      </c>
      <c r="L272" s="48" t="s">
        <v>1843</v>
      </c>
      <c r="M272" s="48"/>
      <c r="V272"/>
      <c r="AB272"/>
    </row>
    <row r="273" spans="1:38" x14ac:dyDescent="0.35">
      <c r="A273" s="9">
        <v>1</v>
      </c>
      <c r="B273" s="9" t="s">
        <v>44</v>
      </c>
      <c r="C273" s="53">
        <v>43896</v>
      </c>
      <c r="D273" s="53">
        <v>43906</v>
      </c>
      <c r="E273" s="53">
        <v>43966</v>
      </c>
      <c r="F273" s="21">
        <f t="shared" si="64"/>
        <v>60</v>
      </c>
      <c r="G273" s="53">
        <v>43906</v>
      </c>
      <c r="H273" s="9">
        <v>2020</v>
      </c>
      <c r="I273" s="9">
        <v>1</v>
      </c>
      <c r="J273" s="9">
        <v>2</v>
      </c>
      <c r="K273" s="9">
        <v>14</v>
      </c>
      <c r="L273" s="50" t="s">
        <v>367</v>
      </c>
      <c r="M273">
        <v>-2</v>
      </c>
      <c r="N273">
        <v>2</v>
      </c>
      <c r="O273">
        <v>2</v>
      </c>
      <c r="P273">
        <v>2</v>
      </c>
      <c r="Q273">
        <v>2</v>
      </c>
      <c r="R273">
        <v>2</v>
      </c>
      <c r="S273">
        <v>1</v>
      </c>
      <c r="T273">
        <v>2</v>
      </c>
      <c r="U273">
        <v>1</v>
      </c>
      <c r="V273" t="s">
        <v>957</v>
      </c>
      <c r="W273" t="s">
        <v>990</v>
      </c>
      <c r="X273" t="s">
        <v>998</v>
      </c>
      <c r="Y273" t="s">
        <v>1003</v>
      </c>
      <c r="Z273">
        <v>1</v>
      </c>
      <c r="AA273">
        <f t="shared" ref="AA273:AA284" si="79">IF(M273&gt;0,1,IF(M273&lt;0,0,-1))</f>
        <v>0</v>
      </c>
      <c r="AB273">
        <f t="shared" ref="AB273:AB284" si="80">IF(N273&gt;0,1,IF(N273&lt;0,0,-1))</f>
        <v>1</v>
      </c>
      <c r="AC273">
        <f t="shared" ref="AC273:AC284" si="81">IF(O273&gt;0,1,IF(O273&lt;0,0,-1))</f>
        <v>1</v>
      </c>
      <c r="AD273">
        <f t="shared" ref="AD273:AD284" si="82">IF(P273&gt;0,1,IF(P273&lt;0,0,-1))</f>
        <v>1</v>
      </c>
      <c r="AE273">
        <f t="shared" ref="AE273:AE284" si="83">IF(Q273&gt;0,1,IF(Q273&lt;0,0,-1))</f>
        <v>1</v>
      </c>
      <c r="AF273">
        <f t="shared" ref="AF273:AF284" si="84">IF(R273&gt;0,1,IF(R273&lt;0,0,-1))</f>
        <v>1</v>
      </c>
      <c r="AG273">
        <f t="shared" ref="AG273:AG284" si="85">IF(S273&gt;0,1,IF(S273&lt;0,0,-1))</f>
        <v>1</v>
      </c>
      <c r="AH273">
        <f t="shared" ref="AH273:AH284" si="86">IF(T273&gt;0,1,IF(T273&lt;0,0,-1))</f>
        <v>1</v>
      </c>
      <c r="AI273">
        <f t="shared" ref="AI273:AI284" si="87">IF(U273&gt;0,1,IF(U273&lt;0,0,-1))</f>
        <v>1</v>
      </c>
      <c r="AJ273" s="9">
        <f t="shared" ref="AJ273:AJ297" si="88">IF(ISNUMBER(K273),K273,IF(OR(K273="general",K273="23;general"),"General",IF(OR(K273="exemption",K273="other (exemption)"),"Tax exemption/waiver/suspension","Other")))</f>
        <v>14</v>
      </c>
      <c r="AK273" t="e">
        <f>IF(B273&lt;&gt;#REF!,1,0)</f>
        <v>#REF!</v>
      </c>
      <c r="AL273" s="9">
        <v>1</v>
      </c>
    </row>
    <row r="274" spans="1:38" x14ac:dyDescent="0.35">
      <c r="A274" s="9">
        <v>1</v>
      </c>
      <c r="B274" s="9" t="s">
        <v>44</v>
      </c>
      <c r="C274" s="53">
        <v>43896</v>
      </c>
      <c r="D274" s="53">
        <v>43906</v>
      </c>
      <c r="E274" s="53">
        <v>43966</v>
      </c>
      <c r="F274" s="21">
        <f t="shared" si="64"/>
        <v>60</v>
      </c>
      <c r="G274" s="53">
        <v>43906</v>
      </c>
      <c r="H274" s="9">
        <v>2020</v>
      </c>
      <c r="I274" s="9">
        <v>1</v>
      </c>
      <c r="J274" s="9">
        <v>7</v>
      </c>
      <c r="K274" s="9" t="s">
        <v>201</v>
      </c>
      <c r="L274" s="50" t="s">
        <v>366</v>
      </c>
      <c r="M274">
        <v>1</v>
      </c>
      <c r="N274">
        <v>1</v>
      </c>
      <c r="O274">
        <v>2</v>
      </c>
      <c r="Q274">
        <v>1</v>
      </c>
      <c r="R274">
        <v>-1</v>
      </c>
      <c r="S274">
        <v>1</v>
      </c>
      <c r="T274">
        <v>1</v>
      </c>
      <c r="U274">
        <v>1</v>
      </c>
      <c r="V274" t="s">
        <v>957</v>
      </c>
      <c r="W274" t="s">
        <v>990</v>
      </c>
      <c r="X274" t="s">
        <v>998</v>
      </c>
      <c r="Y274" t="s">
        <v>1003</v>
      </c>
      <c r="Z274">
        <v>1</v>
      </c>
      <c r="AA274">
        <f t="shared" si="79"/>
        <v>1</v>
      </c>
      <c r="AB274">
        <f t="shared" si="80"/>
        <v>1</v>
      </c>
      <c r="AC274">
        <f t="shared" si="81"/>
        <v>1</v>
      </c>
      <c r="AD274">
        <f t="shared" si="82"/>
        <v>-1</v>
      </c>
      <c r="AE274">
        <f t="shared" si="83"/>
        <v>1</v>
      </c>
      <c r="AF274">
        <f t="shared" si="84"/>
        <v>0</v>
      </c>
      <c r="AG274">
        <f t="shared" si="85"/>
        <v>1</v>
      </c>
      <c r="AH274">
        <f t="shared" si="86"/>
        <v>1</v>
      </c>
      <c r="AI274">
        <f t="shared" si="87"/>
        <v>1</v>
      </c>
      <c r="AJ274" s="9" t="str">
        <f t="shared" si="88"/>
        <v>Other</v>
      </c>
      <c r="AK274">
        <f t="shared" ref="AK274:AK297" si="89">IF(B274&lt;&gt;B273,1,0)</f>
        <v>0</v>
      </c>
      <c r="AL274" s="9">
        <v>1</v>
      </c>
    </row>
    <row r="275" spans="1:38" x14ac:dyDescent="0.35">
      <c r="A275" s="9">
        <v>1</v>
      </c>
      <c r="B275" s="9" t="s">
        <v>44</v>
      </c>
      <c r="C275" s="53">
        <v>43896</v>
      </c>
      <c r="D275" s="53">
        <v>43906</v>
      </c>
      <c r="E275" s="53">
        <v>43966</v>
      </c>
      <c r="F275" s="21">
        <f t="shared" si="64"/>
        <v>60</v>
      </c>
      <c r="G275" s="53">
        <v>43906</v>
      </c>
      <c r="H275" s="9">
        <v>2020</v>
      </c>
      <c r="I275" s="9">
        <v>1</v>
      </c>
      <c r="J275" s="9">
        <v>7</v>
      </c>
      <c r="K275" s="9" t="s">
        <v>201</v>
      </c>
      <c r="L275" s="50" t="s">
        <v>371</v>
      </c>
      <c r="M275">
        <v>1</v>
      </c>
      <c r="N275">
        <v>1</v>
      </c>
      <c r="Q275">
        <v>-2</v>
      </c>
      <c r="R275">
        <v>-1</v>
      </c>
      <c r="S275">
        <v>1</v>
      </c>
      <c r="T275">
        <v>-2</v>
      </c>
      <c r="U275">
        <v>1</v>
      </c>
      <c r="V275" t="s">
        <v>957</v>
      </c>
      <c r="W275" t="s">
        <v>990</v>
      </c>
      <c r="X275" t="s">
        <v>998</v>
      </c>
      <c r="Y275" t="s">
        <v>1003</v>
      </c>
      <c r="Z275">
        <v>1</v>
      </c>
      <c r="AA275">
        <f t="shared" si="79"/>
        <v>1</v>
      </c>
      <c r="AB275">
        <f t="shared" si="80"/>
        <v>1</v>
      </c>
      <c r="AC275">
        <f t="shared" si="81"/>
        <v>-1</v>
      </c>
      <c r="AD275">
        <f t="shared" si="82"/>
        <v>-1</v>
      </c>
      <c r="AE275">
        <f t="shared" si="83"/>
        <v>0</v>
      </c>
      <c r="AF275">
        <f t="shared" si="84"/>
        <v>0</v>
      </c>
      <c r="AG275">
        <f t="shared" si="85"/>
        <v>1</v>
      </c>
      <c r="AH275">
        <f t="shared" si="86"/>
        <v>0</v>
      </c>
      <c r="AI275">
        <f t="shared" si="87"/>
        <v>1</v>
      </c>
      <c r="AJ275" s="9" t="str">
        <f t="shared" si="88"/>
        <v>Other</v>
      </c>
      <c r="AK275">
        <f t="shared" si="89"/>
        <v>0</v>
      </c>
      <c r="AL275" s="9">
        <v>1</v>
      </c>
    </row>
    <row r="276" spans="1:38" x14ac:dyDescent="0.35">
      <c r="A276" s="9">
        <v>1</v>
      </c>
      <c r="B276" s="9" t="s">
        <v>44</v>
      </c>
      <c r="C276" s="53">
        <v>43896</v>
      </c>
      <c r="D276" s="53">
        <v>43906</v>
      </c>
      <c r="E276" s="53">
        <v>43966</v>
      </c>
      <c r="F276" s="21">
        <f t="shared" si="64"/>
        <v>60</v>
      </c>
      <c r="G276" s="53">
        <v>43906</v>
      </c>
      <c r="H276" s="9">
        <v>2020</v>
      </c>
      <c r="I276" s="9">
        <v>1</v>
      </c>
      <c r="J276" s="9">
        <v>6</v>
      </c>
      <c r="K276" s="9">
        <v>25</v>
      </c>
      <c r="L276" s="50" t="s">
        <v>376</v>
      </c>
      <c r="M276">
        <v>1</v>
      </c>
      <c r="N276">
        <v>1</v>
      </c>
      <c r="O276">
        <v>1</v>
      </c>
      <c r="P276">
        <v>-1</v>
      </c>
      <c r="Q276">
        <v>1</v>
      </c>
      <c r="R276">
        <v>1</v>
      </c>
      <c r="S276">
        <v>1</v>
      </c>
      <c r="T276">
        <v>-2</v>
      </c>
      <c r="U276">
        <v>1</v>
      </c>
      <c r="V276" t="s">
        <v>957</v>
      </c>
      <c r="W276" t="s">
        <v>990</v>
      </c>
      <c r="X276" t="s">
        <v>998</v>
      </c>
      <c r="Y276" t="s">
        <v>1003</v>
      </c>
      <c r="Z276">
        <v>1</v>
      </c>
      <c r="AA276">
        <f t="shared" si="79"/>
        <v>1</v>
      </c>
      <c r="AB276">
        <f t="shared" si="80"/>
        <v>1</v>
      </c>
      <c r="AC276">
        <f t="shared" si="81"/>
        <v>1</v>
      </c>
      <c r="AD276">
        <f t="shared" si="82"/>
        <v>0</v>
      </c>
      <c r="AE276">
        <f t="shared" si="83"/>
        <v>1</v>
      </c>
      <c r="AF276">
        <f t="shared" si="84"/>
        <v>1</v>
      </c>
      <c r="AG276">
        <f t="shared" si="85"/>
        <v>1</v>
      </c>
      <c r="AH276">
        <f t="shared" si="86"/>
        <v>0</v>
      </c>
      <c r="AI276">
        <f t="shared" si="87"/>
        <v>1</v>
      </c>
      <c r="AJ276" s="9">
        <f t="shared" si="88"/>
        <v>25</v>
      </c>
      <c r="AK276">
        <f t="shared" si="89"/>
        <v>0</v>
      </c>
      <c r="AL276" s="9">
        <v>1</v>
      </c>
    </row>
    <row r="277" spans="1:38" x14ac:dyDescent="0.35">
      <c r="A277" s="9">
        <v>1</v>
      </c>
      <c r="B277" s="9" t="s">
        <v>44</v>
      </c>
      <c r="C277" s="53">
        <v>43896</v>
      </c>
      <c r="D277" s="53">
        <v>43906</v>
      </c>
      <c r="E277" s="53">
        <v>43966</v>
      </c>
      <c r="F277" s="21">
        <f t="shared" ref="F277:F340" si="90">DATEDIF(D277,E277,"D")</f>
        <v>60</v>
      </c>
      <c r="G277" s="53">
        <v>43906</v>
      </c>
      <c r="H277" s="9">
        <v>2020</v>
      </c>
      <c r="I277" s="9">
        <v>1</v>
      </c>
      <c r="J277" s="9">
        <v>1</v>
      </c>
      <c r="K277" s="9">
        <v>6</v>
      </c>
      <c r="L277" s="50" t="s">
        <v>370</v>
      </c>
      <c r="M277">
        <v>-2</v>
      </c>
      <c r="N277">
        <v>2</v>
      </c>
      <c r="O277">
        <v>2</v>
      </c>
      <c r="P277">
        <v>2</v>
      </c>
      <c r="Q277">
        <v>2</v>
      </c>
      <c r="R277">
        <v>2</v>
      </c>
      <c r="S277">
        <v>1</v>
      </c>
      <c r="T277">
        <v>2</v>
      </c>
      <c r="U277">
        <v>1</v>
      </c>
      <c r="V277" t="s">
        <v>957</v>
      </c>
      <c r="W277" t="s">
        <v>990</v>
      </c>
      <c r="X277" t="s">
        <v>998</v>
      </c>
      <c r="Y277" t="s">
        <v>1003</v>
      </c>
      <c r="Z277">
        <v>1</v>
      </c>
      <c r="AA277">
        <f t="shared" si="79"/>
        <v>0</v>
      </c>
      <c r="AB277">
        <f t="shared" si="80"/>
        <v>1</v>
      </c>
      <c r="AC277">
        <f t="shared" si="81"/>
        <v>1</v>
      </c>
      <c r="AD277">
        <f t="shared" si="82"/>
        <v>1</v>
      </c>
      <c r="AE277">
        <f t="shared" si="83"/>
        <v>1</v>
      </c>
      <c r="AF277">
        <f t="shared" si="84"/>
        <v>1</v>
      </c>
      <c r="AG277">
        <f t="shared" si="85"/>
        <v>1</v>
      </c>
      <c r="AH277">
        <f t="shared" si="86"/>
        <v>1</v>
      </c>
      <c r="AI277">
        <f t="shared" si="87"/>
        <v>1</v>
      </c>
      <c r="AJ277" s="9">
        <f t="shared" si="88"/>
        <v>6</v>
      </c>
      <c r="AK277">
        <f t="shared" si="89"/>
        <v>0</v>
      </c>
      <c r="AL277" s="9">
        <v>1</v>
      </c>
    </row>
    <row r="278" spans="1:38" x14ac:dyDescent="0.35">
      <c r="A278" s="9">
        <v>1</v>
      </c>
      <c r="B278" s="9" t="s">
        <v>44</v>
      </c>
      <c r="C278" s="53">
        <v>43896</v>
      </c>
      <c r="D278" s="53">
        <v>43906</v>
      </c>
      <c r="E278" s="53">
        <v>43966</v>
      </c>
      <c r="F278" s="21">
        <f t="shared" si="90"/>
        <v>60</v>
      </c>
      <c r="G278" s="53">
        <v>43906</v>
      </c>
      <c r="H278" s="9">
        <v>2020</v>
      </c>
      <c r="I278" s="9">
        <v>1</v>
      </c>
      <c r="J278" s="9">
        <v>6</v>
      </c>
      <c r="K278" s="9">
        <v>25</v>
      </c>
      <c r="L278" s="50" t="s">
        <v>375</v>
      </c>
      <c r="M278">
        <v>1</v>
      </c>
      <c r="N278">
        <v>1</v>
      </c>
      <c r="O278">
        <v>2</v>
      </c>
      <c r="P278">
        <v>-1</v>
      </c>
      <c r="Q278">
        <v>2</v>
      </c>
      <c r="R278">
        <v>2</v>
      </c>
      <c r="S278">
        <v>1</v>
      </c>
      <c r="T278">
        <v>-2</v>
      </c>
      <c r="U278">
        <v>1</v>
      </c>
      <c r="V278" t="s">
        <v>957</v>
      </c>
      <c r="W278" t="s">
        <v>990</v>
      </c>
      <c r="X278" t="s">
        <v>998</v>
      </c>
      <c r="Y278" t="s">
        <v>1003</v>
      </c>
      <c r="Z278">
        <v>1</v>
      </c>
      <c r="AA278">
        <f t="shared" si="79"/>
        <v>1</v>
      </c>
      <c r="AB278">
        <f t="shared" si="80"/>
        <v>1</v>
      </c>
      <c r="AC278">
        <f t="shared" si="81"/>
        <v>1</v>
      </c>
      <c r="AD278">
        <f t="shared" si="82"/>
        <v>0</v>
      </c>
      <c r="AE278">
        <f t="shared" si="83"/>
        <v>1</v>
      </c>
      <c r="AF278">
        <f t="shared" si="84"/>
        <v>1</v>
      </c>
      <c r="AG278">
        <f t="shared" si="85"/>
        <v>1</v>
      </c>
      <c r="AH278">
        <f t="shared" si="86"/>
        <v>0</v>
      </c>
      <c r="AI278">
        <f t="shared" si="87"/>
        <v>1</v>
      </c>
      <c r="AJ278" s="9">
        <f t="shared" si="88"/>
        <v>25</v>
      </c>
      <c r="AK278">
        <f t="shared" si="89"/>
        <v>0</v>
      </c>
      <c r="AL278" s="9">
        <v>0</v>
      </c>
    </row>
    <row r="279" spans="1:38" x14ac:dyDescent="0.35">
      <c r="A279" s="9">
        <v>1</v>
      </c>
      <c r="B279" s="9" t="s">
        <v>44</v>
      </c>
      <c r="C279" s="53">
        <v>43896</v>
      </c>
      <c r="D279" s="53">
        <v>43906</v>
      </c>
      <c r="E279" s="53">
        <v>43966</v>
      </c>
      <c r="F279" s="21">
        <f t="shared" si="90"/>
        <v>60</v>
      </c>
      <c r="G279" s="53">
        <v>43906</v>
      </c>
      <c r="H279" s="9">
        <v>2020</v>
      </c>
      <c r="I279" s="9">
        <v>1</v>
      </c>
      <c r="J279" s="9">
        <v>7</v>
      </c>
      <c r="K279" s="9">
        <v>30</v>
      </c>
      <c r="L279" s="50" t="s">
        <v>369</v>
      </c>
      <c r="M279">
        <v>1</v>
      </c>
      <c r="N279">
        <v>1</v>
      </c>
      <c r="O279">
        <v>2</v>
      </c>
      <c r="Q279">
        <v>-2</v>
      </c>
      <c r="R279">
        <v>1</v>
      </c>
      <c r="S279">
        <v>1</v>
      </c>
      <c r="T279">
        <v>-2</v>
      </c>
      <c r="U279">
        <v>1</v>
      </c>
      <c r="V279" t="s">
        <v>957</v>
      </c>
      <c r="W279" t="s">
        <v>990</v>
      </c>
      <c r="X279" t="s">
        <v>998</v>
      </c>
      <c r="Y279" t="s">
        <v>1003</v>
      </c>
      <c r="Z279">
        <v>1</v>
      </c>
      <c r="AA279">
        <f t="shared" si="79"/>
        <v>1</v>
      </c>
      <c r="AB279">
        <f t="shared" si="80"/>
        <v>1</v>
      </c>
      <c r="AC279">
        <f t="shared" si="81"/>
        <v>1</v>
      </c>
      <c r="AD279">
        <f t="shared" si="82"/>
        <v>-1</v>
      </c>
      <c r="AE279">
        <f t="shared" si="83"/>
        <v>0</v>
      </c>
      <c r="AF279">
        <f t="shared" si="84"/>
        <v>1</v>
      </c>
      <c r="AG279">
        <f t="shared" si="85"/>
        <v>1</v>
      </c>
      <c r="AH279">
        <f t="shared" si="86"/>
        <v>0</v>
      </c>
      <c r="AI279">
        <f t="shared" si="87"/>
        <v>1</v>
      </c>
      <c r="AJ279" s="9">
        <f t="shared" si="88"/>
        <v>30</v>
      </c>
      <c r="AK279" t="e">
        <f>IF(B279&lt;&gt;#REF!,1,0)</f>
        <v>#REF!</v>
      </c>
      <c r="AL279" s="9">
        <v>1</v>
      </c>
    </row>
    <row r="280" spans="1:38" x14ac:dyDescent="0.35">
      <c r="A280" s="9">
        <v>1</v>
      </c>
      <c r="B280" s="9" t="s">
        <v>44</v>
      </c>
      <c r="C280" s="53">
        <v>43896</v>
      </c>
      <c r="D280" s="53">
        <v>43906</v>
      </c>
      <c r="E280" s="53">
        <v>43966</v>
      </c>
      <c r="F280" s="21">
        <f t="shared" si="90"/>
        <v>60</v>
      </c>
      <c r="G280" s="53">
        <v>43906</v>
      </c>
      <c r="H280" s="9">
        <v>2020</v>
      </c>
      <c r="I280" s="9">
        <v>1</v>
      </c>
      <c r="J280" s="9">
        <v>1</v>
      </c>
      <c r="K280" s="9">
        <v>6</v>
      </c>
      <c r="L280" s="50" t="s">
        <v>373</v>
      </c>
      <c r="M280">
        <v>-2</v>
      </c>
      <c r="N280">
        <v>2</v>
      </c>
      <c r="O280">
        <v>2</v>
      </c>
      <c r="P280">
        <v>2</v>
      </c>
      <c r="Q280">
        <v>2</v>
      </c>
      <c r="R280">
        <v>2</v>
      </c>
      <c r="S280">
        <v>1</v>
      </c>
      <c r="T280">
        <v>2</v>
      </c>
      <c r="U280">
        <v>1</v>
      </c>
      <c r="V280" t="s">
        <v>957</v>
      </c>
      <c r="W280" t="s">
        <v>990</v>
      </c>
      <c r="X280" t="s">
        <v>998</v>
      </c>
      <c r="Y280" t="s">
        <v>1003</v>
      </c>
      <c r="Z280">
        <v>1</v>
      </c>
      <c r="AA280">
        <f t="shared" si="79"/>
        <v>0</v>
      </c>
      <c r="AB280">
        <f t="shared" si="80"/>
        <v>1</v>
      </c>
      <c r="AC280">
        <f t="shared" si="81"/>
        <v>1</v>
      </c>
      <c r="AD280">
        <f t="shared" si="82"/>
        <v>1</v>
      </c>
      <c r="AE280">
        <f t="shared" si="83"/>
        <v>1</v>
      </c>
      <c r="AF280">
        <f t="shared" si="84"/>
        <v>1</v>
      </c>
      <c r="AG280">
        <f t="shared" si="85"/>
        <v>1</v>
      </c>
      <c r="AH280">
        <f t="shared" si="86"/>
        <v>1</v>
      </c>
      <c r="AI280">
        <f t="shared" si="87"/>
        <v>1</v>
      </c>
      <c r="AJ280" s="9">
        <f t="shared" si="88"/>
        <v>6</v>
      </c>
      <c r="AK280">
        <f t="shared" si="89"/>
        <v>0</v>
      </c>
      <c r="AL280" s="9">
        <v>1</v>
      </c>
    </row>
    <row r="281" spans="1:38" x14ac:dyDescent="0.35">
      <c r="A281" s="9">
        <v>1</v>
      </c>
      <c r="B281" s="9" t="s">
        <v>44</v>
      </c>
      <c r="C281" s="53">
        <v>43896</v>
      </c>
      <c r="D281" s="53">
        <v>43906</v>
      </c>
      <c r="E281" s="53">
        <v>43966</v>
      </c>
      <c r="F281" s="21">
        <f t="shared" si="90"/>
        <v>60</v>
      </c>
      <c r="G281" s="53">
        <v>43906</v>
      </c>
      <c r="H281" s="9">
        <v>2020</v>
      </c>
      <c r="I281" s="9">
        <v>1</v>
      </c>
      <c r="J281" s="9">
        <v>6</v>
      </c>
      <c r="K281" s="9">
        <v>26</v>
      </c>
      <c r="L281" s="50" t="s">
        <v>365</v>
      </c>
      <c r="M281">
        <v>1</v>
      </c>
      <c r="N281">
        <v>1</v>
      </c>
      <c r="O281">
        <v>-2</v>
      </c>
      <c r="P281">
        <v>-1</v>
      </c>
      <c r="Q281">
        <v>-2</v>
      </c>
      <c r="R281">
        <v>2</v>
      </c>
      <c r="S281">
        <v>1</v>
      </c>
      <c r="T281">
        <v>-2</v>
      </c>
      <c r="U281">
        <v>1</v>
      </c>
      <c r="V281" t="s">
        <v>957</v>
      </c>
      <c r="W281" t="s">
        <v>990</v>
      </c>
      <c r="X281" t="s">
        <v>998</v>
      </c>
      <c r="Y281" t="s">
        <v>1003</v>
      </c>
      <c r="Z281">
        <v>1</v>
      </c>
      <c r="AA281">
        <f t="shared" si="79"/>
        <v>1</v>
      </c>
      <c r="AB281">
        <f t="shared" si="80"/>
        <v>1</v>
      </c>
      <c r="AC281">
        <f t="shared" si="81"/>
        <v>0</v>
      </c>
      <c r="AD281">
        <f t="shared" si="82"/>
        <v>0</v>
      </c>
      <c r="AE281">
        <f t="shared" si="83"/>
        <v>0</v>
      </c>
      <c r="AF281">
        <f t="shared" si="84"/>
        <v>1</v>
      </c>
      <c r="AG281">
        <f t="shared" si="85"/>
        <v>1</v>
      </c>
      <c r="AH281">
        <f t="shared" si="86"/>
        <v>0</v>
      </c>
      <c r="AI281">
        <f t="shared" si="87"/>
        <v>1</v>
      </c>
      <c r="AJ281" s="9">
        <f t="shared" si="88"/>
        <v>26</v>
      </c>
      <c r="AK281">
        <f t="shared" si="89"/>
        <v>0</v>
      </c>
      <c r="AL281" s="9">
        <v>1</v>
      </c>
    </row>
    <row r="282" spans="1:38" x14ac:dyDescent="0.35">
      <c r="A282" s="9">
        <v>1</v>
      </c>
      <c r="B282" s="9" t="s">
        <v>44</v>
      </c>
      <c r="C282" s="53">
        <v>43896</v>
      </c>
      <c r="D282" s="53">
        <v>43906</v>
      </c>
      <c r="E282" s="53">
        <v>43966</v>
      </c>
      <c r="F282" s="21">
        <f t="shared" si="90"/>
        <v>60</v>
      </c>
      <c r="G282" s="53">
        <v>43906</v>
      </c>
      <c r="H282" s="9">
        <v>2020</v>
      </c>
      <c r="I282" s="9">
        <v>1</v>
      </c>
      <c r="J282" s="9">
        <v>1</v>
      </c>
      <c r="K282" s="9">
        <v>6</v>
      </c>
      <c r="L282" s="50" t="s">
        <v>372</v>
      </c>
      <c r="M282">
        <v>-2</v>
      </c>
      <c r="N282">
        <v>2</v>
      </c>
      <c r="O282">
        <v>2</v>
      </c>
      <c r="P282">
        <v>2</v>
      </c>
      <c r="Q282">
        <v>2</v>
      </c>
      <c r="R282">
        <v>2</v>
      </c>
      <c r="S282">
        <v>1</v>
      </c>
      <c r="T282">
        <v>2</v>
      </c>
      <c r="U282">
        <v>1</v>
      </c>
      <c r="V282" t="s">
        <v>957</v>
      </c>
      <c r="W282" t="s">
        <v>990</v>
      </c>
      <c r="X282" t="s">
        <v>998</v>
      </c>
      <c r="Y282" t="s">
        <v>1003</v>
      </c>
      <c r="Z282">
        <v>1</v>
      </c>
      <c r="AA282">
        <f t="shared" si="79"/>
        <v>0</v>
      </c>
      <c r="AB282">
        <f t="shared" si="80"/>
        <v>1</v>
      </c>
      <c r="AC282">
        <f t="shared" si="81"/>
        <v>1</v>
      </c>
      <c r="AD282">
        <f t="shared" si="82"/>
        <v>1</v>
      </c>
      <c r="AE282">
        <f t="shared" si="83"/>
        <v>1</v>
      </c>
      <c r="AF282">
        <f t="shared" si="84"/>
        <v>1</v>
      </c>
      <c r="AG282">
        <f t="shared" si="85"/>
        <v>1</v>
      </c>
      <c r="AH282">
        <f t="shared" si="86"/>
        <v>1</v>
      </c>
      <c r="AI282">
        <f t="shared" si="87"/>
        <v>1</v>
      </c>
      <c r="AJ282" s="9">
        <f t="shared" si="88"/>
        <v>6</v>
      </c>
      <c r="AK282">
        <f t="shared" si="89"/>
        <v>0</v>
      </c>
      <c r="AL282" s="9">
        <v>1</v>
      </c>
    </row>
    <row r="283" spans="1:38" x14ac:dyDescent="0.35">
      <c r="A283" s="9">
        <v>1</v>
      </c>
      <c r="B283" s="9" t="s">
        <v>44</v>
      </c>
      <c r="C283" s="53">
        <v>43896</v>
      </c>
      <c r="D283" s="53">
        <v>43906</v>
      </c>
      <c r="E283" s="53">
        <v>43966</v>
      </c>
      <c r="F283" s="21">
        <f t="shared" si="90"/>
        <v>60</v>
      </c>
      <c r="G283" s="53">
        <v>43906</v>
      </c>
      <c r="H283" s="9">
        <v>2020</v>
      </c>
      <c r="I283" s="9">
        <v>1</v>
      </c>
      <c r="J283" s="9">
        <v>1</v>
      </c>
      <c r="K283" s="9" t="s">
        <v>206</v>
      </c>
      <c r="L283" s="50" t="s">
        <v>368</v>
      </c>
      <c r="M283">
        <v>-2</v>
      </c>
      <c r="N283">
        <v>2</v>
      </c>
      <c r="O283">
        <v>-2</v>
      </c>
      <c r="P283">
        <v>-1</v>
      </c>
      <c r="Q283">
        <v>-2</v>
      </c>
      <c r="R283">
        <v>2</v>
      </c>
      <c r="S283">
        <v>1</v>
      </c>
      <c r="U283">
        <v>1</v>
      </c>
      <c r="V283" t="s">
        <v>957</v>
      </c>
      <c r="W283" t="s">
        <v>990</v>
      </c>
      <c r="X283" t="s">
        <v>998</v>
      </c>
      <c r="Y283" t="s">
        <v>1003</v>
      </c>
      <c r="Z283">
        <v>1</v>
      </c>
      <c r="AA283">
        <f t="shared" si="79"/>
        <v>0</v>
      </c>
      <c r="AB283">
        <f t="shared" si="80"/>
        <v>1</v>
      </c>
      <c r="AC283">
        <f t="shared" si="81"/>
        <v>0</v>
      </c>
      <c r="AD283">
        <f t="shared" si="82"/>
        <v>0</v>
      </c>
      <c r="AE283">
        <f t="shared" si="83"/>
        <v>0</v>
      </c>
      <c r="AF283">
        <f t="shared" si="84"/>
        <v>1</v>
      </c>
      <c r="AG283">
        <f t="shared" si="85"/>
        <v>1</v>
      </c>
      <c r="AH283">
        <f t="shared" si="86"/>
        <v>-1</v>
      </c>
      <c r="AI283">
        <f t="shared" si="87"/>
        <v>1</v>
      </c>
      <c r="AJ283" s="9" t="str">
        <f t="shared" si="88"/>
        <v>Tax exemption/waiver/suspension</v>
      </c>
      <c r="AK283">
        <f t="shared" si="89"/>
        <v>0</v>
      </c>
      <c r="AL283" s="9">
        <v>1</v>
      </c>
    </row>
    <row r="284" spans="1:38" x14ac:dyDescent="0.35">
      <c r="A284" s="9">
        <v>1</v>
      </c>
      <c r="B284" s="9" t="s">
        <v>44</v>
      </c>
      <c r="C284" s="53">
        <v>43896</v>
      </c>
      <c r="D284" s="53">
        <v>43906</v>
      </c>
      <c r="E284" s="53">
        <v>43966</v>
      </c>
      <c r="F284" s="21">
        <f t="shared" si="90"/>
        <v>60</v>
      </c>
      <c r="G284" s="53">
        <v>43906</v>
      </c>
      <c r="H284" s="9">
        <v>2020</v>
      </c>
      <c r="I284" s="9">
        <v>1</v>
      </c>
      <c r="J284" s="9">
        <v>6</v>
      </c>
      <c r="K284" s="9">
        <v>25</v>
      </c>
      <c r="L284" s="50" t="s">
        <v>374</v>
      </c>
      <c r="M284">
        <v>1</v>
      </c>
      <c r="N284">
        <v>1</v>
      </c>
      <c r="O284">
        <v>2</v>
      </c>
      <c r="P284">
        <v>-1</v>
      </c>
      <c r="Q284">
        <v>2</v>
      </c>
      <c r="R284">
        <v>2</v>
      </c>
      <c r="S284">
        <v>-1</v>
      </c>
      <c r="T284">
        <v>2</v>
      </c>
      <c r="U284">
        <v>1</v>
      </c>
      <c r="V284" t="s">
        <v>957</v>
      </c>
      <c r="W284" t="s">
        <v>990</v>
      </c>
      <c r="X284" t="s">
        <v>998</v>
      </c>
      <c r="Y284" t="s">
        <v>1003</v>
      </c>
      <c r="Z284">
        <v>1</v>
      </c>
      <c r="AA284">
        <f t="shared" si="79"/>
        <v>1</v>
      </c>
      <c r="AB284">
        <f t="shared" si="80"/>
        <v>1</v>
      </c>
      <c r="AC284">
        <f t="shared" si="81"/>
        <v>1</v>
      </c>
      <c r="AD284">
        <f t="shared" si="82"/>
        <v>0</v>
      </c>
      <c r="AE284">
        <f t="shared" si="83"/>
        <v>1</v>
      </c>
      <c r="AF284">
        <f t="shared" si="84"/>
        <v>1</v>
      </c>
      <c r="AG284">
        <f t="shared" si="85"/>
        <v>0</v>
      </c>
      <c r="AH284">
        <f t="shared" si="86"/>
        <v>1</v>
      </c>
      <c r="AI284">
        <f t="shared" si="87"/>
        <v>1</v>
      </c>
      <c r="AJ284" s="9">
        <f t="shared" si="88"/>
        <v>25</v>
      </c>
      <c r="AK284">
        <f t="shared" si="89"/>
        <v>0</v>
      </c>
      <c r="AL284" s="9">
        <v>0</v>
      </c>
    </row>
    <row r="285" spans="1:38" x14ac:dyDescent="0.35">
      <c r="A285" s="9">
        <v>1</v>
      </c>
      <c r="B285" s="50" t="s">
        <v>44</v>
      </c>
      <c r="C285" s="53">
        <v>43896</v>
      </c>
      <c r="D285" s="53">
        <v>43906</v>
      </c>
      <c r="E285" s="53">
        <v>43966</v>
      </c>
      <c r="F285" s="21">
        <f t="shared" si="90"/>
        <v>60</v>
      </c>
      <c r="G285" s="53">
        <v>43906</v>
      </c>
      <c r="H285" s="9">
        <v>2020</v>
      </c>
      <c r="I285" s="9">
        <v>1</v>
      </c>
      <c r="J285" s="50">
        <v>4</v>
      </c>
      <c r="K285" s="50" t="s">
        <v>201</v>
      </c>
      <c r="L285" s="24" t="s">
        <v>1305</v>
      </c>
      <c r="M285" s="24"/>
      <c r="V285" t="s">
        <v>957</v>
      </c>
      <c r="W285" t="s">
        <v>990</v>
      </c>
      <c r="X285" t="s">
        <v>998</v>
      </c>
      <c r="Y285" t="s">
        <v>1003</v>
      </c>
      <c r="Z285">
        <v>1</v>
      </c>
      <c r="AA285">
        <v>-1</v>
      </c>
      <c r="AB285">
        <v>-1</v>
      </c>
      <c r="AC285">
        <v>-1</v>
      </c>
      <c r="AD285">
        <v>-1</v>
      </c>
      <c r="AE285">
        <v>-1</v>
      </c>
      <c r="AF285">
        <v>-1</v>
      </c>
      <c r="AG285">
        <v>-1</v>
      </c>
      <c r="AH285">
        <v>-1</v>
      </c>
      <c r="AI285">
        <v>-1</v>
      </c>
      <c r="AJ285" s="9" t="str">
        <f t="shared" si="88"/>
        <v>Other</v>
      </c>
      <c r="AK285">
        <f t="shared" si="89"/>
        <v>0</v>
      </c>
      <c r="AL285" s="9">
        <v>0</v>
      </c>
    </row>
    <row r="286" spans="1:38" x14ac:dyDescent="0.35">
      <c r="A286" s="9">
        <v>1</v>
      </c>
      <c r="B286" s="50" t="s">
        <v>44</v>
      </c>
      <c r="C286" s="53">
        <v>43896</v>
      </c>
      <c r="D286" s="53">
        <v>43906</v>
      </c>
      <c r="E286" s="53">
        <v>43966</v>
      </c>
      <c r="F286" s="21">
        <f t="shared" si="90"/>
        <v>60</v>
      </c>
      <c r="G286" s="53">
        <v>43906</v>
      </c>
      <c r="H286" s="9">
        <v>2020</v>
      </c>
      <c r="I286" s="9">
        <v>1</v>
      </c>
      <c r="J286" s="50">
        <v>4</v>
      </c>
      <c r="K286" s="50" t="s">
        <v>206</v>
      </c>
      <c r="L286" s="26" t="s">
        <v>1306</v>
      </c>
      <c r="M286" s="26"/>
      <c r="V286" t="s">
        <v>957</v>
      </c>
      <c r="W286" t="s">
        <v>990</v>
      </c>
      <c r="X286" t="s">
        <v>998</v>
      </c>
      <c r="Y286" t="s">
        <v>1003</v>
      </c>
      <c r="Z286">
        <v>1</v>
      </c>
      <c r="AA286">
        <v>-1</v>
      </c>
      <c r="AB286">
        <v>-1</v>
      </c>
      <c r="AC286">
        <v>-1</v>
      </c>
      <c r="AD286">
        <v>-1</v>
      </c>
      <c r="AE286">
        <v>-1</v>
      </c>
      <c r="AF286">
        <v>-1</v>
      </c>
      <c r="AG286">
        <v>-1</v>
      </c>
      <c r="AH286">
        <v>-1</v>
      </c>
      <c r="AI286">
        <v>-1</v>
      </c>
      <c r="AJ286" s="9" t="str">
        <f t="shared" si="88"/>
        <v>Tax exemption/waiver/suspension</v>
      </c>
      <c r="AK286">
        <f t="shared" si="89"/>
        <v>0</v>
      </c>
      <c r="AL286" s="9">
        <v>0</v>
      </c>
    </row>
    <row r="287" spans="1:38" x14ac:dyDescent="0.35">
      <c r="A287" s="9">
        <v>1</v>
      </c>
      <c r="B287" s="50" t="s">
        <v>44</v>
      </c>
      <c r="C287" s="53">
        <v>43896</v>
      </c>
      <c r="D287" s="53">
        <v>43906</v>
      </c>
      <c r="E287" s="53">
        <v>43966</v>
      </c>
      <c r="F287" s="21">
        <f t="shared" si="90"/>
        <v>60</v>
      </c>
      <c r="G287" s="53">
        <v>43906</v>
      </c>
      <c r="H287" s="9">
        <v>2020</v>
      </c>
      <c r="I287" s="9">
        <v>1</v>
      </c>
      <c r="J287" s="50">
        <v>1</v>
      </c>
      <c r="K287" s="50">
        <v>10</v>
      </c>
      <c r="L287" s="24" t="s">
        <v>1307</v>
      </c>
      <c r="M287" s="24"/>
      <c r="V287" t="s">
        <v>957</v>
      </c>
      <c r="W287" t="s">
        <v>990</v>
      </c>
      <c r="X287" t="s">
        <v>998</v>
      </c>
      <c r="Y287" t="s">
        <v>1003</v>
      </c>
      <c r="Z287">
        <v>1</v>
      </c>
      <c r="AA287">
        <v>-1</v>
      </c>
      <c r="AB287">
        <v>-1</v>
      </c>
      <c r="AC287">
        <v>-1</v>
      </c>
      <c r="AD287">
        <v>-1</v>
      </c>
      <c r="AE287">
        <v>-1</v>
      </c>
      <c r="AF287">
        <v>-1</v>
      </c>
      <c r="AG287">
        <v>-1</v>
      </c>
      <c r="AH287">
        <v>-1</v>
      </c>
      <c r="AI287">
        <v>-1</v>
      </c>
      <c r="AJ287" s="9">
        <f t="shared" si="88"/>
        <v>10</v>
      </c>
      <c r="AK287">
        <f t="shared" si="89"/>
        <v>0</v>
      </c>
      <c r="AL287" s="9">
        <v>0</v>
      </c>
    </row>
    <row r="288" spans="1:38" x14ac:dyDescent="0.35">
      <c r="A288" s="9">
        <v>1</v>
      </c>
      <c r="B288" s="50" t="s">
        <v>44</v>
      </c>
      <c r="C288" s="53">
        <v>43896</v>
      </c>
      <c r="D288" s="53">
        <v>43906</v>
      </c>
      <c r="E288" s="53">
        <v>43966</v>
      </c>
      <c r="F288" s="21">
        <f t="shared" si="90"/>
        <v>60</v>
      </c>
      <c r="G288" s="53">
        <v>43906</v>
      </c>
      <c r="H288" s="9">
        <v>2020</v>
      </c>
      <c r="I288" s="9">
        <v>1</v>
      </c>
      <c r="J288" s="50">
        <v>1</v>
      </c>
      <c r="K288" s="50">
        <v>12</v>
      </c>
      <c r="L288" s="24" t="s">
        <v>1308</v>
      </c>
      <c r="M288" s="24"/>
      <c r="V288" t="s">
        <v>957</v>
      </c>
      <c r="W288" t="s">
        <v>990</v>
      </c>
      <c r="X288" t="s">
        <v>998</v>
      </c>
      <c r="Y288" t="s">
        <v>1003</v>
      </c>
      <c r="Z288">
        <v>1</v>
      </c>
      <c r="AA288">
        <v>-1</v>
      </c>
      <c r="AB288">
        <v>-1</v>
      </c>
      <c r="AC288">
        <v>-1</v>
      </c>
      <c r="AD288">
        <v>-1</v>
      </c>
      <c r="AE288">
        <v>-1</v>
      </c>
      <c r="AF288">
        <v>-1</v>
      </c>
      <c r="AG288">
        <v>-1</v>
      </c>
      <c r="AH288">
        <v>-1</v>
      </c>
      <c r="AI288">
        <v>-1</v>
      </c>
      <c r="AJ288" s="9">
        <f t="shared" si="88"/>
        <v>12</v>
      </c>
      <c r="AK288">
        <f t="shared" si="89"/>
        <v>0</v>
      </c>
      <c r="AL288" s="9">
        <v>0</v>
      </c>
    </row>
    <row r="289" spans="1:38" x14ac:dyDescent="0.35">
      <c r="A289" s="9">
        <v>1</v>
      </c>
      <c r="B289" s="50" t="s">
        <v>44</v>
      </c>
      <c r="C289" s="53">
        <v>43896</v>
      </c>
      <c r="D289" s="53">
        <v>43906</v>
      </c>
      <c r="E289" s="53">
        <v>43966</v>
      </c>
      <c r="F289" s="21">
        <f t="shared" si="90"/>
        <v>60</v>
      </c>
      <c r="G289" s="53">
        <v>43906</v>
      </c>
      <c r="H289" s="9">
        <v>2020</v>
      </c>
      <c r="I289" s="9">
        <v>1</v>
      </c>
      <c r="J289" s="50">
        <v>4</v>
      </c>
      <c r="K289" s="50">
        <v>20</v>
      </c>
      <c r="L289" s="24" t="s">
        <v>1309</v>
      </c>
      <c r="M289" s="24"/>
      <c r="V289" t="s">
        <v>957</v>
      </c>
      <c r="W289" t="s">
        <v>990</v>
      </c>
      <c r="X289" t="s">
        <v>998</v>
      </c>
      <c r="Y289" t="s">
        <v>1003</v>
      </c>
      <c r="Z289">
        <v>1</v>
      </c>
      <c r="AA289">
        <v>-1</v>
      </c>
      <c r="AB289">
        <v>-1</v>
      </c>
      <c r="AC289">
        <v>-1</v>
      </c>
      <c r="AD289">
        <v>-1</v>
      </c>
      <c r="AE289">
        <v>-1</v>
      </c>
      <c r="AF289">
        <v>-1</v>
      </c>
      <c r="AG289">
        <v>-1</v>
      </c>
      <c r="AH289">
        <v>-1</v>
      </c>
      <c r="AI289">
        <v>-1</v>
      </c>
      <c r="AJ289" s="9">
        <f t="shared" si="88"/>
        <v>20</v>
      </c>
      <c r="AK289">
        <f t="shared" si="89"/>
        <v>0</v>
      </c>
      <c r="AL289" s="9">
        <v>0</v>
      </c>
    </row>
    <row r="290" spans="1:38" x14ac:dyDescent="0.35">
      <c r="A290" s="9">
        <v>1</v>
      </c>
      <c r="B290" s="50" t="s">
        <v>44</v>
      </c>
      <c r="C290" s="53">
        <v>43896</v>
      </c>
      <c r="D290" s="53">
        <v>43906</v>
      </c>
      <c r="E290" s="53">
        <v>43966</v>
      </c>
      <c r="F290" s="21">
        <f t="shared" si="90"/>
        <v>60</v>
      </c>
      <c r="G290" s="53">
        <v>43906</v>
      </c>
      <c r="H290" s="9">
        <v>2020</v>
      </c>
      <c r="I290" s="9">
        <v>1</v>
      </c>
      <c r="J290" s="50">
        <v>4</v>
      </c>
      <c r="K290" s="50" t="s">
        <v>206</v>
      </c>
      <c r="L290" s="24" t="s">
        <v>1310</v>
      </c>
      <c r="M290" s="24"/>
      <c r="V290" t="s">
        <v>957</v>
      </c>
      <c r="W290" t="s">
        <v>990</v>
      </c>
      <c r="X290" t="s">
        <v>998</v>
      </c>
      <c r="Y290" t="s">
        <v>1003</v>
      </c>
      <c r="Z290">
        <v>1</v>
      </c>
      <c r="AA290">
        <v>-1</v>
      </c>
      <c r="AB290">
        <v>-1</v>
      </c>
      <c r="AC290">
        <v>-1</v>
      </c>
      <c r="AD290">
        <v>-1</v>
      </c>
      <c r="AE290">
        <v>-1</v>
      </c>
      <c r="AF290">
        <v>-1</v>
      </c>
      <c r="AG290">
        <v>-1</v>
      </c>
      <c r="AH290">
        <v>-1</v>
      </c>
      <c r="AI290">
        <v>-1</v>
      </c>
      <c r="AJ290" s="9" t="str">
        <f t="shared" si="88"/>
        <v>Tax exemption/waiver/suspension</v>
      </c>
      <c r="AK290">
        <f t="shared" si="89"/>
        <v>0</v>
      </c>
      <c r="AL290" s="9">
        <v>0</v>
      </c>
    </row>
    <row r="291" spans="1:38" x14ac:dyDescent="0.35">
      <c r="A291" s="9">
        <v>1</v>
      </c>
      <c r="B291" s="50" t="s">
        <v>44</v>
      </c>
      <c r="C291" s="53">
        <v>43896</v>
      </c>
      <c r="D291" s="53">
        <v>43906</v>
      </c>
      <c r="E291" s="53">
        <v>43966</v>
      </c>
      <c r="F291" s="21">
        <f t="shared" si="90"/>
        <v>60</v>
      </c>
      <c r="G291" s="53">
        <v>43906</v>
      </c>
      <c r="H291" s="9">
        <v>2020</v>
      </c>
      <c r="I291" s="9">
        <v>1</v>
      </c>
      <c r="J291" s="50">
        <v>1</v>
      </c>
      <c r="K291" s="50">
        <v>1</v>
      </c>
      <c r="L291" s="24" t="s">
        <v>1311</v>
      </c>
      <c r="M291" s="24"/>
      <c r="V291" t="s">
        <v>957</v>
      </c>
      <c r="W291" t="s">
        <v>990</v>
      </c>
      <c r="X291" t="s">
        <v>998</v>
      </c>
      <c r="Y291" t="s">
        <v>1003</v>
      </c>
      <c r="Z291">
        <v>1</v>
      </c>
      <c r="AA291">
        <v>-1</v>
      </c>
      <c r="AB291">
        <v>-1</v>
      </c>
      <c r="AC291">
        <v>-1</v>
      </c>
      <c r="AD291">
        <v>-1</v>
      </c>
      <c r="AE291">
        <v>-1</v>
      </c>
      <c r="AF291">
        <v>-1</v>
      </c>
      <c r="AG291">
        <v>-1</v>
      </c>
      <c r="AH291">
        <v>-1</v>
      </c>
      <c r="AI291">
        <v>-1</v>
      </c>
      <c r="AJ291" s="9">
        <f t="shared" si="88"/>
        <v>1</v>
      </c>
      <c r="AK291">
        <f t="shared" si="89"/>
        <v>0</v>
      </c>
      <c r="AL291" s="9">
        <v>0</v>
      </c>
    </row>
    <row r="292" spans="1:38" x14ac:dyDescent="0.35">
      <c r="A292" s="9">
        <v>1</v>
      </c>
      <c r="B292" s="50" t="s">
        <v>44</v>
      </c>
      <c r="C292" s="53">
        <v>43896</v>
      </c>
      <c r="D292" s="53">
        <v>43906</v>
      </c>
      <c r="E292" s="53">
        <v>43966</v>
      </c>
      <c r="F292" s="21">
        <f t="shared" si="90"/>
        <v>60</v>
      </c>
      <c r="G292" s="53">
        <v>43906</v>
      </c>
      <c r="H292" s="9">
        <v>2020</v>
      </c>
      <c r="I292" s="9">
        <v>1</v>
      </c>
      <c r="J292" s="50">
        <v>1</v>
      </c>
      <c r="K292" s="50">
        <v>8</v>
      </c>
      <c r="L292" s="24" t="s">
        <v>1312</v>
      </c>
      <c r="M292" s="24"/>
      <c r="V292" t="s">
        <v>957</v>
      </c>
      <c r="W292" t="s">
        <v>990</v>
      </c>
      <c r="X292" t="s">
        <v>998</v>
      </c>
      <c r="Y292" t="s">
        <v>1003</v>
      </c>
      <c r="Z292">
        <v>1</v>
      </c>
      <c r="AA292">
        <v>-1</v>
      </c>
      <c r="AB292">
        <v>-1</v>
      </c>
      <c r="AC292">
        <v>-1</v>
      </c>
      <c r="AD292">
        <v>-1</v>
      </c>
      <c r="AE292">
        <v>-1</v>
      </c>
      <c r="AF292">
        <v>-1</v>
      </c>
      <c r="AG292">
        <v>-1</v>
      </c>
      <c r="AH292">
        <v>-1</v>
      </c>
      <c r="AI292">
        <v>-1</v>
      </c>
      <c r="AJ292" s="9">
        <f t="shared" si="88"/>
        <v>8</v>
      </c>
      <c r="AK292">
        <f t="shared" si="89"/>
        <v>0</v>
      </c>
      <c r="AL292" s="9">
        <v>0</v>
      </c>
    </row>
    <row r="293" spans="1:38" x14ac:dyDescent="0.35">
      <c r="A293" s="9">
        <v>1</v>
      </c>
      <c r="B293" s="50" t="s">
        <v>44</v>
      </c>
      <c r="C293" s="53">
        <v>43896</v>
      </c>
      <c r="D293" s="53">
        <v>43906</v>
      </c>
      <c r="E293" s="53">
        <v>43966</v>
      </c>
      <c r="F293" s="21">
        <f t="shared" si="90"/>
        <v>60</v>
      </c>
      <c r="G293" s="53">
        <v>43906</v>
      </c>
      <c r="H293" s="9">
        <v>2020</v>
      </c>
      <c r="I293" s="9">
        <v>1</v>
      </c>
      <c r="J293" s="50">
        <v>2</v>
      </c>
      <c r="K293" s="50" t="s">
        <v>206</v>
      </c>
      <c r="L293" s="24" t="s">
        <v>2237</v>
      </c>
      <c r="M293" s="24"/>
      <c r="V293" t="s">
        <v>957</v>
      </c>
      <c r="W293" t="s">
        <v>990</v>
      </c>
      <c r="X293" t="s">
        <v>998</v>
      </c>
      <c r="Y293" t="s">
        <v>1003</v>
      </c>
      <c r="Z293">
        <v>1</v>
      </c>
      <c r="AA293">
        <v>-1</v>
      </c>
      <c r="AB293">
        <v>-1</v>
      </c>
      <c r="AC293">
        <v>-1</v>
      </c>
      <c r="AD293">
        <v>-1</v>
      </c>
      <c r="AE293">
        <v>-1</v>
      </c>
      <c r="AF293">
        <v>-1</v>
      </c>
      <c r="AG293">
        <v>-1</v>
      </c>
      <c r="AH293">
        <v>-1</v>
      </c>
      <c r="AI293">
        <v>-1</v>
      </c>
      <c r="AJ293" s="9" t="str">
        <f t="shared" si="88"/>
        <v>Tax exemption/waiver/suspension</v>
      </c>
      <c r="AK293">
        <f t="shared" si="89"/>
        <v>0</v>
      </c>
      <c r="AL293" s="9">
        <v>0</v>
      </c>
    </row>
    <row r="294" spans="1:38" x14ac:dyDescent="0.35">
      <c r="A294" s="9">
        <v>1</v>
      </c>
      <c r="B294" s="50" t="s">
        <v>44</v>
      </c>
      <c r="C294" s="53">
        <v>43896</v>
      </c>
      <c r="D294" s="53">
        <v>43906</v>
      </c>
      <c r="E294" s="53">
        <v>43966</v>
      </c>
      <c r="F294" s="21">
        <f t="shared" si="90"/>
        <v>60</v>
      </c>
      <c r="G294" s="53">
        <v>43906</v>
      </c>
      <c r="H294" s="9">
        <v>2020</v>
      </c>
      <c r="I294" s="9">
        <v>1</v>
      </c>
      <c r="J294" s="50">
        <v>4</v>
      </c>
      <c r="K294" s="50">
        <v>20</v>
      </c>
      <c r="L294" s="24" t="s">
        <v>1313</v>
      </c>
      <c r="M294" s="24"/>
      <c r="V294" t="s">
        <v>957</v>
      </c>
      <c r="W294" t="s">
        <v>990</v>
      </c>
      <c r="X294" t="s">
        <v>998</v>
      </c>
      <c r="Y294" t="s">
        <v>1003</v>
      </c>
      <c r="Z294">
        <v>1</v>
      </c>
      <c r="AA294">
        <v>-1</v>
      </c>
      <c r="AB294">
        <v>-1</v>
      </c>
      <c r="AC294">
        <v>-1</v>
      </c>
      <c r="AD294">
        <v>-1</v>
      </c>
      <c r="AE294">
        <v>-1</v>
      </c>
      <c r="AF294">
        <v>-1</v>
      </c>
      <c r="AG294">
        <v>-1</v>
      </c>
      <c r="AH294">
        <v>-1</v>
      </c>
      <c r="AI294">
        <v>-1</v>
      </c>
      <c r="AJ294" s="9">
        <f t="shared" si="88"/>
        <v>20</v>
      </c>
      <c r="AK294">
        <f t="shared" si="89"/>
        <v>0</v>
      </c>
      <c r="AL294" s="9">
        <v>0</v>
      </c>
    </row>
    <row r="295" spans="1:38" x14ac:dyDescent="0.35">
      <c r="A295" s="9">
        <v>1</v>
      </c>
      <c r="B295" s="50" t="s">
        <v>44</v>
      </c>
      <c r="C295" s="53">
        <v>43896</v>
      </c>
      <c r="D295" s="53">
        <v>43906</v>
      </c>
      <c r="E295" s="53">
        <v>43966</v>
      </c>
      <c r="F295" s="21">
        <f t="shared" si="90"/>
        <v>60</v>
      </c>
      <c r="G295" s="53">
        <v>43906</v>
      </c>
      <c r="H295" s="9">
        <v>2020</v>
      </c>
      <c r="I295" s="9">
        <v>1</v>
      </c>
      <c r="J295" s="50">
        <v>1</v>
      </c>
      <c r="K295" s="50" t="s">
        <v>201</v>
      </c>
      <c r="L295" s="24" t="s">
        <v>1314</v>
      </c>
      <c r="M295" s="24"/>
      <c r="V295" t="s">
        <v>957</v>
      </c>
      <c r="W295" t="s">
        <v>990</v>
      </c>
      <c r="X295" t="s">
        <v>998</v>
      </c>
      <c r="Y295" t="s">
        <v>1003</v>
      </c>
      <c r="Z295">
        <v>1</v>
      </c>
      <c r="AA295">
        <v>-1</v>
      </c>
      <c r="AB295">
        <v>-1</v>
      </c>
      <c r="AC295">
        <v>-1</v>
      </c>
      <c r="AD295">
        <v>-1</v>
      </c>
      <c r="AE295">
        <v>-1</v>
      </c>
      <c r="AF295">
        <v>-1</v>
      </c>
      <c r="AG295">
        <v>-1</v>
      </c>
      <c r="AH295">
        <v>-1</v>
      </c>
      <c r="AI295">
        <v>-1</v>
      </c>
      <c r="AJ295" s="9" t="str">
        <f t="shared" si="88"/>
        <v>Other</v>
      </c>
      <c r="AK295">
        <f t="shared" si="89"/>
        <v>0</v>
      </c>
      <c r="AL295" s="9">
        <v>0</v>
      </c>
    </row>
    <row r="296" spans="1:38" x14ac:dyDescent="0.35">
      <c r="A296" s="9">
        <v>1</v>
      </c>
      <c r="B296" s="50" t="s">
        <v>44</v>
      </c>
      <c r="C296" s="53">
        <v>43896</v>
      </c>
      <c r="D296" s="53">
        <v>43906</v>
      </c>
      <c r="E296" s="53">
        <v>43966</v>
      </c>
      <c r="F296" s="21">
        <f t="shared" si="90"/>
        <v>60</v>
      </c>
      <c r="G296" s="53">
        <v>43906</v>
      </c>
      <c r="H296" s="9">
        <v>2020</v>
      </c>
      <c r="I296" s="9">
        <v>1</v>
      </c>
      <c r="J296" s="50">
        <v>1</v>
      </c>
      <c r="K296" s="50">
        <v>2</v>
      </c>
      <c r="L296" s="24" t="s">
        <v>1315</v>
      </c>
      <c r="M296" s="24"/>
      <c r="V296" t="s">
        <v>957</v>
      </c>
      <c r="W296" t="s">
        <v>990</v>
      </c>
      <c r="X296" t="s">
        <v>998</v>
      </c>
      <c r="Y296" t="s">
        <v>1003</v>
      </c>
      <c r="Z296">
        <v>1</v>
      </c>
      <c r="AA296">
        <v>-1</v>
      </c>
      <c r="AB296">
        <v>-1</v>
      </c>
      <c r="AC296">
        <v>-1</v>
      </c>
      <c r="AD296">
        <v>-1</v>
      </c>
      <c r="AE296">
        <v>-1</v>
      </c>
      <c r="AF296">
        <v>-1</v>
      </c>
      <c r="AG296">
        <v>-1</v>
      </c>
      <c r="AH296">
        <v>-1</v>
      </c>
      <c r="AI296">
        <v>-1</v>
      </c>
      <c r="AJ296" s="9">
        <f t="shared" si="88"/>
        <v>2</v>
      </c>
      <c r="AK296">
        <f t="shared" si="89"/>
        <v>0</v>
      </c>
      <c r="AL296" s="9">
        <v>0</v>
      </c>
    </row>
    <row r="297" spans="1:38" x14ac:dyDescent="0.35">
      <c r="A297" s="9">
        <v>1</v>
      </c>
      <c r="B297" s="50" t="s">
        <v>44</v>
      </c>
      <c r="C297" s="53">
        <v>43896</v>
      </c>
      <c r="D297" s="53">
        <v>43906</v>
      </c>
      <c r="E297" s="53">
        <v>43966</v>
      </c>
      <c r="F297" s="21">
        <f t="shared" si="90"/>
        <v>60</v>
      </c>
      <c r="G297" s="53">
        <v>43906</v>
      </c>
      <c r="H297" s="9">
        <v>2020</v>
      </c>
      <c r="I297" s="9">
        <v>1</v>
      </c>
      <c r="J297" s="50">
        <v>5</v>
      </c>
      <c r="K297" s="50" t="s">
        <v>204</v>
      </c>
      <c r="L297" s="24" t="s">
        <v>1316</v>
      </c>
      <c r="M297" s="24"/>
      <c r="V297" t="s">
        <v>957</v>
      </c>
      <c r="W297" t="s">
        <v>990</v>
      </c>
      <c r="X297" t="s">
        <v>998</v>
      </c>
      <c r="Y297" t="s">
        <v>1003</v>
      </c>
      <c r="Z297">
        <v>1</v>
      </c>
      <c r="AA297">
        <v>-1</v>
      </c>
      <c r="AB297">
        <v>-1</v>
      </c>
      <c r="AC297">
        <v>-1</v>
      </c>
      <c r="AD297">
        <v>-1</v>
      </c>
      <c r="AE297">
        <v>-1</v>
      </c>
      <c r="AF297">
        <v>-1</v>
      </c>
      <c r="AG297">
        <v>-1</v>
      </c>
      <c r="AH297">
        <v>-1</v>
      </c>
      <c r="AI297">
        <v>-1</v>
      </c>
      <c r="AJ297" s="9" t="str">
        <f t="shared" si="88"/>
        <v>General</v>
      </c>
      <c r="AK297">
        <f t="shared" si="89"/>
        <v>0</v>
      </c>
      <c r="AL297" s="9">
        <v>0</v>
      </c>
    </row>
    <row r="298" spans="1:38" s="47" customFormat="1" x14ac:dyDescent="0.35">
      <c r="A298" s="9">
        <v>1</v>
      </c>
      <c r="B298" s="50" t="s">
        <v>44</v>
      </c>
      <c r="C298" s="53">
        <v>43896</v>
      </c>
      <c r="D298" s="53">
        <v>43906</v>
      </c>
      <c r="E298" s="53">
        <v>43966</v>
      </c>
      <c r="F298" s="21">
        <f t="shared" ref="F298:F299" si="91">DATEDIF(D298,E298,"D")</f>
        <v>60</v>
      </c>
      <c r="G298" s="53">
        <v>43906</v>
      </c>
      <c r="H298" s="9">
        <v>2021</v>
      </c>
      <c r="I298" s="9">
        <v>1</v>
      </c>
      <c r="J298" s="50">
        <v>7</v>
      </c>
      <c r="K298" s="50">
        <v>30</v>
      </c>
      <c r="L298" s="48" t="s">
        <v>1844</v>
      </c>
      <c r="M298" s="48"/>
    </row>
    <row r="299" spans="1:38" s="47" customFormat="1" x14ac:dyDescent="0.35">
      <c r="A299" s="9">
        <v>1</v>
      </c>
      <c r="B299" s="50" t="s">
        <v>44</v>
      </c>
      <c r="C299" s="53">
        <v>43896</v>
      </c>
      <c r="D299" s="53">
        <v>43906</v>
      </c>
      <c r="E299" s="53">
        <v>43966</v>
      </c>
      <c r="F299" s="21">
        <f t="shared" si="91"/>
        <v>60</v>
      </c>
      <c r="G299" s="53">
        <v>43906</v>
      </c>
      <c r="H299" s="9">
        <v>2021</v>
      </c>
      <c r="I299" s="9">
        <v>1</v>
      </c>
      <c r="J299" s="50">
        <v>7</v>
      </c>
      <c r="K299" s="50">
        <v>30</v>
      </c>
      <c r="L299" s="48" t="s">
        <v>1845</v>
      </c>
      <c r="M299" s="48"/>
    </row>
    <row r="300" spans="1:38" s="47" customFormat="1" x14ac:dyDescent="0.35">
      <c r="A300" s="9">
        <v>1</v>
      </c>
      <c r="B300" s="50" t="s">
        <v>44</v>
      </c>
      <c r="C300" s="53">
        <v>43896</v>
      </c>
      <c r="D300" s="53">
        <v>43906</v>
      </c>
      <c r="E300" s="53">
        <v>43966</v>
      </c>
      <c r="F300" s="21">
        <f t="shared" ref="F300" si="92">DATEDIF(D300,E300,"D")</f>
        <v>60</v>
      </c>
      <c r="G300" s="53">
        <v>43906</v>
      </c>
      <c r="H300" s="9">
        <v>2021</v>
      </c>
      <c r="I300" s="9">
        <v>1</v>
      </c>
      <c r="J300" s="50">
        <v>9</v>
      </c>
      <c r="K300" s="50">
        <v>34</v>
      </c>
      <c r="L300" s="48" t="s">
        <v>1846</v>
      </c>
      <c r="M300" s="48"/>
    </row>
    <row r="301" spans="1:38" x14ac:dyDescent="0.35">
      <c r="A301" s="50">
        <v>0</v>
      </c>
      <c r="B301" s="9" t="s">
        <v>47</v>
      </c>
      <c r="C301" s="53">
        <v>43891</v>
      </c>
      <c r="D301" s="53">
        <v>43900</v>
      </c>
      <c r="E301" s="53">
        <v>43962</v>
      </c>
      <c r="F301" s="21">
        <f t="shared" si="90"/>
        <v>62</v>
      </c>
      <c r="G301" s="53">
        <v>43900</v>
      </c>
      <c r="H301" s="9">
        <v>2020</v>
      </c>
      <c r="I301" s="50">
        <v>0</v>
      </c>
      <c r="J301" s="9">
        <v>7</v>
      </c>
      <c r="K301" s="9" t="s">
        <v>201</v>
      </c>
      <c r="L301" s="50" t="s">
        <v>384</v>
      </c>
      <c r="M301">
        <v>1</v>
      </c>
      <c r="N301">
        <v>1</v>
      </c>
      <c r="O301">
        <v>-2</v>
      </c>
      <c r="P301">
        <v>1</v>
      </c>
      <c r="Q301">
        <v>1</v>
      </c>
      <c r="R301">
        <v>1</v>
      </c>
      <c r="S301">
        <v>1</v>
      </c>
      <c r="T301">
        <v>2</v>
      </c>
      <c r="U301">
        <v>1</v>
      </c>
      <c r="V301" t="s">
        <v>958</v>
      </c>
      <c r="W301" t="s">
        <v>989</v>
      </c>
      <c r="X301" t="s">
        <v>997</v>
      </c>
      <c r="Y301" t="s">
        <v>1000</v>
      </c>
      <c r="Z301">
        <v>0</v>
      </c>
      <c r="AA301">
        <f t="shared" ref="AA301:AA313" si="93">IF(M301&gt;0,1,IF(M301&lt;0,0,-1))</f>
        <v>1</v>
      </c>
      <c r="AB301">
        <f t="shared" ref="AB301:AB313" si="94">IF(N301&gt;0,1,IF(N301&lt;0,0,-1))</f>
        <v>1</v>
      </c>
      <c r="AC301">
        <f t="shared" ref="AC301:AC313" si="95">IF(O301&gt;0,1,IF(O301&lt;0,0,-1))</f>
        <v>0</v>
      </c>
      <c r="AD301">
        <f t="shared" ref="AD301:AD313" si="96">IF(P301&gt;0,1,IF(P301&lt;0,0,-1))</f>
        <v>1</v>
      </c>
      <c r="AE301">
        <f t="shared" ref="AE301:AE313" si="97">IF(Q301&gt;0,1,IF(Q301&lt;0,0,-1))</f>
        <v>1</v>
      </c>
      <c r="AF301">
        <f t="shared" ref="AF301:AF313" si="98">IF(R301&gt;0,1,IF(R301&lt;0,0,-1))</f>
        <v>1</v>
      </c>
      <c r="AG301">
        <f t="shared" ref="AG301:AG313" si="99">IF(S301&gt;0,1,IF(S301&lt;0,0,-1))</f>
        <v>1</v>
      </c>
      <c r="AH301">
        <f t="shared" ref="AH301:AH313" si="100">IF(T301&gt;0,1,IF(T301&lt;0,0,-1))</f>
        <v>1</v>
      </c>
      <c r="AI301">
        <f t="shared" ref="AI301:AI313" si="101">IF(U301&gt;0,1,IF(U301&lt;0,0,-1))</f>
        <v>1</v>
      </c>
      <c r="AJ301" s="9" t="str">
        <f t="shared" ref="AJ301:AJ317" si="102">IF(ISNUMBER(K301),K301,IF(OR(K301="general",K301="23;general"),"General",IF(OR(K301="exemption",K301="other (exemption)"),"Tax exemption/waiver/suspension","Other")))</f>
        <v>Other</v>
      </c>
      <c r="AK301" t="e">
        <f>IF(B301&lt;&gt;#REF!,1,0)</f>
        <v>#REF!</v>
      </c>
      <c r="AL301" s="9">
        <v>1</v>
      </c>
    </row>
    <row r="302" spans="1:38" x14ac:dyDescent="0.35">
      <c r="A302" s="50">
        <v>0</v>
      </c>
      <c r="B302" s="9" t="s">
        <v>47</v>
      </c>
      <c r="C302" s="53">
        <v>43891</v>
      </c>
      <c r="D302" s="53">
        <v>43900</v>
      </c>
      <c r="E302" s="53">
        <v>43962</v>
      </c>
      <c r="F302" s="21">
        <f t="shared" si="90"/>
        <v>62</v>
      </c>
      <c r="G302" s="53">
        <v>43900</v>
      </c>
      <c r="H302" s="9">
        <v>2020</v>
      </c>
      <c r="I302" s="50">
        <v>0</v>
      </c>
      <c r="J302" s="9">
        <v>1</v>
      </c>
      <c r="K302" s="9" t="s">
        <v>206</v>
      </c>
      <c r="L302" s="50" t="s">
        <v>381</v>
      </c>
      <c r="M302">
        <v>-2</v>
      </c>
      <c r="N302">
        <v>2</v>
      </c>
      <c r="O302">
        <v>-1</v>
      </c>
      <c r="P302">
        <v>-1</v>
      </c>
      <c r="Q302">
        <v>-2</v>
      </c>
      <c r="R302">
        <v>2</v>
      </c>
      <c r="S302">
        <v>1</v>
      </c>
      <c r="T302">
        <v>2</v>
      </c>
      <c r="U302">
        <v>1</v>
      </c>
      <c r="V302" t="s">
        <v>958</v>
      </c>
      <c r="W302" t="s">
        <v>989</v>
      </c>
      <c r="X302" t="s">
        <v>997</v>
      </c>
      <c r="Y302" t="s">
        <v>1000</v>
      </c>
      <c r="Z302">
        <v>0</v>
      </c>
      <c r="AA302">
        <f t="shared" si="93"/>
        <v>0</v>
      </c>
      <c r="AB302">
        <f t="shared" si="94"/>
        <v>1</v>
      </c>
      <c r="AC302">
        <f t="shared" si="95"/>
        <v>0</v>
      </c>
      <c r="AD302">
        <f t="shared" si="96"/>
        <v>0</v>
      </c>
      <c r="AE302">
        <f t="shared" si="97"/>
        <v>0</v>
      </c>
      <c r="AF302">
        <f t="shared" si="98"/>
        <v>1</v>
      </c>
      <c r="AG302">
        <f t="shared" si="99"/>
        <v>1</v>
      </c>
      <c r="AH302">
        <f t="shared" si="100"/>
        <v>1</v>
      </c>
      <c r="AI302">
        <f t="shared" si="101"/>
        <v>1</v>
      </c>
      <c r="AJ302" s="9" t="str">
        <f t="shared" si="102"/>
        <v>Tax exemption/waiver/suspension</v>
      </c>
      <c r="AK302">
        <f t="shared" ref="AK302:AK332" si="103">IF(B302&lt;&gt;B301,1,0)</f>
        <v>0</v>
      </c>
      <c r="AL302" s="9">
        <v>1</v>
      </c>
    </row>
    <row r="303" spans="1:38" x14ac:dyDescent="0.35">
      <c r="A303" s="50">
        <v>0</v>
      </c>
      <c r="B303" s="9" t="s">
        <v>47</v>
      </c>
      <c r="C303" s="53">
        <v>43891</v>
      </c>
      <c r="D303" s="53">
        <v>43900</v>
      </c>
      <c r="E303" s="53">
        <v>43962</v>
      </c>
      <c r="F303" s="21">
        <f t="shared" si="90"/>
        <v>62</v>
      </c>
      <c r="G303" s="53">
        <v>43900</v>
      </c>
      <c r="H303" s="9">
        <v>2020</v>
      </c>
      <c r="I303" s="50">
        <v>0</v>
      </c>
      <c r="J303" s="9">
        <v>7</v>
      </c>
      <c r="K303" s="9">
        <v>30</v>
      </c>
      <c r="L303" s="50" t="s">
        <v>389</v>
      </c>
      <c r="M303">
        <v>1</v>
      </c>
      <c r="N303">
        <v>1</v>
      </c>
      <c r="O303">
        <v>2</v>
      </c>
      <c r="P303">
        <v>1</v>
      </c>
      <c r="Q303">
        <v>1</v>
      </c>
      <c r="R303">
        <v>1</v>
      </c>
      <c r="S303">
        <v>1</v>
      </c>
      <c r="T303">
        <v>-2</v>
      </c>
      <c r="U303">
        <v>1</v>
      </c>
      <c r="V303" t="s">
        <v>958</v>
      </c>
      <c r="W303" t="s">
        <v>989</v>
      </c>
      <c r="X303" t="s">
        <v>997</v>
      </c>
      <c r="Y303" t="s">
        <v>1000</v>
      </c>
      <c r="Z303">
        <v>0</v>
      </c>
      <c r="AA303">
        <f t="shared" si="93"/>
        <v>1</v>
      </c>
      <c r="AB303">
        <f t="shared" si="94"/>
        <v>1</v>
      </c>
      <c r="AC303">
        <f t="shared" si="95"/>
        <v>1</v>
      </c>
      <c r="AD303">
        <f t="shared" si="96"/>
        <v>1</v>
      </c>
      <c r="AE303">
        <f t="shared" si="97"/>
        <v>1</v>
      </c>
      <c r="AF303">
        <f t="shared" si="98"/>
        <v>1</v>
      </c>
      <c r="AG303">
        <f t="shared" si="99"/>
        <v>1</v>
      </c>
      <c r="AH303">
        <f t="shared" si="100"/>
        <v>0</v>
      </c>
      <c r="AI303">
        <f t="shared" si="101"/>
        <v>1</v>
      </c>
      <c r="AJ303" s="9">
        <f t="shared" si="102"/>
        <v>30</v>
      </c>
      <c r="AK303">
        <f t="shared" si="103"/>
        <v>0</v>
      </c>
      <c r="AL303" s="9">
        <v>1</v>
      </c>
    </row>
    <row r="304" spans="1:38" x14ac:dyDescent="0.35">
      <c r="A304" s="50">
        <v>0</v>
      </c>
      <c r="B304" s="9" t="s">
        <v>47</v>
      </c>
      <c r="C304" s="53">
        <v>43891</v>
      </c>
      <c r="D304" s="53">
        <v>43900</v>
      </c>
      <c r="E304" s="53">
        <v>43962</v>
      </c>
      <c r="F304" s="21">
        <f t="shared" si="90"/>
        <v>62</v>
      </c>
      <c r="G304" s="53">
        <v>43900</v>
      </c>
      <c r="H304" s="9">
        <v>2020</v>
      </c>
      <c r="I304" s="50">
        <v>0</v>
      </c>
      <c r="J304" s="9">
        <v>1</v>
      </c>
      <c r="K304" s="9">
        <v>3</v>
      </c>
      <c r="L304" s="50" t="s">
        <v>387</v>
      </c>
      <c r="M304">
        <v>2</v>
      </c>
      <c r="N304">
        <v>2</v>
      </c>
      <c r="O304">
        <v>-2</v>
      </c>
      <c r="P304">
        <v>-1</v>
      </c>
      <c r="Q304">
        <v>-2</v>
      </c>
      <c r="R304">
        <v>1</v>
      </c>
      <c r="S304">
        <v>2</v>
      </c>
      <c r="T304">
        <v>-2</v>
      </c>
      <c r="U304">
        <v>1</v>
      </c>
      <c r="V304" t="s">
        <v>958</v>
      </c>
      <c r="W304" t="s">
        <v>989</v>
      </c>
      <c r="X304" t="s">
        <v>997</v>
      </c>
      <c r="Y304" t="s">
        <v>1000</v>
      </c>
      <c r="Z304">
        <v>0</v>
      </c>
      <c r="AA304">
        <f t="shared" si="93"/>
        <v>1</v>
      </c>
      <c r="AB304">
        <f t="shared" si="94"/>
        <v>1</v>
      </c>
      <c r="AC304">
        <f t="shared" si="95"/>
        <v>0</v>
      </c>
      <c r="AD304">
        <f t="shared" si="96"/>
        <v>0</v>
      </c>
      <c r="AE304">
        <f t="shared" si="97"/>
        <v>0</v>
      </c>
      <c r="AF304">
        <f t="shared" si="98"/>
        <v>1</v>
      </c>
      <c r="AG304">
        <f t="shared" si="99"/>
        <v>1</v>
      </c>
      <c r="AH304">
        <f t="shared" si="100"/>
        <v>0</v>
      </c>
      <c r="AI304">
        <f t="shared" si="101"/>
        <v>1</v>
      </c>
      <c r="AJ304" s="9">
        <f t="shared" si="102"/>
        <v>3</v>
      </c>
      <c r="AK304">
        <f t="shared" si="103"/>
        <v>0</v>
      </c>
      <c r="AL304" s="9">
        <v>1</v>
      </c>
    </row>
    <row r="305" spans="1:38" x14ac:dyDescent="0.35">
      <c r="A305" s="50">
        <v>0</v>
      </c>
      <c r="B305" s="9" t="s">
        <v>47</v>
      </c>
      <c r="C305" s="53">
        <v>43891</v>
      </c>
      <c r="D305" s="53">
        <v>43900</v>
      </c>
      <c r="E305" s="53">
        <v>43962</v>
      </c>
      <c r="F305" s="21">
        <f t="shared" si="90"/>
        <v>62</v>
      </c>
      <c r="G305" s="53">
        <v>43900</v>
      </c>
      <c r="H305" s="9">
        <v>2020</v>
      </c>
      <c r="I305" s="50">
        <v>0</v>
      </c>
      <c r="J305" s="9">
        <v>6</v>
      </c>
      <c r="K305" s="9">
        <v>29</v>
      </c>
      <c r="L305" s="50" t="s">
        <v>385</v>
      </c>
      <c r="M305">
        <v>1</v>
      </c>
      <c r="N305">
        <v>1</v>
      </c>
      <c r="O305">
        <v>1</v>
      </c>
      <c r="P305">
        <v>-1</v>
      </c>
      <c r="Q305">
        <v>-2</v>
      </c>
      <c r="R305">
        <v>2</v>
      </c>
      <c r="S305">
        <v>1</v>
      </c>
      <c r="U305">
        <v>1</v>
      </c>
      <c r="V305" t="s">
        <v>958</v>
      </c>
      <c r="W305" t="s">
        <v>989</v>
      </c>
      <c r="X305" t="s">
        <v>997</v>
      </c>
      <c r="Y305" t="s">
        <v>1000</v>
      </c>
      <c r="Z305">
        <v>0</v>
      </c>
      <c r="AA305">
        <f t="shared" si="93"/>
        <v>1</v>
      </c>
      <c r="AB305">
        <f t="shared" si="94"/>
        <v>1</v>
      </c>
      <c r="AC305">
        <f t="shared" si="95"/>
        <v>1</v>
      </c>
      <c r="AD305">
        <f t="shared" si="96"/>
        <v>0</v>
      </c>
      <c r="AE305">
        <f t="shared" si="97"/>
        <v>0</v>
      </c>
      <c r="AF305">
        <f t="shared" si="98"/>
        <v>1</v>
      </c>
      <c r="AG305">
        <f t="shared" si="99"/>
        <v>1</v>
      </c>
      <c r="AH305">
        <f t="shared" si="100"/>
        <v>-1</v>
      </c>
      <c r="AI305">
        <f t="shared" si="101"/>
        <v>1</v>
      </c>
      <c r="AJ305" s="9">
        <f t="shared" si="102"/>
        <v>29</v>
      </c>
      <c r="AK305">
        <f t="shared" si="103"/>
        <v>0</v>
      </c>
      <c r="AL305" s="9">
        <v>1</v>
      </c>
    </row>
    <row r="306" spans="1:38" x14ac:dyDescent="0.35">
      <c r="A306" s="50">
        <v>0</v>
      </c>
      <c r="B306" s="9" t="s">
        <v>47</v>
      </c>
      <c r="C306" s="53">
        <v>43891</v>
      </c>
      <c r="D306" s="53">
        <v>43900</v>
      </c>
      <c r="E306" s="53">
        <v>43962</v>
      </c>
      <c r="F306" s="21">
        <f t="shared" si="90"/>
        <v>62</v>
      </c>
      <c r="G306" s="53">
        <v>43900</v>
      </c>
      <c r="H306" s="9">
        <v>2020</v>
      </c>
      <c r="I306" s="50">
        <v>0</v>
      </c>
      <c r="J306" s="9">
        <v>6</v>
      </c>
      <c r="K306" s="9">
        <v>29</v>
      </c>
      <c r="L306" s="50" t="s">
        <v>377</v>
      </c>
      <c r="M306">
        <v>1</v>
      </c>
      <c r="N306">
        <v>1</v>
      </c>
      <c r="O306">
        <v>-2</v>
      </c>
      <c r="P306">
        <v>-1</v>
      </c>
      <c r="Q306">
        <v>-2</v>
      </c>
      <c r="R306">
        <v>2</v>
      </c>
      <c r="S306">
        <v>1</v>
      </c>
      <c r="T306">
        <v>-2</v>
      </c>
      <c r="U306">
        <v>1</v>
      </c>
      <c r="V306" t="s">
        <v>958</v>
      </c>
      <c r="W306" t="s">
        <v>989</v>
      </c>
      <c r="X306" t="s">
        <v>997</v>
      </c>
      <c r="Y306" t="s">
        <v>1000</v>
      </c>
      <c r="Z306">
        <v>0</v>
      </c>
      <c r="AA306">
        <f t="shared" si="93"/>
        <v>1</v>
      </c>
      <c r="AB306">
        <f t="shared" si="94"/>
        <v>1</v>
      </c>
      <c r="AC306">
        <f t="shared" si="95"/>
        <v>0</v>
      </c>
      <c r="AD306">
        <f t="shared" si="96"/>
        <v>0</v>
      </c>
      <c r="AE306">
        <f t="shared" si="97"/>
        <v>0</v>
      </c>
      <c r="AF306">
        <f t="shared" si="98"/>
        <v>1</v>
      </c>
      <c r="AG306">
        <f t="shared" si="99"/>
        <v>1</v>
      </c>
      <c r="AH306">
        <f t="shared" si="100"/>
        <v>0</v>
      </c>
      <c r="AI306">
        <f t="shared" si="101"/>
        <v>1</v>
      </c>
      <c r="AJ306" s="9">
        <f t="shared" si="102"/>
        <v>29</v>
      </c>
      <c r="AK306" t="e">
        <f>IF(B306&lt;&gt;#REF!,1,0)</f>
        <v>#REF!</v>
      </c>
      <c r="AL306" s="9">
        <v>1</v>
      </c>
    </row>
    <row r="307" spans="1:38" x14ac:dyDescent="0.35">
      <c r="A307" s="50">
        <v>0</v>
      </c>
      <c r="B307" s="9" t="s">
        <v>47</v>
      </c>
      <c r="C307" s="53">
        <v>43891</v>
      </c>
      <c r="D307" s="53">
        <v>43900</v>
      </c>
      <c r="E307" s="53">
        <v>43962</v>
      </c>
      <c r="F307" s="21">
        <f t="shared" si="90"/>
        <v>62</v>
      </c>
      <c r="G307" s="53">
        <v>43900</v>
      </c>
      <c r="H307" s="9">
        <v>2020</v>
      </c>
      <c r="I307" s="50">
        <v>0</v>
      </c>
      <c r="J307" s="9">
        <v>6</v>
      </c>
      <c r="K307" s="9">
        <v>29</v>
      </c>
      <c r="L307" s="50" t="s">
        <v>388</v>
      </c>
      <c r="M307">
        <v>1</v>
      </c>
      <c r="N307">
        <v>1</v>
      </c>
      <c r="O307">
        <v>-2</v>
      </c>
      <c r="P307">
        <v>-1</v>
      </c>
      <c r="Q307">
        <v>-1</v>
      </c>
      <c r="R307">
        <v>1</v>
      </c>
      <c r="S307">
        <v>1</v>
      </c>
      <c r="T307">
        <v>-2</v>
      </c>
      <c r="U307">
        <v>1</v>
      </c>
      <c r="V307" t="s">
        <v>958</v>
      </c>
      <c r="W307" t="s">
        <v>989</v>
      </c>
      <c r="X307" t="s">
        <v>997</v>
      </c>
      <c r="Y307" t="s">
        <v>1000</v>
      </c>
      <c r="Z307">
        <v>0</v>
      </c>
      <c r="AA307">
        <f t="shared" si="93"/>
        <v>1</v>
      </c>
      <c r="AB307">
        <f t="shared" si="94"/>
        <v>1</v>
      </c>
      <c r="AC307">
        <f t="shared" si="95"/>
        <v>0</v>
      </c>
      <c r="AD307">
        <f t="shared" si="96"/>
        <v>0</v>
      </c>
      <c r="AE307">
        <f t="shared" si="97"/>
        <v>0</v>
      </c>
      <c r="AF307">
        <f t="shared" si="98"/>
        <v>1</v>
      </c>
      <c r="AG307">
        <f t="shared" si="99"/>
        <v>1</v>
      </c>
      <c r="AH307">
        <f t="shared" si="100"/>
        <v>0</v>
      </c>
      <c r="AI307">
        <f t="shared" si="101"/>
        <v>1</v>
      </c>
      <c r="AJ307" s="9">
        <f t="shared" si="102"/>
        <v>29</v>
      </c>
      <c r="AK307">
        <f t="shared" si="103"/>
        <v>0</v>
      </c>
      <c r="AL307" s="9">
        <v>1</v>
      </c>
    </row>
    <row r="308" spans="1:38" x14ac:dyDescent="0.35">
      <c r="A308" s="50">
        <v>0</v>
      </c>
      <c r="B308" s="9" t="s">
        <v>47</v>
      </c>
      <c r="C308" s="53">
        <v>43891</v>
      </c>
      <c r="D308" s="53">
        <v>43900</v>
      </c>
      <c r="E308" s="53">
        <v>43962</v>
      </c>
      <c r="F308" s="21">
        <f t="shared" si="90"/>
        <v>62</v>
      </c>
      <c r="G308" s="53">
        <v>43900</v>
      </c>
      <c r="H308" s="9">
        <v>2020</v>
      </c>
      <c r="I308" s="50">
        <v>0</v>
      </c>
      <c r="J308" s="9">
        <v>1</v>
      </c>
      <c r="K308" s="9">
        <v>6</v>
      </c>
      <c r="L308" s="50" t="s">
        <v>379</v>
      </c>
      <c r="M308">
        <v>2</v>
      </c>
      <c r="N308">
        <v>2</v>
      </c>
      <c r="O308">
        <v>-2</v>
      </c>
      <c r="P308">
        <v>2</v>
      </c>
      <c r="Q308">
        <v>2</v>
      </c>
      <c r="R308">
        <v>2</v>
      </c>
      <c r="S308">
        <v>1</v>
      </c>
      <c r="U308">
        <v>1</v>
      </c>
      <c r="V308" t="s">
        <v>958</v>
      </c>
      <c r="W308" t="s">
        <v>989</v>
      </c>
      <c r="X308" t="s">
        <v>997</v>
      </c>
      <c r="Y308" t="s">
        <v>1000</v>
      </c>
      <c r="Z308">
        <v>0</v>
      </c>
      <c r="AA308">
        <f t="shared" si="93"/>
        <v>1</v>
      </c>
      <c r="AB308">
        <f t="shared" si="94"/>
        <v>1</v>
      </c>
      <c r="AC308">
        <f t="shared" si="95"/>
        <v>0</v>
      </c>
      <c r="AD308">
        <f t="shared" si="96"/>
        <v>1</v>
      </c>
      <c r="AE308">
        <f t="shared" si="97"/>
        <v>1</v>
      </c>
      <c r="AF308">
        <f t="shared" si="98"/>
        <v>1</v>
      </c>
      <c r="AG308">
        <f t="shared" si="99"/>
        <v>1</v>
      </c>
      <c r="AH308">
        <f t="shared" si="100"/>
        <v>-1</v>
      </c>
      <c r="AI308">
        <f t="shared" si="101"/>
        <v>1</v>
      </c>
      <c r="AJ308" s="9">
        <f t="shared" si="102"/>
        <v>6</v>
      </c>
      <c r="AK308">
        <f t="shared" si="103"/>
        <v>0</v>
      </c>
      <c r="AL308" s="9">
        <v>1</v>
      </c>
    </row>
    <row r="309" spans="1:38" x14ac:dyDescent="0.35">
      <c r="A309" s="50">
        <v>0</v>
      </c>
      <c r="B309" s="9" t="s">
        <v>47</v>
      </c>
      <c r="C309" s="53">
        <v>43891</v>
      </c>
      <c r="D309" s="53">
        <v>43900</v>
      </c>
      <c r="E309" s="53">
        <v>43962</v>
      </c>
      <c r="F309" s="21">
        <f t="shared" si="90"/>
        <v>62</v>
      </c>
      <c r="G309" s="53">
        <v>43900</v>
      </c>
      <c r="H309" s="9">
        <v>2020</v>
      </c>
      <c r="I309" s="50">
        <v>0</v>
      </c>
      <c r="J309" s="9">
        <v>1</v>
      </c>
      <c r="K309" s="9" t="s">
        <v>206</v>
      </c>
      <c r="L309" s="50" t="s">
        <v>386</v>
      </c>
      <c r="M309">
        <v>-2</v>
      </c>
      <c r="N309">
        <v>2</v>
      </c>
      <c r="O309">
        <v>-2</v>
      </c>
      <c r="P309">
        <v>-1</v>
      </c>
      <c r="Q309">
        <v>-2</v>
      </c>
      <c r="R309">
        <v>2</v>
      </c>
      <c r="S309">
        <v>1</v>
      </c>
      <c r="T309">
        <v>2</v>
      </c>
      <c r="U309">
        <v>1</v>
      </c>
      <c r="V309" t="s">
        <v>958</v>
      </c>
      <c r="W309" t="s">
        <v>989</v>
      </c>
      <c r="X309" t="s">
        <v>997</v>
      </c>
      <c r="Y309" t="s">
        <v>1000</v>
      </c>
      <c r="Z309">
        <v>0</v>
      </c>
      <c r="AA309">
        <f t="shared" si="93"/>
        <v>0</v>
      </c>
      <c r="AB309">
        <f t="shared" si="94"/>
        <v>1</v>
      </c>
      <c r="AC309">
        <f t="shared" si="95"/>
        <v>0</v>
      </c>
      <c r="AD309">
        <f t="shared" si="96"/>
        <v>0</v>
      </c>
      <c r="AE309">
        <f t="shared" si="97"/>
        <v>0</v>
      </c>
      <c r="AF309">
        <f t="shared" si="98"/>
        <v>1</v>
      </c>
      <c r="AG309">
        <f t="shared" si="99"/>
        <v>1</v>
      </c>
      <c r="AH309">
        <f t="shared" si="100"/>
        <v>1</v>
      </c>
      <c r="AI309">
        <f t="shared" si="101"/>
        <v>1</v>
      </c>
      <c r="AJ309" s="9" t="str">
        <f t="shared" si="102"/>
        <v>Tax exemption/waiver/suspension</v>
      </c>
      <c r="AK309">
        <f t="shared" si="103"/>
        <v>0</v>
      </c>
      <c r="AL309" s="9">
        <v>1</v>
      </c>
    </row>
    <row r="310" spans="1:38" x14ac:dyDescent="0.35">
      <c r="A310" s="50">
        <v>0</v>
      </c>
      <c r="B310" s="9" t="s">
        <v>47</v>
      </c>
      <c r="C310" s="53">
        <v>43891</v>
      </c>
      <c r="D310" s="53">
        <v>43900</v>
      </c>
      <c r="E310" s="53">
        <v>43962</v>
      </c>
      <c r="F310" s="21">
        <f t="shared" si="90"/>
        <v>62</v>
      </c>
      <c r="G310" s="53">
        <v>43900</v>
      </c>
      <c r="H310" s="9">
        <v>2020</v>
      </c>
      <c r="I310" s="50">
        <v>0</v>
      </c>
      <c r="J310" s="9">
        <v>7</v>
      </c>
      <c r="K310" s="9">
        <v>30</v>
      </c>
      <c r="L310" s="50" t="s">
        <v>380</v>
      </c>
      <c r="M310">
        <v>1</v>
      </c>
      <c r="N310">
        <v>1</v>
      </c>
      <c r="O310">
        <v>2</v>
      </c>
      <c r="P310">
        <v>1</v>
      </c>
      <c r="Q310">
        <v>1</v>
      </c>
      <c r="R310">
        <v>1</v>
      </c>
      <c r="S310">
        <v>1</v>
      </c>
      <c r="T310">
        <v>-2</v>
      </c>
      <c r="U310">
        <v>1</v>
      </c>
      <c r="V310" t="s">
        <v>958</v>
      </c>
      <c r="W310" t="s">
        <v>989</v>
      </c>
      <c r="X310" t="s">
        <v>997</v>
      </c>
      <c r="Y310" t="s">
        <v>1000</v>
      </c>
      <c r="Z310">
        <v>0</v>
      </c>
      <c r="AA310">
        <f t="shared" si="93"/>
        <v>1</v>
      </c>
      <c r="AB310">
        <f t="shared" si="94"/>
        <v>1</v>
      </c>
      <c r="AC310">
        <f t="shared" si="95"/>
        <v>1</v>
      </c>
      <c r="AD310">
        <f t="shared" si="96"/>
        <v>1</v>
      </c>
      <c r="AE310">
        <f t="shared" si="97"/>
        <v>1</v>
      </c>
      <c r="AF310">
        <f t="shared" si="98"/>
        <v>1</v>
      </c>
      <c r="AG310">
        <f t="shared" si="99"/>
        <v>1</v>
      </c>
      <c r="AH310">
        <f t="shared" si="100"/>
        <v>0</v>
      </c>
      <c r="AI310">
        <f t="shared" si="101"/>
        <v>1</v>
      </c>
      <c r="AJ310" s="9">
        <f t="shared" si="102"/>
        <v>30</v>
      </c>
      <c r="AK310">
        <f t="shared" si="103"/>
        <v>0</v>
      </c>
      <c r="AL310" s="9">
        <v>1</v>
      </c>
    </row>
    <row r="311" spans="1:38" x14ac:dyDescent="0.35">
      <c r="A311" s="50">
        <v>0</v>
      </c>
      <c r="B311" s="9" t="s">
        <v>47</v>
      </c>
      <c r="C311" s="53">
        <v>43891</v>
      </c>
      <c r="D311" s="53">
        <v>43900</v>
      </c>
      <c r="E311" s="53">
        <v>43962</v>
      </c>
      <c r="F311" s="21">
        <f t="shared" si="90"/>
        <v>62</v>
      </c>
      <c r="G311" s="53">
        <v>43900</v>
      </c>
      <c r="H311" s="9">
        <v>2020</v>
      </c>
      <c r="I311" s="50">
        <v>0</v>
      </c>
      <c r="J311" s="9">
        <v>1</v>
      </c>
      <c r="K311" s="9">
        <v>6</v>
      </c>
      <c r="L311" s="50" t="s">
        <v>378</v>
      </c>
      <c r="M311">
        <v>-2</v>
      </c>
      <c r="N311">
        <v>2</v>
      </c>
      <c r="O311">
        <v>2</v>
      </c>
      <c r="P311">
        <v>2</v>
      </c>
      <c r="Q311">
        <v>2</v>
      </c>
      <c r="R311">
        <v>2</v>
      </c>
      <c r="S311">
        <v>1</v>
      </c>
      <c r="T311">
        <v>2</v>
      </c>
      <c r="U311">
        <v>1</v>
      </c>
      <c r="V311" t="s">
        <v>958</v>
      </c>
      <c r="W311" t="s">
        <v>989</v>
      </c>
      <c r="X311" t="s">
        <v>997</v>
      </c>
      <c r="Y311" t="s">
        <v>1000</v>
      </c>
      <c r="Z311">
        <v>0</v>
      </c>
      <c r="AA311">
        <f t="shared" si="93"/>
        <v>0</v>
      </c>
      <c r="AB311">
        <f t="shared" si="94"/>
        <v>1</v>
      </c>
      <c r="AC311">
        <f t="shared" si="95"/>
        <v>1</v>
      </c>
      <c r="AD311">
        <f t="shared" si="96"/>
        <v>1</v>
      </c>
      <c r="AE311">
        <f t="shared" si="97"/>
        <v>1</v>
      </c>
      <c r="AF311">
        <f t="shared" si="98"/>
        <v>1</v>
      </c>
      <c r="AG311">
        <f t="shared" si="99"/>
        <v>1</v>
      </c>
      <c r="AH311">
        <f t="shared" si="100"/>
        <v>1</v>
      </c>
      <c r="AI311">
        <f t="shared" si="101"/>
        <v>1</v>
      </c>
      <c r="AJ311" s="9">
        <f t="shared" si="102"/>
        <v>6</v>
      </c>
      <c r="AK311">
        <f t="shared" si="103"/>
        <v>0</v>
      </c>
      <c r="AL311" s="9">
        <v>1</v>
      </c>
    </row>
    <row r="312" spans="1:38" x14ac:dyDescent="0.35">
      <c r="A312" s="50">
        <v>0</v>
      </c>
      <c r="B312" s="9" t="s">
        <v>47</v>
      </c>
      <c r="C312" s="53">
        <v>43891</v>
      </c>
      <c r="D312" s="53">
        <v>43900</v>
      </c>
      <c r="E312" s="53">
        <v>43962</v>
      </c>
      <c r="F312" s="21">
        <f t="shared" si="90"/>
        <v>62</v>
      </c>
      <c r="G312" s="53">
        <v>43900</v>
      </c>
      <c r="H312" s="9">
        <v>2020</v>
      </c>
      <c r="I312" s="50">
        <v>0</v>
      </c>
      <c r="J312" s="9">
        <v>3</v>
      </c>
      <c r="K312" s="9" t="s">
        <v>206</v>
      </c>
      <c r="L312" s="50" t="s">
        <v>383</v>
      </c>
      <c r="M312">
        <v>2</v>
      </c>
      <c r="N312">
        <v>2</v>
      </c>
      <c r="O312">
        <v>-2</v>
      </c>
      <c r="P312">
        <v>-1</v>
      </c>
      <c r="Q312">
        <v>-2</v>
      </c>
      <c r="R312">
        <v>2</v>
      </c>
      <c r="S312">
        <v>-2</v>
      </c>
      <c r="U312">
        <v>1</v>
      </c>
      <c r="V312" t="s">
        <v>958</v>
      </c>
      <c r="W312" t="s">
        <v>989</v>
      </c>
      <c r="X312" t="s">
        <v>997</v>
      </c>
      <c r="Y312" t="s">
        <v>1000</v>
      </c>
      <c r="Z312">
        <v>0</v>
      </c>
      <c r="AA312">
        <f t="shared" si="93"/>
        <v>1</v>
      </c>
      <c r="AB312">
        <f t="shared" si="94"/>
        <v>1</v>
      </c>
      <c r="AC312">
        <f t="shared" si="95"/>
        <v>0</v>
      </c>
      <c r="AD312">
        <f t="shared" si="96"/>
        <v>0</v>
      </c>
      <c r="AE312">
        <f t="shared" si="97"/>
        <v>0</v>
      </c>
      <c r="AF312">
        <f t="shared" si="98"/>
        <v>1</v>
      </c>
      <c r="AG312">
        <f t="shared" si="99"/>
        <v>0</v>
      </c>
      <c r="AH312">
        <f t="shared" si="100"/>
        <v>-1</v>
      </c>
      <c r="AI312">
        <f t="shared" si="101"/>
        <v>1</v>
      </c>
      <c r="AJ312" s="9" t="str">
        <f t="shared" si="102"/>
        <v>Tax exemption/waiver/suspension</v>
      </c>
      <c r="AK312">
        <f t="shared" si="103"/>
        <v>0</v>
      </c>
      <c r="AL312" s="9">
        <v>1</v>
      </c>
    </row>
    <row r="313" spans="1:38" x14ac:dyDescent="0.35">
      <c r="A313" s="50">
        <v>0</v>
      </c>
      <c r="B313" s="9" t="s">
        <v>47</v>
      </c>
      <c r="C313" s="53">
        <v>43891</v>
      </c>
      <c r="D313" s="53">
        <v>43900</v>
      </c>
      <c r="E313" s="53">
        <v>43962</v>
      </c>
      <c r="F313" s="21">
        <f t="shared" si="90"/>
        <v>62</v>
      </c>
      <c r="G313" s="53">
        <v>43900</v>
      </c>
      <c r="H313" s="9">
        <v>2020</v>
      </c>
      <c r="I313" s="50">
        <v>0</v>
      </c>
      <c r="J313" s="9">
        <v>1</v>
      </c>
      <c r="K313" s="9" t="s">
        <v>206</v>
      </c>
      <c r="L313" s="50" t="s">
        <v>382</v>
      </c>
      <c r="M313">
        <v>-2</v>
      </c>
      <c r="N313">
        <v>2</v>
      </c>
      <c r="O313">
        <v>-2</v>
      </c>
      <c r="P313">
        <v>-1</v>
      </c>
      <c r="Q313">
        <v>-2</v>
      </c>
      <c r="R313">
        <v>-2</v>
      </c>
      <c r="S313">
        <v>-2</v>
      </c>
      <c r="T313">
        <v>2</v>
      </c>
      <c r="U313">
        <v>1</v>
      </c>
      <c r="V313" t="s">
        <v>958</v>
      </c>
      <c r="W313" t="s">
        <v>958</v>
      </c>
      <c r="X313" t="s">
        <v>958</v>
      </c>
      <c r="Y313" t="s">
        <v>958</v>
      </c>
      <c r="Z313" t="s">
        <v>958</v>
      </c>
      <c r="AA313">
        <f t="shared" si="93"/>
        <v>0</v>
      </c>
      <c r="AB313">
        <f t="shared" si="94"/>
        <v>1</v>
      </c>
      <c r="AC313">
        <f t="shared" si="95"/>
        <v>0</v>
      </c>
      <c r="AD313">
        <f t="shared" si="96"/>
        <v>0</v>
      </c>
      <c r="AE313">
        <f t="shared" si="97"/>
        <v>0</v>
      </c>
      <c r="AF313">
        <f t="shared" si="98"/>
        <v>0</v>
      </c>
      <c r="AG313">
        <f t="shared" si="99"/>
        <v>0</v>
      </c>
      <c r="AH313">
        <f t="shared" si="100"/>
        <v>1</v>
      </c>
      <c r="AI313">
        <f t="shared" si="101"/>
        <v>1</v>
      </c>
      <c r="AJ313" s="9" t="str">
        <f t="shared" si="102"/>
        <v>Tax exemption/waiver/suspension</v>
      </c>
      <c r="AK313">
        <f t="shared" si="103"/>
        <v>0</v>
      </c>
      <c r="AL313" s="9">
        <v>0</v>
      </c>
    </row>
    <row r="314" spans="1:38" x14ac:dyDescent="0.35">
      <c r="A314" s="50">
        <v>0</v>
      </c>
      <c r="B314" s="9" t="s">
        <v>47</v>
      </c>
      <c r="C314" s="53">
        <v>43891</v>
      </c>
      <c r="D314" s="53">
        <v>43900</v>
      </c>
      <c r="E314" s="53">
        <v>43962</v>
      </c>
      <c r="F314" s="21">
        <f t="shared" si="90"/>
        <v>62</v>
      </c>
      <c r="G314" s="53">
        <v>43900</v>
      </c>
      <c r="H314" s="9">
        <v>2020</v>
      </c>
      <c r="I314" s="50">
        <v>0</v>
      </c>
      <c r="J314" s="50">
        <v>6</v>
      </c>
      <c r="K314" s="50">
        <v>29</v>
      </c>
      <c r="L314" s="24" t="s">
        <v>1317</v>
      </c>
      <c r="M314" s="24"/>
      <c r="V314" t="s">
        <v>958</v>
      </c>
      <c r="W314" t="s">
        <v>989</v>
      </c>
      <c r="X314" t="s">
        <v>997</v>
      </c>
      <c r="Y314" t="s">
        <v>1000</v>
      </c>
      <c r="Z314">
        <v>0</v>
      </c>
      <c r="AA314">
        <v>-1</v>
      </c>
      <c r="AB314">
        <v>-1</v>
      </c>
      <c r="AC314">
        <v>-1</v>
      </c>
      <c r="AD314">
        <v>-1</v>
      </c>
      <c r="AE314">
        <v>-1</v>
      </c>
      <c r="AF314">
        <v>-1</v>
      </c>
      <c r="AG314">
        <v>-1</v>
      </c>
      <c r="AH314">
        <v>-1</v>
      </c>
      <c r="AI314">
        <v>-1</v>
      </c>
      <c r="AJ314" s="9">
        <f t="shared" si="102"/>
        <v>29</v>
      </c>
      <c r="AK314">
        <f t="shared" si="103"/>
        <v>0</v>
      </c>
      <c r="AL314" s="9">
        <v>0</v>
      </c>
    </row>
    <row r="315" spans="1:38" x14ac:dyDescent="0.35">
      <c r="A315" s="50">
        <v>0</v>
      </c>
      <c r="B315" s="9" t="s">
        <v>47</v>
      </c>
      <c r="C315" s="53">
        <v>43891</v>
      </c>
      <c r="D315" s="53">
        <v>43900</v>
      </c>
      <c r="E315" s="53">
        <v>43962</v>
      </c>
      <c r="F315" s="21">
        <f t="shared" si="90"/>
        <v>62</v>
      </c>
      <c r="G315" s="53">
        <v>43900</v>
      </c>
      <c r="H315" s="9">
        <v>2020</v>
      </c>
      <c r="I315" s="50">
        <v>0</v>
      </c>
      <c r="J315" s="50">
        <v>1</v>
      </c>
      <c r="K315" s="50" t="s">
        <v>206</v>
      </c>
      <c r="L315" s="24" t="s">
        <v>1318</v>
      </c>
      <c r="M315" s="24"/>
      <c r="V315" t="s">
        <v>958</v>
      </c>
      <c r="W315" t="s">
        <v>989</v>
      </c>
      <c r="X315" t="s">
        <v>997</v>
      </c>
      <c r="Y315" t="s">
        <v>1000</v>
      </c>
      <c r="Z315">
        <v>0</v>
      </c>
      <c r="AA315">
        <v>-1</v>
      </c>
      <c r="AB315">
        <v>-1</v>
      </c>
      <c r="AC315">
        <v>-1</v>
      </c>
      <c r="AD315">
        <v>-1</v>
      </c>
      <c r="AE315">
        <v>-1</v>
      </c>
      <c r="AF315">
        <v>-1</v>
      </c>
      <c r="AG315">
        <v>-1</v>
      </c>
      <c r="AH315">
        <v>-1</v>
      </c>
      <c r="AI315">
        <v>-1</v>
      </c>
      <c r="AJ315" s="9" t="str">
        <f t="shared" si="102"/>
        <v>Tax exemption/waiver/suspension</v>
      </c>
      <c r="AK315">
        <f t="shared" si="103"/>
        <v>0</v>
      </c>
      <c r="AL315" s="9">
        <v>0</v>
      </c>
    </row>
    <row r="316" spans="1:38" x14ac:dyDescent="0.35">
      <c r="A316" s="50">
        <v>0</v>
      </c>
      <c r="B316" s="9" t="s">
        <v>47</v>
      </c>
      <c r="C316" s="53">
        <v>43891</v>
      </c>
      <c r="D316" s="53">
        <v>43900</v>
      </c>
      <c r="E316" s="53">
        <v>43962</v>
      </c>
      <c r="F316" s="21">
        <f t="shared" si="90"/>
        <v>62</v>
      </c>
      <c r="G316" s="53">
        <v>43900</v>
      </c>
      <c r="H316" s="9">
        <v>2020</v>
      </c>
      <c r="I316" s="50">
        <v>0</v>
      </c>
      <c r="J316" s="50">
        <v>4</v>
      </c>
      <c r="K316" s="50">
        <v>20</v>
      </c>
      <c r="L316" s="24" t="s">
        <v>1319</v>
      </c>
      <c r="M316" s="24"/>
      <c r="V316" t="s">
        <v>958</v>
      </c>
      <c r="W316" t="s">
        <v>989</v>
      </c>
      <c r="X316" t="s">
        <v>997</v>
      </c>
      <c r="Y316" t="s">
        <v>1000</v>
      </c>
      <c r="Z316">
        <v>0</v>
      </c>
      <c r="AA316">
        <v>-1</v>
      </c>
      <c r="AB316">
        <v>-1</v>
      </c>
      <c r="AC316">
        <v>-1</v>
      </c>
      <c r="AD316">
        <v>-1</v>
      </c>
      <c r="AE316">
        <v>-1</v>
      </c>
      <c r="AF316">
        <v>-1</v>
      </c>
      <c r="AG316">
        <v>-1</v>
      </c>
      <c r="AH316">
        <v>-1</v>
      </c>
      <c r="AI316">
        <v>-1</v>
      </c>
      <c r="AJ316" s="9">
        <f t="shared" si="102"/>
        <v>20</v>
      </c>
      <c r="AK316">
        <f t="shared" si="103"/>
        <v>0</v>
      </c>
      <c r="AL316" s="9">
        <v>0</v>
      </c>
    </row>
    <row r="317" spans="1:38" x14ac:dyDescent="0.35">
      <c r="A317" s="50">
        <v>0</v>
      </c>
      <c r="B317" s="9" t="s">
        <v>47</v>
      </c>
      <c r="C317" s="53">
        <v>43891</v>
      </c>
      <c r="D317" s="53">
        <v>43900</v>
      </c>
      <c r="E317" s="53">
        <v>43962</v>
      </c>
      <c r="F317" s="21">
        <f t="shared" si="90"/>
        <v>62</v>
      </c>
      <c r="G317" s="53">
        <v>43900</v>
      </c>
      <c r="H317" s="9">
        <v>2020</v>
      </c>
      <c r="I317" s="50">
        <v>0</v>
      </c>
      <c r="J317" s="50">
        <v>9</v>
      </c>
      <c r="K317" s="50">
        <v>34</v>
      </c>
      <c r="L317" s="24" t="s">
        <v>1320</v>
      </c>
      <c r="M317" s="24"/>
      <c r="V317" t="s">
        <v>958</v>
      </c>
      <c r="W317" t="s">
        <v>989</v>
      </c>
      <c r="X317" t="s">
        <v>997</v>
      </c>
      <c r="Y317" t="s">
        <v>1000</v>
      </c>
      <c r="Z317">
        <v>0</v>
      </c>
      <c r="AA317">
        <v>-1</v>
      </c>
      <c r="AB317">
        <v>-1</v>
      </c>
      <c r="AC317">
        <v>-1</v>
      </c>
      <c r="AD317">
        <v>-1</v>
      </c>
      <c r="AE317">
        <v>-1</v>
      </c>
      <c r="AF317">
        <v>-1</v>
      </c>
      <c r="AG317">
        <v>-1</v>
      </c>
      <c r="AH317">
        <v>-1</v>
      </c>
      <c r="AI317">
        <v>-1</v>
      </c>
      <c r="AJ317" s="9">
        <f t="shared" si="102"/>
        <v>34</v>
      </c>
      <c r="AK317">
        <f t="shared" si="103"/>
        <v>0</v>
      </c>
      <c r="AL317" s="9">
        <v>0</v>
      </c>
    </row>
    <row r="318" spans="1:38" x14ac:dyDescent="0.35">
      <c r="A318" s="50">
        <v>0</v>
      </c>
      <c r="B318" s="9" t="s">
        <v>47</v>
      </c>
      <c r="C318" s="53">
        <v>43891</v>
      </c>
      <c r="D318" s="53">
        <v>43900</v>
      </c>
      <c r="E318" s="53">
        <v>43962</v>
      </c>
      <c r="F318" s="21">
        <f t="shared" si="90"/>
        <v>62</v>
      </c>
      <c r="G318" s="53">
        <v>43900</v>
      </c>
      <c r="H318" s="9">
        <v>2020</v>
      </c>
      <c r="I318" s="50">
        <v>0</v>
      </c>
      <c r="J318" s="50">
        <v>6</v>
      </c>
      <c r="K318" s="50">
        <v>28</v>
      </c>
      <c r="L318" s="24" t="s">
        <v>1321</v>
      </c>
      <c r="M318" s="24"/>
      <c r="V318" t="s">
        <v>958</v>
      </c>
      <c r="W318" t="s">
        <v>989</v>
      </c>
      <c r="X318" t="s">
        <v>997</v>
      </c>
      <c r="Y318" t="s">
        <v>1000</v>
      </c>
      <c r="Z318">
        <v>0</v>
      </c>
      <c r="AA318">
        <v>-1</v>
      </c>
      <c r="AB318">
        <v>-1</v>
      </c>
      <c r="AC318">
        <v>-1</v>
      </c>
      <c r="AD318">
        <v>-1</v>
      </c>
      <c r="AE318">
        <v>-1</v>
      </c>
      <c r="AF318">
        <v>-1</v>
      </c>
      <c r="AG318">
        <v>-1</v>
      </c>
      <c r="AH318">
        <v>-1</v>
      </c>
      <c r="AI318">
        <v>-1</v>
      </c>
      <c r="AJ318" s="9">
        <f t="shared" ref="AJ318:AJ390" si="104">IF(ISNUMBER(K318),K318,IF(OR(K318="general",K318="23;general"),"General",IF(OR(K318="exemption",K318="other (exemption)"),"Tax exemption/waiver/suspension","Other")))</f>
        <v>28</v>
      </c>
      <c r="AK318">
        <f t="shared" si="103"/>
        <v>0</v>
      </c>
      <c r="AL318" s="9">
        <v>0</v>
      </c>
    </row>
    <row r="319" spans="1:38" x14ac:dyDescent="0.35">
      <c r="A319" s="50">
        <v>0</v>
      </c>
      <c r="B319" s="9" t="s">
        <v>47</v>
      </c>
      <c r="C319" s="53">
        <v>43891</v>
      </c>
      <c r="D319" s="53">
        <v>43900</v>
      </c>
      <c r="E319" s="53">
        <v>43962</v>
      </c>
      <c r="F319" s="21">
        <f t="shared" si="90"/>
        <v>62</v>
      </c>
      <c r="G319" s="53">
        <v>43900</v>
      </c>
      <c r="H319" s="9">
        <v>2020</v>
      </c>
      <c r="I319" s="50">
        <v>0</v>
      </c>
      <c r="J319" s="50">
        <v>5</v>
      </c>
      <c r="K319" s="50" t="s">
        <v>204</v>
      </c>
      <c r="L319" s="24" t="s">
        <v>1322</v>
      </c>
      <c r="M319" s="24"/>
      <c r="V319" t="s">
        <v>958</v>
      </c>
      <c r="W319" t="s">
        <v>989</v>
      </c>
      <c r="X319" t="s">
        <v>997</v>
      </c>
      <c r="Y319" t="s">
        <v>1000</v>
      </c>
      <c r="Z319">
        <v>0</v>
      </c>
      <c r="AA319">
        <v>-1</v>
      </c>
      <c r="AB319">
        <v>-1</v>
      </c>
      <c r="AC319">
        <v>-1</v>
      </c>
      <c r="AD319">
        <v>-1</v>
      </c>
      <c r="AE319">
        <v>-1</v>
      </c>
      <c r="AF319">
        <v>-1</v>
      </c>
      <c r="AG319">
        <v>-1</v>
      </c>
      <c r="AH319">
        <v>-1</v>
      </c>
      <c r="AI319">
        <v>-1</v>
      </c>
      <c r="AJ319" s="9" t="str">
        <f t="shared" si="104"/>
        <v>General</v>
      </c>
      <c r="AK319">
        <f t="shared" si="103"/>
        <v>0</v>
      </c>
      <c r="AL319" s="9">
        <v>0</v>
      </c>
    </row>
    <row r="320" spans="1:38" x14ac:dyDescent="0.35">
      <c r="A320" s="50">
        <v>0</v>
      </c>
      <c r="B320" s="9" t="s">
        <v>47</v>
      </c>
      <c r="C320" s="53">
        <v>43891</v>
      </c>
      <c r="D320" s="53">
        <v>43900</v>
      </c>
      <c r="E320" s="53">
        <v>43962</v>
      </c>
      <c r="F320" s="21">
        <f t="shared" si="90"/>
        <v>62</v>
      </c>
      <c r="G320" s="53">
        <v>43900</v>
      </c>
      <c r="H320" s="9">
        <v>2020</v>
      </c>
      <c r="I320" s="50">
        <v>0</v>
      </c>
      <c r="J320" s="50">
        <v>7</v>
      </c>
      <c r="K320" s="50">
        <v>31</v>
      </c>
      <c r="L320" s="24" t="s">
        <v>1323</v>
      </c>
      <c r="M320" s="24"/>
      <c r="V320" t="s">
        <v>958</v>
      </c>
      <c r="W320" t="s">
        <v>989</v>
      </c>
      <c r="X320" t="s">
        <v>997</v>
      </c>
      <c r="Y320" t="s">
        <v>1000</v>
      </c>
      <c r="Z320">
        <v>0</v>
      </c>
      <c r="AA320">
        <v>-1</v>
      </c>
      <c r="AB320">
        <v>-1</v>
      </c>
      <c r="AC320">
        <v>-1</v>
      </c>
      <c r="AD320">
        <v>-1</v>
      </c>
      <c r="AE320">
        <v>-1</v>
      </c>
      <c r="AF320">
        <v>-1</v>
      </c>
      <c r="AG320">
        <v>-1</v>
      </c>
      <c r="AH320">
        <v>-1</v>
      </c>
      <c r="AI320">
        <v>-1</v>
      </c>
      <c r="AJ320" s="9">
        <f t="shared" si="104"/>
        <v>31</v>
      </c>
      <c r="AK320">
        <f t="shared" si="103"/>
        <v>0</v>
      </c>
      <c r="AL320" s="9">
        <v>0</v>
      </c>
    </row>
    <row r="321" spans="1:38" x14ac:dyDescent="0.35">
      <c r="A321" s="50">
        <v>0</v>
      </c>
      <c r="B321" s="9" t="s">
        <v>47</v>
      </c>
      <c r="C321" s="53">
        <v>43891</v>
      </c>
      <c r="D321" s="53">
        <v>43900</v>
      </c>
      <c r="E321" s="53">
        <v>43962</v>
      </c>
      <c r="F321" s="21">
        <f t="shared" si="90"/>
        <v>62</v>
      </c>
      <c r="G321" s="53">
        <v>43900</v>
      </c>
      <c r="H321" s="9">
        <v>2020</v>
      </c>
      <c r="I321" s="50">
        <v>0</v>
      </c>
      <c r="J321" s="50">
        <v>1</v>
      </c>
      <c r="K321" s="50">
        <v>8</v>
      </c>
      <c r="L321" s="24" t="s">
        <v>1324</v>
      </c>
      <c r="M321" s="24"/>
      <c r="V321" t="s">
        <v>958</v>
      </c>
      <c r="W321" t="s">
        <v>989</v>
      </c>
      <c r="X321" t="s">
        <v>997</v>
      </c>
      <c r="Y321" t="s">
        <v>1000</v>
      </c>
      <c r="Z321">
        <v>0</v>
      </c>
      <c r="AA321">
        <v>-1</v>
      </c>
      <c r="AB321">
        <v>-1</v>
      </c>
      <c r="AC321">
        <v>-1</v>
      </c>
      <c r="AD321">
        <v>-1</v>
      </c>
      <c r="AE321">
        <v>-1</v>
      </c>
      <c r="AF321">
        <v>-1</v>
      </c>
      <c r="AG321">
        <v>-1</v>
      </c>
      <c r="AH321">
        <v>-1</v>
      </c>
      <c r="AI321">
        <v>-1</v>
      </c>
      <c r="AJ321" s="9">
        <f t="shared" si="104"/>
        <v>8</v>
      </c>
      <c r="AK321">
        <f t="shared" si="103"/>
        <v>0</v>
      </c>
      <c r="AL321" s="9">
        <v>0</v>
      </c>
    </row>
    <row r="322" spans="1:38" x14ac:dyDescent="0.35">
      <c r="A322" s="50">
        <v>0</v>
      </c>
      <c r="B322" s="9" t="s">
        <v>47</v>
      </c>
      <c r="C322" s="53">
        <v>43891</v>
      </c>
      <c r="D322" s="53">
        <v>43900</v>
      </c>
      <c r="E322" s="53">
        <v>43962</v>
      </c>
      <c r="F322" s="21">
        <f t="shared" si="90"/>
        <v>62</v>
      </c>
      <c r="G322" s="53">
        <v>43900</v>
      </c>
      <c r="H322" s="9">
        <v>2020</v>
      </c>
      <c r="I322" s="50">
        <v>0</v>
      </c>
      <c r="J322" s="50">
        <v>1</v>
      </c>
      <c r="K322" s="50" t="s">
        <v>206</v>
      </c>
      <c r="L322" s="24" t="s">
        <v>1325</v>
      </c>
      <c r="M322" s="24"/>
      <c r="V322" t="s">
        <v>958</v>
      </c>
      <c r="W322" t="s">
        <v>989</v>
      </c>
      <c r="X322" t="s">
        <v>997</v>
      </c>
      <c r="Y322" t="s">
        <v>1000</v>
      </c>
      <c r="Z322">
        <v>0</v>
      </c>
      <c r="AA322">
        <v>-1</v>
      </c>
      <c r="AB322">
        <v>-1</v>
      </c>
      <c r="AC322">
        <v>-1</v>
      </c>
      <c r="AD322">
        <v>-1</v>
      </c>
      <c r="AE322">
        <v>-1</v>
      </c>
      <c r="AF322">
        <v>-1</v>
      </c>
      <c r="AG322">
        <v>-1</v>
      </c>
      <c r="AH322">
        <v>-1</v>
      </c>
      <c r="AI322">
        <v>-1</v>
      </c>
      <c r="AJ322" s="9" t="str">
        <f t="shared" si="104"/>
        <v>Tax exemption/waiver/suspension</v>
      </c>
      <c r="AK322">
        <f t="shared" si="103"/>
        <v>0</v>
      </c>
      <c r="AL322" s="9">
        <v>0</v>
      </c>
    </row>
    <row r="323" spans="1:38" x14ac:dyDescent="0.35">
      <c r="A323" s="50">
        <v>0</v>
      </c>
      <c r="B323" s="9" t="s">
        <v>47</v>
      </c>
      <c r="C323" s="53">
        <v>43891</v>
      </c>
      <c r="D323" s="53">
        <v>43900</v>
      </c>
      <c r="E323" s="53">
        <v>43962</v>
      </c>
      <c r="F323" s="21">
        <f t="shared" si="90"/>
        <v>62</v>
      </c>
      <c r="G323" s="53">
        <v>43900</v>
      </c>
      <c r="H323" s="9">
        <v>2020</v>
      </c>
      <c r="I323" s="50">
        <v>0</v>
      </c>
      <c r="J323" s="50">
        <v>1</v>
      </c>
      <c r="K323" s="50">
        <v>8</v>
      </c>
      <c r="L323" s="24" t="s">
        <v>1326</v>
      </c>
      <c r="M323" s="24"/>
      <c r="V323" t="s">
        <v>958</v>
      </c>
      <c r="W323" t="s">
        <v>989</v>
      </c>
      <c r="X323" t="s">
        <v>997</v>
      </c>
      <c r="Y323" t="s">
        <v>1000</v>
      </c>
      <c r="Z323">
        <v>0</v>
      </c>
      <c r="AA323">
        <v>-1</v>
      </c>
      <c r="AB323">
        <v>-1</v>
      </c>
      <c r="AC323">
        <v>-1</v>
      </c>
      <c r="AD323">
        <v>-1</v>
      </c>
      <c r="AE323">
        <v>-1</v>
      </c>
      <c r="AF323">
        <v>-1</v>
      </c>
      <c r="AG323">
        <v>-1</v>
      </c>
      <c r="AH323">
        <v>-1</v>
      </c>
      <c r="AI323">
        <v>-1</v>
      </c>
      <c r="AJ323" s="9">
        <f t="shared" si="104"/>
        <v>8</v>
      </c>
      <c r="AK323">
        <f t="shared" si="103"/>
        <v>0</v>
      </c>
      <c r="AL323" s="9">
        <v>0</v>
      </c>
    </row>
    <row r="324" spans="1:38" x14ac:dyDescent="0.35">
      <c r="A324" s="50">
        <v>0</v>
      </c>
      <c r="B324" s="9" t="s">
        <v>47</v>
      </c>
      <c r="C324" s="53">
        <v>43891</v>
      </c>
      <c r="D324" s="53">
        <v>43900</v>
      </c>
      <c r="E324" s="53">
        <v>43962</v>
      </c>
      <c r="F324" s="21">
        <f t="shared" si="90"/>
        <v>62</v>
      </c>
      <c r="G324" s="53">
        <v>43900</v>
      </c>
      <c r="H324" s="9">
        <v>2020</v>
      </c>
      <c r="I324" s="50">
        <v>0</v>
      </c>
      <c r="J324" s="50">
        <v>1</v>
      </c>
      <c r="K324" s="50">
        <v>8</v>
      </c>
      <c r="L324" s="24" t="s">
        <v>1327</v>
      </c>
      <c r="M324" s="24"/>
      <c r="V324" t="s">
        <v>958</v>
      </c>
      <c r="W324" t="s">
        <v>989</v>
      </c>
      <c r="X324" t="s">
        <v>997</v>
      </c>
      <c r="Y324" t="s">
        <v>1000</v>
      </c>
      <c r="Z324">
        <v>0</v>
      </c>
      <c r="AA324">
        <v>-1</v>
      </c>
      <c r="AB324">
        <v>-1</v>
      </c>
      <c r="AC324">
        <v>-1</v>
      </c>
      <c r="AD324">
        <v>-1</v>
      </c>
      <c r="AE324">
        <v>-1</v>
      </c>
      <c r="AF324">
        <v>-1</v>
      </c>
      <c r="AG324">
        <v>-1</v>
      </c>
      <c r="AH324">
        <v>-1</v>
      </c>
      <c r="AI324">
        <v>-1</v>
      </c>
      <c r="AJ324" s="9">
        <f t="shared" si="104"/>
        <v>8</v>
      </c>
      <c r="AK324">
        <f t="shared" si="103"/>
        <v>0</v>
      </c>
      <c r="AL324" s="9">
        <v>0</v>
      </c>
    </row>
    <row r="325" spans="1:38" x14ac:dyDescent="0.35">
      <c r="A325" s="50">
        <v>0</v>
      </c>
      <c r="B325" s="9" t="s">
        <v>47</v>
      </c>
      <c r="C325" s="53">
        <v>43891</v>
      </c>
      <c r="D325" s="53">
        <v>43900</v>
      </c>
      <c r="E325" s="53">
        <v>43962</v>
      </c>
      <c r="F325" s="21">
        <f t="shared" si="90"/>
        <v>62</v>
      </c>
      <c r="G325" s="53">
        <v>43900</v>
      </c>
      <c r="H325" s="9">
        <v>2020</v>
      </c>
      <c r="I325" s="50">
        <v>0</v>
      </c>
      <c r="J325" s="50">
        <v>1</v>
      </c>
      <c r="K325" s="50">
        <v>7</v>
      </c>
      <c r="L325" s="24" t="s">
        <v>1328</v>
      </c>
      <c r="M325" s="24"/>
      <c r="V325" t="s">
        <v>958</v>
      </c>
      <c r="W325" t="s">
        <v>989</v>
      </c>
      <c r="X325" t="s">
        <v>997</v>
      </c>
      <c r="Y325" t="s">
        <v>1000</v>
      </c>
      <c r="Z325">
        <v>0</v>
      </c>
      <c r="AA325">
        <v>-1</v>
      </c>
      <c r="AB325">
        <v>-1</v>
      </c>
      <c r="AC325">
        <v>-1</v>
      </c>
      <c r="AD325">
        <v>-1</v>
      </c>
      <c r="AE325">
        <v>-1</v>
      </c>
      <c r="AF325">
        <v>-1</v>
      </c>
      <c r="AG325">
        <v>-1</v>
      </c>
      <c r="AH325">
        <v>-1</v>
      </c>
      <c r="AI325">
        <v>-1</v>
      </c>
      <c r="AJ325" s="9">
        <f t="shared" si="104"/>
        <v>7</v>
      </c>
      <c r="AK325">
        <f t="shared" si="103"/>
        <v>0</v>
      </c>
      <c r="AL325" s="9">
        <v>0</v>
      </c>
    </row>
    <row r="326" spans="1:38" x14ac:dyDescent="0.35">
      <c r="A326" s="50">
        <v>0</v>
      </c>
      <c r="B326" s="9" t="s">
        <v>47</v>
      </c>
      <c r="C326" s="53">
        <v>43891</v>
      </c>
      <c r="D326" s="53">
        <v>43900</v>
      </c>
      <c r="E326" s="53">
        <v>43962</v>
      </c>
      <c r="F326" s="21">
        <f t="shared" si="90"/>
        <v>62</v>
      </c>
      <c r="G326" s="53">
        <v>43900</v>
      </c>
      <c r="H326" s="9">
        <v>2020</v>
      </c>
      <c r="I326" s="50">
        <v>0</v>
      </c>
      <c r="J326" s="50">
        <v>1</v>
      </c>
      <c r="K326" s="50">
        <v>6</v>
      </c>
      <c r="L326" s="24" t="s">
        <v>1329</v>
      </c>
      <c r="M326" s="24"/>
      <c r="V326" t="s">
        <v>958</v>
      </c>
      <c r="W326" t="s">
        <v>989</v>
      </c>
      <c r="X326" t="s">
        <v>997</v>
      </c>
      <c r="Y326" t="s">
        <v>1000</v>
      </c>
      <c r="Z326">
        <v>0</v>
      </c>
      <c r="AA326">
        <v>-1</v>
      </c>
      <c r="AB326">
        <v>-1</v>
      </c>
      <c r="AC326">
        <v>-1</v>
      </c>
      <c r="AD326">
        <v>-1</v>
      </c>
      <c r="AE326">
        <v>-1</v>
      </c>
      <c r="AF326">
        <v>-1</v>
      </c>
      <c r="AG326">
        <v>-1</v>
      </c>
      <c r="AH326">
        <v>-1</v>
      </c>
      <c r="AI326">
        <v>-1</v>
      </c>
      <c r="AJ326" s="9">
        <f t="shared" si="104"/>
        <v>6</v>
      </c>
      <c r="AK326">
        <f t="shared" si="103"/>
        <v>0</v>
      </c>
      <c r="AL326" s="9">
        <v>0</v>
      </c>
    </row>
    <row r="327" spans="1:38" x14ac:dyDescent="0.35">
      <c r="A327" s="50">
        <v>0</v>
      </c>
      <c r="B327" s="9" t="s">
        <v>47</v>
      </c>
      <c r="C327" s="53">
        <v>43891</v>
      </c>
      <c r="D327" s="53">
        <v>43900</v>
      </c>
      <c r="E327" s="53">
        <v>43962</v>
      </c>
      <c r="F327" s="21">
        <f t="shared" si="90"/>
        <v>62</v>
      </c>
      <c r="G327" s="53">
        <v>43900</v>
      </c>
      <c r="H327" s="9">
        <v>2020</v>
      </c>
      <c r="I327" s="50">
        <v>0</v>
      </c>
      <c r="J327" s="50">
        <v>3</v>
      </c>
      <c r="K327" s="50" t="s">
        <v>206</v>
      </c>
      <c r="L327" s="24" t="s">
        <v>1330</v>
      </c>
      <c r="M327" s="24"/>
      <c r="V327" t="s">
        <v>958</v>
      </c>
      <c r="W327" t="s">
        <v>989</v>
      </c>
      <c r="X327" t="s">
        <v>997</v>
      </c>
      <c r="Y327" t="s">
        <v>1000</v>
      </c>
      <c r="Z327">
        <v>0</v>
      </c>
      <c r="AA327">
        <v>-1</v>
      </c>
      <c r="AB327">
        <v>-1</v>
      </c>
      <c r="AC327">
        <v>-1</v>
      </c>
      <c r="AD327">
        <v>-1</v>
      </c>
      <c r="AE327">
        <v>-1</v>
      </c>
      <c r="AF327">
        <v>-1</v>
      </c>
      <c r="AG327">
        <v>-1</v>
      </c>
      <c r="AH327">
        <v>-1</v>
      </c>
      <c r="AI327">
        <v>-1</v>
      </c>
      <c r="AJ327" s="9" t="str">
        <f t="shared" si="104"/>
        <v>Tax exemption/waiver/suspension</v>
      </c>
      <c r="AK327">
        <f t="shared" si="103"/>
        <v>0</v>
      </c>
      <c r="AL327" s="9">
        <v>0</v>
      </c>
    </row>
    <row r="328" spans="1:38" x14ac:dyDescent="0.35">
      <c r="A328" s="50">
        <v>0</v>
      </c>
      <c r="B328" s="9" t="s">
        <v>47</v>
      </c>
      <c r="C328" s="53">
        <v>43891</v>
      </c>
      <c r="D328" s="53">
        <v>43900</v>
      </c>
      <c r="E328" s="53">
        <v>43962</v>
      </c>
      <c r="F328" s="21">
        <f t="shared" si="90"/>
        <v>62</v>
      </c>
      <c r="G328" s="53">
        <v>43900</v>
      </c>
      <c r="H328" s="9">
        <v>2020</v>
      </c>
      <c r="I328" s="50">
        <v>0</v>
      </c>
      <c r="J328" s="50">
        <v>1</v>
      </c>
      <c r="K328" s="50">
        <v>8</v>
      </c>
      <c r="L328" s="24" t="s">
        <v>1331</v>
      </c>
      <c r="M328" s="24"/>
      <c r="V328" t="s">
        <v>958</v>
      </c>
      <c r="W328" t="s">
        <v>989</v>
      </c>
      <c r="X328" t="s">
        <v>997</v>
      </c>
      <c r="Y328" t="s">
        <v>1000</v>
      </c>
      <c r="Z328">
        <v>0</v>
      </c>
      <c r="AA328">
        <v>-1</v>
      </c>
      <c r="AB328">
        <v>-1</v>
      </c>
      <c r="AC328">
        <v>-1</v>
      </c>
      <c r="AD328">
        <v>-1</v>
      </c>
      <c r="AE328">
        <v>-1</v>
      </c>
      <c r="AF328">
        <v>-1</v>
      </c>
      <c r="AG328">
        <v>-1</v>
      </c>
      <c r="AH328">
        <v>-1</v>
      </c>
      <c r="AI328">
        <v>-1</v>
      </c>
      <c r="AJ328" s="9">
        <f t="shared" si="104"/>
        <v>8</v>
      </c>
      <c r="AK328">
        <f t="shared" si="103"/>
        <v>0</v>
      </c>
      <c r="AL328" s="9">
        <v>0</v>
      </c>
    </row>
    <row r="329" spans="1:38" x14ac:dyDescent="0.35">
      <c r="A329" s="50">
        <v>0</v>
      </c>
      <c r="B329" s="9" t="s">
        <v>47</v>
      </c>
      <c r="C329" s="53">
        <v>43891</v>
      </c>
      <c r="D329" s="53">
        <v>43900</v>
      </c>
      <c r="E329" s="53">
        <v>43962</v>
      </c>
      <c r="F329" s="21">
        <f t="shared" si="90"/>
        <v>62</v>
      </c>
      <c r="G329" s="53">
        <v>43900</v>
      </c>
      <c r="H329" s="9">
        <v>2020</v>
      </c>
      <c r="I329" s="50">
        <v>0</v>
      </c>
      <c r="J329" s="50">
        <v>1</v>
      </c>
      <c r="K329" s="50">
        <v>8</v>
      </c>
      <c r="L329" s="24" t="s">
        <v>1332</v>
      </c>
      <c r="M329" s="24"/>
      <c r="V329" t="s">
        <v>958</v>
      </c>
      <c r="W329" t="s">
        <v>989</v>
      </c>
      <c r="X329" t="s">
        <v>997</v>
      </c>
      <c r="Y329" t="s">
        <v>1000</v>
      </c>
      <c r="Z329">
        <v>0</v>
      </c>
      <c r="AA329">
        <v>-1</v>
      </c>
      <c r="AB329">
        <v>-1</v>
      </c>
      <c r="AC329">
        <v>-1</v>
      </c>
      <c r="AD329">
        <v>-1</v>
      </c>
      <c r="AE329">
        <v>-1</v>
      </c>
      <c r="AF329">
        <v>-1</v>
      </c>
      <c r="AG329">
        <v>-1</v>
      </c>
      <c r="AH329">
        <v>-1</v>
      </c>
      <c r="AI329">
        <v>-1</v>
      </c>
      <c r="AJ329" s="9">
        <f t="shared" si="104"/>
        <v>8</v>
      </c>
      <c r="AK329">
        <f t="shared" si="103"/>
        <v>0</v>
      </c>
      <c r="AL329" s="9">
        <v>0</v>
      </c>
    </row>
    <row r="330" spans="1:38" x14ac:dyDescent="0.35">
      <c r="A330" s="50">
        <v>0</v>
      </c>
      <c r="B330" s="9" t="s">
        <v>47</v>
      </c>
      <c r="C330" s="53">
        <v>43891</v>
      </c>
      <c r="D330" s="53">
        <v>43900</v>
      </c>
      <c r="E330" s="53">
        <v>43962</v>
      </c>
      <c r="F330" s="21">
        <f t="shared" si="90"/>
        <v>62</v>
      </c>
      <c r="G330" s="53">
        <v>43900</v>
      </c>
      <c r="H330" s="9">
        <v>2020</v>
      </c>
      <c r="I330" s="50">
        <v>0</v>
      </c>
      <c r="J330" s="50">
        <v>5</v>
      </c>
      <c r="K330" s="50" t="s">
        <v>204</v>
      </c>
      <c r="L330" s="24" t="s">
        <v>1333</v>
      </c>
      <c r="M330" s="24"/>
      <c r="V330" t="s">
        <v>958</v>
      </c>
      <c r="W330" t="s">
        <v>989</v>
      </c>
      <c r="X330" t="s">
        <v>997</v>
      </c>
      <c r="Y330" t="s">
        <v>1000</v>
      </c>
      <c r="Z330">
        <v>0</v>
      </c>
      <c r="AA330">
        <v>-1</v>
      </c>
      <c r="AB330">
        <v>-1</v>
      </c>
      <c r="AC330">
        <v>-1</v>
      </c>
      <c r="AD330">
        <v>-1</v>
      </c>
      <c r="AE330">
        <v>-1</v>
      </c>
      <c r="AF330">
        <v>-1</v>
      </c>
      <c r="AG330">
        <v>-1</v>
      </c>
      <c r="AH330">
        <v>-1</v>
      </c>
      <c r="AI330">
        <v>-1</v>
      </c>
      <c r="AJ330" s="9" t="str">
        <f t="shared" si="104"/>
        <v>General</v>
      </c>
      <c r="AK330">
        <f t="shared" si="103"/>
        <v>0</v>
      </c>
      <c r="AL330" s="9">
        <v>0</v>
      </c>
    </row>
    <row r="331" spans="1:38" x14ac:dyDescent="0.35">
      <c r="A331" s="50">
        <v>0</v>
      </c>
      <c r="B331" s="9" t="s">
        <v>47</v>
      </c>
      <c r="C331" s="53">
        <v>43891</v>
      </c>
      <c r="D331" s="53">
        <v>43900</v>
      </c>
      <c r="E331" s="53">
        <v>43962</v>
      </c>
      <c r="F331" s="21">
        <f t="shared" si="90"/>
        <v>62</v>
      </c>
      <c r="G331" s="53">
        <v>43900</v>
      </c>
      <c r="H331" s="9">
        <v>2020</v>
      </c>
      <c r="I331" s="50">
        <v>0</v>
      </c>
      <c r="J331" s="50">
        <v>2</v>
      </c>
      <c r="K331" s="50" t="s">
        <v>206</v>
      </c>
      <c r="L331" s="24" t="s">
        <v>1334</v>
      </c>
      <c r="M331" s="24"/>
      <c r="V331" t="s">
        <v>958</v>
      </c>
      <c r="W331" t="s">
        <v>989</v>
      </c>
      <c r="X331" t="s">
        <v>997</v>
      </c>
      <c r="Y331" t="s">
        <v>1000</v>
      </c>
      <c r="Z331">
        <v>0</v>
      </c>
      <c r="AA331">
        <v>-1</v>
      </c>
      <c r="AB331">
        <v>-1</v>
      </c>
      <c r="AC331">
        <v>-1</v>
      </c>
      <c r="AD331">
        <v>-1</v>
      </c>
      <c r="AE331">
        <v>-1</v>
      </c>
      <c r="AF331">
        <v>-1</v>
      </c>
      <c r="AG331">
        <v>-1</v>
      </c>
      <c r="AH331">
        <v>-1</v>
      </c>
      <c r="AI331">
        <v>-1</v>
      </c>
      <c r="AJ331" s="9" t="str">
        <f t="shared" si="104"/>
        <v>Tax exemption/waiver/suspension</v>
      </c>
      <c r="AK331">
        <f t="shared" si="103"/>
        <v>0</v>
      </c>
      <c r="AL331" s="9">
        <v>0</v>
      </c>
    </row>
    <row r="332" spans="1:38" x14ac:dyDescent="0.35">
      <c r="A332" s="50">
        <v>0</v>
      </c>
      <c r="B332" s="9" t="s">
        <v>47</v>
      </c>
      <c r="C332" s="53">
        <v>43891</v>
      </c>
      <c r="D332" s="53">
        <v>43900</v>
      </c>
      <c r="E332" s="53">
        <v>43962</v>
      </c>
      <c r="F332" s="21">
        <f t="shared" si="90"/>
        <v>62</v>
      </c>
      <c r="G332" s="53">
        <v>43900</v>
      </c>
      <c r="H332" s="9">
        <v>2020</v>
      </c>
      <c r="I332" s="50">
        <v>0</v>
      </c>
      <c r="J332" s="50">
        <v>1</v>
      </c>
      <c r="K332" s="50">
        <v>9</v>
      </c>
      <c r="L332" s="24" t="s">
        <v>1335</v>
      </c>
      <c r="M332" s="24"/>
      <c r="V332" t="s">
        <v>958</v>
      </c>
      <c r="W332" t="s">
        <v>989</v>
      </c>
      <c r="X332" t="s">
        <v>997</v>
      </c>
      <c r="Y332" t="s">
        <v>1000</v>
      </c>
      <c r="Z332">
        <v>0</v>
      </c>
      <c r="AA332">
        <v>-1</v>
      </c>
      <c r="AB332">
        <v>-1</v>
      </c>
      <c r="AC332">
        <v>-1</v>
      </c>
      <c r="AD332">
        <v>-1</v>
      </c>
      <c r="AE332">
        <v>-1</v>
      </c>
      <c r="AF332">
        <v>-1</v>
      </c>
      <c r="AG332">
        <v>-1</v>
      </c>
      <c r="AH332">
        <v>-1</v>
      </c>
      <c r="AI332">
        <v>-1</v>
      </c>
      <c r="AJ332" s="9">
        <f t="shared" si="104"/>
        <v>9</v>
      </c>
      <c r="AK332">
        <f t="shared" si="103"/>
        <v>0</v>
      </c>
      <c r="AL332" s="9">
        <v>0</v>
      </c>
    </row>
    <row r="333" spans="1:38" x14ac:dyDescent="0.35">
      <c r="A333" s="50">
        <v>0</v>
      </c>
      <c r="B333" s="9" t="s">
        <v>47</v>
      </c>
      <c r="C333" s="53">
        <v>43891</v>
      </c>
      <c r="D333" s="53">
        <v>43900</v>
      </c>
      <c r="E333" s="53">
        <v>43962</v>
      </c>
      <c r="F333" s="21">
        <f t="shared" si="90"/>
        <v>62</v>
      </c>
      <c r="G333" s="53">
        <v>43900</v>
      </c>
      <c r="H333" s="9">
        <v>2020</v>
      </c>
      <c r="I333" s="50">
        <v>0</v>
      </c>
      <c r="J333" s="50">
        <v>1</v>
      </c>
      <c r="K333" s="50" t="s">
        <v>206</v>
      </c>
      <c r="L333" s="24" t="s">
        <v>1336</v>
      </c>
      <c r="M333" s="24"/>
      <c r="V333" t="s">
        <v>958</v>
      </c>
      <c r="W333" t="s">
        <v>989</v>
      </c>
      <c r="X333" t="s">
        <v>997</v>
      </c>
      <c r="Y333" t="s">
        <v>1000</v>
      </c>
      <c r="Z333">
        <v>0</v>
      </c>
      <c r="AA333">
        <v>-1</v>
      </c>
      <c r="AB333">
        <v>-1</v>
      </c>
      <c r="AC333">
        <v>-1</v>
      </c>
      <c r="AD333">
        <v>-1</v>
      </c>
      <c r="AE333">
        <v>-1</v>
      </c>
      <c r="AF333">
        <v>-1</v>
      </c>
      <c r="AG333">
        <v>-1</v>
      </c>
      <c r="AH333">
        <v>-1</v>
      </c>
      <c r="AI333">
        <v>-1</v>
      </c>
      <c r="AJ333" s="9" t="str">
        <f t="shared" si="104"/>
        <v>Tax exemption/waiver/suspension</v>
      </c>
      <c r="AK333">
        <f t="shared" ref="AK333:AK372" si="105">IF(B333&lt;&gt;B332,1,0)</f>
        <v>0</v>
      </c>
      <c r="AL333" s="9">
        <v>0</v>
      </c>
    </row>
    <row r="334" spans="1:38" x14ac:dyDescent="0.35">
      <c r="A334" s="50">
        <v>0</v>
      </c>
      <c r="B334" s="9" t="s">
        <v>47</v>
      </c>
      <c r="C334" s="53">
        <v>43891</v>
      </c>
      <c r="D334" s="53">
        <v>43900</v>
      </c>
      <c r="E334" s="53">
        <v>43962</v>
      </c>
      <c r="F334" s="21">
        <f t="shared" si="90"/>
        <v>62</v>
      </c>
      <c r="G334" s="53">
        <v>43900</v>
      </c>
      <c r="H334" s="9">
        <v>2020</v>
      </c>
      <c r="I334" s="50">
        <v>0</v>
      </c>
      <c r="J334" s="50">
        <v>9</v>
      </c>
      <c r="K334" s="50">
        <v>34</v>
      </c>
      <c r="L334" s="24" t="s">
        <v>1337</v>
      </c>
      <c r="M334" s="24"/>
      <c r="V334" t="s">
        <v>958</v>
      </c>
      <c r="W334" t="s">
        <v>989</v>
      </c>
      <c r="X334" t="s">
        <v>997</v>
      </c>
      <c r="Y334" t="s">
        <v>1000</v>
      </c>
      <c r="Z334">
        <v>0</v>
      </c>
      <c r="AA334">
        <v>-1</v>
      </c>
      <c r="AB334">
        <v>-1</v>
      </c>
      <c r="AC334">
        <v>-1</v>
      </c>
      <c r="AD334">
        <v>-1</v>
      </c>
      <c r="AE334">
        <v>-1</v>
      </c>
      <c r="AF334">
        <v>-1</v>
      </c>
      <c r="AG334">
        <v>-1</v>
      </c>
      <c r="AH334">
        <v>-1</v>
      </c>
      <c r="AI334">
        <v>-1</v>
      </c>
      <c r="AJ334" s="9">
        <f t="shared" si="104"/>
        <v>34</v>
      </c>
      <c r="AK334">
        <f t="shared" si="105"/>
        <v>0</v>
      </c>
      <c r="AL334" s="9">
        <v>0</v>
      </c>
    </row>
    <row r="335" spans="1:38" x14ac:dyDescent="0.35">
      <c r="A335" s="50">
        <v>0</v>
      </c>
      <c r="B335" s="9" t="s">
        <v>47</v>
      </c>
      <c r="C335" s="53">
        <v>43891</v>
      </c>
      <c r="D335" s="53">
        <v>43900</v>
      </c>
      <c r="E335" s="53">
        <v>43962</v>
      </c>
      <c r="F335" s="21">
        <f t="shared" si="90"/>
        <v>62</v>
      </c>
      <c r="G335" s="53">
        <v>43900</v>
      </c>
      <c r="H335" s="9">
        <v>2020</v>
      </c>
      <c r="I335" s="50">
        <v>0</v>
      </c>
      <c r="J335" s="50">
        <v>9</v>
      </c>
      <c r="K335" s="50">
        <v>34</v>
      </c>
      <c r="L335" s="24" t="s">
        <v>1338</v>
      </c>
      <c r="M335" s="24"/>
      <c r="V335" t="s">
        <v>958</v>
      </c>
      <c r="W335" t="s">
        <v>989</v>
      </c>
      <c r="X335" t="s">
        <v>997</v>
      </c>
      <c r="Y335" t="s">
        <v>1000</v>
      </c>
      <c r="Z335">
        <v>0</v>
      </c>
      <c r="AA335">
        <v>-1</v>
      </c>
      <c r="AB335">
        <v>-1</v>
      </c>
      <c r="AC335">
        <v>-1</v>
      </c>
      <c r="AD335">
        <v>-1</v>
      </c>
      <c r="AE335">
        <v>-1</v>
      </c>
      <c r="AF335">
        <v>-1</v>
      </c>
      <c r="AG335">
        <v>-1</v>
      </c>
      <c r="AH335">
        <v>-1</v>
      </c>
      <c r="AI335">
        <v>-1</v>
      </c>
      <c r="AJ335" s="9">
        <f t="shared" si="104"/>
        <v>34</v>
      </c>
      <c r="AK335">
        <f t="shared" si="105"/>
        <v>0</v>
      </c>
      <c r="AL335" s="9">
        <v>0</v>
      </c>
    </row>
    <row r="336" spans="1:38" x14ac:dyDescent="0.35">
      <c r="A336" s="50">
        <v>0</v>
      </c>
      <c r="B336" s="9" t="s">
        <v>47</v>
      </c>
      <c r="C336" s="53">
        <v>43891</v>
      </c>
      <c r="D336" s="53">
        <v>43900</v>
      </c>
      <c r="E336" s="53">
        <v>43962</v>
      </c>
      <c r="F336" s="21">
        <f t="shared" si="90"/>
        <v>62</v>
      </c>
      <c r="G336" s="53">
        <v>43900</v>
      </c>
      <c r="H336" s="9">
        <v>2020</v>
      </c>
      <c r="I336" s="50">
        <v>0</v>
      </c>
      <c r="J336" s="50">
        <v>6</v>
      </c>
      <c r="K336" s="50">
        <v>29</v>
      </c>
      <c r="L336" s="24" t="s">
        <v>1703</v>
      </c>
      <c r="M336" s="24"/>
      <c r="V336" t="s">
        <v>958</v>
      </c>
      <c r="W336" t="s">
        <v>989</v>
      </c>
      <c r="X336" t="s">
        <v>997</v>
      </c>
      <c r="Y336" t="s">
        <v>1000</v>
      </c>
      <c r="Z336">
        <v>0</v>
      </c>
      <c r="AA336">
        <v>-1</v>
      </c>
      <c r="AB336">
        <v>-1</v>
      </c>
      <c r="AC336">
        <v>-1</v>
      </c>
      <c r="AD336">
        <v>-1</v>
      </c>
      <c r="AE336">
        <v>-1</v>
      </c>
      <c r="AF336">
        <v>-1</v>
      </c>
      <c r="AG336">
        <v>-1</v>
      </c>
      <c r="AH336">
        <v>-1</v>
      </c>
      <c r="AI336">
        <v>-1</v>
      </c>
      <c r="AJ336" s="9">
        <f t="shared" si="104"/>
        <v>29</v>
      </c>
      <c r="AK336">
        <f t="shared" si="105"/>
        <v>0</v>
      </c>
      <c r="AL336" s="9">
        <v>0</v>
      </c>
    </row>
    <row r="337" spans="1:38" x14ac:dyDescent="0.35">
      <c r="A337" s="50">
        <v>0</v>
      </c>
      <c r="B337" s="9" t="s">
        <v>47</v>
      </c>
      <c r="C337" s="53">
        <v>43891</v>
      </c>
      <c r="D337" s="53">
        <v>43900</v>
      </c>
      <c r="E337" s="53">
        <v>43962</v>
      </c>
      <c r="F337" s="21">
        <f t="shared" si="90"/>
        <v>62</v>
      </c>
      <c r="G337" s="53">
        <v>43900</v>
      </c>
      <c r="H337" s="9">
        <v>2020</v>
      </c>
      <c r="I337" s="50">
        <v>0</v>
      </c>
      <c r="J337" s="50">
        <v>7</v>
      </c>
      <c r="K337" s="50">
        <v>30</v>
      </c>
      <c r="L337" s="24" t="s">
        <v>1339</v>
      </c>
      <c r="M337" s="24"/>
      <c r="V337" t="s">
        <v>958</v>
      </c>
      <c r="W337" t="s">
        <v>989</v>
      </c>
      <c r="X337" t="s">
        <v>997</v>
      </c>
      <c r="Y337" t="s">
        <v>1000</v>
      </c>
      <c r="Z337">
        <v>0</v>
      </c>
      <c r="AA337">
        <v>-1</v>
      </c>
      <c r="AB337">
        <v>-1</v>
      </c>
      <c r="AC337">
        <v>-1</v>
      </c>
      <c r="AD337">
        <v>-1</v>
      </c>
      <c r="AE337">
        <v>-1</v>
      </c>
      <c r="AF337">
        <v>-1</v>
      </c>
      <c r="AG337">
        <v>-1</v>
      </c>
      <c r="AH337">
        <v>-1</v>
      </c>
      <c r="AI337">
        <v>-1</v>
      </c>
      <c r="AJ337" s="9">
        <f t="shared" si="104"/>
        <v>30</v>
      </c>
      <c r="AK337">
        <f t="shared" si="105"/>
        <v>0</v>
      </c>
      <c r="AL337" s="9">
        <v>0</v>
      </c>
    </row>
    <row r="338" spans="1:38" x14ac:dyDescent="0.35">
      <c r="A338" s="50">
        <v>0</v>
      </c>
      <c r="B338" s="9" t="s">
        <v>47</v>
      </c>
      <c r="C338" s="53">
        <v>43891</v>
      </c>
      <c r="D338" s="53">
        <v>43900</v>
      </c>
      <c r="E338" s="53">
        <v>43962</v>
      </c>
      <c r="F338" s="21">
        <f t="shared" si="90"/>
        <v>62</v>
      </c>
      <c r="G338" s="53">
        <v>43900</v>
      </c>
      <c r="H338" s="9">
        <v>2020</v>
      </c>
      <c r="I338" s="50">
        <v>0</v>
      </c>
      <c r="J338" s="50">
        <v>7</v>
      </c>
      <c r="K338" s="50">
        <v>30</v>
      </c>
      <c r="L338" s="24" t="s">
        <v>1340</v>
      </c>
      <c r="M338" s="24"/>
      <c r="V338" t="s">
        <v>958</v>
      </c>
      <c r="W338" t="s">
        <v>989</v>
      </c>
      <c r="X338" t="s">
        <v>997</v>
      </c>
      <c r="Y338" t="s">
        <v>1000</v>
      </c>
      <c r="Z338">
        <v>0</v>
      </c>
      <c r="AA338">
        <v>-1</v>
      </c>
      <c r="AB338">
        <v>-1</v>
      </c>
      <c r="AC338">
        <v>-1</v>
      </c>
      <c r="AD338">
        <v>-1</v>
      </c>
      <c r="AE338">
        <v>-1</v>
      </c>
      <c r="AF338">
        <v>-1</v>
      </c>
      <c r="AG338">
        <v>-1</v>
      </c>
      <c r="AH338">
        <v>-1</v>
      </c>
      <c r="AI338">
        <v>-1</v>
      </c>
      <c r="AJ338" s="9">
        <f t="shared" si="104"/>
        <v>30</v>
      </c>
      <c r="AK338">
        <f t="shared" si="105"/>
        <v>0</v>
      </c>
      <c r="AL338" s="9">
        <v>1</v>
      </c>
    </row>
    <row r="339" spans="1:38" s="47" customFormat="1" x14ac:dyDescent="0.35">
      <c r="A339" s="50">
        <v>0</v>
      </c>
      <c r="B339" s="9" t="s">
        <v>47</v>
      </c>
      <c r="C339" s="53">
        <v>43891</v>
      </c>
      <c r="D339" s="53">
        <v>43900</v>
      </c>
      <c r="E339" s="53">
        <v>43962</v>
      </c>
      <c r="F339" s="21">
        <f t="shared" si="90"/>
        <v>62</v>
      </c>
      <c r="G339" s="53">
        <v>43900</v>
      </c>
      <c r="H339" s="9">
        <v>2021</v>
      </c>
      <c r="I339" s="50">
        <v>0</v>
      </c>
      <c r="J339" s="50">
        <v>6</v>
      </c>
      <c r="K339" s="50">
        <v>29</v>
      </c>
      <c r="L339" s="48" t="s">
        <v>1699</v>
      </c>
      <c r="M339" s="48"/>
      <c r="V339" t="s">
        <v>958</v>
      </c>
      <c r="AB339">
        <v>-1</v>
      </c>
      <c r="AJ339" s="47">
        <f t="shared" si="104"/>
        <v>29</v>
      </c>
    </row>
    <row r="340" spans="1:38" s="47" customFormat="1" x14ac:dyDescent="0.35">
      <c r="A340" s="50">
        <v>0</v>
      </c>
      <c r="B340" s="9" t="s">
        <v>47</v>
      </c>
      <c r="C340" s="53">
        <v>43891</v>
      </c>
      <c r="D340" s="53">
        <v>43900</v>
      </c>
      <c r="E340" s="53">
        <v>43962</v>
      </c>
      <c r="F340" s="21">
        <f t="shared" si="90"/>
        <v>62</v>
      </c>
      <c r="G340" s="53">
        <v>43900</v>
      </c>
      <c r="H340" s="9">
        <v>2021</v>
      </c>
      <c r="I340" s="50">
        <v>0</v>
      </c>
      <c r="J340" s="50">
        <v>1</v>
      </c>
      <c r="K340" s="50">
        <v>6</v>
      </c>
      <c r="L340" s="48" t="s">
        <v>1700</v>
      </c>
      <c r="M340" s="48"/>
      <c r="V340" t="s">
        <v>958</v>
      </c>
      <c r="AB340">
        <v>-1</v>
      </c>
      <c r="AJ340" s="47">
        <f t="shared" si="104"/>
        <v>6</v>
      </c>
    </row>
    <row r="341" spans="1:38" s="47" customFormat="1" x14ac:dyDescent="0.35">
      <c r="A341" s="50">
        <v>0</v>
      </c>
      <c r="B341" s="9" t="s">
        <v>47</v>
      </c>
      <c r="C341" s="53">
        <v>43891</v>
      </c>
      <c r="D341" s="53">
        <v>43900</v>
      </c>
      <c r="E341" s="53">
        <v>43962</v>
      </c>
      <c r="F341" s="21">
        <f t="shared" ref="F341:F405" si="106">DATEDIF(D341,E341,"D")</f>
        <v>62</v>
      </c>
      <c r="G341" s="53">
        <v>43900</v>
      </c>
      <c r="H341" s="9">
        <v>2021</v>
      </c>
      <c r="I341" s="50">
        <v>0</v>
      </c>
      <c r="J341" s="50">
        <v>7</v>
      </c>
      <c r="K341" s="50">
        <v>31</v>
      </c>
      <c r="L341" s="48" t="s">
        <v>1701</v>
      </c>
      <c r="M341" s="48"/>
      <c r="V341" t="s">
        <v>958</v>
      </c>
      <c r="AB341">
        <v>-1</v>
      </c>
      <c r="AJ341" s="47">
        <f t="shared" si="104"/>
        <v>31</v>
      </c>
    </row>
    <row r="342" spans="1:38" s="47" customFormat="1" x14ac:dyDescent="0.35">
      <c r="A342" s="50">
        <v>0</v>
      </c>
      <c r="B342" s="9" t="s">
        <v>47</v>
      </c>
      <c r="C342" s="53">
        <v>43891</v>
      </c>
      <c r="D342" s="53">
        <v>43900</v>
      </c>
      <c r="E342" s="53">
        <v>43962</v>
      </c>
      <c r="F342" s="21">
        <f t="shared" si="106"/>
        <v>62</v>
      </c>
      <c r="G342" s="53">
        <v>43900</v>
      </c>
      <c r="H342" s="9">
        <v>2021</v>
      </c>
      <c r="I342" s="50">
        <v>0</v>
      </c>
      <c r="J342" s="50">
        <v>6</v>
      </c>
      <c r="K342" s="50">
        <v>25</v>
      </c>
      <c r="L342" s="56" t="s">
        <v>1702</v>
      </c>
      <c r="M342" s="48"/>
      <c r="V342" t="s">
        <v>958</v>
      </c>
      <c r="AB342">
        <v>-1</v>
      </c>
      <c r="AJ342" s="47">
        <f t="shared" si="104"/>
        <v>25</v>
      </c>
    </row>
    <row r="343" spans="1:38" s="47" customFormat="1" x14ac:dyDescent="0.35">
      <c r="A343" s="50">
        <v>0</v>
      </c>
      <c r="B343" s="9" t="s">
        <v>47</v>
      </c>
      <c r="C343" s="53">
        <v>43891</v>
      </c>
      <c r="D343" s="53">
        <v>43900</v>
      </c>
      <c r="E343" s="53">
        <v>43962</v>
      </c>
      <c r="F343" s="21">
        <f t="shared" si="106"/>
        <v>62</v>
      </c>
      <c r="G343" s="53">
        <v>43900</v>
      </c>
      <c r="H343" s="9">
        <v>2021</v>
      </c>
      <c r="I343" s="50">
        <v>0</v>
      </c>
      <c r="J343" s="50">
        <v>9</v>
      </c>
      <c r="K343" s="50">
        <v>34</v>
      </c>
      <c r="L343" s="56" t="s">
        <v>1704</v>
      </c>
      <c r="M343" s="48"/>
      <c r="V343" t="s">
        <v>958</v>
      </c>
      <c r="AB343">
        <v>-1</v>
      </c>
      <c r="AJ343" s="47">
        <f t="shared" si="104"/>
        <v>34</v>
      </c>
    </row>
    <row r="344" spans="1:38" s="47" customFormat="1" x14ac:dyDescent="0.35">
      <c r="A344" s="50">
        <v>0</v>
      </c>
      <c r="B344" s="9" t="s">
        <v>47</v>
      </c>
      <c r="C344" s="53">
        <v>43891</v>
      </c>
      <c r="D344" s="53">
        <v>43900</v>
      </c>
      <c r="E344" s="53">
        <v>43962</v>
      </c>
      <c r="F344" s="21">
        <f t="shared" si="106"/>
        <v>62</v>
      </c>
      <c r="G344" s="53">
        <v>43900</v>
      </c>
      <c r="H344" s="9">
        <v>2021</v>
      </c>
      <c r="I344" s="50">
        <v>0</v>
      </c>
      <c r="J344" s="50">
        <v>9</v>
      </c>
      <c r="K344" s="50">
        <v>34</v>
      </c>
      <c r="L344" s="57" t="s">
        <v>1705</v>
      </c>
      <c r="M344" s="48"/>
      <c r="V344" t="s">
        <v>958</v>
      </c>
      <c r="AB344">
        <v>-1</v>
      </c>
      <c r="AJ344" s="47">
        <f t="shared" si="104"/>
        <v>34</v>
      </c>
    </row>
    <row r="345" spans="1:38" s="47" customFormat="1" x14ac:dyDescent="0.35">
      <c r="A345" s="50">
        <v>0</v>
      </c>
      <c r="B345" s="9" t="s">
        <v>47</v>
      </c>
      <c r="C345" s="53">
        <v>43891</v>
      </c>
      <c r="D345" s="53">
        <v>43900</v>
      </c>
      <c r="E345" s="53">
        <v>43962</v>
      </c>
      <c r="F345" s="21">
        <f t="shared" si="106"/>
        <v>62</v>
      </c>
      <c r="G345" s="53">
        <v>43900</v>
      </c>
      <c r="H345" s="9">
        <v>2021</v>
      </c>
      <c r="I345" s="50">
        <v>0</v>
      </c>
      <c r="J345" s="50">
        <v>7</v>
      </c>
      <c r="K345" s="50">
        <v>31</v>
      </c>
      <c r="L345" s="56" t="s">
        <v>1848</v>
      </c>
      <c r="M345" s="48"/>
      <c r="V345" t="s">
        <v>958</v>
      </c>
      <c r="AB345">
        <v>-1</v>
      </c>
      <c r="AJ345" s="47">
        <f t="shared" si="104"/>
        <v>31</v>
      </c>
    </row>
    <row r="346" spans="1:38" s="47" customFormat="1" x14ac:dyDescent="0.35">
      <c r="A346" s="50">
        <v>0</v>
      </c>
      <c r="B346" s="9" t="s">
        <v>47</v>
      </c>
      <c r="C346" s="53">
        <v>43891</v>
      </c>
      <c r="D346" s="53">
        <v>43900</v>
      </c>
      <c r="E346" s="53">
        <v>43962</v>
      </c>
      <c r="F346" s="21">
        <f t="shared" si="106"/>
        <v>62</v>
      </c>
      <c r="G346" s="53">
        <v>43900</v>
      </c>
      <c r="H346" s="9">
        <v>2021</v>
      </c>
      <c r="I346" s="50">
        <v>0</v>
      </c>
      <c r="J346" s="50">
        <v>8</v>
      </c>
      <c r="K346" s="50">
        <v>33</v>
      </c>
      <c r="L346" s="72" t="s">
        <v>1706</v>
      </c>
      <c r="M346" s="48"/>
      <c r="V346" t="s">
        <v>958</v>
      </c>
      <c r="AB346">
        <v>-1</v>
      </c>
      <c r="AJ346" s="47">
        <f t="shared" si="104"/>
        <v>33</v>
      </c>
    </row>
    <row r="347" spans="1:38" s="47" customFormat="1" x14ac:dyDescent="0.35">
      <c r="A347" s="50">
        <v>0</v>
      </c>
      <c r="B347" s="9" t="s">
        <v>47</v>
      </c>
      <c r="C347" s="53">
        <v>43891</v>
      </c>
      <c r="D347" s="53">
        <v>43900</v>
      </c>
      <c r="E347" s="53">
        <v>43962</v>
      </c>
      <c r="F347" s="21">
        <f t="shared" si="106"/>
        <v>62</v>
      </c>
      <c r="G347" s="53">
        <v>43900</v>
      </c>
      <c r="H347" s="9">
        <v>2021</v>
      </c>
      <c r="I347" s="50">
        <v>0</v>
      </c>
      <c r="J347" s="50">
        <v>9</v>
      </c>
      <c r="K347" s="50">
        <v>34</v>
      </c>
      <c r="L347" s="56" t="s">
        <v>1707</v>
      </c>
      <c r="M347" s="48"/>
      <c r="V347" t="s">
        <v>958</v>
      </c>
      <c r="AB347">
        <v>-1</v>
      </c>
      <c r="AJ347" s="47">
        <f t="shared" si="104"/>
        <v>34</v>
      </c>
    </row>
    <row r="348" spans="1:38" s="47" customFormat="1" x14ac:dyDescent="0.35">
      <c r="A348" s="50">
        <v>0</v>
      </c>
      <c r="B348" s="9" t="s">
        <v>47</v>
      </c>
      <c r="C348" s="53">
        <v>43891</v>
      </c>
      <c r="D348" s="53">
        <v>43900</v>
      </c>
      <c r="E348" s="53">
        <v>43962</v>
      </c>
      <c r="F348" s="21">
        <f t="shared" ref="F348" si="107">DATEDIF(D348,E348,"D")</f>
        <v>62</v>
      </c>
      <c r="G348" s="53">
        <v>43901</v>
      </c>
      <c r="H348" s="9">
        <v>2021</v>
      </c>
      <c r="I348" s="50">
        <v>0</v>
      </c>
      <c r="J348" s="50">
        <v>9</v>
      </c>
      <c r="K348" s="50">
        <v>34</v>
      </c>
      <c r="L348" s="57" t="s">
        <v>1847</v>
      </c>
      <c r="M348" s="48"/>
      <c r="V348"/>
      <c r="AB348"/>
      <c r="AJ348" s="47">
        <f t="shared" si="104"/>
        <v>34</v>
      </c>
    </row>
    <row r="349" spans="1:38" x14ac:dyDescent="0.35">
      <c r="A349" s="50">
        <v>0</v>
      </c>
      <c r="B349" s="9" t="s">
        <v>50</v>
      </c>
      <c r="C349" s="53">
        <v>43888</v>
      </c>
      <c r="D349" s="53">
        <v>43901</v>
      </c>
      <c r="E349" s="53">
        <v>43969</v>
      </c>
      <c r="F349" s="21">
        <f t="shared" si="106"/>
        <v>68</v>
      </c>
      <c r="G349" s="53">
        <v>43901</v>
      </c>
      <c r="H349" s="9">
        <v>2020</v>
      </c>
      <c r="I349" s="50">
        <v>0</v>
      </c>
      <c r="J349" s="9">
        <v>1</v>
      </c>
      <c r="K349" s="9">
        <v>6</v>
      </c>
      <c r="L349" s="50" t="s">
        <v>414</v>
      </c>
      <c r="M349">
        <v>-2</v>
      </c>
      <c r="N349">
        <v>2</v>
      </c>
      <c r="O349">
        <v>2</v>
      </c>
      <c r="P349">
        <v>2</v>
      </c>
      <c r="Q349">
        <v>2</v>
      </c>
      <c r="R349">
        <v>2</v>
      </c>
      <c r="S349">
        <v>1</v>
      </c>
      <c r="T349">
        <v>2</v>
      </c>
      <c r="U349">
        <v>1</v>
      </c>
      <c r="V349" t="s">
        <v>960</v>
      </c>
      <c r="W349" t="s">
        <v>989</v>
      </c>
      <c r="X349" t="s">
        <v>997</v>
      </c>
      <c r="Y349" t="s">
        <v>1000</v>
      </c>
      <c r="Z349">
        <v>0</v>
      </c>
      <c r="AA349">
        <f t="shared" ref="AA349:AA361" si="108">IF(M349&gt;0,1,IF(M349&lt;0,0,-1))</f>
        <v>0</v>
      </c>
      <c r="AB349">
        <f t="shared" ref="AB349:AB361" si="109">IF(N349&gt;0,1,IF(N349&lt;0,0,-1))</f>
        <v>1</v>
      </c>
      <c r="AC349">
        <f t="shared" ref="AC349:AC361" si="110">IF(O349&gt;0,1,IF(O349&lt;0,0,-1))</f>
        <v>1</v>
      </c>
      <c r="AD349">
        <f t="shared" ref="AD349:AD361" si="111">IF(P349&gt;0,1,IF(P349&lt;0,0,-1))</f>
        <v>1</v>
      </c>
      <c r="AE349">
        <f t="shared" ref="AE349:AE361" si="112">IF(Q349&gt;0,1,IF(Q349&lt;0,0,-1))</f>
        <v>1</v>
      </c>
      <c r="AF349">
        <f t="shared" ref="AF349:AF361" si="113">IF(R349&gt;0,1,IF(R349&lt;0,0,-1))</f>
        <v>1</v>
      </c>
      <c r="AG349">
        <f t="shared" ref="AG349:AG361" si="114">IF(S349&gt;0,1,IF(S349&lt;0,0,-1))</f>
        <v>1</v>
      </c>
      <c r="AH349">
        <f t="shared" ref="AH349:AH361" si="115">IF(T349&gt;0,1,IF(T349&lt;0,0,-1))</f>
        <v>1</v>
      </c>
      <c r="AI349">
        <f t="shared" ref="AI349:AI361" si="116">IF(U349&gt;0,1,IF(U349&lt;0,0,-1))</f>
        <v>1</v>
      </c>
      <c r="AJ349" s="9">
        <f t="shared" si="104"/>
        <v>6</v>
      </c>
      <c r="AK349">
        <f>IF(B349&lt;&gt;B338,1,0)</f>
        <v>1</v>
      </c>
      <c r="AL349" s="9">
        <v>1</v>
      </c>
    </row>
    <row r="350" spans="1:38" x14ac:dyDescent="0.35">
      <c r="A350" s="50">
        <v>0</v>
      </c>
      <c r="B350" s="9" t="s">
        <v>50</v>
      </c>
      <c r="C350" s="53">
        <v>43888</v>
      </c>
      <c r="D350" s="53">
        <v>43901</v>
      </c>
      <c r="E350" s="53">
        <v>43969</v>
      </c>
      <c r="F350" s="21">
        <f t="shared" si="106"/>
        <v>68</v>
      </c>
      <c r="G350" s="53">
        <v>43901</v>
      </c>
      <c r="H350" s="9">
        <v>2020</v>
      </c>
      <c r="I350" s="50">
        <v>0</v>
      </c>
      <c r="J350" s="9">
        <v>6</v>
      </c>
      <c r="K350" s="9">
        <v>29</v>
      </c>
      <c r="L350" s="50" t="s">
        <v>416</v>
      </c>
      <c r="M350">
        <v>1</v>
      </c>
      <c r="N350">
        <v>1</v>
      </c>
      <c r="O350">
        <v>-2</v>
      </c>
      <c r="P350">
        <v>-1</v>
      </c>
      <c r="Q350">
        <v>-1</v>
      </c>
      <c r="R350">
        <v>1</v>
      </c>
      <c r="S350">
        <v>1</v>
      </c>
      <c r="T350">
        <v>-2</v>
      </c>
      <c r="U350">
        <v>1</v>
      </c>
      <c r="V350" t="s">
        <v>960</v>
      </c>
      <c r="W350" t="s">
        <v>989</v>
      </c>
      <c r="X350" t="s">
        <v>997</v>
      </c>
      <c r="Y350" t="s">
        <v>1000</v>
      </c>
      <c r="Z350">
        <v>0</v>
      </c>
      <c r="AA350">
        <f t="shared" si="108"/>
        <v>1</v>
      </c>
      <c r="AB350">
        <f t="shared" si="109"/>
        <v>1</v>
      </c>
      <c r="AC350">
        <f t="shared" si="110"/>
        <v>0</v>
      </c>
      <c r="AD350">
        <f t="shared" si="111"/>
        <v>0</v>
      </c>
      <c r="AE350">
        <f t="shared" si="112"/>
        <v>0</v>
      </c>
      <c r="AF350">
        <f t="shared" si="113"/>
        <v>1</v>
      </c>
      <c r="AG350">
        <f t="shared" si="114"/>
        <v>1</v>
      </c>
      <c r="AH350">
        <f t="shared" si="115"/>
        <v>0</v>
      </c>
      <c r="AI350">
        <f t="shared" si="116"/>
        <v>1</v>
      </c>
      <c r="AJ350" s="9">
        <f t="shared" si="104"/>
        <v>29</v>
      </c>
      <c r="AK350">
        <f t="shared" si="105"/>
        <v>0</v>
      </c>
      <c r="AL350" s="9">
        <v>1</v>
      </c>
    </row>
    <row r="351" spans="1:38" x14ac:dyDescent="0.35">
      <c r="A351" s="50">
        <v>0</v>
      </c>
      <c r="B351" s="9" t="s">
        <v>50</v>
      </c>
      <c r="C351" s="53">
        <v>43888</v>
      </c>
      <c r="D351" s="53">
        <v>43901</v>
      </c>
      <c r="E351" s="53">
        <v>43969</v>
      </c>
      <c r="F351" s="21">
        <f t="shared" si="106"/>
        <v>68</v>
      </c>
      <c r="G351" s="53">
        <v>43901</v>
      </c>
      <c r="H351" s="9">
        <v>2020</v>
      </c>
      <c r="I351" s="50">
        <v>0</v>
      </c>
      <c r="J351" s="9">
        <v>6</v>
      </c>
      <c r="K351" s="9">
        <v>29</v>
      </c>
      <c r="L351" s="50" t="s">
        <v>417</v>
      </c>
      <c r="M351">
        <v>1</v>
      </c>
      <c r="N351">
        <v>1</v>
      </c>
      <c r="O351">
        <v>2</v>
      </c>
      <c r="P351">
        <v>-1</v>
      </c>
      <c r="Q351">
        <v>-1</v>
      </c>
      <c r="R351">
        <v>1</v>
      </c>
      <c r="S351">
        <v>-1</v>
      </c>
      <c r="T351">
        <v>2</v>
      </c>
      <c r="U351">
        <v>1</v>
      </c>
      <c r="V351" t="s">
        <v>960</v>
      </c>
      <c r="W351" t="s">
        <v>989</v>
      </c>
      <c r="X351" t="s">
        <v>997</v>
      </c>
      <c r="Y351" t="s">
        <v>1000</v>
      </c>
      <c r="Z351">
        <v>0</v>
      </c>
      <c r="AA351">
        <f t="shared" si="108"/>
        <v>1</v>
      </c>
      <c r="AB351">
        <f t="shared" si="109"/>
        <v>1</v>
      </c>
      <c r="AC351">
        <f t="shared" si="110"/>
        <v>1</v>
      </c>
      <c r="AD351">
        <f t="shared" si="111"/>
        <v>0</v>
      </c>
      <c r="AE351">
        <f t="shared" si="112"/>
        <v>0</v>
      </c>
      <c r="AF351">
        <f t="shared" si="113"/>
        <v>1</v>
      </c>
      <c r="AG351">
        <f t="shared" si="114"/>
        <v>0</v>
      </c>
      <c r="AH351">
        <f t="shared" si="115"/>
        <v>1</v>
      </c>
      <c r="AI351">
        <f t="shared" si="116"/>
        <v>1</v>
      </c>
      <c r="AJ351" s="9">
        <f t="shared" si="104"/>
        <v>29</v>
      </c>
      <c r="AK351">
        <f t="shared" si="105"/>
        <v>0</v>
      </c>
      <c r="AL351" s="9">
        <v>1</v>
      </c>
    </row>
    <row r="352" spans="1:38" x14ac:dyDescent="0.35">
      <c r="A352" s="50">
        <v>0</v>
      </c>
      <c r="B352" s="9" t="s">
        <v>50</v>
      </c>
      <c r="C352" s="53">
        <v>43888</v>
      </c>
      <c r="D352" s="53">
        <v>43901</v>
      </c>
      <c r="E352" s="53">
        <v>43969</v>
      </c>
      <c r="F352" s="21">
        <f t="shared" si="106"/>
        <v>68</v>
      </c>
      <c r="G352" s="53">
        <v>43901</v>
      </c>
      <c r="H352" s="9">
        <v>2020</v>
      </c>
      <c r="I352" s="50">
        <v>0</v>
      </c>
      <c r="J352" s="9">
        <v>1</v>
      </c>
      <c r="K352" s="9">
        <v>9</v>
      </c>
      <c r="L352" s="50" t="s">
        <v>415</v>
      </c>
      <c r="M352">
        <v>-2</v>
      </c>
      <c r="N352">
        <v>2</v>
      </c>
      <c r="O352">
        <v>2</v>
      </c>
      <c r="P352">
        <v>2</v>
      </c>
      <c r="Q352">
        <v>2</v>
      </c>
      <c r="R352">
        <v>2</v>
      </c>
      <c r="S352">
        <v>-2</v>
      </c>
      <c r="T352">
        <v>2</v>
      </c>
      <c r="U352">
        <v>1</v>
      </c>
      <c r="V352" t="s">
        <v>960</v>
      </c>
      <c r="W352" t="s">
        <v>989</v>
      </c>
      <c r="X352" t="s">
        <v>997</v>
      </c>
      <c r="Y352" t="s">
        <v>1000</v>
      </c>
      <c r="Z352">
        <v>0</v>
      </c>
      <c r="AA352">
        <f t="shared" si="108"/>
        <v>0</v>
      </c>
      <c r="AB352">
        <f t="shared" si="109"/>
        <v>1</v>
      </c>
      <c r="AC352">
        <f t="shared" si="110"/>
        <v>1</v>
      </c>
      <c r="AD352">
        <f t="shared" si="111"/>
        <v>1</v>
      </c>
      <c r="AE352">
        <f t="shared" si="112"/>
        <v>1</v>
      </c>
      <c r="AF352">
        <f t="shared" si="113"/>
        <v>1</v>
      </c>
      <c r="AG352">
        <f t="shared" si="114"/>
        <v>0</v>
      </c>
      <c r="AH352">
        <f t="shared" si="115"/>
        <v>1</v>
      </c>
      <c r="AI352">
        <f t="shared" si="116"/>
        <v>1</v>
      </c>
      <c r="AJ352" s="9">
        <f t="shared" si="104"/>
        <v>9</v>
      </c>
      <c r="AK352">
        <f t="shared" si="105"/>
        <v>0</v>
      </c>
      <c r="AL352" s="9">
        <v>1</v>
      </c>
    </row>
    <row r="353" spans="1:38" x14ac:dyDescent="0.35">
      <c r="A353" s="50">
        <v>0</v>
      </c>
      <c r="B353" s="9" t="s">
        <v>50</v>
      </c>
      <c r="C353" s="53">
        <v>43888</v>
      </c>
      <c r="D353" s="53">
        <v>43901</v>
      </c>
      <c r="E353" s="53">
        <v>43969</v>
      </c>
      <c r="F353" s="21">
        <f t="shared" si="106"/>
        <v>68</v>
      </c>
      <c r="G353" s="53">
        <v>43901</v>
      </c>
      <c r="H353" s="9">
        <v>2020</v>
      </c>
      <c r="I353" s="50">
        <v>0</v>
      </c>
      <c r="J353" s="9">
        <v>6</v>
      </c>
      <c r="K353" s="9">
        <v>28</v>
      </c>
      <c r="L353" s="50" t="s">
        <v>1740</v>
      </c>
      <c r="M353">
        <v>1</v>
      </c>
      <c r="N353">
        <v>1</v>
      </c>
      <c r="O353">
        <v>-2</v>
      </c>
      <c r="P353">
        <v>-1</v>
      </c>
      <c r="Q353">
        <v>-1</v>
      </c>
      <c r="R353">
        <v>2</v>
      </c>
      <c r="S353">
        <v>1</v>
      </c>
      <c r="T353">
        <v>-2</v>
      </c>
      <c r="U353">
        <v>1</v>
      </c>
      <c r="V353" t="s">
        <v>960</v>
      </c>
      <c r="W353" t="s">
        <v>989</v>
      </c>
      <c r="X353" t="s">
        <v>997</v>
      </c>
      <c r="Y353" t="s">
        <v>1000</v>
      </c>
      <c r="Z353">
        <v>0</v>
      </c>
      <c r="AA353">
        <f t="shared" si="108"/>
        <v>1</v>
      </c>
      <c r="AB353">
        <f t="shared" si="109"/>
        <v>1</v>
      </c>
      <c r="AC353">
        <f t="shared" si="110"/>
        <v>0</v>
      </c>
      <c r="AD353">
        <f t="shared" si="111"/>
        <v>0</v>
      </c>
      <c r="AE353">
        <f t="shared" si="112"/>
        <v>0</v>
      </c>
      <c r="AF353">
        <f t="shared" si="113"/>
        <v>1</v>
      </c>
      <c r="AG353">
        <f t="shared" si="114"/>
        <v>1</v>
      </c>
      <c r="AH353">
        <f t="shared" si="115"/>
        <v>0</v>
      </c>
      <c r="AI353">
        <f t="shared" si="116"/>
        <v>1</v>
      </c>
      <c r="AJ353" s="9">
        <f t="shared" si="104"/>
        <v>28</v>
      </c>
      <c r="AK353">
        <f t="shared" si="105"/>
        <v>0</v>
      </c>
      <c r="AL353" s="9">
        <v>1</v>
      </c>
    </row>
    <row r="354" spans="1:38" x14ac:dyDescent="0.35">
      <c r="A354" s="50">
        <v>0</v>
      </c>
      <c r="B354" s="9" t="s">
        <v>50</v>
      </c>
      <c r="C354" s="53">
        <v>43888</v>
      </c>
      <c r="D354" s="53">
        <v>43901</v>
      </c>
      <c r="E354" s="53">
        <v>43969</v>
      </c>
      <c r="F354" s="21">
        <f t="shared" si="106"/>
        <v>68</v>
      </c>
      <c r="G354" s="53">
        <v>43901</v>
      </c>
      <c r="H354" s="9">
        <v>2020</v>
      </c>
      <c r="I354" s="50">
        <v>0</v>
      </c>
      <c r="J354" s="9">
        <v>6</v>
      </c>
      <c r="K354" s="9">
        <v>29</v>
      </c>
      <c r="L354" s="50" t="s">
        <v>1741</v>
      </c>
      <c r="M354">
        <v>1</v>
      </c>
      <c r="N354">
        <v>1</v>
      </c>
      <c r="O354">
        <v>2</v>
      </c>
      <c r="P354">
        <v>-1</v>
      </c>
      <c r="Q354">
        <v>-1</v>
      </c>
      <c r="R354">
        <v>1</v>
      </c>
      <c r="S354">
        <v>-1</v>
      </c>
      <c r="T354">
        <v>-2</v>
      </c>
      <c r="U354">
        <v>1</v>
      </c>
      <c r="V354" t="s">
        <v>960</v>
      </c>
      <c r="W354" t="s">
        <v>989</v>
      </c>
      <c r="X354" t="s">
        <v>997</v>
      </c>
      <c r="Y354" t="s">
        <v>1000</v>
      </c>
      <c r="Z354">
        <v>0</v>
      </c>
      <c r="AA354">
        <f t="shared" si="108"/>
        <v>1</v>
      </c>
      <c r="AB354">
        <f t="shared" si="109"/>
        <v>1</v>
      </c>
      <c r="AC354">
        <f t="shared" si="110"/>
        <v>1</v>
      </c>
      <c r="AD354">
        <f t="shared" si="111"/>
        <v>0</v>
      </c>
      <c r="AE354">
        <f t="shared" si="112"/>
        <v>0</v>
      </c>
      <c r="AF354">
        <f t="shared" si="113"/>
        <v>1</v>
      </c>
      <c r="AG354">
        <f t="shared" si="114"/>
        <v>0</v>
      </c>
      <c r="AH354">
        <f t="shared" si="115"/>
        <v>0</v>
      </c>
      <c r="AI354">
        <f t="shared" si="116"/>
        <v>1</v>
      </c>
      <c r="AJ354" s="9">
        <f t="shared" si="104"/>
        <v>29</v>
      </c>
      <c r="AK354">
        <f t="shared" si="105"/>
        <v>0</v>
      </c>
      <c r="AL354" s="9">
        <v>1</v>
      </c>
    </row>
    <row r="355" spans="1:38" x14ac:dyDescent="0.35">
      <c r="A355" s="50">
        <v>0</v>
      </c>
      <c r="B355" s="9" t="s">
        <v>50</v>
      </c>
      <c r="C355" s="53">
        <v>43888</v>
      </c>
      <c r="D355" s="53">
        <v>43901</v>
      </c>
      <c r="E355" s="53">
        <v>43969</v>
      </c>
      <c r="F355" s="21">
        <f t="shared" si="106"/>
        <v>68</v>
      </c>
      <c r="G355" s="53">
        <v>43901</v>
      </c>
      <c r="H355" s="9">
        <v>2020</v>
      </c>
      <c r="I355" s="50">
        <v>0</v>
      </c>
      <c r="J355" s="9">
        <v>1</v>
      </c>
      <c r="K355" s="9">
        <v>10</v>
      </c>
      <c r="L355" s="50" t="s">
        <v>1742</v>
      </c>
      <c r="M355">
        <v>2</v>
      </c>
      <c r="N355">
        <v>2</v>
      </c>
      <c r="O355">
        <v>2</v>
      </c>
      <c r="P355">
        <v>2</v>
      </c>
      <c r="Q355">
        <v>2</v>
      </c>
      <c r="R355">
        <v>2</v>
      </c>
      <c r="S355">
        <v>-2</v>
      </c>
      <c r="U355">
        <v>1</v>
      </c>
      <c r="V355" t="s">
        <v>960</v>
      </c>
      <c r="W355" t="s">
        <v>989</v>
      </c>
      <c r="X355" t="s">
        <v>997</v>
      </c>
      <c r="Y355" t="s">
        <v>1000</v>
      </c>
      <c r="Z355">
        <v>0</v>
      </c>
      <c r="AA355">
        <f t="shared" si="108"/>
        <v>1</v>
      </c>
      <c r="AB355">
        <f t="shared" si="109"/>
        <v>1</v>
      </c>
      <c r="AC355">
        <f t="shared" si="110"/>
        <v>1</v>
      </c>
      <c r="AD355">
        <f t="shared" si="111"/>
        <v>1</v>
      </c>
      <c r="AE355">
        <f t="shared" si="112"/>
        <v>1</v>
      </c>
      <c r="AF355">
        <f t="shared" si="113"/>
        <v>1</v>
      </c>
      <c r="AG355">
        <f t="shared" si="114"/>
        <v>0</v>
      </c>
      <c r="AH355">
        <f t="shared" si="115"/>
        <v>-1</v>
      </c>
      <c r="AI355">
        <f t="shared" si="116"/>
        <v>1</v>
      </c>
      <c r="AJ355" s="9">
        <f t="shared" si="104"/>
        <v>10</v>
      </c>
      <c r="AK355">
        <f t="shared" si="105"/>
        <v>0</v>
      </c>
      <c r="AL355" s="9">
        <v>1</v>
      </c>
    </row>
    <row r="356" spans="1:38" x14ac:dyDescent="0.35">
      <c r="A356" s="50">
        <v>0</v>
      </c>
      <c r="B356" s="9" t="s">
        <v>50</v>
      </c>
      <c r="C356" s="53">
        <v>43888</v>
      </c>
      <c r="D356" s="53">
        <v>43901</v>
      </c>
      <c r="E356" s="53">
        <v>43969</v>
      </c>
      <c r="F356" s="21">
        <f t="shared" si="106"/>
        <v>68</v>
      </c>
      <c r="G356" s="53">
        <v>43901</v>
      </c>
      <c r="H356" s="9">
        <v>2020</v>
      </c>
      <c r="I356" s="50">
        <v>0</v>
      </c>
      <c r="J356" s="9">
        <v>6</v>
      </c>
      <c r="K356" s="9">
        <v>28</v>
      </c>
      <c r="L356" s="50" t="s">
        <v>1743</v>
      </c>
      <c r="M356">
        <v>1</v>
      </c>
      <c r="N356">
        <v>1</v>
      </c>
      <c r="O356">
        <v>-2</v>
      </c>
      <c r="P356">
        <v>-1</v>
      </c>
      <c r="Q356">
        <v>-2</v>
      </c>
      <c r="R356">
        <v>2</v>
      </c>
      <c r="S356">
        <v>1</v>
      </c>
      <c r="T356">
        <v>2</v>
      </c>
      <c r="U356">
        <v>1</v>
      </c>
      <c r="V356" t="s">
        <v>960</v>
      </c>
      <c r="W356" t="s">
        <v>989</v>
      </c>
      <c r="X356" t="s">
        <v>997</v>
      </c>
      <c r="Y356" t="s">
        <v>1000</v>
      </c>
      <c r="Z356">
        <v>0</v>
      </c>
      <c r="AA356">
        <f t="shared" si="108"/>
        <v>1</v>
      </c>
      <c r="AB356">
        <f t="shared" si="109"/>
        <v>1</v>
      </c>
      <c r="AC356">
        <f t="shared" si="110"/>
        <v>0</v>
      </c>
      <c r="AD356">
        <f t="shared" si="111"/>
        <v>0</v>
      </c>
      <c r="AE356">
        <f t="shared" si="112"/>
        <v>0</v>
      </c>
      <c r="AF356">
        <f t="shared" si="113"/>
        <v>1</v>
      </c>
      <c r="AG356">
        <f t="shared" si="114"/>
        <v>1</v>
      </c>
      <c r="AH356">
        <f t="shared" si="115"/>
        <v>1</v>
      </c>
      <c r="AI356">
        <f t="shared" si="116"/>
        <v>1</v>
      </c>
      <c r="AJ356" s="9">
        <f t="shared" si="104"/>
        <v>28</v>
      </c>
      <c r="AK356">
        <f t="shared" si="105"/>
        <v>0</v>
      </c>
      <c r="AL356" s="9">
        <v>1</v>
      </c>
    </row>
    <row r="357" spans="1:38" x14ac:dyDescent="0.35">
      <c r="A357" s="50">
        <v>0</v>
      </c>
      <c r="B357" s="9" t="s">
        <v>50</v>
      </c>
      <c r="C357" s="53">
        <v>43888</v>
      </c>
      <c r="D357" s="53">
        <v>43901</v>
      </c>
      <c r="E357" s="53">
        <v>43969</v>
      </c>
      <c r="F357" s="21">
        <f t="shared" si="106"/>
        <v>68</v>
      </c>
      <c r="G357" s="53">
        <v>43901</v>
      </c>
      <c r="H357" s="9">
        <v>2020</v>
      </c>
      <c r="I357" s="50">
        <v>0</v>
      </c>
      <c r="J357" s="9">
        <v>1</v>
      </c>
      <c r="K357" s="9">
        <v>6</v>
      </c>
      <c r="L357" s="50" t="s">
        <v>1744</v>
      </c>
      <c r="M357">
        <v>-2</v>
      </c>
      <c r="N357">
        <v>2</v>
      </c>
      <c r="O357">
        <v>2</v>
      </c>
      <c r="P357">
        <v>2</v>
      </c>
      <c r="Q357">
        <v>2</v>
      </c>
      <c r="R357">
        <v>2</v>
      </c>
      <c r="S357">
        <v>1</v>
      </c>
      <c r="T357">
        <v>2</v>
      </c>
      <c r="U357">
        <v>1</v>
      </c>
      <c r="V357" t="s">
        <v>960</v>
      </c>
      <c r="W357" t="s">
        <v>989</v>
      </c>
      <c r="X357" t="s">
        <v>997</v>
      </c>
      <c r="Y357" t="s">
        <v>1000</v>
      </c>
      <c r="Z357">
        <v>0</v>
      </c>
      <c r="AA357">
        <f t="shared" si="108"/>
        <v>0</v>
      </c>
      <c r="AB357">
        <f t="shared" si="109"/>
        <v>1</v>
      </c>
      <c r="AC357">
        <f t="shared" si="110"/>
        <v>1</v>
      </c>
      <c r="AD357">
        <f t="shared" si="111"/>
        <v>1</v>
      </c>
      <c r="AE357">
        <f t="shared" si="112"/>
        <v>1</v>
      </c>
      <c r="AF357">
        <f t="shared" si="113"/>
        <v>1</v>
      </c>
      <c r="AG357">
        <f t="shared" si="114"/>
        <v>1</v>
      </c>
      <c r="AH357">
        <f t="shared" si="115"/>
        <v>1</v>
      </c>
      <c r="AI357">
        <f t="shared" si="116"/>
        <v>1</v>
      </c>
      <c r="AJ357" s="9">
        <f t="shared" si="104"/>
        <v>6</v>
      </c>
      <c r="AK357">
        <f t="shared" si="105"/>
        <v>0</v>
      </c>
      <c r="AL357" s="9">
        <v>1</v>
      </c>
    </row>
    <row r="358" spans="1:38" x14ac:dyDescent="0.35">
      <c r="A358" s="50">
        <v>0</v>
      </c>
      <c r="B358" s="9" t="s">
        <v>50</v>
      </c>
      <c r="C358" s="53">
        <v>43888</v>
      </c>
      <c r="D358" s="53">
        <v>43901</v>
      </c>
      <c r="E358" s="53">
        <v>43969</v>
      </c>
      <c r="F358" s="21">
        <f t="shared" si="106"/>
        <v>68</v>
      </c>
      <c r="G358" s="53">
        <v>43901</v>
      </c>
      <c r="H358" s="9">
        <v>2020</v>
      </c>
      <c r="I358" s="50">
        <v>0</v>
      </c>
      <c r="J358" s="9">
        <v>7</v>
      </c>
      <c r="K358" s="9">
        <v>30</v>
      </c>
      <c r="L358" s="50" t="s">
        <v>1745</v>
      </c>
      <c r="M358">
        <v>1</v>
      </c>
      <c r="N358">
        <v>1</v>
      </c>
      <c r="O358">
        <v>2</v>
      </c>
      <c r="P358">
        <v>1</v>
      </c>
      <c r="Q358">
        <v>1</v>
      </c>
      <c r="R358">
        <v>1</v>
      </c>
      <c r="S358">
        <v>1</v>
      </c>
      <c r="T358">
        <v>-2</v>
      </c>
      <c r="U358">
        <v>1</v>
      </c>
      <c r="V358" t="s">
        <v>960</v>
      </c>
      <c r="W358" t="s">
        <v>989</v>
      </c>
      <c r="X358" t="s">
        <v>997</v>
      </c>
      <c r="Y358" t="s">
        <v>1000</v>
      </c>
      <c r="Z358">
        <v>0</v>
      </c>
      <c r="AA358">
        <f t="shared" si="108"/>
        <v>1</v>
      </c>
      <c r="AB358">
        <f t="shared" si="109"/>
        <v>1</v>
      </c>
      <c r="AC358">
        <f t="shared" si="110"/>
        <v>1</v>
      </c>
      <c r="AD358">
        <f t="shared" si="111"/>
        <v>1</v>
      </c>
      <c r="AE358">
        <f t="shared" si="112"/>
        <v>1</v>
      </c>
      <c r="AF358">
        <f t="shared" si="113"/>
        <v>1</v>
      </c>
      <c r="AG358">
        <f t="shared" si="114"/>
        <v>1</v>
      </c>
      <c r="AH358">
        <f t="shared" si="115"/>
        <v>0</v>
      </c>
      <c r="AI358">
        <f t="shared" si="116"/>
        <v>1</v>
      </c>
      <c r="AJ358" s="9">
        <f t="shared" si="104"/>
        <v>30</v>
      </c>
      <c r="AK358">
        <f t="shared" si="105"/>
        <v>0</v>
      </c>
      <c r="AL358" s="9">
        <v>1</v>
      </c>
    </row>
    <row r="359" spans="1:38" x14ac:dyDescent="0.35">
      <c r="A359" s="50">
        <v>0</v>
      </c>
      <c r="B359" s="9" t="s">
        <v>50</v>
      </c>
      <c r="C359" s="53">
        <v>43888</v>
      </c>
      <c r="D359" s="53">
        <v>43901</v>
      </c>
      <c r="E359" s="53">
        <v>43969</v>
      </c>
      <c r="F359" s="21">
        <f t="shared" si="106"/>
        <v>68</v>
      </c>
      <c r="G359" s="53">
        <v>43901</v>
      </c>
      <c r="H359" s="9">
        <v>2020</v>
      </c>
      <c r="I359" s="50">
        <v>0</v>
      </c>
      <c r="J359" s="9">
        <v>1</v>
      </c>
      <c r="K359" s="9">
        <v>6</v>
      </c>
      <c r="L359" s="50" t="s">
        <v>1746</v>
      </c>
      <c r="M359">
        <v>-2</v>
      </c>
      <c r="N359">
        <v>2</v>
      </c>
      <c r="O359">
        <v>2</v>
      </c>
      <c r="P359">
        <v>2</v>
      </c>
      <c r="Q359">
        <v>2</v>
      </c>
      <c r="R359">
        <v>2</v>
      </c>
      <c r="S359">
        <v>1</v>
      </c>
      <c r="T359">
        <v>2</v>
      </c>
      <c r="U359">
        <v>1</v>
      </c>
      <c r="V359" t="s">
        <v>960</v>
      </c>
      <c r="W359" t="s">
        <v>989</v>
      </c>
      <c r="X359" t="s">
        <v>997</v>
      </c>
      <c r="Y359" t="s">
        <v>1000</v>
      </c>
      <c r="Z359">
        <v>0</v>
      </c>
      <c r="AA359">
        <f t="shared" si="108"/>
        <v>0</v>
      </c>
      <c r="AB359">
        <f t="shared" si="109"/>
        <v>1</v>
      </c>
      <c r="AC359">
        <f t="shared" si="110"/>
        <v>1</v>
      </c>
      <c r="AD359">
        <f t="shared" si="111"/>
        <v>1</v>
      </c>
      <c r="AE359">
        <f t="shared" si="112"/>
        <v>1</v>
      </c>
      <c r="AF359">
        <f t="shared" si="113"/>
        <v>1</v>
      </c>
      <c r="AG359">
        <f t="shared" si="114"/>
        <v>1</v>
      </c>
      <c r="AH359">
        <f t="shared" si="115"/>
        <v>1</v>
      </c>
      <c r="AI359">
        <f t="shared" si="116"/>
        <v>1</v>
      </c>
      <c r="AJ359" s="9">
        <f t="shared" si="104"/>
        <v>6</v>
      </c>
      <c r="AK359">
        <f t="shared" si="105"/>
        <v>0</v>
      </c>
      <c r="AL359" s="9">
        <v>1</v>
      </c>
    </row>
    <row r="360" spans="1:38" x14ac:dyDescent="0.35">
      <c r="A360" s="50">
        <v>0</v>
      </c>
      <c r="B360" s="9" t="s">
        <v>50</v>
      </c>
      <c r="C360" s="53">
        <v>43888</v>
      </c>
      <c r="D360" s="53">
        <v>43901</v>
      </c>
      <c r="E360" s="53">
        <v>43969</v>
      </c>
      <c r="F360" s="21">
        <f t="shared" si="106"/>
        <v>68</v>
      </c>
      <c r="G360" s="53">
        <v>43901</v>
      </c>
      <c r="H360" s="9">
        <v>2020</v>
      </c>
      <c r="I360" s="50">
        <v>0</v>
      </c>
      <c r="J360" s="9">
        <v>7</v>
      </c>
      <c r="K360" s="9" t="s">
        <v>201</v>
      </c>
      <c r="L360" s="50" t="s">
        <v>1747</v>
      </c>
      <c r="M360">
        <v>1</v>
      </c>
      <c r="N360">
        <v>1</v>
      </c>
      <c r="O360">
        <v>2</v>
      </c>
      <c r="P360">
        <v>1</v>
      </c>
      <c r="Q360">
        <v>-2</v>
      </c>
      <c r="R360">
        <v>1</v>
      </c>
      <c r="S360">
        <v>-1</v>
      </c>
      <c r="T360">
        <v>1</v>
      </c>
      <c r="U360">
        <v>1</v>
      </c>
      <c r="V360" t="s">
        <v>960</v>
      </c>
      <c r="W360" t="s">
        <v>989</v>
      </c>
      <c r="X360" t="s">
        <v>997</v>
      </c>
      <c r="Y360" t="s">
        <v>1000</v>
      </c>
      <c r="Z360">
        <v>0</v>
      </c>
      <c r="AA360">
        <f t="shared" si="108"/>
        <v>1</v>
      </c>
      <c r="AB360">
        <f t="shared" si="109"/>
        <v>1</v>
      </c>
      <c r="AC360">
        <f t="shared" si="110"/>
        <v>1</v>
      </c>
      <c r="AD360">
        <f t="shared" si="111"/>
        <v>1</v>
      </c>
      <c r="AE360">
        <f t="shared" si="112"/>
        <v>0</v>
      </c>
      <c r="AF360">
        <f t="shared" si="113"/>
        <v>1</v>
      </c>
      <c r="AG360">
        <f t="shared" si="114"/>
        <v>0</v>
      </c>
      <c r="AH360">
        <f t="shared" si="115"/>
        <v>1</v>
      </c>
      <c r="AI360">
        <f t="shared" si="116"/>
        <v>1</v>
      </c>
      <c r="AJ360" s="9" t="str">
        <f t="shared" si="104"/>
        <v>Other</v>
      </c>
      <c r="AK360">
        <f t="shared" si="105"/>
        <v>0</v>
      </c>
      <c r="AL360" s="9">
        <v>1</v>
      </c>
    </row>
    <row r="361" spans="1:38" x14ac:dyDescent="0.35">
      <c r="A361" s="50">
        <v>0</v>
      </c>
      <c r="B361" s="9" t="s">
        <v>50</v>
      </c>
      <c r="C361" s="53">
        <v>43888</v>
      </c>
      <c r="D361" s="53">
        <v>43901</v>
      </c>
      <c r="E361" s="53">
        <v>43969</v>
      </c>
      <c r="F361" s="21">
        <f t="shared" si="106"/>
        <v>68</v>
      </c>
      <c r="G361" s="53">
        <v>43901</v>
      </c>
      <c r="H361" s="9">
        <v>2020</v>
      </c>
      <c r="I361" s="50">
        <v>0</v>
      </c>
      <c r="J361" s="9">
        <v>1</v>
      </c>
      <c r="K361" s="9">
        <v>6</v>
      </c>
      <c r="L361" s="50" t="s">
        <v>1748</v>
      </c>
      <c r="M361">
        <v>-2</v>
      </c>
      <c r="N361">
        <v>2</v>
      </c>
      <c r="O361">
        <v>2</v>
      </c>
      <c r="P361">
        <v>2</v>
      </c>
      <c r="Q361">
        <v>2</v>
      </c>
      <c r="R361">
        <v>2</v>
      </c>
      <c r="S361">
        <v>1</v>
      </c>
      <c r="T361">
        <v>2</v>
      </c>
      <c r="U361">
        <v>1</v>
      </c>
      <c r="V361" t="s">
        <v>960</v>
      </c>
      <c r="W361" t="s">
        <v>989</v>
      </c>
      <c r="X361" t="s">
        <v>997</v>
      </c>
      <c r="Y361" t="s">
        <v>1000</v>
      </c>
      <c r="Z361">
        <v>0</v>
      </c>
      <c r="AA361">
        <f t="shared" si="108"/>
        <v>0</v>
      </c>
      <c r="AB361">
        <f t="shared" si="109"/>
        <v>1</v>
      </c>
      <c r="AC361">
        <f t="shared" si="110"/>
        <v>1</v>
      </c>
      <c r="AD361">
        <f t="shared" si="111"/>
        <v>1</v>
      </c>
      <c r="AE361">
        <f t="shared" si="112"/>
        <v>1</v>
      </c>
      <c r="AF361">
        <f t="shared" si="113"/>
        <v>1</v>
      </c>
      <c r="AG361">
        <f t="shared" si="114"/>
        <v>1</v>
      </c>
      <c r="AH361">
        <f t="shared" si="115"/>
        <v>1</v>
      </c>
      <c r="AI361">
        <f t="shared" si="116"/>
        <v>1</v>
      </c>
      <c r="AJ361" s="9">
        <f t="shared" si="104"/>
        <v>6</v>
      </c>
      <c r="AK361">
        <f t="shared" si="105"/>
        <v>0</v>
      </c>
      <c r="AL361" s="9">
        <v>0</v>
      </c>
    </row>
    <row r="362" spans="1:38" x14ac:dyDescent="0.35">
      <c r="A362" s="50">
        <v>0</v>
      </c>
      <c r="B362" s="50" t="s">
        <v>50</v>
      </c>
      <c r="C362" s="53">
        <v>43888</v>
      </c>
      <c r="D362" s="53">
        <v>43901</v>
      </c>
      <c r="E362" s="53">
        <v>43969</v>
      </c>
      <c r="F362" s="21">
        <f t="shared" si="106"/>
        <v>68</v>
      </c>
      <c r="G362" s="53">
        <v>43901</v>
      </c>
      <c r="H362" s="9">
        <v>2020</v>
      </c>
      <c r="I362" s="50">
        <v>0</v>
      </c>
      <c r="J362" s="50">
        <v>7</v>
      </c>
      <c r="K362" s="50">
        <v>30</v>
      </c>
      <c r="L362" s="24" t="s">
        <v>1749</v>
      </c>
      <c r="M362" s="24"/>
      <c r="V362" t="s">
        <v>960</v>
      </c>
      <c r="W362" t="s">
        <v>989</v>
      </c>
      <c r="X362" t="s">
        <v>997</v>
      </c>
      <c r="Y362" t="s">
        <v>1000</v>
      </c>
      <c r="Z362">
        <v>0</v>
      </c>
      <c r="AA362">
        <v>-1</v>
      </c>
      <c r="AB362">
        <v>-1</v>
      </c>
      <c r="AC362">
        <v>-1</v>
      </c>
      <c r="AD362">
        <v>-1</v>
      </c>
      <c r="AE362">
        <v>-1</v>
      </c>
      <c r="AF362">
        <v>-1</v>
      </c>
      <c r="AG362">
        <v>-1</v>
      </c>
      <c r="AH362">
        <v>-1</v>
      </c>
      <c r="AI362">
        <v>-1</v>
      </c>
      <c r="AJ362" s="9">
        <f t="shared" si="104"/>
        <v>30</v>
      </c>
      <c r="AK362" t="e">
        <f>IF(B362&lt;&gt;#REF!,1,0)</f>
        <v>#REF!</v>
      </c>
      <c r="AL362" s="9">
        <v>0</v>
      </c>
    </row>
    <row r="363" spans="1:38" x14ac:dyDescent="0.35">
      <c r="A363" s="50">
        <v>0</v>
      </c>
      <c r="B363" s="50" t="s">
        <v>50</v>
      </c>
      <c r="C363" s="53">
        <v>43888</v>
      </c>
      <c r="D363" s="53">
        <v>43901</v>
      </c>
      <c r="E363" s="53">
        <v>43969</v>
      </c>
      <c r="F363" s="21">
        <f t="shared" si="106"/>
        <v>68</v>
      </c>
      <c r="G363" s="53">
        <v>43901</v>
      </c>
      <c r="H363" s="9">
        <v>2020</v>
      </c>
      <c r="I363" s="50">
        <v>0</v>
      </c>
      <c r="J363" s="50">
        <v>1</v>
      </c>
      <c r="K363" s="50">
        <v>4</v>
      </c>
      <c r="L363" s="24" t="s">
        <v>1750</v>
      </c>
      <c r="M363" s="24"/>
      <c r="V363" t="s">
        <v>960</v>
      </c>
      <c r="W363" t="s">
        <v>989</v>
      </c>
      <c r="X363" t="s">
        <v>997</v>
      </c>
      <c r="Y363" t="s">
        <v>1000</v>
      </c>
      <c r="Z363">
        <v>0</v>
      </c>
      <c r="AA363">
        <v>-1</v>
      </c>
      <c r="AB363">
        <v>-1</v>
      </c>
      <c r="AC363">
        <v>-1</v>
      </c>
      <c r="AD363">
        <v>-1</v>
      </c>
      <c r="AE363">
        <v>-1</v>
      </c>
      <c r="AF363">
        <v>-1</v>
      </c>
      <c r="AG363">
        <v>-1</v>
      </c>
      <c r="AH363">
        <v>-1</v>
      </c>
      <c r="AI363">
        <v>-1</v>
      </c>
      <c r="AJ363" s="9">
        <f t="shared" si="104"/>
        <v>4</v>
      </c>
      <c r="AK363">
        <f t="shared" si="105"/>
        <v>0</v>
      </c>
      <c r="AL363" s="9">
        <v>0</v>
      </c>
    </row>
    <row r="364" spans="1:38" x14ac:dyDescent="0.35">
      <c r="A364" s="50">
        <v>0</v>
      </c>
      <c r="B364" s="50" t="s">
        <v>50</v>
      </c>
      <c r="C364" s="53">
        <v>43888</v>
      </c>
      <c r="D364" s="53">
        <v>43901</v>
      </c>
      <c r="E364" s="53">
        <v>43969</v>
      </c>
      <c r="F364" s="21">
        <f t="shared" si="106"/>
        <v>68</v>
      </c>
      <c r="G364" s="53">
        <v>43901</v>
      </c>
      <c r="H364" s="9">
        <v>2020</v>
      </c>
      <c r="I364" s="50">
        <v>0</v>
      </c>
      <c r="J364" s="50">
        <v>7</v>
      </c>
      <c r="K364" s="50">
        <v>30</v>
      </c>
      <c r="L364" s="24" t="s">
        <v>1751</v>
      </c>
      <c r="M364" s="24"/>
      <c r="V364" t="s">
        <v>960</v>
      </c>
      <c r="W364" t="s">
        <v>989</v>
      </c>
      <c r="X364" t="s">
        <v>997</v>
      </c>
      <c r="Y364" t="s">
        <v>1000</v>
      </c>
      <c r="Z364">
        <v>0</v>
      </c>
      <c r="AA364">
        <v>-1</v>
      </c>
      <c r="AB364">
        <v>-1</v>
      </c>
      <c r="AC364">
        <v>-1</v>
      </c>
      <c r="AD364">
        <v>-1</v>
      </c>
      <c r="AE364">
        <v>-1</v>
      </c>
      <c r="AF364">
        <v>-1</v>
      </c>
      <c r="AG364">
        <v>-1</v>
      </c>
      <c r="AH364">
        <v>-1</v>
      </c>
      <c r="AI364">
        <v>-1</v>
      </c>
      <c r="AJ364" s="9">
        <f t="shared" si="104"/>
        <v>30</v>
      </c>
      <c r="AK364">
        <f t="shared" si="105"/>
        <v>0</v>
      </c>
      <c r="AL364" s="9">
        <v>0</v>
      </c>
    </row>
    <row r="365" spans="1:38" x14ac:dyDescent="0.35">
      <c r="A365" s="50">
        <v>0</v>
      </c>
      <c r="B365" s="50" t="s">
        <v>50</v>
      </c>
      <c r="C365" s="53">
        <v>43888</v>
      </c>
      <c r="D365" s="53">
        <v>43901</v>
      </c>
      <c r="E365" s="53">
        <v>43969</v>
      </c>
      <c r="F365" s="21">
        <f t="shared" si="106"/>
        <v>68</v>
      </c>
      <c r="G365" s="53">
        <v>43901</v>
      </c>
      <c r="H365" s="9">
        <v>2020</v>
      </c>
      <c r="I365" s="50">
        <v>0</v>
      </c>
      <c r="J365" s="50">
        <v>6</v>
      </c>
      <c r="K365" s="50">
        <v>25</v>
      </c>
      <c r="L365" s="24" t="s">
        <v>1752</v>
      </c>
      <c r="M365" s="24"/>
      <c r="V365" t="s">
        <v>960</v>
      </c>
      <c r="W365" t="s">
        <v>989</v>
      </c>
      <c r="X365" t="s">
        <v>997</v>
      </c>
      <c r="Y365" t="s">
        <v>1000</v>
      </c>
      <c r="Z365">
        <v>0</v>
      </c>
      <c r="AA365">
        <v>-1</v>
      </c>
      <c r="AB365">
        <v>-1</v>
      </c>
      <c r="AC365">
        <v>-1</v>
      </c>
      <c r="AD365">
        <v>-1</v>
      </c>
      <c r="AE365">
        <v>-1</v>
      </c>
      <c r="AF365">
        <v>-1</v>
      </c>
      <c r="AG365">
        <v>-1</v>
      </c>
      <c r="AH365">
        <v>-1</v>
      </c>
      <c r="AI365">
        <v>-1</v>
      </c>
      <c r="AJ365" s="9">
        <f t="shared" si="104"/>
        <v>25</v>
      </c>
      <c r="AK365" t="e">
        <f>IF(B365&lt;&gt;#REF!,1,0)</f>
        <v>#REF!</v>
      </c>
      <c r="AL365" s="9">
        <v>0</v>
      </c>
    </row>
    <row r="366" spans="1:38" x14ac:dyDescent="0.35">
      <c r="A366" s="50">
        <v>0</v>
      </c>
      <c r="B366" s="50" t="s">
        <v>50</v>
      </c>
      <c r="C366" s="53">
        <v>43888</v>
      </c>
      <c r="D366" s="53">
        <v>43901</v>
      </c>
      <c r="E366" s="53">
        <v>43969</v>
      </c>
      <c r="F366" s="21">
        <f t="shared" si="106"/>
        <v>68</v>
      </c>
      <c r="G366" s="53">
        <v>43901</v>
      </c>
      <c r="H366" s="9">
        <v>2020</v>
      </c>
      <c r="I366" s="50">
        <v>0</v>
      </c>
      <c r="J366" s="50">
        <v>6</v>
      </c>
      <c r="K366" s="50">
        <v>29</v>
      </c>
      <c r="L366" s="24" t="s">
        <v>1341</v>
      </c>
      <c r="M366" s="24"/>
      <c r="V366" t="s">
        <v>960</v>
      </c>
      <c r="W366" t="s">
        <v>989</v>
      </c>
      <c r="X366" t="s">
        <v>997</v>
      </c>
      <c r="Y366" t="s">
        <v>1000</v>
      </c>
      <c r="Z366">
        <v>0</v>
      </c>
      <c r="AA366">
        <v>-1</v>
      </c>
      <c r="AB366">
        <v>-1</v>
      </c>
      <c r="AC366">
        <v>-1</v>
      </c>
      <c r="AD366">
        <v>-1</v>
      </c>
      <c r="AE366">
        <v>-1</v>
      </c>
      <c r="AF366">
        <v>-1</v>
      </c>
      <c r="AG366">
        <v>-1</v>
      </c>
      <c r="AH366">
        <v>-1</v>
      </c>
      <c r="AI366">
        <v>-1</v>
      </c>
      <c r="AJ366" s="9">
        <f t="shared" si="104"/>
        <v>29</v>
      </c>
      <c r="AK366">
        <f t="shared" si="105"/>
        <v>0</v>
      </c>
      <c r="AL366" s="9">
        <v>0</v>
      </c>
    </row>
    <row r="367" spans="1:38" x14ac:dyDescent="0.35">
      <c r="A367" s="50">
        <v>0</v>
      </c>
      <c r="B367" s="50" t="s">
        <v>50</v>
      </c>
      <c r="C367" s="53">
        <v>43888</v>
      </c>
      <c r="D367" s="53">
        <v>43901</v>
      </c>
      <c r="E367" s="53">
        <v>43969</v>
      </c>
      <c r="F367" s="21">
        <f t="shared" si="106"/>
        <v>68</v>
      </c>
      <c r="G367" s="53">
        <v>43901</v>
      </c>
      <c r="H367" s="9">
        <v>2020</v>
      </c>
      <c r="I367" s="50">
        <v>0</v>
      </c>
      <c r="J367" s="50">
        <v>1</v>
      </c>
      <c r="K367" s="50">
        <v>4</v>
      </c>
      <c r="L367" s="24" t="s">
        <v>1342</v>
      </c>
      <c r="M367" s="24"/>
      <c r="V367" t="s">
        <v>960</v>
      </c>
      <c r="W367" t="s">
        <v>989</v>
      </c>
      <c r="X367" t="s">
        <v>997</v>
      </c>
      <c r="Y367" t="s">
        <v>1000</v>
      </c>
      <c r="Z367">
        <v>0</v>
      </c>
      <c r="AA367">
        <v>-1</v>
      </c>
      <c r="AB367">
        <v>-1</v>
      </c>
      <c r="AC367">
        <v>-1</v>
      </c>
      <c r="AD367">
        <v>-1</v>
      </c>
      <c r="AE367">
        <v>-1</v>
      </c>
      <c r="AF367">
        <v>-1</v>
      </c>
      <c r="AG367">
        <v>-1</v>
      </c>
      <c r="AH367">
        <v>-1</v>
      </c>
      <c r="AI367">
        <v>-1</v>
      </c>
      <c r="AJ367" s="9">
        <f t="shared" si="104"/>
        <v>4</v>
      </c>
      <c r="AK367">
        <f t="shared" si="105"/>
        <v>0</v>
      </c>
      <c r="AL367" s="9">
        <v>0</v>
      </c>
    </row>
    <row r="368" spans="1:38" x14ac:dyDescent="0.35">
      <c r="A368" s="50">
        <v>0</v>
      </c>
      <c r="B368" s="50" t="s">
        <v>50</v>
      </c>
      <c r="C368" s="53">
        <v>43888</v>
      </c>
      <c r="D368" s="53">
        <v>43901</v>
      </c>
      <c r="E368" s="53">
        <v>43969</v>
      </c>
      <c r="F368" s="21">
        <f t="shared" si="106"/>
        <v>68</v>
      </c>
      <c r="G368" s="53">
        <v>43901</v>
      </c>
      <c r="H368" s="9">
        <v>2020</v>
      </c>
      <c r="I368" s="50">
        <v>0</v>
      </c>
      <c r="J368" s="50">
        <v>4</v>
      </c>
      <c r="K368" s="50" t="s">
        <v>201</v>
      </c>
      <c r="L368" s="24" t="s">
        <v>1343</v>
      </c>
      <c r="M368" s="24"/>
      <c r="V368" t="s">
        <v>960</v>
      </c>
      <c r="W368" t="s">
        <v>989</v>
      </c>
      <c r="X368" t="s">
        <v>997</v>
      </c>
      <c r="Y368" t="s">
        <v>1000</v>
      </c>
      <c r="Z368">
        <v>0</v>
      </c>
      <c r="AA368">
        <v>-1</v>
      </c>
      <c r="AB368">
        <v>-1</v>
      </c>
      <c r="AC368">
        <v>-1</v>
      </c>
      <c r="AD368">
        <v>-1</v>
      </c>
      <c r="AE368">
        <v>-1</v>
      </c>
      <c r="AF368">
        <v>-1</v>
      </c>
      <c r="AG368">
        <v>-1</v>
      </c>
      <c r="AH368">
        <v>-1</v>
      </c>
      <c r="AI368">
        <v>-1</v>
      </c>
      <c r="AJ368" s="9" t="str">
        <f t="shared" si="104"/>
        <v>Other</v>
      </c>
      <c r="AK368">
        <f t="shared" si="105"/>
        <v>0</v>
      </c>
      <c r="AL368" s="9">
        <v>0</v>
      </c>
    </row>
    <row r="369" spans="1:38" x14ac:dyDescent="0.35">
      <c r="A369" s="50">
        <v>0</v>
      </c>
      <c r="B369" s="50" t="s">
        <v>50</v>
      </c>
      <c r="C369" s="53">
        <v>43888</v>
      </c>
      <c r="D369" s="53">
        <v>43901</v>
      </c>
      <c r="E369" s="53">
        <v>43969</v>
      </c>
      <c r="F369" s="21">
        <f t="shared" si="106"/>
        <v>68</v>
      </c>
      <c r="G369" s="53">
        <v>43901</v>
      </c>
      <c r="H369" s="9">
        <v>2020</v>
      </c>
      <c r="I369" s="50">
        <v>0</v>
      </c>
      <c r="J369" s="50">
        <v>6</v>
      </c>
      <c r="K369" s="50">
        <v>28</v>
      </c>
      <c r="L369" s="24" t="s">
        <v>1344</v>
      </c>
      <c r="M369" s="24"/>
      <c r="V369" t="s">
        <v>960</v>
      </c>
      <c r="W369" t="s">
        <v>989</v>
      </c>
      <c r="X369" t="s">
        <v>997</v>
      </c>
      <c r="Y369" t="s">
        <v>1000</v>
      </c>
      <c r="Z369">
        <v>0</v>
      </c>
      <c r="AA369">
        <v>-1</v>
      </c>
      <c r="AB369">
        <v>-1</v>
      </c>
      <c r="AC369">
        <v>-1</v>
      </c>
      <c r="AD369">
        <v>-1</v>
      </c>
      <c r="AE369">
        <v>-1</v>
      </c>
      <c r="AF369">
        <v>-1</v>
      </c>
      <c r="AG369">
        <v>-1</v>
      </c>
      <c r="AH369">
        <v>-1</v>
      </c>
      <c r="AI369">
        <v>-1</v>
      </c>
      <c r="AJ369" s="9">
        <f t="shared" si="104"/>
        <v>28</v>
      </c>
      <c r="AK369">
        <f t="shared" si="105"/>
        <v>0</v>
      </c>
      <c r="AL369" s="9">
        <v>0</v>
      </c>
    </row>
    <row r="370" spans="1:38" x14ac:dyDescent="0.35">
      <c r="A370" s="50">
        <v>0</v>
      </c>
      <c r="B370" s="50" t="s">
        <v>50</v>
      </c>
      <c r="C370" s="53">
        <v>43888</v>
      </c>
      <c r="D370" s="53">
        <v>43901</v>
      </c>
      <c r="E370" s="53">
        <v>43969</v>
      </c>
      <c r="F370" s="21">
        <f t="shared" si="106"/>
        <v>68</v>
      </c>
      <c r="G370" s="53">
        <v>43901</v>
      </c>
      <c r="H370" s="9">
        <v>2020</v>
      </c>
      <c r="I370" s="50">
        <v>0</v>
      </c>
      <c r="J370" s="50">
        <v>6</v>
      </c>
      <c r="K370" s="50">
        <v>28</v>
      </c>
      <c r="L370" s="24" t="s">
        <v>1345</v>
      </c>
      <c r="M370" s="24"/>
      <c r="V370" t="s">
        <v>960</v>
      </c>
      <c r="W370" t="s">
        <v>989</v>
      </c>
      <c r="X370" t="s">
        <v>997</v>
      </c>
      <c r="Y370" t="s">
        <v>1000</v>
      </c>
      <c r="Z370">
        <v>0</v>
      </c>
      <c r="AA370">
        <v>-1</v>
      </c>
      <c r="AB370">
        <v>-1</v>
      </c>
      <c r="AC370">
        <v>-1</v>
      </c>
      <c r="AD370">
        <v>-1</v>
      </c>
      <c r="AE370">
        <v>-1</v>
      </c>
      <c r="AF370">
        <v>-1</v>
      </c>
      <c r="AG370">
        <v>-1</v>
      </c>
      <c r="AH370">
        <v>-1</v>
      </c>
      <c r="AI370">
        <v>-1</v>
      </c>
      <c r="AJ370" s="9">
        <f t="shared" si="104"/>
        <v>28</v>
      </c>
      <c r="AK370">
        <f t="shared" si="105"/>
        <v>0</v>
      </c>
      <c r="AL370" s="9">
        <v>0</v>
      </c>
    </row>
    <row r="371" spans="1:38" x14ac:dyDescent="0.35">
      <c r="A371" s="50">
        <v>0</v>
      </c>
      <c r="B371" s="50" t="s">
        <v>50</v>
      </c>
      <c r="C371" s="53">
        <v>43888</v>
      </c>
      <c r="D371" s="53">
        <v>43901</v>
      </c>
      <c r="E371" s="53">
        <v>43969</v>
      </c>
      <c r="F371" s="21">
        <f t="shared" si="106"/>
        <v>68</v>
      </c>
      <c r="G371" s="53">
        <v>43901</v>
      </c>
      <c r="H371" s="9">
        <v>2020</v>
      </c>
      <c r="I371" s="50">
        <v>0</v>
      </c>
      <c r="J371" s="50">
        <v>5</v>
      </c>
      <c r="K371" s="50" t="s">
        <v>204</v>
      </c>
      <c r="L371" s="24" t="s">
        <v>1346</v>
      </c>
      <c r="M371" s="24"/>
      <c r="V371" t="s">
        <v>960</v>
      </c>
      <c r="W371" t="s">
        <v>989</v>
      </c>
      <c r="X371" t="s">
        <v>997</v>
      </c>
      <c r="Y371" t="s">
        <v>1000</v>
      </c>
      <c r="Z371">
        <v>0</v>
      </c>
      <c r="AA371">
        <v>-1</v>
      </c>
      <c r="AB371">
        <v>-1</v>
      </c>
      <c r="AC371">
        <v>-1</v>
      </c>
      <c r="AD371">
        <v>-1</v>
      </c>
      <c r="AE371">
        <v>-1</v>
      </c>
      <c r="AF371">
        <v>-1</v>
      </c>
      <c r="AG371">
        <v>-1</v>
      </c>
      <c r="AH371">
        <v>-1</v>
      </c>
      <c r="AI371">
        <v>-1</v>
      </c>
      <c r="AJ371" s="9" t="str">
        <f t="shared" si="104"/>
        <v>General</v>
      </c>
      <c r="AK371">
        <f t="shared" si="105"/>
        <v>0</v>
      </c>
      <c r="AL371" s="9">
        <v>0</v>
      </c>
    </row>
    <row r="372" spans="1:38" x14ac:dyDescent="0.35">
      <c r="A372" s="50">
        <v>0</v>
      </c>
      <c r="B372" s="50" t="s">
        <v>50</v>
      </c>
      <c r="C372" s="53">
        <v>43888</v>
      </c>
      <c r="D372" s="53">
        <v>43901</v>
      </c>
      <c r="E372" s="53">
        <v>43969</v>
      </c>
      <c r="F372" s="21">
        <f t="shared" si="106"/>
        <v>68</v>
      </c>
      <c r="G372" s="53">
        <v>43901</v>
      </c>
      <c r="H372" s="9">
        <v>2020</v>
      </c>
      <c r="I372" s="50">
        <v>0</v>
      </c>
      <c r="J372" s="50">
        <v>6</v>
      </c>
      <c r="K372" s="50">
        <v>26</v>
      </c>
      <c r="L372" s="24" t="s">
        <v>1347</v>
      </c>
      <c r="M372" s="24"/>
      <c r="V372" t="s">
        <v>960</v>
      </c>
      <c r="W372" t="s">
        <v>989</v>
      </c>
      <c r="X372" t="s">
        <v>997</v>
      </c>
      <c r="Y372" t="s">
        <v>1000</v>
      </c>
      <c r="Z372">
        <v>0</v>
      </c>
      <c r="AA372">
        <v>-1</v>
      </c>
      <c r="AB372">
        <v>-1</v>
      </c>
      <c r="AC372">
        <v>-1</v>
      </c>
      <c r="AD372">
        <v>-1</v>
      </c>
      <c r="AE372">
        <v>-1</v>
      </c>
      <c r="AF372">
        <v>-1</v>
      </c>
      <c r="AG372">
        <v>-1</v>
      </c>
      <c r="AH372">
        <v>-1</v>
      </c>
      <c r="AI372">
        <v>-1</v>
      </c>
      <c r="AJ372" s="9">
        <f t="shared" si="104"/>
        <v>26</v>
      </c>
      <c r="AK372">
        <f t="shared" si="105"/>
        <v>0</v>
      </c>
      <c r="AL372" s="9">
        <v>0</v>
      </c>
    </row>
    <row r="373" spans="1:38" x14ac:dyDescent="0.35">
      <c r="A373" s="50">
        <v>0</v>
      </c>
      <c r="B373" s="50" t="s">
        <v>50</v>
      </c>
      <c r="C373" s="53">
        <v>43888</v>
      </c>
      <c r="D373" s="53">
        <v>43901</v>
      </c>
      <c r="E373" s="53">
        <v>43969</v>
      </c>
      <c r="F373" s="21">
        <f t="shared" si="106"/>
        <v>68</v>
      </c>
      <c r="G373" s="53">
        <v>43901</v>
      </c>
      <c r="H373" s="9">
        <v>2020</v>
      </c>
      <c r="I373" s="50">
        <v>0</v>
      </c>
      <c r="J373" s="50">
        <v>6</v>
      </c>
      <c r="K373" s="50">
        <v>28</v>
      </c>
      <c r="L373" s="24" t="s">
        <v>1348</v>
      </c>
      <c r="M373" s="24"/>
      <c r="V373" t="s">
        <v>960</v>
      </c>
      <c r="W373" t="s">
        <v>989</v>
      </c>
      <c r="X373" t="s">
        <v>997</v>
      </c>
      <c r="Y373" t="s">
        <v>1000</v>
      </c>
      <c r="Z373">
        <v>0</v>
      </c>
      <c r="AA373">
        <v>-1</v>
      </c>
      <c r="AB373">
        <v>-1</v>
      </c>
      <c r="AC373">
        <v>-1</v>
      </c>
      <c r="AD373">
        <v>-1</v>
      </c>
      <c r="AE373">
        <v>-1</v>
      </c>
      <c r="AF373">
        <v>-1</v>
      </c>
      <c r="AG373">
        <v>-1</v>
      </c>
      <c r="AH373">
        <v>-1</v>
      </c>
      <c r="AI373">
        <v>-1</v>
      </c>
      <c r="AJ373" s="9">
        <f t="shared" si="104"/>
        <v>28</v>
      </c>
      <c r="AK373">
        <f t="shared" ref="AK373:AK388" si="117">IF(B373&lt;&gt;B372,1,0)</f>
        <v>0</v>
      </c>
      <c r="AL373" s="9">
        <v>0</v>
      </c>
    </row>
    <row r="374" spans="1:38" x14ac:dyDescent="0.35">
      <c r="A374" s="50">
        <v>0</v>
      </c>
      <c r="B374" s="50" t="s">
        <v>50</v>
      </c>
      <c r="C374" s="53">
        <v>43888</v>
      </c>
      <c r="D374" s="53">
        <v>43901</v>
      </c>
      <c r="E374" s="53">
        <v>43969</v>
      </c>
      <c r="F374" s="21">
        <f t="shared" si="106"/>
        <v>68</v>
      </c>
      <c r="G374" s="53">
        <v>43901</v>
      </c>
      <c r="H374" s="9">
        <v>2020</v>
      </c>
      <c r="I374" s="50">
        <v>0</v>
      </c>
      <c r="J374" s="50">
        <v>6</v>
      </c>
      <c r="K374" s="50">
        <v>29</v>
      </c>
      <c r="L374" s="24" t="s">
        <v>1349</v>
      </c>
      <c r="M374" s="24"/>
      <c r="V374" t="s">
        <v>960</v>
      </c>
      <c r="W374" t="s">
        <v>989</v>
      </c>
      <c r="X374" t="s">
        <v>997</v>
      </c>
      <c r="Y374" t="s">
        <v>1000</v>
      </c>
      <c r="Z374">
        <v>0</v>
      </c>
      <c r="AA374">
        <v>-1</v>
      </c>
      <c r="AB374">
        <v>-1</v>
      </c>
      <c r="AC374">
        <v>-1</v>
      </c>
      <c r="AD374">
        <v>-1</v>
      </c>
      <c r="AE374">
        <v>-1</v>
      </c>
      <c r="AF374">
        <v>-1</v>
      </c>
      <c r="AG374">
        <v>-1</v>
      </c>
      <c r="AH374">
        <v>-1</v>
      </c>
      <c r="AI374">
        <v>-1</v>
      </c>
      <c r="AJ374" s="9">
        <f t="shared" si="104"/>
        <v>29</v>
      </c>
      <c r="AK374">
        <f t="shared" si="117"/>
        <v>0</v>
      </c>
      <c r="AL374" s="9">
        <v>0</v>
      </c>
    </row>
    <row r="375" spans="1:38" x14ac:dyDescent="0.35">
      <c r="A375" s="50">
        <v>0</v>
      </c>
      <c r="B375" s="50" t="s">
        <v>50</v>
      </c>
      <c r="C375" s="53">
        <v>43888</v>
      </c>
      <c r="D375" s="53">
        <v>43901</v>
      </c>
      <c r="E375" s="53">
        <v>43969</v>
      </c>
      <c r="F375" s="21">
        <f t="shared" si="106"/>
        <v>68</v>
      </c>
      <c r="G375" s="53">
        <v>43901</v>
      </c>
      <c r="H375" s="9">
        <v>2020</v>
      </c>
      <c r="I375" s="50">
        <v>0</v>
      </c>
      <c r="J375" s="50">
        <v>9</v>
      </c>
      <c r="K375" s="50">
        <v>34</v>
      </c>
      <c r="L375" s="24" t="s">
        <v>1350</v>
      </c>
      <c r="M375" s="24"/>
      <c r="V375" t="s">
        <v>960</v>
      </c>
      <c r="W375" t="s">
        <v>989</v>
      </c>
      <c r="X375" t="s">
        <v>997</v>
      </c>
      <c r="Y375" t="s">
        <v>1000</v>
      </c>
      <c r="Z375">
        <v>0</v>
      </c>
      <c r="AA375">
        <v>-1</v>
      </c>
      <c r="AB375">
        <v>-1</v>
      </c>
      <c r="AC375">
        <v>-1</v>
      </c>
      <c r="AD375">
        <v>-1</v>
      </c>
      <c r="AE375">
        <v>-1</v>
      </c>
      <c r="AF375">
        <v>-1</v>
      </c>
      <c r="AG375">
        <v>-1</v>
      </c>
      <c r="AH375">
        <v>-1</v>
      </c>
      <c r="AI375">
        <v>-1</v>
      </c>
      <c r="AJ375" s="9">
        <f t="shared" si="104"/>
        <v>34</v>
      </c>
      <c r="AK375">
        <f t="shared" si="117"/>
        <v>0</v>
      </c>
      <c r="AL375" s="9">
        <v>0</v>
      </c>
    </row>
    <row r="376" spans="1:38" x14ac:dyDescent="0.35">
      <c r="A376" s="50">
        <v>0</v>
      </c>
      <c r="B376" s="50" t="s">
        <v>50</v>
      </c>
      <c r="C376" s="53">
        <v>43888</v>
      </c>
      <c r="D376" s="53">
        <v>43901</v>
      </c>
      <c r="E376" s="53">
        <v>43969</v>
      </c>
      <c r="F376" s="21">
        <f t="shared" si="106"/>
        <v>68</v>
      </c>
      <c r="G376" s="53">
        <v>43901</v>
      </c>
      <c r="H376" s="9">
        <v>2020</v>
      </c>
      <c r="I376" s="50">
        <v>0</v>
      </c>
      <c r="J376" s="50">
        <v>7</v>
      </c>
      <c r="K376" s="50">
        <v>31</v>
      </c>
      <c r="L376" s="24" t="s">
        <v>1351</v>
      </c>
      <c r="M376" s="24"/>
      <c r="V376" t="s">
        <v>960</v>
      </c>
      <c r="W376" t="s">
        <v>989</v>
      </c>
      <c r="X376" t="s">
        <v>997</v>
      </c>
      <c r="Y376" t="s">
        <v>1000</v>
      </c>
      <c r="Z376">
        <v>0</v>
      </c>
      <c r="AA376">
        <v>-1</v>
      </c>
      <c r="AB376">
        <v>-1</v>
      </c>
      <c r="AC376">
        <v>-1</v>
      </c>
      <c r="AD376">
        <v>-1</v>
      </c>
      <c r="AE376">
        <v>-1</v>
      </c>
      <c r="AF376">
        <v>-1</v>
      </c>
      <c r="AG376">
        <v>-1</v>
      </c>
      <c r="AH376">
        <v>-1</v>
      </c>
      <c r="AI376">
        <v>-1</v>
      </c>
      <c r="AJ376" s="9">
        <f t="shared" si="104"/>
        <v>31</v>
      </c>
      <c r="AK376">
        <f t="shared" si="117"/>
        <v>0</v>
      </c>
      <c r="AL376" s="9">
        <v>0</v>
      </c>
    </row>
    <row r="377" spans="1:38" x14ac:dyDescent="0.35">
      <c r="A377" s="50">
        <v>0</v>
      </c>
      <c r="B377" s="50" t="s">
        <v>50</v>
      </c>
      <c r="C377" s="53">
        <v>43888</v>
      </c>
      <c r="D377" s="53">
        <v>43901</v>
      </c>
      <c r="E377" s="53">
        <v>43969</v>
      </c>
      <c r="F377" s="21">
        <f t="shared" si="106"/>
        <v>68</v>
      </c>
      <c r="G377" s="53">
        <v>43901</v>
      </c>
      <c r="H377" s="9">
        <v>2020</v>
      </c>
      <c r="I377" s="50">
        <v>0</v>
      </c>
      <c r="J377" s="50">
        <v>9</v>
      </c>
      <c r="K377" s="50">
        <v>34</v>
      </c>
      <c r="L377" s="24" t="s">
        <v>1352</v>
      </c>
      <c r="M377" s="24"/>
      <c r="V377" t="s">
        <v>960</v>
      </c>
      <c r="W377" t="s">
        <v>989</v>
      </c>
      <c r="X377" t="s">
        <v>997</v>
      </c>
      <c r="Y377" t="s">
        <v>1000</v>
      </c>
      <c r="Z377">
        <v>0</v>
      </c>
      <c r="AA377">
        <v>-1</v>
      </c>
      <c r="AB377">
        <v>-1</v>
      </c>
      <c r="AC377">
        <v>-1</v>
      </c>
      <c r="AD377">
        <v>-1</v>
      </c>
      <c r="AE377">
        <v>-1</v>
      </c>
      <c r="AF377">
        <v>-1</v>
      </c>
      <c r="AG377">
        <v>-1</v>
      </c>
      <c r="AH377">
        <v>-1</v>
      </c>
      <c r="AI377">
        <v>-1</v>
      </c>
      <c r="AJ377" s="9">
        <f t="shared" si="104"/>
        <v>34</v>
      </c>
      <c r="AK377">
        <f t="shared" si="117"/>
        <v>0</v>
      </c>
      <c r="AL377" s="9">
        <v>0</v>
      </c>
    </row>
    <row r="378" spans="1:38" x14ac:dyDescent="0.35">
      <c r="A378" s="50">
        <v>0</v>
      </c>
      <c r="B378" s="50" t="s">
        <v>50</v>
      </c>
      <c r="C378" s="53">
        <v>43888</v>
      </c>
      <c r="D378" s="53">
        <v>43901</v>
      </c>
      <c r="E378" s="53">
        <v>43969</v>
      </c>
      <c r="F378" s="21">
        <f t="shared" si="106"/>
        <v>68</v>
      </c>
      <c r="G378" s="53">
        <v>43901</v>
      </c>
      <c r="H378" s="9">
        <v>2020</v>
      </c>
      <c r="I378" s="50">
        <v>0</v>
      </c>
      <c r="J378" s="50">
        <v>9</v>
      </c>
      <c r="K378" s="50">
        <v>34</v>
      </c>
      <c r="L378" s="24" t="s">
        <v>1353</v>
      </c>
      <c r="M378" s="24"/>
      <c r="V378" t="s">
        <v>960</v>
      </c>
      <c r="W378" t="s">
        <v>989</v>
      </c>
      <c r="X378" t="s">
        <v>997</v>
      </c>
      <c r="Y378" t="s">
        <v>1000</v>
      </c>
      <c r="Z378">
        <v>0</v>
      </c>
      <c r="AA378">
        <v>-1</v>
      </c>
      <c r="AB378">
        <v>-1</v>
      </c>
      <c r="AC378">
        <v>-1</v>
      </c>
      <c r="AD378">
        <v>-1</v>
      </c>
      <c r="AE378">
        <v>-1</v>
      </c>
      <c r="AF378">
        <v>-1</v>
      </c>
      <c r="AG378">
        <v>-1</v>
      </c>
      <c r="AH378">
        <v>-1</v>
      </c>
      <c r="AI378">
        <v>-1</v>
      </c>
      <c r="AJ378" s="9">
        <f t="shared" si="104"/>
        <v>34</v>
      </c>
      <c r="AK378">
        <f t="shared" si="117"/>
        <v>0</v>
      </c>
      <c r="AL378" s="9">
        <v>0</v>
      </c>
    </row>
    <row r="379" spans="1:38" x14ac:dyDescent="0.35">
      <c r="A379" s="50">
        <v>0</v>
      </c>
      <c r="B379" s="50" t="s">
        <v>50</v>
      </c>
      <c r="C379" s="53">
        <v>43888</v>
      </c>
      <c r="D379" s="53">
        <v>43901</v>
      </c>
      <c r="E379" s="53">
        <v>43969</v>
      </c>
      <c r="F379" s="21">
        <f t="shared" si="106"/>
        <v>68</v>
      </c>
      <c r="G379" s="53">
        <v>43901</v>
      </c>
      <c r="H379" s="9">
        <v>2020</v>
      </c>
      <c r="I379" s="50">
        <v>0</v>
      </c>
      <c r="J379" s="50">
        <v>7</v>
      </c>
      <c r="K379" s="50">
        <v>30</v>
      </c>
      <c r="L379" s="24" t="s">
        <v>1354</v>
      </c>
      <c r="M379" s="24"/>
      <c r="V379" t="s">
        <v>960</v>
      </c>
      <c r="W379" t="s">
        <v>989</v>
      </c>
      <c r="X379" t="s">
        <v>997</v>
      </c>
      <c r="Y379" t="s">
        <v>1000</v>
      </c>
      <c r="Z379">
        <v>0</v>
      </c>
      <c r="AA379">
        <v>-1</v>
      </c>
      <c r="AB379">
        <v>-1</v>
      </c>
      <c r="AC379">
        <v>-1</v>
      </c>
      <c r="AD379">
        <v>-1</v>
      </c>
      <c r="AE379">
        <v>-1</v>
      </c>
      <c r="AF379">
        <v>-1</v>
      </c>
      <c r="AG379">
        <v>-1</v>
      </c>
      <c r="AH379">
        <v>-1</v>
      </c>
      <c r="AI379">
        <v>-1</v>
      </c>
      <c r="AJ379" s="9">
        <f t="shared" si="104"/>
        <v>30</v>
      </c>
      <c r="AK379">
        <f t="shared" si="117"/>
        <v>0</v>
      </c>
      <c r="AL379" s="9">
        <v>0</v>
      </c>
    </row>
    <row r="380" spans="1:38" x14ac:dyDescent="0.35">
      <c r="A380" s="50">
        <v>0</v>
      </c>
      <c r="B380" s="50" t="s">
        <v>50</v>
      </c>
      <c r="C380" s="53">
        <v>43888</v>
      </c>
      <c r="D380" s="53">
        <v>43901</v>
      </c>
      <c r="E380" s="53">
        <v>43969</v>
      </c>
      <c r="F380" s="21">
        <f t="shared" si="106"/>
        <v>68</v>
      </c>
      <c r="G380" s="53">
        <v>43901</v>
      </c>
      <c r="H380" s="9">
        <v>2020</v>
      </c>
      <c r="I380" s="50">
        <v>0</v>
      </c>
      <c r="J380" s="50">
        <v>6</v>
      </c>
      <c r="K380" s="50">
        <v>29</v>
      </c>
      <c r="L380" s="24" t="s">
        <v>1355</v>
      </c>
      <c r="M380" s="24"/>
      <c r="V380" t="s">
        <v>960</v>
      </c>
      <c r="W380" t="s">
        <v>989</v>
      </c>
      <c r="X380" t="s">
        <v>997</v>
      </c>
      <c r="Y380" t="s">
        <v>1000</v>
      </c>
      <c r="Z380">
        <v>0</v>
      </c>
      <c r="AA380">
        <v>-1</v>
      </c>
      <c r="AB380">
        <v>-1</v>
      </c>
      <c r="AC380">
        <v>-1</v>
      </c>
      <c r="AD380">
        <v>-1</v>
      </c>
      <c r="AE380">
        <v>-1</v>
      </c>
      <c r="AF380">
        <v>-1</v>
      </c>
      <c r="AG380">
        <v>-1</v>
      </c>
      <c r="AH380">
        <v>-1</v>
      </c>
      <c r="AI380">
        <v>-1</v>
      </c>
      <c r="AJ380" s="9">
        <f t="shared" si="104"/>
        <v>29</v>
      </c>
      <c r="AK380">
        <f t="shared" si="117"/>
        <v>0</v>
      </c>
      <c r="AL380" s="9">
        <v>0</v>
      </c>
    </row>
    <row r="381" spans="1:38" x14ac:dyDescent="0.35">
      <c r="A381" s="50">
        <v>0</v>
      </c>
      <c r="B381" s="50" t="s">
        <v>50</v>
      </c>
      <c r="C381" s="53">
        <v>43888</v>
      </c>
      <c r="D381" s="53">
        <v>43901</v>
      </c>
      <c r="E381" s="53">
        <v>43969</v>
      </c>
      <c r="F381" s="21">
        <f t="shared" si="106"/>
        <v>68</v>
      </c>
      <c r="G381" s="53">
        <v>43901</v>
      </c>
      <c r="H381" s="9">
        <v>2020</v>
      </c>
      <c r="I381" s="50">
        <v>0</v>
      </c>
      <c r="J381" s="50">
        <v>4</v>
      </c>
      <c r="K381" s="50">
        <v>20</v>
      </c>
      <c r="L381" s="24" t="s">
        <v>1356</v>
      </c>
      <c r="M381" s="24"/>
      <c r="V381" t="s">
        <v>960</v>
      </c>
      <c r="W381" t="s">
        <v>989</v>
      </c>
      <c r="X381" t="s">
        <v>997</v>
      </c>
      <c r="Y381" t="s">
        <v>1000</v>
      </c>
      <c r="Z381">
        <v>0</v>
      </c>
      <c r="AA381">
        <v>-1</v>
      </c>
      <c r="AB381">
        <v>-1</v>
      </c>
      <c r="AC381">
        <v>-1</v>
      </c>
      <c r="AD381">
        <v>-1</v>
      </c>
      <c r="AE381">
        <v>-1</v>
      </c>
      <c r="AF381">
        <v>-1</v>
      </c>
      <c r="AG381">
        <v>-1</v>
      </c>
      <c r="AH381">
        <v>-1</v>
      </c>
      <c r="AI381">
        <v>-1</v>
      </c>
      <c r="AJ381" s="9">
        <f t="shared" si="104"/>
        <v>20</v>
      </c>
      <c r="AK381">
        <f t="shared" si="117"/>
        <v>0</v>
      </c>
      <c r="AL381" s="9">
        <v>0</v>
      </c>
    </row>
    <row r="382" spans="1:38" x14ac:dyDescent="0.35">
      <c r="A382" s="50">
        <v>0</v>
      </c>
      <c r="B382" s="50" t="s">
        <v>50</v>
      </c>
      <c r="C382" s="53">
        <v>43888</v>
      </c>
      <c r="D382" s="53">
        <v>43901</v>
      </c>
      <c r="E382" s="53">
        <v>43969</v>
      </c>
      <c r="F382" s="21">
        <f t="shared" si="106"/>
        <v>68</v>
      </c>
      <c r="G382" s="53">
        <v>43901</v>
      </c>
      <c r="H382" s="9">
        <v>2020</v>
      </c>
      <c r="I382" s="50">
        <v>0</v>
      </c>
      <c r="J382" s="50">
        <v>1</v>
      </c>
      <c r="K382" s="50">
        <v>6</v>
      </c>
      <c r="L382" s="24" t="s">
        <v>1357</v>
      </c>
      <c r="M382" s="24"/>
      <c r="V382" t="s">
        <v>960</v>
      </c>
      <c r="W382" t="s">
        <v>989</v>
      </c>
      <c r="X382" t="s">
        <v>997</v>
      </c>
      <c r="Y382" t="s">
        <v>1000</v>
      </c>
      <c r="Z382">
        <v>0</v>
      </c>
      <c r="AA382">
        <v>-1</v>
      </c>
      <c r="AB382">
        <v>-1</v>
      </c>
      <c r="AC382">
        <v>-1</v>
      </c>
      <c r="AD382">
        <v>-1</v>
      </c>
      <c r="AE382">
        <v>-1</v>
      </c>
      <c r="AF382">
        <v>-1</v>
      </c>
      <c r="AG382">
        <v>-1</v>
      </c>
      <c r="AH382">
        <v>-1</v>
      </c>
      <c r="AI382">
        <v>-1</v>
      </c>
      <c r="AJ382" s="9">
        <f t="shared" si="104"/>
        <v>6</v>
      </c>
      <c r="AK382">
        <f t="shared" si="117"/>
        <v>0</v>
      </c>
      <c r="AL382" s="9">
        <v>0</v>
      </c>
    </row>
    <row r="383" spans="1:38" x14ac:dyDescent="0.35">
      <c r="A383" s="50">
        <v>0</v>
      </c>
      <c r="B383" s="50" t="s">
        <v>50</v>
      </c>
      <c r="C383" s="53">
        <v>43888</v>
      </c>
      <c r="D383" s="53">
        <v>43901</v>
      </c>
      <c r="E383" s="53">
        <v>43969</v>
      </c>
      <c r="F383" s="21">
        <f t="shared" si="106"/>
        <v>68</v>
      </c>
      <c r="G383" s="53">
        <v>43901</v>
      </c>
      <c r="H383" s="9">
        <v>2020</v>
      </c>
      <c r="I383" s="50">
        <v>0</v>
      </c>
      <c r="J383" s="50">
        <v>2</v>
      </c>
      <c r="K383" s="50">
        <v>14</v>
      </c>
      <c r="L383" s="24" t="s">
        <v>1358</v>
      </c>
      <c r="M383" s="24"/>
      <c r="V383" t="s">
        <v>960</v>
      </c>
      <c r="W383" t="s">
        <v>989</v>
      </c>
      <c r="X383" t="s">
        <v>997</v>
      </c>
      <c r="Y383" t="s">
        <v>1000</v>
      </c>
      <c r="Z383">
        <v>0</v>
      </c>
      <c r="AA383">
        <v>-1</v>
      </c>
      <c r="AB383">
        <v>-1</v>
      </c>
      <c r="AC383">
        <v>-1</v>
      </c>
      <c r="AD383">
        <v>-1</v>
      </c>
      <c r="AE383">
        <v>-1</v>
      </c>
      <c r="AF383">
        <v>-1</v>
      </c>
      <c r="AG383">
        <v>-1</v>
      </c>
      <c r="AH383">
        <v>-1</v>
      </c>
      <c r="AI383">
        <v>-1</v>
      </c>
      <c r="AJ383" s="9">
        <f t="shared" si="104"/>
        <v>14</v>
      </c>
      <c r="AK383">
        <f t="shared" si="117"/>
        <v>0</v>
      </c>
      <c r="AL383" s="9">
        <v>0</v>
      </c>
    </row>
    <row r="384" spans="1:38" x14ac:dyDescent="0.35">
      <c r="A384" s="50">
        <v>0</v>
      </c>
      <c r="B384" s="50" t="s">
        <v>50</v>
      </c>
      <c r="C384" s="53">
        <v>43888</v>
      </c>
      <c r="D384" s="53">
        <v>43901</v>
      </c>
      <c r="E384" s="53">
        <v>43969</v>
      </c>
      <c r="F384" s="21">
        <f t="shared" si="106"/>
        <v>68</v>
      </c>
      <c r="G384" s="53">
        <v>43901</v>
      </c>
      <c r="H384" s="9">
        <v>2020</v>
      </c>
      <c r="I384" s="50">
        <v>0</v>
      </c>
      <c r="J384" s="50">
        <v>9</v>
      </c>
      <c r="K384" s="50">
        <v>34</v>
      </c>
      <c r="L384" s="24" t="s">
        <v>1359</v>
      </c>
      <c r="M384" s="24"/>
      <c r="V384" t="s">
        <v>960</v>
      </c>
      <c r="W384" t="s">
        <v>989</v>
      </c>
      <c r="X384" t="s">
        <v>997</v>
      </c>
      <c r="Y384" t="s">
        <v>1000</v>
      </c>
      <c r="Z384">
        <v>0</v>
      </c>
      <c r="AA384">
        <v>-1</v>
      </c>
      <c r="AB384">
        <v>-1</v>
      </c>
      <c r="AC384">
        <v>-1</v>
      </c>
      <c r="AD384">
        <v>-1</v>
      </c>
      <c r="AE384">
        <v>-1</v>
      </c>
      <c r="AF384">
        <v>-1</v>
      </c>
      <c r="AG384">
        <v>-1</v>
      </c>
      <c r="AH384">
        <v>-1</v>
      </c>
      <c r="AI384">
        <v>-1</v>
      </c>
      <c r="AJ384" s="9">
        <f t="shared" si="104"/>
        <v>34</v>
      </c>
      <c r="AK384">
        <f t="shared" si="117"/>
        <v>0</v>
      </c>
      <c r="AL384" s="9">
        <v>0</v>
      </c>
    </row>
    <row r="385" spans="1:38" x14ac:dyDescent="0.35">
      <c r="A385" s="50">
        <v>0</v>
      </c>
      <c r="B385" s="50" t="s">
        <v>50</v>
      </c>
      <c r="C385" s="53">
        <v>43888</v>
      </c>
      <c r="D385" s="53">
        <v>43901</v>
      </c>
      <c r="E385" s="53">
        <v>43969</v>
      </c>
      <c r="F385" s="21">
        <f t="shared" si="106"/>
        <v>68</v>
      </c>
      <c r="G385" s="53">
        <v>43901</v>
      </c>
      <c r="H385" s="9">
        <v>2020</v>
      </c>
      <c r="I385" s="50">
        <v>0</v>
      </c>
      <c r="J385" s="50">
        <v>1</v>
      </c>
      <c r="K385" s="50">
        <v>6</v>
      </c>
      <c r="L385" s="24" t="s">
        <v>1360</v>
      </c>
      <c r="M385" s="24"/>
      <c r="V385" t="s">
        <v>960</v>
      </c>
      <c r="W385" t="s">
        <v>989</v>
      </c>
      <c r="X385" t="s">
        <v>997</v>
      </c>
      <c r="Y385" t="s">
        <v>1000</v>
      </c>
      <c r="Z385">
        <v>0</v>
      </c>
      <c r="AA385">
        <v>-1</v>
      </c>
      <c r="AB385">
        <v>-1</v>
      </c>
      <c r="AC385">
        <v>-1</v>
      </c>
      <c r="AD385">
        <v>-1</v>
      </c>
      <c r="AE385">
        <v>-1</v>
      </c>
      <c r="AF385">
        <v>-1</v>
      </c>
      <c r="AG385">
        <v>-1</v>
      </c>
      <c r="AH385">
        <v>-1</v>
      </c>
      <c r="AI385">
        <v>-1</v>
      </c>
      <c r="AJ385" s="9">
        <f t="shared" si="104"/>
        <v>6</v>
      </c>
      <c r="AK385">
        <f t="shared" si="117"/>
        <v>0</v>
      </c>
      <c r="AL385" s="9">
        <v>0</v>
      </c>
    </row>
    <row r="386" spans="1:38" x14ac:dyDescent="0.35">
      <c r="A386" s="50">
        <v>0</v>
      </c>
      <c r="B386" s="50" t="s">
        <v>50</v>
      </c>
      <c r="C386" s="53">
        <v>43888</v>
      </c>
      <c r="D386" s="53">
        <v>43901</v>
      </c>
      <c r="E386" s="53">
        <v>43969</v>
      </c>
      <c r="F386" s="21">
        <f t="shared" si="106"/>
        <v>68</v>
      </c>
      <c r="G386" s="53">
        <v>43901</v>
      </c>
      <c r="H386" s="9">
        <v>2020</v>
      </c>
      <c r="I386" s="50">
        <v>0</v>
      </c>
      <c r="J386" s="50">
        <v>7</v>
      </c>
      <c r="K386" s="50">
        <v>30</v>
      </c>
      <c r="L386" s="24" t="s">
        <v>1361</v>
      </c>
      <c r="M386" s="24"/>
      <c r="V386" t="s">
        <v>960</v>
      </c>
      <c r="W386" t="s">
        <v>989</v>
      </c>
      <c r="X386" t="s">
        <v>997</v>
      </c>
      <c r="Y386" t="s">
        <v>1000</v>
      </c>
      <c r="Z386">
        <v>0</v>
      </c>
      <c r="AA386">
        <v>-1</v>
      </c>
      <c r="AB386">
        <v>-1</v>
      </c>
      <c r="AC386">
        <v>-1</v>
      </c>
      <c r="AD386">
        <v>-1</v>
      </c>
      <c r="AE386">
        <v>-1</v>
      </c>
      <c r="AF386">
        <v>-1</v>
      </c>
      <c r="AG386">
        <v>-1</v>
      </c>
      <c r="AH386">
        <v>-1</v>
      </c>
      <c r="AI386">
        <v>-1</v>
      </c>
      <c r="AJ386" s="9">
        <f t="shared" si="104"/>
        <v>30</v>
      </c>
      <c r="AK386">
        <f t="shared" si="117"/>
        <v>0</v>
      </c>
      <c r="AL386" s="9">
        <v>0</v>
      </c>
    </row>
    <row r="387" spans="1:38" x14ac:dyDescent="0.35">
      <c r="A387" s="50">
        <v>0</v>
      </c>
      <c r="B387" s="50" t="s">
        <v>50</v>
      </c>
      <c r="C387" s="53">
        <v>43888</v>
      </c>
      <c r="D387" s="53">
        <v>43901</v>
      </c>
      <c r="E387" s="53">
        <v>43969</v>
      </c>
      <c r="F387" s="21">
        <f t="shared" si="106"/>
        <v>68</v>
      </c>
      <c r="G387" s="53">
        <v>43901</v>
      </c>
      <c r="H387" s="9">
        <v>2020</v>
      </c>
      <c r="I387" s="50">
        <v>0</v>
      </c>
      <c r="J387" s="50">
        <v>7</v>
      </c>
      <c r="K387" s="50">
        <v>32</v>
      </c>
      <c r="L387" s="24" t="s">
        <v>1362</v>
      </c>
      <c r="M387" s="24"/>
      <c r="V387" t="s">
        <v>960</v>
      </c>
      <c r="W387" t="s">
        <v>989</v>
      </c>
      <c r="X387" t="s">
        <v>997</v>
      </c>
      <c r="Y387" t="s">
        <v>1000</v>
      </c>
      <c r="Z387">
        <v>0</v>
      </c>
      <c r="AA387">
        <v>-1</v>
      </c>
      <c r="AB387">
        <v>-1</v>
      </c>
      <c r="AC387">
        <v>-1</v>
      </c>
      <c r="AD387">
        <v>-1</v>
      </c>
      <c r="AE387">
        <v>-1</v>
      </c>
      <c r="AF387">
        <v>-1</v>
      </c>
      <c r="AG387">
        <v>-1</v>
      </c>
      <c r="AH387">
        <v>-1</v>
      </c>
      <c r="AI387">
        <v>-1</v>
      </c>
      <c r="AJ387" s="9">
        <f t="shared" si="104"/>
        <v>32</v>
      </c>
      <c r="AK387">
        <f t="shared" si="117"/>
        <v>0</v>
      </c>
      <c r="AL387" s="9">
        <v>0</v>
      </c>
    </row>
    <row r="388" spans="1:38" x14ac:dyDescent="0.35">
      <c r="A388" s="50">
        <v>0</v>
      </c>
      <c r="B388" s="50" t="s">
        <v>50</v>
      </c>
      <c r="C388" s="53">
        <v>43888</v>
      </c>
      <c r="D388" s="53">
        <v>43901</v>
      </c>
      <c r="E388" s="53">
        <v>43969</v>
      </c>
      <c r="F388" s="21">
        <f t="shared" si="106"/>
        <v>68</v>
      </c>
      <c r="G388" s="53">
        <v>43901</v>
      </c>
      <c r="H388" s="9">
        <v>2020</v>
      </c>
      <c r="I388" s="50">
        <v>0</v>
      </c>
      <c r="J388" s="50">
        <v>7</v>
      </c>
      <c r="K388" s="50">
        <v>30</v>
      </c>
      <c r="L388" s="24" t="s">
        <v>1363</v>
      </c>
      <c r="M388" s="24"/>
      <c r="V388" t="s">
        <v>960</v>
      </c>
      <c r="W388" t="s">
        <v>989</v>
      </c>
      <c r="X388" t="s">
        <v>997</v>
      </c>
      <c r="Y388" t="s">
        <v>1000</v>
      </c>
      <c r="Z388">
        <v>0</v>
      </c>
      <c r="AA388">
        <v>-1</v>
      </c>
      <c r="AB388">
        <v>-1</v>
      </c>
      <c r="AC388">
        <v>-1</v>
      </c>
      <c r="AD388">
        <v>-1</v>
      </c>
      <c r="AE388">
        <v>-1</v>
      </c>
      <c r="AF388">
        <v>-1</v>
      </c>
      <c r="AG388">
        <v>-1</v>
      </c>
      <c r="AH388">
        <v>-1</v>
      </c>
      <c r="AI388">
        <v>-1</v>
      </c>
      <c r="AJ388" s="9">
        <f t="shared" si="104"/>
        <v>30</v>
      </c>
      <c r="AK388">
        <f t="shared" si="117"/>
        <v>0</v>
      </c>
      <c r="AL388" s="9">
        <v>1</v>
      </c>
    </row>
    <row r="389" spans="1:38" s="47" customFormat="1" x14ac:dyDescent="0.35">
      <c r="A389" s="50">
        <v>0</v>
      </c>
      <c r="B389" s="50" t="s">
        <v>50</v>
      </c>
      <c r="C389" s="53">
        <v>43888</v>
      </c>
      <c r="D389" s="53">
        <v>43901</v>
      </c>
      <c r="E389" s="53">
        <v>43969</v>
      </c>
      <c r="F389" s="21">
        <f t="shared" si="106"/>
        <v>68</v>
      </c>
      <c r="G389" s="53">
        <v>43901</v>
      </c>
      <c r="H389" s="9">
        <v>2021</v>
      </c>
      <c r="I389" s="50">
        <v>0</v>
      </c>
      <c r="J389" s="50">
        <v>6</v>
      </c>
      <c r="K389" s="50">
        <v>25</v>
      </c>
      <c r="L389" s="48" t="s">
        <v>1739</v>
      </c>
      <c r="M389" s="48"/>
      <c r="V389" t="s">
        <v>960</v>
      </c>
      <c r="AB389">
        <v>-1</v>
      </c>
      <c r="AJ389" s="47">
        <f t="shared" si="104"/>
        <v>25</v>
      </c>
    </row>
    <row r="390" spans="1:38" s="47" customFormat="1" x14ac:dyDescent="0.35">
      <c r="A390" s="50">
        <v>0</v>
      </c>
      <c r="B390" s="50" t="s">
        <v>50</v>
      </c>
      <c r="C390" s="53">
        <v>43888</v>
      </c>
      <c r="D390" s="53">
        <v>43901</v>
      </c>
      <c r="E390" s="53">
        <v>43969</v>
      </c>
      <c r="F390" s="21">
        <f t="shared" ref="F390:F391" si="118">DATEDIF(D390,E390,"D")</f>
        <v>68</v>
      </c>
      <c r="G390" s="53">
        <v>43901</v>
      </c>
      <c r="H390" s="9">
        <v>2021</v>
      </c>
      <c r="I390" s="50">
        <v>0</v>
      </c>
      <c r="J390" s="50">
        <v>7</v>
      </c>
      <c r="K390" s="50">
        <v>31</v>
      </c>
      <c r="L390" s="48" t="s">
        <v>1849</v>
      </c>
      <c r="M390" s="48"/>
      <c r="V390"/>
      <c r="AB390"/>
      <c r="AJ390" s="47">
        <f t="shared" si="104"/>
        <v>31</v>
      </c>
    </row>
    <row r="391" spans="1:38" s="47" customFormat="1" x14ac:dyDescent="0.35">
      <c r="A391" s="50">
        <v>0</v>
      </c>
      <c r="B391" s="50" t="s">
        <v>50</v>
      </c>
      <c r="C391" s="53">
        <v>43888</v>
      </c>
      <c r="D391" s="53">
        <v>43901</v>
      </c>
      <c r="E391" s="53">
        <v>43969</v>
      </c>
      <c r="F391" s="21">
        <f t="shared" si="118"/>
        <v>68</v>
      </c>
      <c r="G391" s="53">
        <v>43901</v>
      </c>
      <c r="H391" s="9">
        <v>2021</v>
      </c>
      <c r="I391" s="50">
        <v>0</v>
      </c>
      <c r="J391" s="50">
        <v>9</v>
      </c>
      <c r="K391" s="50">
        <v>34</v>
      </c>
      <c r="L391" s="48" t="s">
        <v>1850</v>
      </c>
      <c r="M391" s="48"/>
      <c r="V391"/>
      <c r="AB391"/>
    </row>
    <row r="392" spans="1:38" x14ac:dyDescent="0.35">
      <c r="A392" s="50">
        <v>0</v>
      </c>
      <c r="B392" s="9" t="s">
        <v>56</v>
      </c>
      <c r="C392" s="53">
        <v>43888</v>
      </c>
      <c r="D392" s="53">
        <v>43902</v>
      </c>
      <c r="E392" s="53">
        <v>43983</v>
      </c>
      <c r="F392" s="21">
        <f t="shared" si="106"/>
        <v>81</v>
      </c>
      <c r="G392" s="53">
        <v>43902</v>
      </c>
      <c r="H392" s="9">
        <v>2020</v>
      </c>
      <c r="I392" s="50">
        <v>0</v>
      </c>
      <c r="J392" s="9">
        <v>3</v>
      </c>
      <c r="K392" s="9" t="s">
        <v>206</v>
      </c>
      <c r="L392" s="50" t="s">
        <v>455</v>
      </c>
      <c r="M392">
        <v>2</v>
      </c>
      <c r="N392">
        <v>2</v>
      </c>
      <c r="O392">
        <v>-2</v>
      </c>
      <c r="P392">
        <v>-1</v>
      </c>
      <c r="Q392">
        <v>-2</v>
      </c>
      <c r="R392">
        <v>2</v>
      </c>
      <c r="S392">
        <v>-2</v>
      </c>
      <c r="T392">
        <v>-2</v>
      </c>
      <c r="U392">
        <v>1</v>
      </c>
      <c r="V392" t="s">
        <v>962</v>
      </c>
      <c r="W392" t="s">
        <v>989</v>
      </c>
      <c r="X392" t="s">
        <v>997</v>
      </c>
      <c r="Y392" t="s">
        <v>1000</v>
      </c>
      <c r="Z392">
        <v>0</v>
      </c>
      <c r="AA392">
        <f t="shared" ref="AA392:AA410" si="119">IF(M392&gt;0,1,IF(M392&lt;0,0,-1))</f>
        <v>1</v>
      </c>
      <c r="AB392">
        <f t="shared" ref="AB392:AB410" si="120">IF(N392&gt;0,1,IF(N392&lt;0,0,-1))</f>
        <v>1</v>
      </c>
      <c r="AC392">
        <f t="shared" ref="AC392:AC410" si="121">IF(O392&gt;0,1,IF(O392&lt;0,0,-1))</f>
        <v>0</v>
      </c>
      <c r="AD392">
        <f t="shared" ref="AD392:AD410" si="122">IF(P392&gt;0,1,IF(P392&lt;0,0,-1))</f>
        <v>0</v>
      </c>
      <c r="AE392">
        <f t="shared" ref="AE392:AE410" si="123">IF(Q392&gt;0,1,IF(Q392&lt;0,0,-1))</f>
        <v>0</v>
      </c>
      <c r="AF392">
        <f t="shared" ref="AF392:AF410" si="124">IF(R392&gt;0,1,IF(R392&lt;0,0,-1))</f>
        <v>1</v>
      </c>
      <c r="AG392">
        <f t="shared" ref="AG392:AG410" si="125">IF(S392&gt;0,1,IF(S392&lt;0,0,-1))</f>
        <v>0</v>
      </c>
      <c r="AH392">
        <f t="shared" ref="AH392:AH410" si="126">IF(T392&gt;0,1,IF(T392&lt;0,0,-1))</f>
        <v>0</v>
      </c>
      <c r="AI392">
        <f t="shared" ref="AI392:AI410" si="127">IF(U392&gt;0,1,IF(U392&lt;0,0,-1))</f>
        <v>1</v>
      </c>
      <c r="AJ392" s="9" t="str">
        <f t="shared" ref="AJ392:AJ419" si="128">IF(ISNUMBER(K392),K392,IF(OR(K392="general",K392="23;general"),"General",IF(OR(K392="exemption",K392="other (exemption)"),"Tax exemption/waiver/suspension","Other")))</f>
        <v>Tax exemption/waiver/suspension</v>
      </c>
      <c r="AK392" t="e">
        <f>IF(B392&lt;&gt;#REF!,1,0)</f>
        <v>#REF!</v>
      </c>
      <c r="AL392" s="9">
        <v>1</v>
      </c>
    </row>
    <row r="393" spans="1:38" x14ac:dyDescent="0.35">
      <c r="A393" s="50">
        <v>0</v>
      </c>
      <c r="B393" s="9" t="s">
        <v>56</v>
      </c>
      <c r="C393" s="53">
        <v>43888</v>
      </c>
      <c r="D393" s="53">
        <v>43902</v>
      </c>
      <c r="E393" s="53">
        <v>43983</v>
      </c>
      <c r="F393" s="21">
        <f t="shared" si="106"/>
        <v>81</v>
      </c>
      <c r="G393" s="53">
        <v>43902</v>
      </c>
      <c r="H393" s="9">
        <v>2020</v>
      </c>
      <c r="I393" s="50">
        <v>0</v>
      </c>
      <c r="J393" s="9">
        <v>4</v>
      </c>
      <c r="K393" s="9">
        <v>20</v>
      </c>
      <c r="L393" s="50" t="s">
        <v>470</v>
      </c>
      <c r="N393">
        <v>2</v>
      </c>
      <c r="O393">
        <v>-2</v>
      </c>
      <c r="P393">
        <v>-1</v>
      </c>
      <c r="Q393">
        <v>-2</v>
      </c>
      <c r="R393">
        <v>-2</v>
      </c>
      <c r="S393">
        <v>2</v>
      </c>
      <c r="T393">
        <v>2</v>
      </c>
      <c r="U393">
        <v>1</v>
      </c>
      <c r="V393" t="s">
        <v>962</v>
      </c>
      <c r="W393" t="s">
        <v>989</v>
      </c>
      <c r="X393" t="s">
        <v>997</v>
      </c>
      <c r="Y393" t="s">
        <v>1000</v>
      </c>
      <c r="Z393">
        <v>0</v>
      </c>
      <c r="AA393">
        <f t="shared" si="119"/>
        <v>-1</v>
      </c>
      <c r="AB393">
        <f t="shared" si="120"/>
        <v>1</v>
      </c>
      <c r="AC393">
        <f t="shared" si="121"/>
        <v>0</v>
      </c>
      <c r="AD393">
        <f t="shared" si="122"/>
        <v>0</v>
      </c>
      <c r="AE393">
        <f t="shared" si="123"/>
        <v>0</v>
      </c>
      <c r="AF393">
        <f t="shared" si="124"/>
        <v>0</v>
      </c>
      <c r="AG393">
        <f t="shared" si="125"/>
        <v>1</v>
      </c>
      <c r="AH393">
        <f t="shared" si="126"/>
        <v>1</v>
      </c>
      <c r="AI393">
        <f t="shared" si="127"/>
        <v>1</v>
      </c>
      <c r="AJ393" s="9">
        <f t="shared" si="128"/>
        <v>20</v>
      </c>
      <c r="AK393">
        <f t="shared" ref="AK393:AK417" si="129">IF(B393&lt;&gt;B392,1,0)</f>
        <v>0</v>
      </c>
      <c r="AL393" s="9">
        <v>1</v>
      </c>
    </row>
    <row r="394" spans="1:38" x14ac:dyDescent="0.35">
      <c r="A394" s="50">
        <v>0</v>
      </c>
      <c r="B394" s="9" t="s">
        <v>56</v>
      </c>
      <c r="C394" s="53">
        <v>43888</v>
      </c>
      <c r="D394" s="53">
        <v>43902</v>
      </c>
      <c r="E394" s="53">
        <v>43983</v>
      </c>
      <c r="F394" s="21">
        <f t="shared" si="106"/>
        <v>81</v>
      </c>
      <c r="G394" s="53">
        <v>43902</v>
      </c>
      <c r="H394" s="9">
        <v>2020</v>
      </c>
      <c r="I394" s="50">
        <v>0</v>
      </c>
      <c r="J394" s="9">
        <v>9</v>
      </c>
      <c r="K394" s="9">
        <v>34</v>
      </c>
      <c r="L394" s="50" t="s">
        <v>471</v>
      </c>
      <c r="M394">
        <v>1</v>
      </c>
      <c r="N394">
        <v>1</v>
      </c>
      <c r="S394">
        <v>1</v>
      </c>
      <c r="U394">
        <v>1</v>
      </c>
      <c r="V394" t="s">
        <v>962</v>
      </c>
      <c r="W394" t="s">
        <v>989</v>
      </c>
      <c r="X394" t="s">
        <v>997</v>
      </c>
      <c r="Y394" t="s">
        <v>1000</v>
      </c>
      <c r="Z394">
        <v>0</v>
      </c>
      <c r="AA394">
        <f t="shared" si="119"/>
        <v>1</v>
      </c>
      <c r="AB394">
        <f t="shared" si="120"/>
        <v>1</v>
      </c>
      <c r="AC394">
        <f t="shared" si="121"/>
        <v>-1</v>
      </c>
      <c r="AD394">
        <f t="shared" si="122"/>
        <v>-1</v>
      </c>
      <c r="AE394">
        <f t="shared" si="123"/>
        <v>-1</v>
      </c>
      <c r="AF394">
        <f t="shared" si="124"/>
        <v>-1</v>
      </c>
      <c r="AG394">
        <f t="shared" si="125"/>
        <v>1</v>
      </c>
      <c r="AH394">
        <f t="shared" si="126"/>
        <v>-1</v>
      </c>
      <c r="AI394">
        <f t="shared" si="127"/>
        <v>1</v>
      </c>
      <c r="AJ394" s="9">
        <f t="shared" si="128"/>
        <v>34</v>
      </c>
      <c r="AK394">
        <f t="shared" si="129"/>
        <v>0</v>
      </c>
      <c r="AL394" s="9">
        <v>1</v>
      </c>
    </row>
    <row r="395" spans="1:38" x14ac:dyDescent="0.35">
      <c r="A395" s="50">
        <v>0</v>
      </c>
      <c r="B395" s="9" t="s">
        <v>56</v>
      </c>
      <c r="C395" s="53">
        <v>43888</v>
      </c>
      <c r="D395" s="53">
        <v>43902</v>
      </c>
      <c r="E395" s="53">
        <v>43983</v>
      </c>
      <c r="F395" s="21">
        <f t="shared" si="106"/>
        <v>81</v>
      </c>
      <c r="G395" s="53">
        <v>43902</v>
      </c>
      <c r="H395" s="9">
        <v>2020</v>
      </c>
      <c r="I395" s="50">
        <v>0</v>
      </c>
      <c r="J395" s="9">
        <v>1</v>
      </c>
      <c r="K395" s="9" t="s">
        <v>206</v>
      </c>
      <c r="L395" s="50" t="s">
        <v>472</v>
      </c>
      <c r="M395">
        <v>2</v>
      </c>
      <c r="N395">
        <v>2</v>
      </c>
      <c r="O395">
        <v>-2</v>
      </c>
      <c r="P395">
        <v>-1</v>
      </c>
      <c r="Q395">
        <v>-2</v>
      </c>
      <c r="R395">
        <v>2</v>
      </c>
      <c r="S395">
        <v>1</v>
      </c>
      <c r="T395">
        <v>-2</v>
      </c>
      <c r="U395">
        <v>1</v>
      </c>
      <c r="V395" t="s">
        <v>962</v>
      </c>
      <c r="W395" t="s">
        <v>989</v>
      </c>
      <c r="X395" t="s">
        <v>997</v>
      </c>
      <c r="Y395" t="s">
        <v>1000</v>
      </c>
      <c r="Z395">
        <v>0</v>
      </c>
      <c r="AA395">
        <f t="shared" si="119"/>
        <v>1</v>
      </c>
      <c r="AB395">
        <f t="shared" si="120"/>
        <v>1</v>
      </c>
      <c r="AC395">
        <f t="shared" si="121"/>
        <v>0</v>
      </c>
      <c r="AD395">
        <f t="shared" si="122"/>
        <v>0</v>
      </c>
      <c r="AE395">
        <f t="shared" si="123"/>
        <v>0</v>
      </c>
      <c r="AF395">
        <f t="shared" si="124"/>
        <v>1</v>
      </c>
      <c r="AG395">
        <f t="shared" si="125"/>
        <v>1</v>
      </c>
      <c r="AH395">
        <f t="shared" si="126"/>
        <v>0</v>
      </c>
      <c r="AI395">
        <f t="shared" si="127"/>
        <v>1</v>
      </c>
      <c r="AJ395" s="9" t="str">
        <f t="shared" si="128"/>
        <v>Tax exemption/waiver/suspension</v>
      </c>
      <c r="AK395">
        <f t="shared" si="129"/>
        <v>0</v>
      </c>
      <c r="AL395" s="9">
        <v>1</v>
      </c>
    </row>
    <row r="396" spans="1:38" x14ac:dyDescent="0.35">
      <c r="A396" s="50">
        <v>0</v>
      </c>
      <c r="B396" s="9" t="s">
        <v>56</v>
      </c>
      <c r="C396" s="53">
        <v>43888</v>
      </c>
      <c r="D396" s="53">
        <v>43902</v>
      </c>
      <c r="E396" s="53">
        <v>43983</v>
      </c>
      <c r="F396" s="21">
        <f t="shared" si="106"/>
        <v>81</v>
      </c>
      <c r="G396" s="53">
        <v>43902</v>
      </c>
      <c r="H396" s="9">
        <v>2020</v>
      </c>
      <c r="I396" s="50">
        <v>0</v>
      </c>
      <c r="J396" s="9">
        <v>9</v>
      </c>
      <c r="K396" s="9">
        <v>34</v>
      </c>
      <c r="L396" s="50" t="s">
        <v>463</v>
      </c>
      <c r="M396">
        <v>1</v>
      </c>
      <c r="N396">
        <v>1</v>
      </c>
      <c r="O396">
        <v>2</v>
      </c>
      <c r="P396">
        <v>-1</v>
      </c>
      <c r="Q396">
        <v>-2</v>
      </c>
      <c r="R396">
        <v>1</v>
      </c>
      <c r="S396">
        <v>1</v>
      </c>
      <c r="T396">
        <v>-2</v>
      </c>
      <c r="U396">
        <v>1</v>
      </c>
      <c r="V396" t="s">
        <v>962</v>
      </c>
      <c r="W396" t="s">
        <v>989</v>
      </c>
      <c r="X396" t="s">
        <v>997</v>
      </c>
      <c r="Y396" t="s">
        <v>1000</v>
      </c>
      <c r="Z396">
        <v>0</v>
      </c>
      <c r="AA396">
        <f t="shared" si="119"/>
        <v>1</v>
      </c>
      <c r="AB396">
        <f t="shared" si="120"/>
        <v>1</v>
      </c>
      <c r="AC396">
        <f t="shared" si="121"/>
        <v>1</v>
      </c>
      <c r="AD396">
        <f t="shared" si="122"/>
        <v>0</v>
      </c>
      <c r="AE396">
        <f t="shared" si="123"/>
        <v>0</v>
      </c>
      <c r="AF396">
        <f t="shared" si="124"/>
        <v>1</v>
      </c>
      <c r="AG396">
        <f t="shared" si="125"/>
        <v>1</v>
      </c>
      <c r="AH396">
        <f t="shared" si="126"/>
        <v>0</v>
      </c>
      <c r="AI396">
        <f t="shared" si="127"/>
        <v>1</v>
      </c>
      <c r="AJ396" s="9">
        <f t="shared" si="128"/>
        <v>34</v>
      </c>
      <c r="AK396">
        <f t="shared" si="129"/>
        <v>0</v>
      </c>
      <c r="AL396" s="9">
        <v>1</v>
      </c>
    </row>
    <row r="397" spans="1:38" x14ac:dyDescent="0.35">
      <c r="A397" s="50">
        <v>0</v>
      </c>
      <c r="B397" s="9" t="s">
        <v>56</v>
      </c>
      <c r="C397" s="53">
        <v>43888</v>
      </c>
      <c r="D397" s="53">
        <v>43902</v>
      </c>
      <c r="E397" s="53">
        <v>43983</v>
      </c>
      <c r="F397" s="21">
        <f t="shared" si="106"/>
        <v>81</v>
      </c>
      <c r="G397" s="53">
        <v>43902</v>
      </c>
      <c r="H397" s="9">
        <v>2020</v>
      </c>
      <c r="I397" s="50">
        <v>0</v>
      </c>
      <c r="J397" s="9">
        <v>1</v>
      </c>
      <c r="K397" s="9">
        <v>6</v>
      </c>
      <c r="L397" s="50" t="s">
        <v>462</v>
      </c>
      <c r="M397">
        <v>-1</v>
      </c>
      <c r="N397">
        <v>2</v>
      </c>
      <c r="O397">
        <v>2</v>
      </c>
      <c r="P397">
        <v>2</v>
      </c>
      <c r="Q397">
        <v>2</v>
      </c>
      <c r="R397">
        <v>2</v>
      </c>
      <c r="S397">
        <v>1</v>
      </c>
      <c r="T397">
        <v>2</v>
      </c>
      <c r="U397">
        <v>1</v>
      </c>
      <c r="V397" t="s">
        <v>962</v>
      </c>
      <c r="W397" t="s">
        <v>989</v>
      </c>
      <c r="X397" t="s">
        <v>997</v>
      </c>
      <c r="Y397" t="s">
        <v>1000</v>
      </c>
      <c r="Z397">
        <v>0</v>
      </c>
      <c r="AA397">
        <f t="shared" si="119"/>
        <v>0</v>
      </c>
      <c r="AB397">
        <f t="shared" si="120"/>
        <v>1</v>
      </c>
      <c r="AC397">
        <f t="shared" si="121"/>
        <v>1</v>
      </c>
      <c r="AD397">
        <f t="shared" si="122"/>
        <v>1</v>
      </c>
      <c r="AE397">
        <f t="shared" si="123"/>
        <v>1</v>
      </c>
      <c r="AF397">
        <f t="shared" si="124"/>
        <v>1</v>
      </c>
      <c r="AG397">
        <f t="shared" si="125"/>
        <v>1</v>
      </c>
      <c r="AH397">
        <f t="shared" si="126"/>
        <v>1</v>
      </c>
      <c r="AI397">
        <f t="shared" si="127"/>
        <v>1</v>
      </c>
      <c r="AJ397" s="9">
        <f t="shared" si="128"/>
        <v>6</v>
      </c>
      <c r="AK397">
        <f t="shared" si="129"/>
        <v>0</v>
      </c>
      <c r="AL397" s="9">
        <v>1</v>
      </c>
    </row>
    <row r="398" spans="1:38" x14ac:dyDescent="0.35">
      <c r="A398" s="50">
        <v>0</v>
      </c>
      <c r="B398" s="9" t="s">
        <v>56</v>
      </c>
      <c r="C398" s="53">
        <v>43888</v>
      </c>
      <c r="D398" s="53">
        <v>43902</v>
      </c>
      <c r="E398" s="53">
        <v>43983</v>
      </c>
      <c r="F398" s="21">
        <f t="shared" si="106"/>
        <v>81</v>
      </c>
      <c r="G398" s="53">
        <v>43902</v>
      </c>
      <c r="H398" s="9">
        <v>2020</v>
      </c>
      <c r="I398" s="50">
        <v>0</v>
      </c>
      <c r="J398" s="9">
        <v>2</v>
      </c>
      <c r="K398" s="9" t="s">
        <v>206</v>
      </c>
      <c r="L398" s="50" t="s">
        <v>457</v>
      </c>
      <c r="M398">
        <v>-2</v>
      </c>
      <c r="N398">
        <v>2</v>
      </c>
      <c r="O398">
        <v>2</v>
      </c>
      <c r="P398">
        <v>-2</v>
      </c>
      <c r="Q398">
        <v>2</v>
      </c>
      <c r="R398">
        <v>2</v>
      </c>
      <c r="S398">
        <v>1</v>
      </c>
      <c r="T398">
        <v>2</v>
      </c>
      <c r="U398">
        <v>1</v>
      </c>
      <c r="V398" t="s">
        <v>962</v>
      </c>
      <c r="W398" t="s">
        <v>989</v>
      </c>
      <c r="X398" t="s">
        <v>997</v>
      </c>
      <c r="Y398" t="s">
        <v>1000</v>
      </c>
      <c r="Z398">
        <v>0</v>
      </c>
      <c r="AA398">
        <f t="shared" si="119"/>
        <v>0</v>
      </c>
      <c r="AB398">
        <f t="shared" si="120"/>
        <v>1</v>
      </c>
      <c r="AC398">
        <f t="shared" si="121"/>
        <v>1</v>
      </c>
      <c r="AD398">
        <f t="shared" si="122"/>
        <v>0</v>
      </c>
      <c r="AE398">
        <f t="shared" si="123"/>
        <v>1</v>
      </c>
      <c r="AF398">
        <f t="shared" si="124"/>
        <v>1</v>
      </c>
      <c r="AG398">
        <f t="shared" si="125"/>
        <v>1</v>
      </c>
      <c r="AH398">
        <f t="shared" si="126"/>
        <v>1</v>
      </c>
      <c r="AI398">
        <f t="shared" si="127"/>
        <v>1</v>
      </c>
      <c r="AJ398" s="9" t="str">
        <f t="shared" si="128"/>
        <v>Tax exemption/waiver/suspension</v>
      </c>
      <c r="AK398">
        <f t="shared" si="129"/>
        <v>0</v>
      </c>
      <c r="AL398" s="9">
        <v>1</v>
      </c>
    </row>
    <row r="399" spans="1:38" x14ac:dyDescent="0.35">
      <c r="A399" s="50">
        <v>0</v>
      </c>
      <c r="B399" s="9" t="s">
        <v>56</v>
      </c>
      <c r="C399" s="53">
        <v>43888</v>
      </c>
      <c r="D399" s="53">
        <v>43902</v>
      </c>
      <c r="E399" s="53">
        <v>43983</v>
      </c>
      <c r="F399" s="21">
        <f t="shared" si="106"/>
        <v>81</v>
      </c>
      <c r="G399" s="53">
        <v>43902</v>
      </c>
      <c r="H399" s="9">
        <v>2020</v>
      </c>
      <c r="I399" s="50">
        <v>0</v>
      </c>
      <c r="J399" s="9">
        <v>2</v>
      </c>
      <c r="K399" s="9" t="s">
        <v>206</v>
      </c>
      <c r="L399" s="50" t="s">
        <v>460</v>
      </c>
      <c r="M399">
        <v>-2</v>
      </c>
      <c r="N399">
        <v>2</v>
      </c>
      <c r="O399">
        <v>-2</v>
      </c>
      <c r="P399">
        <v>-1</v>
      </c>
      <c r="Q399">
        <v>-2</v>
      </c>
      <c r="R399">
        <v>2</v>
      </c>
      <c r="S399">
        <v>1</v>
      </c>
      <c r="T399">
        <v>2</v>
      </c>
      <c r="U399">
        <v>1</v>
      </c>
      <c r="V399" t="s">
        <v>962</v>
      </c>
      <c r="W399" t="s">
        <v>989</v>
      </c>
      <c r="X399" t="s">
        <v>997</v>
      </c>
      <c r="Y399" t="s">
        <v>1000</v>
      </c>
      <c r="Z399">
        <v>0</v>
      </c>
      <c r="AA399">
        <f t="shared" si="119"/>
        <v>0</v>
      </c>
      <c r="AB399">
        <f t="shared" si="120"/>
        <v>1</v>
      </c>
      <c r="AC399">
        <f t="shared" si="121"/>
        <v>0</v>
      </c>
      <c r="AD399">
        <f t="shared" si="122"/>
        <v>0</v>
      </c>
      <c r="AE399">
        <f t="shared" si="123"/>
        <v>0</v>
      </c>
      <c r="AF399">
        <f t="shared" si="124"/>
        <v>1</v>
      </c>
      <c r="AG399">
        <f t="shared" si="125"/>
        <v>1</v>
      </c>
      <c r="AH399">
        <f t="shared" si="126"/>
        <v>1</v>
      </c>
      <c r="AI399">
        <f t="shared" si="127"/>
        <v>1</v>
      </c>
      <c r="AJ399" s="9" t="str">
        <f t="shared" si="128"/>
        <v>Tax exemption/waiver/suspension</v>
      </c>
      <c r="AK399">
        <f t="shared" si="129"/>
        <v>0</v>
      </c>
      <c r="AL399" s="9">
        <v>1</v>
      </c>
    </row>
    <row r="400" spans="1:38" x14ac:dyDescent="0.35">
      <c r="A400" s="50">
        <v>0</v>
      </c>
      <c r="B400" s="9" t="s">
        <v>56</v>
      </c>
      <c r="C400" s="53">
        <v>43888</v>
      </c>
      <c r="D400" s="53">
        <v>43902</v>
      </c>
      <c r="E400" s="53">
        <v>43983</v>
      </c>
      <c r="F400" s="21">
        <f t="shared" si="106"/>
        <v>81</v>
      </c>
      <c r="G400" s="53">
        <v>43902</v>
      </c>
      <c r="H400" s="9">
        <v>2020</v>
      </c>
      <c r="I400" s="50">
        <v>0</v>
      </c>
      <c r="J400" s="9">
        <v>1</v>
      </c>
      <c r="K400" s="9" t="s">
        <v>206</v>
      </c>
      <c r="L400" s="50" t="s">
        <v>473</v>
      </c>
      <c r="M400">
        <v>-2</v>
      </c>
      <c r="N400">
        <v>2</v>
      </c>
      <c r="O400">
        <v>-2</v>
      </c>
      <c r="P400">
        <v>-1</v>
      </c>
      <c r="Q400">
        <v>-2</v>
      </c>
      <c r="R400">
        <v>2</v>
      </c>
      <c r="S400">
        <v>1</v>
      </c>
      <c r="T400">
        <v>2</v>
      </c>
      <c r="U400">
        <v>1</v>
      </c>
      <c r="V400" t="s">
        <v>962</v>
      </c>
      <c r="W400" t="s">
        <v>989</v>
      </c>
      <c r="X400" t="s">
        <v>997</v>
      </c>
      <c r="Y400" t="s">
        <v>1000</v>
      </c>
      <c r="Z400">
        <v>0</v>
      </c>
      <c r="AA400">
        <f t="shared" si="119"/>
        <v>0</v>
      </c>
      <c r="AB400">
        <f t="shared" si="120"/>
        <v>1</v>
      </c>
      <c r="AC400">
        <f t="shared" si="121"/>
        <v>0</v>
      </c>
      <c r="AD400">
        <f t="shared" si="122"/>
        <v>0</v>
      </c>
      <c r="AE400">
        <f t="shared" si="123"/>
        <v>0</v>
      </c>
      <c r="AF400">
        <f t="shared" si="124"/>
        <v>1</v>
      </c>
      <c r="AG400">
        <f t="shared" si="125"/>
        <v>1</v>
      </c>
      <c r="AH400">
        <f t="shared" si="126"/>
        <v>1</v>
      </c>
      <c r="AI400">
        <f t="shared" si="127"/>
        <v>1</v>
      </c>
      <c r="AJ400" s="9" t="str">
        <f t="shared" si="128"/>
        <v>Tax exemption/waiver/suspension</v>
      </c>
      <c r="AK400">
        <f t="shared" si="129"/>
        <v>0</v>
      </c>
      <c r="AL400" s="9">
        <v>1</v>
      </c>
    </row>
    <row r="401" spans="1:38" x14ac:dyDescent="0.35">
      <c r="A401" s="50">
        <v>0</v>
      </c>
      <c r="B401" s="9" t="s">
        <v>56</v>
      </c>
      <c r="C401" s="53">
        <v>43888</v>
      </c>
      <c r="D401" s="53">
        <v>43902</v>
      </c>
      <c r="E401" s="53">
        <v>43983</v>
      </c>
      <c r="F401" s="21">
        <f t="shared" si="106"/>
        <v>81</v>
      </c>
      <c r="G401" s="53">
        <v>43902</v>
      </c>
      <c r="H401" s="9">
        <v>2020</v>
      </c>
      <c r="I401" s="50">
        <v>0</v>
      </c>
      <c r="J401" s="9">
        <v>7</v>
      </c>
      <c r="K401" s="9">
        <v>30</v>
      </c>
      <c r="L401" s="50" t="s">
        <v>459</v>
      </c>
      <c r="M401">
        <v>2</v>
      </c>
      <c r="N401">
        <v>1</v>
      </c>
      <c r="O401">
        <v>-2</v>
      </c>
      <c r="P401">
        <v>1</v>
      </c>
      <c r="Q401">
        <v>-2</v>
      </c>
      <c r="R401">
        <v>2</v>
      </c>
      <c r="S401">
        <v>2</v>
      </c>
      <c r="T401">
        <v>-2</v>
      </c>
      <c r="U401">
        <v>1</v>
      </c>
      <c r="V401" t="s">
        <v>962</v>
      </c>
      <c r="W401" t="s">
        <v>989</v>
      </c>
      <c r="X401" t="s">
        <v>997</v>
      </c>
      <c r="Y401" t="s">
        <v>1000</v>
      </c>
      <c r="Z401">
        <v>0</v>
      </c>
      <c r="AA401">
        <f t="shared" si="119"/>
        <v>1</v>
      </c>
      <c r="AB401">
        <f t="shared" si="120"/>
        <v>1</v>
      </c>
      <c r="AC401">
        <f t="shared" si="121"/>
        <v>0</v>
      </c>
      <c r="AD401">
        <f t="shared" si="122"/>
        <v>1</v>
      </c>
      <c r="AE401">
        <f t="shared" si="123"/>
        <v>0</v>
      </c>
      <c r="AF401">
        <f t="shared" si="124"/>
        <v>1</v>
      </c>
      <c r="AG401">
        <f t="shared" si="125"/>
        <v>1</v>
      </c>
      <c r="AH401">
        <f t="shared" si="126"/>
        <v>0</v>
      </c>
      <c r="AI401">
        <f t="shared" si="127"/>
        <v>1</v>
      </c>
      <c r="AJ401" s="9">
        <f t="shared" si="128"/>
        <v>30</v>
      </c>
      <c r="AK401">
        <f t="shared" si="129"/>
        <v>0</v>
      </c>
      <c r="AL401" s="9">
        <v>1</v>
      </c>
    </row>
    <row r="402" spans="1:38" x14ac:dyDescent="0.35">
      <c r="A402" s="50">
        <v>0</v>
      </c>
      <c r="B402" s="9" t="s">
        <v>56</v>
      </c>
      <c r="C402" s="53">
        <v>43888</v>
      </c>
      <c r="D402" s="53">
        <v>43902</v>
      </c>
      <c r="E402" s="53">
        <v>43983</v>
      </c>
      <c r="F402" s="21">
        <f t="shared" si="106"/>
        <v>81</v>
      </c>
      <c r="G402" s="53">
        <v>43902</v>
      </c>
      <c r="H402" s="9">
        <v>2020</v>
      </c>
      <c r="I402" s="50">
        <v>0</v>
      </c>
      <c r="J402" s="9">
        <v>4</v>
      </c>
      <c r="K402" s="9">
        <v>20</v>
      </c>
      <c r="L402" s="50" t="s">
        <v>456</v>
      </c>
      <c r="M402">
        <v>-2</v>
      </c>
      <c r="N402">
        <v>2</v>
      </c>
      <c r="O402">
        <v>-2</v>
      </c>
      <c r="P402">
        <v>-1</v>
      </c>
      <c r="Q402">
        <v>-2</v>
      </c>
      <c r="R402">
        <v>2</v>
      </c>
      <c r="S402">
        <v>1</v>
      </c>
      <c r="T402">
        <v>2</v>
      </c>
      <c r="U402">
        <v>1</v>
      </c>
      <c r="V402" t="s">
        <v>962</v>
      </c>
      <c r="W402" t="s">
        <v>989</v>
      </c>
      <c r="X402" t="s">
        <v>997</v>
      </c>
      <c r="Y402" t="s">
        <v>1000</v>
      </c>
      <c r="Z402">
        <v>0</v>
      </c>
      <c r="AA402">
        <f t="shared" si="119"/>
        <v>0</v>
      </c>
      <c r="AB402">
        <f t="shared" si="120"/>
        <v>1</v>
      </c>
      <c r="AC402">
        <f t="shared" si="121"/>
        <v>0</v>
      </c>
      <c r="AD402">
        <f t="shared" si="122"/>
        <v>0</v>
      </c>
      <c r="AE402">
        <f t="shared" si="123"/>
        <v>0</v>
      </c>
      <c r="AF402">
        <f t="shared" si="124"/>
        <v>1</v>
      </c>
      <c r="AG402">
        <f t="shared" si="125"/>
        <v>1</v>
      </c>
      <c r="AH402">
        <f t="shared" si="126"/>
        <v>1</v>
      </c>
      <c r="AI402">
        <f t="shared" si="127"/>
        <v>1</v>
      </c>
      <c r="AJ402" s="9">
        <f t="shared" si="128"/>
        <v>20</v>
      </c>
      <c r="AK402">
        <f t="shared" si="129"/>
        <v>0</v>
      </c>
      <c r="AL402" s="9">
        <v>1</v>
      </c>
    </row>
    <row r="403" spans="1:38" x14ac:dyDescent="0.35">
      <c r="A403" s="50">
        <v>0</v>
      </c>
      <c r="B403" s="9" t="s">
        <v>56</v>
      </c>
      <c r="C403" s="53">
        <v>43888</v>
      </c>
      <c r="D403" s="53">
        <v>43902</v>
      </c>
      <c r="E403" s="53">
        <v>43983</v>
      </c>
      <c r="F403" s="21">
        <f t="shared" si="106"/>
        <v>81</v>
      </c>
      <c r="G403" s="53">
        <v>43902</v>
      </c>
      <c r="H403" s="9">
        <v>2020</v>
      </c>
      <c r="I403" s="50">
        <v>0</v>
      </c>
      <c r="J403" s="9">
        <v>6</v>
      </c>
      <c r="K403" s="9">
        <v>29</v>
      </c>
      <c r="L403" s="50" t="s">
        <v>468</v>
      </c>
      <c r="M403">
        <v>1</v>
      </c>
      <c r="N403">
        <v>1</v>
      </c>
      <c r="O403">
        <v>-2</v>
      </c>
      <c r="P403">
        <v>-1</v>
      </c>
      <c r="Q403">
        <v>-2</v>
      </c>
      <c r="R403">
        <v>1</v>
      </c>
      <c r="S403">
        <v>1</v>
      </c>
      <c r="T403">
        <v>-2</v>
      </c>
      <c r="U403">
        <v>1</v>
      </c>
      <c r="V403" t="s">
        <v>962</v>
      </c>
      <c r="W403" t="s">
        <v>989</v>
      </c>
      <c r="X403" t="s">
        <v>997</v>
      </c>
      <c r="Y403" t="s">
        <v>1000</v>
      </c>
      <c r="Z403">
        <v>0</v>
      </c>
      <c r="AA403">
        <f t="shared" si="119"/>
        <v>1</v>
      </c>
      <c r="AB403">
        <f t="shared" si="120"/>
        <v>1</v>
      </c>
      <c r="AC403">
        <f t="shared" si="121"/>
        <v>0</v>
      </c>
      <c r="AD403">
        <f t="shared" si="122"/>
        <v>0</v>
      </c>
      <c r="AE403">
        <f t="shared" si="123"/>
        <v>0</v>
      </c>
      <c r="AF403">
        <f t="shared" si="124"/>
        <v>1</v>
      </c>
      <c r="AG403">
        <f t="shared" si="125"/>
        <v>1</v>
      </c>
      <c r="AH403">
        <f t="shared" si="126"/>
        <v>0</v>
      </c>
      <c r="AI403">
        <f t="shared" si="127"/>
        <v>1</v>
      </c>
      <c r="AJ403" s="9">
        <f t="shared" si="128"/>
        <v>29</v>
      </c>
      <c r="AK403">
        <f t="shared" si="129"/>
        <v>0</v>
      </c>
      <c r="AL403" s="9">
        <v>1</v>
      </c>
    </row>
    <row r="404" spans="1:38" x14ac:dyDescent="0.35">
      <c r="A404" s="50">
        <v>0</v>
      </c>
      <c r="B404" s="9" t="s">
        <v>56</v>
      </c>
      <c r="C404" s="53">
        <v>43888</v>
      </c>
      <c r="D404" s="53">
        <v>43902</v>
      </c>
      <c r="E404" s="53">
        <v>43983</v>
      </c>
      <c r="F404" s="21">
        <f t="shared" si="106"/>
        <v>81</v>
      </c>
      <c r="G404" s="53">
        <v>43902</v>
      </c>
      <c r="H404" s="9">
        <v>2020</v>
      </c>
      <c r="I404" s="50">
        <v>0</v>
      </c>
      <c r="J404" s="9">
        <v>7</v>
      </c>
      <c r="K404" s="9">
        <v>30</v>
      </c>
      <c r="L404" s="50" t="s">
        <v>465</v>
      </c>
      <c r="M404">
        <v>1</v>
      </c>
      <c r="N404">
        <v>1</v>
      </c>
      <c r="O404">
        <v>2</v>
      </c>
      <c r="P404">
        <v>1</v>
      </c>
      <c r="Q404">
        <v>2</v>
      </c>
      <c r="R404">
        <v>2</v>
      </c>
      <c r="S404">
        <v>1</v>
      </c>
      <c r="T404">
        <v>-2</v>
      </c>
      <c r="U404">
        <v>1</v>
      </c>
      <c r="V404" t="s">
        <v>962</v>
      </c>
      <c r="W404" t="s">
        <v>989</v>
      </c>
      <c r="X404" t="s">
        <v>997</v>
      </c>
      <c r="Y404" t="s">
        <v>1000</v>
      </c>
      <c r="Z404">
        <v>0</v>
      </c>
      <c r="AA404">
        <f t="shared" si="119"/>
        <v>1</v>
      </c>
      <c r="AB404">
        <f t="shared" si="120"/>
        <v>1</v>
      </c>
      <c r="AC404">
        <f t="shared" si="121"/>
        <v>1</v>
      </c>
      <c r="AD404">
        <f t="shared" si="122"/>
        <v>1</v>
      </c>
      <c r="AE404">
        <f t="shared" si="123"/>
        <v>1</v>
      </c>
      <c r="AF404">
        <f t="shared" si="124"/>
        <v>1</v>
      </c>
      <c r="AG404">
        <f t="shared" si="125"/>
        <v>1</v>
      </c>
      <c r="AH404">
        <f t="shared" si="126"/>
        <v>0</v>
      </c>
      <c r="AI404">
        <f t="shared" si="127"/>
        <v>1</v>
      </c>
      <c r="AJ404" s="9">
        <f t="shared" si="128"/>
        <v>30</v>
      </c>
      <c r="AK404">
        <f t="shared" si="129"/>
        <v>0</v>
      </c>
      <c r="AL404" s="9">
        <v>1</v>
      </c>
    </row>
    <row r="405" spans="1:38" x14ac:dyDescent="0.35">
      <c r="A405" s="50">
        <v>0</v>
      </c>
      <c r="B405" s="9" t="s">
        <v>56</v>
      </c>
      <c r="C405" s="53">
        <v>43888</v>
      </c>
      <c r="D405" s="53">
        <v>43902</v>
      </c>
      <c r="E405" s="53">
        <v>43983</v>
      </c>
      <c r="F405" s="21">
        <f t="shared" si="106"/>
        <v>81</v>
      </c>
      <c r="G405" s="53">
        <v>43902</v>
      </c>
      <c r="H405" s="9">
        <v>2020</v>
      </c>
      <c r="I405" s="50">
        <v>0</v>
      </c>
      <c r="J405" s="9">
        <v>1</v>
      </c>
      <c r="K405" s="9" t="s">
        <v>206</v>
      </c>
      <c r="L405" s="50" t="s">
        <v>464</v>
      </c>
      <c r="M405">
        <v>2</v>
      </c>
      <c r="N405">
        <v>2</v>
      </c>
      <c r="O405">
        <v>-2</v>
      </c>
      <c r="P405">
        <v>-1</v>
      </c>
      <c r="Q405">
        <v>-2</v>
      </c>
      <c r="R405">
        <v>2</v>
      </c>
      <c r="S405">
        <v>1</v>
      </c>
      <c r="T405">
        <v>-2</v>
      </c>
      <c r="U405">
        <v>1</v>
      </c>
      <c r="V405" t="s">
        <v>962</v>
      </c>
      <c r="W405" t="s">
        <v>989</v>
      </c>
      <c r="X405" t="s">
        <v>997</v>
      </c>
      <c r="Y405" t="s">
        <v>1000</v>
      </c>
      <c r="Z405">
        <v>0</v>
      </c>
      <c r="AA405">
        <f t="shared" si="119"/>
        <v>1</v>
      </c>
      <c r="AB405">
        <f t="shared" si="120"/>
        <v>1</v>
      </c>
      <c r="AC405">
        <f t="shared" si="121"/>
        <v>0</v>
      </c>
      <c r="AD405">
        <f t="shared" si="122"/>
        <v>0</v>
      </c>
      <c r="AE405">
        <f t="shared" si="123"/>
        <v>0</v>
      </c>
      <c r="AF405">
        <f t="shared" si="124"/>
        <v>1</v>
      </c>
      <c r="AG405">
        <f t="shared" si="125"/>
        <v>1</v>
      </c>
      <c r="AH405">
        <f t="shared" si="126"/>
        <v>0</v>
      </c>
      <c r="AI405">
        <f t="shared" si="127"/>
        <v>1</v>
      </c>
      <c r="AJ405" s="9" t="str">
        <f t="shared" si="128"/>
        <v>Tax exemption/waiver/suspension</v>
      </c>
      <c r="AK405">
        <f t="shared" si="129"/>
        <v>0</v>
      </c>
      <c r="AL405" s="9">
        <v>1</v>
      </c>
    </row>
    <row r="406" spans="1:38" x14ac:dyDescent="0.35">
      <c r="A406" s="50">
        <v>0</v>
      </c>
      <c r="B406" s="9" t="s">
        <v>56</v>
      </c>
      <c r="C406" s="53">
        <v>43888</v>
      </c>
      <c r="D406" s="53">
        <v>43902</v>
      </c>
      <c r="E406" s="53">
        <v>43983</v>
      </c>
      <c r="F406" s="21">
        <f t="shared" ref="F406:F476" si="130">DATEDIF(D406,E406,"D")</f>
        <v>81</v>
      </c>
      <c r="G406" s="53">
        <v>43902</v>
      </c>
      <c r="H406" s="9">
        <v>2020</v>
      </c>
      <c r="I406" s="50">
        <v>0</v>
      </c>
      <c r="J406" s="9">
        <v>6</v>
      </c>
      <c r="K406" s="9">
        <v>29</v>
      </c>
      <c r="L406" s="50" t="s">
        <v>467</v>
      </c>
      <c r="M406">
        <v>2</v>
      </c>
      <c r="N406">
        <v>1</v>
      </c>
      <c r="O406">
        <v>-2</v>
      </c>
      <c r="P406">
        <v>-1</v>
      </c>
      <c r="Q406">
        <v>-1</v>
      </c>
      <c r="R406">
        <v>2</v>
      </c>
      <c r="S406">
        <v>1</v>
      </c>
      <c r="T406">
        <v>-2</v>
      </c>
      <c r="U406">
        <v>1</v>
      </c>
      <c r="V406" t="s">
        <v>962</v>
      </c>
      <c r="W406" t="s">
        <v>989</v>
      </c>
      <c r="X406" t="s">
        <v>997</v>
      </c>
      <c r="Y406" t="s">
        <v>1000</v>
      </c>
      <c r="Z406">
        <v>0</v>
      </c>
      <c r="AA406">
        <f t="shared" si="119"/>
        <v>1</v>
      </c>
      <c r="AB406">
        <f t="shared" si="120"/>
        <v>1</v>
      </c>
      <c r="AC406">
        <f t="shared" si="121"/>
        <v>0</v>
      </c>
      <c r="AD406">
        <f t="shared" si="122"/>
        <v>0</v>
      </c>
      <c r="AE406">
        <f t="shared" si="123"/>
        <v>0</v>
      </c>
      <c r="AF406">
        <f t="shared" si="124"/>
        <v>1</v>
      </c>
      <c r="AG406">
        <f t="shared" si="125"/>
        <v>1</v>
      </c>
      <c r="AH406">
        <f t="shared" si="126"/>
        <v>0</v>
      </c>
      <c r="AI406">
        <f t="shared" si="127"/>
        <v>1</v>
      </c>
      <c r="AJ406" s="9">
        <f t="shared" si="128"/>
        <v>29</v>
      </c>
      <c r="AK406">
        <f t="shared" si="129"/>
        <v>0</v>
      </c>
      <c r="AL406" s="9">
        <v>1</v>
      </c>
    </row>
    <row r="407" spans="1:38" x14ac:dyDescent="0.35">
      <c r="A407" s="50">
        <v>0</v>
      </c>
      <c r="B407" s="9" t="s">
        <v>56</v>
      </c>
      <c r="C407" s="53">
        <v>43888</v>
      </c>
      <c r="D407" s="53">
        <v>43902</v>
      </c>
      <c r="E407" s="53">
        <v>43983</v>
      </c>
      <c r="F407" s="21">
        <f t="shared" si="130"/>
        <v>81</v>
      </c>
      <c r="G407" s="53">
        <v>43902</v>
      </c>
      <c r="H407" s="9">
        <v>2020</v>
      </c>
      <c r="I407" s="50">
        <v>0</v>
      </c>
      <c r="J407" s="9">
        <v>7</v>
      </c>
      <c r="K407" s="9">
        <v>30</v>
      </c>
      <c r="L407" s="50" t="s">
        <v>469</v>
      </c>
      <c r="M407">
        <v>1</v>
      </c>
      <c r="N407">
        <v>1</v>
      </c>
      <c r="O407">
        <v>2</v>
      </c>
      <c r="S407">
        <v>1</v>
      </c>
      <c r="U407">
        <v>1</v>
      </c>
      <c r="V407" t="s">
        <v>962</v>
      </c>
      <c r="W407" t="s">
        <v>989</v>
      </c>
      <c r="X407" t="s">
        <v>997</v>
      </c>
      <c r="Y407" t="s">
        <v>1000</v>
      </c>
      <c r="Z407">
        <v>0</v>
      </c>
      <c r="AA407">
        <f t="shared" si="119"/>
        <v>1</v>
      </c>
      <c r="AB407">
        <f t="shared" si="120"/>
        <v>1</v>
      </c>
      <c r="AC407">
        <f t="shared" si="121"/>
        <v>1</v>
      </c>
      <c r="AD407">
        <f t="shared" si="122"/>
        <v>-1</v>
      </c>
      <c r="AE407">
        <f t="shared" si="123"/>
        <v>-1</v>
      </c>
      <c r="AF407">
        <f t="shared" si="124"/>
        <v>-1</v>
      </c>
      <c r="AG407">
        <f t="shared" si="125"/>
        <v>1</v>
      </c>
      <c r="AH407">
        <f t="shared" si="126"/>
        <v>-1</v>
      </c>
      <c r="AI407">
        <f t="shared" si="127"/>
        <v>1</v>
      </c>
      <c r="AJ407" s="9">
        <f t="shared" si="128"/>
        <v>30</v>
      </c>
      <c r="AK407">
        <f t="shared" si="129"/>
        <v>0</v>
      </c>
      <c r="AL407" s="9">
        <v>1</v>
      </c>
    </row>
    <row r="408" spans="1:38" x14ac:dyDescent="0.35">
      <c r="A408" s="50">
        <v>0</v>
      </c>
      <c r="B408" s="9" t="s">
        <v>56</v>
      </c>
      <c r="C408" s="53">
        <v>43888</v>
      </c>
      <c r="D408" s="53">
        <v>43902</v>
      </c>
      <c r="E408" s="53">
        <v>43983</v>
      </c>
      <c r="F408" s="21">
        <f t="shared" si="130"/>
        <v>81</v>
      </c>
      <c r="G408" s="53">
        <v>43902</v>
      </c>
      <c r="H408" s="9">
        <v>2020</v>
      </c>
      <c r="I408" s="50">
        <v>0</v>
      </c>
      <c r="J408" s="9">
        <v>1</v>
      </c>
      <c r="K408" s="9" t="s">
        <v>206</v>
      </c>
      <c r="L408" s="50" t="s">
        <v>458</v>
      </c>
      <c r="N408">
        <v>2</v>
      </c>
      <c r="O408">
        <v>-2</v>
      </c>
      <c r="P408">
        <v>-1</v>
      </c>
      <c r="Q408">
        <v>-2</v>
      </c>
      <c r="R408">
        <v>2</v>
      </c>
      <c r="S408">
        <v>1</v>
      </c>
      <c r="T408">
        <v>2</v>
      </c>
      <c r="U408">
        <v>1</v>
      </c>
      <c r="V408" t="s">
        <v>962</v>
      </c>
      <c r="W408" t="s">
        <v>989</v>
      </c>
      <c r="X408" t="s">
        <v>997</v>
      </c>
      <c r="Y408" t="s">
        <v>1000</v>
      </c>
      <c r="Z408">
        <v>0</v>
      </c>
      <c r="AA408">
        <f t="shared" si="119"/>
        <v>-1</v>
      </c>
      <c r="AB408">
        <f t="shared" si="120"/>
        <v>1</v>
      </c>
      <c r="AC408">
        <f t="shared" si="121"/>
        <v>0</v>
      </c>
      <c r="AD408">
        <f t="shared" si="122"/>
        <v>0</v>
      </c>
      <c r="AE408">
        <f t="shared" si="123"/>
        <v>0</v>
      </c>
      <c r="AF408">
        <f t="shared" si="124"/>
        <v>1</v>
      </c>
      <c r="AG408">
        <f t="shared" si="125"/>
        <v>1</v>
      </c>
      <c r="AH408">
        <f t="shared" si="126"/>
        <v>1</v>
      </c>
      <c r="AI408">
        <f t="shared" si="127"/>
        <v>1</v>
      </c>
      <c r="AJ408" s="9" t="str">
        <f t="shared" si="128"/>
        <v>Tax exemption/waiver/suspension</v>
      </c>
      <c r="AK408">
        <f t="shared" si="129"/>
        <v>0</v>
      </c>
      <c r="AL408" s="9">
        <v>1</v>
      </c>
    </row>
    <row r="409" spans="1:38" x14ac:dyDescent="0.35">
      <c r="A409" s="50">
        <v>0</v>
      </c>
      <c r="B409" s="9" t="s">
        <v>56</v>
      </c>
      <c r="C409" s="53">
        <v>43888</v>
      </c>
      <c r="D409" s="53">
        <v>43902</v>
      </c>
      <c r="E409" s="53">
        <v>43983</v>
      </c>
      <c r="F409" s="21">
        <f t="shared" si="130"/>
        <v>81</v>
      </c>
      <c r="G409" s="53">
        <v>43902</v>
      </c>
      <c r="H409" s="9">
        <v>2020</v>
      </c>
      <c r="I409" s="50">
        <v>0</v>
      </c>
      <c r="J409" s="9">
        <v>1</v>
      </c>
      <c r="K409" s="9">
        <v>6</v>
      </c>
      <c r="L409" s="50" t="s">
        <v>461</v>
      </c>
      <c r="M409">
        <v>-2</v>
      </c>
      <c r="N409">
        <v>2</v>
      </c>
      <c r="O409">
        <v>-2</v>
      </c>
      <c r="P409">
        <v>-1</v>
      </c>
      <c r="Q409">
        <v>-2</v>
      </c>
      <c r="R409">
        <v>2</v>
      </c>
      <c r="S409">
        <v>1</v>
      </c>
      <c r="T409">
        <v>2</v>
      </c>
      <c r="U409">
        <v>1</v>
      </c>
      <c r="V409" t="s">
        <v>962</v>
      </c>
      <c r="W409" t="s">
        <v>989</v>
      </c>
      <c r="X409" t="s">
        <v>997</v>
      </c>
      <c r="Y409" t="s">
        <v>1000</v>
      </c>
      <c r="Z409">
        <v>0</v>
      </c>
      <c r="AA409">
        <f t="shared" si="119"/>
        <v>0</v>
      </c>
      <c r="AB409">
        <f t="shared" si="120"/>
        <v>1</v>
      </c>
      <c r="AC409">
        <f t="shared" si="121"/>
        <v>0</v>
      </c>
      <c r="AD409">
        <f t="shared" si="122"/>
        <v>0</v>
      </c>
      <c r="AE409">
        <f t="shared" si="123"/>
        <v>0</v>
      </c>
      <c r="AF409">
        <f t="shared" si="124"/>
        <v>1</v>
      </c>
      <c r="AG409">
        <f t="shared" si="125"/>
        <v>1</v>
      </c>
      <c r="AH409">
        <f t="shared" si="126"/>
        <v>1</v>
      </c>
      <c r="AI409">
        <f t="shared" si="127"/>
        <v>1</v>
      </c>
      <c r="AJ409" s="9">
        <f t="shared" si="128"/>
        <v>6</v>
      </c>
      <c r="AK409">
        <f t="shared" si="129"/>
        <v>0</v>
      </c>
      <c r="AL409" s="9">
        <v>1</v>
      </c>
    </row>
    <row r="410" spans="1:38" x14ac:dyDescent="0.35">
      <c r="A410" s="50">
        <v>0</v>
      </c>
      <c r="B410" s="9" t="s">
        <v>56</v>
      </c>
      <c r="C410" s="53">
        <v>43888</v>
      </c>
      <c r="D410" s="53">
        <v>43902</v>
      </c>
      <c r="E410" s="53">
        <v>43983</v>
      </c>
      <c r="F410" s="21">
        <f t="shared" si="130"/>
        <v>81</v>
      </c>
      <c r="G410" s="53">
        <v>43902</v>
      </c>
      <c r="H410" s="9">
        <v>2020</v>
      </c>
      <c r="I410" s="50">
        <v>0</v>
      </c>
      <c r="J410" s="9">
        <v>7</v>
      </c>
      <c r="K410" s="9">
        <v>30</v>
      </c>
      <c r="L410" s="50" t="s">
        <v>466</v>
      </c>
      <c r="M410">
        <v>2</v>
      </c>
      <c r="N410">
        <v>1</v>
      </c>
      <c r="O410">
        <v>-2</v>
      </c>
      <c r="P410">
        <v>1</v>
      </c>
      <c r="Q410">
        <v>-2</v>
      </c>
      <c r="R410">
        <v>2</v>
      </c>
      <c r="S410">
        <v>1</v>
      </c>
      <c r="T410">
        <v>-2</v>
      </c>
      <c r="U410">
        <v>1</v>
      </c>
      <c r="V410" t="s">
        <v>962</v>
      </c>
      <c r="W410" t="s">
        <v>989</v>
      </c>
      <c r="X410" t="s">
        <v>997</v>
      </c>
      <c r="Y410" t="s">
        <v>1000</v>
      </c>
      <c r="Z410">
        <v>0</v>
      </c>
      <c r="AA410">
        <f t="shared" si="119"/>
        <v>1</v>
      </c>
      <c r="AB410">
        <f t="shared" si="120"/>
        <v>1</v>
      </c>
      <c r="AC410">
        <f t="shared" si="121"/>
        <v>0</v>
      </c>
      <c r="AD410">
        <f t="shared" si="122"/>
        <v>1</v>
      </c>
      <c r="AE410">
        <f t="shared" si="123"/>
        <v>0</v>
      </c>
      <c r="AF410">
        <f t="shared" si="124"/>
        <v>1</v>
      </c>
      <c r="AG410">
        <f t="shared" si="125"/>
        <v>1</v>
      </c>
      <c r="AH410">
        <f t="shared" si="126"/>
        <v>0</v>
      </c>
      <c r="AI410">
        <f t="shared" si="127"/>
        <v>1</v>
      </c>
      <c r="AJ410" s="9">
        <f t="shared" si="128"/>
        <v>30</v>
      </c>
      <c r="AK410">
        <f t="shared" si="129"/>
        <v>0</v>
      </c>
      <c r="AL410" s="9">
        <v>0</v>
      </c>
    </row>
    <row r="411" spans="1:38" x14ac:dyDescent="0.35">
      <c r="A411" s="50">
        <v>0</v>
      </c>
      <c r="B411" s="50" t="s">
        <v>56</v>
      </c>
      <c r="C411" s="53">
        <v>43888</v>
      </c>
      <c r="D411" s="53">
        <v>43902</v>
      </c>
      <c r="E411" s="53">
        <v>43983</v>
      </c>
      <c r="F411" s="21">
        <f t="shared" si="130"/>
        <v>81</v>
      </c>
      <c r="G411" s="53">
        <v>43902</v>
      </c>
      <c r="H411" s="9">
        <v>2020</v>
      </c>
      <c r="I411" s="50">
        <v>0</v>
      </c>
      <c r="J411" s="50">
        <v>5</v>
      </c>
      <c r="K411" s="50" t="s">
        <v>204</v>
      </c>
      <c r="L411" s="24" t="s">
        <v>1364</v>
      </c>
      <c r="M411" s="24"/>
      <c r="V411" t="s">
        <v>962</v>
      </c>
      <c r="W411" t="s">
        <v>989</v>
      </c>
      <c r="X411" t="s">
        <v>997</v>
      </c>
      <c r="Y411" t="s">
        <v>1000</v>
      </c>
      <c r="Z411">
        <v>0</v>
      </c>
      <c r="AA411">
        <v>-1</v>
      </c>
      <c r="AB411">
        <v>-1</v>
      </c>
      <c r="AC411">
        <v>-1</v>
      </c>
      <c r="AD411">
        <v>-1</v>
      </c>
      <c r="AE411">
        <v>-1</v>
      </c>
      <c r="AF411">
        <v>-1</v>
      </c>
      <c r="AG411">
        <v>-1</v>
      </c>
      <c r="AH411">
        <v>-1</v>
      </c>
      <c r="AI411">
        <v>-1</v>
      </c>
      <c r="AJ411" s="9" t="str">
        <f t="shared" si="128"/>
        <v>General</v>
      </c>
      <c r="AK411" t="e">
        <f>IF(B411&lt;&gt;#REF!,1,0)</f>
        <v>#REF!</v>
      </c>
      <c r="AL411" s="9">
        <v>0</v>
      </c>
    </row>
    <row r="412" spans="1:38" x14ac:dyDescent="0.35">
      <c r="A412" s="50">
        <v>0</v>
      </c>
      <c r="B412" s="50" t="s">
        <v>56</v>
      </c>
      <c r="C412" s="53">
        <v>43888</v>
      </c>
      <c r="D412" s="53">
        <v>43902</v>
      </c>
      <c r="E412" s="53">
        <v>43983</v>
      </c>
      <c r="F412" s="21">
        <f t="shared" si="130"/>
        <v>81</v>
      </c>
      <c r="G412" s="53">
        <v>43902</v>
      </c>
      <c r="H412" s="9">
        <v>2020</v>
      </c>
      <c r="I412" s="50">
        <v>0</v>
      </c>
      <c r="J412" s="50">
        <v>1</v>
      </c>
      <c r="K412" s="50">
        <v>8</v>
      </c>
      <c r="L412" s="24" t="s">
        <v>1852</v>
      </c>
      <c r="M412" s="24"/>
      <c r="V412" t="s">
        <v>962</v>
      </c>
      <c r="W412" t="s">
        <v>989</v>
      </c>
      <c r="X412" t="s">
        <v>997</v>
      </c>
      <c r="Y412" t="s">
        <v>1000</v>
      </c>
      <c r="Z412">
        <v>0</v>
      </c>
      <c r="AA412">
        <v>-1</v>
      </c>
      <c r="AB412">
        <v>-1</v>
      </c>
      <c r="AC412">
        <v>-1</v>
      </c>
      <c r="AD412">
        <v>-1</v>
      </c>
      <c r="AE412">
        <v>-1</v>
      </c>
      <c r="AF412">
        <v>-1</v>
      </c>
      <c r="AG412">
        <v>-1</v>
      </c>
      <c r="AH412">
        <v>-1</v>
      </c>
      <c r="AI412">
        <v>-1</v>
      </c>
      <c r="AJ412" s="9">
        <f t="shared" si="128"/>
        <v>8</v>
      </c>
      <c r="AK412">
        <f t="shared" si="129"/>
        <v>0</v>
      </c>
      <c r="AL412" s="9">
        <v>0</v>
      </c>
    </row>
    <row r="413" spans="1:38" x14ac:dyDescent="0.35">
      <c r="A413" s="50">
        <v>0</v>
      </c>
      <c r="B413" s="50" t="s">
        <v>56</v>
      </c>
      <c r="C413" s="53">
        <v>43888</v>
      </c>
      <c r="D413" s="53">
        <v>43902</v>
      </c>
      <c r="E413" s="53">
        <v>43983</v>
      </c>
      <c r="F413" s="21">
        <f t="shared" si="130"/>
        <v>81</v>
      </c>
      <c r="G413" s="53">
        <v>43902</v>
      </c>
      <c r="H413" s="9">
        <v>2020</v>
      </c>
      <c r="I413" s="50">
        <v>0</v>
      </c>
      <c r="J413" s="50">
        <v>1</v>
      </c>
      <c r="K413" s="50">
        <v>8</v>
      </c>
      <c r="L413" s="24" t="s">
        <v>1851</v>
      </c>
      <c r="M413" s="24"/>
      <c r="V413" t="s">
        <v>962</v>
      </c>
      <c r="W413" t="s">
        <v>989</v>
      </c>
      <c r="X413" t="s">
        <v>997</v>
      </c>
      <c r="Y413" t="s">
        <v>1000</v>
      </c>
      <c r="Z413">
        <v>0</v>
      </c>
      <c r="AA413">
        <v>-1</v>
      </c>
      <c r="AB413">
        <v>-1</v>
      </c>
      <c r="AC413">
        <v>-1</v>
      </c>
      <c r="AD413">
        <v>-1</v>
      </c>
      <c r="AE413">
        <v>-1</v>
      </c>
      <c r="AF413">
        <v>-1</v>
      </c>
      <c r="AG413">
        <v>-1</v>
      </c>
      <c r="AH413">
        <v>-1</v>
      </c>
      <c r="AI413">
        <v>-1</v>
      </c>
      <c r="AJ413" s="9">
        <f t="shared" si="128"/>
        <v>8</v>
      </c>
      <c r="AK413">
        <f t="shared" si="129"/>
        <v>0</v>
      </c>
      <c r="AL413" s="9">
        <v>0</v>
      </c>
    </row>
    <row r="414" spans="1:38" x14ac:dyDescent="0.35">
      <c r="A414" s="50">
        <v>0</v>
      </c>
      <c r="B414" s="50" t="s">
        <v>56</v>
      </c>
      <c r="C414" s="53">
        <v>43888</v>
      </c>
      <c r="D414" s="53">
        <v>43902</v>
      </c>
      <c r="E414" s="53">
        <v>43983</v>
      </c>
      <c r="F414" s="21">
        <f t="shared" si="130"/>
        <v>81</v>
      </c>
      <c r="G414" s="53">
        <v>43902</v>
      </c>
      <c r="H414" s="9">
        <v>2020</v>
      </c>
      <c r="I414" s="50">
        <v>0</v>
      </c>
      <c r="J414" s="50">
        <v>1</v>
      </c>
      <c r="K414" s="50">
        <v>9</v>
      </c>
      <c r="L414" s="24" t="s">
        <v>1365</v>
      </c>
      <c r="M414" s="24"/>
      <c r="V414" t="s">
        <v>962</v>
      </c>
      <c r="W414" t="s">
        <v>989</v>
      </c>
      <c r="X414" t="s">
        <v>997</v>
      </c>
      <c r="Y414" t="s">
        <v>1000</v>
      </c>
      <c r="Z414">
        <v>0</v>
      </c>
      <c r="AA414">
        <v>-1</v>
      </c>
      <c r="AB414">
        <v>-1</v>
      </c>
      <c r="AC414">
        <v>-1</v>
      </c>
      <c r="AD414">
        <v>-1</v>
      </c>
      <c r="AE414">
        <v>-1</v>
      </c>
      <c r="AF414">
        <v>-1</v>
      </c>
      <c r="AG414">
        <v>-1</v>
      </c>
      <c r="AH414">
        <v>-1</v>
      </c>
      <c r="AI414">
        <v>-1</v>
      </c>
      <c r="AJ414" s="9">
        <f t="shared" si="128"/>
        <v>9</v>
      </c>
      <c r="AK414">
        <f t="shared" si="129"/>
        <v>0</v>
      </c>
      <c r="AL414" s="9">
        <v>0</v>
      </c>
    </row>
    <row r="415" spans="1:38" x14ac:dyDescent="0.35">
      <c r="A415" s="50">
        <v>0</v>
      </c>
      <c r="B415" s="50" t="s">
        <v>56</v>
      </c>
      <c r="C415" s="53">
        <v>43888</v>
      </c>
      <c r="D415" s="53">
        <v>43902</v>
      </c>
      <c r="E415" s="53">
        <v>43983</v>
      </c>
      <c r="F415" s="21">
        <f t="shared" si="130"/>
        <v>81</v>
      </c>
      <c r="G415" s="53">
        <v>43902</v>
      </c>
      <c r="H415" s="9">
        <v>2020</v>
      </c>
      <c r="I415" s="50">
        <v>0</v>
      </c>
      <c r="J415" s="50">
        <v>7</v>
      </c>
      <c r="K415" s="50">
        <v>31</v>
      </c>
      <c r="L415" s="24" t="s">
        <v>1366</v>
      </c>
      <c r="M415" s="24"/>
      <c r="V415" t="s">
        <v>962</v>
      </c>
      <c r="W415" t="s">
        <v>989</v>
      </c>
      <c r="X415" t="s">
        <v>997</v>
      </c>
      <c r="Y415" t="s">
        <v>1000</v>
      </c>
      <c r="Z415">
        <v>0</v>
      </c>
      <c r="AA415">
        <v>-1</v>
      </c>
      <c r="AB415">
        <v>-1</v>
      </c>
      <c r="AC415">
        <v>-1</v>
      </c>
      <c r="AD415">
        <v>-1</v>
      </c>
      <c r="AE415">
        <v>-1</v>
      </c>
      <c r="AF415">
        <v>-1</v>
      </c>
      <c r="AG415">
        <v>-1</v>
      </c>
      <c r="AH415">
        <v>-1</v>
      </c>
      <c r="AI415">
        <v>-1</v>
      </c>
      <c r="AJ415" s="9">
        <f t="shared" si="128"/>
        <v>31</v>
      </c>
      <c r="AK415">
        <f t="shared" si="129"/>
        <v>0</v>
      </c>
      <c r="AL415" s="9">
        <v>0</v>
      </c>
    </row>
    <row r="416" spans="1:38" x14ac:dyDescent="0.35">
      <c r="A416" s="50">
        <v>0</v>
      </c>
      <c r="B416" s="50" t="s">
        <v>56</v>
      </c>
      <c r="C416" s="53">
        <v>43888</v>
      </c>
      <c r="D416" s="53">
        <v>43902</v>
      </c>
      <c r="E416" s="53">
        <v>43983</v>
      </c>
      <c r="F416" s="21">
        <f t="shared" si="130"/>
        <v>81</v>
      </c>
      <c r="G416" s="53">
        <v>43902</v>
      </c>
      <c r="H416" s="9">
        <v>2020</v>
      </c>
      <c r="I416" s="50">
        <v>0</v>
      </c>
      <c r="J416" s="50">
        <v>8</v>
      </c>
      <c r="K416" s="50">
        <v>33</v>
      </c>
      <c r="L416" s="24" t="s">
        <v>1367</v>
      </c>
      <c r="M416" s="24"/>
      <c r="V416" t="s">
        <v>962</v>
      </c>
      <c r="W416" t="s">
        <v>989</v>
      </c>
      <c r="X416" t="s">
        <v>997</v>
      </c>
      <c r="Y416" t="s">
        <v>1000</v>
      </c>
      <c r="Z416">
        <v>0</v>
      </c>
      <c r="AA416">
        <v>-1</v>
      </c>
      <c r="AB416">
        <v>-1</v>
      </c>
      <c r="AC416">
        <v>-1</v>
      </c>
      <c r="AD416">
        <v>-1</v>
      </c>
      <c r="AE416">
        <v>-1</v>
      </c>
      <c r="AF416">
        <v>-1</v>
      </c>
      <c r="AG416">
        <v>-1</v>
      </c>
      <c r="AH416">
        <v>-1</v>
      </c>
      <c r="AI416">
        <v>-1</v>
      </c>
      <c r="AJ416" s="9">
        <f t="shared" si="128"/>
        <v>33</v>
      </c>
      <c r="AK416">
        <f t="shared" si="129"/>
        <v>0</v>
      </c>
      <c r="AL416" s="9">
        <v>0</v>
      </c>
    </row>
    <row r="417" spans="1:38" x14ac:dyDescent="0.35">
      <c r="A417" s="50">
        <v>0</v>
      </c>
      <c r="B417" s="50" t="s">
        <v>56</v>
      </c>
      <c r="C417" s="53">
        <v>43888</v>
      </c>
      <c r="D417" s="53">
        <v>43902</v>
      </c>
      <c r="E417" s="53">
        <v>43983</v>
      </c>
      <c r="F417" s="21">
        <f t="shared" si="130"/>
        <v>81</v>
      </c>
      <c r="G417" s="53">
        <v>43902</v>
      </c>
      <c r="H417" s="9">
        <v>2020</v>
      </c>
      <c r="I417" s="50">
        <v>0</v>
      </c>
      <c r="J417" s="50">
        <v>1</v>
      </c>
      <c r="K417" s="50">
        <v>10</v>
      </c>
      <c r="L417" s="24" t="s">
        <v>1368</v>
      </c>
      <c r="M417" s="24"/>
      <c r="V417" t="s">
        <v>962</v>
      </c>
      <c r="W417" t="s">
        <v>989</v>
      </c>
      <c r="X417" t="s">
        <v>997</v>
      </c>
      <c r="Y417" t="s">
        <v>1000</v>
      </c>
      <c r="Z417">
        <v>0</v>
      </c>
      <c r="AA417">
        <v>-1</v>
      </c>
      <c r="AB417">
        <v>-1</v>
      </c>
      <c r="AC417">
        <v>-1</v>
      </c>
      <c r="AD417">
        <v>-1</v>
      </c>
      <c r="AE417">
        <v>-1</v>
      </c>
      <c r="AF417">
        <v>-1</v>
      </c>
      <c r="AG417">
        <v>-1</v>
      </c>
      <c r="AH417">
        <v>-1</v>
      </c>
      <c r="AI417">
        <v>-1</v>
      </c>
      <c r="AJ417" s="9">
        <f t="shared" si="128"/>
        <v>10</v>
      </c>
      <c r="AK417">
        <f t="shared" si="129"/>
        <v>0</v>
      </c>
      <c r="AL417" s="9">
        <v>0</v>
      </c>
    </row>
    <row r="418" spans="1:38" x14ac:dyDescent="0.35">
      <c r="A418" s="50">
        <v>0</v>
      </c>
      <c r="B418" s="50" t="s">
        <v>56</v>
      </c>
      <c r="C418" s="53">
        <v>43888</v>
      </c>
      <c r="D418" s="53">
        <v>43902</v>
      </c>
      <c r="E418" s="53">
        <v>43983</v>
      </c>
      <c r="F418" s="21">
        <f t="shared" si="130"/>
        <v>81</v>
      </c>
      <c r="G418" s="53">
        <v>43902</v>
      </c>
      <c r="H418" s="9">
        <v>2020</v>
      </c>
      <c r="I418" s="50">
        <v>0</v>
      </c>
      <c r="J418" s="50">
        <v>4</v>
      </c>
      <c r="K418" s="50">
        <v>20</v>
      </c>
      <c r="L418" s="24" t="s">
        <v>1369</v>
      </c>
      <c r="M418" s="24"/>
      <c r="V418" t="s">
        <v>962</v>
      </c>
      <c r="W418" t="s">
        <v>989</v>
      </c>
      <c r="X418" t="s">
        <v>997</v>
      </c>
      <c r="Y418" t="s">
        <v>1000</v>
      </c>
      <c r="Z418">
        <v>0</v>
      </c>
      <c r="AA418">
        <v>-1</v>
      </c>
      <c r="AB418">
        <v>-1</v>
      </c>
      <c r="AC418">
        <v>-1</v>
      </c>
      <c r="AD418">
        <v>-1</v>
      </c>
      <c r="AE418">
        <v>-1</v>
      </c>
      <c r="AF418">
        <v>-1</v>
      </c>
      <c r="AG418">
        <v>-1</v>
      </c>
      <c r="AH418">
        <v>-1</v>
      </c>
      <c r="AI418">
        <v>-1</v>
      </c>
      <c r="AJ418" s="9">
        <f t="shared" si="128"/>
        <v>20</v>
      </c>
      <c r="AK418" t="e">
        <f>IF(B418&lt;&gt;#REF!,1,0)</f>
        <v>#REF!</v>
      </c>
      <c r="AL418" s="9">
        <v>1</v>
      </c>
    </row>
    <row r="419" spans="1:38" s="47" customFormat="1" x14ac:dyDescent="0.35">
      <c r="A419" s="50">
        <v>0</v>
      </c>
      <c r="B419" s="50" t="s">
        <v>56</v>
      </c>
      <c r="C419" s="53">
        <v>43888</v>
      </c>
      <c r="D419" s="53">
        <v>43902</v>
      </c>
      <c r="E419" s="53">
        <v>43983</v>
      </c>
      <c r="F419" s="21">
        <f t="shared" si="130"/>
        <v>81</v>
      </c>
      <c r="G419" s="53">
        <v>43902</v>
      </c>
      <c r="H419" s="9">
        <v>2020</v>
      </c>
      <c r="I419" s="50">
        <v>0</v>
      </c>
      <c r="J419" s="50">
        <v>8</v>
      </c>
      <c r="K419" s="50">
        <v>33</v>
      </c>
      <c r="L419" s="48" t="s">
        <v>1738</v>
      </c>
      <c r="M419" s="48"/>
      <c r="V419" t="s">
        <v>962</v>
      </c>
      <c r="AB419">
        <v>-1</v>
      </c>
      <c r="AJ419" s="47">
        <f t="shared" si="128"/>
        <v>33</v>
      </c>
    </row>
    <row r="420" spans="1:38" s="47" customFormat="1" x14ac:dyDescent="0.35">
      <c r="A420" s="50">
        <v>0</v>
      </c>
      <c r="B420" s="50" t="s">
        <v>56</v>
      </c>
      <c r="C420" s="53">
        <v>43888</v>
      </c>
      <c r="D420" s="53">
        <v>43902</v>
      </c>
      <c r="E420" s="53">
        <v>43983</v>
      </c>
      <c r="F420" s="21">
        <f t="shared" si="130"/>
        <v>81</v>
      </c>
      <c r="G420" s="53">
        <v>43902</v>
      </c>
      <c r="H420" s="9">
        <v>2021</v>
      </c>
      <c r="I420" s="50">
        <v>0</v>
      </c>
      <c r="J420" s="50">
        <v>6</v>
      </c>
      <c r="K420" s="50">
        <v>29</v>
      </c>
      <c r="L420" s="48" t="s">
        <v>1853</v>
      </c>
      <c r="M420" s="48"/>
    </row>
    <row r="421" spans="1:38" s="47" customFormat="1" x14ac:dyDescent="0.35">
      <c r="A421" s="50">
        <v>0</v>
      </c>
      <c r="B421" s="50" t="s">
        <v>56</v>
      </c>
      <c r="C421" s="53">
        <v>43888</v>
      </c>
      <c r="D421" s="53">
        <v>43902</v>
      </c>
      <c r="E421" s="53">
        <v>43983</v>
      </c>
      <c r="F421" s="21">
        <f t="shared" si="130"/>
        <v>81</v>
      </c>
      <c r="G421" s="53">
        <v>43902</v>
      </c>
      <c r="H421" s="9">
        <v>2021</v>
      </c>
      <c r="I421" s="50">
        <v>0</v>
      </c>
      <c r="J421" s="50">
        <v>6</v>
      </c>
      <c r="K421" s="50">
        <v>29</v>
      </c>
      <c r="L421" s="48" t="s">
        <v>1854</v>
      </c>
      <c r="M421" s="48"/>
    </row>
    <row r="422" spans="1:38" s="47" customFormat="1" x14ac:dyDescent="0.35">
      <c r="A422" s="50">
        <v>0</v>
      </c>
      <c r="B422" s="50" t="s">
        <v>56</v>
      </c>
      <c r="C422" s="53">
        <v>43888</v>
      </c>
      <c r="D422" s="53">
        <v>43902</v>
      </c>
      <c r="E422" s="53">
        <v>43983</v>
      </c>
      <c r="F422" s="21">
        <f t="shared" si="130"/>
        <v>81</v>
      </c>
      <c r="G422" s="53">
        <v>43902</v>
      </c>
      <c r="H422" s="9">
        <v>2021</v>
      </c>
      <c r="I422" s="50">
        <v>0</v>
      </c>
      <c r="J422" s="50">
        <v>9</v>
      </c>
      <c r="K422" s="50">
        <v>34</v>
      </c>
      <c r="L422" s="48" t="s">
        <v>1855</v>
      </c>
      <c r="M422" s="48"/>
    </row>
    <row r="423" spans="1:38" s="47" customFormat="1" x14ac:dyDescent="0.35">
      <c r="A423" s="50">
        <v>0</v>
      </c>
      <c r="B423" s="50" t="s">
        <v>56</v>
      </c>
      <c r="C423" s="53">
        <v>43888</v>
      </c>
      <c r="D423" s="53">
        <v>43902</v>
      </c>
      <c r="E423" s="53">
        <v>43983</v>
      </c>
      <c r="F423" s="21">
        <f t="shared" si="130"/>
        <v>81</v>
      </c>
      <c r="G423" s="53">
        <v>43902</v>
      </c>
      <c r="H423" s="9">
        <v>2021</v>
      </c>
      <c r="I423" s="50">
        <v>0</v>
      </c>
      <c r="J423" s="50">
        <v>9</v>
      </c>
      <c r="K423" s="50">
        <v>34</v>
      </c>
      <c r="L423" s="48" t="s">
        <v>1856</v>
      </c>
      <c r="M423" s="48"/>
    </row>
    <row r="424" spans="1:38" s="47" customFormat="1" x14ac:dyDescent="0.35">
      <c r="A424" s="50">
        <v>0</v>
      </c>
      <c r="B424" s="50" t="s">
        <v>56</v>
      </c>
      <c r="C424" s="53">
        <v>43888</v>
      </c>
      <c r="D424" s="53">
        <v>43902</v>
      </c>
      <c r="E424" s="53">
        <v>43983</v>
      </c>
      <c r="F424" s="21">
        <f t="shared" si="130"/>
        <v>81</v>
      </c>
      <c r="G424" s="53">
        <v>43902</v>
      </c>
      <c r="H424" s="9">
        <v>2021</v>
      </c>
      <c r="I424" s="50">
        <v>0</v>
      </c>
      <c r="J424" s="50">
        <v>9</v>
      </c>
      <c r="K424" s="50">
        <v>34</v>
      </c>
      <c r="L424" s="48" t="s">
        <v>1857</v>
      </c>
      <c r="M424" s="48"/>
    </row>
    <row r="425" spans="1:38" s="47" customFormat="1" x14ac:dyDescent="0.35">
      <c r="A425" s="50">
        <v>0</v>
      </c>
      <c r="B425" s="50" t="s">
        <v>56</v>
      </c>
      <c r="C425" s="53">
        <v>43888</v>
      </c>
      <c r="D425" s="53">
        <v>43902</v>
      </c>
      <c r="E425" s="53">
        <v>43983</v>
      </c>
      <c r="F425" s="21">
        <f t="shared" si="130"/>
        <v>81</v>
      </c>
      <c r="G425" s="53">
        <v>43902</v>
      </c>
      <c r="H425" s="9">
        <v>2021</v>
      </c>
      <c r="I425" s="50">
        <v>0</v>
      </c>
      <c r="J425" s="50">
        <v>9</v>
      </c>
      <c r="K425" s="50">
        <v>34</v>
      </c>
      <c r="L425" s="48" t="s">
        <v>1858</v>
      </c>
      <c r="M425" s="48"/>
    </row>
    <row r="426" spans="1:38" s="47" customFormat="1" x14ac:dyDescent="0.35">
      <c r="A426" s="9">
        <v>0</v>
      </c>
      <c r="B426" s="9" t="s">
        <v>56</v>
      </c>
      <c r="C426" s="53">
        <v>43888</v>
      </c>
      <c r="D426" s="53">
        <v>43902</v>
      </c>
      <c r="E426" s="53">
        <v>43983</v>
      </c>
      <c r="F426" s="21">
        <f t="shared" si="130"/>
        <v>81</v>
      </c>
      <c r="G426" s="53">
        <v>43902</v>
      </c>
      <c r="H426" s="9">
        <v>2021</v>
      </c>
      <c r="I426" s="9">
        <v>0</v>
      </c>
      <c r="J426" s="9">
        <v>5</v>
      </c>
      <c r="K426" s="9">
        <v>23</v>
      </c>
      <c r="L426" s="48" t="s">
        <v>1859</v>
      </c>
    </row>
    <row r="427" spans="1:38" hidden="1" x14ac:dyDescent="0.35">
      <c r="A427" s="50">
        <v>0</v>
      </c>
      <c r="B427" s="9" t="s">
        <v>1</v>
      </c>
      <c r="F427" s="21">
        <f t="shared" si="130"/>
        <v>0</v>
      </c>
      <c r="I427" s="50">
        <v>0</v>
      </c>
      <c r="J427" s="9">
        <v>5</v>
      </c>
      <c r="K427" s="9" t="s">
        <v>204</v>
      </c>
      <c r="L427" s="50" t="s">
        <v>215</v>
      </c>
      <c r="M427">
        <v>1</v>
      </c>
      <c r="N427">
        <v>-2</v>
      </c>
      <c r="O427">
        <v>-2</v>
      </c>
      <c r="P427">
        <v>-1</v>
      </c>
      <c r="Q427">
        <v>-2</v>
      </c>
      <c r="R427">
        <v>1</v>
      </c>
      <c r="S427">
        <v>1</v>
      </c>
      <c r="T427">
        <v>2</v>
      </c>
      <c r="U427">
        <v>1</v>
      </c>
      <c r="V427" t="s">
        <v>202</v>
      </c>
      <c r="W427" t="s">
        <v>989</v>
      </c>
      <c r="X427" t="s">
        <v>997</v>
      </c>
      <c r="Y427" t="s">
        <v>1000</v>
      </c>
      <c r="Z427">
        <v>0</v>
      </c>
      <c r="AA427">
        <f t="shared" ref="AA427:AI434" si="131">IF(M427&gt;0,1,IF(M427&lt;0,0,-1))</f>
        <v>1</v>
      </c>
      <c r="AB427">
        <f t="shared" si="131"/>
        <v>0</v>
      </c>
      <c r="AC427">
        <f t="shared" si="131"/>
        <v>0</v>
      </c>
      <c r="AD427">
        <f t="shared" si="131"/>
        <v>0</v>
      </c>
      <c r="AE427">
        <f t="shared" si="131"/>
        <v>0</v>
      </c>
      <c r="AF427">
        <f t="shared" si="131"/>
        <v>1</v>
      </c>
      <c r="AG427">
        <f t="shared" si="131"/>
        <v>1</v>
      </c>
      <c r="AH427">
        <f t="shared" si="131"/>
        <v>1</v>
      </c>
      <c r="AI427">
        <f t="shared" si="131"/>
        <v>1</v>
      </c>
      <c r="AJ427" s="9" t="str">
        <f t="shared" ref="AJ427:AJ458" si="132">IF(ISNUMBER(K427),K427,IF(OR(K427="general",K427="23;general"),"General",IF(OR(K427="exemption",K427="other (exemption)"),"Tax exemption/waiver/suspension","Other")))</f>
        <v>General</v>
      </c>
      <c r="AK427" t="e">
        <f>IF(B427&lt;&gt;#REF!,1,0)</f>
        <v>#REF!</v>
      </c>
      <c r="AL427" s="9">
        <v>1</v>
      </c>
    </row>
    <row r="428" spans="1:38" hidden="1" x14ac:dyDescent="0.35">
      <c r="A428" s="50">
        <v>0</v>
      </c>
      <c r="B428" s="9" t="s">
        <v>1</v>
      </c>
      <c r="F428" s="21">
        <f t="shared" si="130"/>
        <v>0</v>
      </c>
      <c r="I428" s="50">
        <v>0</v>
      </c>
      <c r="J428" s="9">
        <v>7</v>
      </c>
      <c r="K428" s="9">
        <v>30</v>
      </c>
      <c r="L428" s="50" t="s">
        <v>209</v>
      </c>
      <c r="M428">
        <v>1</v>
      </c>
      <c r="N428">
        <v>1</v>
      </c>
      <c r="O428">
        <v>1</v>
      </c>
      <c r="P428">
        <v>1</v>
      </c>
      <c r="Q428">
        <v>2</v>
      </c>
      <c r="R428">
        <v>-1</v>
      </c>
      <c r="S428">
        <v>-1</v>
      </c>
      <c r="T428">
        <v>2</v>
      </c>
      <c r="U428">
        <v>1</v>
      </c>
      <c r="V428" t="s">
        <v>202</v>
      </c>
      <c r="W428" t="s">
        <v>989</v>
      </c>
      <c r="X428" t="s">
        <v>997</v>
      </c>
      <c r="Y428" t="s">
        <v>1000</v>
      </c>
      <c r="Z428">
        <v>0</v>
      </c>
      <c r="AA428">
        <f t="shared" si="131"/>
        <v>1</v>
      </c>
      <c r="AB428">
        <f t="shared" si="131"/>
        <v>1</v>
      </c>
      <c r="AC428">
        <f t="shared" si="131"/>
        <v>1</v>
      </c>
      <c r="AD428">
        <f t="shared" si="131"/>
        <v>1</v>
      </c>
      <c r="AE428">
        <f t="shared" si="131"/>
        <v>1</v>
      </c>
      <c r="AF428">
        <f t="shared" si="131"/>
        <v>0</v>
      </c>
      <c r="AG428">
        <f t="shared" si="131"/>
        <v>0</v>
      </c>
      <c r="AH428">
        <f t="shared" si="131"/>
        <v>1</v>
      </c>
      <c r="AI428">
        <f t="shared" si="131"/>
        <v>1</v>
      </c>
      <c r="AJ428" s="9">
        <f t="shared" si="132"/>
        <v>30</v>
      </c>
      <c r="AK428">
        <f t="shared" ref="AK428:AK439" si="133">IF(B428&lt;&gt;B427,1,0)</f>
        <v>0</v>
      </c>
      <c r="AL428" s="9">
        <v>1</v>
      </c>
    </row>
    <row r="429" spans="1:38" hidden="1" x14ac:dyDescent="0.35">
      <c r="A429" s="50">
        <v>0</v>
      </c>
      <c r="B429" s="9" t="s">
        <v>1</v>
      </c>
      <c r="F429" s="21">
        <f t="shared" si="130"/>
        <v>0</v>
      </c>
      <c r="I429" s="50">
        <v>0</v>
      </c>
      <c r="J429" s="9">
        <v>9</v>
      </c>
      <c r="K429" s="9">
        <v>34</v>
      </c>
      <c r="L429" s="50" t="s">
        <v>210</v>
      </c>
      <c r="M429">
        <v>1</v>
      </c>
      <c r="N429">
        <v>1</v>
      </c>
      <c r="O429">
        <v>2</v>
      </c>
      <c r="P429">
        <v>-1</v>
      </c>
      <c r="Q429">
        <v>-2</v>
      </c>
      <c r="R429">
        <v>2</v>
      </c>
      <c r="S429">
        <v>1</v>
      </c>
      <c r="T429">
        <v>-2</v>
      </c>
      <c r="U429">
        <v>1</v>
      </c>
      <c r="V429" t="s">
        <v>202</v>
      </c>
      <c r="W429" t="s">
        <v>989</v>
      </c>
      <c r="X429" t="s">
        <v>997</v>
      </c>
      <c r="Y429" t="s">
        <v>1000</v>
      </c>
      <c r="Z429">
        <v>0</v>
      </c>
      <c r="AA429">
        <f t="shared" si="131"/>
        <v>1</v>
      </c>
      <c r="AB429">
        <f t="shared" si="131"/>
        <v>1</v>
      </c>
      <c r="AC429">
        <f t="shared" si="131"/>
        <v>1</v>
      </c>
      <c r="AD429">
        <f t="shared" si="131"/>
        <v>0</v>
      </c>
      <c r="AE429">
        <f t="shared" si="131"/>
        <v>0</v>
      </c>
      <c r="AF429">
        <f t="shared" si="131"/>
        <v>1</v>
      </c>
      <c r="AG429">
        <f t="shared" si="131"/>
        <v>1</v>
      </c>
      <c r="AH429">
        <f t="shared" si="131"/>
        <v>0</v>
      </c>
      <c r="AI429">
        <f t="shared" si="131"/>
        <v>1</v>
      </c>
      <c r="AJ429" s="9">
        <f t="shared" si="132"/>
        <v>34</v>
      </c>
      <c r="AK429">
        <f t="shared" si="133"/>
        <v>0</v>
      </c>
      <c r="AL429" s="9">
        <v>1</v>
      </c>
    </row>
    <row r="430" spans="1:38" hidden="1" x14ac:dyDescent="0.35">
      <c r="A430" s="50">
        <v>0</v>
      </c>
      <c r="B430" s="9" t="s">
        <v>1</v>
      </c>
      <c r="F430" s="21">
        <f t="shared" si="130"/>
        <v>0</v>
      </c>
      <c r="I430" s="50">
        <v>0</v>
      </c>
      <c r="J430" s="9">
        <v>5</v>
      </c>
      <c r="K430" s="9">
        <v>23</v>
      </c>
      <c r="L430" s="50" t="s">
        <v>211</v>
      </c>
      <c r="M430">
        <v>1</v>
      </c>
      <c r="O430">
        <v>-2</v>
      </c>
      <c r="P430">
        <v>-1</v>
      </c>
      <c r="Q430">
        <v>-2</v>
      </c>
      <c r="R430">
        <v>-2</v>
      </c>
      <c r="S430">
        <v>1</v>
      </c>
      <c r="T430">
        <v>-2</v>
      </c>
      <c r="U430">
        <v>1</v>
      </c>
      <c r="V430" t="s">
        <v>202</v>
      </c>
      <c r="W430" t="s">
        <v>989</v>
      </c>
      <c r="X430" t="s">
        <v>997</v>
      </c>
      <c r="Y430" t="s">
        <v>1000</v>
      </c>
      <c r="Z430">
        <v>0</v>
      </c>
      <c r="AA430">
        <f t="shared" si="131"/>
        <v>1</v>
      </c>
      <c r="AB430">
        <f t="shared" si="131"/>
        <v>-1</v>
      </c>
      <c r="AC430">
        <f t="shared" si="131"/>
        <v>0</v>
      </c>
      <c r="AD430">
        <f t="shared" si="131"/>
        <v>0</v>
      </c>
      <c r="AE430">
        <f t="shared" si="131"/>
        <v>0</v>
      </c>
      <c r="AF430">
        <f t="shared" si="131"/>
        <v>0</v>
      </c>
      <c r="AG430">
        <f t="shared" si="131"/>
        <v>1</v>
      </c>
      <c r="AH430">
        <f t="shared" si="131"/>
        <v>0</v>
      </c>
      <c r="AI430">
        <f t="shared" si="131"/>
        <v>1</v>
      </c>
      <c r="AJ430" s="9">
        <f t="shared" si="132"/>
        <v>23</v>
      </c>
      <c r="AK430">
        <f t="shared" si="133"/>
        <v>0</v>
      </c>
      <c r="AL430" s="9">
        <v>1</v>
      </c>
    </row>
    <row r="431" spans="1:38" hidden="1" x14ac:dyDescent="0.35">
      <c r="A431" s="50">
        <v>0</v>
      </c>
      <c r="B431" s="9" t="s">
        <v>1</v>
      </c>
      <c r="F431" s="21">
        <f t="shared" si="130"/>
        <v>0</v>
      </c>
      <c r="I431" s="50">
        <v>0</v>
      </c>
      <c r="J431" s="9">
        <v>7</v>
      </c>
      <c r="K431" s="9" t="s">
        <v>201</v>
      </c>
      <c r="L431" s="50" t="s">
        <v>216</v>
      </c>
      <c r="M431">
        <v>-2</v>
      </c>
      <c r="N431">
        <v>1</v>
      </c>
      <c r="O431">
        <v>2</v>
      </c>
      <c r="P431">
        <v>1</v>
      </c>
      <c r="Q431">
        <v>2</v>
      </c>
      <c r="R431">
        <v>2</v>
      </c>
      <c r="S431">
        <v>1</v>
      </c>
      <c r="T431">
        <v>1</v>
      </c>
      <c r="U431">
        <v>1</v>
      </c>
      <c r="V431" t="s">
        <v>202</v>
      </c>
      <c r="W431" t="s">
        <v>989</v>
      </c>
      <c r="X431" t="s">
        <v>997</v>
      </c>
      <c r="Y431" t="s">
        <v>1000</v>
      </c>
      <c r="Z431">
        <v>0</v>
      </c>
      <c r="AA431">
        <f t="shared" si="131"/>
        <v>0</v>
      </c>
      <c r="AB431">
        <f t="shared" si="131"/>
        <v>1</v>
      </c>
      <c r="AC431">
        <f t="shared" si="131"/>
        <v>1</v>
      </c>
      <c r="AD431">
        <f t="shared" si="131"/>
        <v>1</v>
      </c>
      <c r="AE431">
        <f t="shared" si="131"/>
        <v>1</v>
      </c>
      <c r="AF431">
        <f t="shared" si="131"/>
        <v>1</v>
      </c>
      <c r="AG431">
        <f t="shared" si="131"/>
        <v>1</v>
      </c>
      <c r="AH431">
        <f t="shared" si="131"/>
        <v>1</v>
      </c>
      <c r="AI431">
        <f t="shared" si="131"/>
        <v>1</v>
      </c>
      <c r="AJ431" s="9" t="str">
        <f t="shared" si="132"/>
        <v>Other</v>
      </c>
      <c r="AK431">
        <f t="shared" si="133"/>
        <v>0</v>
      </c>
      <c r="AL431" s="9">
        <v>1</v>
      </c>
    </row>
    <row r="432" spans="1:38" hidden="1" x14ac:dyDescent="0.35">
      <c r="A432" s="50">
        <v>0</v>
      </c>
      <c r="B432" s="9" t="s">
        <v>1</v>
      </c>
      <c r="F432" s="21">
        <f t="shared" si="130"/>
        <v>0</v>
      </c>
      <c r="I432" s="50">
        <v>0</v>
      </c>
      <c r="J432" s="9">
        <v>7</v>
      </c>
      <c r="K432" s="9">
        <v>30</v>
      </c>
      <c r="L432" s="50" t="s">
        <v>212</v>
      </c>
      <c r="M432">
        <v>1</v>
      </c>
      <c r="N432">
        <v>1</v>
      </c>
      <c r="O432">
        <v>2</v>
      </c>
      <c r="P432">
        <v>-1</v>
      </c>
      <c r="Q432">
        <v>2</v>
      </c>
      <c r="R432">
        <v>2</v>
      </c>
      <c r="S432">
        <v>1</v>
      </c>
      <c r="T432">
        <v>-2</v>
      </c>
      <c r="U432">
        <v>1</v>
      </c>
      <c r="V432" t="s">
        <v>202</v>
      </c>
      <c r="W432" t="s">
        <v>989</v>
      </c>
      <c r="X432" t="s">
        <v>997</v>
      </c>
      <c r="Y432" t="s">
        <v>1000</v>
      </c>
      <c r="Z432">
        <v>0</v>
      </c>
      <c r="AA432">
        <f t="shared" si="131"/>
        <v>1</v>
      </c>
      <c r="AB432">
        <f t="shared" si="131"/>
        <v>1</v>
      </c>
      <c r="AC432">
        <f t="shared" si="131"/>
        <v>1</v>
      </c>
      <c r="AD432">
        <f t="shared" si="131"/>
        <v>0</v>
      </c>
      <c r="AE432">
        <f t="shared" si="131"/>
        <v>1</v>
      </c>
      <c r="AF432">
        <f t="shared" si="131"/>
        <v>1</v>
      </c>
      <c r="AG432">
        <f t="shared" si="131"/>
        <v>1</v>
      </c>
      <c r="AH432">
        <f t="shared" si="131"/>
        <v>0</v>
      </c>
      <c r="AI432">
        <f t="shared" si="131"/>
        <v>1</v>
      </c>
      <c r="AJ432" s="9">
        <f t="shared" si="132"/>
        <v>30</v>
      </c>
      <c r="AK432">
        <f t="shared" si="133"/>
        <v>0</v>
      </c>
      <c r="AL432" s="9">
        <v>1</v>
      </c>
    </row>
    <row r="433" spans="1:38" hidden="1" x14ac:dyDescent="0.35">
      <c r="A433" s="50">
        <v>0</v>
      </c>
      <c r="B433" s="9" t="s">
        <v>1</v>
      </c>
      <c r="F433" s="21">
        <f t="shared" si="130"/>
        <v>0</v>
      </c>
      <c r="I433" s="50">
        <v>0</v>
      </c>
      <c r="J433" s="9">
        <v>7</v>
      </c>
      <c r="K433" s="9">
        <v>30</v>
      </c>
      <c r="L433" s="50" t="s">
        <v>213</v>
      </c>
      <c r="M433">
        <v>1</v>
      </c>
      <c r="N433">
        <v>1</v>
      </c>
      <c r="O433">
        <v>2</v>
      </c>
      <c r="P433">
        <v>1</v>
      </c>
      <c r="Q433">
        <v>1</v>
      </c>
      <c r="R433">
        <v>2</v>
      </c>
      <c r="S433">
        <v>1</v>
      </c>
      <c r="T433">
        <v>-2</v>
      </c>
      <c r="U433">
        <v>1</v>
      </c>
      <c r="V433" t="s">
        <v>202</v>
      </c>
      <c r="W433" t="s">
        <v>989</v>
      </c>
      <c r="X433" t="s">
        <v>997</v>
      </c>
      <c r="Y433" t="s">
        <v>1000</v>
      </c>
      <c r="Z433">
        <v>0</v>
      </c>
      <c r="AA433">
        <f t="shared" si="131"/>
        <v>1</v>
      </c>
      <c r="AB433">
        <f t="shared" si="131"/>
        <v>1</v>
      </c>
      <c r="AC433">
        <f t="shared" si="131"/>
        <v>1</v>
      </c>
      <c r="AD433">
        <f t="shared" si="131"/>
        <v>1</v>
      </c>
      <c r="AE433">
        <f t="shared" si="131"/>
        <v>1</v>
      </c>
      <c r="AF433">
        <f t="shared" si="131"/>
        <v>1</v>
      </c>
      <c r="AG433">
        <f t="shared" si="131"/>
        <v>1</v>
      </c>
      <c r="AH433">
        <f t="shared" si="131"/>
        <v>0</v>
      </c>
      <c r="AI433">
        <f t="shared" si="131"/>
        <v>1</v>
      </c>
      <c r="AJ433" s="9">
        <f t="shared" si="132"/>
        <v>30</v>
      </c>
      <c r="AK433">
        <f t="shared" si="133"/>
        <v>0</v>
      </c>
      <c r="AL433" s="9">
        <v>1</v>
      </c>
    </row>
    <row r="434" spans="1:38" hidden="1" x14ac:dyDescent="0.35">
      <c r="A434" s="50">
        <v>0</v>
      </c>
      <c r="B434" s="9" t="s">
        <v>1</v>
      </c>
      <c r="F434" s="21">
        <f t="shared" si="130"/>
        <v>0</v>
      </c>
      <c r="I434" s="50">
        <v>0</v>
      </c>
      <c r="J434" s="9">
        <v>7</v>
      </c>
      <c r="K434" s="9">
        <v>30</v>
      </c>
      <c r="L434" s="50" t="s">
        <v>214</v>
      </c>
      <c r="M434">
        <v>1</v>
      </c>
      <c r="N434">
        <v>1</v>
      </c>
      <c r="O434">
        <v>2</v>
      </c>
      <c r="P434">
        <v>1</v>
      </c>
      <c r="Q434">
        <v>2</v>
      </c>
      <c r="R434">
        <v>1</v>
      </c>
      <c r="S434">
        <v>1</v>
      </c>
      <c r="T434">
        <v>-2</v>
      </c>
      <c r="U434">
        <v>1</v>
      </c>
      <c r="V434" t="s">
        <v>202</v>
      </c>
      <c r="W434" t="s">
        <v>989</v>
      </c>
      <c r="X434" t="s">
        <v>997</v>
      </c>
      <c r="Y434" t="s">
        <v>1000</v>
      </c>
      <c r="Z434">
        <v>0</v>
      </c>
      <c r="AA434">
        <f t="shared" si="131"/>
        <v>1</v>
      </c>
      <c r="AB434">
        <f t="shared" si="131"/>
        <v>1</v>
      </c>
      <c r="AC434">
        <f t="shared" si="131"/>
        <v>1</v>
      </c>
      <c r="AD434">
        <f t="shared" si="131"/>
        <v>1</v>
      </c>
      <c r="AE434">
        <f t="shared" si="131"/>
        <v>1</v>
      </c>
      <c r="AF434">
        <f t="shared" si="131"/>
        <v>1</v>
      </c>
      <c r="AG434">
        <f t="shared" si="131"/>
        <v>1</v>
      </c>
      <c r="AH434">
        <f t="shared" si="131"/>
        <v>0</v>
      </c>
      <c r="AI434">
        <f t="shared" si="131"/>
        <v>1</v>
      </c>
      <c r="AJ434" s="9">
        <f t="shared" si="132"/>
        <v>30</v>
      </c>
      <c r="AK434">
        <f t="shared" si="133"/>
        <v>0</v>
      </c>
      <c r="AL434" s="9">
        <v>0</v>
      </c>
    </row>
    <row r="435" spans="1:38" hidden="1" x14ac:dyDescent="0.35">
      <c r="A435" s="50">
        <v>0</v>
      </c>
      <c r="B435" s="50" t="s">
        <v>1</v>
      </c>
      <c r="C435" s="50"/>
      <c r="D435" s="50"/>
      <c r="E435" s="50"/>
      <c r="F435" s="21">
        <f t="shared" si="130"/>
        <v>0</v>
      </c>
      <c r="G435" s="50"/>
      <c r="I435" s="50">
        <v>0</v>
      </c>
      <c r="J435" s="50">
        <v>7</v>
      </c>
      <c r="K435" s="50">
        <v>31</v>
      </c>
      <c r="L435" s="24" t="s">
        <v>1370</v>
      </c>
      <c r="M435" s="24"/>
      <c r="W435" t="s">
        <v>989</v>
      </c>
      <c r="X435" t="s">
        <v>997</v>
      </c>
      <c r="Y435" t="s">
        <v>1000</v>
      </c>
      <c r="Z435">
        <v>0</v>
      </c>
      <c r="AA435">
        <v>-1</v>
      </c>
      <c r="AB435">
        <v>-1</v>
      </c>
      <c r="AC435">
        <v>-1</v>
      </c>
      <c r="AD435">
        <v>-1</v>
      </c>
      <c r="AE435">
        <v>-1</v>
      </c>
      <c r="AF435">
        <v>-1</v>
      </c>
      <c r="AG435">
        <v>-1</v>
      </c>
      <c r="AH435">
        <v>-1</v>
      </c>
      <c r="AI435">
        <v>-1</v>
      </c>
      <c r="AJ435" s="9">
        <f t="shared" si="132"/>
        <v>31</v>
      </c>
      <c r="AK435">
        <f t="shared" si="133"/>
        <v>0</v>
      </c>
      <c r="AL435" s="9">
        <v>0</v>
      </c>
    </row>
    <row r="436" spans="1:38" hidden="1" x14ac:dyDescent="0.35">
      <c r="A436" s="50">
        <v>0</v>
      </c>
      <c r="B436" s="50" t="s">
        <v>1</v>
      </c>
      <c r="C436" s="50"/>
      <c r="D436" s="50"/>
      <c r="E436" s="50"/>
      <c r="F436" s="21">
        <f t="shared" si="130"/>
        <v>0</v>
      </c>
      <c r="G436" s="50"/>
      <c r="I436" s="50">
        <v>0</v>
      </c>
      <c r="J436" s="50">
        <v>7</v>
      </c>
      <c r="K436" s="50">
        <v>30</v>
      </c>
      <c r="L436" s="24" t="s">
        <v>1371</v>
      </c>
      <c r="M436" s="24"/>
      <c r="W436" t="s">
        <v>989</v>
      </c>
      <c r="X436" t="s">
        <v>997</v>
      </c>
      <c r="Y436" t="s">
        <v>1000</v>
      </c>
      <c r="Z436">
        <v>0</v>
      </c>
      <c r="AA436">
        <v>-1</v>
      </c>
      <c r="AB436">
        <v>-1</v>
      </c>
      <c r="AC436">
        <v>-1</v>
      </c>
      <c r="AD436">
        <v>-1</v>
      </c>
      <c r="AE436">
        <v>-1</v>
      </c>
      <c r="AF436">
        <v>-1</v>
      </c>
      <c r="AG436">
        <v>-1</v>
      </c>
      <c r="AH436">
        <v>-1</v>
      </c>
      <c r="AI436">
        <v>-1</v>
      </c>
      <c r="AJ436" s="9">
        <f t="shared" si="132"/>
        <v>30</v>
      </c>
      <c r="AK436">
        <f t="shared" si="133"/>
        <v>0</v>
      </c>
      <c r="AL436" s="9">
        <v>0</v>
      </c>
    </row>
    <row r="437" spans="1:38" hidden="1" x14ac:dyDescent="0.35">
      <c r="A437" s="50">
        <v>0</v>
      </c>
      <c r="B437" s="50" t="s">
        <v>1</v>
      </c>
      <c r="C437" s="50"/>
      <c r="D437" s="50"/>
      <c r="E437" s="50"/>
      <c r="F437" s="21">
        <f t="shared" si="130"/>
        <v>0</v>
      </c>
      <c r="G437" s="50"/>
      <c r="I437" s="50">
        <v>0</v>
      </c>
      <c r="J437" s="50" t="s">
        <v>201</v>
      </c>
      <c r="K437" s="50" t="s">
        <v>201</v>
      </c>
      <c r="L437" s="24" t="s">
        <v>1372</v>
      </c>
      <c r="M437" s="24"/>
      <c r="W437" t="s">
        <v>989</v>
      </c>
      <c r="X437" t="s">
        <v>997</v>
      </c>
      <c r="Y437" t="s">
        <v>1000</v>
      </c>
      <c r="Z437">
        <v>0</v>
      </c>
      <c r="AA437">
        <v>-1</v>
      </c>
      <c r="AB437">
        <v>-1</v>
      </c>
      <c r="AC437">
        <v>-1</v>
      </c>
      <c r="AD437">
        <v>-1</v>
      </c>
      <c r="AE437">
        <v>-1</v>
      </c>
      <c r="AF437">
        <v>-1</v>
      </c>
      <c r="AG437">
        <v>-1</v>
      </c>
      <c r="AH437">
        <v>-1</v>
      </c>
      <c r="AI437">
        <v>-1</v>
      </c>
      <c r="AJ437" s="9" t="str">
        <f t="shared" si="132"/>
        <v>Other</v>
      </c>
      <c r="AK437">
        <f t="shared" si="133"/>
        <v>0</v>
      </c>
      <c r="AL437" s="9">
        <v>0</v>
      </c>
    </row>
    <row r="438" spans="1:38" hidden="1" x14ac:dyDescent="0.35">
      <c r="A438" s="50">
        <v>0</v>
      </c>
      <c r="B438" s="50" t="s">
        <v>1</v>
      </c>
      <c r="C438" s="50"/>
      <c r="D438" s="50"/>
      <c r="E438" s="50"/>
      <c r="F438" s="21">
        <f t="shared" si="130"/>
        <v>0</v>
      </c>
      <c r="G438" s="50"/>
      <c r="I438" s="50">
        <v>0</v>
      </c>
      <c r="J438" s="50">
        <v>7</v>
      </c>
      <c r="K438" s="50">
        <v>30</v>
      </c>
      <c r="L438" s="24" t="s">
        <v>1373</v>
      </c>
      <c r="M438" s="24"/>
      <c r="W438" t="s">
        <v>989</v>
      </c>
      <c r="X438" t="s">
        <v>997</v>
      </c>
      <c r="Y438" t="s">
        <v>1000</v>
      </c>
      <c r="Z438">
        <v>0</v>
      </c>
      <c r="AA438">
        <v>-1</v>
      </c>
      <c r="AB438">
        <v>-1</v>
      </c>
      <c r="AC438">
        <v>-1</v>
      </c>
      <c r="AD438">
        <v>-1</v>
      </c>
      <c r="AE438">
        <v>-1</v>
      </c>
      <c r="AF438">
        <v>-1</v>
      </c>
      <c r="AG438">
        <v>-1</v>
      </c>
      <c r="AH438">
        <v>-1</v>
      </c>
      <c r="AI438">
        <v>-1</v>
      </c>
      <c r="AJ438" s="9">
        <f t="shared" si="132"/>
        <v>30</v>
      </c>
      <c r="AK438">
        <f t="shared" si="133"/>
        <v>0</v>
      </c>
      <c r="AL438" s="9">
        <v>0</v>
      </c>
    </row>
    <row r="439" spans="1:38" hidden="1" x14ac:dyDescent="0.35">
      <c r="A439" s="50">
        <v>0</v>
      </c>
      <c r="B439" s="50" t="s">
        <v>1</v>
      </c>
      <c r="C439" s="50"/>
      <c r="D439" s="50"/>
      <c r="E439" s="50"/>
      <c r="F439" s="21">
        <f t="shared" si="130"/>
        <v>0</v>
      </c>
      <c r="G439" s="50"/>
      <c r="I439" s="50">
        <v>0</v>
      </c>
      <c r="J439" s="50">
        <v>5</v>
      </c>
      <c r="K439" s="50" t="s">
        <v>204</v>
      </c>
      <c r="L439" s="24" t="s">
        <v>1374</v>
      </c>
      <c r="M439" s="24"/>
      <c r="W439" t="s">
        <v>989</v>
      </c>
      <c r="X439" t="s">
        <v>997</v>
      </c>
      <c r="Y439" t="s">
        <v>1000</v>
      </c>
      <c r="Z439">
        <v>0</v>
      </c>
      <c r="AA439">
        <v>-1</v>
      </c>
      <c r="AB439">
        <v>-1</v>
      </c>
      <c r="AC439">
        <v>-1</v>
      </c>
      <c r="AD439">
        <v>-1</v>
      </c>
      <c r="AE439">
        <v>-1</v>
      </c>
      <c r="AF439">
        <v>-1</v>
      </c>
      <c r="AG439">
        <v>-1</v>
      </c>
      <c r="AH439">
        <v>-1</v>
      </c>
      <c r="AI439">
        <v>-1</v>
      </c>
      <c r="AJ439" s="9" t="str">
        <f t="shared" si="132"/>
        <v>General</v>
      </c>
      <c r="AK439">
        <f t="shared" si="133"/>
        <v>0</v>
      </c>
      <c r="AL439" s="9">
        <v>1</v>
      </c>
    </row>
    <row r="440" spans="1:38" x14ac:dyDescent="0.35">
      <c r="A440" s="50">
        <v>0</v>
      </c>
      <c r="B440" s="9" t="s">
        <v>58</v>
      </c>
      <c r="C440" s="53">
        <v>43890</v>
      </c>
      <c r="D440" s="53">
        <v>43906</v>
      </c>
      <c r="E440" s="53">
        <v>43983</v>
      </c>
      <c r="F440" s="21">
        <f t="shared" si="130"/>
        <v>77</v>
      </c>
      <c r="G440" s="53">
        <v>43906</v>
      </c>
      <c r="H440" s="9">
        <v>2020</v>
      </c>
      <c r="I440" s="50">
        <v>0</v>
      </c>
      <c r="J440" s="9">
        <v>6</v>
      </c>
      <c r="K440" s="9">
        <v>26</v>
      </c>
      <c r="L440" s="50" t="s">
        <v>488</v>
      </c>
      <c r="M440">
        <v>1</v>
      </c>
      <c r="N440">
        <v>1</v>
      </c>
      <c r="O440">
        <v>2</v>
      </c>
      <c r="P440">
        <v>-1</v>
      </c>
      <c r="Q440">
        <v>-2</v>
      </c>
      <c r="R440">
        <v>2</v>
      </c>
      <c r="S440">
        <v>-1</v>
      </c>
      <c r="T440">
        <v>-2</v>
      </c>
      <c r="U440">
        <v>1</v>
      </c>
      <c r="V440" t="s">
        <v>963</v>
      </c>
      <c r="W440" t="s">
        <v>989</v>
      </c>
      <c r="X440" t="s">
        <v>997</v>
      </c>
      <c r="Y440" t="s">
        <v>1000</v>
      </c>
      <c r="Z440">
        <v>0</v>
      </c>
      <c r="AA440">
        <f t="shared" ref="AA440:AA454" si="134">IF(M440&gt;0,1,IF(M440&lt;0,0,-1))</f>
        <v>1</v>
      </c>
      <c r="AB440">
        <f t="shared" ref="AB440:AB454" si="135">IF(N440&gt;0,1,IF(N440&lt;0,0,-1))</f>
        <v>1</v>
      </c>
      <c r="AC440">
        <f t="shared" ref="AC440:AC454" si="136">IF(O440&gt;0,1,IF(O440&lt;0,0,-1))</f>
        <v>1</v>
      </c>
      <c r="AD440">
        <f t="shared" ref="AD440:AD454" si="137">IF(P440&gt;0,1,IF(P440&lt;0,0,-1))</f>
        <v>0</v>
      </c>
      <c r="AE440">
        <f t="shared" ref="AE440:AE454" si="138">IF(Q440&gt;0,1,IF(Q440&lt;0,0,-1))</f>
        <v>0</v>
      </c>
      <c r="AF440">
        <f t="shared" ref="AF440:AF454" si="139">IF(R440&gt;0,1,IF(R440&lt;0,0,-1))</f>
        <v>1</v>
      </c>
      <c r="AG440">
        <f t="shared" ref="AG440:AG454" si="140">IF(S440&gt;0,1,IF(S440&lt;0,0,-1))</f>
        <v>0</v>
      </c>
      <c r="AH440">
        <f t="shared" ref="AH440:AH454" si="141">IF(T440&gt;0,1,IF(T440&lt;0,0,-1))</f>
        <v>0</v>
      </c>
      <c r="AI440">
        <f t="shared" ref="AI440:AI454" si="142">IF(U440&gt;0,1,IF(U440&lt;0,0,-1))</f>
        <v>1</v>
      </c>
      <c r="AJ440" s="9">
        <f t="shared" si="132"/>
        <v>26</v>
      </c>
      <c r="AK440" t="e">
        <f>IF(B440&lt;&gt;#REF!,1,0)</f>
        <v>#REF!</v>
      </c>
      <c r="AL440" s="9">
        <v>1</v>
      </c>
    </row>
    <row r="441" spans="1:38" x14ac:dyDescent="0.35">
      <c r="A441" s="50">
        <v>0</v>
      </c>
      <c r="B441" s="9" t="s">
        <v>58</v>
      </c>
      <c r="C441" s="53">
        <v>43890</v>
      </c>
      <c r="D441" s="53">
        <v>43906</v>
      </c>
      <c r="E441" s="53">
        <v>43983</v>
      </c>
      <c r="F441" s="21">
        <f t="shared" si="130"/>
        <v>77</v>
      </c>
      <c r="G441" s="53">
        <v>43906</v>
      </c>
      <c r="H441" s="9">
        <v>2020</v>
      </c>
      <c r="I441" s="50">
        <v>0</v>
      </c>
      <c r="J441" s="9">
        <v>5</v>
      </c>
      <c r="K441" s="9" t="s">
        <v>204</v>
      </c>
      <c r="L441" s="50" t="s">
        <v>475</v>
      </c>
      <c r="M441">
        <v>1</v>
      </c>
      <c r="N441">
        <v>-2</v>
      </c>
      <c r="O441">
        <v>-2</v>
      </c>
      <c r="P441">
        <v>-1</v>
      </c>
      <c r="Q441">
        <v>-2</v>
      </c>
      <c r="R441">
        <v>1</v>
      </c>
      <c r="S441">
        <v>1</v>
      </c>
      <c r="T441">
        <v>2</v>
      </c>
      <c r="U441">
        <v>1</v>
      </c>
      <c r="V441" t="s">
        <v>963</v>
      </c>
      <c r="W441" t="s">
        <v>989</v>
      </c>
      <c r="X441" t="s">
        <v>997</v>
      </c>
      <c r="Y441" t="s">
        <v>1000</v>
      </c>
      <c r="Z441">
        <v>0</v>
      </c>
      <c r="AA441">
        <f t="shared" si="134"/>
        <v>1</v>
      </c>
      <c r="AB441">
        <f t="shared" si="135"/>
        <v>0</v>
      </c>
      <c r="AC441">
        <f t="shared" si="136"/>
        <v>0</v>
      </c>
      <c r="AD441">
        <f t="shared" si="137"/>
        <v>0</v>
      </c>
      <c r="AE441">
        <f t="shared" si="138"/>
        <v>0</v>
      </c>
      <c r="AF441">
        <f t="shared" si="139"/>
        <v>1</v>
      </c>
      <c r="AG441">
        <f t="shared" si="140"/>
        <v>1</v>
      </c>
      <c r="AH441">
        <f t="shared" si="141"/>
        <v>1</v>
      </c>
      <c r="AI441">
        <f t="shared" si="142"/>
        <v>1</v>
      </c>
      <c r="AJ441" s="9" t="str">
        <f t="shared" si="132"/>
        <v>General</v>
      </c>
      <c r="AK441">
        <f t="shared" ref="AK441:AK479" si="143">IF(B441&lt;&gt;B440,1,0)</f>
        <v>0</v>
      </c>
      <c r="AL441" s="9">
        <v>1</v>
      </c>
    </row>
    <row r="442" spans="1:38" x14ac:dyDescent="0.35">
      <c r="A442" s="50">
        <v>0</v>
      </c>
      <c r="B442" s="9" t="s">
        <v>58</v>
      </c>
      <c r="C442" s="53">
        <v>43890</v>
      </c>
      <c r="D442" s="53">
        <v>43906</v>
      </c>
      <c r="E442" s="53">
        <v>43983</v>
      </c>
      <c r="F442" s="21">
        <f t="shared" si="130"/>
        <v>77</v>
      </c>
      <c r="G442" s="53">
        <v>43906</v>
      </c>
      <c r="H442" s="9">
        <v>2020</v>
      </c>
      <c r="I442" s="50">
        <v>0</v>
      </c>
      <c r="J442" s="9">
        <v>1</v>
      </c>
      <c r="K442" s="9">
        <v>10</v>
      </c>
      <c r="L442" s="50" t="s">
        <v>476</v>
      </c>
      <c r="M442">
        <v>2</v>
      </c>
      <c r="N442">
        <v>2</v>
      </c>
      <c r="O442">
        <v>2</v>
      </c>
      <c r="P442">
        <v>2</v>
      </c>
      <c r="Q442">
        <v>2</v>
      </c>
      <c r="R442">
        <v>2</v>
      </c>
      <c r="S442">
        <v>-2</v>
      </c>
      <c r="T442">
        <v>2</v>
      </c>
      <c r="U442">
        <v>1</v>
      </c>
      <c r="V442" t="s">
        <v>963</v>
      </c>
      <c r="W442" t="s">
        <v>989</v>
      </c>
      <c r="X442" t="s">
        <v>997</v>
      </c>
      <c r="Y442" t="s">
        <v>1000</v>
      </c>
      <c r="Z442">
        <v>0</v>
      </c>
      <c r="AA442">
        <f t="shared" si="134"/>
        <v>1</v>
      </c>
      <c r="AB442">
        <f t="shared" si="135"/>
        <v>1</v>
      </c>
      <c r="AC442">
        <f t="shared" si="136"/>
        <v>1</v>
      </c>
      <c r="AD442">
        <f t="shared" si="137"/>
        <v>1</v>
      </c>
      <c r="AE442">
        <f t="shared" si="138"/>
        <v>1</v>
      </c>
      <c r="AF442">
        <f t="shared" si="139"/>
        <v>1</v>
      </c>
      <c r="AG442">
        <f t="shared" si="140"/>
        <v>0</v>
      </c>
      <c r="AH442">
        <f t="shared" si="141"/>
        <v>1</v>
      </c>
      <c r="AI442">
        <f t="shared" si="142"/>
        <v>1</v>
      </c>
      <c r="AJ442" s="9">
        <f t="shared" si="132"/>
        <v>10</v>
      </c>
      <c r="AK442" t="e">
        <f>IF(B442&lt;&gt;#REF!,1,0)</f>
        <v>#REF!</v>
      </c>
      <c r="AL442" s="9">
        <v>1</v>
      </c>
    </row>
    <row r="443" spans="1:38" x14ac:dyDescent="0.35">
      <c r="A443" s="50">
        <v>0</v>
      </c>
      <c r="B443" s="9" t="s">
        <v>58</v>
      </c>
      <c r="C443" s="53">
        <v>43890</v>
      </c>
      <c r="D443" s="53">
        <v>43906</v>
      </c>
      <c r="E443" s="53">
        <v>43983</v>
      </c>
      <c r="F443" s="21">
        <f t="shared" si="130"/>
        <v>77</v>
      </c>
      <c r="G443" s="53">
        <v>43906</v>
      </c>
      <c r="H443" s="9">
        <v>2020</v>
      </c>
      <c r="I443" s="50">
        <v>0</v>
      </c>
      <c r="J443" s="9">
        <v>5</v>
      </c>
      <c r="K443" s="9" t="s">
        <v>204</v>
      </c>
      <c r="L443" s="50" t="s">
        <v>482</v>
      </c>
      <c r="M443">
        <v>1</v>
      </c>
      <c r="N443">
        <v>2</v>
      </c>
      <c r="O443">
        <v>2</v>
      </c>
      <c r="P443">
        <v>-1</v>
      </c>
      <c r="Q443">
        <v>2</v>
      </c>
      <c r="R443">
        <v>1</v>
      </c>
      <c r="S443">
        <v>1</v>
      </c>
      <c r="T443">
        <v>2</v>
      </c>
      <c r="U443">
        <v>1</v>
      </c>
      <c r="V443" t="s">
        <v>963</v>
      </c>
      <c r="W443" t="s">
        <v>989</v>
      </c>
      <c r="X443" t="s">
        <v>997</v>
      </c>
      <c r="Y443" t="s">
        <v>1000</v>
      </c>
      <c r="Z443">
        <v>0</v>
      </c>
      <c r="AA443">
        <f t="shared" si="134"/>
        <v>1</v>
      </c>
      <c r="AB443">
        <f t="shared" si="135"/>
        <v>1</v>
      </c>
      <c r="AC443">
        <f t="shared" si="136"/>
        <v>1</v>
      </c>
      <c r="AD443">
        <f t="shared" si="137"/>
        <v>0</v>
      </c>
      <c r="AE443">
        <f t="shared" si="138"/>
        <v>1</v>
      </c>
      <c r="AF443">
        <f t="shared" si="139"/>
        <v>1</v>
      </c>
      <c r="AG443">
        <f t="shared" si="140"/>
        <v>1</v>
      </c>
      <c r="AH443">
        <f t="shared" si="141"/>
        <v>1</v>
      </c>
      <c r="AI443">
        <f t="shared" si="142"/>
        <v>1</v>
      </c>
      <c r="AJ443" s="9" t="str">
        <f t="shared" si="132"/>
        <v>General</v>
      </c>
      <c r="AK443">
        <f t="shared" si="143"/>
        <v>0</v>
      </c>
      <c r="AL443" s="9">
        <v>1</v>
      </c>
    </row>
    <row r="444" spans="1:38" x14ac:dyDescent="0.35">
      <c r="A444" s="50">
        <v>0</v>
      </c>
      <c r="B444" s="9" t="s">
        <v>58</v>
      </c>
      <c r="C444" s="53">
        <v>43890</v>
      </c>
      <c r="D444" s="53">
        <v>43906</v>
      </c>
      <c r="E444" s="53">
        <v>43983</v>
      </c>
      <c r="F444" s="21">
        <f t="shared" si="130"/>
        <v>77</v>
      </c>
      <c r="G444" s="53">
        <v>43906</v>
      </c>
      <c r="H444" s="9">
        <v>2020</v>
      </c>
      <c r="I444" s="50">
        <v>0</v>
      </c>
      <c r="J444" s="9">
        <v>7</v>
      </c>
      <c r="K444" s="9">
        <v>30</v>
      </c>
      <c r="L444" s="50" t="s">
        <v>487</v>
      </c>
      <c r="M444">
        <v>1</v>
      </c>
      <c r="N444">
        <v>1</v>
      </c>
      <c r="O444">
        <v>1</v>
      </c>
      <c r="P444">
        <v>2</v>
      </c>
      <c r="Q444">
        <v>1</v>
      </c>
      <c r="R444">
        <v>-1</v>
      </c>
      <c r="S444">
        <v>1</v>
      </c>
      <c r="T444">
        <v>-2</v>
      </c>
      <c r="U444">
        <v>1</v>
      </c>
      <c r="V444" t="s">
        <v>963</v>
      </c>
      <c r="W444" t="s">
        <v>989</v>
      </c>
      <c r="X444" t="s">
        <v>997</v>
      </c>
      <c r="Y444" t="s">
        <v>1000</v>
      </c>
      <c r="Z444">
        <v>0</v>
      </c>
      <c r="AA444">
        <f t="shared" si="134"/>
        <v>1</v>
      </c>
      <c r="AB444">
        <f t="shared" si="135"/>
        <v>1</v>
      </c>
      <c r="AC444">
        <f t="shared" si="136"/>
        <v>1</v>
      </c>
      <c r="AD444">
        <f t="shared" si="137"/>
        <v>1</v>
      </c>
      <c r="AE444">
        <f t="shared" si="138"/>
        <v>1</v>
      </c>
      <c r="AF444">
        <f t="shared" si="139"/>
        <v>0</v>
      </c>
      <c r="AG444">
        <f t="shared" si="140"/>
        <v>1</v>
      </c>
      <c r="AH444">
        <f t="shared" si="141"/>
        <v>0</v>
      </c>
      <c r="AI444">
        <f t="shared" si="142"/>
        <v>1</v>
      </c>
      <c r="AJ444" s="9">
        <f t="shared" si="132"/>
        <v>30</v>
      </c>
      <c r="AK444">
        <f t="shared" si="143"/>
        <v>0</v>
      </c>
      <c r="AL444" s="9">
        <v>1</v>
      </c>
    </row>
    <row r="445" spans="1:38" x14ac:dyDescent="0.35">
      <c r="A445" s="50">
        <v>0</v>
      </c>
      <c r="B445" s="9" t="s">
        <v>58</v>
      </c>
      <c r="C445" s="53">
        <v>43890</v>
      </c>
      <c r="D445" s="53">
        <v>43906</v>
      </c>
      <c r="E445" s="53">
        <v>43983</v>
      </c>
      <c r="F445" s="21">
        <f t="shared" si="130"/>
        <v>77</v>
      </c>
      <c r="G445" s="53">
        <v>43906</v>
      </c>
      <c r="H445" s="9">
        <v>2020</v>
      </c>
      <c r="I445" s="50">
        <v>0</v>
      </c>
      <c r="J445" s="9">
        <v>1</v>
      </c>
      <c r="K445" s="9">
        <v>5</v>
      </c>
      <c r="L445" s="50" t="s">
        <v>480</v>
      </c>
      <c r="M445">
        <v>2</v>
      </c>
      <c r="N445">
        <v>2</v>
      </c>
      <c r="O445">
        <v>-2</v>
      </c>
      <c r="P445">
        <v>-2</v>
      </c>
      <c r="Q445">
        <v>2</v>
      </c>
      <c r="R445">
        <v>2</v>
      </c>
      <c r="S445">
        <v>-2</v>
      </c>
      <c r="T445">
        <v>-2</v>
      </c>
      <c r="U445">
        <v>1</v>
      </c>
      <c r="V445" t="s">
        <v>963</v>
      </c>
      <c r="W445" t="s">
        <v>989</v>
      </c>
      <c r="X445" t="s">
        <v>997</v>
      </c>
      <c r="Y445" t="s">
        <v>1000</v>
      </c>
      <c r="Z445">
        <v>0</v>
      </c>
      <c r="AA445">
        <f t="shared" si="134"/>
        <v>1</v>
      </c>
      <c r="AB445">
        <f t="shared" si="135"/>
        <v>1</v>
      </c>
      <c r="AC445">
        <f t="shared" si="136"/>
        <v>0</v>
      </c>
      <c r="AD445">
        <f t="shared" si="137"/>
        <v>0</v>
      </c>
      <c r="AE445">
        <f t="shared" si="138"/>
        <v>1</v>
      </c>
      <c r="AF445">
        <f t="shared" si="139"/>
        <v>1</v>
      </c>
      <c r="AG445">
        <f t="shared" si="140"/>
        <v>0</v>
      </c>
      <c r="AH445">
        <f t="shared" si="141"/>
        <v>0</v>
      </c>
      <c r="AI445">
        <f t="shared" si="142"/>
        <v>1</v>
      </c>
      <c r="AJ445" s="9">
        <f t="shared" si="132"/>
        <v>5</v>
      </c>
      <c r="AK445">
        <f t="shared" si="143"/>
        <v>0</v>
      </c>
      <c r="AL445" s="9">
        <v>1</v>
      </c>
    </row>
    <row r="446" spans="1:38" x14ac:dyDescent="0.35">
      <c r="A446" s="50">
        <v>0</v>
      </c>
      <c r="B446" s="9" t="s">
        <v>58</v>
      </c>
      <c r="C446" s="53">
        <v>43890</v>
      </c>
      <c r="D446" s="53">
        <v>43906</v>
      </c>
      <c r="E446" s="53">
        <v>43983</v>
      </c>
      <c r="F446" s="21">
        <f t="shared" si="130"/>
        <v>77</v>
      </c>
      <c r="G446" s="53">
        <v>43906</v>
      </c>
      <c r="H446" s="9">
        <v>2020</v>
      </c>
      <c r="I446" s="50">
        <v>0</v>
      </c>
      <c r="J446" s="9">
        <v>2</v>
      </c>
      <c r="K446" s="9">
        <v>15</v>
      </c>
      <c r="L446" s="50" t="s">
        <v>484</v>
      </c>
      <c r="M446">
        <v>-2</v>
      </c>
      <c r="N446">
        <v>2</v>
      </c>
      <c r="O446">
        <v>-2</v>
      </c>
      <c r="P446">
        <v>-2</v>
      </c>
      <c r="Q446">
        <v>2</v>
      </c>
      <c r="R446">
        <v>-2</v>
      </c>
      <c r="S446">
        <v>-2</v>
      </c>
      <c r="T446">
        <v>2</v>
      </c>
      <c r="U446">
        <v>1</v>
      </c>
      <c r="V446" t="s">
        <v>963</v>
      </c>
      <c r="W446" t="s">
        <v>989</v>
      </c>
      <c r="X446" t="s">
        <v>997</v>
      </c>
      <c r="Y446" t="s">
        <v>1000</v>
      </c>
      <c r="Z446">
        <v>0</v>
      </c>
      <c r="AA446">
        <f t="shared" si="134"/>
        <v>0</v>
      </c>
      <c r="AB446">
        <f t="shared" si="135"/>
        <v>1</v>
      </c>
      <c r="AC446">
        <f t="shared" si="136"/>
        <v>0</v>
      </c>
      <c r="AD446">
        <f t="shared" si="137"/>
        <v>0</v>
      </c>
      <c r="AE446">
        <f t="shared" si="138"/>
        <v>1</v>
      </c>
      <c r="AF446">
        <f t="shared" si="139"/>
        <v>0</v>
      </c>
      <c r="AG446">
        <f t="shared" si="140"/>
        <v>0</v>
      </c>
      <c r="AH446">
        <f t="shared" si="141"/>
        <v>1</v>
      </c>
      <c r="AI446">
        <f t="shared" si="142"/>
        <v>1</v>
      </c>
      <c r="AJ446" s="9">
        <f t="shared" si="132"/>
        <v>15</v>
      </c>
      <c r="AK446">
        <f t="shared" si="143"/>
        <v>0</v>
      </c>
      <c r="AL446" s="9">
        <v>1</v>
      </c>
    </row>
    <row r="447" spans="1:38" x14ac:dyDescent="0.35">
      <c r="A447" s="50">
        <v>0</v>
      </c>
      <c r="B447" s="9" t="s">
        <v>58</v>
      </c>
      <c r="C447" s="53">
        <v>43890</v>
      </c>
      <c r="D447" s="53">
        <v>43906</v>
      </c>
      <c r="E447" s="53">
        <v>43983</v>
      </c>
      <c r="F447" s="21">
        <f t="shared" si="130"/>
        <v>77</v>
      </c>
      <c r="G447" s="53">
        <v>43906</v>
      </c>
      <c r="H447" s="9">
        <v>2020</v>
      </c>
      <c r="I447" s="50">
        <v>0</v>
      </c>
      <c r="J447" s="9">
        <v>7</v>
      </c>
      <c r="K447" s="9">
        <v>30</v>
      </c>
      <c r="L447" s="50" t="s">
        <v>477</v>
      </c>
      <c r="M447">
        <v>1</v>
      </c>
      <c r="N447">
        <v>1</v>
      </c>
      <c r="O447">
        <v>2</v>
      </c>
      <c r="P447">
        <v>1</v>
      </c>
      <c r="Q447">
        <v>1</v>
      </c>
      <c r="R447">
        <v>1</v>
      </c>
      <c r="S447">
        <v>1</v>
      </c>
      <c r="T447">
        <v>-2</v>
      </c>
      <c r="U447">
        <v>1</v>
      </c>
      <c r="V447" t="s">
        <v>963</v>
      </c>
      <c r="W447" t="s">
        <v>989</v>
      </c>
      <c r="X447" t="s">
        <v>997</v>
      </c>
      <c r="Y447" t="s">
        <v>1000</v>
      </c>
      <c r="Z447">
        <v>0</v>
      </c>
      <c r="AA447">
        <f t="shared" si="134"/>
        <v>1</v>
      </c>
      <c r="AB447">
        <f t="shared" si="135"/>
        <v>1</v>
      </c>
      <c r="AC447">
        <f t="shared" si="136"/>
        <v>1</v>
      </c>
      <c r="AD447">
        <f t="shared" si="137"/>
        <v>1</v>
      </c>
      <c r="AE447">
        <f t="shared" si="138"/>
        <v>1</v>
      </c>
      <c r="AF447">
        <f t="shared" si="139"/>
        <v>1</v>
      </c>
      <c r="AG447">
        <f t="shared" si="140"/>
        <v>1</v>
      </c>
      <c r="AH447">
        <f t="shared" si="141"/>
        <v>0</v>
      </c>
      <c r="AI447">
        <f t="shared" si="142"/>
        <v>1</v>
      </c>
      <c r="AJ447" s="9">
        <f t="shared" si="132"/>
        <v>30</v>
      </c>
      <c r="AK447">
        <f t="shared" si="143"/>
        <v>0</v>
      </c>
      <c r="AL447" s="9">
        <v>1</v>
      </c>
    </row>
    <row r="448" spans="1:38" x14ac:dyDescent="0.35">
      <c r="A448" s="50">
        <v>0</v>
      </c>
      <c r="B448" s="9" t="s">
        <v>58</v>
      </c>
      <c r="C448" s="53">
        <v>43890</v>
      </c>
      <c r="D448" s="53">
        <v>43906</v>
      </c>
      <c r="E448" s="53">
        <v>43983</v>
      </c>
      <c r="F448" s="21">
        <f t="shared" si="130"/>
        <v>77</v>
      </c>
      <c r="G448" s="53">
        <v>43906</v>
      </c>
      <c r="H448" s="9">
        <v>2020</v>
      </c>
      <c r="I448" s="50">
        <v>0</v>
      </c>
      <c r="J448" s="9">
        <v>6</v>
      </c>
      <c r="K448" s="9">
        <v>29</v>
      </c>
      <c r="L448" s="50" t="s">
        <v>483</v>
      </c>
      <c r="M448">
        <v>1</v>
      </c>
      <c r="N448">
        <v>1</v>
      </c>
      <c r="O448">
        <v>-2</v>
      </c>
      <c r="P448">
        <v>-1</v>
      </c>
      <c r="Q448">
        <v>-2</v>
      </c>
      <c r="R448">
        <v>2</v>
      </c>
      <c r="S448">
        <v>1</v>
      </c>
      <c r="T448">
        <v>2</v>
      </c>
      <c r="U448">
        <v>1</v>
      </c>
      <c r="V448" t="s">
        <v>963</v>
      </c>
      <c r="W448" t="s">
        <v>989</v>
      </c>
      <c r="X448" t="s">
        <v>997</v>
      </c>
      <c r="Y448" t="s">
        <v>1000</v>
      </c>
      <c r="Z448">
        <v>0</v>
      </c>
      <c r="AA448">
        <f t="shared" si="134"/>
        <v>1</v>
      </c>
      <c r="AB448">
        <f t="shared" si="135"/>
        <v>1</v>
      </c>
      <c r="AC448">
        <f t="shared" si="136"/>
        <v>0</v>
      </c>
      <c r="AD448">
        <f t="shared" si="137"/>
        <v>0</v>
      </c>
      <c r="AE448">
        <f t="shared" si="138"/>
        <v>0</v>
      </c>
      <c r="AF448">
        <f t="shared" si="139"/>
        <v>1</v>
      </c>
      <c r="AG448">
        <f t="shared" si="140"/>
        <v>1</v>
      </c>
      <c r="AH448">
        <f t="shared" si="141"/>
        <v>1</v>
      </c>
      <c r="AI448">
        <f t="shared" si="142"/>
        <v>1</v>
      </c>
      <c r="AJ448" s="9">
        <f t="shared" si="132"/>
        <v>29</v>
      </c>
      <c r="AK448">
        <f t="shared" si="143"/>
        <v>0</v>
      </c>
      <c r="AL448" s="9">
        <v>1</v>
      </c>
    </row>
    <row r="449" spans="1:38" x14ac:dyDescent="0.35">
      <c r="A449" s="50">
        <v>0</v>
      </c>
      <c r="B449" s="9" t="s">
        <v>58</v>
      </c>
      <c r="C449" s="53">
        <v>43890</v>
      </c>
      <c r="D449" s="53">
        <v>43906</v>
      </c>
      <c r="E449" s="53">
        <v>43983</v>
      </c>
      <c r="F449" s="21">
        <f t="shared" si="130"/>
        <v>77</v>
      </c>
      <c r="G449" s="53">
        <v>43906</v>
      </c>
      <c r="H449" s="9">
        <v>2020</v>
      </c>
      <c r="I449" s="50">
        <v>0</v>
      </c>
      <c r="J449" s="9">
        <v>5</v>
      </c>
      <c r="K449" s="9" t="s">
        <v>204</v>
      </c>
      <c r="L449" s="50" t="s">
        <v>481</v>
      </c>
      <c r="M449">
        <v>1</v>
      </c>
      <c r="N449">
        <v>-2</v>
      </c>
      <c r="O449">
        <v>-2</v>
      </c>
      <c r="P449">
        <v>-1</v>
      </c>
      <c r="Q449">
        <v>2</v>
      </c>
      <c r="R449">
        <v>1</v>
      </c>
      <c r="S449">
        <v>1</v>
      </c>
      <c r="T449">
        <v>2</v>
      </c>
      <c r="U449">
        <v>1</v>
      </c>
      <c r="V449" t="s">
        <v>963</v>
      </c>
      <c r="W449" t="s">
        <v>989</v>
      </c>
      <c r="X449" t="s">
        <v>997</v>
      </c>
      <c r="Y449" t="s">
        <v>1000</v>
      </c>
      <c r="Z449">
        <v>0</v>
      </c>
      <c r="AA449">
        <f t="shared" si="134"/>
        <v>1</v>
      </c>
      <c r="AB449">
        <f t="shared" si="135"/>
        <v>0</v>
      </c>
      <c r="AC449">
        <f t="shared" si="136"/>
        <v>0</v>
      </c>
      <c r="AD449">
        <f t="shared" si="137"/>
        <v>0</v>
      </c>
      <c r="AE449">
        <f t="shared" si="138"/>
        <v>1</v>
      </c>
      <c r="AF449">
        <f t="shared" si="139"/>
        <v>1</v>
      </c>
      <c r="AG449">
        <f t="shared" si="140"/>
        <v>1</v>
      </c>
      <c r="AH449">
        <f t="shared" si="141"/>
        <v>1</v>
      </c>
      <c r="AI449">
        <f t="shared" si="142"/>
        <v>1</v>
      </c>
      <c r="AJ449" s="9" t="str">
        <f t="shared" si="132"/>
        <v>General</v>
      </c>
      <c r="AK449">
        <f t="shared" si="143"/>
        <v>0</v>
      </c>
      <c r="AL449" s="9">
        <v>1</v>
      </c>
    </row>
    <row r="450" spans="1:38" x14ac:dyDescent="0.35">
      <c r="A450" s="50">
        <v>0</v>
      </c>
      <c r="B450" s="9" t="s">
        <v>58</v>
      </c>
      <c r="C450" s="53">
        <v>43890</v>
      </c>
      <c r="D450" s="53">
        <v>43906</v>
      </c>
      <c r="E450" s="53">
        <v>43983</v>
      </c>
      <c r="F450" s="21">
        <f t="shared" si="130"/>
        <v>77</v>
      </c>
      <c r="G450" s="53">
        <v>43906</v>
      </c>
      <c r="H450" s="9">
        <v>2020</v>
      </c>
      <c r="I450" s="50">
        <v>0</v>
      </c>
      <c r="J450" s="9">
        <v>6</v>
      </c>
      <c r="K450" s="9">
        <v>29</v>
      </c>
      <c r="L450" s="50" t="s">
        <v>485</v>
      </c>
      <c r="M450">
        <v>1</v>
      </c>
      <c r="N450">
        <v>1</v>
      </c>
      <c r="O450">
        <v>1</v>
      </c>
      <c r="P450">
        <v>-1</v>
      </c>
      <c r="Q450">
        <v>2</v>
      </c>
      <c r="R450">
        <v>1</v>
      </c>
      <c r="S450">
        <v>1</v>
      </c>
      <c r="T450">
        <v>2</v>
      </c>
      <c r="U450">
        <v>1</v>
      </c>
      <c r="V450" t="s">
        <v>963</v>
      </c>
      <c r="W450" t="s">
        <v>989</v>
      </c>
      <c r="X450" t="s">
        <v>997</v>
      </c>
      <c r="Y450" t="s">
        <v>1000</v>
      </c>
      <c r="Z450">
        <v>0</v>
      </c>
      <c r="AA450">
        <f t="shared" si="134"/>
        <v>1</v>
      </c>
      <c r="AB450">
        <f t="shared" si="135"/>
        <v>1</v>
      </c>
      <c r="AC450">
        <f t="shared" si="136"/>
        <v>1</v>
      </c>
      <c r="AD450">
        <f t="shared" si="137"/>
        <v>0</v>
      </c>
      <c r="AE450">
        <f t="shared" si="138"/>
        <v>1</v>
      </c>
      <c r="AF450">
        <f t="shared" si="139"/>
        <v>1</v>
      </c>
      <c r="AG450">
        <f t="shared" si="140"/>
        <v>1</v>
      </c>
      <c r="AH450">
        <f t="shared" si="141"/>
        <v>1</v>
      </c>
      <c r="AI450">
        <f t="shared" si="142"/>
        <v>1</v>
      </c>
      <c r="AJ450" s="9">
        <f t="shared" si="132"/>
        <v>29</v>
      </c>
      <c r="AK450">
        <f t="shared" si="143"/>
        <v>0</v>
      </c>
      <c r="AL450" s="9">
        <v>1</v>
      </c>
    </row>
    <row r="451" spans="1:38" x14ac:dyDescent="0.35">
      <c r="A451" s="50">
        <v>0</v>
      </c>
      <c r="B451" s="9" t="s">
        <v>58</v>
      </c>
      <c r="C451" s="53">
        <v>43890</v>
      </c>
      <c r="D451" s="53">
        <v>43906</v>
      </c>
      <c r="E451" s="53">
        <v>43983</v>
      </c>
      <c r="F451" s="21">
        <f t="shared" si="130"/>
        <v>77</v>
      </c>
      <c r="G451" s="53">
        <v>43906</v>
      </c>
      <c r="H451" s="9">
        <v>2020</v>
      </c>
      <c r="I451" s="50">
        <v>0</v>
      </c>
      <c r="J451" s="9">
        <v>7</v>
      </c>
      <c r="K451" s="9">
        <v>30</v>
      </c>
      <c r="L451" s="50" t="s">
        <v>486</v>
      </c>
      <c r="M451">
        <v>-2</v>
      </c>
      <c r="N451">
        <v>1</v>
      </c>
      <c r="O451">
        <v>2</v>
      </c>
      <c r="P451">
        <v>1</v>
      </c>
      <c r="Q451">
        <v>1</v>
      </c>
      <c r="R451">
        <v>1</v>
      </c>
      <c r="S451">
        <v>1</v>
      </c>
      <c r="T451">
        <v>-2</v>
      </c>
      <c r="U451">
        <v>1</v>
      </c>
      <c r="V451" t="s">
        <v>963</v>
      </c>
      <c r="W451" t="s">
        <v>989</v>
      </c>
      <c r="X451" t="s">
        <v>997</v>
      </c>
      <c r="Y451" t="s">
        <v>1000</v>
      </c>
      <c r="Z451">
        <v>0</v>
      </c>
      <c r="AA451">
        <f t="shared" si="134"/>
        <v>0</v>
      </c>
      <c r="AB451">
        <f t="shared" si="135"/>
        <v>1</v>
      </c>
      <c r="AC451">
        <f t="shared" si="136"/>
        <v>1</v>
      </c>
      <c r="AD451">
        <f t="shared" si="137"/>
        <v>1</v>
      </c>
      <c r="AE451">
        <f t="shared" si="138"/>
        <v>1</v>
      </c>
      <c r="AF451">
        <f t="shared" si="139"/>
        <v>1</v>
      </c>
      <c r="AG451">
        <f t="shared" si="140"/>
        <v>1</v>
      </c>
      <c r="AH451">
        <f t="shared" si="141"/>
        <v>0</v>
      </c>
      <c r="AI451">
        <f t="shared" si="142"/>
        <v>1</v>
      </c>
      <c r="AJ451" s="9">
        <f t="shared" si="132"/>
        <v>30</v>
      </c>
      <c r="AK451">
        <f t="shared" si="143"/>
        <v>0</v>
      </c>
      <c r="AL451" s="9">
        <v>1</v>
      </c>
    </row>
    <row r="452" spans="1:38" x14ac:dyDescent="0.35">
      <c r="A452" s="50">
        <v>0</v>
      </c>
      <c r="B452" s="9" t="s">
        <v>58</v>
      </c>
      <c r="C452" s="53">
        <v>43890</v>
      </c>
      <c r="D452" s="53">
        <v>43906</v>
      </c>
      <c r="E452" s="53">
        <v>43983</v>
      </c>
      <c r="F452" s="21">
        <f t="shared" si="130"/>
        <v>77</v>
      </c>
      <c r="G452" s="53">
        <v>43906</v>
      </c>
      <c r="H452" s="9">
        <v>2020</v>
      </c>
      <c r="I452" s="50">
        <v>0</v>
      </c>
      <c r="J452" s="9">
        <v>6</v>
      </c>
      <c r="K452" s="9">
        <v>26</v>
      </c>
      <c r="L452" s="50" t="s">
        <v>479</v>
      </c>
      <c r="M452">
        <v>1</v>
      </c>
      <c r="N452">
        <v>1</v>
      </c>
      <c r="O452">
        <v>2</v>
      </c>
      <c r="P452">
        <v>-1</v>
      </c>
      <c r="Q452">
        <v>-2</v>
      </c>
      <c r="S452">
        <v>-1</v>
      </c>
      <c r="T452">
        <v>2</v>
      </c>
      <c r="U452">
        <v>1</v>
      </c>
      <c r="V452" t="s">
        <v>963</v>
      </c>
      <c r="W452" t="s">
        <v>989</v>
      </c>
      <c r="X452" t="s">
        <v>997</v>
      </c>
      <c r="Y452" t="s">
        <v>1000</v>
      </c>
      <c r="Z452">
        <v>0</v>
      </c>
      <c r="AA452">
        <f t="shared" si="134"/>
        <v>1</v>
      </c>
      <c r="AB452">
        <f t="shared" si="135"/>
        <v>1</v>
      </c>
      <c r="AC452">
        <f t="shared" si="136"/>
        <v>1</v>
      </c>
      <c r="AD452">
        <f t="shared" si="137"/>
        <v>0</v>
      </c>
      <c r="AE452">
        <f t="shared" si="138"/>
        <v>0</v>
      </c>
      <c r="AF452">
        <f t="shared" si="139"/>
        <v>-1</v>
      </c>
      <c r="AG452">
        <f t="shared" si="140"/>
        <v>0</v>
      </c>
      <c r="AH452">
        <f t="shared" si="141"/>
        <v>1</v>
      </c>
      <c r="AI452">
        <f t="shared" si="142"/>
        <v>1</v>
      </c>
      <c r="AJ452" s="9">
        <f t="shared" si="132"/>
        <v>26</v>
      </c>
      <c r="AK452">
        <f t="shared" si="143"/>
        <v>0</v>
      </c>
      <c r="AL452" s="9">
        <v>1</v>
      </c>
    </row>
    <row r="453" spans="1:38" x14ac:dyDescent="0.35">
      <c r="A453" s="50">
        <v>0</v>
      </c>
      <c r="B453" s="9" t="s">
        <v>58</v>
      </c>
      <c r="C453" s="53">
        <v>43890</v>
      </c>
      <c r="D453" s="53">
        <v>43906</v>
      </c>
      <c r="E453" s="53">
        <v>43983</v>
      </c>
      <c r="F453" s="21">
        <f t="shared" si="130"/>
        <v>77</v>
      </c>
      <c r="G453" s="53">
        <v>43906</v>
      </c>
      <c r="H453" s="9">
        <v>2020</v>
      </c>
      <c r="I453" s="50">
        <v>0</v>
      </c>
      <c r="J453" s="9">
        <v>1</v>
      </c>
      <c r="K453" s="9">
        <v>5</v>
      </c>
      <c r="L453" s="50" t="s">
        <v>478</v>
      </c>
      <c r="M453">
        <v>2</v>
      </c>
      <c r="N453">
        <v>2</v>
      </c>
      <c r="O453">
        <v>2</v>
      </c>
      <c r="P453">
        <v>2</v>
      </c>
      <c r="Q453">
        <v>2</v>
      </c>
      <c r="R453">
        <v>2</v>
      </c>
      <c r="S453">
        <v>1</v>
      </c>
      <c r="T453">
        <v>-2</v>
      </c>
      <c r="U453">
        <v>1</v>
      </c>
      <c r="V453" t="s">
        <v>963</v>
      </c>
      <c r="W453" t="s">
        <v>989</v>
      </c>
      <c r="X453" t="s">
        <v>997</v>
      </c>
      <c r="Y453" t="s">
        <v>1000</v>
      </c>
      <c r="Z453">
        <v>0</v>
      </c>
      <c r="AA453">
        <f t="shared" si="134"/>
        <v>1</v>
      </c>
      <c r="AB453">
        <f t="shared" si="135"/>
        <v>1</v>
      </c>
      <c r="AC453">
        <f t="shared" si="136"/>
        <v>1</v>
      </c>
      <c r="AD453">
        <f t="shared" si="137"/>
        <v>1</v>
      </c>
      <c r="AE453">
        <f t="shared" si="138"/>
        <v>1</v>
      </c>
      <c r="AF453">
        <f t="shared" si="139"/>
        <v>1</v>
      </c>
      <c r="AG453">
        <f t="shared" si="140"/>
        <v>1</v>
      </c>
      <c r="AH453">
        <f t="shared" si="141"/>
        <v>0</v>
      </c>
      <c r="AI453">
        <f t="shared" si="142"/>
        <v>1</v>
      </c>
      <c r="AJ453" s="9">
        <f t="shared" si="132"/>
        <v>5</v>
      </c>
      <c r="AK453">
        <f t="shared" si="143"/>
        <v>0</v>
      </c>
      <c r="AL453" s="9">
        <v>1</v>
      </c>
    </row>
    <row r="454" spans="1:38" x14ac:dyDescent="0.35">
      <c r="A454" s="50">
        <v>0</v>
      </c>
      <c r="B454" s="9" t="s">
        <v>58</v>
      </c>
      <c r="C454" s="53">
        <v>43890</v>
      </c>
      <c r="D454" s="53">
        <v>43906</v>
      </c>
      <c r="E454" s="53">
        <v>43983</v>
      </c>
      <c r="F454" s="21">
        <f t="shared" si="130"/>
        <v>77</v>
      </c>
      <c r="G454" s="53">
        <v>43906</v>
      </c>
      <c r="H454" s="9">
        <v>2020</v>
      </c>
      <c r="I454" s="50">
        <v>0</v>
      </c>
      <c r="J454" s="9">
        <v>5</v>
      </c>
      <c r="K454" s="9" t="s">
        <v>204</v>
      </c>
      <c r="L454" s="50" t="s">
        <v>474</v>
      </c>
      <c r="M454">
        <v>1</v>
      </c>
      <c r="N454">
        <v>-2</v>
      </c>
      <c r="O454">
        <v>2</v>
      </c>
      <c r="P454">
        <v>-1</v>
      </c>
      <c r="Q454">
        <v>2</v>
      </c>
      <c r="R454">
        <v>1</v>
      </c>
      <c r="S454">
        <v>1</v>
      </c>
      <c r="T454">
        <v>1</v>
      </c>
      <c r="U454">
        <v>1</v>
      </c>
      <c r="V454" t="s">
        <v>963</v>
      </c>
      <c r="W454" t="s">
        <v>989</v>
      </c>
      <c r="X454" t="s">
        <v>997</v>
      </c>
      <c r="Y454" t="s">
        <v>1000</v>
      </c>
      <c r="Z454">
        <v>0</v>
      </c>
      <c r="AA454">
        <f t="shared" si="134"/>
        <v>1</v>
      </c>
      <c r="AB454">
        <f t="shared" si="135"/>
        <v>0</v>
      </c>
      <c r="AC454">
        <f t="shared" si="136"/>
        <v>1</v>
      </c>
      <c r="AD454">
        <f t="shared" si="137"/>
        <v>0</v>
      </c>
      <c r="AE454">
        <f t="shared" si="138"/>
        <v>1</v>
      </c>
      <c r="AF454">
        <f t="shared" si="139"/>
        <v>1</v>
      </c>
      <c r="AG454">
        <f t="shared" si="140"/>
        <v>1</v>
      </c>
      <c r="AH454">
        <f t="shared" si="141"/>
        <v>1</v>
      </c>
      <c r="AI454">
        <f t="shared" si="142"/>
        <v>1</v>
      </c>
      <c r="AJ454" s="9" t="str">
        <f t="shared" si="132"/>
        <v>General</v>
      </c>
      <c r="AK454">
        <f t="shared" si="143"/>
        <v>0</v>
      </c>
      <c r="AL454" s="9">
        <v>0</v>
      </c>
    </row>
    <row r="455" spans="1:38" x14ac:dyDescent="0.35">
      <c r="A455" s="50">
        <v>0</v>
      </c>
      <c r="B455" s="50" t="s">
        <v>58</v>
      </c>
      <c r="C455" s="53">
        <v>43890</v>
      </c>
      <c r="D455" s="53">
        <v>43906</v>
      </c>
      <c r="E455" s="53">
        <v>43983</v>
      </c>
      <c r="F455" s="21">
        <f t="shared" si="130"/>
        <v>77</v>
      </c>
      <c r="G455" s="53">
        <v>43906</v>
      </c>
      <c r="H455" s="9">
        <v>2020</v>
      </c>
      <c r="I455" s="50">
        <v>0</v>
      </c>
      <c r="J455" s="50">
        <v>7</v>
      </c>
      <c r="K455" s="50">
        <v>31</v>
      </c>
      <c r="L455" s="24" t="s">
        <v>1375</v>
      </c>
      <c r="M455" s="24"/>
      <c r="V455" t="s">
        <v>963</v>
      </c>
      <c r="W455" t="s">
        <v>989</v>
      </c>
      <c r="X455" t="s">
        <v>997</v>
      </c>
      <c r="Y455" t="s">
        <v>1000</v>
      </c>
      <c r="Z455">
        <v>0</v>
      </c>
      <c r="AA455">
        <v>-1</v>
      </c>
      <c r="AB455">
        <v>-1</v>
      </c>
      <c r="AC455">
        <v>-1</v>
      </c>
      <c r="AD455">
        <v>-1</v>
      </c>
      <c r="AE455">
        <v>-1</v>
      </c>
      <c r="AF455">
        <v>-1</v>
      </c>
      <c r="AG455">
        <v>-1</v>
      </c>
      <c r="AH455">
        <v>-1</v>
      </c>
      <c r="AI455">
        <v>-1</v>
      </c>
      <c r="AJ455" s="9">
        <f t="shared" si="132"/>
        <v>31</v>
      </c>
      <c r="AK455">
        <f t="shared" si="143"/>
        <v>0</v>
      </c>
      <c r="AL455" s="9">
        <v>0</v>
      </c>
    </row>
    <row r="456" spans="1:38" x14ac:dyDescent="0.35">
      <c r="A456" s="50">
        <v>0</v>
      </c>
      <c r="B456" s="50" t="s">
        <v>58</v>
      </c>
      <c r="C456" s="53">
        <v>43890</v>
      </c>
      <c r="D456" s="53">
        <v>43906</v>
      </c>
      <c r="E456" s="53">
        <v>43983</v>
      </c>
      <c r="F456" s="21">
        <f t="shared" si="130"/>
        <v>77</v>
      </c>
      <c r="G456" s="53">
        <v>43906</v>
      </c>
      <c r="H456" s="9">
        <v>2020</v>
      </c>
      <c r="I456" s="50">
        <v>0</v>
      </c>
      <c r="J456" s="50">
        <v>9</v>
      </c>
      <c r="K456" s="50">
        <v>34</v>
      </c>
      <c r="L456" s="24" t="s">
        <v>1376</v>
      </c>
      <c r="M456" s="24"/>
      <c r="V456" t="s">
        <v>963</v>
      </c>
      <c r="W456" t="s">
        <v>989</v>
      </c>
      <c r="X456" t="s">
        <v>997</v>
      </c>
      <c r="Y456" t="s">
        <v>1000</v>
      </c>
      <c r="Z456">
        <v>0</v>
      </c>
      <c r="AA456">
        <v>-1</v>
      </c>
      <c r="AB456">
        <v>-1</v>
      </c>
      <c r="AC456">
        <v>-1</v>
      </c>
      <c r="AD456">
        <v>-1</v>
      </c>
      <c r="AE456">
        <v>-1</v>
      </c>
      <c r="AF456">
        <v>-1</v>
      </c>
      <c r="AG456">
        <v>-1</v>
      </c>
      <c r="AH456">
        <v>-1</v>
      </c>
      <c r="AI456">
        <v>-1</v>
      </c>
      <c r="AJ456" s="9">
        <f t="shared" si="132"/>
        <v>34</v>
      </c>
      <c r="AK456">
        <f t="shared" si="143"/>
        <v>0</v>
      </c>
      <c r="AL456" s="9">
        <v>0</v>
      </c>
    </row>
    <row r="457" spans="1:38" x14ac:dyDescent="0.35">
      <c r="A457" s="50">
        <v>0</v>
      </c>
      <c r="B457" s="50" t="s">
        <v>58</v>
      </c>
      <c r="C457" s="53">
        <v>43890</v>
      </c>
      <c r="D457" s="53">
        <v>43906</v>
      </c>
      <c r="E457" s="53">
        <v>43983</v>
      </c>
      <c r="F457" s="21">
        <f t="shared" si="130"/>
        <v>77</v>
      </c>
      <c r="G457" s="53">
        <v>43906</v>
      </c>
      <c r="H457" s="9">
        <v>2020</v>
      </c>
      <c r="I457" s="50">
        <v>0</v>
      </c>
      <c r="J457" s="50">
        <v>5</v>
      </c>
      <c r="K457" s="50" t="s">
        <v>204</v>
      </c>
      <c r="L457" s="24" t="s">
        <v>1377</v>
      </c>
      <c r="M457" s="24"/>
      <c r="V457" t="s">
        <v>963</v>
      </c>
      <c r="W457" t="s">
        <v>989</v>
      </c>
      <c r="X457" t="s">
        <v>997</v>
      </c>
      <c r="Y457" t="s">
        <v>1000</v>
      </c>
      <c r="Z457">
        <v>0</v>
      </c>
      <c r="AA457">
        <v>-1</v>
      </c>
      <c r="AB457">
        <v>-1</v>
      </c>
      <c r="AC457">
        <v>-1</v>
      </c>
      <c r="AD457">
        <v>-1</v>
      </c>
      <c r="AE457">
        <v>-1</v>
      </c>
      <c r="AF457">
        <v>-1</v>
      </c>
      <c r="AG457">
        <v>-1</v>
      </c>
      <c r="AH457">
        <v>-1</v>
      </c>
      <c r="AI457">
        <v>-1</v>
      </c>
      <c r="AJ457" s="9" t="str">
        <f t="shared" si="132"/>
        <v>General</v>
      </c>
      <c r="AK457">
        <f t="shared" si="143"/>
        <v>0</v>
      </c>
      <c r="AL457" s="9">
        <v>0</v>
      </c>
    </row>
    <row r="458" spans="1:38" x14ac:dyDescent="0.35">
      <c r="A458" s="50">
        <v>0</v>
      </c>
      <c r="B458" s="50" t="s">
        <v>58</v>
      </c>
      <c r="C458" s="53">
        <v>43890</v>
      </c>
      <c r="D458" s="53">
        <v>43906</v>
      </c>
      <c r="E458" s="53">
        <v>43983</v>
      </c>
      <c r="F458" s="21">
        <f t="shared" si="130"/>
        <v>77</v>
      </c>
      <c r="G458" s="53">
        <v>43906</v>
      </c>
      <c r="H458" s="9">
        <v>2020</v>
      </c>
      <c r="I458" s="50">
        <v>0</v>
      </c>
      <c r="J458" s="50">
        <v>7</v>
      </c>
      <c r="K458" s="50">
        <v>30</v>
      </c>
      <c r="L458" s="24" t="s">
        <v>1907</v>
      </c>
      <c r="M458" s="24"/>
      <c r="V458" t="s">
        <v>963</v>
      </c>
      <c r="W458" t="s">
        <v>989</v>
      </c>
      <c r="X458" t="s">
        <v>997</v>
      </c>
      <c r="Y458" t="s">
        <v>1000</v>
      </c>
      <c r="Z458">
        <v>0</v>
      </c>
      <c r="AA458">
        <v>-1</v>
      </c>
      <c r="AB458">
        <v>-1</v>
      </c>
      <c r="AC458">
        <v>-1</v>
      </c>
      <c r="AD458">
        <v>-1</v>
      </c>
      <c r="AE458">
        <v>-1</v>
      </c>
      <c r="AF458">
        <v>-1</v>
      </c>
      <c r="AG458">
        <v>-1</v>
      </c>
      <c r="AH458">
        <v>-1</v>
      </c>
      <c r="AI458">
        <v>-1</v>
      </c>
      <c r="AJ458" s="9">
        <f t="shared" si="132"/>
        <v>30</v>
      </c>
      <c r="AK458">
        <f t="shared" si="143"/>
        <v>0</v>
      </c>
      <c r="AL458" s="9">
        <v>0</v>
      </c>
    </row>
    <row r="459" spans="1:38" x14ac:dyDescent="0.35">
      <c r="A459" s="50">
        <v>0</v>
      </c>
      <c r="B459" s="50" t="s">
        <v>58</v>
      </c>
      <c r="C459" s="53">
        <v>43890</v>
      </c>
      <c r="D459" s="53">
        <v>43906</v>
      </c>
      <c r="E459" s="53">
        <v>43983</v>
      </c>
      <c r="F459" s="21">
        <f t="shared" si="130"/>
        <v>77</v>
      </c>
      <c r="G459" s="53">
        <v>43906</v>
      </c>
      <c r="H459" s="9">
        <v>2020</v>
      </c>
      <c r="I459" s="50">
        <v>0</v>
      </c>
      <c r="J459" s="50">
        <v>6</v>
      </c>
      <c r="K459" s="50">
        <v>25</v>
      </c>
      <c r="L459" s="24" t="s">
        <v>1908</v>
      </c>
      <c r="M459" s="24"/>
      <c r="V459" t="s">
        <v>963</v>
      </c>
      <c r="W459" t="s">
        <v>989</v>
      </c>
      <c r="X459" t="s">
        <v>997</v>
      </c>
      <c r="Y459" t="s">
        <v>1000</v>
      </c>
      <c r="Z459">
        <v>0</v>
      </c>
      <c r="AA459">
        <v>-1</v>
      </c>
      <c r="AB459">
        <v>-1</v>
      </c>
      <c r="AC459">
        <v>-1</v>
      </c>
      <c r="AD459">
        <v>-1</v>
      </c>
      <c r="AE459">
        <v>-1</v>
      </c>
      <c r="AF459">
        <v>-1</v>
      </c>
      <c r="AG459">
        <v>-1</v>
      </c>
      <c r="AH459">
        <v>-1</v>
      </c>
      <c r="AI459">
        <v>-1</v>
      </c>
      <c r="AJ459" s="9">
        <f t="shared" ref="AJ459:AJ509" si="144">IF(ISNUMBER(K459),K459,IF(OR(K459="general",K459="23;general"),"General",IF(OR(K459="exemption",K459="other (exemption)"),"Tax exemption/waiver/suspension","Other")))</f>
        <v>25</v>
      </c>
      <c r="AK459">
        <f t="shared" si="143"/>
        <v>0</v>
      </c>
      <c r="AL459" s="9">
        <v>0</v>
      </c>
    </row>
    <row r="460" spans="1:38" x14ac:dyDescent="0.35">
      <c r="A460" s="50">
        <v>0</v>
      </c>
      <c r="B460" s="50" t="s">
        <v>58</v>
      </c>
      <c r="C460" s="53">
        <v>43890</v>
      </c>
      <c r="D460" s="53">
        <v>43906</v>
      </c>
      <c r="E460" s="53">
        <v>43983</v>
      </c>
      <c r="F460" s="21">
        <f t="shared" si="130"/>
        <v>77</v>
      </c>
      <c r="G460" s="53">
        <v>43906</v>
      </c>
      <c r="H460" s="9">
        <v>2020</v>
      </c>
      <c r="I460" s="50">
        <v>0</v>
      </c>
      <c r="J460" s="50">
        <v>4</v>
      </c>
      <c r="K460" s="50" t="s">
        <v>201</v>
      </c>
      <c r="L460" s="24" t="s">
        <v>1905</v>
      </c>
      <c r="M460" s="24"/>
      <c r="V460" t="s">
        <v>963</v>
      </c>
      <c r="W460" t="s">
        <v>989</v>
      </c>
      <c r="X460" t="s">
        <v>997</v>
      </c>
      <c r="Y460" t="s">
        <v>1000</v>
      </c>
      <c r="Z460">
        <v>0</v>
      </c>
      <c r="AA460">
        <v>-1</v>
      </c>
      <c r="AB460">
        <v>-1</v>
      </c>
      <c r="AC460">
        <v>-1</v>
      </c>
      <c r="AD460">
        <v>-1</v>
      </c>
      <c r="AE460">
        <v>-1</v>
      </c>
      <c r="AF460">
        <v>-1</v>
      </c>
      <c r="AG460">
        <v>-1</v>
      </c>
      <c r="AH460">
        <v>-1</v>
      </c>
      <c r="AI460">
        <v>-1</v>
      </c>
      <c r="AJ460" s="9" t="str">
        <f t="shared" si="144"/>
        <v>Other</v>
      </c>
      <c r="AK460">
        <f t="shared" si="143"/>
        <v>0</v>
      </c>
      <c r="AL460" s="9">
        <v>0</v>
      </c>
    </row>
    <row r="461" spans="1:38" x14ac:dyDescent="0.35">
      <c r="A461" s="50">
        <v>0</v>
      </c>
      <c r="B461" s="50" t="s">
        <v>58</v>
      </c>
      <c r="C461" s="53">
        <v>43890</v>
      </c>
      <c r="D461" s="53">
        <v>43906</v>
      </c>
      <c r="E461" s="53">
        <v>43983</v>
      </c>
      <c r="F461" s="21">
        <f t="shared" si="130"/>
        <v>77</v>
      </c>
      <c r="G461" s="53">
        <v>43906</v>
      </c>
      <c r="H461" s="9">
        <v>2020</v>
      </c>
      <c r="I461" s="50">
        <v>0</v>
      </c>
      <c r="J461" s="50">
        <v>1</v>
      </c>
      <c r="K461" s="50">
        <v>6</v>
      </c>
      <c r="L461" s="24" t="s">
        <v>1906</v>
      </c>
      <c r="M461" s="24"/>
      <c r="V461" t="s">
        <v>963</v>
      </c>
      <c r="W461" t="s">
        <v>989</v>
      </c>
      <c r="X461" t="s">
        <v>997</v>
      </c>
      <c r="Y461" t="s">
        <v>1000</v>
      </c>
      <c r="Z461">
        <v>0</v>
      </c>
      <c r="AA461">
        <v>-1</v>
      </c>
      <c r="AB461">
        <v>-1</v>
      </c>
      <c r="AC461">
        <v>-1</v>
      </c>
      <c r="AD461">
        <v>-1</v>
      </c>
      <c r="AE461">
        <v>-1</v>
      </c>
      <c r="AF461">
        <v>-1</v>
      </c>
      <c r="AG461">
        <v>-1</v>
      </c>
      <c r="AH461">
        <v>-1</v>
      </c>
      <c r="AI461">
        <v>-1</v>
      </c>
      <c r="AJ461" s="9">
        <f t="shared" si="144"/>
        <v>6</v>
      </c>
      <c r="AK461">
        <f t="shared" si="143"/>
        <v>0</v>
      </c>
      <c r="AL461" s="9">
        <v>0</v>
      </c>
    </row>
    <row r="462" spans="1:38" x14ac:dyDescent="0.35">
      <c r="A462" s="50">
        <v>0</v>
      </c>
      <c r="B462" s="50" t="s">
        <v>58</v>
      </c>
      <c r="C462" s="53">
        <v>43890</v>
      </c>
      <c r="D462" s="53">
        <v>43906</v>
      </c>
      <c r="E462" s="53">
        <v>43983</v>
      </c>
      <c r="F462" s="21">
        <f t="shared" si="130"/>
        <v>77</v>
      </c>
      <c r="G462" s="53">
        <v>43906</v>
      </c>
      <c r="H462" s="9">
        <v>2020</v>
      </c>
      <c r="I462" s="50">
        <v>0</v>
      </c>
      <c r="J462" s="50">
        <v>6</v>
      </c>
      <c r="K462" s="50">
        <v>26</v>
      </c>
      <c r="L462" s="24" t="s">
        <v>1378</v>
      </c>
      <c r="M462" s="24"/>
      <c r="V462" t="s">
        <v>963</v>
      </c>
      <c r="W462" t="s">
        <v>989</v>
      </c>
      <c r="X462" t="s">
        <v>997</v>
      </c>
      <c r="Y462" t="s">
        <v>1000</v>
      </c>
      <c r="Z462">
        <v>0</v>
      </c>
      <c r="AA462">
        <v>-1</v>
      </c>
      <c r="AB462">
        <v>-1</v>
      </c>
      <c r="AC462">
        <v>-1</v>
      </c>
      <c r="AD462">
        <v>-1</v>
      </c>
      <c r="AE462">
        <v>-1</v>
      </c>
      <c r="AF462">
        <v>-1</v>
      </c>
      <c r="AG462">
        <v>-1</v>
      </c>
      <c r="AH462">
        <v>-1</v>
      </c>
      <c r="AI462">
        <v>-1</v>
      </c>
      <c r="AJ462" s="9">
        <f t="shared" si="144"/>
        <v>26</v>
      </c>
      <c r="AK462">
        <f t="shared" si="143"/>
        <v>0</v>
      </c>
      <c r="AL462" s="9">
        <v>0</v>
      </c>
    </row>
    <row r="463" spans="1:38" x14ac:dyDescent="0.35">
      <c r="A463" s="50">
        <v>0</v>
      </c>
      <c r="B463" s="50" t="s">
        <v>58</v>
      </c>
      <c r="C463" s="53">
        <v>43890</v>
      </c>
      <c r="D463" s="53">
        <v>43906</v>
      </c>
      <c r="E463" s="53">
        <v>43983</v>
      </c>
      <c r="F463" s="21">
        <f t="shared" si="130"/>
        <v>77</v>
      </c>
      <c r="G463" s="53">
        <v>43906</v>
      </c>
      <c r="H463" s="9">
        <v>2020</v>
      </c>
      <c r="I463" s="50">
        <v>0</v>
      </c>
      <c r="J463" s="50">
        <v>7</v>
      </c>
      <c r="K463" s="50">
        <v>30</v>
      </c>
      <c r="L463" s="24" t="s">
        <v>1379</v>
      </c>
      <c r="M463" s="24"/>
      <c r="V463" t="s">
        <v>963</v>
      </c>
      <c r="W463" t="s">
        <v>989</v>
      </c>
      <c r="X463" t="s">
        <v>997</v>
      </c>
      <c r="Y463" t="s">
        <v>1000</v>
      </c>
      <c r="Z463">
        <v>0</v>
      </c>
      <c r="AA463">
        <v>-1</v>
      </c>
      <c r="AB463">
        <v>-1</v>
      </c>
      <c r="AC463">
        <v>-1</v>
      </c>
      <c r="AD463">
        <v>-1</v>
      </c>
      <c r="AE463">
        <v>-1</v>
      </c>
      <c r="AF463">
        <v>-1</v>
      </c>
      <c r="AG463">
        <v>-1</v>
      </c>
      <c r="AH463">
        <v>-1</v>
      </c>
      <c r="AI463">
        <v>-1</v>
      </c>
      <c r="AJ463" s="9">
        <f t="shared" si="144"/>
        <v>30</v>
      </c>
      <c r="AK463">
        <f t="shared" si="143"/>
        <v>0</v>
      </c>
      <c r="AL463" s="9">
        <v>0</v>
      </c>
    </row>
    <row r="464" spans="1:38" x14ac:dyDescent="0.35">
      <c r="A464" s="50">
        <v>0</v>
      </c>
      <c r="B464" s="50" t="s">
        <v>58</v>
      </c>
      <c r="C464" s="53">
        <v>43890</v>
      </c>
      <c r="D464" s="53">
        <v>43906</v>
      </c>
      <c r="E464" s="53">
        <v>43983</v>
      </c>
      <c r="F464" s="21">
        <f t="shared" si="130"/>
        <v>77</v>
      </c>
      <c r="G464" s="53">
        <v>43906</v>
      </c>
      <c r="H464" s="9">
        <v>2020</v>
      </c>
      <c r="I464" s="50">
        <v>0</v>
      </c>
      <c r="J464" s="50">
        <v>1</v>
      </c>
      <c r="K464" s="50">
        <v>6</v>
      </c>
      <c r="L464" s="24" t="s">
        <v>1380</v>
      </c>
      <c r="M464" s="24"/>
      <c r="V464" t="s">
        <v>963</v>
      </c>
      <c r="W464" t="s">
        <v>989</v>
      </c>
      <c r="X464" t="s">
        <v>997</v>
      </c>
      <c r="Y464" t="s">
        <v>1000</v>
      </c>
      <c r="Z464">
        <v>0</v>
      </c>
      <c r="AA464">
        <v>-1</v>
      </c>
      <c r="AB464">
        <v>-1</v>
      </c>
      <c r="AC464">
        <v>-1</v>
      </c>
      <c r="AD464">
        <v>-1</v>
      </c>
      <c r="AE464">
        <v>-1</v>
      </c>
      <c r="AF464">
        <v>-1</v>
      </c>
      <c r="AG464">
        <v>-1</v>
      </c>
      <c r="AH464">
        <v>-1</v>
      </c>
      <c r="AI464">
        <v>-1</v>
      </c>
      <c r="AJ464" s="9">
        <f t="shared" si="144"/>
        <v>6</v>
      </c>
      <c r="AK464">
        <f t="shared" si="143"/>
        <v>0</v>
      </c>
      <c r="AL464" s="9">
        <v>0</v>
      </c>
    </row>
    <row r="465" spans="1:38" x14ac:dyDescent="0.35">
      <c r="A465" s="50">
        <v>0</v>
      </c>
      <c r="B465" s="50" t="s">
        <v>58</v>
      </c>
      <c r="C465" s="53">
        <v>43890</v>
      </c>
      <c r="D465" s="53">
        <v>43906</v>
      </c>
      <c r="E465" s="53">
        <v>43983</v>
      </c>
      <c r="F465" s="21">
        <f t="shared" si="130"/>
        <v>77</v>
      </c>
      <c r="G465" s="53">
        <v>43906</v>
      </c>
      <c r="H465" s="9">
        <v>2020</v>
      </c>
      <c r="I465" s="50">
        <v>0</v>
      </c>
      <c r="J465" s="50">
        <v>9</v>
      </c>
      <c r="K465" s="50">
        <v>34</v>
      </c>
      <c r="L465" s="24" t="s">
        <v>1914</v>
      </c>
      <c r="M465" s="24"/>
      <c r="V465" t="s">
        <v>963</v>
      </c>
      <c r="W465" t="s">
        <v>989</v>
      </c>
      <c r="X465" t="s">
        <v>997</v>
      </c>
      <c r="Y465" t="s">
        <v>1000</v>
      </c>
      <c r="Z465">
        <v>0</v>
      </c>
      <c r="AA465">
        <v>-1</v>
      </c>
      <c r="AB465">
        <v>-1</v>
      </c>
      <c r="AC465">
        <v>-1</v>
      </c>
      <c r="AD465">
        <v>-1</v>
      </c>
      <c r="AE465">
        <v>-1</v>
      </c>
      <c r="AF465">
        <v>-1</v>
      </c>
      <c r="AG465">
        <v>-1</v>
      </c>
      <c r="AH465">
        <v>-1</v>
      </c>
      <c r="AI465">
        <v>-1</v>
      </c>
      <c r="AJ465" s="9">
        <f t="shared" si="144"/>
        <v>34</v>
      </c>
      <c r="AK465">
        <f t="shared" si="143"/>
        <v>0</v>
      </c>
      <c r="AL465" s="9">
        <v>0</v>
      </c>
    </row>
    <row r="466" spans="1:38" x14ac:dyDescent="0.35">
      <c r="A466" s="50">
        <v>0</v>
      </c>
      <c r="B466" s="50" t="s">
        <v>58</v>
      </c>
      <c r="C466" s="53">
        <v>43890</v>
      </c>
      <c r="D466" s="53">
        <v>43906</v>
      </c>
      <c r="E466" s="53">
        <v>43983</v>
      </c>
      <c r="F466" s="21">
        <f t="shared" si="130"/>
        <v>77</v>
      </c>
      <c r="G466" s="53">
        <v>43906</v>
      </c>
      <c r="H466" s="9">
        <v>2020</v>
      </c>
      <c r="I466" s="50">
        <v>0</v>
      </c>
      <c r="J466" s="50">
        <v>9</v>
      </c>
      <c r="K466" s="50">
        <v>34</v>
      </c>
      <c r="L466" s="24" t="s">
        <v>1381</v>
      </c>
      <c r="M466" s="24"/>
      <c r="V466" t="s">
        <v>963</v>
      </c>
      <c r="W466" t="s">
        <v>989</v>
      </c>
      <c r="X466" t="s">
        <v>997</v>
      </c>
      <c r="Y466" t="s">
        <v>1000</v>
      </c>
      <c r="Z466">
        <v>0</v>
      </c>
      <c r="AA466">
        <v>-1</v>
      </c>
      <c r="AB466">
        <v>-1</v>
      </c>
      <c r="AC466">
        <v>-1</v>
      </c>
      <c r="AD466">
        <v>-1</v>
      </c>
      <c r="AE466">
        <v>-1</v>
      </c>
      <c r="AF466">
        <v>-1</v>
      </c>
      <c r="AG466">
        <v>-1</v>
      </c>
      <c r="AH466">
        <v>-1</v>
      </c>
      <c r="AI466">
        <v>-1</v>
      </c>
      <c r="AJ466" s="9">
        <f t="shared" si="144"/>
        <v>34</v>
      </c>
      <c r="AK466">
        <f t="shared" si="143"/>
        <v>0</v>
      </c>
      <c r="AL466" s="9">
        <v>0</v>
      </c>
    </row>
    <row r="467" spans="1:38" x14ac:dyDescent="0.35">
      <c r="A467" s="50">
        <v>0</v>
      </c>
      <c r="B467" s="50" t="s">
        <v>58</v>
      </c>
      <c r="C467" s="53">
        <v>43890</v>
      </c>
      <c r="D467" s="53">
        <v>43906</v>
      </c>
      <c r="E467" s="53">
        <v>43983</v>
      </c>
      <c r="F467" s="21">
        <f t="shared" si="130"/>
        <v>77</v>
      </c>
      <c r="G467" s="53">
        <v>43906</v>
      </c>
      <c r="H467" s="9">
        <v>2020</v>
      </c>
      <c r="I467" s="50">
        <v>0</v>
      </c>
      <c r="J467" s="50">
        <v>7</v>
      </c>
      <c r="K467" s="50">
        <v>30</v>
      </c>
      <c r="L467" s="24" t="s">
        <v>1382</v>
      </c>
      <c r="M467" s="24"/>
      <c r="V467" t="s">
        <v>963</v>
      </c>
      <c r="W467" t="s">
        <v>989</v>
      </c>
      <c r="X467" t="s">
        <v>997</v>
      </c>
      <c r="Y467" t="s">
        <v>1000</v>
      </c>
      <c r="Z467">
        <v>0</v>
      </c>
      <c r="AA467">
        <v>-1</v>
      </c>
      <c r="AB467">
        <v>-1</v>
      </c>
      <c r="AC467">
        <v>-1</v>
      </c>
      <c r="AD467">
        <v>-1</v>
      </c>
      <c r="AE467">
        <v>-1</v>
      </c>
      <c r="AF467">
        <v>-1</v>
      </c>
      <c r="AG467">
        <v>-1</v>
      </c>
      <c r="AH467">
        <v>-1</v>
      </c>
      <c r="AI467">
        <v>-1</v>
      </c>
      <c r="AJ467" s="9">
        <f t="shared" si="144"/>
        <v>30</v>
      </c>
      <c r="AK467">
        <f t="shared" si="143"/>
        <v>0</v>
      </c>
      <c r="AL467" s="9">
        <v>1</v>
      </c>
    </row>
    <row r="468" spans="1:38" s="47" customFormat="1" x14ac:dyDescent="0.35">
      <c r="A468" s="50">
        <v>0</v>
      </c>
      <c r="B468" s="50" t="s">
        <v>58</v>
      </c>
      <c r="C468" s="53">
        <v>43890</v>
      </c>
      <c r="D468" s="53">
        <v>43906</v>
      </c>
      <c r="E468" s="53">
        <v>43983</v>
      </c>
      <c r="F468" s="21">
        <f t="shared" si="130"/>
        <v>77</v>
      </c>
      <c r="G468" s="53">
        <v>43906</v>
      </c>
      <c r="H468" s="9">
        <v>2021</v>
      </c>
      <c r="I468" s="50">
        <v>0</v>
      </c>
      <c r="J468" s="50">
        <v>5</v>
      </c>
      <c r="K468" s="50">
        <v>22</v>
      </c>
      <c r="L468" s="48" t="s">
        <v>1734</v>
      </c>
      <c r="M468" s="48"/>
      <c r="V468" t="s">
        <v>963</v>
      </c>
      <c r="AB468">
        <v>-1</v>
      </c>
      <c r="AJ468" s="47">
        <f t="shared" si="144"/>
        <v>22</v>
      </c>
    </row>
    <row r="469" spans="1:38" s="47" customFormat="1" x14ac:dyDescent="0.35">
      <c r="A469" s="50">
        <v>0</v>
      </c>
      <c r="B469" s="50" t="s">
        <v>58</v>
      </c>
      <c r="C469" s="53">
        <v>43890</v>
      </c>
      <c r="D469" s="53">
        <v>43906</v>
      </c>
      <c r="E469" s="53">
        <v>43983</v>
      </c>
      <c r="F469" s="21">
        <f t="shared" si="130"/>
        <v>77</v>
      </c>
      <c r="G469" s="53">
        <v>43906</v>
      </c>
      <c r="H469" s="9">
        <v>2021</v>
      </c>
      <c r="I469" s="50">
        <v>0</v>
      </c>
      <c r="J469" s="50">
        <v>5</v>
      </c>
      <c r="K469" s="50">
        <v>21</v>
      </c>
      <c r="L469" s="48" t="s">
        <v>1735</v>
      </c>
      <c r="M469" s="48"/>
      <c r="V469" t="s">
        <v>963</v>
      </c>
      <c r="AB469">
        <v>-1</v>
      </c>
      <c r="AJ469" s="47">
        <f t="shared" si="144"/>
        <v>21</v>
      </c>
    </row>
    <row r="470" spans="1:38" s="47" customFormat="1" x14ac:dyDescent="0.35">
      <c r="A470" s="50">
        <v>0</v>
      </c>
      <c r="B470" s="50" t="s">
        <v>58</v>
      </c>
      <c r="C470" s="53">
        <v>43890</v>
      </c>
      <c r="D470" s="53">
        <v>43906</v>
      </c>
      <c r="E470" s="53">
        <v>43983</v>
      </c>
      <c r="F470" s="21">
        <f t="shared" si="130"/>
        <v>77</v>
      </c>
      <c r="G470" s="53">
        <v>43906</v>
      </c>
      <c r="H470" s="9">
        <v>2021</v>
      </c>
      <c r="I470" s="50">
        <v>0</v>
      </c>
      <c r="J470" s="50">
        <v>7</v>
      </c>
      <c r="K470" s="50">
        <v>31</v>
      </c>
      <c r="L470" s="48" t="s">
        <v>1736</v>
      </c>
      <c r="M470" s="48"/>
      <c r="V470" t="s">
        <v>963</v>
      </c>
      <c r="AB470">
        <v>-1</v>
      </c>
      <c r="AJ470" s="47">
        <f t="shared" si="144"/>
        <v>31</v>
      </c>
    </row>
    <row r="471" spans="1:38" s="47" customFormat="1" x14ac:dyDescent="0.35">
      <c r="A471" s="50">
        <v>0</v>
      </c>
      <c r="B471" s="50" t="s">
        <v>58</v>
      </c>
      <c r="C471" s="53">
        <v>43890</v>
      </c>
      <c r="D471" s="53">
        <v>43906</v>
      </c>
      <c r="E471" s="53">
        <v>43983</v>
      </c>
      <c r="F471" s="21">
        <f t="shared" si="130"/>
        <v>77</v>
      </c>
      <c r="G471" s="53">
        <v>43906</v>
      </c>
      <c r="H471" s="9">
        <v>2021</v>
      </c>
      <c r="I471" s="50">
        <v>0</v>
      </c>
      <c r="J471" s="50">
        <v>4</v>
      </c>
      <c r="K471" s="50" t="s">
        <v>201</v>
      </c>
      <c r="L471" s="48" t="s">
        <v>1737</v>
      </c>
      <c r="M471" s="48"/>
      <c r="V471" t="s">
        <v>963</v>
      </c>
      <c r="AB471">
        <v>-1</v>
      </c>
    </row>
    <row r="472" spans="1:38" s="47" customFormat="1" x14ac:dyDescent="0.35">
      <c r="A472" s="50">
        <v>0</v>
      </c>
      <c r="B472" s="50" t="s">
        <v>58</v>
      </c>
      <c r="C472" s="53">
        <v>43890</v>
      </c>
      <c r="D472" s="53">
        <v>43906</v>
      </c>
      <c r="E472" s="53">
        <v>43983</v>
      </c>
      <c r="F472" s="21">
        <f t="shared" ref="F472:F475" si="145">DATEDIF(D472,E472,"D")</f>
        <v>77</v>
      </c>
      <c r="G472" s="53">
        <v>43906</v>
      </c>
      <c r="H472" s="9">
        <v>2021</v>
      </c>
      <c r="I472" s="50">
        <v>0</v>
      </c>
      <c r="J472" s="50">
        <v>9</v>
      </c>
      <c r="K472" s="50">
        <v>34</v>
      </c>
      <c r="L472" s="48" t="s">
        <v>1910</v>
      </c>
      <c r="M472" s="48"/>
      <c r="V472"/>
      <c r="AB472"/>
    </row>
    <row r="473" spans="1:38" s="47" customFormat="1" x14ac:dyDescent="0.35">
      <c r="A473" s="50">
        <v>0</v>
      </c>
      <c r="B473" s="50" t="s">
        <v>58</v>
      </c>
      <c r="C473" s="53">
        <v>43890</v>
      </c>
      <c r="D473" s="53">
        <v>43906</v>
      </c>
      <c r="E473" s="53">
        <v>43983</v>
      </c>
      <c r="F473" s="21">
        <f t="shared" si="145"/>
        <v>77</v>
      </c>
      <c r="G473" s="53">
        <v>43906</v>
      </c>
      <c r="H473" s="9">
        <v>2021</v>
      </c>
      <c r="I473" s="50">
        <v>0</v>
      </c>
      <c r="J473" s="50">
        <v>7</v>
      </c>
      <c r="K473" s="50">
        <v>31</v>
      </c>
      <c r="L473" s="48" t="s">
        <v>1911</v>
      </c>
      <c r="M473" s="48"/>
      <c r="V473"/>
      <c r="AB473"/>
    </row>
    <row r="474" spans="1:38" s="47" customFormat="1" x14ac:dyDescent="0.35">
      <c r="A474" s="50">
        <v>0</v>
      </c>
      <c r="B474" s="50" t="s">
        <v>58</v>
      </c>
      <c r="C474" s="53">
        <v>43890</v>
      </c>
      <c r="D474" s="53">
        <v>43906</v>
      </c>
      <c r="E474" s="53">
        <v>43983</v>
      </c>
      <c r="F474" s="21">
        <f t="shared" si="145"/>
        <v>77</v>
      </c>
      <c r="G474" s="53">
        <v>43906</v>
      </c>
      <c r="H474" s="9">
        <v>2021</v>
      </c>
      <c r="I474" s="50">
        <v>0</v>
      </c>
      <c r="J474" s="50">
        <v>9</v>
      </c>
      <c r="K474" s="50">
        <v>34</v>
      </c>
      <c r="L474" s="48" t="s">
        <v>1912</v>
      </c>
      <c r="M474" s="48"/>
      <c r="V474"/>
      <c r="AB474"/>
    </row>
    <row r="475" spans="1:38" s="47" customFormat="1" x14ac:dyDescent="0.35">
      <c r="A475" s="50">
        <v>0</v>
      </c>
      <c r="B475" s="50" t="s">
        <v>58</v>
      </c>
      <c r="C475" s="53">
        <v>43890</v>
      </c>
      <c r="D475" s="53">
        <v>43906</v>
      </c>
      <c r="E475" s="53">
        <v>43983</v>
      </c>
      <c r="F475" s="21">
        <f t="shared" si="145"/>
        <v>77</v>
      </c>
      <c r="G475" s="53">
        <v>43906</v>
      </c>
      <c r="H475" s="9">
        <v>2021</v>
      </c>
      <c r="I475" s="50">
        <v>0</v>
      </c>
      <c r="J475" s="50">
        <v>9</v>
      </c>
      <c r="K475" s="50">
        <v>34</v>
      </c>
      <c r="L475" s="48" t="s">
        <v>1913</v>
      </c>
      <c r="M475" s="48"/>
      <c r="V475"/>
      <c r="AB475"/>
    </row>
    <row r="476" spans="1:38" x14ac:dyDescent="0.35">
      <c r="A476" s="50">
        <v>0</v>
      </c>
      <c r="B476" s="9" t="s">
        <v>60</v>
      </c>
      <c r="C476" s="53">
        <v>43854</v>
      </c>
      <c r="D476" s="53">
        <v>43902</v>
      </c>
      <c r="E476" s="53">
        <v>43984</v>
      </c>
      <c r="F476" s="21">
        <f t="shared" si="130"/>
        <v>82</v>
      </c>
      <c r="G476" s="53">
        <v>43902</v>
      </c>
      <c r="H476" s="9">
        <v>2020</v>
      </c>
      <c r="I476" s="50">
        <v>0</v>
      </c>
      <c r="J476" s="9">
        <v>3</v>
      </c>
      <c r="K476" s="9" t="s">
        <v>206</v>
      </c>
      <c r="L476" s="50" t="s">
        <v>495</v>
      </c>
      <c r="M476">
        <v>2</v>
      </c>
      <c r="N476">
        <v>2</v>
      </c>
      <c r="O476">
        <v>-2</v>
      </c>
      <c r="P476">
        <v>-1</v>
      </c>
      <c r="Q476">
        <v>-2</v>
      </c>
      <c r="U476">
        <v>1</v>
      </c>
      <c r="V476" t="s">
        <v>964</v>
      </c>
      <c r="W476" t="s">
        <v>989</v>
      </c>
      <c r="X476" t="s">
        <v>997</v>
      </c>
      <c r="Y476" t="s">
        <v>1000</v>
      </c>
      <c r="Z476">
        <v>0</v>
      </c>
      <c r="AA476">
        <f t="shared" ref="AA476:AA495" si="146">IF(M476&gt;0,1,IF(M476&lt;0,0,-1))</f>
        <v>1</v>
      </c>
      <c r="AB476">
        <f t="shared" ref="AB476:AB495" si="147">IF(N476&gt;0,1,IF(N476&lt;0,0,-1))</f>
        <v>1</v>
      </c>
      <c r="AC476">
        <f t="shared" ref="AC476:AC495" si="148">IF(O476&gt;0,1,IF(O476&lt;0,0,-1))</f>
        <v>0</v>
      </c>
      <c r="AD476">
        <f t="shared" ref="AD476:AD495" si="149">IF(P476&gt;0,1,IF(P476&lt;0,0,-1))</f>
        <v>0</v>
      </c>
      <c r="AE476">
        <f t="shared" ref="AE476:AE495" si="150">IF(Q476&gt;0,1,IF(Q476&lt;0,0,-1))</f>
        <v>0</v>
      </c>
      <c r="AF476">
        <f t="shared" ref="AF476:AF495" si="151">IF(R476&gt;0,1,IF(R476&lt;0,0,-1))</f>
        <v>-1</v>
      </c>
      <c r="AG476">
        <f t="shared" ref="AG476:AG495" si="152">IF(S476&gt;0,1,IF(S476&lt;0,0,-1))</f>
        <v>-1</v>
      </c>
      <c r="AH476">
        <f t="shared" ref="AH476:AH495" si="153">IF(T476&gt;0,1,IF(T476&lt;0,0,-1))</f>
        <v>-1</v>
      </c>
      <c r="AI476">
        <f t="shared" ref="AI476:AI495" si="154">IF(U476&gt;0,1,IF(U476&lt;0,0,-1))</f>
        <v>1</v>
      </c>
      <c r="AJ476" s="9" t="str">
        <f t="shared" si="144"/>
        <v>Tax exemption/waiver/suspension</v>
      </c>
      <c r="AK476">
        <f>IF(B476&lt;&gt;B467,1,0)</f>
        <v>1</v>
      </c>
      <c r="AL476" s="9">
        <v>1</v>
      </c>
    </row>
    <row r="477" spans="1:38" x14ac:dyDescent="0.35">
      <c r="A477" s="50">
        <v>0</v>
      </c>
      <c r="B477" s="9" t="s">
        <v>60</v>
      </c>
      <c r="C477" s="53">
        <v>43854</v>
      </c>
      <c r="D477" s="53">
        <v>43902</v>
      </c>
      <c r="E477" s="53">
        <v>43984</v>
      </c>
      <c r="F477" s="21">
        <f t="shared" ref="F477:F544" si="155">DATEDIF(D477,E477,"D")</f>
        <v>82</v>
      </c>
      <c r="G477" s="53">
        <v>43902</v>
      </c>
      <c r="H477" s="9">
        <v>2020</v>
      </c>
      <c r="I477" s="50">
        <v>0</v>
      </c>
      <c r="J477" s="9">
        <v>7</v>
      </c>
      <c r="K477" s="9">
        <v>30</v>
      </c>
      <c r="L477" s="50" t="s">
        <v>506</v>
      </c>
      <c r="M477">
        <v>1</v>
      </c>
      <c r="N477">
        <v>1</v>
      </c>
      <c r="O477">
        <v>-2</v>
      </c>
      <c r="P477">
        <v>-1</v>
      </c>
      <c r="Q477">
        <v>-2</v>
      </c>
      <c r="R477">
        <v>-1</v>
      </c>
      <c r="S477">
        <v>-1</v>
      </c>
      <c r="U477">
        <v>1</v>
      </c>
      <c r="V477" t="s">
        <v>964</v>
      </c>
      <c r="W477" t="s">
        <v>989</v>
      </c>
      <c r="X477" t="s">
        <v>997</v>
      </c>
      <c r="Y477" t="s">
        <v>1000</v>
      </c>
      <c r="Z477">
        <v>0</v>
      </c>
      <c r="AA477">
        <f t="shared" si="146"/>
        <v>1</v>
      </c>
      <c r="AB477">
        <f t="shared" si="147"/>
        <v>1</v>
      </c>
      <c r="AC477">
        <f t="shared" si="148"/>
        <v>0</v>
      </c>
      <c r="AD477">
        <f t="shared" si="149"/>
        <v>0</v>
      </c>
      <c r="AE477">
        <f t="shared" si="150"/>
        <v>0</v>
      </c>
      <c r="AF477">
        <f t="shared" si="151"/>
        <v>0</v>
      </c>
      <c r="AG477">
        <f t="shared" si="152"/>
        <v>0</v>
      </c>
      <c r="AH477">
        <f t="shared" si="153"/>
        <v>-1</v>
      </c>
      <c r="AI477">
        <f t="shared" si="154"/>
        <v>1</v>
      </c>
      <c r="AJ477" s="9">
        <f t="shared" si="144"/>
        <v>30</v>
      </c>
      <c r="AK477">
        <f t="shared" si="143"/>
        <v>0</v>
      </c>
      <c r="AL477" s="9">
        <v>1</v>
      </c>
    </row>
    <row r="478" spans="1:38" x14ac:dyDescent="0.35">
      <c r="A478" s="50">
        <v>0</v>
      </c>
      <c r="B478" s="9" t="s">
        <v>60</v>
      </c>
      <c r="C478" s="53">
        <v>43854</v>
      </c>
      <c r="D478" s="53">
        <v>43902</v>
      </c>
      <c r="E478" s="53">
        <v>43984</v>
      </c>
      <c r="F478" s="21">
        <f t="shared" si="155"/>
        <v>82</v>
      </c>
      <c r="G478" s="53">
        <v>43902</v>
      </c>
      <c r="H478" s="9">
        <v>2020</v>
      </c>
      <c r="I478" s="50">
        <v>0</v>
      </c>
      <c r="J478" s="9">
        <v>1</v>
      </c>
      <c r="K478" s="9">
        <v>12</v>
      </c>
      <c r="L478" s="50" t="s">
        <v>501</v>
      </c>
      <c r="M478">
        <v>-2</v>
      </c>
      <c r="N478">
        <v>2</v>
      </c>
      <c r="O478">
        <v>-1</v>
      </c>
      <c r="Q478">
        <v>-2</v>
      </c>
      <c r="R478">
        <v>2</v>
      </c>
      <c r="S478">
        <v>2</v>
      </c>
      <c r="T478">
        <v>2</v>
      </c>
      <c r="U478">
        <v>1</v>
      </c>
      <c r="V478" t="s">
        <v>964</v>
      </c>
      <c r="W478" t="s">
        <v>989</v>
      </c>
      <c r="X478" t="s">
        <v>997</v>
      </c>
      <c r="Y478" t="s">
        <v>1000</v>
      </c>
      <c r="Z478">
        <v>0</v>
      </c>
      <c r="AA478">
        <f t="shared" si="146"/>
        <v>0</v>
      </c>
      <c r="AB478">
        <f t="shared" si="147"/>
        <v>1</v>
      </c>
      <c r="AC478">
        <f t="shared" si="148"/>
        <v>0</v>
      </c>
      <c r="AD478">
        <f t="shared" si="149"/>
        <v>-1</v>
      </c>
      <c r="AE478">
        <f t="shared" si="150"/>
        <v>0</v>
      </c>
      <c r="AF478">
        <f t="shared" si="151"/>
        <v>1</v>
      </c>
      <c r="AG478">
        <f t="shared" si="152"/>
        <v>1</v>
      </c>
      <c r="AH478">
        <f t="shared" si="153"/>
        <v>1</v>
      </c>
      <c r="AI478">
        <f t="shared" si="154"/>
        <v>1</v>
      </c>
      <c r="AJ478" s="9">
        <f t="shared" si="144"/>
        <v>12</v>
      </c>
      <c r="AK478">
        <f t="shared" si="143"/>
        <v>0</v>
      </c>
      <c r="AL478" s="9">
        <v>1</v>
      </c>
    </row>
    <row r="479" spans="1:38" x14ac:dyDescent="0.35">
      <c r="A479" s="50">
        <v>0</v>
      </c>
      <c r="B479" s="9" t="s">
        <v>60</v>
      </c>
      <c r="C479" s="53">
        <v>43854</v>
      </c>
      <c r="D479" s="53">
        <v>43902</v>
      </c>
      <c r="E479" s="53">
        <v>43984</v>
      </c>
      <c r="F479" s="21">
        <f t="shared" si="155"/>
        <v>82</v>
      </c>
      <c r="G479" s="53">
        <v>43902</v>
      </c>
      <c r="H479" s="9">
        <v>2020</v>
      </c>
      <c r="I479" s="50">
        <v>0</v>
      </c>
      <c r="J479" s="9">
        <v>1</v>
      </c>
      <c r="K479" s="9">
        <v>6</v>
      </c>
      <c r="L479" s="50" t="s">
        <v>505</v>
      </c>
      <c r="M479">
        <v>-2</v>
      </c>
      <c r="N479">
        <v>2</v>
      </c>
      <c r="O479">
        <v>2</v>
      </c>
      <c r="P479">
        <v>2</v>
      </c>
      <c r="Q479">
        <v>2</v>
      </c>
      <c r="R479">
        <v>2</v>
      </c>
      <c r="S479">
        <v>1</v>
      </c>
      <c r="T479">
        <v>2</v>
      </c>
      <c r="U479">
        <v>1</v>
      </c>
      <c r="V479" t="s">
        <v>964</v>
      </c>
      <c r="W479" t="s">
        <v>989</v>
      </c>
      <c r="X479" t="s">
        <v>997</v>
      </c>
      <c r="Y479" t="s">
        <v>1000</v>
      </c>
      <c r="Z479">
        <v>0</v>
      </c>
      <c r="AA479">
        <f t="shared" si="146"/>
        <v>0</v>
      </c>
      <c r="AB479">
        <f t="shared" si="147"/>
        <v>1</v>
      </c>
      <c r="AC479">
        <f t="shared" si="148"/>
        <v>1</v>
      </c>
      <c r="AD479">
        <f t="shared" si="149"/>
        <v>1</v>
      </c>
      <c r="AE479">
        <f t="shared" si="150"/>
        <v>1</v>
      </c>
      <c r="AF479">
        <f t="shared" si="151"/>
        <v>1</v>
      </c>
      <c r="AG479">
        <f t="shared" si="152"/>
        <v>1</v>
      </c>
      <c r="AH479">
        <f t="shared" si="153"/>
        <v>1</v>
      </c>
      <c r="AI479">
        <f t="shared" si="154"/>
        <v>1</v>
      </c>
      <c r="AJ479" s="9">
        <f t="shared" si="144"/>
        <v>6</v>
      </c>
      <c r="AK479">
        <f t="shared" si="143"/>
        <v>0</v>
      </c>
      <c r="AL479" s="9">
        <v>1</v>
      </c>
    </row>
    <row r="480" spans="1:38" x14ac:dyDescent="0.35">
      <c r="A480" s="50">
        <v>0</v>
      </c>
      <c r="B480" s="9" t="s">
        <v>60</v>
      </c>
      <c r="C480" s="53">
        <v>43854</v>
      </c>
      <c r="D480" s="53">
        <v>43902</v>
      </c>
      <c r="E480" s="53">
        <v>43984</v>
      </c>
      <c r="F480" s="21">
        <f t="shared" si="155"/>
        <v>82</v>
      </c>
      <c r="G480" s="53">
        <v>43902</v>
      </c>
      <c r="H480" s="9">
        <v>2020</v>
      </c>
      <c r="I480" s="50">
        <v>0</v>
      </c>
      <c r="J480" s="9">
        <v>1</v>
      </c>
      <c r="K480" s="9">
        <v>6</v>
      </c>
      <c r="L480" s="50" t="s">
        <v>493</v>
      </c>
      <c r="M480">
        <v>1</v>
      </c>
      <c r="N480">
        <v>1</v>
      </c>
      <c r="O480">
        <v>1</v>
      </c>
      <c r="P480">
        <v>1</v>
      </c>
      <c r="Q480">
        <v>-2</v>
      </c>
      <c r="R480">
        <v>1</v>
      </c>
      <c r="S480">
        <v>1</v>
      </c>
      <c r="T480">
        <v>2</v>
      </c>
      <c r="U480">
        <v>1</v>
      </c>
      <c r="V480" t="s">
        <v>964</v>
      </c>
      <c r="W480" t="s">
        <v>989</v>
      </c>
      <c r="X480" t="s">
        <v>997</v>
      </c>
      <c r="Y480" t="s">
        <v>1000</v>
      </c>
      <c r="Z480">
        <v>0</v>
      </c>
      <c r="AA480">
        <f t="shared" si="146"/>
        <v>1</v>
      </c>
      <c r="AB480">
        <f t="shared" si="147"/>
        <v>1</v>
      </c>
      <c r="AC480">
        <f t="shared" si="148"/>
        <v>1</v>
      </c>
      <c r="AD480">
        <f t="shared" si="149"/>
        <v>1</v>
      </c>
      <c r="AE480">
        <f t="shared" si="150"/>
        <v>0</v>
      </c>
      <c r="AF480">
        <f t="shared" si="151"/>
        <v>1</v>
      </c>
      <c r="AG480">
        <f t="shared" si="152"/>
        <v>1</v>
      </c>
      <c r="AH480">
        <f t="shared" si="153"/>
        <v>1</v>
      </c>
      <c r="AI480">
        <f t="shared" si="154"/>
        <v>1</v>
      </c>
      <c r="AJ480" s="9">
        <f t="shared" si="144"/>
        <v>6</v>
      </c>
      <c r="AK480">
        <f t="shared" ref="AK480:AK509" si="156">IF(B480&lt;&gt;B479,1,0)</f>
        <v>0</v>
      </c>
      <c r="AL480" s="9">
        <v>1</v>
      </c>
    </row>
    <row r="481" spans="1:38" x14ac:dyDescent="0.35">
      <c r="A481" s="50">
        <v>0</v>
      </c>
      <c r="B481" s="9" t="s">
        <v>60</v>
      </c>
      <c r="C481" s="53">
        <v>43854</v>
      </c>
      <c r="D481" s="53">
        <v>43902</v>
      </c>
      <c r="E481" s="53">
        <v>43984</v>
      </c>
      <c r="F481" s="21">
        <f t="shared" si="155"/>
        <v>82</v>
      </c>
      <c r="G481" s="53">
        <v>43902</v>
      </c>
      <c r="H481" s="9">
        <v>2020</v>
      </c>
      <c r="I481" s="50">
        <v>0</v>
      </c>
      <c r="J481" s="9">
        <v>7</v>
      </c>
      <c r="K481" s="9">
        <v>30</v>
      </c>
      <c r="L481" s="50" t="s">
        <v>496</v>
      </c>
      <c r="M481">
        <v>1</v>
      </c>
      <c r="N481">
        <v>1</v>
      </c>
      <c r="O481">
        <v>2</v>
      </c>
      <c r="P481">
        <v>1</v>
      </c>
      <c r="Q481">
        <v>2</v>
      </c>
      <c r="R481">
        <v>1</v>
      </c>
      <c r="S481">
        <v>1</v>
      </c>
      <c r="T481">
        <v>-2</v>
      </c>
      <c r="U481">
        <v>1</v>
      </c>
      <c r="V481" t="s">
        <v>964</v>
      </c>
      <c r="W481" t="s">
        <v>989</v>
      </c>
      <c r="X481" t="s">
        <v>997</v>
      </c>
      <c r="Y481" t="s">
        <v>1000</v>
      </c>
      <c r="Z481">
        <v>0</v>
      </c>
      <c r="AA481">
        <f t="shared" si="146"/>
        <v>1</v>
      </c>
      <c r="AB481">
        <f t="shared" si="147"/>
        <v>1</v>
      </c>
      <c r="AC481">
        <f t="shared" si="148"/>
        <v>1</v>
      </c>
      <c r="AD481">
        <f t="shared" si="149"/>
        <v>1</v>
      </c>
      <c r="AE481">
        <f t="shared" si="150"/>
        <v>1</v>
      </c>
      <c r="AF481">
        <f t="shared" si="151"/>
        <v>1</v>
      </c>
      <c r="AG481">
        <f t="shared" si="152"/>
        <v>1</v>
      </c>
      <c r="AH481">
        <f t="shared" si="153"/>
        <v>0</v>
      </c>
      <c r="AI481">
        <f t="shared" si="154"/>
        <v>1</v>
      </c>
      <c r="AJ481" s="9">
        <f t="shared" si="144"/>
        <v>30</v>
      </c>
      <c r="AK481">
        <f t="shared" si="156"/>
        <v>0</v>
      </c>
      <c r="AL481" s="9">
        <v>1</v>
      </c>
    </row>
    <row r="482" spans="1:38" x14ac:dyDescent="0.35">
      <c r="A482" s="50">
        <v>0</v>
      </c>
      <c r="B482" s="9" t="s">
        <v>60</v>
      </c>
      <c r="C482" s="53">
        <v>43854</v>
      </c>
      <c r="D482" s="53">
        <v>43902</v>
      </c>
      <c r="E482" s="53">
        <v>43984</v>
      </c>
      <c r="F482" s="21">
        <f t="shared" si="155"/>
        <v>82</v>
      </c>
      <c r="G482" s="53">
        <v>43902</v>
      </c>
      <c r="H482" s="9">
        <v>2020</v>
      </c>
      <c r="I482" s="50">
        <v>0</v>
      </c>
      <c r="J482" s="9">
        <v>1</v>
      </c>
      <c r="K482" s="9">
        <v>11</v>
      </c>
      <c r="L482" s="50" t="s">
        <v>492</v>
      </c>
      <c r="M482">
        <v>1</v>
      </c>
      <c r="N482">
        <v>1</v>
      </c>
      <c r="O482">
        <v>-2</v>
      </c>
      <c r="P482">
        <v>-1</v>
      </c>
      <c r="Q482">
        <v>-2</v>
      </c>
      <c r="R482">
        <v>1</v>
      </c>
      <c r="S482">
        <v>-1</v>
      </c>
      <c r="T482">
        <v>2</v>
      </c>
      <c r="U482">
        <v>1</v>
      </c>
      <c r="V482" t="s">
        <v>964</v>
      </c>
      <c r="W482" t="s">
        <v>989</v>
      </c>
      <c r="X482" t="s">
        <v>997</v>
      </c>
      <c r="Y482" t="s">
        <v>1000</v>
      </c>
      <c r="Z482">
        <v>0</v>
      </c>
      <c r="AA482">
        <f t="shared" si="146"/>
        <v>1</v>
      </c>
      <c r="AB482">
        <f t="shared" si="147"/>
        <v>1</v>
      </c>
      <c r="AC482">
        <f t="shared" si="148"/>
        <v>0</v>
      </c>
      <c r="AD482">
        <f t="shared" si="149"/>
        <v>0</v>
      </c>
      <c r="AE482">
        <f t="shared" si="150"/>
        <v>0</v>
      </c>
      <c r="AF482">
        <f t="shared" si="151"/>
        <v>1</v>
      </c>
      <c r="AG482">
        <f t="shared" si="152"/>
        <v>0</v>
      </c>
      <c r="AH482">
        <f t="shared" si="153"/>
        <v>1</v>
      </c>
      <c r="AI482">
        <f t="shared" si="154"/>
        <v>1</v>
      </c>
      <c r="AJ482" s="9">
        <f t="shared" si="144"/>
        <v>11</v>
      </c>
      <c r="AK482">
        <f t="shared" si="156"/>
        <v>0</v>
      </c>
      <c r="AL482" s="9">
        <v>1</v>
      </c>
    </row>
    <row r="483" spans="1:38" x14ac:dyDescent="0.35">
      <c r="A483" s="50">
        <v>0</v>
      </c>
      <c r="B483" s="9" t="s">
        <v>60</v>
      </c>
      <c r="C483" s="53">
        <v>43854</v>
      </c>
      <c r="D483" s="53">
        <v>43902</v>
      </c>
      <c r="E483" s="53">
        <v>43984</v>
      </c>
      <c r="F483" s="21">
        <f t="shared" si="155"/>
        <v>82</v>
      </c>
      <c r="G483" s="53">
        <v>43902</v>
      </c>
      <c r="H483" s="9">
        <v>2020</v>
      </c>
      <c r="I483" s="50">
        <v>0</v>
      </c>
      <c r="J483" s="9">
        <v>6</v>
      </c>
      <c r="K483" s="9">
        <v>29</v>
      </c>
      <c r="L483" s="50" t="s">
        <v>494</v>
      </c>
      <c r="M483">
        <v>1</v>
      </c>
      <c r="N483">
        <v>1</v>
      </c>
      <c r="O483">
        <v>2</v>
      </c>
      <c r="P483">
        <v>-1</v>
      </c>
      <c r="Q483">
        <v>-2</v>
      </c>
      <c r="R483">
        <v>2</v>
      </c>
      <c r="S483">
        <v>-1</v>
      </c>
      <c r="T483">
        <v>-2</v>
      </c>
      <c r="U483">
        <v>1</v>
      </c>
      <c r="V483" t="s">
        <v>964</v>
      </c>
      <c r="W483" t="s">
        <v>989</v>
      </c>
      <c r="X483" t="s">
        <v>997</v>
      </c>
      <c r="Y483" t="s">
        <v>1000</v>
      </c>
      <c r="Z483">
        <v>0</v>
      </c>
      <c r="AA483">
        <f t="shared" si="146"/>
        <v>1</v>
      </c>
      <c r="AB483">
        <f t="shared" si="147"/>
        <v>1</v>
      </c>
      <c r="AC483">
        <f t="shared" si="148"/>
        <v>1</v>
      </c>
      <c r="AD483">
        <f t="shared" si="149"/>
        <v>0</v>
      </c>
      <c r="AE483">
        <f t="shared" si="150"/>
        <v>0</v>
      </c>
      <c r="AF483">
        <f t="shared" si="151"/>
        <v>1</v>
      </c>
      <c r="AG483">
        <f t="shared" si="152"/>
        <v>0</v>
      </c>
      <c r="AH483">
        <f t="shared" si="153"/>
        <v>0</v>
      </c>
      <c r="AI483">
        <f t="shared" si="154"/>
        <v>1</v>
      </c>
      <c r="AJ483" s="9">
        <f t="shared" si="144"/>
        <v>29</v>
      </c>
      <c r="AK483">
        <f t="shared" si="156"/>
        <v>0</v>
      </c>
      <c r="AL483" s="9">
        <v>1</v>
      </c>
    </row>
    <row r="484" spans="1:38" x14ac:dyDescent="0.35">
      <c r="A484" s="50">
        <v>0</v>
      </c>
      <c r="B484" s="9" t="s">
        <v>60</v>
      </c>
      <c r="C484" s="53">
        <v>43854</v>
      </c>
      <c r="D484" s="53">
        <v>43902</v>
      </c>
      <c r="E484" s="53">
        <v>43984</v>
      </c>
      <c r="F484" s="21">
        <f t="shared" si="155"/>
        <v>82</v>
      </c>
      <c r="G484" s="53">
        <v>43902</v>
      </c>
      <c r="H484" s="9">
        <v>2020</v>
      </c>
      <c r="I484" s="50">
        <v>0</v>
      </c>
      <c r="J484" s="9">
        <v>1</v>
      </c>
      <c r="K484" s="9">
        <v>6</v>
      </c>
      <c r="L484" s="50" t="s">
        <v>503</v>
      </c>
      <c r="M484">
        <v>-2</v>
      </c>
      <c r="N484">
        <v>2</v>
      </c>
      <c r="O484">
        <v>2</v>
      </c>
      <c r="P484">
        <v>2</v>
      </c>
      <c r="Q484">
        <v>2</v>
      </c>
      <c r="R484">
        <v>2</v>
      </c>
      <c r="S484">
        <v>1</v>
      </c>
      <c r="T484">
        <v>2</v>
      </c>
      <c r="U484">
        <v>1</v>
      </c>
      <c r="V484" t="s">
        <v>964</v>
      </c>
      <c r="W484" t="s">
        <v>989</v>
      </c>
      <c r="X484" t="s">
        <v>997</v>
      </c>
      <c r="Y484" t="s">
        <v>1000</v>
      </c>
      <c r="Z484">
        <v>0</v>
      </c>
      <c r="AA484">
        <f t="shared" si="146"/>
        <v>0</v>
      </c>
      <c r="AB484">
        <f t="shared" si="147"/>
        <v>1</v>
      </c>
      <c r="AC484">
        <f t="shared" si="148"/>
        <v>1</v>
      </c>
      <c r="AD484">
        <f t="shared" si="149"/>
        <v>1</v>
      </c>
      <c r="AE484">
        <f t="shared" si="150"/>
        <v>1</v>
      </c>
      <c r="AF484">
        <f t="shared" si="151"/>
        <v>1</v>
      </c>
      <c r="AG484">
        <f t="shared" si="152"/>
        <v>1</v>
      </c>
      <c r="AH484">
        <f t="shared" si="153"/>
        <v>1</v>
      </c>
      <c r="AI484">
        <f t="shared" si="154"/>
        <v>1</v>
      </c>
      <c r="AJ484" s="9">
        <f t="shared" si="144"/>
        <v>6</v>
      </c>
      <c r="AK484">
        <f t="shared" si="156"/>
        <v>0</v>
      </c>
      <c r="AL484" s="9">
        <v>1</v>
      </c>
    </row>
    <row r="485" spans="1:38" x14ac:dyDescent="0.35">
      <c r="A485" s="50">
        <v>0</v>
      </c>
      <c r="B485" s="9" t="s">
        <v>60</v>
      </c>
      <c r="C485" s="53">
        <v>43854</v>
      </c>
      <c r="D485" s="53">
        <v>43902</v>
      </c>
      <c r="E485" s="53">
        <v>43984</v>
      </c>
      <c r="F485" s="21">
        <f t="shared" si="155"/>
        <v>82</v>
      </c>
      <c r="G485" s="53">
        <v>43902</v>
      </c>
      <c r="H485" s="9">
        <v>2020</v>
      </c>
      <c r="I485" s="50">
        <v>0</v>
      </c>
      <c r="J485" s="9">
        <v>6</v>
      </c>
      <c r="K485" s="9">
        <v>29</v>
      </c>
      <c r="L485" s="50" t="s">
        <v>497</v>
      </c>
      <c r="M485">
        <v>1</v>
      </c>
      <c r="N485">
        <v>1</v>
      </c>
      <c r="O485">
        <v>2</v>
      </c>
      <c r="P485">
        <v>-1</v>
      </c>
      <c r="Q485">
        <v>-2</v>
      </c>
      <c r="R485">
        <v>2</v>
      </c>
      <c r="S485">
        <v>1</v>
      </c>
      <c r="T485">
        <v>-2</v>
      </c>
      <c r="U485">
        <v>1</v>
      </c>
      <c r="V485" t="s">
        <v>964</v>
      </c>
      <c r="W485" t="s">
        <v>989</v>
      </c>
      <c r="X485" t="s">
        <v>997</v>
      </c>
      <c r="Y485" t="s">
        <v>1000</v>
      </c>
      <c r="Z485">
        <v>0</v>
      </c>
      <c r="AA485">
        <f t="shared" si="146"/>
        <v>1</v>
      </c>
      <c r="AB485">
        <f t="shared" si="147"/>
        <v>1</v>
      </c>
      <c r="AC485">
        <f t="shared" si="148"/>
        <v>1</v>
      </c>
      <c r="AD485">
        <f t="shared" si="149"/>
        <v>0</v>
      </c>
      <c r="AE485">
        <f t="shared" si="150"/>
        <v>0</v>
      </c>
      <c r="AF485">
        <f t="shared" si="151"/>
        <v>1</v>
      </c>
      <c r="AG485">
        <f t="shared" si="152"/>
        <v>1</v>
      </c>
      <c r="AH485">
        <f t="shared" si="153"/>
        <v>0</v>
      </c>
      <c r="AI485">
        <f t="shared" si="154"/>
        <v>1</v>
      </c>
      <c r="AJ485" s="9">
        <f t="shared" si="144"/>
        <v>29</v>
      </c>
      <c r="AK485">
        <f t="shared" si="156"/>
        <v>0</v>
      </c>
      <c r="AL485" s="9">
        <v>1</v>
      </c>
    </row>
    <row r="486" spans="1:38" x14ac:dyDescent="0.35">
      <c r="A486" s="50">
        <v>0</v>
      </c>
      <c r="B486" s="9" t="s">
        <v>60</v>
      </c>
      <c r="C486" s="53">
        <v>43854</v>
      </c>
      <c r="D486" s="53">
        <v>43902</v>
      </c>
      <c r="E486" s="53">
        <v>43984</v>
      </c>
      <c r="F486" s="21">
        <f t="shared" si="155"/>
        <v>82</v>
      </c>
      <c r="G486" s="53">
        <v>43902</v>
      </c>
      <c r="H486" s="9">
        <v>2020</v>
      </c>
      <c r="I486" s="50">
        <v>0</v>
      </c>
      <c r="J486" s="9">
        <v>1</v>
      </c>
      <c r="K486" s="9">
        <v>6</v>
      </c>
      <c r="L486" s="50" t="s">
        <v>502</v>
      </c>
      <c r="M486">
        <v>2</v>
      </c>
      <c r="N486">
        <v>2</v>
      </c>
      <c r="O486">
        <v>2</v>
      </c>
      <c r="P486">
        <v>2</v>
      </c>
      <c r="Q486">
        <v>2</v>
      </c>
      <c r="R486">
        <v>2</v>
      </c>
      <c r="S486">
        <v>1</v>
      </c>
      <c r="T486">
        <v>2</v>
      </c>
      <c r="U486">
        <v>1</v>
      </c>
      <c r="V486" t="s">
        <v>964</v>
      </c>
      <c r="W486" t="s">
        <v>989</v>
      </c>
      <c r="X486" t="s">
        <v>997</v>
      </c>
      <c r="Y486" t="s">
        <v>1000</v>
      </c>
      <c r="Z486">
        <v>0</v>
      </c>
      <c r="AA486">
        <f t="shared" si="146"/>
        <v>1</v>
      </c>
      <c r="AB486">
        <f t="shared" si="147"/>
        <v>1</v>
      </c>
      <c r="AC486">
        <f t="shared" si="148"/>
        <v>1</v>
      </c>
      <c r="AD486">
        <f t="shared" si="149"/>
        <v>1</v>
      </c>
      <c r="AE486">
        <f t="shared" si="150"/>
        <v>1</v>
      </c>
      <c r="AF486">
        <f t="shared" si="151"/>
        <v>1</v>
      </c>
      <c r="AG486">
        <f t="shared" si="152"/>
        <v>1</v>
      </c>
      <c r="AH486">
        <f t="shared" si="153"/>
        <v>1</v>
      </c>
      <c r="AI486">
        <f t="shared" si="154"/>
        <v>1</v>
      </c>
      <c r="AJ486" s="9">
        <f t="shared" si="144"/>
        <v>6</v>
      </c>
      <c r="AK486">
        <f t="shared" si="156"/>
        <v>0</v>
      </c>
      <c r="AL486" s="9">
        <v>1</v>
      </c>
    </row>
    <row r="487" spans="1:38" x14ac:dyDescent="0.35">
      <c r="A487" s="50">
        <v>0</v>
      </c>
      <c r="B487" s="9" t="s">
        <v>60</v>
      </c>
      <c r="C487" s="53">
        <v>43854</v>
      </c>
      <c r="D487" s="53">
        <v>43902</v>
      </c>
      <c r="E487" s="53">
        <v>43984</v>
      </c>
      <c r="F487" s="21">
        <f t="shared" si="155"/>
        <v>82</v>
      </c>
      <c r="G487" s="53">
        <v>43902</v>
      </c>
      <c r="H487" s="9">
        <v>2020</v>
      </c>
      <c r="I487" s="50">
        <v>0</v>
      </c>
      <c r="J487" s="9">
        <v>7</v>
      </c>
      <c r="K487" s="9">
        <v>30</v>
      </c>
      <c r="L487" s="50" t="s">
        <v>499</v>
      </c>
      <c r="M487">
        <v>1</v>
      </c>
      <c r="N487">
        <v>1</v>
      </c>
      <c r="O487">
        <v>2</v>
      </c>
      <c r="P487">
        <v>1</v>
      </c>
      <c r="Q487">
        <v>2</v>
      </c>
      <c r="R487">
        <v>1</v>
      </c>
      <c r="S487">
        <v>1</v>
      </c>
      <c r="T487">
        <v>-2</v>
      </c>
      <c r="U487">
        <v>1</v>
      </c>
      <c r="V487" t="s">
        <v>964</v>
      </c>
      <c r="W487" t="s">
        <v>989</v>
      </c>
      <c r="X487" t="s">
        <v>997</v>
      </c>
      <c r="Y487" t="s">
        <v>1000</v>
      </c>
      <c r="Z487">
        <v>0</v>
      </c>
      <c r="AA487">
        <f t="shared" si="146"/>
        <v>1</v>
      </c>
      <c r="AB487">
        <f t="shared" si="147"/>
        <v>1</v>
      </c>
      <c r="AC487">
        <f t="shared" si="148"/>
        <v>1</v>
      </c>
      <c r="AD487">
        <f t="shared" si="149"/>
        <v>1</v>
      </c>
      <c r="AE487">
        <f t="shared" si="150"/>
        <v>1</v>
      </c>
      <c r="AF487">
        <f t="shared" si="151"/>
        <v>1</v>
      </c>
      <c r="AG487">
        <f t="shared" si="152"/>
        <v>1</v>
      </c>
      <c r="AH487">
        <f t="shared" si="153"/>
        <v>0</v>
      </c>
      <c r="AI487">
        <f t="shared" si="154"/>
        <v>1</v>
      </c>
      <c r="AJ487" s="9">
        <f t="shared" si="144"/>
        <v>30</v>
      </c>
      <c r="AK487">
        <f t="shared" si="156"/>
        <v>0</v>
      </c>
      <c r="AL487" s="9">
        <v>1</v>
      </c>
    </row>
    <row r="488" spans="1:38" x14ac:dyDescent="0.35">
      <c r="A488" s="50">
        <v>0</v>
      </c>
      <c r="B488" s="9" t="s">
        <v>60</v>
      </c>
      <c r="C488" s="53">
        <v>43854</v>
      </c>
      <c r="D488" s="53">
        <v>43902</v>
      </c>
      <c r="E488" s="53">
        <v>43984</v>
      </c>
      <c r="F488" s="21">
        <f t="shared" si="155"/>
        <v>82</v>
      </c>
      <c r="G488" s="53">
        <v>43902</v>
      </c>
      <c r="H488" s="9">
        <v>2020</v>
      </c>
      <c r="I488" s="50">
        <v>0</v>
      </c>
      <c r="J488" s="9">
        <v>1</v>
      </c>
      <c r="K488" s="9" t="s">
        <v>206</v>
      </c>
      <c r="L488" s="50" t="s">
        <v>498</v>
      </c>
      <c r="M488">
        <v>2</v>
      </c>
      <c r="N488">
        <v>2</v>
      </c>
      <c r="O488">
        <v>-2</v>
      </c>
      <c r="P488">
        <v>-2</v>
      </c>
      <c r="R488">
        <v>2</v>
      </c>
      <c r="T488">
        <v>-2</v>
      </c>
      <c r="U488">
        <v>1</v>
      </c>
      <c r="V488" t="s">
        <v>964</v>
      </c>
      <c r="W488" t="s">
        <v>989</v>
      </c>
      <c r="X488" t="s">
        <v>997</v>
      </c>
      <c r="Y488" t="s">
        <v>1000</v>
      </c>
      <c r="Z488">
        <v>0</v>
      </c>
      <c r="AA488">
        <f t="shared" si="146"/>
        <v>1</v>
      </c>
      <c r="AB488">
        <f t="shared" si="147"/>
        <v>1</v>
      </c>
      <c r="AC488">
        <f t="shared" si="148"/>
        <v>0</v>
      </c>
      <c r="AD488">
        <f t="shared" si="149"/>
        <v>0</v>
      </c>
      <c r="AE488">
        <f t="shared" si="150"/>
        <v>-1</v>
      </c>
      <c r="AF488">
        <f t="shared" si="151"/>
        <v>1</v>
      </c>
      <c r="AG488">
        <f t="shared" si="152"/>
        <v>-1</v>
      </c>
      <c r="AH488">
        <f t="shared" si="153"/>
        <v>0</v>
      </c>
      <c r="AI488">
        <f t="shared" si="154"/>
        <v>1</v>
      </c>
      <c r="AJ488" s="9" t="str">
        <f t="shared" si="144"/>
        <v>Tax exemption/waiver/suspension</v>
      </c>
      <c r="AK488">
        <f t="shared" si="156"/>
        <v>0</v>
      </c>
      <c r="AL488" s="9">
        <v>1</v>
      </c>
    </row>
    <row r="489" spans="1:38" x14ac:dyDescent="0.35">
      <c r="A489" s="50">
        <v>0</v>
      </c>
      <c r="B489" s="9" t="s">
        <v>60</v>
      </c>
      <c r="C489" s="53">
        <v>43854</v>
      </c>
      <c r="D489" s="53">
        <v>43902</v>
      </c>
      <c r="E489" s="53">
        <v>43984</v>
      </c>
      <c r="F489" s="21">
        <f t="shared" si="155"/>
        <v>82</v>
      </c>
      <c r="G489" s="53">
        <v>43902</v>
      </c>
      <c r="H489" s="9">
        <v>2020</v>
      </c>
      <c r="I489" s="50">
        <v>0</v>
      </c>
      <c r="J489" s="9">
        <v>1</v>
      </c>
      <c r="K489" s="9" t="s">
        <v>206</v>
      </c>
      <c r="L489" s="50" t="s">
        <v>500</v>
      </c>
      <c r="M489">
        <v>2</v>
      </c>
      <c r="N489">
        <v>2</v>
      </c>
      <c r="O489">
        <v>-2</v>
      </c>
      <c r="P489">
        <v>-1</v>
      </c>
      <c r="Q489">
        <v>-2</v>
      </c>
      <c r="R489">
        <v>2</v>
      </c>
      <c r="S489">
        <v>-2</v>
      </c>
      <c r="T489">
        <v>-2</v>
      </c>
      <c r="U489">
        <v>1</v>
      </c>
      <c r="V489" t="s">
        <v>964</v>
      </c>
      <c r="W489" t="s">
        <v>989</v>
      </c>
      <c r="X489" t="s">
        <v>997</v>
      </c>
      <c r="Y489" t="s">
        <v>1000</v>
      </c>
      <c r="Z489">
        <v>0</v>
      </c>
      <c r="AA489">
        <f t="shared" si="146"/>
        <v>1</v>
      </c>
      <c r="AB489">
        <f t="shared" si="147"/>
        <v>1</v>
      </c>
      <c r="AC489">
        <f t="shared" si="148"/>
        <v>0</v>
      </c>
      <c r="AD489">
        <f t="shared" si="149"/>
        <v>0</v>
      </c>
      <c r="AE489">
        <f t="shared" si="150"/>
        <v>0</v>
      </c>
      <c r="AF489">
        <f t="shared" si="151"/>
        <v>1</v>
      </c>
      <c r="AG489">
        <f t="shared" si="152"/>
        <v>0</v>
      </c>
      <c r="AH489">
        <f t="shared" si="153"/>
        <v>0</v>
      </c>
      <c r="AI489">
        <f t="shared" si="154"/>
        <v>1</v>
      </c>
      <c r="AJ489" s="9" t="str">
        <f t="shared" si="144"/>
        <v>Tax exemption/waiver/suspension</v>
      </c>
      <c r="AK489">
        <f t="shared" si="156"/>
        <v>0</v>
      </c>
      <c r="AL489" s="9">
        <v>1</v>
      </c>
    </row>
    <row r="490" spans="1:38" x14ac:dyDescent="0.35">
      <c r="A490" s="50">
        <v>0</v>
      </c>
      <c r="B490" s="9" t="s">
        <v>60</v>
      </c>
      <c r="C490" s="53">
        <v>43854</v>
      </c>
      <c r="D490" s="53">
        <v>43902</v>
      </c>
      <c r="E490" s="53">
        <v>43984</v>
      </c>
      <c r="F490" s="21">
        <f t="shared" si="155"/>
        <v>82</v>
      </c>
      <c r="G490" s="53">
        <v>43902</v>
      </c>
      <c r="H490" s="9">
        <v>2020</v>
      </c>
      <c r="I490" s="50">
        <v>0</v>
      </c>
      <c r="J490" s="9">
        <v>1</v>
      </c>
      <c r="K490" s="9" t="s">
        <v>206</v>
      </c>
      <c r="L490" s="50" t="s">
        <v>1922</v>
      </c>
      <c r="M490">
        <v>2</v>
      </c>
      <c r="N490">
        <v>2</v>
      </c>
      <c r="O490">
        <v>-2</v>
      </c>
      <c r="P490">
        <v>-1</v>
      </c>
      <c r="Q490">
        <v>-2</v>
      </c>
      <c r="R490">
        <v>2</v>
      </c>
      <c r="S490">
        <v>1</v>
      </c>
      <c r="U490">
        <v>1</v>
      </c>
      <c r="V490" t="s">
        <v>964</v>
      </c>
      <c r="W490" t="s">
        <v>989</v>
      </c>
      <c r="X490" t="s">
        <v>997</v>
      </c>
      <c r="Y490" t="s">
        <v>1000</v>
      </c>
      <c r="Z490">
        <v>0</v>
      </c>
      <c r="AA490">
        <f t="shared" si="146"/>
        <v>1</v>
      </c>
      <c r="AB490">
        <f t="shared" si="147"/>
        <v>1</v>
      </c>
      <c r="AC490">
        <f t="shared" si="148"/>
        <v>0</v>
      </c>
      <c r="AD490">
        <f t="shared" si="149"/>
        <v>0</v>
      </c>
      <c r="AE490">
        <f t="shared" si="150"/>
        <v>0</v>
      </c>
      <c r="AF490">
        <f t="shared" si="151"/>
        <v>1</v>
      </c>
      <c r="AG490">
        <f t="shared" si="152"/>
        <v>1</v>
      </c>
      <c r="AH490">
        <f t="shared" si="153"/>
        <v>-1</v>
      </c>
      <c r="AI490">
        <f t="shared" si="154"/>
        <v>1</v>
      </c>
      <c r="AJ490" s="9" t="str">
        <f t="shared" si="144"/>
        <v>Tax exemption/waiver/suspension</v>
      </c>
      <c r="AK490">
        <f t="shared" si="156"/>
        <v>0</v>
      </c>
      <c r="AL490" s="9">
        <v>1</v>
      </c>
    </row>
    <row r="491" spans="1:38" x14ac:dyDescent="0.35">
      <c r="A491" s="50">
        <v>0</v>
      </c>
      <c r="B491" s="9" t="s">
        <v>60</v>
      </c>
      <c r="C491" s="53">
        <v>43854</v>
      </c>
      <c r="D491" s="53">
        <v>43902</v>
      </c>
      <c r="E491" s="53">
        <v>43984</v>
      </c>
      <c r="F491" s="21">
        <f t="shared" si="155"/>
        <v>82</v>
      </c>
      <c r="G491" s="53">
        <v>43902</v>
      </c>
      <c r="H491" s="9">
        <v>2020</v>
      </c>
      <c r="I491" s="50">
        <v>0</v>
      </c>
      <c r="J491" s="9">
        <v>9</v>
      </c>
      <c r="K491" s="9">
        <v>34</v>
      </c>
      <c r="L491" s="50" t="s">
        <v>1923</v>
      </c>
      <c r="M491">
        <v>1</v>
      </c>
      <c r="N491">
        <v>1</v>
      </c>
      <c r="O491">
        <v>2</v>
      </c>
      <c r="P491">
        <v>-1</v>
      </c>
      <c r="Q491">
        <v>2</v>
      </c>
      <c r="R491">
        <v>1</v>
      </c>
      <c r="S491">
        <v>1</v>
      </c>
      <c r="T491">
        <v>-2</v>
      </c>
      <c r="U491">
        <v>1</v>
      </c>
      <c r="V491" t="s">
        <v>964</v>
      </c>
      <c r="W491" t="s">
        <v>989</v>
      </c>
      <c r="X491" t="s">
        <v>997</v>
      </c>
      <c r="Y491" t="s">
        <v>1000</v>
      </c>
      <c r="Z491">
        <v>0</v>
      </c>
      <c r="AA491">
        <f t="shared" si="146"/>
        <v>1</v>
      </c>
      <c r="AB491">
        <f t="shared" si="147"/>
        <v>1</v>
      </c>
      <c r="AC491">
        <f t="shared" si="148"/>
        <v>1</v>
      </c>
      <c r="AD491">
        <f t="shared" si="149"/>
        <v>0</v>
      </c>
      <c r="AE491">
        <f t="shared" si="150"/>
        <v>1</v>
      </c>
      <c r="AF491">
        <f t="shared" si="151"/>
        <v>1</v>
      </c>
      <c r="AG491">
        <f t="shared" si="152"/>
        <v>1</v>
      </c>
      <c r="AH491">
        <f t="shared" si="153"/>
        <v>0</v>
      </c>
      <c r="AI491">
        <f t="shared" si="154"/>
        <v>1</v>
      </c>
      <c r="AJ491" s="9">
        <f t="shared" si="144"/>
        <v>34</v>
      </c>
      <c r="AK491">
        <f t="shared" si="156"/>
        <v>0</v>
      </c>
      <c r="AL491" s="9">
        <v>1</v>
      </c>
    </row>
    <row r="492" spans="1:38" x14ac:dyDescent="0.35">
      <c r="A492" s="50">
        <v>0</v>
      </c>
      <c r="B492" s="9" t="s">
        <v>60</v>
      </c>
      <c r="C492" s="53">
        <v>43854</v>
      </c>
      <c r="D492" s="53">
        <v>43902</v>
      </c>
      <c r="E492" s="53">
        <v>43984</v>
      </c>
      <c r="F492" s="21">
        <f t="shared" si="155"/>
        <v>82</v>
      </c>
      <c r="G492" s="53">
        <v>43902</v>
      </c>
      <c r="H492" s="9">
        <v>2020</v>
      </c>
      <c r="I492" s="50">
        <v>0</v>
      </c>
      <c r="J492" s="9">
        <v>1</v>
      </c>
      <c r="K492" s="9">
        <v>12</v>
      </c>
      <c r="L492" s="50" t="s">
        <v>491</v>
      </c>
      <c r="M492">
        <v>-2</v>
      </c>
      <c r="N492">
        <v>2</v>
      </c>
      <c r="R492">
        <v>2</v>
      </c>
      <c r="T492">
        <v>2</v>
      </c>
      <c r="U492">
        <v>1</v>
      </c>
      <c r="V492" t="s">
        <v>964</v>
      </c>
      <c r="W492" t="s">
        <v>989</v>
      </c>
      <c r="X492" t="s">
        <v>997</v>
      </c>
      <c r="Y492" t="s">
        <v>1000</v>
      </c>
      <c r="Z492">
        <v>0</v>
      </c>
      <c r="AA492">
        <f t="shared" si="146"/>
        <v>0</v>
      </c>
      <c r="AB492">
        <f t="shared" si="147"/>
        <v>1</v>
      </c>
      <c r="AC492">
        <f t="shared" si="148"/>
        <v>-1</v>
      </c>
      <c r="AD492">
        <f t="shared" si="149"/>
        <v>-1</v>
      </c>
      <c r="AE492">
        <f t="shared" si="150"/>
        <v>-1</v>
      </c>
      <c r="AF492">
        <f t="shared" si="151"/>
        <v>1</v>
      </c>
      <c r="AG492">
        <f t="shared" si="152"/>
        <v>-1</v>
      </c>
      <c r="AH492">
        <f t="shared" si="153"/>
        <v>1</v>
      </c>
      <c r="AI492">
        <f t="shared" si="154"/>
        <v>1</v>
      </c>
      <c r="AJ492" s="9">
        <f t="shared" si="144"/>
        <v>12</v>
      </c>
      <c r="AK492" t="e">
        <f>IF(B492&lt;&gt;#REF!,1,0)</f>
        <v>#REF!</v>
      </c>
      <c r="AL492" s="9">
        <v>1</v>
      </c>
    </row>
    <row r="493" spans="1:38" x14ac:dyDescent="0.35">
      <c r="A493" s="50">
        <v>0</v>
      </c>
      <c r="B493" s="9" t="s">
        <v>60</v>
      </c>
      <c r="C493" s="53">
        <v>43854</v>
      </c>
      <c r="D493" s="53">
        <v>43902</v>
      </c>
      <c r="E493" s="53">
        <v>43984</v>
      </c>
      <c r="F493" s="21">
        <f t="shared" si="155"/>
        <v>82</v>
      </c>
      <c r="G493" s="53">
        <v>43902</v>
      </c>
      <c r="H493" s="9">
        <v>2020</v>
      </c>
      <c r="I493" s="50">
        <v>0</v>
      </c>
      <c r="J493" s="9">
        <v>6</v>
      </c>
      <c r="K493" s="9">
        <v>25</v>
      </c>
      <c r="L493" s="50" t="s">
        <v>504</v>
      </c>
      <c r="M493">
        <v>1</v>
      </c>
      <c r="N493">
        <v>1</v>
      </c>
      <c r="O493">
        <v>1</v>
      </c>
      <c r="P493">
        <v>-1</v>
      </c>
      <c r="Q493">
        <v>1</v>
      </c>
      <c r="R493">
        <v>1</v>
      </c>
      <c r="S493">
        <v>1</v>
      </c>
      <c r="T493">
        <v>2</v>
      </c>
      <c r="U493">
        <v>1</v>
      </c>
      <c r="V493" t="s">
        <v>964</v>
      </c>
      <c r="W493" t="s">
        <v>989</v>
      </c>
      <c r="X493" t="s">
        <v>997</v>
      </c>
      <c r="Y493" t="s">
        <v>1000</v>
      </c>
      <c r="Z493">
        <v>0</v>
      </c>
      <c r="AA493">
        <f t="shared" si="146"/>
        <v>1</v>
      </c>
      <c r="AB493">
        <f t="shared" si="147"/>
        <v>1</v>
      </c>
      <c r="AC493">
        <f t="shared" si="148"/>
        <v>1</v>
      </c>
      <c r="AD493">
        <f t="shared" si="149"/>
        <v>0</v>
      </c>
      <c r="AE493">
        <f t="shared" si="150"/>
        <v>1</v>
      </c>
      <c r="AF493">
        <f t="shared" si="151"/>
        <v>1</v>
      </c>
      <c r="AG493">
        <f t="shared" si="152"/>
        <v>1</v>
      </c>
      <c r="AH493">
        <f t="shared" si="153"/>
        <v>1</v>
      </c>
      <c r="AI493">
        <f t="shared" si="154"/>
        <v>1</v>
      </c>
      <c r="AJ493" s="9">
        <f t="shared" si="144"/>
        <v>25</v>
      </c>
      <c r="AK493">
        <f t="shared" si="156"/>
        <v>0</v>
      </c>
      <c r="AL493" s="9">
        <v>1</v>
      </c>
    </row>
    <row r="494" spans="1:38" x14ac:dyDescent="0.35">
      <c r="A494" s="50">
        <v>0</v>
      </c>
      <c r="B494" s="9" t="s">
        <v>60</v>
      </c>
      <c r="C494" s="53">
        <v>43854</v>
      </c>
      <c r="D494" s="53">
        <v>43902</v>
      </c>
      <c r="E494" s="53">
        <v>43984</v>
      </c>
      <c r="F494" s="21">
        <f t="shared" si="155"/>
        <v>82</v>
      </c>
      <c r="G494" s="53">
        <v>43902</v>
      </c>
      <c r="H494" s="9">
        <v>2020</v>
      </c>
      <c r="I494" s="50">
        <v>0</v>
      </c>
      <c r="J494" s="9">
        <v>6</v>
      </c>
      <c r="K494" s="9">
        <v>29</v>
      </c>
      <c r="L494" s="50" t="s">
        <v>489</v>
      </c>
      <c r="M494">
        <v>1</v>
      </c>
      <c r="N494">
        <v>1</v>
      </c>
      <c r="O494">
        <v>2</v>
      </c>
      <c r="P494">
        <v>-1</v>
      </c>
      <c r="Q494">
        <v>-1</v>
      </c>
      <c r="R494">
        <v>2</v>
      </c>
      <c r="S494">
        <v>-1</v>
      </c>
      <c r="T494">
        <v>-2</v>
      </c>
      <c r="U494">
        <v>1</v>
      </c>
      <c r="V494" t="s">
        <v>964</v>
      </c>
      <c r="W494" t="s">
        <v>989</v>
      </c>
      <c r="X494" t="s">
        <v>997</v>
      </c>
      <c r="Y494" t="s">
        <v>1000</v>
      </c>
      <c r="Z494">
        <v>0</v>
      </c>
      <c r="AA494">
        <f t="shared" si="146"/>
        <v>1</v>
      </c>
      <c r="AB494">
        <f t="shared" si="147"/>
        <v>1</v>
      </c>
      <c r="AC494">
        <f t="shared" si="148"/>
        <v>1</v>
      </c>
      <c r="AD494">
        <f t="shared" si="149"/>
        <v>0</v>
      </c>
      <c r="AE494">
        <f t="shared" si="150"/>
        <v>0</v>
      </c>
      <c r="AF494">
        <f t="shared" si="151"/>
        <v>1</v>
      </c>
      <c r="AG494">
        <f t="shared" si="152"/>
        <v>0</v>
      </c>
      <c r="AH494">
        <f t="shared" si="153"/>
        <v>0</v>
      </c>
      <c r="AI494">
        <f t="shared" si="154"/>
        <v>1</v>
      </c>
      <c r="AJ494" s="9">
        <f t="shared" si="144"/>
        <v>29</v>
      </c>
      <c r="AK494">
        <f t="shared" si="156"/>
        <v>0</v>
      </c>
      <c r="AL494" s="9">
        <v>1</v>
      </c>
    </row>
    <row r="495" spans="1:38" x14ac:dyDescent="0.35">
      <c r="A495" s="50">
        <v>0</v>
      </c>
      <c r="B495" s="9" t="s">
        <v>60</v>
      </c>
      <c r="C495" s="53">
        <v>43854</v>
      </c>
      <c r="D495" s="53">
        <v>43902</v>
      </c>
      <c r="E495" s="53">
        <v>43984</v>
      </c>
      <c r="F495" s="21">
        <f t="shared" si="155"/>
        <v>82</v>
      </c>
      <c r="G495" s="53">
        <v>43902</v>
      </c>
      <c r="H495" s="9">
        <v>2020</v>
      </c>
      <c r="I495" s="50">
        <v>0</v>
      </c>
      <c r="J495" s="9">
        <v>6</v>
      </c>
      <c r="K495" s="9">
        <v>25</v>
      </c>
      <c r="L495" s="50" t="s">
        <v>490</v>
      </c>
      <c r="M495">
        <v>-2</v>
      </c>
      <c r="N495">
        <v>1</v>
      </c>
      <c r="O495">
        <v>1</v>
      </c>
      <c r="P495">
        <v>-1</v>
      </c>
      <c r="Q495">
        <v>1</v>
      </c>
      <c r="R495">
        <v>1</v>
      </c>
      <c r="S495">
        <v>1</v>
      </c>
      <c r="T495">
        <v>2</v>
      </c>
      <c r="U495">
        <v>1</v>
      </c>
      <c r="V495" t="s">
        <v>964</v>
      </c>
      <c r="W495" t="s">
        <v>989</v>
      </c>
      <c r="X495" t="s">
        <v>997</v>
      </c>
      <c r="Y495" t="s">
        <v>1000</v>
      </c>
      <c r="Z495">
        <v>0</v>
      </c>
      <c r="AA495">
        <f t="shared" si="146"/>
        <v>0</v>
      </c>
      <c r="AB495">
        <f t="shared" si="147"/>
        <v>1</v>
      </c>
      <c r="AC495">
        <f t="shared" si="148"/>
        <v>1</v>
      </c>
      <c r="AD495">
        <f t="shared" si="149"/>
        <v>0</v>
      </c>
      <c r="AE495">
        <f t="shared" si="150"/>
        <v>1</v>
      </c>
      <c r="AF495">
        <f t="shared" si="151"/>
        <v>1</v>
      </c>
      <c r="AG495">
        <f t="shared" si="152"/>
        <v>1</v>
      </c>
      <c r="AH495">
        <f t="shared" si="153"/>
        <v>1</v>
      </c>
      <c r="AI495">
        <f t="shared" si="154"/>
        <v>1</v>
      </c>
      <c r="AJ495" s="9">
        <f t="shared" si="144"/>
        <v>25</v>
      </c>
      <c r="AK495">
        <f t="shared" si="156"/>
        <v>0</v>
      </c>
      <c r="AL495" s="9">
        <v>0</v>
      </c>
    </row>
    <row r="496" spans="1:38" x14ac:dyDescent="0.35">
      <c r="A496" s="50">
        <v>0</v>
      </c>
      <c r="B496" s="50" t="s">
        <v>60</v>
      </c>
      <c r="C496" s="53">
        <v>43854</v>
      </c>
      <c r="D496" s="53">
        <v>43902</v>
      </c>
      <c r="E496" s="53">
        <v>43984</v>
      </c>
      <c r="F496" s="21">
        <f t="shared" si="155"/>
        <v>82</v>
      </c>
      <c r="G496" s="53">
        <v>43902</v>
      </c>
      <c r="H496" s="9">
        <v>2020</v>
      </c>
      <c r="I496" s="50">
        <v>0</v>
      </c>
      <c r="J496" s="50">
        <v>4</v>
      </c>
      <c r="K496" s="50" t="s">
        <v>201</v>
      </c>
      <c r="L496" s="24" t="s">
        <v>1904</v>
      </c>
      <c r="M496" s="24"/>
      <c r="V496" t="s">
        <v>964</v>
      </c>
      <c r="W496" t="s">
        <v>989</v>
      </c>
      <c r="X496" t="s">
        <v>997</v>
      </c>
      <c r="Y496" t="s">
        <v>1000</v>
      </c>
      <c r="Z496">
        <v>0</v>
      </c>
      <c r="AA496">
        <v>-1</v>
      </c>
      <c r="AB496">
        <v>-1</v>
      </c>
      <c r="AC496">
        <v>-1</v>
      </c>
      <c r="AD496">
        <v>-1</v>
      </c>
      <c r="AE496">
        <v>-1</v>
      </c>
      <c r="AF496">
        <v>-1</v>
      </c>
      <c r="AG496">
        <v>-1</v>
      </c>
      <c r="AH496">
        <v>-1</v>
      </c>
      <c r="AI496">
        <v>-1</v>
      </c>
      <c r="AJ496" s="9" t="str">
        <f t="shared" si="144"/>
        <v>Other</v>
      </c>
      <c r="AK496">
        <f t="shared" si="156"/>
        <v>0</v>
      </c>
      <c r="AL496" s="9">
        <v>0</v>
      </c>
    </row>
    <row r="497" spans="1:38" x14ac:dyDescent="0.35">
      <c r="A497" s="50">
        <v>0</v>
      </c>
      <c r="B497" s="50" t="s">
        <v>60</v>
      </c>
      <c r="C497" s="53">
        <v>43854</v>
      </c>
      <c r="D497" s="53">
        <v>43902</v>
      </c>
      <c r="E497" s="53">
        <v>43984</v>
      </c>
      <c r="F497" s="21">
        <f t="shared" si="155"/>
        <v>82</v>
      </c>
      <c r="G497" s="53">
        <v>43902</v>
      </c>
      <c r="H497" s="9">
        <v>2020</v>
      </c>
      <c r="I497" s="50">
        <v>0</v>
      </c>
      <c r="J497" s="50">
        <v>3</v>
      </c>
      <c r="K497" s="50">
        <v>19</v>
      </c>
      <c r="L497" s="24" t="s">
        <v>1383</v>
      </c>
      <c r="M497" s="24"/>
      <c r="V497" t="s">
        <v>964</v>
      </c>
      <c r="W497" t="s">
        <v>989</v>
      </c>
      <c r="X497" t="s">
        <v>997</v>
      </c>
      <c r="Y497" t="s">
        <v>1000</v>
      </c>
      <c r="Z497">
        <v>0</v>
      </c>
      <c r="AA497">
        <v>-1</v>
      </c>
      <c r="AB497">
        <v>-1</v>
      </c>
      <c r="AC497">
        <v>-1</v>
      </c>
      <c r="AD497">
        <v>-1</v>
      </c>
      <c r="AE497">
        <v>-1</v>
      </c>
      <c r="AF497">
        <v>-1</v>
      </c>
      <c r="AG497">
        <v>-1</v>
      </c>
      <c r="AH497">
        <v>-1</v>
      </c>
      <c r="AI497">
        <v>-1</v>
      </c>
      <c r="AJ497" s="9">
        <f t="shared" si="144"/>
        <v>19</v>
      </c>
      <c r="AK497">
        <f t="shared" si="156"/>
        <v>0</v>
      </c>
      <c r="AL497" s="9">
        <v>0</v>
      </c>
    </row>
    <row r="498" spans="1:38" x14ac:dyDescent="0.35">
      <c r="A498" s="50">
        <v>0</v>
      </c>
      <c r="B498" s="50" t="s">
        <v>60</v>
      </c>
      <c r="C498" s="53">
        <v>43854</v>
      </c>
      <c r="D498" s="53">
        <v>43902</v>
      </c>
      <c r="E498" s="53">
        <v>43984</v>
      </c>
      <c r="F498" s="21">
        <f t="shared" si="155"/>
        <v>82</v>
      </c>
      <c r="G498" s="53">
        <v>43902</v>
      </c>
      <c r="H498" s="9">
        <v>2020</v>
      </c>
      <c r="I498" s="50">
        <v>0</v>
      </c>
      <c r="J498" s="50">
        <v>1</v>
      </c>
      <c r="K498" s="50">
        <v>6</v>
      </c>
      <c r="L498" s="24" t="s">
        <v>1384</v>
      </c>
      <c r="M498" s="24"/>
      <c r="V498" t="s">
        <v>964</v>
      </c>
      <c r="W498" t="s">
        <v>989</v>
      </c>
      <c r="X498" t="s">
        <v>997</v>
      </c>
      <c r="Y498" t="s">
        <v>1000</v>
      </c>
      <c r="Z498">
        <v>0</v>
      </c>
      <c r="AA498">
        <v>-1</v>
      </c>
      <c r="AB498">
        <v>-1</v>
      </c>
      <c r="AC498">
        <v>-1</v>
      </c>
      <c r="AD498">
        <v>-1</v>
      </c>
      <c r="AE498">
        <v>-1</v>
      </c>
      <c r="AF498">
        <v>-1</v>
      </c>
      <c r="AG498">
        <v>-1</v>
      </c>
      <c r="AH498">
        <v>-1</v>
      </c>
      <c r="AI498">
        <v>-1</v>
      </c>
      <c r="AJ498" s="9">
        <f t="shared" si="144"/>
        <v>6</v>
      </c>
      <c r="AK498">
        <f t="shared" si="156"/>
        <v>0</v>
      </c>
      <c r="AL498" s="9">
        <v>0</v>
      </c>
    </row>
    <row r="499" spans="1:38" x14ac:dyDescent="0.35">
      <c r="A499" s="50">
        <v>0</v>
      </c>
      <c r="B499" s="50" t="s">
        <v>60</v>
      </c>
      <c r="C499" s="53">
        <v>43854</v>
      </c>
      <c r="D499" s="53">
        <v>43902</v>
      </c>
      <c r="E499" s="53">
        <v>43984</v>
      </c>
      <c r="F499" s="21">
        <f t="shared" si="155"/>
        <v>82</v>
      </c>
      <c r="G499" s="53">
        <v>43902</v>
      </c>
      <c r="H499" s="9">
        <v>2020</v>
      </c>
      <c r="I499" s="50">
        <v>0</v>
      </c>
      <c r="J499" s="50">
        <v>6</v>
      </c>
      <c r="K499" s="50">
        <v>29</v>
      </c>
      <c r="L499" s="24" t="s">
        <v>1385</v>
      </c>
      <c r="M499" s="24"/>
      <c r="V499" t="s">
        <v>964</v>
      </c>
      <c r="W499" t="s">
        <v>989</v>
      </c>
      <c r="X499" t="s">
        <v>997</v>
      </c>
      <c r="Y499" t="s">
        <v>1000</v>
      </c>
      <c r="Z499">
        <v>0</v>
      </c>
      <c r="AA499">
        <v>-1</v>
      </c>
      <c r="AB499">
        <v>-1</v>
      </c>
      <c r="AC499">
        <v>-1</v>
      </c>
      <c r="AD499">
        <v>-1</v>
      </c>
      <c r="AE499">
        <v>-1</v>
      </c>
      <c r="AF499">
        <v>-1</v>
      </c>
      <c r="AG499">
        <v>-1</v>
      </c>
      <c r="AH499">
        <v>-1</v>
      </c>
      <c r="AI499">
        <v>-1</v>
      </c>
      <c r="AJ499" s="9">
        <f t="shared" si="144"/>
        <v>29</v>
      </c>
      <c r="AK499">
        <f t="shared" si="156"/>
        <v>0</v>
      </c>
      <c r="AL499" s="9">
        <v>0</v>
      </c>
    </row>
    <row r="500" spans="1:38" x14ac:dyDescent="0.35">
      <c r="A500" s="50">
        <v>0</v>
      </c>
      <c r="B500" s="50" t="s">
        <v>60</v>
      </c>
      <c r="C500" s="53">
        <v>43854</v>
      </c>
      <c r="D500" s="53">
        <v>43902</v>
      </c>
      <c r="E500" s="53">
        <v>43984</v>
      </c>
      <c r="F500" s="21">
        <f t="shared" si="155"/>
        <v>82</v>
      </c>
      <c r="G500" s="53">
        <v>43902</v>
      </c>
      <c r="H500" s="9">
        <v>2020</v>
      </c>
      <c r="I500" s="50">
        <v>0</v>
      </c>
      <c r="J500" s="50">
        <v>1</v>
      </c>
      <c r="K500" s="50">
        <v>6</v>
      </c>
      <c r="L500" s="24" t="s">
        <v>1386</v>
      </c>
      <c r="M500" s="24"/>
      <c r="V500" t="s">
        <v>964</v>
      </c>
      <c r="W500" t="s">
        <v>989</v>
      </c>
      <c r="X500" t="s">
        <v>997</v>
      </c>
      <c r="Y500" t="s">
        <v>1000</v>
      </c>
      <c r="Z500">
        <v>0</v>
      </c>
      <c r="AA500">
        <v>-1</v>
      </c>
      <c r="AB500">
        <v>-1</v>
      </c>
      <c r="AC500">
        <v>-1</v>
      </c>
      <c r="AD500">
        <v>-1</v>
      </c>
      <c r="AE500">
        <v>-1</v>
      </c>
      <c r="AF500">
        <v>-1</v>
      </c>
      <c r="AG500">
        <v>-1</v>
      </c>
      <c r="AH500">
        <v>-1</v>
      </c>
      <c r="AI500">
        <v>-1</v>
      </c>
      <c r="AJ500" s="9">
        <f t="shared" si="144"/>
        <v>6</v>
      </c>
      <c r="AK500" t="e">
        <f>IF(B500&lt;&gt;#REF!,1,0)</f>
        <v>#REF!</v>
      </c>
      <c r="AL500" s="9">
        <v>0</v>
      </c>
    </row>
    <row r="501" spans="1:38" x14ac:dyDescent="0.35">
      <c r="A501" s="50">
        <v>0</v>
      </c>
      <c r="B501" s="50" t="s">
        <v>60</v>
      </c>
      <c r="C501" s="53">
        <v>43854</v>
      </c>
      <c r="D501" s="53">
        <v>43902</v>
      </c>
      <c r="E501" s="53">
        <v>43984</v>
      </c>
      <c r="F501" s="21">
        <f t="shared" si="155"/>
        <v>82</v>
      </c>
      <c r="G501" s="53">
        <v>43902</v>
      </c>
      <c r="H501" s="9">
        <v>2020</v>
      </c>
      <c r="I501" s="50">
        <v>0</v>
      </c>
      <c r="J501" s="50">
        <v>1</v>
      </c>
      <c r="K501" s="50">
        <v>6</v>
      </c>
      <c r="L501" s="24" t="s">
        <v>1387</v>
      </c>
      <c r="M501" s="24"/>
      <c r="V501" t="s">
        <v>964</v>
      </c>
      <c r="W501" t="s">
        <v>989</v>
      </c>
      <c r="X501" t="s">
        <v>997</v>
      </c>
      <c r="Y501" t="s">
        <v>1000</v>
      </c>
      <c r="Z501">
        <v>0</v>
      </c>
      <c r="AA501">
        <v>-1</v>
      </c>
      <c r="AB501">
        <v>-1</v>
      </c>
      <c r="AC501">
        <v>-1</v>
      </c>
      <c r="AD501">
        <v>-1</v>
      </c>
      <c r="AE501">
        <v>-1</v>
      </c>
      <c r="AF501">
        <v>-1</v>
      </c>
      <c r="AG501">
        <v>-1</v>
      </c>
      <c r="AH501">
        <v>-1</v>
      </c>
      <c r="AI501">
        <v>-1</v>
      </c>
      <c r="AJ501" s="9">
        <f t="shared" si="144"/>
        <v>6</v>
      </c>
      <c r="AK501">
        <f t="shared" si="156"/>
        <v>0</v>
      </c>
      <c r="AL501" s="9">
        <v>0</v>
      </c>
    </row>
    <row r="502" spans="1:38" x14ac:dyDescent="0.35">
      <c r="A502" s="50">
        <v>0</v>
      </c>
      <c r="B502" s="50" t="s">
        <v>60</v>
      </c>
      <c r="C502" s="53">
        <v>43854</v>
      </c>
      <c r="D502" s="53">
        <v>43902</v>
      </c>
      <c r="E502" s="53">
        <v>43984</v>
      </c>
      <c r="F502" s="21">
        <f t="shared" si="155"/>
        <v>82</v>
      </c>
      <c r="G502" s="53">
        <v>43902</v>
      </c>
      <c r="H502" s="9">
        <v>2020</v>
      </c>
      <c r="I502" s="50">
        <v>0</v>
      </c>
      <c r="J502" s="50">
        <v>7</v>
      </c>
      <c r="K502" s="50" t="s">
        <v>201</v>
      </c>
      <c r="L502" s="24" t="s">
        <v>1388</v>
      </c>
      <c r="M502" s="24"/>
      <c r="V502" t="s">
        <v>964</v>
      </c>
      <c r="W502" t="s">
        <v>989</v>
      </c>
      <c r="X502" t="s">
        <v>997</v>
      </c>
      <c r="Y502" t="s">
        <v>1000</v>
      </c>
      <c r="Z502">
        <v>0</v>
      </c>
      <c r="AA502">
        <v>-1</v>
      </c>
      <c r="AB502">
        <v>-1</v>
      </c>
      <c r="AC502">
        <v>-1</v>
      </c>
      <c r="AD502">
        <v>-1</v>
      </c>
      <c r="AE502">
        <v>-1</v>
      </c>
      <c r="AF502">
        <v>-1</v>
      </c>
      <c r="AG502">
        <v>-1</v>
      </c>
      <c r="AH502">
        <v>-1</v>
      </c>
      <c r="AI502">
        <v>-1</v>
      </c>
      <c r="AJ502" s="9" t="str">
        <f t="shared" si="144"/>
        <v>Other</v>
      </c>
      <c r="AK502">
        <f t="shared" si="156"/>
        <v>0</v>
      </c>
      <c r="AL502" s="9">
        <v>0</v>
      </c>
    </row>
    <row r="503" spans="1:38" x14ac:dyDescent="0.35">
      <c r="A503" s="50">
        <v>0</v>
      </c>
      <c r="B503" s="50" t="s">
        <v>60</v>
      </c>
      <c r="C503" s="53">
        <v>43854</v>
      </c>
      <c r="D503" s="53">
        <v>43902</v>
      </c>
      <c r="E503" s="53">
        <v>43984</v>
      </c>
      <c r="F503" s="21">
        <f t="shared" si="155"/>
        <v>82</v>
      </c>
      <c r="G503" s="53">
        <v>43902</v>
      </c>
      <c r="H503" s="9">
        <v>2020</v>
      </c>
      <c r="I503" s="50">
        <v>0</v>
      </c>
      <c r="J503" s="50">
        <v>5</v>
      </c>
      <c r="K503" s="50" t="s">
        <v>204</v>
      </c>
      <c r="L503" s="24" t="s">
        <v>1389</v>
      </c>
      <c r="M503" s="24"/>
      <c r="V503" t="s">
        <v>964</v>
      </c>
      <c r="W503" t="s">
        <v>989</v>
      </c>
      <c r="X503" t="s">
        <v>997</v>
      </c>
      <c r="Y503" t="s">
        <v>1000</v>
      </c>
      <c r="Z503">
        <v>0</v>
      </c>
      <c r="AA503">
        <v>-1</v>
      </c>
      <c r="AB503">
        <v>-1</v>
      </c>
      <c r="AC503">
        <v>-1</v>
      </c>
      <c r="AD503">
        <v>-1</v>
      </c>
      <c r="AE503">
        <v>-1</v>
      </c>
      <c r="AF503">
        <v>-1</v>
      </c>
      <c r="AG503">
        <v>-1</v>
      </c>
      <c r="AH503">
        <v>-1</v>
      </c>
      <c r="AI503">
        <v>-1</v>
      </c>
      <c r="AJ503" s="9" t="str">
        <f t="shared" si="144"/>
        <v>General</v>
      </c>
      <c r="AK503">
        <f t="shared" si="156"/>
        <v>0</v>
      </c>
      <c r="AL503" s="9">
        <v>0</v>
      </c>
    </row>
    <row r="504" spans="1:38" x14ac:dyDescent="0.35">
      <c r="A504" s="50">
        <v>0</v>
      </c>
      <c r="B504" s="50" t="s">
        <v>60</v>
      </c>
      <c r="C504" s="53">
        <v>43854</v>
      </c>
      <c r="D504" s="53">
        <v>43902</v>
      </c>
      <c r="E504" s="53">
        <v>43984</v>
      </c>
      <c r="F504" s="21">
        <f t="shared" si="155"/>
        <v>82</v>
      </c>
      <c r="G504" s="53">
        <v>43902</v>
      </c>
      <c r="H504" s="9">
        <v>2020</v>
      </c>
      <c r="I504" s="50">
        <v>0</v>
      </c>
      <c r="J504" s="50">
        <v>5</v>
      </c>
      <c r="K504" s="50">
        <v>24</v>
      </c>
      <c r="L504" s="24" t="s">
        <v>1390</v>
      </c>
      <c r="M504" s="24"/>
      <c r="V504" t="s">
        <v>964</v>
      </c>
      <c r="W504" t="s">
        <v>989</v>
      </c>
      <c r="X504" t="s">
        <v>997</v>
      </c>
      <c r="Y504" t="s">
        <v>1000</v>
      </c>
      <c r="Z504">
        <v>0</v>
      </c>
      <c r="AA504">
        <v>-1</v>
      </c>
      <c r="AB504">
        <v>-1</v>
      </c>
      <c r="AC504">
        <v>-1</v>
      </c>
      <c r="AD504">
        <v>-1</v>
      </c>
      <c r="AE504">
        <v>-1</v>
      </c>
      <c r="AF504">
        <v>-1</v>
      </c>
      <c r="AG504">
        <v>-1</v>
      </c>
      <c r="AH504">
        <v>-1</v>
      </c>
      <c r="AI504">
        <v>-1</v>
      </c>
      <c r="AJ504" s="9">
        <f t="shared" si="144"/>
        <v>24</v>
      </c>
      <c r="AK504">
        <f t="shared" si="156"/>
        <v>0</v>
      </c>
      <c r="AL504" s="9">
        <v>0</v>
      </c>
    </row>
    <row r="505" spans="1:38" x14ac:dyDescent="0.35">
      <c r="A505" s="50">
        <v>0</v>
      </c>
      <c r="B505" s="50" t="s">
        <v>60</v>
      </c>
      <c r="C505" s="53">
        <v>43854</v>
      </c>
      <c r="D505" s="53">
        <v>43902</v>
      </c>
      <c r="E505" s="53">
        <v>43984</v>
      </c>
      <c r="F505" s="21">
        <f t="shared" si="155"/>
        <v>82</v>
      </c>
      <c r="G505" s="53">
        <v>43902</v>
      </c>
      <c r="H505" s="9">
        <v>2020</v>
      </c>
      <c r="I505" s="50">
        <v>0</v>
      </c>
      <c r="J505" s="50">
        <v>6</v>
      </c>
      <c r="K505" s="50">
        <v>27</v>
      </c>
      <c r="L505" s="24" t="s">
        <v>1391</v>
      </c>
      <c r="M505" s="24"/>
      <c r="V505" t="s">
        <v>964</v>
      </c>
      <c r="W505" t="s">
        <v>989</v>
      </c>
      <c r="X505" t="s">
        <v>997</v>
      </c>
      <c r="Y505" t="s">
        <v>1000</v>
      </c>
      <c r="Z505">
        <v>0</v>
      </c>
      <c r="AA505">
        <v>-1</v>
      </c>
      <c r="AB505">
        <v>-1</v>
      </c>
      <c r="AC505">
        <v>-1</v>
      </c>
      <c r="AD505">
        <v>-1</v>
      </c>
      <c r="AE505">
        <v>-1</v>
      </c>
      <c r="AF505">
        <v>-1</v>
      </c>
      <c r="AG505">
        <v>-1</v>
      </c>
      <c r="AH505">
        <v>-1</v>
      </c>
      <c r="AI505">
        <v>-1</v>
      </c>
      <c r="AJ505" s="9">
        <f t="shared" si="144"/>
        <v>27</v>
      </c>
      <c r="AK505">
        <f t="shared" si="156"/>
        <v>0</v>
      </c>
      <c r="AL505" s="9">
        <v>0</v>
      </c>
    </row>
    <row r="506" spans="1:38" x14ac:dyDescent="0.35">
      <c r="A506" s="50">
        <v>0</v>
      </c>
      <c r="B506" s="50" t="s">
        <v>60</v>
      </c>
      <c r="C506" s="53">
        <v>43854</v>
      </c>
      <c r="D506" s="53">
        <v>43902</v>
      </c>
      <c r="E506" s="53">
        <v>43984</v>
      </c>
      <c r="F506" s="21">
        <f t="shared" si="155"/>
        <v>82</v>
      </c>
      <c r="G506" s="53">
        <v>43902</v>
      </c>
      <c r="H506" s="9">
        <v>2020</v>
      </c>
      <c r="I506" s="50">
        <v>0</v>
      </c>
      <c r="J506" s="50">
        <v>2</v>
      </c>
      <c r="K506" s="50" t="s">
        <v>206</v>
      </c>
      <c r="L506" s="24" t="s">
        <v>1392</v>
      </c>
      <c r="M506" s="24"/>
      <c r="V506" t="s">
        <v>964</v>
      </c>
      <c r="W506" t="s">
        <v>989</v>
      </c>
      <c r="X506" t="s">
        <v>997</v>
      </c>
      <c r="Y506" t="s">
        <v>1000</v>
      </c>
      <c r="Z506">
        <v>0</v>
      </c>
      <c r="AA506">
        <v>-1</v>
      </c>
      <c r="AB506">
        <v>-1</v>
      </c>
      <c r="AC506">
        <v>-1</v>
      </c>
      <c r="AD506">
        <v>-1</v>
      </c>
      <c r="AE506">
        <v>-1</v>
      </c>
      <c r="AF506">
        <v>-1</v>
      </c>
      <c r="AG506">
        <v>-1</v>
      </c>
      <c r="AH506">
        <v>-1</v>
      </c>
      <c r="AI506">
        <v>-1</v>
      </c>
      <c r="AJ506" s="9" t="str">
        <f t="shared" si="144"/>
        <v>Tax exemption/waiver/suspension</v>
      </c>
      <c r="AK506">
        <f t="shared" si="156"/>
        <v>0</v>
      </c>
      <c r="AL506" s="9">
        <v>0</v>
      </c>
    </row>
    <row r="507" spans="1:38" x14ac:dyDescent="0.35">
      <c r="A507" s="50">
        <v>0</v>
      </c>
      <c r="B507" s="50" t="s">
        <v>60</v>
      </c>
      <c r="C507" s="53">
        <v>43854</v>
      </c>
      <c r="D507" s="53">
        <v>43902</v>
      </c>
      <c r="E507" s="53">
        <v>43984</v>
      </c>
      <c r="F507" s="21">
        <f t="shared" si="155"/>
        <v>82</v>
      </c>
      <c r="G507" s="53">
        <v>43902</v>
      </c>
      <c r="H507" s="9">
        <v>2020</v>
      </c>
      <c r="I507" s="50">
        <v>0</v>
      </c>
      <c r="J507" s="50">
        <v>1</v>
      </c>
      <c r="K507" s="50">
        <v>9</v>
      </c>
      <c r="L507" s="24" t="s">
        <v>1393</v>
      </c>
      <c r="M507" s="24"/>
      <c r="V507" t="s">
        <v>964</v>
      </c>
      <c r="W507" t="s">
        <v>989</v>
      </c>
      <c r="X507" t="s">
        <v>997</v>
      </c>
      <c r="Y507" t="s">
        <v>1000</v>
      </c>
      <c r="Z507">
        <v>0</v>
      </c>
      <c r="AA507">
        <v>-1</v>
      </c>
      <c r="AB507">
        <v>-1</v>
      </c>
      <c r="AC507">
        <v>-1</v>
      </c>
      <c r="AD507">
        <v>-1</v>
      </c>
      <c r="AE507">
        <v>-1</v>
      </c>
      <c r="AF507">
        <v>-1</v>
      </c>
      <c r="AG507">
        <v>-1</v>
      </c>
      <c r="AH507">
        <v>-1</v>
      </c>
      <c r="AI507">
        <v>-1</v>
      </c>
      <c r="AJ507" s="9">
        <f t="shared" si="144"/>
        <v>9</v>
      </c>
      <c r="AK507">
        <f t="shared" si="156"/>
        <v>0</v>
      </c>
      <c r="AL507" s="9">
        <v>0</v>
      </c>
    </row>
    <row r="508" spans="1:38" x14ac:dyDescent="0.35">
      <c r="A508" s="50">
        <v>0</v>
      </c>
      <c r="B508" s="50" t="s">
        <v>60</v>
      </c>
      <c r="C508" s="53">
        <v>43854</v>
      </c>
      <c r="D508" s="53">
        <v>43902</v>
      </c>
      <c r="E508" s="53">
        <v>43984</v>
      </c>
      <c r="F508" s="21">
        <f t="shared" si="155"/>
        <v>82</v>
      </c>
      <c r="G508" s="53">
        <v>43902</v>
      </c>
      <c r="H508" s="9">
        <v>2020</v>
      </c>
      <c r="I508" s="50">
        <v>0</v>
      </c>
      <c r="J508" s="50">
        <v>7</v>
      </c>
      <c r="K508" s="50" t="s">
        <v>201</v>
      </c>
      <c r="L508" s="24" t="s">
        <v>1394</v>
      </c>
      <c r="M508" s="24"/>
      <c r="V508" t="s">
        <v>964</v>
      </c>
      <c r="W508" t="s">
        <v>989</v>
      </c>
      <c r="X508" t="s">
        <v>997</v>
      </c>
      <c r="Y508" t="s">
        <v>1000</v>
      </c>
      <c r="Z508">
        <v>0</v>
      </c>
      <c r="AA508">
        <v>-1</v>
      </c>
      <c r="AB508">
        <v>-1</v>
      </c>
      <c r="AC508">
        <v>-1</v>
      </c>
      <c r="AD508">
        <v>-1</v>
      </c>
      <c r="AE508">
        <v>-1</v>
      </c>
      <c r="AF508">
        <v>-1</v>
      </c>
      <c r="AG508">
        <v>-1</v>
      </c>
      <c r="AH508">
        <v>-1</v>
      </c>
      <c r="AI508">
        <v>-1</v>
      </c>
      <c r="AJ508" s="9" t="str">
        <f t="shared" si="144"/>
        <v>Other</v>
      </c>
      <c r="AK508">
        <f t="shared" si="156"/>
        <v>0</v>
      </c>
      <c r="AL508" s="9">
        <v>0</v>
      </c>
    </row>
    <row r="509" spans="1:38" x14ac:dyDescent="0.35">
      <c r="A509" s="50">
        <v>0</v>
      </c>
      <c r="B509" s="50" t="s">
        <v>60</v>
      </c>
      <c r="C509" s="53">
        <v>43854</v>
      </c>
      <c r="D509" s="53">
        <v>43902</v>
      </c>
      <c r="E509" s="53">
        <v>43984</v>
      </c>
      <c r="F509" s="21">
        <f t="shared" si="155"/>
        <v>82</v>
      </c>
      <c r="G509" s="53">
        <v>43902</v>
      </c>
      <c r="H509" s="9">
        <v>2020</v>
      </c>
      <c r="I509" s="50">
        <v>0</v>
      </c>
      <c r="J509" s="50">
        <v>7</v>
      </c>
      <c r="K509" s="50" t="s">
        <v>201</v>
      </c>
      <c r="L509" s="24" t="s">
        <v>1395</v>
      </c>
      <c r="M509" s="24"/>
      <c r="V509" t="s">
        <v>964</v>
      </c>
      <c r="W509" t="s">
        <v>989</v>
      </c>
      <c r="X509" t="s">
        <v>997</v>
      </c>
      <c r="Y509" t="s">
        <v>1000</v>
      </c>
      <c r="Z509">
        <v>0</v>
      </c>
      <c r="AA509">
        <v>-1</v>
      </c>
      <c r="AB509">
        <v>-1</v>
      </c>
      <c r="AC509">
        <v>-1</v>
      </c>
      <c r="AD509">
        <v>-1</v>
      </c>
      <c r="AE509">
        <v>-1</v>
      </c>
      <c r="AF509">
        <v>-1</v>
      </c>
      <c r="AG509">
        <v>-1</v>
      </c>
      <c r="AH509">
        <v>-1</v>
      </c>
      <c r="AI509">
        <v>-1</v>
      </c>
      <c r="AJ509" s="9" t="str">
        <f t="shared" si="144"/>
        <v>Other</v>
      </c>
      <c r="AK509">
        <f t="shared" si="156"/>
        <v>0</v>
      </c>
      <c r="AL509" s="9">
        <v>1</v>
      </c>
    </row>
    <row r="510" spans="1:38" s="47" customFormat="1" x14ac:dyDescent="0.35">
      <c r="A510" s="50">
        <v>0</v>
      </c>
      <c r="B510" s="50" t="s">
        <v>60</v>
      </c>
      <c r="C510" s="53">
        <v>43854</v>
      </c>
      <c r="D510" s="53">
        <v>43902</v>
      </c>
      <c r="E510" s="53">
        <v>43984</v>
      </c>
      <c r="F510" s="21">
        <f t="shared" si="155"/>
        <v>82</v>
      </c>
      <c r="G510" s="53">
        <v>43902</v>
      </c>
      <c r="H510" s="9">
        <v>2021</v>
      </c>
      <c r="I510" s="50">
        <v>0</v>
      </c>
      <c r="J510" s="50">
        <v>1</v>
      </c>
      <c r="K510" s="50">
        <v>7</v>
      </c>
      <c r="L510" s="48" t="s">
        <v>1730</v>
      </c>
      <c r="M510" s="48"/>
      <c r="V510" t="s">
        <v>964</v>
      </c>
      <c r="AB510">
        <v>-1</v>
      </c>
    </row>
    <row r="511" spans="1:38" s="47" customFormat="1" x14ac:dyDescent="0.35">
      <c r="A511" s="50">
        <v>0</v>
      </c>
      <c r="B511" s="50" t="s">
        <v>60</v>
      </c>
      <c r="C511" s="53">
        <v>43854</v>
      </c>
      <c r="D511" s="53">
        <v>43902</v>
      </c>
      <c r="E511" s="53">
        <v>43984</v>
      </c>
      <c r="F511" s="21">
        <f t="shared" si="155"/>
        <v>82</v>
      </c>
      <c r="G511" s="53">
        <v>43902</v>
      </c>
      <c r="H511" s="9">
        <v>2021</v>
      </c>
      <c r="I511" s="50">
        <v>0</v>
      </c>
      <c r="J511" s="50">
        <v>7</v>
      </c>
      <c r="K511" s="50">
        <v>31</v>
      </c>
      <c r="L511" s="48" t="s">
        <v>1731</v>
      </c>
      <c r="M511" s="48"/>
      <c r="V511" t="s">
        <v>964</v>
      </c>
      <c r="AB511">
        <v>-1</v>
      </c>
    </row>
    <row r="512" spans="1:38" s="47" customFormat="1" x14ac:dyDescent="0.35">
      <c r="A512" s="50">
        <v>0</v>
      </c>
      <c r="B512" s="50" t="s">
        <v>60</v>
      </c>
      <c r="C512" s="53">
        <v>43854</v>
      </c>
      <c r="D512" s="53">
        <v>43902</v>
      </c>
      <c r="E512" s="53">
        <v>43984</v>
      </c>
      <c r="F512" s="21">
        <f t="shared" si="155"/>
        <v>82</v>
      </c>
      <c r="G512" s="53">
        <v>43902</v>
      </c>
      <c r="H512" s="9">
        <v>2021</v>
      </c>
      <c r="I512" s="50">
        <v>0</v>
      </c>
      <c r="J512" s="50">
        <v>4</v>
      </c>
      <c r="K512" s="50" t="s">
        <v>201</v>
      </c>
      <c r="L512" s="48" t="s">
        <v>1732</v>
      </c>
      <c r="M512" s="48"/>
      <c r="V512" t="s">
        <v>964</v>
      </c>
      <c r="AB512">
        <v>-1</v>
      </c>
    </row>
    <row r="513" spans="1:38" s="47" customFormat="1" x14ac:dyDescent="0.35">
      <c r="A513" s="50">
        <v>0</v>
      </c>
      <c r="B513" s="50" t="s">
        <v>60</v>
      </c>
      <c r="C513" s="53">
        <v>43854</v>
      </c>
      <c r="D513" s="53">
        <v>43902</v>
      </c>
      <c r="E513" s="53">
        <v>43984</v>
      </c>
      <c r="F513" s="21">
        <f t="shared" si="155"/>
        <v>82</v>
      </c>
      <c r="G513" s="53">
        <v>43902</v>
      </c>
      <c r="H513" s="9">
        <v>2021</v>
      </c>
      <c r="I513" s="50">
        <v>0</v>
      </c>
      <c r="J513" s="50">
        <v>6</v>
      </c>
      <c r="K513" s="50">
        <v>29</v>
      </c>
      <c r="L513" s="48" t="s">
        <v>1733</v>
      </c>
      <c r="M513" s="48"/>
      <c r="V513" t="s">
        <v>964</v>
      </c>
      <c r="AB513">
        <v>-1</v>
      </c>
    </row>
    <row r="514" spans="1:38" s="47" customFormat="1" x14ac:dyDescent="0.35">
      <c r="A514" s="50">
        <v>0</v>
      </c>
      <c r="B514" s="50" t="s">
        <v>60</v>
      </c>
      <c r="C514" s="53">
        <v>43854</v>
      </c>
      <c r="D514" s="53">
        <v>43902</v>
      </c>
      <c r="E514" s="53">
        <v>43984</v>
      </c>
      <c r="F514" s="21">
        <f t="shared" ref="F514:F520" si="157">DATEDIF(D514,E514,"D")</f>
        <v>82</v>
      </c>
      <c r="G514" s="53">
        <v>43902</v>
      </c>
      <c r="H514" s="9">
        <v>2021</v>
      </c>
      <c r="I514" s="50">
        <v>0</v>
      </c>
      <c r="J514" s="50">
        <v>9</v>
      </c>
      <c r="K514" s="50">
        <v>34</v>
      </c>
      <c r="L514" s="48" t="s">
        <v>1915</v>
      </c>
      <c r="M514" s="48"/>
      <c r="V514"/>
      <c r="AB514"/>
    </row>
    <row r="515" spans="1:38" s="47" customFormat="1" x14ac:dyDescent="0.35">
      <c r="A515" s="50">
        <v>0</v>
      </c>
      <c r="B515" s="50" t="s">
        <v>60</v>
      </c>
      <c r="C515" s="53">
        <v>43854</v>
      </c>
      <c r="D515" s="53">
        <v>43902</v>
      </c>
      <c r="E515" s="53">
        <v>43984</v>
      </c>
      <c r="F515" s="21">
        <f t="shared" si="157"/>
        <v>82</v>
      </c>
      <c r="G515" s="53">
        <v>43902</v>
      </c>
      <c r="H515" s="9">
        <v>2021</v>
      </c>
      <c r="I515" s="50">
        <v>0</v>
      </c>
      <c r="J515" s="50">
        <v>1</v>
      </c>
      <c r="K515" s="50">
        <v>4</v>
      </c>
      <c r="L515" s="48" t="s">
        <v>1916</v>
      </c>
      <c r="M515" s="48"/>
      <c r="V515"/>
      <c r="AB515"/>
    </row>
    <row r="516" spans="1:38" s="47" customFormat="1" x14ac:dyDescent="0.35">
      <c r="A516" s="50">
        <v>0</v>
      </c>
      <c r="B516" s="50" t="s">
        <v>60</v>
      </c>
      <c r="C516" s="53">
        <v>43854</v>
      </c>
      <c r="D516" s="53">
        <v>43902</v>
      </c>
      <c r="E516" s="53">
        <v>43984</v>
      </c>
      <c r="F516" s="21">
        <f t="shared" si="157"/>
        <v>82</v>
      </c>
      <c r="G516" s="53">
        <v>43902</v>
      </c>
      <c r="H516" s="9">
        <v>2021</v>
      </c>
      <c r="I516" s="50">
        <v>0</v>
      </c>
      <c r="J516" s="50">
        <v>9</v>
      </c>
      <c r="K516" s="50">
        <v>34</v>
      </c>
      <c r="L516" s="48" t="s">
        <v>1917</v>
      </c>
      <c r="M516" s="48"/>
      <c r="V516"/>
      <c r="AB516"/>
    </row>
    <row r="517" spans="1:38" s="47" customFormat="1" x14ac:dyDescent="0.35">
      <c r="A517" s="50">
        <v>0</v>
      </c>
      <c r="B517" s="50" t="s">
        <v>60</v>
      </c>
      <c r="C517" s="53">
        <v>43854</v>
      </c>
      <c r="D517" s="53">
        <v>43902</v>
      </c>
      <c r="E517" s="53">
        <v>43984</v>
      </c>
      <c r="F517" s="21">
        <f t="shared" si="157"/>
        <v>82</v>
      </c>
      <c r="G517" s="53">
        <v>43902</v>
      </c>
      <c r="H517" s="9">
        <v>2021</v>
      </c>
      <c r="I517" s="50">
        <v>0</v>
      </c>
      <c r="J517" s="50">
        <v>7</v>
      </c>
      <c r="K517" s="50">
        <v>31</v>
      </c>
      <c r="L517" s="48" t="s">
        <v>1918</v>
      </c>
      <c r="M517" s="48"/>
      <c r="V517"/>
      <c r="AB517"/>
    </row>
    <row r="518" spans="1:38" s="47" customFormat="1" x14ac:dyDescent="0.35">
      <c r="A518" s="50">
        <v>0</v>
      </c>
      <c r="B518" s="50" t="s">
        <v>60</v>
      </c>
      <c r="C518" s="53">
        <v>43854</v>
      </c>
      <c r="D518" s="53">
        <v>43902</v>
      </c>
      <c r="E518" s="53">
        <v>43984</v>
      </c>
      <c r="F518" s="21">
        <f t="shared" si="157"/>
        <v>82</v>
      </c>
      <c r="G518" s="53">
        <v>43902</v>
      </c>
      <c r="H518" s="9">
        <v>2021</v>
      </c>
      <c r="I518" s="50">
        <v>0</v>
      </c>
      <c r="J518" s="50">
        <v>6</v>
      </c>
      <c r="K518" s="50">
        <v>29</v>
      </c>
      <c r="L518" s="48" t="s">
        <v>1919</v>
      </c>
      <c r="M518" s="48"/>
      <c r="V518"/>
      <c r="AB518"/>
    </row>
    <row r="519" spans="1:38" s="47" customFormat="1" x14ac:dyDescent="0.35">
      <c r="A519" s="50">
        <v>0</v>
      </c>
      <c r="B519" s="50" t="s">
        <v>60</v>
      </c>
      <c r="C519" s="53">
        <v>43854</v>
      </c>
      <c r="D519" s="53">
        <v>43902</v>
      </c>
      <c r="E519" s="53">
        <v>43984</v>
      </c>
      <c r="F519" s="21">
        <f t="shared" si="157"/>
        <v>82</v>
      </c>
      <c r="G519" s="53">
        <v>43902</v>
      </c>
      <c r="H519" s="9">
        <v>2021</v>
      </c>
      <c r="I519" s="50">
        <v>0</v>
      </c>
      <c r="J519" s="50">
        <v>1</v>
      </c>
      <c r="K519" s="50" t="s">
        <v>206</v>
      </c>
      <c r="L519" s="48" t="s">
        <v>1920</v>
      </c>
      <c r="M519" s="48"/>
      <c r="V519"/>
      <c r="AB519"/>
    </row>
    <row r="520" spans="1:38" s="47" customFormat="1" x14ac:dyDescent="0.35">
      <c r="A520" s="50">
        <v>0</v>
      </c>
      <c r="B520" s="50" t="s">
        <v>60</v>
      </c>
      <c r="C520" s="53">
        <v>43854</v>
      </c>
      <c r="D520" s="53">
        <v>43902</v>
      </c>
      <c r="E520" s="53">
        <v>43984</v>
      </c>
      <c r="F520" s="21">
        <f t="shared" si="157"/>
        <v>82</v>
      </c>
      <c r="G520" s="53">
        <v>43902</v>
      </c>
      <c r="H520" s="9">
        <v>2021</v>
      </c>
      <c r="I520" s="50">
        <v>0</v>
      </c>
      <c r="J520" s="50">
        <v>9</v>
      </c>
      <c r="K520" s="50">
        <v>34</v>
      </c>
      <c r="L520" s="48" t="s">
        <v>1921</v>
      </c>
      <c r="M520" s="48"/>
      <c r="V520"/>
      <c r="AB520"/>
    </row>
    <row r="521" spans="1:38" x14ac:dyDescent="0.35">
      <c r="A521" s="9">
        <v>1</v>
      </c>
      <c r="B521" s="9" t="s">
        <v>48</v>
      </c>
      <c r="C521" s="53">
        <v>43888</v>
      </c>
      <c r="D521" s="53">
        <v>43903</v>
      </c>
      <c r="E521" s="53">
        <v>43966</v>
      </c>
      <c r="F521" s="21">
        <f t="shared" si="155"/>
        <v>63</v>
      </c>
      <c r="G521" s="53">
        <v>43903</v>
      </c>
      <c r="H521" s="9">
        <v>2020</v>
      </c>
      <c r="I521" s="9">
        <v>1</v>
      </c>
      <c r="J521" s="9">
        <v>9</v>
      </c>
      <c r="K521" s="9">
        <v>34</v>
      </c>
      <c r="L521" s="50" t="s">
        <v>397</v>
      </c>
      <c r="M521">
        <v>1</v>
      </c>
      <c r="N521">
        <v>1</v>
      </c>
      <c r="O521">
        <v>2</v>
      </c>
      <c r="P521">
        <v>1</v>
      </c>
      <c r="Q521">
        <v>2</v>
      </c>
      <c r="R521">
        <v>1</v>
      </c>
      <c r="S521">
        <v>1</v>
      </c>
      <c r="T521">
        <v>-2</v>
      </c>
      <c r="U521">
        <v>1</v>
      </c>
      <c r="V521" t="s">
        <v>959</v>
      </c>
      <c r="W521" t="s">
        <v>989</v>
      </c>
      <c r="X521" t="s">
        <v>997</v>
      </c>
      <c r="Y521" t="s">
        <v>1000</v>
      </c>
      <c r="Z521">
        <v>1</v>
      </c>
      <c r="AA521">
        <f t="shared" ref="AA521:AA545" si="158">IF(M521&gt;0,1,IF(M521&lt;0,0,-1))</f>
        <v>1</v>
      </c>
      <c r="AB521">
        <f t="shared" ref="AB521:AB545" si="159">IF(N521&gt;0,1,IF(N521&lt;0,0,-1))</f>
        <v>1</v>
      </c>
      <c r="AC521">
        <f t="shared" ref="AC521:AC545" si="160">IF(O521&gt;0,1,IF(O521&lt;0,0,-1))</f>
        <v>1</v>
      </c>
      <c r="AD521">
        <f t="shared" ref="AD521:AD545" si="161">IF(P521&gt;0,1,IF(P521&lt;0,0,-1))</f>
        <v>1</v>
      </c>
      <c r="AE521">
        <f t="shared" ref="AE521:AE545" si="162">IF(Q521&gt;0,1,IF(Q521&lt;0,0,-1))</f>
        <v>1</v>
      </c>
      <c r="AF521">
        <f t="shared" ref="AF521:AF545" si="163">IF(R521&gt;0,1,IF(R521&lt;0,0,-1))</f>
        <v>1</v>
      </c>
      <c r="AG521">
        <f t="shared" ref="AG521:AG545" si="164">IF(S521&gt;0,1,IF(S521&lt;0,0,-1))</f>
        <v>1</v>
      </c>
      <c r="AH521">
        <f t="shared" ref="AH521:AH545" si="165">IF(T521&gt;0,1,IF(T521&lt;0,0,-1))</f>
        <v>0</v>
      </c>
      <c r="AI521">
        <f t="shared" ref="AI521:AI545" si="166">IF(U521&gt;0,1,IF(U521&lt;0,0,-1))</f>
        <v>1</v>
      </c>
      <c r="AJ521" s="9">
        <f t="shared" ref="AJ521:AJ552" si="167">IF(ISNUMBER(K521),K521,IF(OR(K521="general",K521="23;general"),"General",IF(OR(K521="exemption",K521="other (exemption)"),"Tax exemption/waiver/suspension","Other")))</f>
        <v>34</v>
      </c>
      <c r="AK521" t="e">
        <f>IF(B521&lt;&gt;#REF!,1,0)</f>
        <v>#REF!</v>
      </c>
      <c r="AL521" s="9">
        <v>1</v>
      </c>
    </row>
    <row r="522" spans="1:38" x14ac:dyDescent="0.35">
      <c r="A522" s="9">
        <v>1</v>
      </c>
      <c r="B522" s="9" t="s">
        <v>48</v>
      </c>
      <c r="C522" s="53">
        <v>43888</v>
      </c>
      <c r="D522" s="53">
        <v>43903</v>
      </c>
      <c r="E522" s="53">
        <v>43966</v>
      </c>
      <c r="F522" s="21">
        <f t="shared" si="155"/>
        <v>63</v>
      </c>
      <c r="G522" s="53">
        <v>43903</v>
      </c>
      <c r="H522" s="9">
        <v>2020</v>
      </c>
      <c r="I522" s="9">
        <v>1</v>
      </c>
      <c r="J522" s="9">
        <v>4</v>
      </c>
      <c r="K522" s="9">
        <v>20</v>
      </c>
      <c r="L522" s="50" t="s">
        <v>412</v>
      </c>
      <c r="M522">
        <v>2</v>
      </c>
      <c r="N522">
        <v>2</v>
      </c>
      <c r="O522">
        <v>-2</v>
      </c>
      <c r="P522">
        <v>-1</v>
      </c>
      <c r="Q522">
        <v>-2</v>
      </c>
      <c r="R522">
        <v>2</v>
      </c>
      <c r="S522">
        <v>1</v>
      </c>
      <c r="T522">
        <v>2</v>
      </c>
      <c r="U522">
        <v>1</v>
      </c>
      <c r="V522" t="s">
        <v>959</v>
      </c>
      <c r="W522" t="s">
        <v>989</v>
      </c>
      <c r="X522" t="s">
        <v>997</v>
      </c>
      <c r="Y522" t="s">
        <v>1000</v>
      </c>
      <c r="Z522">
        <v>1</v>
      </c>
      <c r="AA522">
        <f t="shared" si="158"/>
        <v>1</v>
      </c>
      <c r="AB522">
        <f t="shared" si="159"/>
        <v>1</v>
      </c>
      <c r="AC522">
        <f t="shared" si="160"/>
        <v>0</v>
      </c>
      <c r="AD522">
        <f t="shared" si="161"/>
        <v>0</v>
      </c>
      <c r="AE522">
        <f t="shared" si="162"/>
        <v>0</v>
      </c>
      <c r="AF522">
        <f t="shared" si="163"/>
        <v>1</v>
      </c>
      <c r="AG522">
        <f t="shared" si="164"/>
        <v>1</v>
      </c>
      <c r="AH522">
        <f t="shared" si="165"/>
        <v>1</v>
      </c>
      <c r="AI522">
        <f t="shared" si="166"/>
        <v>1</v>
      </c>
      <c r="AJ522" s="9">
        <f t="shared" si="167"/>
        <v>20</v>
      </c>
      <c r="AK522">
        <f t="shared" ref="AK522:AK567" si="168">IF(B522&lt;&gt;B521,1,0)</f>
        <v>0</v>
      </c>
      <c r="AL522" s="9">
        <v>1</v>
      </c>
    </row>
    <row r="523" spans="1:38" x14ac:dyDescent="0.35">
      <c r="A523" s="9">
        <v>1</v>
      </c>
      <c r="B523" s="9" t="s">
        <v>48</v>
      </c>
      <c r="C523" s="53">
        <v>43888</v>
      </c>
      <c r="D523" s="53">
        <v>43903</v>
      </c>
      <c r="E523" s="53">
        <v>43966</v>
      </c>
      <c r="F523" s="21">
        <f t="shared" si="155"/>
        <v>63</v>
      </c>
      <c r="G523" s="53">
        <v>43903</v>
      </c>
      <c r="H523" s="9">
        <v>2020</v>
      </c>
      <c r="I523" s="9">
        <v>1</v>
      </c>
      <c r="J523" s="9">
        <v>6</v>
      </c>
      <c r="K523" s="9">
        <v>26</v>
      </c>
      <c r="L523" s="50" t="s">
        <v>392</v>
      </c>
      <c r="M523">
        <v>1</v>
      </c>
      <c r="N523">
        <v>1</v>
      </c>
      <c r="O523">
        <v>2</v>
      </c>
      <c r="P523">
        <v>-1</v>
      </c>
      <c r="Q523">
        <v>-2</v>
      </c>
      <c r="R523">
        <v>-2</v>
      </c>
      <c r="S523">
        <v>-1</v>
      </c>
      <c r="T523">
        <v>2</v>
      </c>
      <c r="U523">
        <v>1</v>
      </c>
      <c r="V523" t="s">
        <v>959</v>
      </c>
      <c r="W523" t="s">
        <v>989</v>
      </c>
      <c r="X523" t="s">
        <v>997</v>
      </c>
      <c r="Y523" t="s">
        <v>1000</v>
      </c>
      <c r="Z523">
        <v>1</v>
      </c>
      <c r="AA523">
        <f t="shared" si="158"/>
        <v>1</v>
      </c>
      <c r="AB523">
        <f t="shared" si="159"/>
        <v>1</v>
      </c>
      <c r="AC523">
        <f t="shared" si="160"/>
        <v>1</v>
      </c>
      <c r="AD523">
        <f t="shared" si="161"/>
        <v>0</v>
      </c>
      <c r="AE523">
        <f t="shared" si="162"/>
        <v>0</v>
      </c>
      <c r="AF523">
        <f t="shared" si="163"/>
        <v>0</v>
      </c>
      <c r="AG523">
        <f t="shared" si="164"/>
        <v>0</v>
      </c>
      <c r="AH523">
        <f t="shared" si="165"/>
        <v>1</v>
      </c>
      <c r="AI523">
        <f t="shared" si="166"/>
        <v>1</v>
      </c>
      <c r="AJ523" s="9">
        <f t="shared" si="167"/>
        <v>26</v>
      </c>
      <c r="AK523">
        <f t="shared" si="168"/>
        <v>0</v>
      </c>
      <c r="AL523" s="9">
        <v>1</v>
      </c>
    </row>
    <row r="524" spans="1:38" x14ac:dyDescent="0.35">
      <c r="A524" s="9">
        <v>1</v>
      </c>
      <c r="B524" s="9" t="s">
        <v>48</v>
      </c>
      <c r="C524" s="53">
        <v>43888</v>
      </c>
      <c r="D524" s="53">
        <v>43903</v>
      </c>
      <c r="E524" s="53">
        <v>43966</v>
      </c>
      <c r="F524" s="21">
        <f t="shared" si="155"/>
        <v>63</v>
      </c>
      <c r="G524" s="53">
        <v>43903</v>
      </c>
      <c r="H524" s="9">
        <v>2020</v>
      </c>
      <c r="I524" s="9">
        <v>1</v>
      </c>
      <c r="J524" s="9">
        <v>5</v>
      </c>
      <c r="K524" s="9" t="s">
        <v>204</v>
      </c>
      <c r="L524" s="50" t="s">
        <v>396</v>
      </c>
      <c r="M524">
        <v>1</v>
      </c>
      <c r="N524">
        <v>1</v>
      </c>
      <c r="O524">
        <v>2</v>
      </c>
      <c r="P524">
        <v>-1</v>
      </c>
      <c r="T524">
        <v>-2</v>
      </c>
      <c r="U524">
        <v>1</v>
      </c>
      <c r="V524" t="s">
        <v>959</v>
      </c>
      <c r="W524" t="s">
        <v>989</v>
      </c>
      <c r="X524" t="s">
        <v>997</v>
      </c>
      <c r="Y524" t="s">
        <v>1000</v>
      </c>
      <c r="Z524">
        <v>1</v>
      </c>
      <c r="AA524">
        <f t="shared" si="158"/>
        <v>1</v>
      </c>
      <c r="AB524">
        <f t="shared" si="159"/>
        <v>1</v>
      </c>
      <c r="AC524">
        <f t="shared" si="160"/>
        <v>1</v>
      </c>
      <c r="AD524">
        <f t="shared" si="161"/>
        <v>0</v>
      </c>
      <c r="AE524">
        <f t="shared" si="162"/>
        <v>-1</v>
      </c>
      <c r="AF524">
        <f t="shared" si="163"/>
        <v>-1</v>
      </c>
      <c r="AG524">
        <f t="shared" si="164"/>
        <v>-1</v>
      </c>
      <c r="AH524">
        <f t="shared" si="165"/>
        <v>0</v>
      </c>
      <c r="AI524">
        <f t="shared" si="166"/>
        <v>1</v>
      </c>
      <c r="AJ524" s="9" t="str">
        <f t="shared" si="167"/>
        <v>General</v>
      </c>
      <c r="AK524">
        <f t="shared" si="168"/>
        <v>0</v>
      </c>
      <c r="AL524" s="9">
        <v>1</v>
      </c>
    </row>
    <row r="525" spans="1:38" x14ac:dyDescent="0.35">
      <c r="A525" s="9">
        <v>1</v>
      </c>
      <c r="B525" s="9" t="s">
        <v>48</v>
      </c>
      <c r="C525" s="53">
        <v>43888</v>
      </c>
      <c r="D525" s="53">
        <v>43903</v>
      </c>
      <c r="E525" s="53">
        <v>43966</v>
      </c>
      <c r="F525" s="21">
        <f t="shared" si="155"/>
        <v>63</v>
      </c>
      <c r="G525" s="53">
        <v>43903</v>
      </c>
      <c r="H525" s="9">
        <v>2020</v>
      </c>
      <c r="I525" s="9">
        <v>1</v>
      </c>
      <c r="J525" s="9">
        <v>2</v>
      </c>
      <c r="K525" s="9" t="s">
        <v>206</v>
      </c>
      <c r="L525" s="50" t="s">
        <v>405</v>
      </c>
      <c r="M525">
        <v>-2</v>
      </c>
      <c r="N525">
        <v>2</v>
      </c>
      <c r="O525">
        <v>-2</v>
      </c>
      <c r="P525">
        <v>-1</v>
      </c>
      <c r="Q525">
        <v>-2</v>
      </c>
      <c r="R525">
        <v>2</v>
      </c>
      <c r="S525">
        <v>1</v>
      </c>
      <c r="U525">
        <v>1</v>
      </c>
      <c r="V525" t="s">
        <v>959</v>
      </c>
      <c r="W525" t="s">
        <v>989</v>
      </c>
      <c r="X525" t="s">
        <v>997</v>
      </c>
      <c r="Y525" t="s">
        <v>1000</v>
      </c>
      <c r="Z525">
        <v>1</v>
      </c>
      <c r="AA525">
        <f t="shared" si="158"/>
        <v>0</v>
      </c>
      <c r="AB525">
        <f t="shared" si="159"/>
        <v>1</v>
      </c>
      <c r="AC525">
        <f t="shared" si="160"/>
        <v>0</v>
      </c>
      <c r="AD525">
        <f t="shared" si="161"/>
        <v>0</v>
      </c>
      <c r="AE525">
        <f t="shared" si="162"/>
        <v>0</v>
      </c>
      <c r="AF525">
        <f t="shared" si="163"/>
        <v>1</v>
      </c>
      <c r="AG525">
        <f t="shared" si="164"/>
        <v>1</v>
      </c>
      <c r="AH525">
        <f t="shared" si="165"/>
        <v>-1</v>
      </c>
      <c r="AI525">
        <f t="shared" si="166"/>
        <v>1</v>
      </c>
      <c r="AJ525" s="9" t="str">
        <f t="shared" si="167"/>
        <v>Tax exemption/waiver/suspension</v>
      </c>
      <c r="AK525">
        <f t="shared" si="168"/>
        <v>0</v>
      </c>
      <c r="AL525" s="9">
        <v>1</v>
      </c>
    </row>
    <row r="526" spans="1:38" x14ac:dyDescent="0.35">
      <c r="A526" s="9">
        <v>1</v>
      </c>
      <c r="B526" s="9" t="s">
        <v>48</v>
      </c>
      <c r="C526" s="53">
        <v>43888</v>
      </c>
      <c r="D526" s="53">
        <v>43903</v>
      </c>
      <c r="E526" s="53">
        <v>43966</v>
      </c>
      <c r="F526" s="21">
        <f t="shared" si="155"/>
        <v>63</v>
      </c>
      <c r="G526" s="53">
        <v>43903</v>
      </c>
      <c r="H526" s="9">
        <v>2020</v>
      </c>
      <c r="I526" s="9">
        <v>1</v>
      </c>
      <c r="J526" s="9">
        <v>1</v>
      </c>
      <c r="K526" s="9">
        <v>12</v>
      </c>
      <c r="L526" s="50" t="s">
        <v>391</v>
      </c>
      <c r="M526">
        <v>-1</v>
      </c>
      <c r="N526">
        <v>2</v>
      </c>
      <c r="O526">
        <v>-1</v>
      </c>
      <c r="P526">
        <v>-2</v>
      </c>
      <c r="Q526">
        <v>-2</v>
      </c>
      <c r="R526">
        <v>2</v>
      </c>
      <c r="S526">
        <v>1</v>
      </c>
      <c r="T526">
        <v>2</v>
      </c>
      <c r="U526">
        <v>1</v>
      </c>
      <c r="V526" t="s">
        <v>959</v>
      </c>
      <c r="W526" t="s">
        <v>989</v>
      </c>
      <c r="X526" t="s">
        <v>997</v>
      </c>
      <c r="Y526" t="s">
        <v>1000</v>
      </c>
      <c r="Z526">
        <v>1</v>
      </c>
      <c r="AA526">
        <f t="shared" si="158"/>
        <v>0</v>
      </c>
      <c r="AB526">
        <f t="shared" si="159"/>
        <v>1</v>
      </c>
      <c r="AC526">
        <f t="shared" si="160"/>
        <v>0</v>
      </c>
      <c r="AD526">
        <f t="shared" si="161"/>
        <v>0</v>
      </c>
      <c r="AE526">
        <f t="shared" si="162"/>
        <v>0</v>
      </c>
      <c r="AF526">
        <f t="shared" si="163"/>
        <v>1</v>
      </c>
      <c r="AG526">
        <f t="shared" si="164"/>
        <v>1</v>
      </c>
      <c r="AH526">
        <f t="shared" si="165"/>
        <v>1</v>
      </c>
      <c r="AI526">
        <f t="shared" si="166"/>
        <v>1</v>
      </c>
      <c r="AJ526" s="9">
        <f t="shared" si="167"/>
        <v>12</v>
      </c>
      <c r="AK526">
        <f t="shared" si="168"/>
        <v>0</v>
      </c>
      <c r="AL526" s="9">
        <v>1</v>
      </c>
    </row>
    <row r="527" spans="1:38" x14ac:dyDescent="0.35">
      <c r="A527" s="9">
        <v>1</v>
      </c>
      <c r="B527" s="9" t="s">
        <v>48</v>
      </c>
      <c r="C527" s="53">
        <v>43888</v>
      </c>
      <c r="D527" s="53">
        <v>43903</v>
      </c>
      <c r="E527" s="53">
        <v>43966</v>
      </c>
      <c r="F527" s="21">
        <f t="shared" si="155"/>
        <v>63</v>
      </c>
      <c r="G527" s="53">
        <v>43903</v>
      </c>
      <c r="H527" s="9">
        <v>2020</v>
      </c>
      <c r="I527" s="9">
        <v>1</v>
      </c>
      <c r="J527" s="9">
        <v>6</v>
      </c>
      <c r="K527" s="9">
        <v>27</v>
      </c>
      <c r="L527" s="50" t="s">
        <v>395</v>
      </c>
      <c r="M527">
        <v>1</v>
      </c>
      <c r="N527">
        <v>1</v>
      </c>
      <c r="O527">
        <v>2</v>
      </c>
      <c r="P527">
        <v>-1</v>
      </c>
      <c r="Q527">
        <v>-2</v>
      </c>
      <c r="R527">
        <v>2</v>
      </c>
      <c r="S527">
        <v>1</v>
      </c>
      <c r="T527">
        <v>2</v>
      </c>
      <c r="U527">
        <v>1</v>
      </c>
      <c r="V527" t="s">
        <v>959</v>
      </c>
      <c r="W527" t="s">
        <v>989</v>
      </c>
      <c r="X527" t="s">
        <v>997</v>
      </c>
      <c r="Y527" t="s">
        <v>1000</v>
      </c>
      <c r="Z527">
        <v>1</v>
      </c>
      <c r="AA527">
        <f t="shared" si="158"/>
        <v>1</v>
      </c>
      <c r="AB527">
        <f t="shared" si="159"/>
        <v>1</v>
      </c>
      <c r="AC527">
        <f t="shared" si="160"/>
        <v>1</v>
      </c>
      <c r="AD527">
        <f t="shared" si="161"/>
        <v>0</v>
      </c>
      <c r="AE527">
        <f t="shared" si="162"/>
        <v>0</v>
      </c>
      <c r="AF527">
        <f t="shared" si="163"/>
        <v>1</v>
      </c>
      <c r="AG527">
        <f t="shared" si="164"/>
        <v>1</v>
      </c>
      <c r="AH527">
        <f t="shared" si="165"/>
        <v>1</v>
      </c>
      <c r="AI527">
        <f t="shared" si="166"/>
        <v>1</v>
      </c>
      <c r="AJ527" s="9">
        <f t="shared" si="167"/>
        <v>27</v>
      </c>
      <c r="AK527">
        <f t="shared" si="168"/>
        <v>0</v>
      </c>
      <c r="AL527" s="9">
        <v>1</v>
      </c>
    </row>
    <row r="528" spans="1:38" x14ac:dyDescent="0.35">
      <c r="A528" s="9">
        <v>1</v>
      </c>
      <c r="B528" s="9" t="s">
        <v>48</v>
      </c>
      <c r="C528" s="53">
        <v>43888</v>
      </c>
      <c r="D528" s="53">
        <v>43903</v>
      </c>
      <c r="E528" s="53">
        <v>43966</v>
      </c>
      <c r="F528" s="21">
        <f t="shared" si="155"/>
        <v>63</v>
      </c>
      <c r="G528" s="53">
        <v>43903</v>
      </c>
      <c r="H528" s="9">
        <v>2020</v>
      </c>
      <c r="I528" s="9">
        <v>1</v>
      </c>
      <c r="J528" s="9">
        <v>6</v>
      </c>
      <c r="K528" s="9">
        <v>29</v>
      </c>
      <c r="L528" s="50" t="s">
        <v>390</v>
      </c>
      <c r="M528">
        <v>1</v>
      </c>
      <c r="N528">
        <v>1</v>
      </c>
      <c r="O528">
        <v>2</v>
      </c>
      <c r="P528">
        <v>-1</v>
      </c>
      <c r="Q528">
        <v>-2</v>
      </c>
      <c r="R528">
        <v>2</v>
      </c>
      <c r="S528">
        <v>1</v>
      </c>
      <c r="T528">
        <v>2</v>
      </c>
      <c r="U528">
        <v>1</v>
      </c>
      <c r="V528" t="s">
        <v>959</v>
      </c>
      <c r="W528" t="s">
        <v>989</v>
      </c>
      <c r="X528" t="s">
        <v>997</v>
      </c>
      <c r="Y528" t="s">
        <v>1000</v>
      </c>
      <c r="Z528">
        <v>1</v>
      </c>
      <c r="AA528">
        <f t="shared" si="158"/>
        <v>1</v>
      </c>
      <c r="AB528">
        <f t="shared" si="159"/>
        <v>1</v>
      </c>
      <c r="AC528">
        <f t="shared" si="160"/>
        <v>1</v>
      </c>
      <c r="AD528">
        <f t="shared" si="161"/>
        <v>0</v>
      </c>
      <c r="AE528">
        <f t="shared" si="162"/>
        <v>0</v>
      </c>
      <c r="AF528">
        <f t="shared" si="163"/>
        <v>1</v>
      </c>
      <c r="AG528">
        <f t="shared" si="164"/>
        <v>1</v>
      </c>
      <c r="AH528">
        <f t="shared" si="165"/>
        <v>1</v>
      </c>
      <c r="AI528">
        <f t="shared" si="166"/>
        <v>1</v>
      </c>
      <c r="AJ528" s="9">
        <f t="shared" si="167"/>
        <v>29</v>
      </c>
      <c r="AK528">
        <f t="shared" si="168"/>
        <v>0</v>
      </c>
      <c r="AL528" s="9">
        <v>1</v>
      </c>
    </row>
    <row r="529" spans="1:38" x14ac:dyDescent="0.35">
      <c r="A529" s="9">
        <v>1</v>
      </c>
      <c r="B529" s="9" t="s">
        <v>48</v>
      </c>
      <c r="C529" s="53">
        <v>43888</v>
      </c>
      <c r="D529" s="53">
        <v>43903</v>
      </c>
      <c r="E529" s="53">
        <v>43966</v>
      </c>
      <c r="F529" s="21">
        <f t="shared" si="155"/>
        <v>63</v>
      </c>
      <c r="G529" s="53">
        <v>43903</v>
      </c>
      <c r="H529" s="9">
        <v>2020</v>
      </c>
      <c r="I529" s="9">
        <v>1</v>
      </c>
      <c r="J529" s="9">
        <v>7</v>
      </c>
      <c r="K529" s="9">
        <v>30</v>
      </c>
      <c r="L529" s="50" t="s">
        <v>399</v>
      </c>
      <c r="M529">
        <v>1</v>
      </c>
      <c r="N529">
        <v>1</v>
      </c>
      <c r="O529">
        <v>-2</v>
      </c>
      <c r="P529">
        <v>2</v>
      </c>
      <c r="Q529">
        <v>2</v>
      </c>
      <c r="R529">
        <v>1</v>
      </c>
      <c r="S529">
        <v>1</v>
      </c>
      <c r="T529">
        <v>-2</v>
      </c>
      <c r="U529">
        <v>1</v>
      </c>
      <c r="V529" t="s">
        <v>959</v>
      </c>
      <c r="W529" t="s">
        <v>989</v>
      </c>
      <c r="X529" t="s">
        <v>997</v>
      </c>
      <c r="Y529" t="s">
        <v>1000</v>
      </c>
      <c r="Z529">
        <v>1</v>
      </c>
      <c r="AA529">
        <f t="shared" si="158"/>
        <v>1</v>
      </c>
      <c r="AB529">
        <f t="shared" si="159"/>
        <v>1</v>
      </c>
      <c r="AC529">
        <f t="shared" si="160"/>
        <v>0</v>
      </c>
      <c r="AD529">
        <f t="shared" si="161"/>
        <v>1</v>
      </c>
      <c r="AE529">
        <f t="shared" si="162"/>
        <v>1</v>
      </c>
      <c r="AF529">
        <f t="shared" si="163"/>
        <v>1</v>
      </c>
      <c r="AG529">
        <f t="shared" si="164"/>
        <v>1</v>
      </c>
      <c r="AH529">
        <f t="shared" si="165"/>
        <v>0</v>
      </c>
      <c r="AI529">
        <f t="shared" si="166"/>
        <v>1</v>
      </c>
      <c r="AJ529" s="9">
        <f t="shared" si="167"/>
        <v>30</v>
      </c>
      <c r="AK529">
        <f t="shared" si="168"/>
        <v>0</v>
      </c>
      <c r="AL529" s="9">
        <v>1</v>
      </c>
    </row>
    <row r="530" spans="1:38" x14ac:dyDescent="0.35">
      <c r="A530" s="9">
        <v>1</v>
      </c>
      <c r="B530" s="9" t="s">
        <v>48</v>
      </c>
      <c r="C530" s="53">
        <v>43888</v>
      </c>
      <c r="D530" s="53">
        <v>43903</v>
      </c>
      <c r="E530" s="53">
        <v>43966</v>
      </c>
      <c r="F530" s="21">
        <f t="shared" si="155"/>
        <v>63</v>
      </c>
      <c r="G530" s="53">
        <v>43903</v>
      </c>
      <c r="H530" s="9">
        <v>2020</v>
      </c>
      <c r="I530" s="9">
        <v>1</v>
      </c>
      <c r="J530" s="9">
        <v>6</v>
      </c>
      <c r="K530" s="9">
        <v>29</v>
      </c>
      <c r="L530" s="50" t="s">
        <v>409</v>
      </c>
      <c r="M530">
        <v>1</v>
      </c>
      <c r="N530">
        <v>1</v>
      </c>
      <c r="O530">
        <v>2</v>
      </c>
      <c r="P530">
        <v>-1</v>
      </c>
      <c r="Q530">
        <v>-2</v>
      </c>
      <c r="R530">
        <v>1</v>
      </c>
      <c r="S530">
        <v>1</v>
      </c>
      <c r="T530">
        <v>-2</v>
      </c>
      <c r="U530">
        <v>1</v>
      </c>
      <c r="V530" t="s">
        <v>959</v>
      </c>
      <c r="W530" t="s">
        <v>989</v>
      </c>
      <c r="X530" t="s">
        <v>997</v>
      </c>
      <c r="Y530" t="s">
        <v>1000</v>
      </c>
      <c r="Z530">
        <v>1</v>
      </c>
      <c r="AA530">
        <f t="shared" si="158"/>
        <v>1</v>
      </c>
      <c r="AB530">
        <f t="shared" si="159"/>
        <v>1</v>
      </c>
      <c r="AC530">
        <f t="shared" si="160"/>
        <v>1</v>
      </c>
      <c r="AD530">
        <f t="shared" si="161"/>
        <v>0</v>
      </c>
      <c r="AE530">
        <f t="shared" si="162"/>
        <v>0</v>
      </c>
      <c r="AF530">
        <f t="shared" si="163"/>
        <v>1</v>
      </c>
      <c r="AG530">
        <f t="shared" si="164"/>
        <v>1</v>
      </c>
      <c r="AH530">
        <f t="shared" si="165"/>
        <v>0</v>
      </c>
      <c r="AI530">
        <f t="shared" si="166"/>
        <v>1</v>
      </c>
      <c r="AJ530" s="9">
        <f t="shared" si="167"/>
        <v>29</v>
      </c>
      <c r="AK530">
        <f t="shared" si="168"/>
        <v>0</v>
      </c>
      <c r="AL530" s="9">
        <v>1</v>
      </c>
    </row>
    <row r="531" spans="1:38" x14ac:dyDescent="0.35">
      <c r="A531" s="9">
        <v>1</v>
      </c>
      <c r="B531" s="9" t="s">
        <v>48</v>
      </c>
      <c r="C531" s="53">
        <v>43888</v>
      </c>
      <c r="D531" s="53">
        <v>43903</v>
      </c>
      <c r="E531" s="53">
        <v>43966</v>
      </c>
      <c r="F531" s="21">
        <f t="shared" si="155"/>
        <v>63</v>
      </c>
      <c r="G531" s="53">
        <v>43903</v>
      </c>
      <c r="H531" s="9">
        <v>2020</v>
      </c>
      <c r="I531" s="9">
        <v>1</v>
      </c>
      <c r="J531" s="9">
        <v>7</v>
      </c>
      <c r="K531" s="9">
        <v>30</v>
      </c>
      <c r="L531" s="50" t="s">
        <v>408</v>
      </c>
      <c r="M531">
        <v>1</v>
      </c>
      <c r="N531">
        <v>1</v>
      </c>
      <c r="O531">
        <v>2</v>
      </c>
      <c r="P531">
        <v>1</v>
      </c>
      <c r="Q531">
        <v>2</v>
      </c>
      <c r="R531">
        <v>1</v>
      </c>
      <c r="S531">
        <v>1</v>
      </c>
      <c r="T531">
        <v>-2</v>
      </c>
      <c r="U531">
        <v>1</v>
      </c>
      <c r="V531" t="s">
        <v>959</v>
      </c>
      <c r="W531" t="s">
        <v>989</v>
      </c>
      <c r="X531" t="s">
        <v>997</v>
      </c>
      <c r="Y531" t="s">
        <v>1000</v>
      </c>
      <c r="Z531">
        <v>1</v>
      </c>
      <c r="AA531">
        <f t="shared" si="158"/>
        <v>1</v>
      </c>
      <c r="AB531">
        <f t="shared" si="159"/>
        <v>1</v>
      </c>
      <c r="AC531">
        <f t="shared" si="160"/>
        <v>1</v>
      </c>
      <c r="AD531">
        <f t="shared" si="161"/>
        <v>1</v>
      </c>
      <c r="AE531">
        <f t="shared" si="162"/>
        <v>1</v>
      </c>
      <c r="AF531">
        <f t="shared" si="163"/>
        <v>1</v>
      </c>
      <c r="AG531">
        <f t="shared" si="164"/>
        <v>1</v>
      </c>
      <c r="AH531">
        <f t="shared" si="165"/>
        <v>0</v>
      </c>
      <c r="AI531">
        <f t="shared" si="166"/>
        <v>1</v>
      </c>
      <c r="AJ531" s="9">
        <f t="shared" si="167"/>
        <v>30</v>
      </c>
      <c r="AK531">
        <f t="shared" si="168"/>
        <v>0</v>
      </c>
      <c r="AL531" s="9">
        <v>1</v>
      </c>
    </row>
    <row r="532" spans="1:38" x14ac:dyDescent="0.35">
      <c r="A532" s="9">
        <v>1</v>
      </c>
      <c r="B532" s="9" t="s">
        <v>48</v>
      </c>
      <c r="C532" s="53">
        <v>43888</v>
      </c>
      <c r="D532" s="53">
        <v>43903</v>
      </c>
      <c r="E532" s="53">
        <v>43966</v>
      </c>
      <c r="F532" s="21">
        <f t="shared" si="155"/>
        <v>63</v>
      </c>
      <c r="G532" s="53">
        <v>43903</v>
      </c>
      <c r="H532" s="9">
        <v>2020</v>
      </c>
      <c r="I532" s="9">
        <v>1</v>
      </c>
      <c r="J532" s="9">
        <v>1</v>
      </c>
      <c r="K532" s="9">
        <v>10</v>
      </c>
      <c r="L532" s="50" t="s">
        <v>406</v>
      </c>
      <c r="M532">
        <v>2</v>
      </c>
      <c r="N532">
        <v>2</v>
      </c>
      <c r="O532">
        <v>2</v>
      </c>
      <c r="P532">
        <v>2</v>
      </c>
      <c r="Q532">
        <v>2</v>
      </c>
      <c r="R532">
        <v>2</v>
      </c>
      <c r="S532">
        <v>1</v>
      </c>
      <c r="T532">
        <v>-2</v>
      </c>
      <c r="U532">
        <v>1</v>
      </c>
      <c r="V532" t="s">
        <v>959</v>
      </c>
      <c r="W532" t="s">
        <v>989</v>
      </c>
      <c r="X532" t="s">
        <v>997</v>
      </c>
      <c r="Y532" t="s">
        <v>1000</v>
      </c>
      <c r="Z532">
        <v>1</v>
      </c>
      <c r="AA532">
        <f t="shared" si="158"/>
        <v>1</v>
      </c>
      <c r="AB532">
        <f t="shared" si="159"/>
        <v>1</v>
      </c>
      <c r="AC532">
        <f t="shared" si="160"/>
        <v>1</v>
      </c>
      <c r="AD532">
        <f t="shared" si="161"/>
        <v>1</v>
      </c>
      <c r="AE532">
        <f t="shared" si="162"/>
        <v>1</v>
      </c>
      <c r="AF532">
        <f t="shared" si="163"/>
        <v>1</v>
      </c>
      <c r="AG532">
        <f t="shared" si="164"/>
        <v>1</v>
      </c>
      <c r="AH532">
        <f t="shared" si="165"/>
        <v>0</v>
      </c>
      <c r="AI532">
        <f t="shared" si="166"/>
        <v>1</v>
      </c>
      <c r="AJ532" s="9">
        <f t="shared" si="167"/>
        <v>10</v>
      </c>
      <c r="AK532">
        <f t="shared" si="168"/>
        <v>0</v>
      </c>
      <c r="AL532" s="9">
        <v>1</v>
      </c>
    </row>
    <row r="533" spans="1:38" x14ac:dyDescent="0.35">
      <c r="A533" s="9">
        <v>1</v>
      </c>
      <c r="B533" s="9" t="s">
        <v>48</v>
      </c>
      <c r="C533" s="53">
        <v>43888</v>
      </c>
      <c r="D533" s="53">
        <v>43903</v>
      </c>
      <c r="E533" s="53">
        <v>43966</v>
      </c>
      <c r="F533" s="21">
        <f t="shared" si="155"/>
        <v>63</v>
      </c>
      <c r="G533" s="53">
        <v>43903</v>
      </c>
      <c r="H533" s="9">
        <v>2020</v>
      </c>
      <c r="I533" s="9">
        <v>1</v>
      </c>
      <c r="J533" s="9">
        <v>5</v>
      </c>
      <c r="K533" s="9" t="s">
        <v>204</v>
      </c>
      <c r="L533" s="50" t="s">
        <v>413</v>
      </c>
      <c r="M533">
        <v>1</v>
      </c>
      <c r="N533">
        <v>-2</v>
      </c>
      <c r="O533">
        <v>-2</v>
      </c>
      <c r="P533">
        <v>-1</v>
      </c>
      <c r="Q533">
        <v>-2</v>
      </c>
      <c r="R533">
        <v>1</v>
      </c>
      <c r="S533">
        <v>1</v>
      </c>
      <c r="T533">
        <v>2</v>
      </c>
      <c r="U533">
        <v>1</v>
      </c>
      <c r="V533" t="s">
        <v>959</v>
      </c>
      <c r="W533" t="s">
        <v>989</v>
      </c>
      <c r="X533" t="s">
        <v>997</v>
      </c>
      <c r="Y533" t="s">
        <v>1000</v>
      </c>
      <c r="Z533">
        <v>1</v>
      </c>
      <c r="AA533">
        <f t="shared" si="158"/>
        <v>1</v>
      </c>
      <c r="AB533">
        <f t="shared" si="159"/>
        <v>0</v>
      </c>
      <c r="AC533">
        <f t="shared" si="160"/>
        <v>0</v>
      </c>
      <c r="AD533">
        <f t="shared" si="161"/>
        <v>0</v>
      </c>
      <c r="AE533">
        <f t="shared" si="162"/>
        <v>0</v>
      </c>
      <c r="AF533">
        <f t="shared" si="163"/>
        <v>1</v>
      </c>
      <c r="AG533">
        <f t="shared" si="164"/>
        <v>1</v>
      </c>
      <c r="AH533">
        <f t="shared" si="165"/>
        <v>1</v>
      </c>
      <c r="AI533">
        <f t="shared" si="166"/>
        <v>1</v>
      </c>
      <c r="AJ533" s="9" t="str">
        <f t="shared" si="167"/>
        <v>General</v>
      </c>
      <c r="AK533">
        <f t="shared" si="168"/>
        <v>0</v>
      </c>
      <c r="AL533" s="9">
        <v>1</v>
      </c>
    </row>
    <row r="534" spans="1:38" x14ac:dyDescent="0.35">
      <c r="A534" s="9">
        <v>1</v>
      </c>
      <c r="B534" s="9" t="s">
        <v>48</v>
      </c>
      <c r="C534" s="53">
        <v>43888</v>
      </c>
      <c r="D534" s="53">
        <v>43903</v>
      </c>
      <c r="E534" s="53">
        <v>43966</v>
      </c>
      <c r="F534" s="21">
        <f t="shared" si="155"/>
        <v>63</v>
      </c>
      <c r="G534" s="53">
        <v>43903</v>
      </c>
      <c r="H534" s="9">
        <v>2020</v>
      </c>
      <c r="I534" s="9">
        <v>1</v>
      </c>
      <c r="J534" s="9">
        <v>1</v>
      </c>
      <c r="K534" s="9">
        <v>9</v>
      </c>
      <c r="L534" s="50" t="s">
        <v>402</v>
      </c>
      <c r="M534">
        <v>2</v>
      </c>
      <c r="N534">
        <v>2</v>
      </c>
      <c r="O534">
        <v>2</v>
      </c>
      <c r="P534">
        <v>2</v>
      </c>
      <c r="Q534">
        <v>2</v>
      </c>
      <c r="R534">
        <v>2</v>
      </c>
      <c r="S534">
        <v>-2</v>
      </c>
      <c r="T534">
        <v>-2</v>
      </c>
      <c r="U534">
        <v>1</v>
      </c>
      <c r="V534" t="s">
        <v>959</v>
      </c>
      <c r="W534" t="s">
        <v>989</v>
      </c>
      <c r="X534" t="s">
        <v>997</v>
      </c>
      <c r="Y534" t="s">
        <v>1000</v>
      </c>
      <c r="Z534">
        <v>1</v>
      </c>
      <c r="AA534">
        <f t="shared" si="158"/>
        <v>1</v>
      </c>
      <c r="AB534">
        <f t="shared" si="159"/>
        <v>1</v>
      </c>
      <c r="AC534">
        <f t="shared" si="160"/>
        <v>1</v>
      </c>
      <c r="AD534">
        <f t="shared" si="161"/>
        <v>1</v>
      </c>
      <c r="AE534">
        <f t="shared" si="162"/>
        <v>1</v>
      </c>
      <c r="AF534">
        <f t="shared" si="163"/>
        <v>1</v>
      </c>
      <c r="AG534">
        <f t="shared" si="164"/>
        <v>0</v>
      </c>
      <c r="AH534">
        <f t="shared" si="165"/>
        <v>0</v>
      </c>
      <c r="AI534">
        <f t="shared" si="166"/>
        <v>1</v>
      </c>
      <c r="AJ534" s="9">
        <f t="shared" si="167"/>
        <v>9</v>
      </c>
      <c r="AK534">
        <f t="shared" si="168"/>
        <v>0</v>
      </c>
      <c r="AL534" s="9">
        <v>1</v>
      </c>
    </row>
    <row r="535" spans="1:38" x14ac:dyDescent="0.35">
      <c r="A535" s="9">
        <v>1</v>
      </c>
      <c r="B535" s="9" t="s">
        <v>48</v>
      </c>
      <c r="C535" s="53">
        <v>43888</v>
      </c>
      <c r="D535" s="53">
        <v>43903</v>
      </c>
      <c r="E535" s="53">
        <v>43966</v>
      </c>
      <c r="F535" s="21">
        <f t="shared" si="155"/>
        <v>63</v>
      </c>
      <c r="G535" s="53">
        <v>43903</v>
      </c>
      <c r="H535" s="9">
        <v>2020</v>
      </c>
      <c r="I535" s="9">
        <v>1</v>
      </c>
      <c r="J535" s="9">
        <v>7</v>
      </c>
      <c r="K535" s="9">
        <v>31</v>
      </c>
      <c r="L535" s="50" t="s">
        <v>407</v>
      </c>
      <c r="M535">
        <v>1</v>
      </c>
      <c r="N535">
        <v>1</v>
      </c>
      <c r="O535">
        <v>2</v>
      </c>
      <c r="P535">
        <v>-1</v>
      </c>
      <c r="Q535">
        <v>2</v>
      </c>
      <c r="R535">
        <v>1</v>
      </c>
      <c r="S535">
        <v>1</v>
      </c>
      <c r="T535">
        <v>-2</v>
      </c>
      <c r="U535">
        <v>1</v>
      </c>
      <c r="V535" t="s">
        <v>959</v>
      </c>
      <c r="W535" t="s">
        <v>989</v>
      </c>
      <c r="X535" t="s">
        <v>997</v>
      </c>
      <c r="Y535" t="s">
        <v>1000</v>
      </c>
      <c r="Z535">
        <v>1</v>
      </c>
      <c r="AA535">
        <f t="shared" si="158"/>
        <v>1</v>
      </c>
      <c r="AB535">
        <f t="shared" si="159"/>
        <v>1</v>
      </c>
      <c r="AC535">
        <f t="shared" si="160"/>
        <v>1</v>
      </c>
      <c r="AD535">
        <f t="shared" si="161"/>
        <v>0</v>
      </c>
      <c r="AE535">
        <f t="shared" si="162"/>
        <v>1</v>
      </c>
      <c r="AF535">
        <f t="shared" si="163"/>
        <v>1</v>
      </c>
      <c r="AG535">
        <f t="shared" si="164"/>
        <v>1</v>
      </c>
      <c r="AH535">
        <f t="shared" si="165"/>
        <v>0</v>
      </c>
      <c r="AI535">
        <f t="shared" si="166"/>
        <v>1</v>
      </c>
      <c r="AJ535" s="9">
        <f t="shared" si="167"/>
        <v>31</v>
      </c>
      <c r="AK535" t="e">
        <f>IF(B535&lt;&gt;#REF!,1,0)</f>
        <v>#REF!</v>
      </c>
      <c r="AL535" s="9">
        <v>1</v>
      </c>
    </row>
    <row r="536" spans="1:38" x14ac:dyDescent="0.35">
      <c r="A536" s="9">
        <v>1</v>
      </c>
      <c r="B536" s="9" t="s">
        <v>48</v>
      </c>
      <c r="C536" s="53">
        <v>43888</v>
      </c>
      <c r="D536" s="53">
        <v>43903</v>
      </c>
      <c r="E536" s="53">
        <v>43966</v>
      </c>
      <c r="F536" s="21">
        <f t="shared" si="155"/>
        <v>63</v>
      </c>
      <c r="G536" s="53">
        <v>43903</v>
      </c>
      <c r="H536" s="9">
        <v>2020</v>
      </c>
      <c r="I536" s="9">
        <v>1</v>
      </c>
      <c r="J536" s="9">
        <v>5</v>
      </c>
      <c r="K536" s="9">
        <v>24</v>
      </c>
      <c r="L536" s="50" t="s">
        <v>411</v>
      </c>
      <c r="M536">
        <v>1</v>
      </c>
      <c r="N536">
        <v>1</v>
      </c>
      <c r="O536">
        <v>2</v>
      </c>
      <c r="P536">
        <v>-1</v>
      </c>
      <c r="Q536">
        <v>-2</v>
      </c>
      <c r="R536">
        <v>1</v>
      </c>
      <c r="S536">
        <v>1</v>
      </c>
      <c r="T536">
        <v>-2</v>
      </c>
      <c r="U536">
        <v>1</v>
      </c>
      <c r="V536" t="s">
        <v>959</v>
      </c>
      <c r="W536" t="s">
        <v>989</v>
      </c>
      <c r="X536" t="s">
        <v>997</v>
      </c>
      <c r="Y536" t="s">
        <v>1000</v>
      </c>
      <c r="Z536">
        <v>1</v>
      </c>
      <c r="AA536">
        <f t="shared" si="158"/>
        <v>1</v>
      </c>
      <c r="AB536">
        <f t="shared" si="159"/>
        <v>1</v>
      </c>
      <c r="AC536">
        <f t="shared" si="160"/>
        <v>1</v>
      </c>
      <c r="AD536">
        <f t="shared" si="161"/>
        <v>0</v>
      </c>
      <c r="AE536">
        <f t="shared" si="162"/>
        <v>0</v>
      </c>
      <c r="AF536">
        <f t="shared" si="163"/>
        <v>1</v>
      </c>
      <c r="AG536">
        <f t="shared" si="164"/>
        <v>1</v>
      </c>
      <c r="AH536">
        <f t="shared" si="165"/>
        <v>0</v>
      </c>
      <c r="AI536">
        <f t="shared" si="166"/>
        <v>1</v>
      </c>
      <c r="AJ536" s="9">
        <f t="shared" si="167"/>
        <v>24</v>
      </c>
      <c r="AK536">
        <f t="shared" si="168"/>
        <v>0</v>
      </c>
      <c r="AL536" s="9">
        <v>1</v>
      </c>
    </row>
    <row r="537" spans="1:38" x14ac:dyDescent="0.35">
      <c r="A537" s="9">
        <v>1</v>
      </c>
      <c r="B537" s="9" t="s">
        <v>48</v>
      </c>
      <c r="C537" s="53">
        <v>43888</v>
      </c>
      <c r="D537" s="53">
        <v>43903</v>
      </c>
      <c r="E537" s="53">
        <v>43966</v>
      </c>
      <c r="F537" s="21">
        <f t="shared" si="155"/>
        <v>63</v>
      </c>
      <c r="G537" s="53">
        <v>43903</v>
      </c>
      <c r="H537" s="9">
        <v>2020</v>
      </c>
      <c r="I537" s="9">
        <v>1</v>
      </c>
      <c r="J537" s="9">
        <v>1</v>
      </c>
      <c r="K537" s="9">
        <v>11</v>
      </c>
      <c r="L537" s="50" t="s">
        <v>400</v>
      </c>
      <c r="M537">
        <v>-2</v>
      </c>
      <c r="N537">
        <v>2</v>
      </c>
      <c r="O537">
        <v>-1</v>
      </c>
      <c r="P537">
        <v>-2</v>
      </c>
      <c r="Q537">
        <v>-2</v>
      </c>
      <c r="R537">
        <v>-2</v>
      </c>
      <c r="S537">
        <v>-2</v>
      </c>
      <c r="T537">
        <v>2</v>
      </c>
      <c r="U537">
        <v>1</v>
      </c>
      <c r="V537" t="s">
        <v>959</v>
      </c>
      <c r="W537" t="s">
        <v>989</v>
      </c>
      <c r="X537" t="s">
        <v>997</v>
      </c>
      <c r="Y537" t="s">
        <v>1000</v>
      </c>
      <c r="Z537">
        <v>1</v>
      </c>
      <c r="AA537">
        <f t="shared" si="158"/>
        <v>0</v>
      </c>
      <c r="AB537">
        <f t="shared" si="159"/>
        <v>1</v>
      </c>
      <c r="AC537">
        <f t="shared" si="160"/>
        <v>0</v>
      </c>
      <c r="AD537">
        <f t="shared" si="161"/>
        <v>0</v>
      </c>
      <c r="AE537">
        <f t="shared" si="162"/>
        <v>0</v>
      </c>
      <c r="AF537">
        <f t="shared" si="163"/>
        <v>0</v>
      </c>
      <c r="AG537">
        <f t="shared" si="164"/>
        <v>0</v>
      </c>
      <c r="AH537">
        <f t="shared" si="165"/>
        <v>1</v>
      </c>
      <c r="AI537">
        <f t="shared" si="166"/>
        <v>1</v>
      </c>
      <c r="AJ537" s="9">
        <f t="shared" si="167"/>
        <v>11</v>
      </c>
      <c r="AK537">
        <f t="shared" si="168"/>
        <v>0</v>
      </c>
      <c r="AL537" s="9">
        <v>1</v>
      </c>
    </row>
    <row r="538" spans="1:38" x14ac:dyDescent="0.35">
      <c r="A538" s="9">
        <v>1</v>
      </c>
      <c r="B538" s="9" t="s">
        <v>48</v>
      </c>
      <c r="C538" s="53">
        <v>43888</v>
      </c>
      <c r="D538" s="53">
        <v>43903</v>
      </c>
      <c r="E538" s="53">
        <v>43966</v>
      </c>
      <c r="F538" s="21">
        <f t="shared" si="155"/>
        <v>63</v>
      </c>
      <c r="G538" s="53">
        <v>43903</v>
      </c>
      <c r="H538" s="9">
        <v>2020</v>
      </c>
      <c r="I538" s="9">
        <v>1</v>
      </c>
      <c r="J538" s="9">
        <v>1</v>
      </c>
      <c r="K538" s="9">
        <v>6</v>
      </c>
      <c r="L538" s="50" t="s">
        <v>410</v>
      </c>
      <c r="M538">
        <v>2</v>
      </c>
      <c r="N538">
        <v>2</v>
      </c>
      <c r="O538">
        <v>2</v>
      </c>
      <c r="P538">
        <v>2</v>
      </c>
      <c r="Q538">
        <v>2</v>
      </c>
      <c r="R538">
        <v>2</v>
      </c>
      <c r="S538">
        <v>-2</v>
      </c>
      <c r="T538">
        <v>-2</v>
      </c>
      <c r="U538">
        <v>1</v>
      </c>
      <c r="V538" t="s">
        <v>959</v>
      </c>
      <c r="W538" t="s">
        <v>989</v>
      </c>
      <c r="X538" t="s">
        <v>997</v>
      </c>
      <c r="Y538" t="s">
        <v>1000</v>
      </c>
      <c r="Z538">
        <v>1</v>
      </c>
      <c r="AA538">
        <f t="shared" si="158"/>
        <v>1</v>
      </c>
      <c r="AB538">
        <f t="shared" si="159"/>
        <v>1</v>
      </c>
      <c r="AC538">
        <f t="shared" si="160"/>
        <v>1</v>
      </c>
      <c r="AD538">
        <f t="shared" si="161"/>
        <v>1</v>
      </c>
      <c r="AE538">
        <f t="shared" si="162"/>
        <v>1</v>
      </c>
      <c r="AF538">
        <f t="shared" si="163"/>
        <v>1</v>
      </c>
      <c r="AG538">
        <f t="shared" si="164"/>
        <v>0</v>
      </c>
      <c r="AH538">
        <f t="shared" si="165"/>
        <v>0</v>
      </c>
      <c r="AI538">
        <f t="shared" si="166"/>
        <v>1</v>
      </c>
      <c r="AJ538" s="9">
        <f t="shared" si="167"/>
        <v>6</v>
      </c>
      <c r="AK538">
        <f t="shared" si="168"/>
        <v>0</v>
      </c>
      <c r="AL538" s="9">
        <v>1</v>
      </c>
    </row>
    <row r="539" spans="1:38" x14ac:dyDescent="0.35">
      <c r="A539" s="9">
        <v>1</v>
      </c>
      <c r="B539" s="9" t="s">
        <v>48</v>
      </c>
      <c r="C539" s="53">
        <v>43888</v>
      </c>
      <c r="D539" s="53">
        <v>43903</v>
      </c>
      <c r="E539" s="53">
        <v>43966</v>
      </c>
      <c r="F539" s="21">
        <f t="shared" si="155"/>
        <v>63</v>
      </c>
      <c r="G539" s="53">
        <v>43903</v>
      </c>
      <c r="H539" s="9">
        <v>2020</v>
      </c>
      <c r="I539" s="9">
        <v>1</v>
      </c>
      <c r="J539" s="9">
        <v>5</v>
      </c>
      <c r="K539" s="9" t="s">
        <v>204</v>
      </c>
      <c r="L539" s="50" t="s">
        <v>394</v>
      </c>
      <c r="M539">
        <v>1</v>
      </c>
      <c r="N539">
        <v>-2</v>
      </c>
      <c r="O539">
        <v>-2</v>
      </c>
      <c r="P539">
        <v>-1</v>
      </c>
      <c r="Q539">
        <v>-2</v>
      </c>
      <c r="R539">
        <v>1</v>
      </c>
      <c r="S539">
        <v>1</v>
      </c>
      <c r="T539">
        <v>2</v>
      </c>
      <c r="U539">
        <v>1</v>
      </c>
      <c r="V539" t="s">
        <v>959</v>
      </c>
      <c r="W539" t="s">
        <v>989</v>
      </c>
      <c r="X539" t="s">
        <v>997</v>
      </c>
      <c r="Y539" t="s">
        <v>1000</v>
      </c>
      <c r="Z539">
        <v>1</v>
      </c>
      <c r="AA539">
        <f t="shared" si="158"/>
        <v>1</v>
      </c>
      <c r="AB539">
        <f t="shared" si="159"/>
        <v>0</v>
      </c>
      <c r="AC539">
        <f t="shared" si="160"/>
        <v>0</v>
      </c>
      <c r="AD539">
        <f t="shared" si="161"/>
        <v>0</v>
      </c>
      <c r="AE539">
        <f t="shared" si="162"/>
        <v>0</v>
      </c>
      <c r="AF539">
        <f t="shared" si="163"/>
        <v>1</v>
      </c>
      <c r="AG539">
        <f t="shared" si="164"/>
        <v>1</v>
      </c>
      <c r="AH539">
        <f t="shared" si="165"/>
        <v>1</v>
      </c>
      <c r="AI539">
        <f t="shared" si="166"/>
        <v>1</v>
      </c>
      <c r="AJ539" s="9" t="str">
        <f t="shared" si="167"/>
        <v>General</v>
      </c>
      <c r="AK539">
        <f t="shared" si="168"/>
        <v>0</v>
      </c>
      <c r="AL539" s="9">
        <v>1</v>
      </c>
    </row>
    <row r="540" spans="1:38" x14ac:dyDescent="0.35">
      <c r="A540" s="9">
        <v>1</v>
      </c>
      <c r="B540" s="9" t="s">
        <v>48</v>
      </c>
      <c r="C540" s="53">
        <v>43888</v>
      </c>
      <c r="D540" s="53">
        <v>43903</v>
      </c>
      <c r="E540" s="53">
        <v>43966</v>
      </c>
      <c r="F540" s="21">
        <f t="shared" si="155"/>
        <v>63</v>
      </c>
      <c r="G540" s="53">
        <v>43903</v>
      </c>
      <c r="H540" s="9">
        <v>2020</v>
      </c>
      <c r="I540" s="9">
        <v>1</v>
      </c>
      <c r="J540" s="9">
        <v>7</v>
      </c>
      <c r="K540" s="9">
        <v>30</v>
      </c>
      <c r="L540" s="50" t="s">
        <v>404</v>
      </c>
      <c r="M540">
        <v>2</v>
      </c>
      <c r="N540">
        <v>1</v>
      </c>
      <c r="O540">
        <v>2</v>
      </c>
      <c r="P540">
        <v>2</v>
      </c>
      <c r="Q540">
        <v>2</v>
      </c>
      <c r="R540">
        <v>2</v>
      </c>
      <c r="S540">
        <v>1</v>
      </c>
      <c r="T540">
        <v>-2</v>
      </c>
      <c r="U540">
        <v>1</v>
      </c>
      <c r="V540" t="s">
        <v>959</v>
      </c>
      <c r="W540" t="s">
        <v>989</v>
      </c>
      <c r="X540" t="s">
        <v>997</v>
      </c>
      <c r="Y540" t="s">
        <v>1000</v>
      </c>
      <c r="Z540">
        <v>1</v>
      </c>
      <c r="AA540">
        <f t="shared" si="158"/>
        <v>1</v>
      </c>
      <c r="AB540">
        <f t="shared" si="159"/>
        <v>1</v>
      </c>
      <c r="AC540">
        <f t="shared" si="160"/>
        <v>1</v>
      </c>
      <c r="AD540">
        <f t="shared" si="161"/>
        <v>1</v>
      </c>
      <c r="AE540">
        <f t="shared" si="162"/>
        <v>1</v>
      </c>
      <c r="AF540">
        <f t="shared" si="163"/>
        <v>1</v>
      </c>
      <c r="AG540">
        <f t="shared" si="164"/>
        <v>1</v>
      </c>
      <c r="AH540">
        <f t="shared" si="165"/>
        <v>0</v>
      </c>
      <c r="AI540">
        <f t="shared" si="166"/>
        <v>1</v>
      </c>
      <c r="AJ540" s="9">
        <f t="shared" si="167"/>
        <v>30</v>
      </c>
      <c r="AK540">
        <f t="shared" si="168"/>
        <v>0</v>
      </c>
      <c r="AL540" s="9">
        <v>1</v>
      </c>
    </row>
    <row r="541" spans="1:38" x14ac:dyDescent="0.35">
      <c r="A541" s="9">
        <v>1</v>
      </c>
      <c r="B541" s="9" t="s">
        <v>48</v>
      </c>
      <c r="C541" s="53">
        <v>43888</v>
      </c>
      <c r="D541" s="53">
        <v>43903</v>
      </c>
      <c r="E541" s="53">
        <v>43966</v>
      </c>
      <c r="F541" s="21">
        <f t="shared" si="155"/>
        <v>63</v>
      </c>
      <c r="G541" s="53">
        <v>43903</v>
      </c>
      <c r="H541" s="9">
        <v>2020</v>
      </c>
      <c r="I541" s="9">
        <v>1</v>
      </c>
      <c r="J541" s="9">
        <v>5</v>
      </c>
      <c r="K541" s="9">
        <v>22</v>
      </c>
      <c r="L541" s="50" t="s">
        <v>393</v>
      </c>
      <c r="M541">
        <v>1</v>
      </c>
      <c r="N541">
        <v>-2</v>
      </c>
      <c r="O541">
        <v>-2</v>
      </c>
      <c r="P541">
        <v>-1</v>
      </c>
      <c r="Q541">
        <v>-2</v>
      </c>
      <c r="R541">
        <v>1</v>
      </c>
      <c r="S541">
        <v>1</v>
      </c>
      <c r="T541">
        <v>2</v>
      </c>
      <c r="U541">
        <v>1</v>
      </c>
      <c r="V541" t="s">
        <v>959</v>
      </c>
      <c r="W541" t="s">
        <v>989</v>
      </c>
      <c r="X541" t="s">
        <v>997</v>
      </c>
      <c r="Y541" t="s">
        <v>1000</v>
      </c>
      <c r="Z541">
        <v>1</v>
      </c>
      <c r="AA541">
        <f t="shared" si="158"/>
        <v>1</v>
      </c>
      <c r="AB541">
        <f t="shared" si="159"/>
        <v>0</v>
      </c>
      <c r="AC541">
        <f t="shared" si="160"/>
        <v>0</v>
      </c>
      <c r="AD541">
        <f t="shared" si="161"/>
        <v>0</v>
      </c>
      <c r="AE541">
        <f t="shared" si="162"/>
        <v>0</v>
      </c>
      <c r="AF541">
        <f t="shared" si="163"/>
        <v>1</v>
      </c>
      <c r="AG541">
        <f t="shared" si="164"/>
        <v>1</v>
      </c>
      <c r="AH541">
        <f t="shared" si="165"/>
        <v>1</v>
      </c>
      <c r="AI541">
        <f t="shared" si="166"/>
        <v>1</v>
      </c>
      <c r="AJ541" s="9">
        <f t="shared" si="167"/>
        <v>22</v>
      </c>
      <c r="AK541">
        <f t="shared" si="168"/>
        <v>0</v>
      </c>
      <c r="AL541" s="9">
        <v>1</v>
      </c>
    </row>
    <row r="542" spans="1:38" x14ac:dyDescent="0.35">
      <c r="A542" s="9">
        <v>1</v>
      </c>
      <c r="B542" s="9" t="s">
        <v>48</v>
      </c>
      <c r="C542" s="53">
        <v>43888</v>
      </c>
      <c r="D542" s="53">
        <v>43903</v>
      </c>
      <c r="E542" s="53">
        <v>43966</v>
      </c>
      <c r="F542" s="21">
        <f t="shared" si="155"/>
        <v>63</v>
      </c>
      <c r="G542" s="53">
        <v>43903</v>
      </c>
      <c r="H542" s="9">
        <v>2020</v>
      </c>
      <c r="I542" s="9">
        <v>1</v>
      </c>
      <c r="J542" s="9">
        <v>7</v>
      </c>
      <c r="K542" s="9">
        <v>30</v>
      </c>
      <c r="L542" s="50" t="s">
        <v>1924</v>
      </c>
      <c r="M542">
        <v>-2</v>
      </c>
      <c r="N542">
        <v>1</v>
      </c>
      <c r="O542">
        <v>2</v>
      </c>
      <c r="P542">
        <v>1</v>
      </c>
      <c r="Q542">
        <v>2</v>
      </c>
      <c r="R542">
        <v>2</v>
      </c>
      <c r="S542">
        <v>1</v>
      </c>
      <c r="T542">
        <v>-2</v>
      </c>
      <c r="U542">
        <v>1</v>
      </c>
      <c r="V542" t="s">
        <v>959</v>
      </c>
      <c r="W542" t="s">
        <v>989</v>
      </c>
      <c r="X542" t="s">
        <v>997</v>
      </c>
      <c r="Y542" t="s">
        <v>1000</v>
      </c>
      <c r="Z542">
        <v>1</v>
      </c>
      <c r="AA542">
        <f t="shared" si="158"/>
        <v>0</v>
      </c>
      <c r="AB542">
        <f t="shared" si="159"/>
        <v>1</v>
      </c>
      <c r="AC542">
        <f t="shared" si="160"/>
        <v>1</v>
      </c>
      <c r="AD542">
        <f t="shared" si="161"/>
        <v>1</v>
      </c>
      <c r="AE542">
        <f t="shared" si="162"/>
        <v>1</v>
      </c>
      <c r="AF542">
        <f t="shared" si="163"/>
        <v>1</v>
      </c>
      <c r="AG542">
        <f t="shared" si="164"/>
        <v>1</v>
      </c>
      <c r="AH542">
        <f t="shared" si="165"/>
        <v>0</v>
      </c>
      <c r="AI542">
        <f t="shared" si="166"/>
        <v>1</v>
      </c>
      <c r="AJ542" s="9">
        <f t="shared" si="167"/>
        <v>30</v>
      </c>
      <c r="AK542">
        <f t="shared" si="168"/>
        <v>0</v>
      </c>
      <c r="AL542" s="9">
        <v>1</v>
      </c>
    </row>
    <row r="543" spans="1:38" x14ac:dyDescent="0.35">
      <c r="A543" s="9">
        <v>1</v>
      </c>
      <c r="B543" s="9" t="s">
        <v>48</v>
      </c>
      <c r="C543" s="53">
        <v>43888</v>
      </c>
      <c r="D543" s="53">
        <v>43903</v>
      </c>
      <c r="E543" s="53">
        <v>43966</v>
      </c>
      <c r="F543" s="21">
        <f t="shared" si="155"/>
        <v>63</v>
      </c>
      <c r="G543" s="53">
        <v>43903</v>
      </c>
      <c r="H543" s="9">
        <v>2020</v>
      </c>
      <c r="I543" s="9">
        <v>1</v>
      </c>
      <c r="J543" s="9">
        <v>1</v>
      </c>
      <c r="K543" s="9">
        <v>6</v>
      </c>
      <c r="L543" s="50" t="s">
        <v>403</v>
      </c>
      <c r="M543">
        <v>-2</v>
      </c>
      <c r="N543">
        <v>2</v>
      </c>
      <c r="O543">
        <v>2</v>
      </c>
      <c r="P543">
        <v>2</v>
      </c>
      <c r="Q543">
        <v>2</v>
      </c>
      <c r="R543">
        <v>2</v>
      </c>
      <c r="S543">
        <v>1</v>
      </c>
      <c r="T543">
        <v>2</v>
      </c>
      <c r="U543">
        <v>1</v>
      </c>
      <c r="V543" t="s">
        <v>959</v>
      </c>
      <c r="W543" t="s">
        <v>989</v>
      </c>
      <c r="X543" t="s">
        <v>997</v>
      </c>
      <c r="Y543" t="s">
        <v>1000</v>
      </c>
      <c r="Z543">
        <v>1</v>
      </c>
      <c r="AA543">
        <f t="shared" si="158"/>
        <v>0</v>
      </c>
      <c r="AB543">
        <f t="shared" si="159"/>
        <v>1</v>
      </c>
      <c r="AC543">
        <f t="shared" si="160"/>
        <v>1</v>
      </c>
      <c r="AD543">
        <f t="shared" si="161"/>
        <v>1</v>
      </c>
      <c r="AE543">
        <f t="shared" si="162"/>
        <v>1</v>
      </c>
      <c r="AF543">
        <f t="shared" si="163"/>
        <v>1</v>
      </c>
      <c r="AG543">
        <f t="shared" si="164"/>
        <v>1</v>
      </c>
      <c r="AH543">
        <f t="shared" si="165"/>
        <v>1</v>
      </c>
      <c r="AI543">
        <f t="shared" si="166"/>
        <v>1</v>
      </c>
      <c r="AJ543" s="9">
        <f t="shared" si="167"/>
        <v>6</v>
      </c>
      <c r="AK543">
        <f t="shared" si="168"/>
        <v>0</v>
      </c>
      <c r="AL543" s="9">
        <v>1</v>
      </c>
    </row>
    <row r="544" spans="1:38" x14ac:dyDescent="0.35">
      <c r="A544" s="9">
        <v>1</v>
      </c>
      <c r="B544" s="9" t="s">
        <v>48</v>
      </c>
      <c r="C544" s="53">
        <v>43888</v>
      </c>
      <c r="D544" s="53">
        <v>43903</v>
      </c>
      <c r="E544" s="53">
        <v>43966</v>
      </c>
      <c r="F544" s="21">
        <f t="shared" si="155"/>
        <v>63</v>
      </c>
      <c r="G544" s="53">
        <v>43903</v>
      </c>
      <c r="H544" s="9">
        <v>2020</v>
      </c>
      <c r="I544" s="9">
        <v>1</v>
      </c>
      <c r="J544" s="9">
        <v>1</v>
      </c>
      <c r="K544" s="9">
        <v>7</v>
      </c>
      <c r="L544" s="50" t="s">
        <v>401</v>
      </c>
      <c r="N544">
        <v>2</v>
      </c>
      <c r="O544">
        <v>-2</v>
      </c>
      <c r="P544">
        <v>-1</v>
      </c>
      <c r="Q544">
        <v>-2</v>
      </c>
      <c r="R544">
        <v>-2</v>
      </c>
      <c r="S544">
        <v>2</v>
      </c>
      <c r="U544">
        <v>1</v>
      </c>
      <c r="V544" t="s">
        <v>959</v>
      </c>
      <c r="W544" t="s">
        <v>989</v>
      </c>
      <c r="X544" t="s">
        <v>997</v>
      </c>
      <c r="Y544" t="s">
        <v>1000</v>
      </c>
      <c r="Z544">
        <v>1</v>
      </c>
      <c r="AA544">
        <f t="shared" si="158"/>
        <v>-1</v>
      </c>
      <c r="AB544">
        <f t="shared" si="159"/>
        <v>1</v>
      </c>
      <c r="AC544">
        <f t="shared" si="160"/>
        <v>0</v>
      </c>
      <c r="AD544">
        <f t="shared" si="161"/>
        <v>0</v>
      </c>
      <c r="AE544">
        <f t="shared" si="162"/>
        <v>0</v>
      </c>
      <c r="AF544">
        <f t="shared" si="163"/>
        <v>0</v>
      </c>
      <c r="AG544">
        <f t="shared" si="164"/>
        <v>1</v>
      </c>
      <c r="AH544">
        <f t="shared" si="165"/>
        <v>-1</v>
      </c>
      <c r="AI544">
        <f t="shared" si="166"/>
        <v>1</v>
      </c>
      <c r="AJ544" s="9">
        <f t="shared" si="167"/>
        <v>7</v>
      </c>
      <c r="AK544">
        <f t="shared" si="168"/>
        <v>0</v>
      </c>
      <c r="AL544" s="9">
        <v>1</v>
      </c>
    </row>
    <row r="545" spans="1:38" x14ac:dyDescent="0.35">
      <c r="A545" s="9">
        <v>1</v>
      </c>
      <c r="B545" s="9" t="s">
        <v>48</v>
      </c>
      <c r="C545" s="53">
        <v>43888</v>
      </c>
      <c r="D545" s="53">
        <v>43903</v>
      </c>
      <c r="E545" s="53">
        <v>43966</v>
      </c>
      <c r="F545" s="21">
        <f t="shared" ref="F545:F614" si="169">DATEDIF(D545,E545,"D")</f>
        <v>63</v>
      </c>
      <c r="G545" s="53">
        <v>43903</v>
      </c>
      <c r="H545" s="9">
        <v>2020</v>
      </c>
      <c r="I545" s="9">
        <v>1</v>
      </c>
      <c r="J545" s="9">
        <v>2</v>
      </c>
      <c r="K545" s="9" t="s">
        <v>206</v>
      </c>
      <c r="L545" s="50" t="s">
        <v>398</v>
      </c>
      <c r="M545">
        <v>2</v>
      </c>
      <c r="N545">
        <v>2</v>
      </c>
      <c r="O545">
        <v>-2</v>
      </c>
      <c r="P545">
        <v>-1</v>
      </c>
      <c r="Q545">
        <v>-2</v>
      </c>
      <c r="R545">
        <v>-2</v>
      </c>
      <c r="S545">
        <v>-2</v>
      </c>
      <c r="T545">
        <v>-2</v>
      </c>
      <c r="U545">
        <v>1</v>
      </c>
      <c r="V545" t="s">
        <v>959</v>
      </c>
      <c r="W545" t="s">
        <v>989</v>
      </c>
      <c r="X545" t="s">
        <v>997</v>
      </c>
      <c r="Y545" t="s">
        <v>1000</v>
      </c>
      <c r="Z545">
        <v>1</v>
      </c>
      <c r="AA545">
        <f t="shared" si="158"/>
        <v>1</v>
      </c>
      <c r="AB545">
        <f t="shared" si="159"/>
        <v>1</v>
      </c>
      <c r="AC545">
        <f t="shared" si="160"/>
        <v>0</v>
      </c>
      <c r="AD545">
        <f t="shared" si="161"/>
        <v>0</v>
      </c>
      <c r="AE545">
        <f t="shared" si="162"/>
        <v>0</v>
      </c>
      <c r="AF545">
        <f t="shared" si="163"/>
        <v>0</v>
      </c>
      <c r="AG545">
        <f t="shared" si="164"/>
        <v>0</v>
      </c>
      <c r="AH545">
        <f t="shared" si="165"/>
        <v>0</v>
      </c>
      <c r="AI545">
        <f t="shared" si="166"/>
        <v>1</v>
      </c>
      <c r="AJ545" s="9" t="str">
        <f t="shared" si="167"/>
        <v>Tax exemption/waiver/suspension</v>
      </c>
      <c r="AK545">
        <f t="shared" si="168"/>
        <v>0</v>
      </c>
      <c r="AL545" s="9">
        <v>0</v>
      </c>
    </row>
    <row r="546" spans="1:38" x14ac:dyDescent="0.35">
      <c r="A546" s="9">
        <v>1</v>
      </c>
      <c r="B546" s="50" t="s">
        <v>48</v>
      </c>
      <c r="C546" s="53">
        <v>43888</v>
      </c>
      <c r="D546" s="53">
        <v>43903</v>
      </c>
      <c r="E546" s="53">
        <v>43966</v>
      </c>
      <c r="F546" s="21">
        <f t="shared" si="169"/>
        <v>63</v>
      </c>
      <c r="G546" s="53">
        <v>43903</v>
      </c>
      <c r="H546" s="9">
        <v>2020</v>
      </c>
      <c r="I546" s="9">
        <v>1</v>
      </c>
      <c r="J546" s="50">
        <v>6</v>
      </c>
      <c r="K546" s="50">
        <v>27</v>
      </c>
      <c r="L546" s="24" t="s">
        <v>1892</v>
      </c>
      <c r="M546" s="24"/>
      <c r="V546" t="s">
        <v>959</v>
      </c>
      <c r="W546" t="s">
        <v>989</v>
      </c>
      <c r="X546" t="s">
        <v>997</v>
      </c>
      <c r="Y546" t="s">
        <v>1000</v>
      </c>
      <c r="Z546">
        <v>1</v>
      </c>
      <c r="AA546">
        <v>-1</v>
      </c>
      <c r="AB546">
        <v>-1</v>
      </c>
      <c r="AC546">
        <v>-1</v>
      </c>
      <c r="AD546">
        <v>-1</v>
      </c>
      <c r="AE546">
        <v>-1</v>
      </c>
      <c r="AF546">
        <v>-1</v>
      </c>
      <c r="AG546">
        <v>-1</v>
      </c>
      <c r="AH546">
        <v>-1</v>
      </c>
      <c r="AI546">
        <v>-1</v>
      </c>
      <c r="AJ546" s="9">
        <f t="shared" si="167"/>
        <v>27</v>
      </c>
      <c r="AK546">
        <f t="shared" si="168"/>
        <v>0</v>
      </c>
      <c r="AL546" s="9">
        <v>0</v>
      </c>
    </row>
    <row r="547" spans="1:38" x14ac:dyDescent="0.35">
      <c r="A547" s="9">
        <v>1</v>
      </c>
      <c r="B547" s="50" t="s">
        <v>48</v>
      </c>
      <c r="C547" s="53">
        <v>43888</v>
      </c>
      <c r="D547" s="53">
        <v>43903</v>
      </c>
      <c r="E547" s="53">
        <v>43966</v>
      </c>
      <c r="F547" s="21">
        <f t="shared" si="169"/>
        <v>63</v>
      </c>
      <c r="G547" s="53">
        <v>43903</v>
      </c>
      <c r="H547" s="9">
        <v>2020</v>
      </c>
      <c r="I547" s="9">
        <v>1</v>
      </c>
      <c r="J547" s="50">
        <v>4</v>
      </c>
      <c r="K547" s="50">
        <v>20</v>
      </c>
      <c r="L547" s="24" t="s">
        <v>1893</v>
      </c>
      <c r="M547" s="24"/>
      <c r="V547" t="s">
        <v>959</v>
      </c>
      <c r="W547" t="s">
        <v>989</v>
      </c>
      <c r="X547" t="s">
        <v>997</v>
      </c>
      <c r="Y547" t="s">
        <v>1000</v>
      </c>
      <c r="Z547">
        <v>1</v>
      </c>
      <c r="AA547">
        <v>-1</v>
      </c>
      <c r="AB547">
        <v>-1</v>
      </c>
      <c r="AC547">
        <v>-1</v>
      </c>
      <c r="AD547">
        <v>-1</v>
      </c>
      <c r="AE547">
        <v>-1</v>
      </c>
      <c r="AF547">
        <v>-1</v>
      </c>
      <c r="AG547">
        <v>-1</v>
      </c>
      <c r="AH547">
        <v>-1</v>
      </c>
      <c r="AI547">
        <v>-1</v>
      </c>
      <c r="AJ547" s="9">
        <f t="shared" si="167"/>
        <v>20</v>
      </c>
      <c r="AK547">
        <f t="shared" si="168"/>
        <v>0</v>
      </c>
      <c r="AL547" s="9">
        <v>0</v>
      </c>
    </row>
    <row r="548" spans="1:38" x14ac:dyDescent="0.35">
      <c r="A548" s="9">
        <v>1</v>
      </c>
      <c r="B548" s="50" t="s">
        <v>48</v>
      </c>
      <c r="C548" s="53">
        <v>43888</v>
      </c>
      <c r="D548" s="53">
        <v>43903</v>
      </c>
      <c r="E548" s="53">
        <v>43966</v>
      </c>
      <c r="F548" s="21">
        <f t="shared" si="169"/>
        <v>63</v>
      </c>
      <c r="G548" s="53">
        <v>43903</v>
      </c>
      <c r="H548" s="9">
        <v>2020</v>
      </c>
      <c r="I548" s="9">
        <v>1</v>
      </c>
      <c r="J548" s="50">
        <v>6</v>
      </c>
      <c r="K548" s="50">
        <v>25</v>
      </c>
      <c r="L548" s="24" t="s">
        <v>1894</v>
      </c>
      <c r="M548" s="24"/>
      <c r="V548" t="s">
        <v>959</v>
      </c>
      <c r="W548" t="s">
        <v>989</v>
      </c>
      <c r="X548" t="s">
        <v>997</v>
      </c>
      <c r="Y548" t="s">
        <v>1000</v>
      </c>
      <c r="Z548">
        <v>1</v>
      </c>
      <c r="AA548">
        <v>-1</v>
      </c>
      <c r="AB548">
        <v>-1</v>
      </c>
      <c r="AC548">
        <v>-1</v>
      </c>
      <c r="AD548">
        <v>-1</v>
      </c>
      <c r="AE548">
        <v>-1</v>
      </c>
      <c r="AF548">
        <v>-1</v>
      </c>
      <c r="AG548">
        <v>-1</v>
      </c>
      <c r="AH548">
        <v>-1</v>
      </c>
      <c r="AI548">
        <v>-1</v>
      </c>
      <c r="AJ548" s="9">
        <f t="shared" si="167"/>
        <v>25</v>
      </c>
      <c r="AK548">
        <f t="shared" si="168"/>
        <v>0</v>
      </c>
      <c r="AL548" s="9">
        <v>0</v>
      </c>
    </row>
    <row r="549" spans="1:38" x14ac:dyDescent="0.35">
      <c r="A549" s="9">
        <v>1</v>
      </c>
      <c r="B549" s="50" t="s">
        <v>48</v>
      </c>
      <c r="C549" s="53">
        <v>43888</v>
      </c>
      <c r="D549" s="53">
        <v>43903</v>
      </c>
      <c r="E549" s="53">
        <v>43966</v>
      </c>
      <c r="F549" s="21">
        <f t="shared" si="169"/>
        <v>63</v>
      </c>
      <c r="G549" s="53">
        <v>43903</v>
      </c>
      <c r="H549" s="9">
        <v>2020</v>
      </c>
      <c r="I549" s="9">
        <v>1</v>
      </c>
      <c r="J549" s="50">
        <v>7</v>
      </c>
      <c r="K549" s="50">
        <v>31</v>
      </c>
      <c r="L549" s="24" t="s">
        <v>1895</v>
      </c>
      <c r="M549" s="24"/>
      <c r="V549" t="s">
        <v>959</v>
      </c>
      <c r="W549" t="s">
        <v>989</v>
      </c>
      <c r="X549" t="s">
        <v>997</v>
      </c>
      <c r="Y549" t="s">
        <v>1000</v>
      </c>
      <c r="Z549">
        <v>1</v>
      </c>
      <c r="AA549">
        <v>-1</v>
      </c>
      <c r="AB549">
        <v>-1</v>
      </c>
      <c r="AC549">
        <v>-1</v>
      </c>
      <c r="AD549">
        <v>-1</v>
      </c>
      <c r="AE549">
        <v>-1</v>
      </c>
      <c r="AF549">
        <v>-1</v>
      </c>
      <c r="AG549">
        <v>-1</v>
      </c>
      <c r="AH549">
        <v>-1</v>
      </c>
      <c r="AI549">
        <v>-1</v>
      </c>
      <c r="AJ549" s="9">
        <f t="shared" si="167"/>
        <v>31</v>
      </c>
      <c r="AK549">
        <f t="shared" si="168"/>
        <v>0</v>
      </c>
      <c r="AL549" s="9">
        <v>0</v>
      </c>
    </row>
    <row r="550" spans="1:38" x14ac:dyDescent="0.35">
      <c r="A550" s="9">
        <v>1</v>
      </c>
      <c r="B550" s="50" t="s">
        <v>48</v>
      </c>
      <c r="C550" s="53">
        <v>43888</v>
      </c>
      <c r="D550" s="53">
        <v>43903</v>
      </c>
      <c r="E550" s="53">
        <v>43966</v>
      </c>
      <c r="F550" s="21">
        <f t="shared" si="169"/>
        <v>63</v>
      </c>
      <c r="G550" s="53">
        <v>43903</v>
      </c>
      <c r="H550" s="9">
        <v>2020</v>
      </c>
      <c r="I550" s="9">
        <v>1</v>
      </c>
      <c r="J550" s="50">
        <v>7</v>
      </c>
      <c r="K550" s="50" t="s">
        <v>201</v>
      </c>
      <c r="L550" s="24" t="s">
        <v>1896</v>
      </c>
      <c r="M550" s="24"/>
      <c r="V550" t="s">
        <v>959</v>
      </c>
      <c r="W550" t="s">
        <v>989</v>
      </c>
      <c r="X550" t="s">
        <v>997</v>
      </c>
      <c r="Y550" t="s">
        <v>1000</v>
      </c>
      <c r="Z550">
        <v>1</v>
      </c>
      <c r="AA550">
        <v>-1</v>
      </c>
      <c r="AB550">
        <v>-1</v>
      </c>
      <c r="AC550">
        <v>-1</v>
      </c>
      <c r="AD550">
        <v>-1</v>
      </c>
      <c r="AE550">
        <v>-1</v>
      </c>
      <c r="AF550">
        <v>-1</v>
      </c>
      <c r="AG550">
        <v>-1</v>
      </c>
      <c r="AH550">
        <v>-1</v>
      </c>
      <c r="AI550">
        <v>-1</v>
      </c>
      <c r="AJ550" s="9" t="str">
        <f t="shared" si="167"/>
        <v>Other</v>
      </c>
      <c r="AK550">
        <f t="shared" si="168"/>
        <v>0</v>
      </c>
      <c r="AL550" s="9">
        <v>0</v>
      </c>
    </row>
    <row r="551" spans="1:38" x14ac:dyDescent="0.35">
      <c r="A551" s="9">
        <v>1</v>
      </c>
      <c r="B551" s="50" t="s">
        <v>48</v>
      </c>
      <c r="C551" s="53">
        <v>43888</v>
      </c>
      <c r="D551" s="53">
        <v>43903</v>
      </c>
      <c r="E551" s="53">
        <v>43966</v>
      </c>
      <c r="F551" s="21">
        <f t="shared" si="169"/>
        <v>63</v>
      </c>
      <c r="G551" s="53">
        <v>43903</v>
      </c>
      <c r="H551" s="9">
        <v>2020</v>
      </c>
      <c r="I551" s="9">
        <v>1</v>
      </c>
      <c r="J551" s="50">
        <v>7</v>
      </c>
      <c r="K551" s="50">
        <v>30</v>
      </c>
      <c r="L551" s="24" t="s">
        <v>1897</v>
      </c>
      <c r="M551" s="24"/>
      <c r="V551" t="s">
        <v>959</v>
      </c>
      <c r="W551" t="s">
        <v>989</v>
      </c>
      <c r="X551" t="s">
        <v>997</v>
      </c>
      <c r="Y551" t="s">
        <v>1000</v>
      </c>
      <c r="Z551">
        <v>1</v>
      </c>
      <c r="AA551">
        <v>-1</v>
      </c>
      <c r="AB551">
        <v>-1</v>
      </c>
      <c r="AC551">
        <v>-1</v>
      </c>
      <c r="AD551">
        <v>-1</v>
      </c>
      <c r="AE551">
        <v>-1</v>
      </c>
      <c r="AF551">
        <v>-1</v>
      </c>
      <c r="AG551">
        <v>-1</v>
      </c>
      <c r="AH551">
        <v>-1</v>
      </c>
      <c r="AI551">
        <v>-1</v>
      </c>
      <c r="AJ551" s="9">
        <f t="shared" si="167"/>
        <v>30</v>
      </c>
      <c r="AK551">
        <f t="shared" si="168"/>
        <v>0</v>
      </c>
      <c r="AL551" s="9">
        <v>0</v>
      </c>
    </row>
    <row r="552" spans="1:38" x14ac:dyDescent="0.35">
      <c r="A552" s="9">
        <v>1</v>
      </c>
      <c r="B552" s="50" t="s">
        <v>48</v>
      </c>
      <c r="C552" s="53">
        <v>43888</v>
      </c>
      <c r="D552" s="53">
        <v>43903</v>
      </c>
      <c r="E552" s="53">
        <v>43966</v>
      </c>
      <c r="F552" s="21">
        <f t="shared" si="169"/>
        <v>63</v>
      </c>
      <c r="G552" s="53">
        <v>43903</v>
      </c>
      <c r="H552" s="9">
        <v>2020</v>
      </c>
      <c r="I552" s="9">
        <v>1</v>
      </c>
      <c r="J552" s="50">
        <v>4</v>
      </c>
      <c r="K552" s="50" t="s">
        <v>201</v>
      </c>
      <c r="L552" s="24" t="s">
        <v>1898</v>
      </c>
      <c r="M552" s="24"/>
      <c r="V552" t="s">
        <v>959</v>
      </c>
      <c r="W552" t="s">
        <v>989</v>
      </c>
      <c r="X552" t="s">
        <v>997</v>
      </c>
      <c r="Y552" t="s">
        <v>1000</v>
      </c>
      <c r="Z552">
        <v>1</v>
      </c>
      <c r="AA552">
        <v>-1</v>
      </c>
      <c r="AB552">
        <v>-1</v>
      </c>
      <c r="AC552">
        <v>-1</v>
      </c>
      <c r="AD552">
        <v>-1</v>
      </c>
      <c r="AE552">
        <v>-1</v>
      </c>
      <c r="AF552">
        <v>-1</v>
      </c>
      <c r="AG552">
        <v>-1</v>
      </c>
      <c r="AH552">
        <v>-1</v>
      </c>
      <c r="AI552">
        <v>-1</v>
      </c>
      <c r="AJ552" s="9" t="str">
        <f t="shared" si="167"/>
        <v>Other</v>
      </c>
      <c r="AK552">
        <f t="shared" si="168"/>
        <v>0</v>
      </c>
      <c r="AL552" s="9">
        <v>0</v>
      </c>
    </row>
    <row r="553" spans="1:38" x14ac:dyDescent="0.35">
      <c r="A553" s="9">
        <v>1</v>
      </c>
      <c r="B553" s="50" t="s">
        <v>48</v>
      </c>
      <c r="C553" s="53">
        <v>43888</v>
      </c>
      <c r="D553" s="53">
        <v>43903</v>
      </c>
      <c r="E553" s="53">
        <v>43966</v>
      </c>
      <c r="F553" s="21">
        <f t="shared" si="169"/>
        <v>63</v>
      </c>
      <c r="G553" s="53">
        <v>43903</v>
      </c>
      <c r="H553" s="9">
        <v>2020</v>
      </c>
      <c r="I553" s="9">
        <v>1</v>
      </c>
      <c r="J553" s="50">
        <v>1</v>
      </c>
      <c r="K553" s="50">
        <v>2</v>
      </c>
      <c r="L553" s="24" t="s">
        <v>1899</v>
      </c>
      <c r="M553" s="24"/>
      <c r="V553" t="s">
        <v>959</v>
      </c>
      <c r="W553" t="s">
        <v>989</v>
      </c>
      <c r="X553" t="s">
        <v>997</v>
      </c>
      <c r="Y553" t="s">
        <v>1000</v>
      </c>
      <c r="Z553">
        <v>1</v>
      </c>
      <c r="AA553">
        <v>-1</v>
      </c>
      <c r="AB553">
        <v>-1</v>
      </c>
      <c r="AC553">
        <v>-1</v>
      </c>
      <c r="AD553">
        <v>-1</v>
      </c>
      <c r="AE553">
        <v>-1</v>
      </c>
      <c r="AF553">
        <v>-1</v>
      </c>
      <c r="AG553">
        <v>-1</v>
      </c>
      <c r="AH553">
        <v>-1</v>
      </c>
      <c r="AI553">
        <v>-1</v>
      </c>
      <c r="AJ553" s="9">
        <f t="shared" ref="AJ553:AJ608" si="170">IF(ISNUMBER(K553),K553,IF(OR(K553="general",K553="23;general"),"General",IF(OR(K553="exemption",K553="other (exemption)"),"Tax exemption/waiver/suspension","Other")))</f>
        <v>2</v>
      </c>
      <c r="AK553">
        <f t="shared" si="168"/>
        <v>0</v>
      </c>
      <c r="AL553" s="9">
        <v>0</v>
      </c>
    </row>
    <row r="554" spans="1:38" x14ac:dyDescent="0.35">
      <c r="A554" s="9">
        <v>1</v>
      </c>
      <c r="B554" s="50" t="s">
        <v>48</v>
      </c>
      <c r="C554" s="53">
        <v>43888</v>
      </c>
      <c r="D554" s="53">
        <v>43903</v>
      </c>
      <c r="E554" s="53">
        <v>43966</v>
      </c>
      <c r="F554" s="21">
        <f t="shared" si="169"/>
        <v>63</v>
      </c>
      <c r="G554" s="53">
        <v>43903</v>
      </c>
      <c r="H554" s="9">
        <v>2020</v>
      </c>
      <c r="I554" s="9">
        <v>1</v>
      </c>
      <c r="J554" s="50">
        <v>1</v>
      </c>
      <c r="K554" s="50">
        <v>5</v>
      </c>
      <c r="L554" s="24" t="s">
        <v>1900</v>
      </c>
      <c r="M554" s="24"/>
      <c r="V554" t="s">
        <v>959</v>
      </c>
      <c r="W554" t="s">
        <v>989</v>
      </c>
      <c r="X554" t="s">
        <v>997</v>
      </c>
      <c r="Y554" t="s">
        <v>1000</v>
      </c>
      <c r="Z554">
        <v>1</v>
      </c>
      <c r="AA554">
        <v>-1</v>
      </c>
      <c r="AB554">
        <v>-1</v>
      </c>
      <c r="AC554">
        <v>-1</v>
      </c>
      <c r="AD554">
        <v>-1</v>
      </c>
      <c r="AE554">
        <v>-1</v>
      </c>
      <c r="AF554">
        <v>-1</v>
      </c>
      <c r="AG554">
        <v>-1</v>
      </c>
      <c r="AH554">
        <v>-1</v>
      </c>
      <c r="AI554">
        <v>-1</v>
      </c>
      <c r="AJ554" s="9">
        <f t="shared" si="170"/>
        <v>5</v>
      </c>
      <c r="AK554">
        <f t="shared" si="168"/>
        <v>0</v>
      </c>
      <c r="AL554" s="9">
        <v>0</v>
      </c>
    </row>
    <row r="555" spans="1:38" x14ac:dyDescent="0.35">
      <c r="A555" s="9">
        <v>1</v>
      </c>
      <c r="B555" s="50" t="s">
        <v>48</v>
      </c>
      <c r="C555" s="53">
        <v>43888</v>
      </c>
      <c r="D555" s="53">
        <v>43903</v>
      </c>
      <c r="E555" s="53">
        <v>43966</v>
      </c>
      <c r="F555" s="21">
        <f t="shared" si="169"/>
        <v>63</v>
      </c>
      <c r="G555" s="53">
        <v>43903</v>
      </c>
      <c r="H555" s="9">
        <v>2020</v>
      </c>
      <c r="I555" s="9">
        <v>1</v>
      </c>
      <c r="J555" s="50">
        <v>1</v>
      </c>
      <c r="K555" s="50">
        <v>3</v>
      </c>
      <c r="L555" s="24" t="s">
        <v>1901</v>
      </c>
      <c r="M555" s="24"/>
      <c r="V555" t="s">
        <v>959</v>
      </c>
      <c r="W555" t="s">
        <v>989</v>
      </c>
      <c r="X555" t="s">
        <v>997</v>
      </c>
      <c r="Y555" t="s">
        <v>1000</v>
      </c>
      <c r="Z555">
        <v>1</v>
      </c>
      <c r="AA555">
        <v>-1</v>
      </c>
      <c r="AB555">
        <v>-1</v>
      </c>
      <c r="AC555">
        <v>-1</v>
      </c>
      <c r="AD555">
        <v>-1</v>
      </c>
      <c r="AE555">
        <v>-1</v>
      </c>
      <c r="AF555">
        <v>-1</v>
      </c>
      <c r="AG555">
        <v>-1</v>
      </c>
      <c r="AH555">
        <v>-1</v>
      </c>
      <c r="AI555">
        <v>-1</v>
      </c>
      <c r="AJ555" s="9">
        <f t="shared" si="170"/>
        <v>3</v>
      </c>
      <c r="AK555">
        <f t="shared" si="168"/>
        <v>0</v>
      </c>
      <c r="AL555" s="9">
        <v>0</v>
      </c>
    </row>
    <row r="556" spans="1:38" x14ac:dyDescent="0.35">
      <c r="A556" s="9">
        <v>1</v>
      </c>
      <c r="B556" s="50" t="s">
        <v>48</v>
      </c>
      <c r="C556" s="53">
        <v>43888</v>
      </c>
      <c r="D556" s="53">
        <v>43903</v>
      </c>
      <c r="E556" s="53">
        <v>43966</v>
      </c>
      <c r="F556" s="21">
        <f t="shared" si="169"/>
        <v>63</v>
      </c>
      <c r="G556" s="53">
        <v>43903</v>
      </c>
      <c r="H556" s="9">
        <v>2020</v>
      </c>
      <c r="I556" s="9">
        <v>1</v>
      </c>
      <c r="J556" s="50">
        <v>4</v>
      </c>
      <c r="K556" s="50">
        <v>20</v>
      </c>
      <c r="L556" s="24" t="s">
        <v>1902</v>
      </c>
      <c r="M556" s="24"/>
      <c r="V556" t="s">
        <v>959</v>
      </c>
      <c r="W556" t="s">
        <v>989</v>
      </c>
      <c r="X556" t="s">
        <v>997</v>
      </c>
      <c r="Y556" t="s">
        <v>1000</v>
      </c>
      <c r="Z556">
        <v>1</v>
      </c>
      <c r="AA556">
        <v>-1</v>
      </c>
      <c r="AB556">
        <v>-1</v>
      </c>
      <c r="AC556">
        <v>-1</v>
      </c>
      <c r="AD556">
        <v>-1</v>
      </c>
      <c r="AE556">
        <v>-1</v>
      </c>
      <c r="AF556">
        <v>-1</v>
      </c>
      <c r="AG556">
        <v>-1</v>
      </c>
      <c r="AH556">
        <v>-1</v>
      </c>
      <c r="AI556">
        <v>-1</v>
      </c>
      <c r="AJ556" s="9">
        <f t="shared" si="170"/>
        <v>20</v>
      </c>
      <c r="AK556">
        <f t="shared" si="168"/>
        <v>0</v>
      </c>
      <c r="AL556" s="9">
        <v>0</v>
      </c>
    </row>
    <row r="557" spans="1:38" x14ac:dyDescent="0.35">
      <c r="A557" s="9">
        <v>1</v>
      </c>
      <c r="B557" s="50" t="s">
        <v>48</v>
      </c>
      <c r="C557" s="53">
        <v>43888</v>
      </c>
      <c r="D557" s="53">
        <v>43903</v>
      </c>
      <c r="E557" s="53">
        <v>43966</v>
      </c>
      <c r="F557" s="21">
        <f t="shared" si="169"/>
        <v>63</v>
      </c>
      <c r="G557" s="53">
        <v>43903</v>
      </c>
      <c r="H557" s="9">
        <v>2020</v>
      </c>
      <c r="I557" s="9">
        <v>1</v>
      </c>
      <c r="J557" s="50">
        <v>1</v>
      </c>
      <c r="K557" s="50">
        <v>10</v>
      </c>
      <c r="L557" s="24" t="s">
        <v>1903</v>
      </c>
      <c r="M557" s="24"/>
      <c r="V557" t="s">
        <v>959</v>
      </c>
      <c r="W557" t="s">
        <v>989</v>
      </c>
      <c r="X557" t="s">
        <v>997</v>
      </c>
      <c r="Y557" t="s">
        <v>1000</v>
      </c>
      <c r="Z557">
        <v>1</v>
      </c>
      <c r="AA557">
        <v>-1</v>
      </c>
      <c r="AB557">
        <v>-1</v>
      </c>
      <c r="AC557">
        <v>-1</v>
      </c>
      <c r="AD557">
        <v>-1</v>
      </c>
      <c r="AE557">
        <v>-1</v>
      </c>
      <c r="AF557">
        <v>-1</v>
      </c>
      <c r="AG557">
        <v>-1</v>
      </c>
      <c r="AH557">
        <v>-1</v>
      </c>
      <c r="AI557">
        <v>-1</v>
      </c>
      <c r="AJ557" s="9">
        <f t="shared" si="170"/>
        <v>10</v>
      </c>
      <c r="AK557">
        <f t="shared" si="168"/>
        <v>0</v>
      </c>
      <c r="AL557" s="9">
        <v>0</v>
      </c>
    </row>
    <row r="558" spans="1:38" x14ac:dyDescent="0.35">
      <c r="A558" s="9">
        <v>1</v>
      </c>
      <c r="B558" s="50" t="s">
        <v>48</v>
      </c>
      <c r="C558" s="53">
        <v>43888</v>
      </c>
      <c r="D558" s="53">
        <v>43903</v>
      </c>
      <c r="E558" s="53">
        <v>43966</v>
      </c>
      <c r="F558" s="21">
        <f t="shared" si="169"/>
        <v>63</v>
      </c>
      <c r="G558" s="53">
        <v>43903</v>
      </c>
      <c r="H558" s="9">
        <v>2020</v>
      </c>
      <c r="I558" s="9">
        <v>1</v>
      </c>
      <c r="J558" s="50">
        <v>1</v>
      </c>
      <c r="K558" s="50">
        <v>6</v>
      </c>
      <c r="L558" s="24" t="s">
        <v>1396</v>
      </c>
      <c r="M558" s="24"/>
      <c r="V558" t="s">
        <v>959</v>
      </c>
      <c r="W558" t="s">
        <v>989</v>
      </c>
      <c r="X558" t="s">
        <v>997</v>
      </c>
      <c r="Y558" t="s">
        <v>1000</v>
      </c>
      <c r="Z558">
        <v>1</v>
      </c>
      <c r="AA558">
        <v>-1</v>
      </c>
      <c r="AB558">
        <v>-1</v>
      </c>
      <c r="AC558">
        <v>-1</v>
      </c>
      <c r="AD558">
        <v>-1</v>
      </c>
      <c r="AE558">
        <v>-1</v>
      </c>
      <c r="AF558">
        <v>-1</v>
      </c>
      <c r="AG558">
        <v>-1</v>
      </c>
      <c r="AH558">
        <v>-1</v>
      </c>
      <c r="AI558">
        <v>-1</v>
      </c>
      <c r="AJ558" s="9">
        <f t="shared" si="170"/>
        <v>6</v>
      </c>
      <c r="AK558">
        <f t="shared" si="168"/>
        <v>0</v>
      </c>
      <c r="AL558" s="9">
        <v>0</v>
      </c>
    </row>
    <row r="559" spans="1:38" x14ac:dyDescent="0.35">
      <c r="A559" s="9">
        <v>1</v>
      </c>
      <c r="B559" s="50" t="s">
        <v>48</v>
      </c>
      <c r="C559" s="53">
        <v>43888</v>
      </c>
      <c r="D559" s="53">
        <v>43903</v>
      </c>
      <c r="E559" s="53">
        <v>43966</v>
      </c>
      <c r="F559" s="21">
        <f t="shared" si="169"/>
        <v>63</v>
      </c>
      <c r="G559" s="53">
        <v>43903</v>
      </c>
      <c r="H559" s="9">
        <v>2020</v>
      </c>
      <c r="I559" s="9">
        <v>1</v>
      </c>
      <c r="J559" s="50">
        <v>1</v>
      </c>
      <c r="K559" s="50">
        <v>6</v>
      </c>
      <c r="L559" s="24" t="s">
        <v>1397</v>
      </c>
      <c r="M559" s="24"/>
      <c r="V559" t="s">
        <v>959</v>
      </c>
      <c r="W559" t="s">
        <v>989</v>
      </c>
      <c r="X559" t="s">
        <v>997</v>
      </c>
      <c r="Y559" t="s">
        <v>1000</v>
      </c>
      <c r="Z559">
        <v>1</v>
      </c>
      <c r="AA559">
        <v>-1</v>
      </c>
      <c r="AB559">
        <v>-1</v>
      </c>
      <c r="AC559">
        <v>-1</v>
      </c>
      <c r="AD559">
        <v>-1</v>
      </c>
      <c r="AE559">
        <v>-1</v>
      </c>
      <c r="AF559">
        <v>-1</v>
      </c>
      <c r="AG559">
        <v>-1</v>
      </c>
      <c r="AH559">
        <v>-1</v>
      </c>
      <c r="AI559">
        <v>-1</v>
      </c>
      <c r="AJ559" s="9">
        <f t="shared" si="170"/>
        <v>6</v>
      </c>
      <c r="AK559">
        <f t="shared" si="168"/>
        <v>0</v>
      </c>
      <c r="AL559" s="9">
        <v>0</v>
      </c>
    </row>
    <row r="560" spans="1:38" x14ac:dyDescent="0.35">
      <c r="A560" s="9">
        <v>1</v>
      </c>
      <c r="B560" s="50" t="s">
        <v>48</v>
      </c>
      <c r="C560" s="53">
        <v>43888</v>
      </c>
      <c r="D560" s="53">
        <v>43903</v>
      </c>
      <c r="E560" s="53">
        <v>43966</v>
      </c>
      <c r="F560" s="21">
        <f t="shared" si="169"/>
        <v>63</v>
      </c>
      <c r="G560" s="53">
        <v>43903</v>
      </c>
      <c r="H560" s="9">
        <v>2020</v>
      </c>
      <c r="I560" s="9">
        <v>1</v>
      </c>
      <c r="J560" s="50">
        <v>1</v>
      </c>
      <c r="K560" s="50">
        <v>10</v>
      </c>
      <c r="L560" s="24" t="s">
        <v>1398</v>
      </c>
      <c r="M560" s="24"/>
      <c r="V560" t="s">
        <v>959</v>
      </c>
      <c r="W560" t="s">
        <v>989</v>
      </c>
      <c r="X560" t="s">
        <v>997</v>
      </c>
      <c r="Y560" t="s">
        <v>1000</v>
      </c>
      <c r="Z560">
        <v>1</v>
      </c>
      <c r="AA560">
        <v>-1</v>
      </c>
      <c r="AB560">
        <v>-1</v>
      </c>
      <c r="AC560">
        <v>-1</v>
      </c>
      <c r="AD560">
        <v>-1</v>
      </c>
      <c r="AE560">
        <v>-1</v>
      </c>
      <c r="AF560">
        <v>-1</v>
      </c>
      <c r="AG560">
        <v>-1</v>
      </c>
      <c r="AH560">
        <v>-1</v>
      </c>
      <c r="AI560">
        <v>-1</v>
      </c>
      <c r="AJ560" s="9">
        <f t="shared" si="170"/>
        <v>10</v>
      </c>
      <c r="AK560">
        <f t="shared" si="168"/>
        <v>0</v>
      </c>
      <c r="AL560" s="9">
        <v>0</v>
      </c>
    </row>
    <row r="561" spans="1:38" x14ac:dyDescent="0.35">
      <c r="A561" s="9">
        <v>1</v>
      </c>
      <c r="B561" s="50" t="s">
        <v>48</v>
      </c>
      <c r="C561" s="53">
        <v>43888</v>
      </c>
      <c r="D561" s="53">
        <v>43903</v>
      </c>
      <c r="E561" s="53">
        <v>43966</v>
      </c>
      <c r="F561" s="21">
        <f t="shared" si="169"/>
        <v>63</v>
      </c>
      <c r="G561" s="53">
        <v>43903</v>
      </c>
      <c r="H561" s="9">
        <v>2020</v>
      </c>
      <c r="I561" s="9">
        <v>1</v>
      </c>
      <c r="J561" s="50">
        <v>3</v>
      </c>
      <c r="K561" s="50">
        <v>19</v>
      </c>
      <c r="L561" s="24" t="s">
        <v>1399</v>
      </c>
      <c r="M561" s="24"/>
      <c r="V561" t="s">
        <v>959</v>
      </c>
      <c r="W561" t="s">
        <v>989</v>
      </c>
      <c r="X561" t="s">
        <v>997</v>
      </c>
      <c r="Y561" t="s">
        <v>1000</v>
      </c>
      <c r="Z561">
        <v>1</v>
      </c>
      <c r="AA561">
        <v>-1</v>
      </c>
      <c r="AB561">
        <v>-1</v>
      </c>
      <c r="AC561">
        <v>-1</v>
      </c>
      <c r="AD561">
        <v>-1</v>
      </c>
      <c r="AE561">
        <v>-1</v>
      </c>
      <c r="AF561">
        <v>-1</v>
      </c>
      <c r="AG561">
        <v>-1</v>
      </c>
      <c r="AH561">
        <v>-1</v>
      </c>
      <c r="AI561">
        <v>-1</v>
      </c>
      <c r="AJ561" s="9">
        <f t="shared" si="170"/>
        <v>19</v>
      </c>
      <c r="AK561">
        <f t="shared" si="168"/>
        <v>0</v>
      </c>
      <c r="AL561" s="9">
        <v>0</v>
      </c>
    </row>
    <row r="562" spans="1:38" x14ac:dyDescent="0.35">
      <c r="A562" s="9">
        <v>1</v>
      </c>
      <c r="B562" s="50" t="s">
        <v>48</v>
      </c>
      <c r="C562" s="53">
        <v>43888</v>
      </c>
      <c r="D562" s="53">
        <v>43903</v>
      </c>
      <c r="E562" s="53">
        <v>43966</v>
      </c>
      <c r="F562" s="21">
        <f t="shared" si="169"/>
        <v>63</v>
      </c>
      <c r="G562" s="53">
        <v>43903</v>
      </c>
      <c r="H562" s="9">
        <v>2020</v>
      </c>
      <c r="I562" s="9">
        <v>1</v>
      </c>
      <c r="J562" s="50">
        <v>2</v>
      </c>
      <c r="K562" s="50">
        <v>17</v>
      </c>
      <c r="L562" s="24" t="s">
        <v>1400</v>
      </c>
      <c r="M562" s="24"/>
      <c r="V562" t="s">
        <v>959</v>
      </c>
      <c r="W562" t="s">
        <v>989</v>
      </c>
      <c r="X562" t="s">
        <v>997</v>
      </c>
      <c r="Y562" t="s">
        <v>1000</v>
      </c>
      <c r="Z562">
        <v>1</v>
      </c>
      <c r="AA562">
        <v>-1</v>
      </c>
      <c r="AB562">
        <v>-1</v>
      </c>
      <c r="AC562">
        <v>-1</v>
      </c>
      <c r="AD562">
        <v>-1</v>
      </c>
      <c r="AE562">
        <v>-1</v>
      </c>
      <c r="AF562">
        <v>-1</v>
      </c>
      <c r="AG562">
        <v>-1</v>
      </c>
      <c r="AH562">
        <v>-1</v>
      </c>
      <c r="AI562">
        <v>-1</v>
      </c>
      <c r="AJ562" s="9">
        <f t="shared" si="170"/>
        <v>17</v>
      </c>
      <c r="AK562">
        <f t="shared" si="168"/>
        <v>0</v>
      </c>
      <c r="AL562" s="9">
        <v>0</v>
      </c>
    </row>
    <row r="563" spans="1:38" x14ac:dyDescent="0.35">
      <c r="A563" s="9">
        <v>1</v>
      </c>
      <c r="B563" s="50" t="s">
        <v>48</v>
      </c>
      <c r="C563" s="53">
        <v>43888</v>
      </c>
      <c r="D563" s="53">
        <v>43903</v>
      </c>
      <c r="E563" s="53">
        <v>43966</v>
      </c>
      <c r="F563" s="21">
        <f t="shared" si="169"/>
        <v>63</v>
      </c>
      <c r="G563" s="53">
        <v>43903</v>
      </c>
      <c r="H563" s="9">
        <v>2020</v>
      </c>
      <c r="I563" s="9">
        <v>1</v>
      </c>
      <c r="J563" s="50">
        <v>1</v>
      </c>
      <c r="K563" s="50">
        <v>6</v>
      </c>
      <c r="L563" s="24" t="s">
        <v>1401</v>
      </c>
      <c r="M563" s="24"/>
      <c r="V563" t="s">
        <v>959</v>
      </c>
      <c r="W563" t="s">
        <v>989</v>
      </c>
      <c r="X563" t="s">
        <v>997</v>
      </c>
      <c r="Y563" t="s">
        <v>1000</v>
      </c>
      <c r="Z563">
        <v>1</v>
      </c>
      <c r="AA563">
        <v>-1</v>
      </c>
      <c r="AB563">
        <v>-1</v>
      </c>
      <c r="AC563">
        <v>-1</v>
      </c>
      <c r="AD563">
        <v>-1</v>
      </c>
      <c r="AE563">
        <v>-1</v>
      </c>
      <c r="AF563">
        <v>-1</v>
      </c>
      <c r="AG563">
        <v>-1</v>
      </c>
      <c r="AH563">
        <v>-1</v>
      </c>
      <c r="AI563">
        <v>-1</v>
      </c>
      <c r="AJ563" s="9">
        <f t="shared" si="170"/>
        <v>6</v>
      </c>
      <c r="AK563">
        <f t="shared" si="168"/>
        <v>0</v>
      </c>
      <c r="AL563" s="9">
        <v>0</v>
      </c>
    </row>
    <row r="564" spans="1:38" x14ac:dyDescent="0.35">
      <c r="A564" s="9">
        <v>1</v>
      </c>
      <c r="B564" s="50" t="s">
        <v>48</v>
      </c>
      <c r="C564" s="53">
        <v>43888</v>
      </c>
      <c r="D564" s="53">
        <v>43903</v>
      </c>
      <c r="E564" s="53">
        <v>43966</v>
      </c>
      <c r="F564" s="21">
        <f t="shared" si="169"/>
        <v>63</v>
      </c>
      <c r="G564" s="53">
        <v>43903</v>
      </c>
      <c r="H564" s="9">
        <v>2020</v>
      </c>
      <c r="I564" s="9">
        <v>1</v>
      </c>
      <c r="J564" s="50">
        <v>1</v>
      </c>
      <c r="K564" s="50" t="s">
        <v>201</v>
      </c>
      <c r="L564" s="24" t="s">
        <v>1402</v>
      </c>
      <c r="M564" s="24"/>
      <c r="V564" t="s">
        <v>959</v>
      </c>
      <c r="W564" t="s">
        <v>989</v>
      </c>
      <c r="X564" t="s">
        <v>997</v>
      </c>
      <c r="Y564" t="s">
        <v>1000</v>
      </c>
      <c r="Z564">
        <v>1</v>
      </c>
      <c r="AA564">
        <v>-1</v>
      </c>
      <c r="AB564">
        <v>-1</v>
      </c>
      <c r="AC564">
        <v>-1</v>
      </c>
      <c r="AD564">
        <v>-1</v>
      </c>
      <c r="AE564">
        <v>-1</v>
      </c>
      <c r="AF564">
        <v>-1</v>
      </c>
      <c r="AG564">
        <v>-1</v>
      </c>
      <c r="AH564">
        <v>-1</v>
      </c>
      <c r="AI564">
        <v>-1</v>
      </c>
      <c r="AJ564" s="9" t="str">
        <f t="shared" si="170"/>
        <v>Other</v>
      </c>
      <c r="AK564">
        <f t="shared" si="168"/>
        <v>0</v>
      </c>
      <c r="AL564" s="9">
        <v>0</v>
      </c>
    </row>
    <row r="565" spans="1:38" x14ac:dyDescent="0.35">
      <c r="A565" s="9">
        <v>1</v>
      </c>
      <c r="B565" s="50" t="s">
        <v>48</v>
      </c>
      <c r="C565" s="53">
        <v>43888</v>
      </c>
      <c r="D565" s="53">
        <v>43903</v>
      </c>
      <c r="E565" s="53">
        <v>43966</v>
      </c>
      <c r="F565" s="21">
        <f t="shared" si="169"/>
        <v>63</v>
      </c>
      <c r="G565" s="53">
        <v>43903</v>
      </c>
      <c r="H565" s="9">
        <v>2020</v>
      </c>
      <c r="I565" s="9">
        <v>1</v>
      </c>
      <c r="J565" s="50">
        <v>1</v>
      </c>
      <c r="K565" s="50">
        <v>1</v>
      </c>
      <c r="L565" s="24" t="s">
        <v>1403</v>
      </c>
      <c r="M565" s="24"/>
      <c r="V565" t="s">
        <v>959</v>
      </c>
      <c r="W565" t="s">
        <v>989</v>
      </c>
      <c r="X565" t="s">
        <v>997</v>
      </c>
      <c r="Y565" t="s">
        <v>1000</v>
      </c>
      <c r="Z565">
        <v>1</v>
      </c>
      <c r="AA565">
        <v>-1</v>
      </c>
      <c r="AB565">
        <v>-1</v>
      </c>
      <c r="AC565">
        <v>-1</v>
      </c>
      <c r="AD565">
        <v>-1</v>
      </c>
      <c r="AE565">
        <v>-1</v>
      </c>
      <c r="AF565">
        <v>-1</v>
      </c>
      <c r="AG565">
        <v>-1</v>
      </c>
      <c r="AH565">
        <v>-1</v>
      </c>
      <c r="AI565">
        <v>-1</v>
      </c>
      <c r="AJ565" s="9">
        <f t="shared" si="170"/>
        <v>1</v>
      </c>
      <c r="AK565">
        <f t="shared" si="168"/>
        <v>0</v>
      </c>
      <c r="AL565" s="9">
        <v>0</v>
      </c>
    </row>
    <row r="566" spans="1:38" x14ac:dyDescent="0.35">
      <c r="A566" s="9">
        <v>1</v>
      </c>
      <c r="B566" s="50" t="s">
        <v>48</v>
      </c>
      <c r="C566" s="53">
        <v>43888</v>
      </c>
      <c r="D566" s="53">
        <v>43903</v>
      </c>
      <c r="E566" s="53">
        <v>43966</v>
      </c>
      <c r="F566" s="21">
        <f t="shared" si="169"/>
        <v>63</v>
      </c>
      <c r="G566" s="53">
        <v>43903</v>
      </c>
      <c r="H566" s="9">
        <v>2020</v>
      </c>
      <c r="I566" s="9">
        <v>1</v>
      </c>
      <c r="J566" s="50">
        <v>4</v>
      </c>
      <c r="K566" s="50" t="s">
        <v>201</v>
      </c>
      <c r="L566" s="24" t="s">
        <v>1404</v>
      </c>
      <c r="M566" s="24"/>
      <c r="V566" t="s">
        <v>959</v>
      </c>
      <c r="W566" t="s">
        <v>989</v>
      </c>
      <c r="X566" t="s">
        <v>997</v>
      </c>
      <c r="Y566" t="s">
        <v>1000</v>
      </c>
      <c r="Z566">
        <v>1</v>
      </c>
      <c r="AA566">
        <v>-1</v>
      </c>
      <c r="AB566">
        <v>-1</v>
      </c>
      <c r="AC566">
        <v>-1</v>
      </c>
      <c r="AD566">
        <v>-1</v>
      </c>
      <c r="AE566">
        <v>-1</v>
      </c>
      <c r="AF566">
        <v>-1</v>
      </c>
      <c r="AG566">
        <v>-1</v>
      </c>
      <c r="AH566">
        <v>-1</v>
      </c>
      <c r="AI566">
        <v>-1</v>
      </c>
      <c r="AJ566" s="9" t="str">
        <f t="shared" si="170"/>
        <v>Other</v>
      </c>
      <c r="AK566">
        <f t="shared" si="168"/>
        <v>0</v>
      </c>
      <c r="AL566" s="9">
        <v>0</v>
      </c>
    </row>
    <row r="567" spans="1:38" x14ac:dyDescent="0.35">
      <c r="A567" s="9">
        <v>1</v>
      </c>
      <c r="B567" s="50" t="s">
        <v>48</v>
      </c>
      <c r="C567" s="53">
        <v>43888</v>
      </c>
      <c r="D567" s="53">
        <v>43903</v>
      </c>
      <c r="E567" s="53">
        <v>43966</v>
      </c>
      <c r="F567" s="21">
        <f t="shared" si="169"/>
        <v>63</v>
      </c>
      <c r="G567" s="53">
        <v>43903</v>
      </c>
      <c r="H567" s="9">
        <v>2021</v>
      </c>
      <c r="I567" s="9">
        <v>1</v>
      </c>
      <c r="J567" s="50">
        <v>5</v>
      </c>
      <c r="K567" s="50">
        <v>23</v>
      </c>
      <c r="L567" s="24" t="s">
        <v>1405</v>
      </c>
      <c r="M567" s="24"/>
      <c r="V567" t="s">
        <v>959</v>
      </c>
      <c r="W567" t="s">
        <v>989</v>
      </c>
      <c r="X567" t="s">
        <v>997</v>
      </c>
      <c r="Y567" t="s">
        <v>1000</v>
      </c>
      <c r="Z567">
        <v>1</v>
      </c>
      <c r="AA567">
        <v>-1</v>
      </c>
      <c r="AB567">
        <v>-1</v>
      </c>
      <c r="AC567">
        <v>-1</v>
      </c>
      <c r="AD567">
        <v>-1</v>
      </c>
      <c r="AE567">
        <v>-1</v>
      </c>
      <c r="AF567">
        <v>-1</v>
      </c>
      <c r="AG567">
        <v>-1</v>
      </c>
      <c r="AH567">
        <v>-1</v>
      </c>
      <c r="AI567">
        <v>-1</v>
      </c>
      <c r="AJ567" s="9">
        <f t="shared" si="170"/>
        <v>23</v>
      </c>
      <c r="AK567">
        <f t="shared" si="168"/>
        <v>0</v>
      </c>
      <c r="AL567" s="9">
        <v>1</v>
      </c>
    </row>
    <row r="568" spans="1:38" s="47" customFormat="1" x14ac:dyDescent="0.35">
      <c r="A568" s="9">
        <v>1</v>
      </c>
      <c r="B568" s="50" t="s">
        <v>48</v>
      </c>
      <c r="C568" s="53">
        <v>43888</v>
      </c>
      <c r="D568" s="53">
        <v>43903</v>
      </c>
      <c r="E568" s="53">
        <v>43966</v>
      </c>
      <c r="F568" s="21">
        <f t="shared" si="169"/>
        <v>63</v>
      </c>
      <c r="G568" s="53">
        <v>43903</v>
      </c>
      <c r="H568" s="9">
        <v>2021</v>
      </c>
      <c r="I568" s="9">
        <v>1</v>
      </c>
      <c r="J568" s="50">
        <v>6</v>
      </c>
      <c r="K568" s="50">
        <v>28</v>
      </c>
      <c r="L568" s="48" t="s">
        <v>1708</v>
      </c>
      <c r="M568" s="48"/>
      <c r="V568" t="s">
        <v>959</v>
      </c>
      <c r="AB568">
        <v>-1</v>
      </c>
      <c r="AJ568" s="47">
        <f t="shared" si="170"/>
        <v>28</v>
      </c>
    </row>
    <row r="569" spans="1:38" s="47" customFormat="1" x14ac:dyDescent="0.35">
      <c r="A569" s="9">
        <v>1</v>
      </c>
      <c r="B569" s="50" t="s">
        <v>48</v>
      </c>
      <c r="C569" s="53">
        <v>43888</v>
      </c>
      <c r="D569" s="53">
        <v>43903</v>
      </c>
      <c r="E569" s="53">
        <v>43966</v>
      </c>
      <c r="F569" s="21">
        <f t="shared" si="169"/>
        <v>63</v>
      </c>
      <c r="G569" s="53">
        <v>43903</v>
      </c>
      <c r="H569" s="9">
        <v>2021</v>
      </c>
      <c r="I569" s="9">
        <v>1</v>
      </c>
      <c r="J569" s="50">
        <v>5</v>
      </c>
      <c r="K569" s="50">
        <v>21</v>
      </c>
      <c r="L569" s="48" t="s">
        <v>1709</v>
      </c>
      <c r="M569" s="48"/>
      <c r="V569" t="s">
        <v>959</v>
      </c>
      <c r="AB569">
        <v>-1</v>
      </c>
      <c r="AJ569" s="47">
        <f t="shared" si="170"/>
        <v>21</v>
      </c>
    </row>
    <row r="570" spans="1:38" s="47" customFormat="1" x14ac:dyDescent="0.35">
      <c r="A570" s="9">
        <v>1</v>
      </c>
      <c r="B570" s="50" t="s">
        <v>48</v>
      </c>
      <c r="C570" s="53">
        <v>43888</v>
      </c>
      <c r="D570" s="53">
        <v>43903</v>
      </c>
      <c r="E570" s="53">
        <v>43966</v>
      </c>
      <c r="F570" s="21">
        <f t="shared" si="169"/>
        <v>63</v>
      </c>
      <c r="G570" s="53">
        <v>43903</v>
      </c>
      <c r="H570" s="9">
        <v>2021</v>
      </c>
      <c r="I570" s="9">
        <v>1</v>
      </c>
      <c r="J570" s="50">
        <v>5</v>
      </c>
      <c r="K570" s="50">
        <v>21</v>
      </c>
      <c r="L570" s="49" t="s">
        <v>1710</v>
      </c>
      <c r="M570" s="48"/>
      <c r="V570" t="s">
        <v>959</v>
      </c>
      <c r="AB570">
        <v>-1</v>
      </c>
    </row>
    <row r="571" spans="1:38" s="47" customFormat="1" x14ac:dyDescent="0.35">
      <c r="A571" s="9">
        <v>1</v>
      </c>
      <c r="B571" s="50" t="s">
        <v>48</v>
      </c>
      <c r="C571" s="53">
        <v>43888</v>
      </c>
      <c r="D571" s="53">
        <v>43903</v>
      </c>
      <c r="E571" s="53">
        <v>43966</v>
      </c>
      <c r="F571" s="21">
        <f t="shared" si="169"/>
        <v>63</v>
      </c>
      <c r="G571" s="53">
        <v>43903</v>
      </c>
      <c r="H571" s="9">
        <v>2021</v>
      </c>
      <c r="I571" s="9">
        <v>1</v>
      </c>
      <c r="J571" s="50">
        <v>5</v>
      </c>
      <c r="K571" s="50">
        <v>24</v>
      </c>
      <c r="L571" s="48" t="s">
        <v>1711</v>
      </c>
      <c r="M571" s="48"/>
      <c r="V571" t="s">
        <v>959</v>
      </c>
      <c r="AB571">
        <v>-1</v>
      </c>
    </row>
    <row r="572" spans="1:38" s="47" customFormat="1" x14ac:dyDescent="0.35">
      <c r="A572" s="9">
        <v>1</v>
      </c>
      <c r="B572" s="50" t="s">
        <v>48</v>
      </c>
      <c r="C572" s="53">
        <v>43888</v>
      </c>
      <c r="D572" s="53">
        <v>43903</v>
      </c>
      <c r="E572" s="53">
        <v>43966</v>
      </c>
      <c r="F572" s="21">
        <f t="shared" si="169"/>
        <v>63</v>
      </c>
      <c r="G572" s="53">
        <v>43903</v>
      </c>
      <c r="H572" s="9">
        <v>2021</v>
      </c>
      <c r="I572" s="9">
        <v>1</v>
      </c>
      <c r="J572" s="50">
        <v>7</v>
      </c>
      <c r="K572" s="50">
        <v>30</v>
      </c>
      <c r="L572" s="48" t="s">
        <v>1891</v>
      </c>
      <c r="M572" s="48"/>
      <c r="V572" t="s">
        <v>959</v>
      </c>
      <c r="AB572">
        <v>-1</v>
      </c>
    </row>
    <row r="573" spans="1:38" s="47" customFormat="1" x14ac:dyDescent="0.35">
      <c r="A573" s="9">
        <v>1</v>
      </c>
      <c r="B573" s="50" t="s">
        <v>48</v>
      </c>
      <c r="C573" s="53">
        <v>43888</v>
      </c>
      <c r="D573" s="53">
        <v>43903</v>
      </c>
      <c r="E573" s="53">
        <v>43966</v>
      </c>
      <c r="F573" s="21">
        <f t="shared" si="169"/>
        <v>63</v>
      </c>
      <c r="G573" s="53">
        <v>43903</v>
      </c>
      <c r="H573" s="9">
        <v>2021</v>
      </c>
      <c r="I573" s="9">
        <v>1</v>
      </c>
      <c r="J573" s="50">
        <v>6</v>
      </c>
      <c r="K573" s="50">
        <v>29</v>
      </c>
      <c r="L573" s="48" t="s">
        <v>1729</v>
      </c>
      <c r="M573" s="48"/>
      <c r="V573" t="s">
        <v>959</v>
      </c>
      <c r="AB573">
        <v>-1</v>
      </c>
    </row>
    <row r="574" spans="1:38" s="47" customFormat="1" x14ac:dyDescent="0.35">
      <c r="A574" s="9">
        <v>1</v>
      </c>
      <c r="B574" s="50" t="s">
        <v>48</v>
      </c>
      <c r="C574" s="53">
        <v>43888</v>
      </c>
      <c r="D574" s="53">
        <v>43903</v>
      </c>
      <c r="E574" s="53">
        <v>43966</v>
      </c>
      <c r="F574" s="21">
        <f t="shared" si="169"/>
        <v>63</v>
      </c>
      <c r="G574" s="53">
        <v>43903</v>
      </c>
      <c r="H574" s="9">
        <v>2021</v>
      </c>
      <c r="I574" s="9">
        <v>1</v>
      </c>
      <c r="J574" s="50">
        <v>7</v>
      </c>
      <c r="K574" s="50">
        <v>30</v>
      </c>
      <c r="L574" s="48" t="s">
        <v>1925</v>
      </c>
      <c r="M574" s="48"/>
      <c r="V574" t="s">
        <v>959</v>
      </c>
      <c r="AB574">
        <v>-1</v>
      </c>
    </row>
    <row r="575" spans="1:38" s="47" customFormat="1" x14ac:dyDescent="0.35">
      <c r="A575" s="9">
        <v>1</v>
      </c>
      <c r="B575" s="50" t="s">
        <v>48</v>
      </c>
      <c r="C575" s="53">
        <v>43888</v>
      </c>
      <c r="D575" s="53">
        <v>43903</v>
      </c>
      <c r="E575" s="53">
        <v>43966</v>
      </c>
      <c r="F575" s="21">
        <f t="shared" ref="F575:F581" si="171">DATEDIF(D575,E575,"D")</f>
        <v>63</v>
      </c>
      <c r="G575" s="53">
        <v>43903</v>
      </c>
      <c r="H575" s="9">
        <v>2021</v>
      </c>
      <c r="I575" s="9">
        <v>1</v>
      </c>
      <c r="J575" s="50">
        <v>9</v>
      </c>
      <c r="K575" s="50">
        <v>34</v>
      </c>
      <c r="L575" s="48" t="s">
        <v>1926</v>
      </c>
      <c r="M575" s="48"/>
      <c r="V575"/>
      <c r="AB575"/>
    </row>
    <row r="576" spans="1:38" s="47" customFormat="1" x14ac:dyDescent="0.35">
      <c r="A576" s="9">
        <v>1</v>
      </c>
      <c r="B576" s="50" t="s">
        <v>48</v>
      </c>
      <c r="C576" s="53">
        <v>43888</v>
      </c>
      <c r="D576" s="53">
        <v>43903</v>
      </c>
      <c r="E576" s="53">
        <v>43966</v>
      </c>
      <c r="F576" s="21">
        <f t="shared" si="171"/>
        <v>63</v>
      </c>
      <c r="G576" s="53">
        <v>43903</v>
      </c>
      <c r="H576" s="9">
        <v>2021</v>
      </c>
      <c r="I576" s="9">
        <v>1</v>
      </c>
      <c r="J576" s="50">
        <v>9</v>
      </c>
      <c r="K576" s="50">
        <v>34</v>
      </c>
      <c r="L576" s="48" t="s">
        <v>1927</v>
      </c>
      <c r="M576" s="48"/>
      <c r="V576"/>
      <c r="AB576"/>
    </row>
    <row r="577" spans="1:38" s="47" customFormat="1" x14ac:dyDescent="0.35">
      <c r="A577" s="9">
        <v>1</v>
      </c>
      <c r="B577" s="50" t="s">
        <v>48</v>
      </c>
      <c r="C577" s="53">
        <v>43888</v>
      </c>
      <c r="D577" s="53">
        <v>43903</v>
      </c>
      <c r="E577" s="53">
        <v>43966</v>
      </c>
      <c r="F577" s="21">
        <f t="shared" si="171"/>
        <v>63</v>
      </c>
      <c r="G577" s="53">
        <v>43903</v>
      </c>
      <c r="H577" s="9">
        <v>2021</v>
      </c>
      <c r="I577" s="9">
        <v>1</v>
      </c>
      <c r="J577" s="50">
        <v>9</v>
      </c>
      <c r="K577" s="50">
        <v>34</v>
      </c>
      <c r="L577" s="48" t="s">
        <v>1928</v>
      </c>
      <c r="M577" s="48"/>
      <c r="V577"/>
      <c r="AB577"/>
    </row>
    <row r="578" spans="1:38" s="47" customFormat="1" x14ac:dyDescent="0.35">
      <c r="A578" s="9">
        <v>1</v>
      </c>
      <c r="B578" s="50" t="s">
        <v>48</v>
      </c>
      <c r="C578" s="53">
        <v>43888</v>
      </c>
      <c r="D578" s="53">
        <v>43903</v>
      </c>
      <c r="E578" s="53">
        <v>43966</v>
      </c>
      <c r="F578" s="21">
        <f t="shared" si="171"/>
        <v>63</v>
      </c>
      <c r="G578" s="53">
        <v>43903</v>
      </c>
      <c r="H578" s="9">
        <v>2021</v>
      </c>
      <c r="I578" s="9">
        <v>1</v>
      </c>
      <c r="J578" s="50">
        <v>9</v>
      </c>
      <c r="K578" s="50">
        <v>34</v>
      </c>
      <c r="L578" s="48" t="s">
        <v>1929</v>
      </c>
      <c r="M578" s="48"/>
      <c r="V578"/>
      <c r="AB578"/>
    </row>
    <row r="579" spans="1:38" s="47" customFormat="1" x14ac:dyDescent="0.35">
      <c r="A579" s="9">
        <v>1</v>
      </c>
      <c r="B579" s="50" t="s">
        <v>48</v>
      </c>
      <c r="C579" s="53">
        <v>43888</v>
      </c>
      <c r="D579" s="53">
        <v>43903</v>
      </c>
      <c r="E579" s="53">
        <v>43966</v>
      </c>
      <c r="F579" s="21">
        <f t="shared" si="171"/>
        <v>63</v>
      </c>
      <c r="G579" s="53">
        <v>43903</v>
      </c>
      <c r="H579" s="9">
        <v>2021</v>
      </c>
      <c r="I579" s="9">
        <v>1</v>
      </c>
      <c r="J579" s="50">
        <v>9</v>
      </c>
      <c r="K579" s="50">
        <v>34</v>
      </c>
      <c r="L579" s="48" t="s">
        <v>1930</v>
      </c>
      <c r="M579" s="48"/>
      <c r="V579"/>
      <c r="AB579"/>
    </row>
    <row r="580" spans="1:38" s="47" customFormat="1" x14ac:dyDescent="0.35">
      <c r="A580" s="9">
        <v>1</v>
      </c>
      <c r="B580" s="50" t="s">
        <v>48</v>
      </c>
      <c r="C580" s="53">
        <v>43888</v>
      </c>
      <c r="D580" s="53">
        <v>43903</v>
      </c>
      <c r="E580" s="53">
        <v>43966</v>
      </c>
      <c r="F580" s="21">
        <f t="shared" si="171"/>
        <v>63</v>
      </c>
      <c r="G580" s="53">
        <v>43903</v>
      </c>
      <c r="H580" s="9">
        <v>2021</v>
      </c>
      <c r="I580" s="9">
        <v>1</v>
      </c>
      <c r="J580" s="50">
        <v>9</v>
      </c>
      <c r="K580" s="50">
        <v>34</v>
      </c>
      <c r="L580" s="48" t="s">
        <v>1931</v>
      </c>
      <c r="M580" s="48"/>
      <c r="V580"/>
      <c r="AB580"/>
    </row>
    <row r="581" spans="1:38" s="47" customFormat="1" x14ac:dyDescent="0.35">
      <c r="A581" s="9">
        <v>1</v>
      </c>
      <c r="B581" s="50" t="s">
        <v>48</v>
      </c>
      <c r="C581" s="53">
        <v>43888</v>
      </c>
      <c r="D581" s="53">
        <v>43903</v>
      </c>
      <c r="E581" s="53">
        <v>43966</v>
      </c>
      <c r="F581" s="21">
        <f t="shared" si="171"/>
        <v>63</v>
      </c>
      <c r="G581" s="53">
        <v>43903</v>
      </c>
      <c r="H581" s="9">
        <v>2021</v>
      </c>
      <c r="I581" s="9">
        <v>1</v>
      </c>
      <c r="J581" s="50">
        <v>6</v>
      </c>
      <c r="K581" s="50">
        <v>28</v>
      </c>
      <c r="L581" s="48" t="s">
        <v>1932</v>
      </c>
      <c r="M581" s="48"/>
      <c r="V581"/>
      <c r="AB581"/>
    </row>
    <row r="582" spans="1:38" x14ac:dyDescent="0.35">
      <c r="A582" s="9">
        <v>1</v>
      </c>
      <c r="B582" s="9" t="s">
        <v>70</v>
      </c>
      <c r="C582" s="53">
        <v>43887</v>
      </c>
      <c r="D582" s="53">
        <v>43900</v>
      </c>
      <c r="E582" s="53">
        <v>43969</v>
      </c>
      <c r="F582" s="21">
        <f t="shared" si="169"/>
        <v>69</v>
      </c>
      <c r="G582" s="53">
        <v>43900</v>
      </c>
      <c r="H582" s="9">
        <v>2020</v>
      </c>
      <c r="I582" s="9">
        <v>1</v>
      </c>
      <c r="J582" s="9">
        <v>1</v>
      </c>
      <c r="K582" s="9">
        <v>7</v>
      </c>
      <c r="L582" s="50" t="s">
        <v>538</v>
      </c>
      <c r="M582">
        <v>2</v>
      </c>
      <c r="N582">
        <v>2</v>
      </c>
      <c r="O582">
        <v>-2</v>
      </c>
      <c r="P582">
        <v>-1</v>
      </c>
      <c r="Q582">
        <v>-2</v>
      </c>
      <c r="R582">
        <v>2</v>
      </c>
      <c r="S582">
        <v>-2</v>
      </c>
      <c r="T582">
        <v>-2</v>
      </c>
      <c r="U582">
        <v>1</v>
      </c>
      <c r="V582" t="s">
        <v>966</v>
      </c>
      <c r="W582" t="s">
        <v>989</v>
      </c>
      <c r="X582" t="s">
        <v>997</v>
      </c>
      <c r="Y582" t="s">
        <v>1000</v>
      </c>
      <c r="Z582">
        <v>1</v>
      </c>
      <c r="AA582">
        <f t="shared" ref="AA582:AA603" si="172">IF(M582&gt;0,1,IF(M582&lt;0,0,-1))</f>
        <v>1</v>
      </c>
      <c r="AB582">
        <f t="shared" ref="AB582:AB603" si="173">IF(N582&gt;0,1,IF(N582&lt;0,0,-1))</f>
        <v>1</v>
      </c>
      <c r="AC582">
        <f t="shared" ref="AC582:AC603" si="174">IF(O582&gt;0,1,IF(O582&lt;0,0,-1))</f>
        <v>0</v>
      </c>
      <c r="AD582">
        <f t="shared" ref="AD582:AD603" si="175">IF(P582&gt;0,1,IF(P582&lt;0,0,-1))</f>
        <v>0</v>
      </c>
      <c r="AE582">
        <f t="shared" ref="AE582:AE603" si="176">IF(Q582&gt;0,1,IF(Q582&lt;0,0,-1))</f>
        <v>0</v>
      </c>
      <c r="AF582">
        <f t="shared" ref="AF582:AF603" si="177">IF(R582&gt;0,1,IF(R582&lt;0,0,-1))</f>
        <v>1</v>
      </c>
      <c r="AG582">
        <f t="shared" ref="AG582:AG603" si="178">IF(S582&gt;0,1,IF(S582&lt;0,0,-1))</f>
        <v>0</v>
      </c>
      <c r="AH582">
        <f t="shared" ref="AH582:AH603" si="179">IF(T582&gt;0,1,IF(T582&lt;0,0,-1))</f>
        <v>0</v>
      </c>
      <c r="AI582">
        <f t="shared" ref="AI582:AI603" si="180">IF(U582&gt;0,1,IF(U582&lt;0,0,-1))</f>
        <v>1</v>
      </c>
      <c r="AJ582" s="9">
        <f t="shared" si="170"/>
        <v>7</v>
      </c>
      <c r="AK582" t="e">
        <f>IF(B582&lt;&gt;#REF!,1,0)</f>
        <v>#REF!</v>
      </c>
      <c r="AL582" s="9">
        <v>1</v>
      </c>
    </row>
    <row r="583" spans="1:38" x14ac:dyDescent="0.35">
      <c r="A583" s="9">
        <v>1</v>
      </c>
      <c r="B583" s="9" t="s">
        <v>70</v>
      </c>
      <c r="C583" s="53">
        <v>43887</v>
      </c>
      <c r="D583" s="53">
        <v>43900</v>
      </c>
      <c r="E583" s="53">
        <v>43969</v>
      </c>
      <c r="F583" s="21">
        <f t="shared" si="169"/>
        <v>69</v>
      </c>
      <c r="G583" s="53">
        <v>43900</v>
      </c>
      <c r="H583" s="9">
        <v>2020</v>
      </c>
      <c r="I583" s="9">
        <v>1</v>
      </c>
      <c r="J583" s="9">
        <v>3</v>
      </c>
      <c r="K583" s="9" t="s">
        <v>206</v>
      </c>
      <c r="L583" s="50" t="s">
        <v>528</v>
      </c>
      <c r="M583">
        <v>2</v>
      </c>
      <c r="N583">
        <v>2</v>
      </c>
      <c r="O583">
        <v>-2</v>
      </c>
      <c r="P583">
        <v>-1</v>
      </c>
      <c r="Q583">
        <v>-2</v>
      </c>
      <c r="R583">
        <v>-2</v>
      </c>
      <c r="S583">
        <v>-2</v>
      </c>
      <c r="U583">
        <v>1</v>
      </c>
      <c r="V583" t="s">
        <v>966</v>
      </c>
      <c r="W583" t="s">
        <v>989</v>
      </c>
      <c r="X583" t="s">
        <v>997</v>
      </c>
      <c r="Y583" t="s">
        <v>1000</v>
      </c>
      <c r="Z583">
        <v>1</v>
      </c>
      <c r="AA583">
        <f t="shared" si="172"/>
        <v>1</v>
      </c>
      <c r="AB583">
        <f t="shared" si="173"/>
        <v>1</v>
      </c>
      <c r="AC583">
        <f t="shared" si="174"/>
        <v>0</v>
      </c>
      <c r="AD583">
        <f t="shared" si="175"/>
        <v>0</v>
      </c>
      <c r="AE583">
        <f t="shared" si="176"/>
        <v>0</v>
      </c>
      <c r="AF583">
        <f t="shared" si="177"/>
        <v>0</v>
      </c>
      <c r="AG583">
        <f t="shared" si="178"/>
        <v>0</v>
      </c>
      <c r="AH583">
        <f t="shared" si="179"/>
        <v>-1</v>
      </c>
      <c r="AI583">
        <f t="shared" si="180"/>
        <v>1</v>
      </c>
      <c r="AJ583" s="9" t="str">
        <f t="shared" si="170"/>
        <v>Tax exemption/waiver/suspension</v>
      </c>
      <c r="AK583">
        <f t="shared" ref="AK583:AK616" si="181">IF(B583&lt;&gt;B582,1,0)</f>
        <v>0</v>
      </c>
      <c r="AL583" s="9">
        <v>1</v>
      </c>
    </row>
    <row r="584" spans="1:38" x14ac:dyDescent="0.35">
      <c r="A584" s="9">
        <v>1</v>
      </c>
      <c r="B584" s="9" t="s">
        <v>70</v>
      </c>
      <c r="C584" s="53">
        <v>43887</v>
      </c>
      <c r="D584" s="53">
        <v>43900</v>
      </c>
      <c r="E584" s="53">
        <v>43969</v>
      </c>
      <c r="F584" s="21">
        <f t="shared" si="169"/>
        <v>69</v>
      </c>
      <c r="G584" s="53">
        <v>43900</v>
      </c>
      <c r="H584" s="9">
        <v>2020</v>
      </c>
      <c r="I584" s="9">
        <v>1</v>
      </c>
      <c r="J584" s="9">
        <v>1</v>
      </c>
      <c r="K584" s="9" t="s">
        <v>206</v>
      </c>
      <c r="L584" s="50" t="s">
        <v>535</v>
      </c>
      <c r="M584">
        <v>2</v>
      </c>
      <c r="N584">
        <v>2</v>
      </c>
      <c r="O584">
        <v>-2</v>
      </c>
      <c r="P584">
        <v>-1</v>
      </c>
      <c r="Q584">
        <v>-2</v>
      </c>
      <c r="R584">
        <v>2</v>
      </c>
      <c r="S584">
        <v>-2</v>
      </c>
      <c r="T584">
        <v>-2</v>
      </c>
      <c r="U584">
        <v>1</v>
      </c>
      <c r="V584" t="s">
        <v>966</v>
      </c>
      <c r="W584" t="s">
        <v>989</v>
      </c>
      <c r="X584" t="s">
        <v>997</v>
      </c>
      <c r="Y584" t="s">
        <v>1000</v>
      </c>
      <c r="Z584">
        <v>1</v>
      </c>
      <c r="AA584">
        <f t="shared" si="172"/>
        <v>1</v>
      </c>
      <c r="AB584">
        <f t="shared" si="173"/>
        <v>1</v>
      </c>
      <c r="AC584">
        <f t="shared" si="174"/>
        <v>0</v>
      </c>
      <c r="AD584">
        <f t="shared" si="175"/>
        <v>0</v>
      </c>
      <c r="AE584">
        <f t="shared" si="176"/>
        <v>0</v>
      </c>
      <c r="AF584">
        <f t="shared" si="177"/>
        <v>1</v>
      </c>
      <c r="AG584">
        <f t="shared" si="178"/>
        <v>0</v>
      </c>
      <c r="AH584">
        <f t="shared" si="179"/>
        <v>0</v>
      </c>
      <c r="AI584">
        <f t="shared" si="180"/>
        <v>1</v>
      </c>
      <c r="AJ584" s="9" t="str">
        <f t="shared" si="170"/>
        <v>Tax exemption/waiver/suspension</v>
      </c>
      <c r="AK584">
        <f t="shared" si="181"/>
        <v>0</v>
      </c>
      <c r="AL584" s="9">
        <v>1</v>
      </c>
    </row>
    <row r="585" spans="1:38" x14ac:dyDescent="0.35">
      <c r="A585" s="9">
        <v>1</v>
      </c>
      <c r="B585" s="9" t="s">
        <v>70</v>
      </c>
      <c r="C585" s="53">
        <v>43887</v>
      </c>
      <c r="D585" s="53">
        <v>43900</v>
      </c>
      <c r="E585" s="53">
        <v>43969</v>
      </c>
      <c r="F585" s="21">
        <f t="shared" si="169"/>
        <v>69</v>
      </c>
      <c r="G585" s="53">
        <v>43900</v>
      </c>
      <c r="H585" s="9">
        <v>2020</v>
      </c>
      <c r="I585" s="9">
        <v>1</v>
      </c>
      <c r="J585" s="9">
        <v>3</v>
      </c>
      <c r="K585" s="9">
        <v>19</v>
      </c>
      <c r="L585" s="50" t="s">
        <v>539</v>
      </c>
      <c r="M585">
        <v>2</v>
      </c>
      <c r="N585">
        <v>2</v>
      </c>
      <c r="O585">
        <v>-2</v>
      </c>
      <c r="P585">
        <v>-1</v>
      </c>
      <c r="Q585">
        <v>-2</v>
      </c>
      <c r="R585">
        <v>2</v>
      </c>
      <c r="S585">
        <v>2</v>
      </c>
      <c r="U585">
        <v>1</v>
      </c>
      <c r="V585" t="s">
        <v>966</v>
      </c>
      <c r="W585" t="s">
        <v>989</v>
      </c>
      <c r="X585" t="s">
        <v>997</v>
      </c>
      <c r="Y585" t="s">
        <v>1000</v>
      </c>
      <c r="Z585">
        <v>1</v>
      </c>
      <c r="AA585">
        <f t="shared" si="172"/>
        <v>1</v>
      </c>
      <c r="AB585">
        <f t="shared" si="173"/>
        <v>1</v>
      </c>
      <c r="AC585">
        <f t="shared" si="174"/>
        <v>0</v>
      </c>
      <c r="AD585">
        <f t="shared" si="175"/>
        <v>0</v>
      </c>
      <c r="AE585">
        <f t="shared" si="176"/>
        <v>0</v>
      </c>
      <c r="AF585">
        <f t="shared" si="177"/>
        <v>1</v>
      </c>
      <c r="AG585">
        <f t="shared" si="178"/>
        <v>1</v>
      </c>
      <c r="AH585">
        <f t="shared" si="179"/>
        <v>-1</v>
      </c>
      <c r="AI585">
        <f t="shared" si="180"/>
        <v>1</v>
      </c>
      <c r="AJ585" s="9">
        <f t="shared" si="170"/>
        <v>19</v>
      </c>
      <c r="AK585">
        <f t="shared" si="181"/>
        <v>0</v>
      </c>
      <c r="AL585" s="9">
        <v>1</v>
      </c>
    </row>
    <row r="586" spans="1:38" x14ac:dyDescent="0.35">
      <c r="A586" s="9">
        <v>1</v>
      </c>
      <c r="B586" s="9" t="s">
        <v>70</v>
      </c>
      <c r="C586" s="53">
        <v>43887</v>
      </c>
      <c r="D586" s="53">
        <v>43900</v>
      </c>
      <c r="E586" s="53">
        <v>43969</v>
      </c>
      <c r="F586" s="21">
        <f t="shared" si="169"/>
        <v>69</v>
      </c>
      <c r="G586" s="53">
        <v>43900</v>
      </c>
      <c r="H586" s="9">
        <v>2020</v>
      </c>
      <c r="I586" s="9">
        <v>1</v>
      </c>
      <c r="J586" s="9">
        <v>2</v>
      </c>
      <c r="K586" s="9">
        <v>17</v>
      </c>
      <c r="L586" s="50" t="s">
        <v>540</v>
      </c>
      <c r="M586">
        <v>-2</v>
      </c>
      <c r="N586">
        <v>2</v>
      </c>
      <c r="O586">
        <v>2</v>
      </c>
      <c r="P586">
        <v>2</v>
      </c>
      <c r="Q586">
        <v>2</v>
      </c>
      <c r="R586">
        <v>-2</v>
      </c>
      <c r="S586">
        <v>-2</v>
      </c>
      <c r="T586">
        <v>2</v>
      </c>
      <c r="U586">
        <v>1</v>
      </c>
      <c r="V586" t="s">
        <v>966</v>
      </c>
      <c r="W586" t="s">
        <v>989</v>
      </c>
      <c r="X586" t="s">
        <v>997</v>
      </c>
      <c r="Y586" t="s">
        <v>1000</v>
      </c>
      <c r="Z586">
        <v>1</v>
      </c>
      <c r="AA586">
        <f t="shared" si="172"/>
        <v>0</v>
      </c>
      <c r="AB586">
        <f t="shared" si="173"/>
        <v>1</v>
      </c>
      <c r="AC586">
        <f t="shared" si="174"/>
        <v>1</v>
      </c>
      <c r="AD586">
        <f t="shared" si="175"/>
        <v>1</v>
      </c>
      <c r="AE586">
        <f t="shared" si="176"/>
        <v>1</v>
      </c>
      <c r="AF586">
        <f t="shared" si="177"/>
        <v>0</v>
      </c>
      <c r="AG586">
        <f t="shared" si="178"/>
        <v>0</v>
      </c>
      <c r="AH586">
        <f t="shared" si="179"/>
        <v>1</v>
      </c>
      <c r="AI586">
        <f t="shared" si="180"/>
        <v>1</v>
      </c>
      <c r="AJ586" s="9">
        <f t="shared" si="170"/>
        <v>17</v>
      </c>
      <c r="AK586">
        <f t="shared" si="181"/>
        <v>0</v>
      </c>
      <c r="AL586" s="9">
        <v>1</v>
      </c>
    </row>
    <row r="587" spans="1:38" x14ac:dyDescent="0.35">
      <c r="A587" s="9">
        <v>1</v>
      </c>
      <c r="B587" s="9" t="s">
        <v>70</v>
      </c>
      <c r="C587" s="53">
        <v>43887</v>
      </c>
      <c r="D587" s="53">
        <v>43900</v>
      </c>
      <c r="E587" s="53">
        <v>43969</v>
      </c>
      <c r="F587" s="21">
        <f t="shared" si="169"/>
        <v>69</v>
      </c>
      <c r="G587" s="53">
        <v>43900</v>
      </c>
      <c r="H587" s="9">
        <v>2020</v>
      </c>
      <c r="I587" s="9">
        <v>1</v>
      </c>
      <c r="J587" s="9">
        <v>7</v>
      </c>
      <c r="K587" s="9">
        <v>31</v>
      </c>
      <c r="L587" s="50" t="s">
        <v>543</v>
      </c>
      <c r="M587">
        <v>1</v>
      </c>
      <c r="N587">
        <v>1</v>
      </c>
      <c r="O587">
        <v>2</v>
      </c>
      <c r="P587">
        <v>-1</v>
      </c>
      <c r="Q587">
        <v>2</v>
      </c>
      <c r="R587">
        <v>1</v>
      </c>
      <c r="S587">
        <v>1</v>
      </c>
      <c r="T587">
        <v>2</v>
      </c>
      <c r="U587">
        <v>1</v>
      </c>
      <c r="V587" t="s">
        <v>966</v>
      </c>
      <c r="W587" t="s">
        <v>989</v>
      </c>
      <c r="X587" t="s">
        <v>997</v>
      </c>
      <c r="Y587" t="s">
        <v>1000</v>
      </c>
      <c r="Z587">
        <v>1</v>
      </c>
      <c r="AA587">
        <f t="shared" si="172"/>
        <v>1</v>
      </c>
      <c r="AB587">
        <f t="shared" si="173"/>
        <v>1</v>
      </c>
      <c r="AC587">
        <f t="shared" si="174"/>
        <v>1</v>
      </c>
      <c r="AD587">
        <f t="shared" si="175"/>
        <v>0</v>
      </c>
      <c r="AE587">
        <f t="shared" si="176"/>
        <v>1</v>
      </c>
      <c r="AF587">
        <f t="shared" si="177"/>
        <v>1</v>
      </c>
      <c r="AG587">
        <f t="shared" si="178"/>
        <v>1</v>
      </c>
      <c r="AH587">
        <f t="shared" si="179"/>
        <v>1</v>
      </c>
      <c r="AI587">
        <f t="shared" si="180"/>
        <v>1</v>
      </c>
      <c r="AJ587" s="9">
        <f t="shared" si="170"/>
        <v>31</v>
      </c>
      <c r="AK587">
        <f t="shared" si="181"/>
        <v>0</v>
      </c>
      <c r="AL587" s="9">
        <v>1</v>
      </c>
    </row>
    <row r="588" spans="1:38" x14ac:dyDescent="0.35">
      <c r="A588" s="9">
        <v>1</v>
      </c>
      <c r="B588" s="9" t="s">
        <v>70</v>
      </c>
      <c r="C588" s="53">
        <v>43887</v>
      </c>
      <c r="D588" s="53">
        <v>43900</v>
      </c>
      <c r="E588" s="53">
        <v>43969</v>
      </c>
      <c r="F588" s="21">
        <f t="shared" si="169"/>
        <v>69</v>
      </c>
      <c r="G588" s="53">
        <v>43900</v>
      </c>
      <c r="H588" s="9">
        <v>2020</v>
      </c>
      <c r="I588" s="9">
        <v>1</v>
      </c>
      <c r="J588" s="9">
        <v>6</v>
      </c>
      <c r="K588" s="9">
        <v>28</v>
      </c>
      <c r="L588" s="50" t="s">
        <v>1941</v>
      </c>
      <c r="M588">
        <v>2</v>
      </c>
      <c r="N588">
        <v>1</v>
      </c>
      <c r="O588">
        <v>2</v>
      </c>
      <c r="P588">
        <v>-1</v>
      </c>
      <c r="Q588">
        <v>-2</v>
      </c>
      <c r="R588">
        <v>1</v>
      </c>
      <c r="S588">
        <v>1</v>
      </c>
      <c r="T588">
        <v>-2</v>
      </c>
      <c r="U588">
        <v>1</v>
      </c>
      <c r="V588" t="s">
        <v>966</v>
      </c>
      <c r="W588" t="s">
        <v>989</v>
      </c>
      <c r="X588" t="s">
        <v>997</v>
      </c>
      <c r="Y588" t="s">
        <v>1000</v>
      </c>
      <c r="Z588">
        <v>1</v>
      </c>
      <c r="AA588">
        <f t="shared" si="172"/>
        <v>1</v>
      </c>
      <c r="AB588">
        <f t="shared" si="173"/>
        <v>1</v>
      </c>
      <c r="AC588">
        <f t="shared" si="174"/>
        <v>1</v>
      </c>
      <c r="AD588">
        <f t="shared" si="175"/>
        <v>0</v>
      </c>
      <c r="AE588">
        <f t="shared" si="176"/>
        <v>0</v>
      </c>
      <c r="AF588">
        <f t="shared" si="177"/>
        <v>1</v>
      </c>
      <c r="AG588">
        <f t="shared" si="178"/>
        <v>1</v>
      </c>
      <c r="AH588">
        <f t="shared" si="179"/>
        <v>0</v>
      </c>
      <c r="AI588">
        <f t="shared" si="180"/>
        <v>1</v>
      </c>
      <c r="AJ588" s="9">
        <f t="shared" si="170"/>
        <v>28</v>
      </c>
      <c r="AK588">
        <f t="shared" si="181"/>
        <v>0</v>
      </c>
      <c r="AL588" s="9">
        <v>1</v>
      </c>
    </row>
    <row r="589" spans="1:38" x14ac:dyDescent="0.35">
      <c r="A589" s="9">
        <v>1</v>
      </c>
      <c r="B589" s="9" t="s">
        <v>70</v>
      </c>
      <c r="C589" s="53">
        <v>43887</v>
      </c>
      <c r="D589" s="53">
        <v>43900</v>
      </c>
      <c r="E589" s="53">
        <v>43969</v>
      </c>
      <c r="F589" s="21">
        <f t="shared" si="169"/>
        <v>69</v>
      </c>
      <c r="G589" s="53">
        <v>43900</v>
      </c>
      <c r="H589" s="9">
        <v>2020</v>
      </c>
      <c r="I589" s="9">
        <v>1</v>
      </c>
      <c r="J589" s="9">
        <v>9</v>
      </c>
      <c r="K589" s="9">
        <v>34</v>
      </c>
      <c r="L589" s="50" t="s">
        <v>527</v>
      </c>
      <c r="M589">
        <v>1</v>
      </c>
      <c r="N589">
        <v>1</v>
      </c>
      <c r="O589">
        <v>-2</v>
      </c>
      <c r="P589">
        <v>-1</v>
      </c>
      <c r="Q589">
        <v>-2</v>
      </c>
      <c r="R589">
        <v>-2</v>
      </c>
      <c r="S589">
        <v>1</v>
      </c>
      <c r="T589">
        <v>2</v>
      </c>
      <c r="U589">
        <v>1</v>
      </c>
      <c r="V589" t="s">
        <v>966</v>
      </c>
      <c r="W589" t="s">
        <v>989</v>
      </c>
      <c r="X589" t="s">
        <v>997</v>
      </c>
      <c r="Y589" t="s">
        <v>1000</v>
      </c>
      <c r="Z589">
        <v>1</v>
      </c>
      <c r="AA589">
        <f t="shared" si="172"/>
        <v>1</v>
      </c>
      <c r="AB589">
        <f t="shared" si="173"/>
        <v>1</v>
      </c>
      <c r="AC589">
        <f t="shared" si="174"/>
        <v>0</v>
      </c>
      <c r="AD589">
        <f t="shared" si="175"/>
        <v>0</v>
      </c>
      <c r="AE589">
        <f t="shared" si="176"/>
        <v>0</v>
      </c>
      <c r="AF589">
        <f t="shared" si="177"/>
        <v>0</v>
      </c>
      <c r="AG589">
        <f t="shared" si="178"/>
        <v>1</v>
      </c>
      <c r="AH589">
        <f t="shared" si="179"/>
        <v>1</v>
      </c>
      <c r="AI589">
        <f t="shared" si="180"/>
        <v>1</v>
      </c>
      <c r="AJ589" s="9">
        <f t="shared" si="170"/>
        <v>34</v>
      </c>
      <c r="AK589">
        <f t="shared" si="181"/>
        <v>0</v>
      </c>
      <c r="AL589" s="9">
        <v>1</v>
      </c>
    </row>
    <row r="590" spans="1:38" x14ac:dyDescent="0.35">
      <c r="A590" s="9">
        <v>1</v>
      </c>
      <c r="B590" s="9" t="s">
        <v>70</v>
      </c>
      <c r="C590" s="53">
        <v>43887</v>
      </c>
      <c r="D590" s="53">
        <v>43900</v>
      </c>
      <c r="E590" s="53">
        <v>43969</v>
      </c>
      <c r="F590" s="21">
        <f t="shared" si="169"/>
        <v>69</v>
      </c>
      <c r="G590" s="53">
        <v>43900</v>
      </c>
      <c r="H590" s="9">
        <v>2020</v>
      </c>
      <c r="I590" s="9">
        <v>1</v>
      </c>
      <c r="J590" s="9">
        <v>2</v>
      </c>
      <c r="K590" s="9">
        <v>14</v>
      </c>
      <c r="L590" s="50" t="s">
        <v>530</v>
      </c>
      <c r="M590">
        <v>-2</v>
      </c>
      <c r="N590">
        <v>2</v>
      </c>
      <c r="O590">
        <v>2</v>
      </c>
      <c r="P590">
        <v>2</v>
      </c>
      <c r="Q590">
        <v>2</v>
      </c>
      <c r="R590">
        <v>2</v>
      </c>
      <c r="S590">
        <v>1</v>
      </c>
      <c r="T590">
        <v>2</v>
      </c>
      <c r="U590">
        <v>1</v>
      </c>
      <c r="V590" t="s">
        <v>966</v>
      </c>
      <c r="W590" t="s">
        <v>989</v>
      </c>
      <c r="X590" t="s">
        <v>997</v>
      </c>
      <c r="Y590" t="s">
        <v>1000</v>
      </c>
      <c r="Z590">
        <v>1</v>
      </c>
      <c r="AA590">
        <f t="shared" si="172"/>
        <v>0</v>
      </c>
      <c r="AB590">
        <f t="shared" si="173"/>
        <v>1</v>
      </c>
      <c r="AC590">
        <f t="shared" si="174"/>
        <v>1</v>
      </c>
      <c r="AD590">
        <f t="shared" si="175"/>
        <v>1</v>
      </c>
      <c r="AE590">
        <f t="shared" si="176"/>
        <v>1</v>
      </c>
      <c r="AF590">
        <f t="shared" si="177"/>
        <v>1</v>
      </c>
      <c r="AG590">
        <f t="shared" si="178"/>
        <v>1</v>
      </c>
      <c r="AH590">
        <f t="shared" si="179"/>
        <v>1</v>
      </c>
      <c r="AI590">
        <f t="shared" si="180"/>
        <v>1</v>
      </c>
      <c r="AJ590" s="9">
        <f t="shared" si="170"/>
        <v>14</v>
      </c>
      <c r="AK590">
        <f t="shared" si="181"/>
        <v>0</v>
      </c>
      <c r="AL590" s="9">
        <v>1</v>
      </c>
    </row>
    <row r="591" spans="1:38" x14ac:dyDescent="0.35">
      <c r="A591" s="9">
        <v>1</v>
      </c>
      <c r="B591" s="9" t="s">
        <v>70</v>
      </c>
      <c r="C591" s="53">
        <v>43887</v>
      </c>
      <c r="D591" s="53">
        <v>43900</v>
      </c>
      <c r="E591" s="53">
        <v>43969</v>
      </c>
      <c r="F591" s="21">
        <f t="shared" si="169"/>
        <v>69</v>
      </c>
      <c r="G591" s="53">
        <v>43900</v>
      </c>
      <c r="H591" s="9">
        <v>2020</v>
      </c>
      <c r="I591" s="9">
        <v>1</v>
      </c>
      <c r="J591" s="9">
        <v>1</v>
      </c>
      <c r="K591" s="9">
        <v>11</v>
      </c>
      <c r="L591" s="50" t="s">
        <v>541</v>
      </c>
      <c r="M591">
        <v>2</v>
      </c>
      <c r="N591">
        <v>2</v>
      </c>
      <c r="O591">
        <v>-2</v>
      </c>
      <c r="P591">
        <v>-2</v>
      </c>
      <c r="Q591">
        <v>-2</v>
      </c>
      <c r="R591">
        <v>2</v>
      </c>
      <c r="S591">
        <v>1</v>
      </c>
      <c r="T591">
        <v>2</v>
      </c>
      <c r="U591">
        <v>1</v>
      </c>
      <c r="V591" t="s">
        <v>966</v>
      </c>
      <c r="W591" t="s">
        <v>989</v>
      </c>
      <c r="X591" t="s">
        <v>997</v>
      </c>
      <c r="Y591" t="s">
        <v>1000</v>
      </c>
      <c r="Z591">
        <v>1</v>
      </c>
      <c r="AA591">
        <f t="shared" si="172"/>
        <v>1</v>
      </c>
      <c r="AB591">
        <f t="shared" si="173"/>
        <v>1</v>
      </c>
      <c r="AC591">
        <f t="shared" si="174"/>
        <v>0</v>
      </c>
      <c r="AD591">
        <f t="shared" si="175"/>
        <v>0</v>
      </c>
      <c r="AE591">
        <f t="shared" si="176"/>
        <v>0</v>
      </c>
      <c r="AF591">
        <f t="shared" si="177"/>
        <v>1</v>
      </c>
      <c r="AG591">
        <f t="shared" si="178"/>
        <v>1</v>
      </c>
      <c r="AH591">
        <f t="shared" si="179"/>
        <v>1</v>
      </c>
      <c r="AI591">
        <f t="shared" si="180"/>
        <v>1</v>
      </c>
      <c r="AJ591" s="9">
        <f t="shared" si="170"/>
        <v>11</v>
      </c>
      <c r="AK591">
        <f t="shared" si="181"/>
        <v>0</v>
      </c>
      <c r="AL591" s="9">
        <v>1</v>
      </c>
    </row>
    <row r="592" spans="1:38" x14ac:dyDescent="0.35">
      <c r="A592" s="9">
        <v>1</v>
      </c>
      <c r="B592" s="9" t="s">
        <v>70</v>
      </c>
      <c r="C592" s="53">
        <v>43887</v>
      </c>
      <c r="D592" s="53">
        <v>43900</v>
      </c>
      <c r="E592" s="53">
        <v>43969</v>
      </c>
      <c r="F592" s="21">
        <f t="shared" si="169"/>
        <v>69</v>
      </c>
      <c r="G592" s="53">
        <v>43900</v>
      </c>
      <c r="H592" s="9">
        <v>2020</v>
      </c>
      <c r="I592" s="9">
        <v>1</v>
      </c>
      <c r="J592" s="9">
        <v>1</v>
      </c>
      <c r="K592" s="9">
        <v>9</v>
      </c>
      <c r="L592" s="50" t="s">
        <v>536</v>
      </c>
      <c r="M592">
        <v>-2</v>
      </c>
      <c r="N592">
        <v>2</v>
      </c>
      <c r="O592">
        <v>-2</v>
      </c>
      <c r="P592">
        <v>2</v>
      </c>
      <c r="Q592">
        <v>2</v>
      </c>
      <c r="S592">
        <v>-2</v>
      </c>
      <c r="T592">
        <v>2</v>
      </c>
      <c r="U592">
        <v>1</v>
      </c>
      <c r="V592" t="s">
        <v>966</v>
      </c>
      <c r="W592" t="s">
        <v>989</v>
      </c>
      <c r="X592" t="s">
        <v>997</v>
      </c>
      <c r="Y592" t="s">
        <v>1000</v>
      </c>
      <c r="Z592">
        <v>1</v>
      </c>
      <c r="AA592">
        <f t="shared" si="172"/>
        <v>0</v>
      </c>
      <c r="AB592">
        <f t="shared" si="173"/>
        <v>1</v>
      </c>
      <c r="AC592">
        <f t="shared" si="174"/>
        <v>0</v>
      </c>
      <c r="AD592">
        <f t="shared" si="175"/>
        <v>1</v>
      </c>
      <c r="AE592">
        <f t="shared" si="176"/>
        <v>1</v>
      </c>
      <c r="AF592">
        <f t="shared" si="177"/>
        <v>-1</v>
      </c>
      <c r="AG592">
        <f t="shared" si="178"/>
        <v>0</v>
      </c>
      <c r="AH592">
        <f t="shared" si="179"/>
        <v>1</v>
      </c>
      <c r="AI592">
        <f t="shared" si="180"/>
        <v>1</v>
      </c>
      <c r="AJ592" s="9">
        <f t="shared" si="170"/>
        <v>9</v>
      </c>
      <c r="AK592">
        <f t="shared" si="181"/>
        <v>0</v>
      </c>
      <c r="AL592" s="9">
        <v>1</v>
      </c>
    </row>
    <row r="593" spans="1:38" x14ac:dyDescent="0.35">
      <c r="A593" s="9">
        <v>1</v>
      </c>
      <c r="B593" s="9" t="s">
        <v>70</v>
      </c>
      <c r="C593" s="53">
        <v>43887</v>
      </c>
      <c r="D593" s="53">
        <v>43900</v>
      </c>
      <c r="E593" s="53">
        <v>43969</v>
      </c>
      <c r="F593" s="21">
        <f t="shared" si="169"/>
        <v>69</v>
      </c>
      <c r="G593" s="53">
        <v>43900</v>
      </c>
      <c r="H593" s="9">
        <v>2020</v>
      </c>
      <c r="I593" s="9">
        <v>1</v>
      </c>
      <c r="J593" s="9">
        <v>7</v>
      </c>
      <c r="K593" s="9">
        <v>30</v>
      </c>
      <c r="L593" s="50" t="s">
        <v>546</v>
      </c>
      <c r="M593">
        <v>1</v>
      </c>
      <c r="N593">
        <v>1</v>
      </c>
      <c r="O593">
        <v>2</v>
      </c>
      <c r="P593">
        <v>1</v>
      </c>
      <c r="Q593">
        <v>2</v>
      </c>
      <c r="R593">
        <v>1</v>
      </c>
      <c r="S593">
        <v>1</v>
      </c>
      <c r="T593">
        <v>2</v>
      </c>
      <c r="U593">
        <v>1</v>
      </c>
      <c r="V593" t="s">
        <v>966</v>
      </c>
      <c r="W593" t="s">
        <v>989</v>
      </c>
      <c r="X593" t="s">
        <v>997</v>
      </c>
      <c r="Y593" t="s">
        <v>1000</v>
      </c>
      <c r="Z593">
        <v>1</v>
      </c>
      <c r="AA593">
        <f t="shared" si="172"/>
        <v>1</v>
      </c>
      <c r="AB593">
        <f t="shared" si="173"/>
        <v>1</v>
      </c>
      <c r="AC593">
        <f t="shared" si="174"/>
        <v>1</v>
      </c>
      <c r="AD593">
        <f t="shared" si="175"/>
        <v>1</v>
      </c>
      <c r="AE593">
        <f t="shared" si="176"/>
        <v>1</v>
      </c>
      <c r="AF593">
        <f t="shared" si="177"/>
        <v>1</v>
      </c>
      <c r="AG593">
        <f t="shared" si="178"/>
        <v>1</v>
      </c>
      <c r="AH593">
        <f t="shared" si="179"/>
        <v>1</v>
      </c>
      <c r="AI593">
        <f t="shared" si="180"/>
        <v>1</v>
      </c>
      <c r="AJ593" s="9">
        <f t="shared" si="170"/>
        <v>30</v>
      </c>
      <c r="AK593">
        <f t="shared" si="181"/>
        <v>0</v>
      </c>
      <c r="AL593" s="9">
        <v>1</v>
      </c>
    </row>
    <row r="594" spans="1:38" x14ac:dyDescent="0.35">
      <c r="A594" s="9">
        <v>1</v>
      </c>
      <c r="B594" s="9" t="s">
        <v>70</v>
      </c>
      <c r="C594" s="53">
        <v>43887</v>
      </c>
      <c r="D594" s="53">
        <v>43900</v>
      </c>
      <c r="E594" s="53">
        <v>43969</v>
      </c>
      <c r="F594" s="21">
        <f t="shared" si="169"/>
        <v>69</v>
      </c>
      <c r="G594" s="53">
        <v>43900</v>
      </c>
      <c r="H594" s="9">
        <v>2020</v>
      </c>
      <c r="I594" s="9">
        <v>1</v>
      </c>
      <c r="J594" s="9">
        <v>1</v>
      </c>
      <c r="K594" s="9">
        <v>7</v>
      </c>
      <c r="L594" s="50" t="s">
        <v>533</v>
      </c>
      <c r="M594">
        <v>-2</v>
      </c>
      <c r="N594">
        <v>2</v>
      </c>
      <c r="O594">
        <v>-2</v>
      </c>
      <c r="P594">
        <v>-1</v>
      </c>
      <c r="Q594">
        <v>-2</v>
      </c>
      <c r="R594">
        <v>2</v>
      </c>
      <c r="S594">
        <v>-2</v>
      </c>
      <c r="U594">
        <v>1</v>
      </c>
      <c r="V594" t="s">
        <v>966</v>
      </c>
      <c r="W594" t="s">
        <v>989</v>
      </c>
      <c r="X594" t="s">
        <v>997</v>
      </c>
      <c r="Y594" t="s">
        <v>1000</v>
      </c>
      <c r="Z594">
        <v>1</v>
      </c>
      <c r="AA594">
        <f t="shared" si="172"/>
        <v>0</v>
      </c>
      <c r="AB594">
        <f t="shared" si="173"/>
        <v>1</v>
      </c>
      <c r="AC594">
        <f t="shared" si="174"/>
        <v>0</v>
      </c>
      <c r="AD594">
        <f t="shared" si="175"/>
        <v>0</v>
      </c>
      <c r="AE594">
        <f t="shared" si="176"/>
        <v>0</v>
      </c>
      <c r="AF594">
        <f t="shared" si="177"/>
        <v>1</v>
      </c>
      <c r="AG594">
        <f t="shared" si="178"/>
        <v>0</v>
      </c>
      <c r="AH594">
        <f t="shared" si="179"/>
        <v>-1</v>
      </c>
      <c r="AI594">
        <f t="shared" si="180"/>
        <v>1</v>
      </c>
      <c r="AJ594" s="9">
        <f t="shared" si="170"/>
        <v>7</v>
      </c>
      <c r="AK594">
        <f t="shared" si="181"/>
        <v>0</v>
      </c>
      <c r="AL594" s="9">
        <v>1</v>
      </c>
    </row>
    <row r="595" spans="1:38" x14ac:dyDescent="0.35">
      <c r="A595" s="9">
        <v>1</v>
      </c>
      <c r="B595" s="9" t="s">
        <v>70</v>
      </c>
      <c r="C595" s="53">
        <v>43887</v>
      </c>
      <c r="D595" s="53">
        <v>43900</v>
      </c>
      <c r="E595" s="53">
        <v>43969</v>
      </c>
      <c r="F595" s="21">
        <f t="shared" si="169"/>
        <v>69</v>
      </c>
      <c r="G595" s="53">
        <v>43900</v>
      </c>
      <c r="H595" s="9">
        <v>2020</v>
      </c>
      <c r="I595" s="9">
        <v>1</v>
      </c>
      <c r="J595" s="9">
        <v>5</v>
      </c>
      <c r="K595" s="9" t="s">
        <v>204</v>
      </c>
      <c r="L595" s="50" t="s">
        <v>542</v>
      </c>
      <c r="M595">
        <v>1</v>
      </c>
      <c r="N595">
        <v>1</v>
      </c>
      <c r="O595">
        <v>2</v>
      </c>
      <c r="P595">
        <v>-1</v>
      </c>
      <c r="Q595">
        <v>2</v>
      </c>
      <c r="R595">
        <v>1</v>
      </c>
      <c r="S595">
        <v>1</v>
      </c>
      <c r="T595">
        <v>2</v>
      </c>
      <c r="U595">
        <v>1</v>
      </c>
      <c r="V595" t="s">
        <v>966</v>
      </c>
      <c r="W595" t="s">
        <v>989</v>
      </c>
      <c r="X595" t="s">
        <v>997</v>
      </c>
      <c r="Y595" t="s">
        <v>1000</v>
      </c>
      <c r="Z595">
        <v>1</v>
      </c>
      <c r="AA595">
        <f t="shared" si="172"/>
        <v>1</v>
      </c>
      <c r="AB595">
        <f t="shared" si="173"/>
        <v>1</v>
      </c>
      <c r="AC595">
        <f t="shared" si="174"/>
        <v>1</v>
      </c>
      <c r="AD595">
        <f t="shared" si="175"/>
        <v>0</v>
      </c>
      <c r="AE595">
        <f t="shared" si="176"/>
        <v>1</v>
      </c>
      <c r="AF595">
        <f t="shared" si="177"/>
        <v>1</v>
      </c>
      <c r="AG595">
        <f t="shared" si="178"/>
        <v>1</v>
      </c>
      <c r="AH595">
        <f t="shared" si="179"/>
        <v>1</v>
      </c>
      <c r="AI595">
        <f t="shared" si="180"/>
        <v>1</v>
      </c>
      <c r="AJ595" s="9" t="str">
        <f t="shared" si="170"/>
        <v>General</v>
      </c>
      <c r="AK595">
        <f t="shared" si="181"/>
        <v>0</v>
      </c>
      <c r="AL595" s="9">
        <v>1</v>
      </c>
    </row>
    <row r="596" spans="1:38" x14ac:dyDescent="0.35">
      <c r="A596" s="9">
        <v>1</v>
      </c>
      <c r="B596" s="9" t="s">
        <v>70</v>
      </c>
      <c r="C596" s="53">
        <v>43887</v>
      </c>
      <c r="D596" s="53">
        <v>43900</v>
      </c>
      <c r="E596" s="53">
        <v>43969</v>
      </c>
      <c r="F596" s="21">
        <f t="shared" si="169"/>
        <v>69</v>
      </c>
      <c r="G596" s="53">
        <v>43900</v>
      </c>
      <c r="H596" s="9">
        <v>2020</v>
      </c>
      <c r="I596" s="9">
        <v>1</v>
      </c>
      <c r="J596" s="9">
        <v>7</v>
      </c>
      <c r="K596" s="9">
        <v>30</v>
      </c>
      <c r="L596" s="50" t="s">
        <v>547</v>
      </c>
      <c r="M596">
        <v>1</v>
      </c>
      <c r="N596">
        <v>1</v>
      </c>
      <c r="O596">
        <v>2</v>
      </c>
      <c r="P596">
        <v>-1</v>
      </c>
      <c r="Q596">
        <v>-2</v>
      </c>
      <c r="R596">
        <v>1</v>
      </c>
      <c r="S596">
        <v>1</v>
      </c>
      <c r="T596">
        <v>-2</v>
      </c>
      <c r="U596">
        <v>1</v>
      </c>
      <c r="V596" t="s">
        <v>966</v>
      </c>
      <c r="W596" t="s">
        <v>989</v>
      </c>
      <c r="X596" t="s">
        <v>997</v>
      </c>
      <c r="Y596" t="s">
        <v>1000</v>
      </c>
      <c r="Z596">
        <v>1</v>
      </c>
      <c r="AA596">
        <f t="shared" si="172"/>
        <v>1</v>
      </c>
      <c r="AB596">
        <f t="shared" si="173"/>
        <v>1</v>
      </c>
      <c r="AC596">
        <f t="shared" si="174"/>
        <v>1</v>
      </c>
      <c r="AD596">
        <f t="shared" si="175"/>
        <v>0</v>
      </c>
      <c r="AE596">
        <f t="shared" si="176"/>
        <v>0</v>
      </c>
      <c r="AF596">
        <f t="shared" si="177"/>
        <v>1</v>
      </c>
      <c r="AG596">
        <f t="shared" si="178"/>
        <v>1</v>
      </c>
      <c r="AH596">
        <f t="shared" si="179"/>
        <v>0</v>
      </c>
      <c r="AI596">
        <f t="shared" si="180"/>
        <v>1</v>
      </c>
      <c r="AJ596" s="9">
        <f t="shared" si="170"/>
        <v>30</v>
      </c>
      <c r="AK596">
        <f t="shared" si="181"/>
        <v>0</v>
      </c>
      <c r="AL596" s="9">
        <v>1</v>
      </c>
    </row>
    <row r="597" spans="1:38" x14ac:dyDescent="0.35">
      <c r="A597" s="9">
        <v>1</v>
      </c>
      <c r="B597" s="9" t="s">
        <v>70</v>
      </c>
      <c r="C597" s="53">
        <v>43887</v>
      </c>
      <c r="D597" s="53">
        <v>43900</v>
      </c>
      <c r="E597" s="53">
        <v>43969</v>
      </c>
      <c r="F597" s="21">
        <f t="shared" si="169"/>
        <v>69</v>
      </c>
      <c r="G597" s="53">
        <v>43900</v>
      </c>
      <c r="H597" s="9">
        <v>2020</v>
      </c>
      <c r="I597" s="9">
        <v>1</v>
      </c>
      <c r="J597" s="9">
        <v>6</v>
      </c>
      <c r="K597" s="9">
        <v>25</v>
      </c>
      <c r="L597" s="50" t="s">
        <v>534</v>
      </c>
      <c r="M597">
        <v>1</v>
      </c>
      <c r="N597">
        <v>1</v>
      </c>
      <c r="O597">
        <v>2</v>
      </c>
      <c r="P597">
        <v>-1</v>
      </c>
      <c r="Q597">
        <v>-2</v>
      </c>
      <c r="R597">
        <v>1</v>
      </c>
      <c r="S597">
        <v>1</v>
      </c>
      <c r="T597">
        <v>-2</v>
      </c>
      <c r="U597">
        <v>1</v>
      </c>
      <c r="V597" t="s">
        <v>966</v>
      </c>
      <c r="W597" t="s">
        <v>989</v>
      </c>
      <c r="X597" t="s">
        <v>997</v>
      </c>
      <c r="Y597" t="s">
        <v>1000</v>
      </c>
      <c r="Z597">
        <v>1</v>
      </c>
      <c r="AA597">
        <f t="shared" si="172"/>
        <v>1</v>
      </c>
      <c r="AB597">
        <f t="shared" si="173"/>
        <v>1</v>
      </c>
      <c r="AC597">
        <f t="shared" si="174"/>
        <v>1</v>
      </c>
      <c r="AD597">
        <f t="shared" si="175"/>
        <v>0</v>
      </c>
      <c r="AE597">
        <f t="shared" si="176"/>
        <v>0</v>
      </c>
      <c r="AF597">
        <f t="shared" si="177"/>
        <v>1</v>
      </c>
      <c r="AG597">
        <f t="shared" si="178"/>
        <v>1</v>
      </c>
      <c r="AH597">
        <f t="shared" si="179"/>
        <v>0</v>
      </c>
      <c r="AI597">
        <f t="shared" si="180"/>
        <v>1</v>
      </c>
      <c r="AJ597" s="9">
        <f t="shared" si="170"/>
        <v>25</v>
      </c>
      <c r="AK597" t="e">
        <f>IF(B597&lt;&gt;#REF!,1,0)</f>
        <v>#REF!</v>
      </c>
      <c r="AL597" s="9">
        <v>1</v>
      </c>
    </row>
    <row r="598" spans="1:38" x14ac:dyDescent="0.35">
      <c r="A598" s="9">
        <v>1</v>
      </c>
      <c r="B598" s="9" t="s">
        <v>70</v>
      </c>
      <c r="C598" s="53">
        <v>43887</v>
      </c>
      <c r="D598" s="53">
        <v>43900</v>
      </c>
      <c r="E598" s="53">
        <v>43969</v>
      </c>
      <c r="F598" s="21">
        <f t="shared" si="169"/>
        <v>69</v>
      </c>
      <c r="G598" s="53">
        <v>43900</v>
      </c>
      <c r="H598" s="9">
        <v>2020</v>
      </c>
      <c r="I598" s="9">
        <v>1</v>
      </c>
      <c r="J598" s="9">
        <v>6</v>
      </c>
      <c r="K598" s="9">
        <v>28</v>
      </c>
      <c r="L598" s="50" t="s">
        <v>544</v>
      </c>
      <c r="M598">
        <v>2</v>
      </c>
      <c r="N598">
        <v>1</v>
      </c>
      <c r="O598">
        <v>2</v>
      </c>
      <c r="P598">
        <v>-1</v>
      </c>
      <c r="Q598">
        <v>2</v>
      </c>
      <c r="R598">
        <v>1</v>
      </c>
      <c r="S598">
        <v>1</v>
      </c>
      <c r="T598">
        <v>2</v>
      </c>
      <c r="U598">
        <v>1</v>
      </c>
      <c r="V598" t="s">
        <v>966</v>
      </c>
      <c r="W598" t="s">
        <v>989</v>
      </c>
      <c r="X598" t="s">
        <v>997</v>
      </c>
      <c r="Y598" t="s">
        <v>1000</v>
      </c>
      <c r="Z598">
        <v>1</v>
      </c>
      <c r="AA598">
        <f t="shared" si="172"/>
        <v>1</v>
      </c>
      <c r="AB598">
        <f t="shared" si="173"/>
        <v>1</v>
      </c>
      <c r="AC598">
        <f t="shared" si="174"/>
        <v>1</v>
      </c>
      <c r="AD598">
        <f t="shared" si="175"/>
        <v>0</v>
      </c>
      <c r="AE598">
        <f t="shared" si="176"/>
        <v>1</v>
      </c>
      <c r="AF598">
        <f t="shared" si="177"/>
        <v>1</v>
      </c>
      <c r="AG598">
        <f t="shared" si="178"/>
        <v>1</v>
      </c>
      <c r="AH598">
        <f t="shared" si="179"/>
        <v>1</v>
      </c>
      <c r="AI598">
        <f t="shared" si="180"/>
        <v>1</v>
      </c>
      <c r="AJ598" s="9">
        <f t="shared" si="170"/>
        <v>28</v>
      </c>
      <c r="AK598">
        <f t="shared" si="181"/>
        <v>0</v>
      </c>
      <c r="AL598" s="9">
        <v>1</v>
      </c>
    </row>
    <row r="599" spans="1:38" x14ac:dyDescent="0.35">
      <c r="A599" s="9">
        <v>1</v>
      </c>
      <c r="B599" s="9" t="s">
        <v>70</v>
      </c>
      <c r="C599" s="53">
        <v>43887</v>
      </c>
      <c r="D599" s="53">
        <v>43900</v>
      </c>
      <c r="E599" s="53">
        <v>43969</v>
      </c>
      <c r="F599" s="21">
        <f t="shared" si="169"/>
        <v>69</v>
      </c>
      <c r="G599" s="53">
        <v>43900</v>
      </c>
      <c r="H599" s="9">
        <v>2020</v>
      </c>
      <c r="I599" s="9">
        <v>1</v>
      </c>
      <c r="J599" s="9">
        <v>6</v>
      </c>
      <c r="K599" s="9">
        <v>26</v>
      </c>
      <c r="L599" s="50" t="s">
        <v>545</v>
      </c>
      <c r="M599">
        <v>1</v>
      </c>
      <c r="N599">
        <v>1</v>
      </c>
      <c r="O599">
        <v>2</v>
      </c>
      <c r="P599">
        <v>-1</v>
      </c>
      <c r="Q599">
        <v>-2</v>
      </c>
      <c r="R599">
        <v>1</v>
      </c>
      <c r="S599">
        <v>1</v>
      </c>
      <c r="T599">
        <v>2</v>
      </c>
      <c r="U599">
        <v>1</v>
      </c>
      <c r="V599" t="s">
        <v>966</v>
      </c>
      <c r="W599" t="s">
        <v>989</v>
      </c>
      <c r="X599" t="s">
        <v>997</v>
      </c>
      <c r="Y599" t="s">
        <v>1000</v>
      </c>
      <c r="Z599">
        <v>1</v>
      </c>
      <c r="AA599">
        <f t="shared" si="172"/>
        <v>1</v>
      </c>
      <c r="AB599">
        <f t="shared" si="173"/>
        <v>1</v>
      </c>
      <c r="AC599">
        <f t="shared" si="174"/>
        <v>1</v>
      </c>
      <c r="AD599">
        <f t="shared" si="175"/>
        <v>0</v>
      </c>
      <c r="AE599">
        <f t="shared" si="176"/>
        <v>0</v>
      </c>
      <c r="AF599">
        <f t="shared" si="177"/>
        <v>1</v>
      </c>
      <c r="AG599">
        <f t="shared" si="178"/>
        <v>1</v>
      </c>
      <c r="AH599">
        <f t="shared" si="179"/>
        <v>1</v>
      </c>
      <c r="AI599">
        <f t="shared" si="180"/>
        <v>1</v>
      </c>
      <c r="AJ599" s="9">
        <f t="shared" si="170"/>
        <v>26</v>
      </c>
      <c r="AK599">
        <f t="shared" si="181"/>
        <v>0</v>
      </c>
      <c r="AL599" s="9">
        <v>1</v>
      </c>
    </row>
    <row r="600" spans="1:38" x14ac:dyDescent="0.35">
      <c r="A600" s="9">
        <v>1</v>
      </c>
      <c r="B600" s="9" t="s">
        <v>70</v>
      </c>
      <c r="C600" s="53">
        <v>43887</v>
      </c>
      <c r="D600" s="53">
        <v>43900</v>
      </c>
      <c r="E600" s="53">
        <v>43969</v>
      </c>
      <c r="F600" s="21">
        <f t="shared" si="169"/>
        <v>69</v>
      </c>
      <c r="G600" s="53">
        <v>43900</v>
      </c>
      <c r="H600" s="9">
        <v>2020</v>
      </c>
      <c r="I600" s="9">
        <v>1</v>
      </c>
      <c r="J600" s="9">
        <v>1</v>
      </c>
      <c r="K600" s="9" t="s">
        <v>206</v>
      </c>
      <c r="L600" s="50" t="s">
        <v>529</v>
      </c>
      <c r="M600">
        <v>-2</v>
      </c>
      <c r="N600">
        <v>2</v>
      </c>
      <c r="O600">
        <v>-2</v>
      </c>
      <c r="P600">
        <v>-1</v>
      </c>
      <c r="Q600">
        <v>-2</v>
      </c>
      <c r="R600">
        <v>2</v>
      </c>
      <c r="S600">
        <v>1</v>
      </c>
      <c r="T600">
        <v>2</v>
      </c>
      <c r="U600">
        <v>1</v>
      </c>
      <c r="V600" t="s">
        <v>966</v>
      </c>
      <c r="W600" t="s">
        <v>989</v>
      </c>
      <c r="X600" t="s">
        <v>997</v>
      </c>
      <c r="Y600" t="s">
        <v>1000</v>
      </c>
      <c r="Z600">
        <v>1</v>
      </c>
      <c r="AA600">
        <f t="shared" si="172"/>
        <v>0</v>
      </c>
      <c r="AB600">
        <f t="shared" si="173"/>
        <v>1</v>
      </c>
      <c r="AC600">
        <f t="shared" si="174"/>
        <v>0</v>
      </c>
      <c r="AD600">
        <f t="shared" si="175"/>
        <v>0</v>
      </c>
      <c r="AE600">
        <f t="shared" si="176"/>
        <v>0</v>
      </c>
      <c r="AF600">
        <f t="shared" si="177"/>
        <v>1</v>
      </c>
      <c r="AG600">
        <f t="shared" si="178"/>
        <v>1</v>
      </c>
      <c r="AH600">
        <f t="shared" si="179"/>
        <v>1</v>
      </c>
      <c r="AI600">
        <f t="shared" si="180"/>
        <v>1</v>
      </c>
      <c r="AJ600" s="9" t="str">
        <f t="shared" si="170"/>
        <v>Tax exemption/waiver/suspension</v>
      </c>
      <c r="AK600">
        <f t="shared" si="181"/>
        <v>0</v>
      </c>
      <c r="AL600" s="9">
        <v>1</v>
      </c>
    </row>
    <row r="601" spans="1:38" x14ac:dyDescent="0.35">
      <c r="A601" s="9">
        <v>1</v>
      </c>
      <c r="B601" s="9" t="s">
        <v>70</v>
      </c>
      <c r="C601" s="53">
        <v>43887</v>
      </c>
      <c r="D601" s="53">
        <v>43900</v>
      </c>
      <c r="E601" s="53">
        <v>43969</v>
      </c>
      <c r="F601" s="21">
        <f t="shared" si="169"/>
        <v>69</v>
      </c>
      <c r="G601" s="53">
        <v>43900</v>
      </c>
      <c r="H601" s="9">
        <v>2020</v>
      </c>
      <c r="I601" s="9">
        <v>1</v>
      </c>
      <c r="J601" s="9">
        <v>5</v>
      </c>
      <c r="K601" s="9">
        <v>24</v>
      </c>
      <c r="L601" s="50" t="s">
        <v>532</v>
      </c>
      <c r="M601">
        <v>1</v>
      </c>
      <c r="N601">
        <v>-2</v>
      </c>
      <c r="O601">
        <v>-2</v>
      </c>
      <c r="P601">
        <v>-1</v>
      </c>
      <c r="Q601">
        <v>-2</v>
      </c>
      <c r="R601">
        <v>1</v>
      </c>
      <c r="S601">
        <v>1</v>
      </c>
      <c r="T601">
        <v>2</v>
      </c>
      <c r="U601">
        <v>1</v>
      </c>
      <c r="V601" t="s">
        <v>966</v>
      </c>
      <c r="W601" t="s">
        <v>989</v>
      </c>
      <c r="X601" t="s">
        <v>997</v>
      </c>
      <c r="Y601" t="s">
        <v>1000</v>
      </c>
      <c r="Z601">
        <v>1</v>
      </c>
      <c r="AA601">
        <f t="shared" si="172"/>
        <v>1</v>
      </c>
      <c r="AB601">
        <f t="shared" si="173"/>
        <v>0</v>
      </c>
      <c r="AC601">
        <f t="shared" si="174"/>
        <v>0</v>
      </c>
      <c r="AD601">
        <f t="shared" si="175"/>
        <v>0</v>
      </c>
      <c r="AE601">
        <f t="shared" si="176"/>
        <v>0</v>
      </c>
      <c r="AF601">
        <f t="shared" si="177"/>
        <v>1</v>
      </c>
      <c r="AG601">
        <f t="shared" si="178"/>
        <v>1</v>
      </c>
      <c r="AH601">
        <f t="shared" si="179"/>
        <v>1</v>
      </c>
      <c r="AI601">
        <f t="shared" si="180"/>
        <v>1</v>
      </c>
      <c r="AJ601" s="9">
        <f t="shared" si="170"/>
        <v>24</v>
      </c>
      <c r="AK601">
        <f t="shared" si="181"/>
        <v>0</v>
      </c>
      <c r="AL601" s="9">
        <v>1</v>
      </c>
    </row>
    <row r="602" spans="1:38" x14ac:dyDescent="0.35">
      <c r="A602" s="9">
        <v>1</v>
      </c>
      <c r="B602" s="9" t="s">
        <v>70</v>
      </c>
      <c r="C602" s="53">
        <v>43887</v>
      </c>
      <c r="D602" s="53">
        <v>43900</v>
      </c>
      <c r="E602" s="53">
        <v>43969</v>
      </c>
      <c r="F602" s="21">
        <f t="shared" si="169"/>
        <v>69</v>
      </c>
      <c r="G602" s="53">
        <v>43900</v>
      </c>
      <c r="H602" s="9">
        <v>2020</v>
      </c>
      <c r="I602" s="9">
        <v>1</v>
      </c>
      <c r="J602" s="9">
        <v>7</v>
      </c>
      <c r="K602" s="9">
        <v>30</v>
      </c>
      <c r="L602" s="50" t="s">
        <v>537</v>
      </c>
      <c r="M602">
        <v>1</v>
      </c>
      <c r="N602">
        <v>1</v>
      </c>
      <c r="O602">
        <v>2</v>
      </c>
      <c r="P602">
        <v>1</v>
      </c>
      <c r="Q602">
        <v>2</v>
      </c>
      <c r="R602">
        <v>1</v>
      </c>
      <c r="S602">
        <v>1</v>
      </c>
      <c r="T602">
        <v>-2</v>
      </c>
      <c r="U602">
        <v>1</v>
      </c>
      <c r="V602" t="s">
        <v>966</v>
      </c>
      <c r="W602" t="s">
        <v>989</v>
      </c>
      <c r="X602" t="s">
        <v>997</v>
      </c>
      <c r="Y602" t="s">
        <v>1000</v>
      </c>
      <c r="Z602">
        <v>1</v>
      </c>
      <c r="AA602">
        <f t="shared" si="172"/>
        <v>1</v>
      </c>
      <c r="AB602">
        <f t="shared" si="173"/>
        <v>1</v>
      </c>
      <c r="AC602">
        <f t="shared" si="174"/>
        <v>1</v>
      </c>
      <c r="AD602">
        <f t="shared" si="175"/>
        <v>1</v>
      </c>
      <c r="AE602">
        <f t="shared" si="176"/>
        <v>1</v>
      </c>
      <c r="AF602">
        <f t="shared" si="177"/>
        <v>1</v>
      </c>
      <c r="AG602">
        <f t="shared" si="178"/>
        <v>1</v>
      </c>
      <c r="AH602">
        <f t="shared" si="179"/>
        <v>0</v>
      </c>
      <c r="AI602">
        <f t="shared" si="180"/>
        <v>1</v>
      </c>
      <c r="AJ602" s="9">
        <f t="shared" si="170"/>
        <v>30</v>
      </c>
      <c r="AK602">
        <f t="shared" si="181"/>
        <v>0</v>
      </c>
      <c r="AL602" s="9">
        <v>1</v>
      </c>
    </row>
    <row r="603" spans="1:38" x14ac:dyDescent="0.35">
      <c r="A603" s="9">
        <v>1</v>
      </c>
      <c r="B603" s="9" t="s">
        <v>70</v>
      </c>
      <c r="C603" s="53">
        <v>43887</v>
      </c>
      <c r="D603" s="53">
        <v>43900</v>
      </c>
      <c r="E603" s="53">
        <v>43969</v>
      </c>
      <c r="F603" s="21">
        <f t="shared" si="169"/>
        <v>69</v>
      </c>
      <c r="G603" s="53">
        <v>43900</v>
      </c>
      <c r="H603" s="9">
        <v>2020</v>
      </c>
      <c r="I603" s="9">
        <v>1</v>
      </c>
      <c r="J603" s="9">
        <v>3</v>
      </c>
      <c r="K603" s="9" t="s">
        <v>206</v>
      </c>
      <c r="L603" s="50" t="s">
        <v>531</v>
      </c>
      <c r="M603">
        <v>-2</v>
      </c>
      <c r="N603">
        <v>2</v>
      </c>
      <c r="O603">
        <v>2</v>
      </c>
      <c r="P603">
        <v>2</v>
      </c>
      <c r="Q603">
        <v>2</v>
      </c>
      <c r="R603">
        <v>2</v>
      </c>
      <c r="S603">
        <v>1</v>
      </c>
      <c r="T603">
        <v>2</v>
      </c>
      <c r="U603">
        <v>1</v>
      </c>
      <c r="V603" t="s">
        <v>966</v>
      </c>
      <c r="W603" t="s">
        <v>989</v>
      </c>
      <c r="X603" t="s">
        <v>997</v>
      </c>
      <c r="Y603" t="s">
        <v>1000</v>
      </c>
      <c r="Z603">
        <v>1</v>
      </c>
      <c r="AA603">
        <f t="shared" si="172"/>
        <v>0</v>
      </c>
      <c r="AB603">
        <f t="shared" si="173"/>
        <v>1</v>
      </c>
      <c r="AC603">
        <f t="shared" si="174"/>
        <v>1</v>
      </c>
      <c r="AD603">
        <f t="shared" si="175"/>
        <v>1</v>
      </c>
      <c r="AE603">
        <f t="shared" si="176"/>
        <v>1</v>
      </c>
      <c r="AF603">
        <f t="shared" si="177"/>
        <v>1</v>
      </c>
      <c r="AG603">
        <f t="shared" si="178"/>
        <v>1</v>
      </c>
      <c r="AH603">
        <f t="shared" si="179"/>
        <v>1</v>
      </c>
      <c r="AI603">
        <f t="shared" si="180"/>
        <v>1</v>
      </c>
      <c r="AJ603" s="9" t="str">
        <f t="shared" si="170"/>
        <v>Tax exemption/waiver/suspension</v>
      </c>
      <c r="AK603">
        <f t="shared" si="181"/>
        <v>0</v>
      </c>
      <c r="AL603" s="9">
        <v>0</v>
      </c>
    </row>
    <row r="604" spans="1:38" x14ac:dyDescent="0.35">
      <c r="A604" s="9">
        <v>1</v>
      </c>
      <c r="B604" s="50" t="s">
        <v>70</v>
      </c>
      <c r="C604" s="53">
        <v>43887</v>
      </c>
      <c r="D604" s="53">
        <v>43900</v>
      </c>
      <c r="E604" s="53">
        <v>43969</v>
      </c>
      <c r="F604" s="21">
        <f t="shared" si="169"/>
        <v>69</v>
      </c>
      <c r="G604" s="53">
        <v>43900</v>
      </c>
      <c r="H604" s="9">
        <v>2020</v>
      </c>
      <c r="I604" s="9">
        <v>1</v>
      </c>
      <c r="J604" s="50">
        <v>6</v>
      </c>
      <c r="K604" s="50">
        <v>28</v>
      </c>
      <c r="L604" s="24" t="s">
        <v>1942</v>
      </c>
      <c r="M604" s="24"/>
      <c r="V604" t="s">
        <v>966</v>
      </c>
      <c r="W604" t="s">
        <v>989</v>
      </c>
      <c r="X604" t="s">
        <v>997</v>
      </c>
      <c r="Y604" t="s">
        <v>1000</v>
      </c>
      <c r="Z604">
        <v>1</v>
      </c>
      <c r="AA604">
        <v>-1</v>
      </c>
      <c r="AB604">
        <v>-1</v>
      </c>
      <c r="AC604">
        <v>-1</v>
      </c>
      <c r="AD604">
        <v>-1</v>
      </c>
      <c r="AE604">
        <v>-1</v>
      </c>
      <c r="AF604">
        <v>-1</v>
      </c>
      <c r="AG604">
        <v>-1</v>
      </c>
      <c r="AH604">
        <v>-1</v>
      </c>
      <c r="AI604">
        <v>-1</v>
      </c>
      <c r="AJ604" s="9">
        <f t="shared" si="170"/>
        <v>28</v>
      </c>
      <c r="AK604">
        <f t="shared" si="181"/>
        <v>0</v>
      </c>
      <c r="AL604" s="9">
        <v>0</v>
      </c>
    </row>
    <row r="605" spans="1:38" x14ac:dyDescent="0.35">
      <c r="A605" s="9">
        <v>1</v>
      </c>
      <c r="B605" s="50" t="s">
        <v>70</v>
      </c>
      <c r="C605" s="53">
        <v>43887</v>
      </c>
      <c r="D605" s="53">
        <v>43900</v>
      </c>
      <c r="E605" s="53">
        <v>43969</v>
      </c>
      <c r="F605" s="21">
        <f t="shared" si="169"/>
        <v>69</v>
      </c>
      <c r="G605" s="53">
        <v>43900</v>
      </c>
      <c r="H605" s="9">
        <v>2020</v>
      </c>
      <c r="I605" s="9">
        <v>1</v>
      </c>
      <c r="J605" s="50">
        <v>6</v>
      </c>
      <c r="K605" s="50">
        <v>28</v>
      </c>
      <c r="L605" s="24" t="s">
        <v>1889</v>
      </c>
      <c r="M605" s="24"/>
      <c r="V605" t="s">
        <v>966</v>
      </c>
      <c r="W605" t="s">
        <v>989</v>
      </c>
      <c r="X605" t="s">
        <v>997</v>
      </c>
      <c r="Y605" t="s">
        <v>1000</v>
      </c>
      <c r="Z605">
        <v>1</v>
      </c>
      <c r="AA605">
        <v>-1</v>
      </c>
      <c r="AB605">
        <v>-1</v>
      </c>
      <c r="AC605">
        <v>-1</v>
      </c>
      <c r="AD605">
        <v>-1</v>
      </c>
      <c r="AE605">
        <v>-1</v>
      </c>
      <c r="AF605">
        <v>-1</v>
      </c>
      <c r="AG605">
        <v>-1</v>
      </c>
      <c r="AH605">
        <v>-1</v>
      </c>
      <c r="AI605">
        <v>-1</v>
      </c>
      <c r="AJ605" s="9">
        <f t="shared" si="170"/>
        <v>28</v>
      </c>
      <c r="AK605">
        <f t="shared" si="181"/>
        <v>0</v>
      </c>
      <c r="AL605" s="9">
        <v>0</v>
      </c>
    </row>
    <row r="606" spans="1:38" x14ac:dyDescent="0.35">
      <c r="A606" s="9">
        <v>1</v>
      </c>
      <c r="B606" s="50" t="s">
        <v>70</v>
      </c>
      <c r="C606" s="53">
        <v>43887</v>
      </c>
      <c r="D606" s="53">
        <v>43900</v>
      </c>
      <c r="E606" s="53">
        <v>43969</v>
      </c>
      <c r="F606" s="21">
        <f t="shared" si="169"/>
        <v>69</v>
      </c>
      <c r="G606" s="53">
        <v>43900</v>
      </c>
      <c r="H606" s="9">
        <v>2020</v>
      </c>
      <c r="I606" s="9">
        <v>1</v>
      </c>
      <c r="J606" s="50">
        <v>9</v>
      </c>
      <c r="K606" s="50">
        <v>34</v>
      </c>
      <c r="L606" s="24" t="s">
        <v>1890</v>
      </c>
      <c r="M606" s="24"/>
      <c r="V606" t="s">
        <v>966</v>
      </c>
      <c r="W606" t="s">
        <v>989</v>
      </c>
      <c r="X606" t="s">
        <v>997</v>
      </c>
      <c r="Y606" t="s">
        <v>1000</v>
      </c>
      <c r="Z606">
        <v>1</v>
      </c>
      <c r="AA606">
        <v>-1</v>
      </c>
      <c r="AB606">
        <v>-1</v>
      </c>
      <c r="AC606">
        <v>-1</v>
      </c>
      <c r="AD606">
        <v>-1</v>
      </c>
      <c r="AE606">
        <v>-1</v>
      </c>
      <c r="AF606">
        <v>-1</v>
      </c>
      <c r="AG606">
        <v>-1</v>
      </c>
      <c r="AH606">
        <v>-1</v>
      </c>
      <c r="AI606">
        <v>-1</v>
      </c>
      <c r="AJ606" s="9">
        <f t="shared" si="170"/>
        <v>34</v>
      </c>
      <c r="AK606">
        <f t="shared" si="181"/>
        <v>0</v>
      </c>
      <c r="AL606" s="9">
        <v>0</v>
      </c>
    </row>
    <row r="607" spans="1:38" x14ac:dyDescent="0.35">
      <c r="A607" s="9">
        <v>1</v>
      </c>
      <c r="B607" s="50" t="s">
        <v>70</v>
      </c>
      <c r="C607" s="53">
        <v>43887</v>
      </c>
      <c r="D607" s="53">
        <v>43900</v>
      </c>
      <c r="E607" s="53">
        <v>43969</v>
      </c>
      <c r="F607" s="21">
        <f t="shared" si="169"/>
        <v>69</v>
      </c>
      <c r="G607" s="53">
        <v>43900</v>
      </c>
      <c r="H607" s="9">
        <v>2020</v>
      </c>
      <c r="I607" s="9">
        <v>1</v>
      </c>
      <c r="J607" s="50">
        <v>4</v>
      </c>
      <c r="K607" s="50">
        <v>20</v>
      </c>
      <c r="L607" s="24" t="s">
        <v>1406</v>
      </c>
      <c r="M607" s="24"/>
      <c r="V607" t="s">
        <v>966</v>
      </c>
      <c r="W607" t="s">
        <v>989</v>
      </c>
      <c r="X607" t="s">
        <v>997</v>
      </c>
      <c r="Y607" t="s">
        <v>1000</v>
      </c>
      <c r="Z607">
        <v>1</v>
      </c>
      <c r="AA607">
        <v>-1</v>
      </c>
      <c r="AB607">
        <v>-1</v>
      </c>
      <c r="AC607">
        <v>-1</v>
      </c>
      <c r="AD607">
        <v>-1</v>
      </c>
      <c r="AE607">
        <v>-1</v>
      </c>
      <c r="AF607">
        <v>-1</v>
      </c>
      <c r="AG607">
        <v>-1</v>
      </c>
      <c r="AH607">
        <v>-1</v>
      </c>
      <c r="AI607">
        <v>-1</v>
      </c>
      <c r="AJ607" s="9">
        <f t="shared" si="170"/>
        <v>20</v>
      </c>
      <c r="AK607">
        <f t="shared" si="181"/>
        <v>0</v>
      </c>
      <c r="AL607" s="9">
        <v>0</v>
      </c>
    </row>
    <row r="608" spans="1:38" x14ac:dyDescent="0.35">
      <c r="A608" s="9">
        <v>1</v>
      </c>
      <c r="B608" s="50" t="s">
        <v>70</v>
      </c>
      <c r="C608" s="53">
        <v>43887</v>
      </c>
      <c r="D608" s="53">
        <v>43900</v>
      </c>
      <c r="E608" s="53">
        <v>43969</v>
      </c>
      <c r="F608" s="21">
        <f t="shared" si="169"/>
        <v>69</v>
      </c>
      <c r="G608" s="53">
        <v>43900</v>
      </c>
      <c r="H608" s="9">
        <v>2020</v>
      </c>
      <c r="I608" s="9">
        <v>1</v>
      </c>
      <c r="J608" s="50">
        <v>1</v>
      </c>
      <c r="K608" s="50">
        <v>6</v>
      </c>
      <c r="L608" s="24" t="s">
        <v>1407</v>
      </c>
      <c r="M608" s="24"/>
      <c r="V608" t="s">
        <v>966</v>
      </c>
      <c r="W608" t="s">
        <v>989</v>
      </c>
      <c r="X608" t="s">
        <v>997</v>
      </c>
      <c r="Y608" t="s">
        <v>1000</v>
      </c>
      <c r="Z608">
        <v>1</v>
      </c>
      <c r="AA608">
        <v>-1</v>
      </c>
      <c r="AB608">
        <v>-1</v>
      </c>
      <c r="AC608">
        <v>-1</v>
      </c>
      <c r="AD608">
        <v>-1</v>
      </c>
      <c r="AE608">
        <v>-1</v>
      </c>
      <c r="AF608">
        <v>-1</v>
      </c>
      <c r="AG608">
        <v>-1</v>
      </c>
      <c r="AH608">
        <v>-1</v>
      </c>
      <c r="AI608">
        <v>-1</v>
      </c>
      <c r="AJ608" s="9">
        <f t="shared" si="170"/>
        <v>6</v>
      </c>
      <c r="AK608">
        <f t="shared" si="181"/>
        <v>0</v>
      </c>
      <c r="AL608" s="9">
        <v>0</v>
      </c>
    </row>
    <row r="609" spans="1:38" x14ac:dyDescent="0.35">
      <c r="A609" s="9">
        <v>1</v>
      </c>
      <c r="B609" s="50" t="s">
        <v>70</v>
      </c>
      <c r="C609" s="53">
        <v>43887</v>
      </c>
      <c r="D609" s="53">
        <v>43900</v>
      </c>
      <c r="E609" s="53">
        <v>43969</v>
      </c>
      <c r="F609" s="21">
        <f t="shared" si="169"/>
        <v>69</v>
      </c>
      <c r="G609" s="53">
        <v>43900</v>
      </c>
      <c r="H609" s="9">
        <v>2020</v>
      </c>
      <c r="I609" s="9">
        <v>1</v>
      </c>
      <c r="J609" s="50">
        <v>1</v>
      </c>
      <c r="K609" s="50">
        <v>6</v>
      </c>
      <c r="L609" s="24" t="s">
        <v>1408</v>
      </c>
      <c r="M609" s="24"/>
      <c r="V609" t="s">
        <v>966</v>
      </c>
      <c r="W609" t="s">
        <v>989</v>
      </c>
      <c r="X609" t="s">
        <v>997</v>
      </c>
      <c r="Y609" t="s">
        <v>1000</v>
      </c>
      <c r="Z609">
        <v>1</v>
      </c>
      <c r="AA609">
        <v>-1</v>
      </c>
      <c r="AB609">
        <v>-1</v>
      </c>
      <c r="AC609">
        <v>-1</v>
      </c>
      <c r="AD609">
        <v>-1</v>
      </c>
      <c r="AE609">
        <v>-1</v>
      </c>
      <c r="AF609">
        <v>-1</v>
      </c>
      <c r="AG609">
        <v>-1</v>
      </c>
      <c r="AH609">
        <v>-1</v>
      </c>
      <c r="AI609">
        <v>-1</v>
      </c>
      <c r="AJ609" s="9">
        <f t="shared" ref="AJ609:AJ620" si="182">IF(ISNUMBER(K609),K609,IF(OR(K609="general",K609="23;general"),"General",IF(OR(K609="exemption",K609="other (exemption)"),"Tax exemption/waiver/suspension","Other")))</f>
        <v>6</v>
      </c>
      <c r="AK609">
        <f t="shared" si="181"/>
        <v>0</v>
      </c>
      <c r="AL609" s="9">
        <v>0</v>
      </c>
    </row>
    <row r="610" spans="1:38" x14ac:dyDescent="0.35">
      <c r="A610" s="9">
        <v>1</v>
      </c>
      <c r="B610" s="50" t="s">
        <v>70</v>
      </c>
      <c r="C610" s="53">
        <v>43887</v>
      </c>
      <c r="D610" s="53">
        <v>43900</v>
      </c>
      <c r="E610" s="53">
        <v>43969</v>
      </c>
      <c r="F610" s="21">
        <f t="shared" si="169"/>
        <v>69</v>
      </c>
      <c r="G610" s="53">
        <v>43900</v>
      </c>
      <c r="H610" s="9">
        <v>2020</v>
      </c>
      <c r="I610" s="9">
        <v>1</v>
      </c>
      <c r="J610" s="50">
        <v>1</v>
      </c>
      <c r="K610" s="50">
        <v>6</v>
      </c>
      <c r="L610" s="24" t="s">
        <v>1409</v>
      </c>
      <c r="M610" s="24"/>
      <c r="V610" t="s">
        <v>966</v>
      </c>
      <c r="W610" t="s">
        <v>989</v>
      </c>
      <c r="X610" t="s">
        <v>997</v>
      </c>
      <c r="Y610" t="s">
        <v>1000</v>
      </c>
      <c r="Z610">
        <v>1</v>
      </c>
      <c r="AA610">
        <v>-1</v>
      </c>
      <c r="AB610">
        <v>-1</v>
      </c>
      <c r="AC610">
        <v>-1</v>
      </c>
      <c r="AD610">
        <v>-1</v>
      </c>
      <c r="AE610">
        <v>-1</v>
      </c>
      <c r="AF610">
        <v>-1</v>
      </c>
      <c r="AG610">
        <v>-1</v>
      </c>
      <c r="AH610">
        <v>-1</v>
      </c>
      <c r="AI610">
        <v>-1</v>
      </c>
      <c r="AJ610" s="9">
        <f t="shared" si="182"/>
        <v>6</v>
      </c>
      <c r="AK610">
        <f t="shared" si="181"/>
        <v>0</v>
      </c>
      <c r="AL610" s="9">
        <v>0</v>
      </c>
    </row>
    <row r="611" spans="1:38" x14ac:dyDescent="0.35">
      <c r="A611" s="9">
        <v>1</v>
      </c>
      <c r="B611" s="50" t="s">
        <v>70</v>
      </c>
      <c r="C611" s="53">
        <v>43887</v>
      </c>
      <c r="D611" s="53">
        <v>43900</v>
      </c>
      <c r="E611" s="53">
        <v>43969</v>
      </c>
      <c r="F611" s="21">
        <f t="shared" si="169"/>
        <v>69</v>
      </c>
      <c r="G611" s="53">
        <v>43900</v>
      </c>
      <c r="H611" s="9">
        <v>2020</v>
      </c>
      <c r="I611" s="9">
        <v>1</v>
      </c>
      <c r="J611" s="50">
        <v>1</v>
      </c>
      <c r="K611" s="50">
        <v>6</v>
      </c>
      <c r="L611" s="24" t="s">
        <v>1410</v>
      </c>
      <c r="M611" s="24"/>
      <c r="V611" t="s">
        <v>966</v>
      </c>
      <c r="W611" t="s">
        <v>989</v>
      </c>
      <c r="X611" t="s">
        <v>997</v>
      </c>
      <c r="Y611" t="s">
        <v>1000</v>
      </c>
      <c r="Z611">
        <v>1</v>
      </c>
      <c r="AA611">
        <v>-1</v>
      </c>
      <c r="AB611">
        <v>-1</v>
      </c>
      <c r="AC611">
        <v>-1</v>
      </c>
      <c r="AD611">
        <v>-1</v>
      </c>
      <c r="AE611">
        <v>-1</v>
      </c>
      <c r="AF611">
        <v>-1</v>
      </c>
      <c r="AG611">
        <v>-1</v>
      </c>
      <c r="AH611">
        <v>-1</v>
      </c>
      <c r="AI611">
        <v>-1</v>
      </c>
      <c r="AJ611" s="9">
        <f t="shared" si="182"/>
        <v>6</v>
      </c>
      <c r="AK611">
        <f t="shared" si="181"/>
        <v>0</v>
      </c>
      <c r="AL611" s="9">
        <v>0</v>
      </c>
    </row>
    <row r="612" spans="1:38" x14ac:dyDescent="0.35">
      <c r="A612" s="9">
        <v>1</v>
      </c>
      <c r="B612" s="50" t="s">
        <v>70</v>
      </c>
      <c r="C612" s="53">
        <v>43887</v>
      </c>
      <c r="D612" s="53">
        <v>43900</v>
      </c>
      <c r="E612" s="53">
        <v>43969</v>
      </c>
      <c r="F612" s="21">
        <f t="shared" si="169"/>
        <v>69</v>
      </c>
      <c r="G612" s="53">
        <v>43900</v>
      </c>
      <c r="H612" s="9">
        <v>2020</v>
      </c>
      <c r="I612" s="9">
        <v>1</v>
      </c>
      <c r="J612" s="50">
        <v>1</v>
      </c>
      <c r="K612" s="50">
        <v>6</v>
      </c>
      <c r="L612" s="24" t="s">
        <v>1411</v>
      </c>
      <c r="M612" s="24"/>
      <c r="V612" t="s">
        <v>966</v>
      </c>
      <c r="W612" t="s">
        <v>989</v>
      </c>
      <c r="X612" t="s">
        <v>997</v>
      </c>
      <c r="Y612" t="s">
        <v>1000</v>
      </c>
      <c r="Z612">
        <v>1</v>
      </c>
      <c r="AA612">
        <v>-1</v>
      </c>
      <c r="AB612">
        <v>-1</v>
      </c>
      <c r="AC612">
        <v>-1</v>
      </c>
      <c r="AD612">
        <v>-1</v>
      </c>
      <c r="AE612">
        <v>-1</v>
      </c>
      <c r="AF612">
        <v>-1</v>
      </c>
      <c r="AG612">
        <v>-1</v>
      </c>
      <c r="AH612">
        <v>-1</v>
      </c>
      <c r="AI612">
        <v>-1</v>
      </c>
      <c r="AJ612" s="9">
        <f t="shared" si="182"/>
        <v>6</v>
      </c>
      <c r="AK612">
        <f t="shared" si="181"/>
        <v>0</v>
      </c>
      <c r="AL612" s="9">
        <v>0</v>
      </c>
    </row>
    <row r="613" spans="1:38" x14ac:dyDescent="0.35">
      <c r="A613" s="9">
        <v>1</v>
      </c>
      <c r="B613" s="50" t="s">
        <v>70</v>
      </c>
      <c r="C613" s="53">
        <v>43887</v>
      </c>
      <c r="D613" s="53">
        <v>43900</v>
      </c>
      <c r="E613" s="53">
        <v>43969</v>
      </c>
      <c r="F613" s="21">
        <f t="shared" si="169"/>
        <v>69</v>
      </c>
      <c r="G613" s="53">
        <v>43900</v>
      </c>
      <c r="H613" s="9">
        <v>2020</v>
      </c>
      <c r="I613" s="9">
        <v>1</v>
      </c>
      <c r="J613" s="50">
        <v>1</v>
      </c>
      <c r="K613" s="50">
        <v>6</v>
      </c>
      <c r="L613" s="24" t="s">
        <v>1412</v>
      </c>
      <c r="M613" s="24"/>
      <c r="V613" t="s">
        <v>966</v>
      </c>
      <c r="W613" t="s">
        <v>989</v>
      </c>
      <c r="X613" t="s">
        <v>997</v>
      </c>
      <c r="Y613" t="s">
        <v>1000</v>
      </c>
      <c r="Z613">
        <v>1</v>
      </c>
      <c r="AA613">
        <v>-1</v>
      </c>
      <c r="AB613">
        <v>-1</v>
      </c>
      <c r="AC613">
        <v>-1</v>
      </c>
      <c r="AD613">
        <v>-1</v>
      </c>
      <c r="AE613">
        <v>-1</v>
      </c>
      <c r="AF613">
        <v>-1</v>
      </c>
      <c r="AG613">
        <v>-1</v>
      </c>
      <c r="AH613">
        <v>-1</v>
      </c>
      <c r="AI613">
        <v>-1</v>
      </c>
      <c r="AJ613" s="9">
        <f t="shared" si="182"/>
        <v>6</v>
      </c>
      <c r="AK613">
        <f t="shared" si="181"/>
        <v>0</v>
      </c>
      <c r="AL613" s="9">
        <v>0</v>
      </c>
    </row>
    <row r="614" spans="1:38" x14ac:dyDescent="0.35">
      <c r="A614" s="9">
        <v>1</v>
      </c>
      <c r="B614" s="50" t="s">
        <v>70</v>
      </c>
      <c r="C614" s="53">
        <v>43887</v>
      </c>
      <c r="D614" s="53">
        <v>43900</v>
      </c>
      <c r="E614" s="53">
        <v>43969</v>
      </c>
      <c r="F614" s="21">
        <f t="shared" si="169"/>
        <v>69</v>
      </c>
      <c r="G614" s="53">
        <v>43900</v>
      </c>
      <c r="H614" s="9">
        <v>2020</v>
      </c>
      <c r="I614" s="9">
        <v>1</v>
      </c>
      <c r="J614" s="50">
        <v>2</v>
      </c>
      <c r="K614" s="50">
        <v>14</v>
      </c>
      <c r="L614" s="24" t="s">
        <v>1413</v>
      </c>
      <c r="M614" s="24"/>
      <c r="V614" t="s">
        <v>966</v>
      </c>
      <c r="W614" t="s">
        <v>989</v>
      </c>
      <c r="X614" t="s">
        <v>997</v>
      </c>
      <c r="Y614" t="s">
        <v>1000</v>
      </c>
      <c r="Z614">
        <v>1</v>
      </c>
      <c r="AA614">
        <v>-1</v>
      </c>
      <c r="AB614">
        <v>-1</v>
      </c>
      <c r="AC614">
        <v>-1</v>
      </c>
      <c r="AD614">
        <v>-1</v>
      </c>
      <c r="AE614">
        <v>-1</v>
      </c>
      <c r="AF614">
        <v>-1</v>
      </c>
      <c r="AG614">
        <v>-1</v>
      </c>
      <c r="AH614">
        <v>-1</v>
      </c>
      <c r="AI614">
        <v>-1</v>
      </c>
      <c r="AJ614" s="9">
        <f t="shared" si="182"/>
        <v>14</v>
      </c>
      <c r="AK614">
        <f t="shared" si="181"/>
        <v>0</v>
      </c>
      <c r="AL614" s="9">
        <v>0</v>
      </c>
    </row>
    <row r="615" spans="1:38" x14ac:dyDescent="0.35">
      <c r="A615" s="9">
        <v>1</v>
      </c>
      <c r="B615" s="50" t="s">
        <v>70</v>
      </c>
      <c r="C615" s="53">
        <v>43887</v>
      </c>
      <c r="D615" s="53">
        <v>43900</v>
      </c>
      <c r="E615" s="53">
        <v>43969</v>
      </c>
      <c r="F615" s="21">
        <f t="shared" ref="F615:F688" si="183">DATEDIF(D615,E615,"D")</f>
        <v>69</v>
      </c>
      <c r="G615" s="53">
        <v>43900</v>
      </c>
      <c r="H615" s="9">
        <v>2020</v>
      </c>
      <c r="I615" s="9">
        <v>1</v>
      </c>
      <c r="J615" s="50">
        <v>2</v>
      </c>
      <c r="K615" s="50">
        <v>14</v>
      </c>
      <c r="L615" s="24" t="s">
        <v>1414</v>
      </c>
      <c r="M615" s="24"/>
      <c r="V615" t="s">
        <v>966</v>
      </c>
      <c r="W615" t="s">
        <v>989</v>
      </c>
      <c r="X615" t="s">
        <v>997</v>
      </c>
      <c r="Y615" t="s">
        <v>1000</v>
      </c>
      <c r="Z615">
        <v>1</v>
      </c>
      <c r="AA615">
        <v>-1</v>
      </c>
      <c r="AB615">
        <v>-1</v>
      </c>
      <c r="AC615">
        <v>-1</v>
      </c>
      <c r="AD615">
        <v>-1</v>
      </c>
      <c r="AE615">
        <v>-1</v>
      </c>
      <c r="AF615">
        <v>-1</v>
      </c>
      <c r="AG615">
        <v>-1</v>
      </c>
      <c r="AH615">
        <v>-1</v>
      </c>
      <c r="AI615">
        <v>-1</v>
      </c>
      <c r="AJ615" s="9">
        <f t="shared" si="182"/>
        <v>14</v>
      </c>
      <c r="AK615">
        <f t="shared" si="181"/>
        <v>0</v>
      </c>
      <c r="AL615" s="9">
        <v>0</v>
      </c>
    </row>
    <row r="616" spans="1:38" x14ac:dyDescent="0.35">
      <c r="A616" s="9">
        <v>1</v>
      </c>
      <c r="B616" s="50" t="s">
        <v>70</v>
      </c>
      <c r="C616" s="53">
        <v>43887</v>
      </c>
      <c r="D616" s="53">
        <v>43900</v>
      </c>
      <c r="E616" s="53">
        <v>43969</v>
      </c>
      <c r="F616" s="21">
        <f t="shared" si="183"/>
        <v>69</v>
      </c>
      <c r="G616" s="53">
        <v>43900</v>
      </c>
      <c r="H616" s="9">
        <v>2020</v>
      </c>
      <c r="I616" s="9">
        <v>1</v>
      </c>
      <c r="J616" s="50">
        <v>2</v>
      </c>
      <c r="K616" s="50">
        <v>16</v>
      </c>
      <c r="L616" s="24" t="s">
        <v>1415</v>
      </c>
      <c r="M616" s="24"/>
      <c r="V616" t="s">
        <v>966</v>
      </c>
      <c r="W616" t="s">
        <v>989</v>
      </c>
      <c r="X616" t="s">
        <v>997</v>
      </c>
      <c r="Y616" t="s">
        <v>1000</v>
      </c>
      <c r="Z616">
        <v>1</v>
      </c>
      <c r="AA616">
        <v>-1</v>
      </c>
      <c r="AB616">
        <v>-1</v>
      </c>
      <c r="AC616">
        <v>-1</v>
      </c>
      <c r="AD616">
        <v>-1</v>
      </c>
      <c r="AE616">
        <v>-1</v>
      </c>
      <c r="AF616">
        <v>-1</v>
      </c>
      <c r="AG616">
        <v>-1</v>
      </c>
      <c r="AH616">
        <v>-1</v>
      </c>
      <c r="AI616">
        <v>-1</v>
      </c>
      <c r="AJ616" s="9">
        <f t="shared" si="182"/>
        <v>16</v>
      </c>
      <c r="AK616">
        <f t="shared" si="181"/>
        <v>0</v>
      </c>
      <c r="AL616" s="9">
        <v>1</v>
      </c>
    </row>
    <row r="617" spans="1:38" s="47" customFormat="1" x14ac:dyDescent="0.35">
      <c r="A617" s="9">
        <v>1</v>
      </c>
      <c r="B617" s="50" t="s">
        <v>70</v>
      </c>
      <c r="C617" s="53">
        <v>43887</v>
      </c>
      <c r="D617" s="53">
        <v>43900</v>
      </c>
      <c r="E617" s="53">
        <v>43969</v>
      </c>
      <c r="F617" s="21">
        <f t="shared" ref="F617:F624" si="184">DATEDIF(D617,E617,"D")</f>
        <v>69</v>
      </c>
      <c r="G617" s="53">
        <v>43900</v>
      </c>
      <c r="H617" s="9">
        <v>2021</v>
      </c>
      <c r="I617" s="9">
        <v>1</v>
      </c>
      <c r="J617" s="50">
        <v>7</v>
      </c>
      <c r="K617" s="50">
        <v>31</v>
      </c>
      <c r="L617" s="48" t="s">
        <v>1933</v>
      </c>
      <c r="M617" s="48"/>
      <c r="AJ617" s="47">
        <f t="shared" si="182"/>
        <v>31</v>
      </c>
    </row>
    <row r="618" spans="1:38" s="47" customFormat="1" x14ac:dyDescent="0.35">
      <c r="A618" s="9">
        <v>1</v>
      </c>
      <c r="B618" s="50" t="s">
        <v>70</v>
      </c>
      <c r="C618" s="53">
        <v>43887</v>
      </c>
      <c r="D618" s="53">
        <v>43900</v>
      </c>
      <c r="E618" s="53">
        <v>43969</v>
      </c>
      <c r="F618" s="21">
        <f t="shared" si="184"/>
        <v>69</v>
      </c>
      <c r="G618" s="53">
        <v>43900</v>
      </c>
      <c r="H618" s="9">
        <v>2021</v>
      </c>
      <c r="I618" s="9">
        <v>1</v>
      </c>
      <c r="J618" s="50">
        <v>9</v>
      </c>
      <c r="K618" s="50">
        <v>34</v>
      </c>
      <c r="L618" s="48" t="s">
        <v>1934</v>
      </c>
      <c r="M618" s="48"/>
      <c r="AJ618" s="47">
        <f t="shared" si="182"/>
        <v>34</v>
      </c>
    </row>
    <row r="619" spans="1:38" s="47" customFormat="1" x14ac:dyDescent="0.35">
      <c r="A619" s="9">
        <v>1</v>
      </c>
      <c r="B619" s="50" t="s">
        <v>70</v>
      </c>
      <c r="C619" s="53">
        <v>43887</v>
      </c>
      <c r="D619" s="53">
        <v>43900</v>
      </c>
      <c r="E619" s="53">
        <v>43969</v>
      </c>
      <c r="F619" s="21">
        <f t="shared" si="184"/>
        <v>69</v>
      </c>
      <c r="G619" s="53">
        <v>43900</v>
      </c>
      <c r="H619" s="9">
        <v>2021</v>
      </c>
      <c r="I619" s="9">
        <v>1</v>
      </c>
      <c r="J619" s="50">
        <v>7</v>
      </c>
      <c r="K619" s="50">
        <v>31</v>
      </c>
      <c r="L619" s="48" t="s">
        <v>1935</v>
      </c>
      <c r="M619" s="48"/>
      <c r="AJ619" s="47">
        <f t="shared" si="182"/>
        <v>31</v>
      </c>
    </row>
    <row r="620" spans="1:38" s="47" customFormat="1" x14ac:dyDescent="0.35">
      <c r="A620" s="9">
        <v>1</v>
      </c>
      <c r="B620" s="50" t="s">
        <v>70</v>
      </c>
      <c r="C620" s="53">
        <v>43887</v>
      </c>
      <c r="D620" s="53">
        <v>43900</v>
      </c>
      <c r="E620" s="53">
        <v>43969</v>
      </c>
      <c r="F620" s="21">
        <f t="shared" si="184"/>
        <v>69</v>
      </c>
      <c r="G620" s="53">
        <v>43900</v>
      </c>
      <c r="H620" s="9">
        <v>2021</v>
      </c>
      <c r="I620" s="9">
        <v>1</v>
      </c>
      <c r="J620" s="50">
        <v>7</v>
      </c>
      <c r="K620" s="50">
        <v>30</v>
      </c>
      <c r="L620" s="48" t="s">
        <v>1936</v>
      </c>
      <c r="M620" s="48"/>
      <c r="AJ620" s="47">
        <f t="shared" si="182"/>
        <v>30</v>
      </c>
    </row>
    <row r="621" spans="1:38" s="47" customFormat="1" x14ac:dyDescent="0.35">
      <c r="A621" s="9">
        <v>1</v>
      </c>
      <c r="B621" s="50" t="s">
        <v>70</v>
      </c>
      <c r="C621" s="53">
        <v>43887</v>
      </c>
      <c r="D621" s="53">
        <v>43900</v>
      </c>
      <c r="E621" s="53">
        <v>43969</v>
      </c>
      <c r="F621" s="21">
        <f t="shared" si="184"/>
        <v>69</v>
      </c>
      <c r="G621" s="53">
        <v>43900</v>
      </c>
      <c r="H621" s="9">
        <v>2021</v>
      </c>
      <c r="I621" s="9">
        <v>1</v>
      </c>
      <c r="J621" s="50">
        <v>9</v>
      </c>
      <c r="K621" s="50">
        <v>34</v>
      </c>
      <c r="L621" s="48" t="s">
        <v>1937</v>
      </c>
      <c r="M621" s="48"/>
    </row>
    <row r="622" spans="1:38" s="47" customFormat="1" x14ac:dyDescent="0.35">
      <c r="A622" s="9">
        <v>1</v>
      </c>
      <c r="B622" s="50" t="s">
        <v>70</v>
      </c>
      <c r="C622" s="53">
        <v>43887</v>
      </c>
      <c r="D622" s="53">
        <v>43900</v>
      </c>
      <c r="E622" s="53">
        <v>43969</v>
      </c>
      <c r="F622" s="21">
        <f t="shared" si="184"/>
        <v>69</v>
      </c>
      <c r="G622" s="53">
        <v>43900</v>
      </c>
      <c r="H622" s="9">
        <v>2021</v>
      </c>
      <c r="I622" s="9">
        <v>1</v>
      </c>
      <c r="J622" s="50">
        <v>1</v>
      </c>
      <c r="K622" s="50" t="s">
        <v>206</v>
      </c>
      <c r="L622" s="48" t="s">
        <v>1938</v>
      </c>
      <c r="M622" s="48"/>
    </row>
    <row r="623" spans="1:38" s="47" customFormat="1" x14ac:dyDescent="0.35">
      <c r="A623" s="9">
        <v>1</v>
      </c>
      <c r="B623" s="50" t="s">
        <v>70</v>
      </c>
      <c r="C623" s="53">
        <v>43887</v>
      </c>
      <c r="D623" s="53">
        <v>43900</v>
      </c>
      <c r="E623" s="53">
        <v>43969</v>
      </c>
      <c r="F623" s="21">
        <f t="shared" si="184"/>
        <v>69</v>
      </c>
      <c r="G623" s="53">
        <v>43900</v>
      </c>
      <c r="H623" s="9">
        <v>2021</v>
      </c>
      <c r="I623" s="9">
        <v>1</v>
      </c>
      <c r="J623" s="50">
        <v>1</v>
      </c>
      <c r="K623" s="50" t="s">
        <v>206</v>
      </c>
      <c r="L623" s="48" t="s">
        <v>1939</v>
      </c>
      <c r="M623" s="48"/>
    </row>
    <row r="624" spans="1:38" s="47" customFormat="1" x14ac:dyDescent="0.35">
      <c r="A624" s="9">
        <v>1</v>
      </c>
      <c r="B624" s="50" t="s">
        <v>70</v>
      </c>
      <c r="C624" s="53">
        <v>43887</v>
      </c>
      <c r="D624" s="53">
        <v>43900</v>
      </c>
      <c r="E624" s="53">
        <v>43969</v>
      </c>
      <c r="F624" s="21">
        <f t="shared" si="184"/>
        <v>69</v>
      </c>
      <c r="G624" s="53">
        <v>43900</v>
      </c>
      <c r="H624" s="9">
        <v>2021</v>
      </c>
      <c r="I624" s="9">
        <v>1</v>
      </c>
      <c r="J624" s="50">
        <v>9</v>
      </c>
      <c r="K624" s="50">
        <v>34</v>
      </c>
      <c r="L624" s="49" t="s">
        <v>1940</v>
      </c>
      <c r="M624" s="48"/>
    </row>
    <row r="625" spans="1:38" x14ac:dyDescent="0.35">
      <c r="A625" s="50">
        <v>0</v>
      </c>
      <c r="B625" s="9" t="s">
        <v>78</v>
      </c>
      <c r="C625" s="53">
        <v>43894</v>
      </c>
      <c r="D625" s="53">
        <v>43906</v>
      </c>
      <c r="E625" s="53">
        <v>43955</v>
      </c>
      <c r="F625" s="21">
        <f t="shared" si="183"/>
        <v>49</v>
      </c>
      <c r="G625" s="53">
        <v>43906</v>
      </c>
      <c r="H625" s="9">
        <v>2020</v>
      </c>
      <c r="I625" s="50">
        <v>0</v>
      </c>
      <c r="J625" s="9">
        <v>1</v>
      </c>
      <c r="K625" s="9">
        <v>11</v>
      </c>
      <c r="L625" s="50" t="s">
        <v>1943</v>
      </c>
      <c r="M625">
        <v>-2</v>
      </c>
      <c r="N625">
        <v>2</v>
      </c>
      <c r="O625">
        <v>-2</v>
      </c>
      <c r="P625">
        <v>-2</v>
      </c>
      <c r="Q625">
        <v>-2</v>
      </c>
      <c r="R625">
        <v>2</v>
      </c>
      <c r="S625">
        <v>-2</v>
      </c>
      <c r="T625">
        <v>2</v>
      </c>
      <c r="U625">
        <v>1</v>
      </c>
      <c r="V625" t="s">
        <v>967</v>
      </c>
      <c r="W625" t="s">
        <v>989</v>
      </c>
      <c r="X625" t="s">
        <v>997</v>
      </c>
      <c r="Y625" t="s">
        <v>1000</v>
      </c>
      <c r="Z625">
        <v>0</v>
      </c>
      <c r="AA625">
        <f t="shared" ref="AA625:AA649" si="185">IF(M625&gt;0,1,IF(M625&lt;0,0,-1))</f>
        <v>0</v>
      </c>
      <c r="AB625">
        <f t="shared" ref="AB625:AB649" si="186">IF(N625&gt;0,1,IF(N625&lt;0,0,-1))</f>
        <v>1</v>
      </c>
      <c r="AC625">
        <f t="shared" ref="AC625:AC649" si="187">IF(O625&gt;0,1,IF(O625&lt;0,0,-1))</f>
        <v>0</v>
      </c>
      <c r="AD625">
        <f t="shared" ref="AD625:AD649" si="188">IF(P625&gt;0,1,IF(P625&lt;0,0,-1))</f>
        <v>0</v>
      </c>
      <c r="AE625">
        <f t="shared" ref="AE625:AE649" si="189">IF(Q625&gt;0,1,IF(Q625&lt;0,0,-1))</f>
        <v>0</v>
      </c>
      <c r="AF625">
        <f t="shared" ref="AF625:AF649" si="190">IF(R625&gt;0,1,IF(R625&lt;0,0,-1))</f>
        <v>1</v>
      </c>
      <c r="AG625">
        <f t="shared" ref="AG625:AG649" si="191">IF(S625&gt;0,1,IF(S625&lt;0,0,-1))</f>
        <v>0</v>
      </c>
      <c r="AH625">
        <f t="shared" ref="AH625:AH649" si="192">IF(T625&gt;0,1,IF(T625&lt;0,0,-1))</f>
        <v>1</v>
      </c>
      <c r="AI625">
        <f t="shared" ref="AI625:AI649" si="193">IF(U625&gt;0,1,IF(U625&lt;0,0,-1))</f>
        <v>1</v>
      </c>
      <c r="AJ625" s="9">
        <f t="shared" ref="AJ625:AJ632" si="194">IF(ISNUMBER(K625),K625,IF(OR(K625="general",K625="23;general"),"General",IF(OR(K625="exemption",K625="other (exemption)"),"Tax exemption/waiver/suspension","Other")))</f>
        <v>11</v>
      </c>
      <c r="AK625" t="e">
        <f>IF(B625&lt;&gt;#REF!,1,0)</f>
        <v>#REF!</v>
      </c>
      <c r="AL625" s="9">
        <v>1</v>
      </c>
    </row>
    <row r="626" spans="1:38" x14ac:dyDescent="0.35">
      <c r="A626" s="50">
        <v>0</v>
      </c>
      <c r="B626" s="9" t="s">
        <v>78</v>
      </c>
      <c r="C626" s="53">
        <v>43894</v>
      </c>
      <c r="D626" s="53">
        <v>43906</v>
      </c>
      <c r="E626" s="53">
        <v>43955</v>
      </c>
      <c r="F626" s="21">
        <f t="shared" si="183"/>
        <v>49</v>
      </c>
      <c r="G626" s="53">
        <v>43906</v>
      </c>
      <c r="H626" s="9">
        <v>2020</v>
      </c>
      <c r="I626" s="50">
        <v>0</v>
      </c>
      <c r="J626" s="9">
        <v>1</v>
      </c>
      <c r="K626" s="9">
        <v>9</v>
      </c>
      <c r="L626" s="50" t="s">
        <v>567</v>
      </c>
      <c r="M626">
        <v>2</v>
      </c>
      <c r="N626">
        <v>2</v>
      </c>
      <c r="O626">
        <v>2</v>
      </c>
      <c r="P626">
        <v>2</v>
      </c>
      <c r="Q626">
        <v>2</v>
      </c>
      <c r="R626">
        <v>-2</v>
      </c>
      <c r="S626">
        <v>-2</v>
      </c>
      <c r="T626">
        <v>2</v>
      </c>
      <c r="U626">
        <v>1</v>
      </c>
      <c r="V626" t="s">
        <v>967</v>
      </c>
      <c r="W626" t="s">
        <v>989</v>
      </c>
      <c r="X626" t="s">
        <v>997</v>
      </c>
      <c r="Y626" t="s">
        <v>1000</v>
      </c>
      <c r="Z626">
        <v>0</v>
      </c>
      <c r="AA626">
        <f t="shared" si="185"/>
        <v>1</v>
      </c>
      <c r="AB626">
        <f t="shared" si="186"/>
        <v>1</v>
      </c>
      <c r="AC626">
        <f t="shared" si="187"/>
        <v>1</v>
      </c>
      <c r="AD626">
        <f t="shared" si="188"/>
        <v>1</v>
      </c>
      <c r="AE626">
        <f t="shared" si="189"/>
        <v>1</v>
      </c>
      <c r="AF626">
        <f t="shared" si="190"/>
        <v>0</v>
      </c>
      <c r="AG626">
        <f t="shared" si="191"/>
        <v>0</v>
      </c>
      <c r="AH626">
        <f t="shared" si="192"/>
        <v>1</v>
      </c>
      <c r="AI626">
        <f t="shared" si="193"/>
        <v>1</v>
      </c>
      <c r="AJ626" s="9">
        <f t="shared" si="194"/>
        <v>9</v>
      </c>
      <c r="AK626">
        <f t="shared" ref="AK626:AK654" si="195">IF(B626&lt;&gt;B625,1,0)</f>
        <v>0</v>
      </c>
      <c r="AL626" s="9">
        <v>1</v>
      </c>
    </row>
    <row r="627" spans="1:38" x14ac:dyDescent="0.35">
      <c r="A627" s="50">
        <v>0</v>
      </c>
      <c r="B627" s="9" t="s">
        <v>78</v>
      </c>
      <c r="C627" s="53">
        <v>43894</v>
      </c>
      <c r="D627" s="53">
        <v>43906</v>
      </c>
      <c r="E627" s="53">
        <v>43955</v>
      </c>
      <c r="F627" s="21">
        <f t="shared" si="183"/>
        <v>49</v>
      </c>
      <c r="G627" s="53">
        <v>43906</v>
      </c>
      <c r="H627" s="9">
        <v>2020</v>
      </c>
      <c r="I627" s="50">
        <v>0</v>
      </c>
      <c r="J627" s="9">
        <v>6</v>
      </c>
      <c r="K627" s="9">
        <v>27</v>
      </c>
      <c r="L627" s="50" t="s">
        <v>566</v>
      </c>
      <c r="M627">
        <v>1</v>
      </c>
      <c r="N627">
        <v>1</v>
      </c>
      <c r="O627">
        <v>1</v>
      </c>
      <c r="P627">
        <v>-1</v>
      </c>
      <c r="Q627">
        <v>2</v>
      </c>
      <c r="R627">
        <v>1</v>
      </c>
      <c r="S627">
        <v>1</v>
      </c>
      <c r="T627">
        <v>2</v>
      </c>
      <c r="U627">
        <v>1</v>
      </c>
      <c r="V627" t="s">
        <v>967</v>
      </c>
      <c r="W627" t="s">
        <v>989</v>
      </c>
      <c r="X627" t="s">
        <v>997</v>
      </c>
      <c r="Y627" t="s">
        <v>1000</v>
      </c>
      <c r="Z627">
        <v>0</v>
      </c>
      <c r="AA627">
        <f t="shared" si="185"/>
        <v>1</v>
      </c>
      <c r="AB627">
        <f t="shared" si="186"/>
        <v>1</v>
      </c>
      <c r="AC627">
        <f t="shared" si="187"/>
        <v>1</v>
      </c>
      <c r="AD627">
        <f t="shared" si="188"/>
        <v>0</v>
      </c>
      <c r="AE627">
        <f t="shared" si="189"/>
        <v>1</v>
      </c>
      <c r="AF627">
        <f t="shared" si="190"/>
        <v>1</v>
      </c>
      <c r="AG627">
        <f t="shared" si="191"/>
        <v>1</v>
      </c>
      <c r="AH627">
        <f t="shared" si="192"/>
        <v>1</v>
      </c>
      <c r="AI627">
        <f t="shared" si="193"/>
        <v>1</v>
      </c>
      <c r="AJ627" s="9">
        <f t="shared" si="194"/>
        <v>27</v>
      </c>
      <c r="AK627">
        <f t="shared" si="195"/>
        <v>0</v>
      </c>
      <c r="AL627" s="9">
        <v>1</v>
      </c>
    </row>
    <row r="628" spans="1:38" x14ac:dyDescent="0.35">
      <c r="A628" s="50">
        <v>0</v>
      </c>
      <c r="B628" s="9" t="s">
        <v>78</v>
      </c>
      <c r="C628" s="53">
        <v>43894</v>
      </c>
      <c r="D628" s="53">
        <v>43906</v>
      </c>
      <c r="E628" s="53">
        <v>43955</v>
      </c>
      <c r="F628" s="21">
        <f t="shared" si="183"/>
        <v>49</v>
      </c>
      <c r="G628" s="53">
        <v>43906</v>
      </c>
      <c r="H628" s="9">
        <v>2020</v>
      </c>
      <c r="I628" s="50">
        <v>0</v>
      </c>
      <c r="J628" s="9">
        <v>5</v>
      </c>
      <c r="K628" s="9" t="s">
        <v>204</v>
      </c>
      <c r="L628" s="50" t="s">
        <v>552</v>
      </c>
      <c r="M628">
        <v>1</v>
      </c>
      <c r="N628">
        <v>-2</v>
      </c>
      <c r="O628">
        <v>-2</v>
      </c>
      <c r="P628">
        <v>-1</v>
      </c>
      <c r="Q628">
        <v>-2</v>
      </c>
      <c r="R628">
        <v>1</v>
      </c>
      <c r="S628">
        <v>1</v>
      </c>
      <c r="T628">
        <v>2</v>
      </c>
      <c r="U628">
        <v>1</v>
      </c>
      <c r="V628" t="s">
        <v>967</v>
      </c>
      <c r="W628" t="s">
        <v>989</v>
      </c>
      <c r="X628" t="s">
        <v>997</v>
      </c>
      <c r="Y628" t="s">
        <v>1000</v>
      </c>
      <c r="Z628">
        <v>0</v>
      </c>
      <c r="AA628">
        <f t="shared" si="185"/>
        <v>1</v>
      </c>
      <c r="AB628">
        <f t="shared" si="186"/>
        <v>0</v>
      </c>
      <c r="AC628">
        <f t="shared" si="187"/>
        <v>0</v>
      </c>
      <c r="AD628">
        <f t="shared" si="188"/>
        <v>0</v>
      </c>
      <c r="AE628">
        <f t="shared" si="189"/>
        <v>0</v>
      </c>
      <c r="AF628">
        <f t="shared" si="190"/>
        <v>1</v>
      </c>
      <c r="AG628">
        <f t="shared" si="191"/>
        <v>1</v>
      </c>
      <c r="AH628">
        <f t="shared" si="192"/>
        <v>1</v>
      </c>
      <c r="AI628">
        <f t="shared" si="193"/>
        <v>1</v>
      </c>
      <c r="AJ628" s="9" t="str">
        <f t="shared" si="194"/>
        <v>General</v>
      </c>
      <c r="AK628">
        <f t="shared" si="195"/>
        <v>0</v>
      </c>
      <c r="AL628" s="9">
        <v>1</v>
      </c>
    </row>
    <row r="629" spans="1:38" x14ac:dyDescent="0.35">
      <c r="A629" s="50">
        <v>0</v>
      </c>
      <c r="B629" s="9" t="s">
        <v>78</v>
      </c>
      <c r="C629" s="53">
        <v>43894</v>
      </c>
      <c r="D629" s="53">
        <v>43906</v>
      </c>
      <c r="E629" s="53">
        <v>43955</v>
      </c>
      <c r="F629" s="21">
        <f t="shared" si="183"/>
        <v>49</v>
      </c>
      <c r="G629" s="53">
        <v>43906</v>
      </c>
      <c r="H629" s="9">
        <v>2020</v>
      </c>
      <c r="I629" s="50">
        <v>0</v>
      </c>
      <c r="J629" s="9">
        <v>7</v>
      </c>
      <c r="K629" s="9">
        <v>30</v>
      </c>
      <c r="L629" s="50" t="s">
        <v>571</v>
      </c>
      <c r="M629">
        <v>1</v>
      </c>
      <c r="N629">
        <v>1</v>
      </c>
      <c r="O629">
        <v>2</v>
      </c>
      <c r="P629">
        <v>1</v>
      </c>
      <c r="Q629">
        <v>2</v>
      </c>
      <c r="R629">
        <v>1</v>
      </c>
      <c r="S629">
        <v>1</v>
      </c>
      <c r="T629">
        <v>-2</v>
      </c>
      <c r="U629">
        <v>1</v>
      </c>
      <c r="V629" t="s">
        <v>967</v>
      </c>
      <c r="W629" t="s">
        <v>989</v>
      </c>
      <c r="X629" t="s">
        <v>997</v>
      </c>
      <c r="Y629" t="s">
        <v>1000</v>
      </c>
      <c r="Z629">
        <v>0</v>
      </c>
      <c r="AA629">
        <f t="shared" si="185"/>
        <v>1</v>
      </c>
      <c r="AB629">
        <f t="shared" si="186"/>
        <v>1</v>
      </c>
      <c r="AC629">
        <f t="shared" si="187"/>
        <v>1</v>
      </c>
      <c r="AD629">
        <f t="shared" si="188"/>
        <v>1</v>
      </c>
      <c r="AE629">
        <f t="shared" si="189"/>
        <v>1</v>
      </c>
      <c r="AF629">
        <f t="shared" si="190"/>
        <v>1</v>
      </c>
      <c r="AG629">
        <f t="shared" si="191"/>
        <v>1</v>
      </c>
      <c r="AH629">
        <f t="shared" si="192"/>
        <v>0</v>
      </c>
      <c r="AI629">
        <f t="shared" si="193"/>
        <v>1</v>
      </c>
      <c r="AJ629" s="9">
        <f t="shared" si="194"/>
        <v>30</v>
      </c>
      <c r="AK629">
        <f t="shared" si="195"/>
        <v>0</v>
      </c>
      <c r="AL629" s="9">
        <v>1</v>
      </c>
    </row>
    <row r="630" spans="1:38" x14ac:dyDescent="0.35">
      <c r="A630" s="50">
        <v>0</v>
      </c>
      <c r="B630" s="9" t="s">
        <v>78</v>
      </c>
      <c r="C630" s="53">
        <v>43894</v>
      </c>
      <c r="D630" s="53">
        <v>43906</v>
      </c>
      <c r="E630" s="53">
        <v>43955</v>
      </c>
      <c r="F630" s="21">
        <f t="shared" si="183"/>
        <v>49</v>
      </c>
      <c r="G630" s="53">
        <v>43906</v>
      </c>
      <c r="H630" s="9">
        <v>2020</v>
      </c>
      <c r="I630" s="50">
        <v>0</v>
      </c>
      <c r="J630" s="9">
        <v>1</v>
      </c>
      <c r="K630" s="9">
        <v>4</v>
      </c>
      <c r="L630" s="50" t="s">
        <v>555</v>
      </c>
      <c r="M630">
        <v>2</v>
      </c>
      <c r="N630">
        <v>2</v>
      </c>
      <c r="O630">
        <v>-2</v>
      </c>
      <c r="P630">
        <v>-1</v>
      </c>
      <c r="Q630">
        <v>-2</v>
      </c>
      <c r="R630">
        <v>2</v>
      </c>
      <c r="S630">
        <v>2</v>
      </c>
      <c r="T630">
        <v>-2</v>
      </c>
      <c r="U630">
        <v>1</v>
      </c>
      <c r="V630" t="s">
        <v>967</v>
      </c>
      <c r="W630" t="s">
        <v>989</v>
      </c>
      <c r="X630" t="s">
        <v>997</v>
      </c>
      <c r="Y630" t="s">
        <v>1000</v>
      </c>
      <c r="Z630">
        <v>0</v>
      </c>
      <c r="AA630">
        <f t="shared" si="185"/>
        <v>1</v>
      </c>
      <c r="AB630">
        <f t="shared" si="186"/>
        <v>1</v>
      </c>
      <c r="AC630">
        <f t="shared" si="187"/>
        <v>0</v>
      </c>
      <c r="AD630">
        <f t="shared" si="188"/>
        <v>0</v>
      </c>
      <c r="AE630">
        <f t="shared" si="189"/>
        <v>0</v>
      </c>
      <c r="AF630">
        <f t="shared" si="190"/>
        <v>1</v>
      </c>
      <c r="AG630">
        <f t="shared" si="191"/>
        <v>1</v>
      </c>
      <c r="AH630">
        <f t="shared" si="192"/>
        <v>0</v>
      </c>
      <c r="AI630">
        <f t="shared" si="193"/>
        <v>1</v>
      </c>
      <c r="AJ630" s="9">
        <f t="shared" si="194"/>
        <v>4</v>
      </c>
      <c r="AK630">
        <f t="shared" si="195"/>
        <v>0</v>
      </c>
      <c r="AL630" s="9">
        <v>1</v>
      </c>
    </row>
    <row r="631" spans="1:38" x14ac:dyDescent="0.35">
      <c r="A631" s="50">
        <v>0</v>
      </c>
      <c r="B631" s="9" t="s">
        <v>78</v>
      </c>
      <c r="C631" s="53">
        <v>43894</v>
      </c>
      <c r="D631" s="53">
        <v>43906</v>
      </c>
      <c r="E631" s="53">
        <v>43955</v>
      </c>
      <c r="F631" s="21">
        <f t="shared" si="183"/>
        <v>49</v>
      </c>
      <c r="G631" s="53">
        <v>43906</v>
      </c>
      <c r="H631" s="9">
        <v>2020</v>
      </c>
      <c r="I631" s="50">
        <v>0</v>
      </c>
      <c r="J631" s="9">
        <v>4</v>
      </c>
      <c r="K631" s="9" t="s">
        <v>206</v>
      </c>
      <c r="L631" s="50" t="s">
        <v>558</v>
      </c>
      <c r="M631">
        <v>2</v>
      </c>
      <c r="N631">
        <v>2</v>
      </c>
      <c r="O631">
        <v>-2</v>
      </c>
      <c r="P631">
        <v>-1</v>
      </c>
      <c r="Q631">
        <v>-2</v>
      </c>
      <c r="R631">
        <v>2</v>
      </c>
      <c r="S631">
        <v>1</v>
      </c>
      <c r="U631">
        <v>1</v>
      </c>
      <c r="V631" t="s">
        <v>967</v>
      </c>
      <c r="W631" t="s">
        <v>989</v>
      </c>
      <c r="X631" t="s">
        <v>997</v>
      </c>
      <c r="Y631" t="s">
        <v>1000</v>
      </c>
      <c r="Z631">
        <v>0</v>
      </c>
      <c r="AA631">
        <f t="shared" si="185"/>
        <v>1</v>
      </c>
      <c r="AB631">
        <f t="shared" si="186"/>
        <v>1</v>
      </c>
      <c r="AC631">
        <f t="shared" si="187"/>
        <v>0</v>
      </c>
      <c r="AD631">
        <f t="shared" si="188"/>
        <v>0</v>
      </c>
      <c r="AE631">
        <f t="shared" si="189"/>
        <v>0</v>
      </c>
      <c r="AF631">
        <f t="shared" si="190"/>
        <v>1</v>
      </c>
      <c r="AG631">
        <f t="shared" si="191"/>
        <v>1</v>
      </c>
      <c r="AH631">
        <f t="shared" si="192"/>
        <v>-1</v>
      </c>
      <c r="AI631">
        <f t="shared" si="193"/>
        <v>1</v>
      </c>
      <c r="AJ631" s="9" t="str">
        <f t="shared" si="194"/>
        <v>Tax exemption/waiver/suspension</v>
      </c>
      <c r="AK631">
        <f t="shared" si="195"/>
        <v>0</v>
      </c>
      <c r="AL631" s="9">
        <v>1</v>
      </c>
    </row>
    <row r="632" spans="1:38" x14ac:dyDescent="0.35">
      <c r="A632" s="50">
        <v>0</v>
      </c>
      <c r="B632" s="9" t="s">
        <v>78</v>
      </c>
      <c r="C632" s="53">
        <v>43894</v>
      </c>
      <c r="D632" s="53">
        <v>43906</v>
      </c>
      <c r="E632" s="53">
        <v>43955</v>
      </c>
      <c r="F632" s="21">
        <f t="shared" si="183"/>
        <v>49</v>
      </c>
      <c r="G632" s="53">
        <v>43906</v>
      </c>
      <c r="H632" s="9">
        <v>2020</v>
      </c>
      <c r="I632" s="50">
        <v>0</v>
      </c>
      <c r="J632" s="9">
        <v>6</v>
      </c>
      <c r="K632" s="9">
        <v>29</v>
      </c>
      <c r="L632" s="50" t="s">
        <v>563</v>
      </c>
      <c r="M632">
        <v>1</v>
      </c>
      <c r="N632">
        <v>1</v>
      </c>
      <c r="O632">
        <v>2</v>
      </c>
      <c r="P632">
        <v>-1</v>
      </c>
      <c r="Q632">
        <v>-2</v>
      </c>
      <c r="R632">
        <v>2</v>
      </c>
      <c r="S632">
        <v>1</v>
      </c>
      <c r="T632">
        <v>-2</v>
      </c>
      <c r="U632">
        <v>1</v>
      </c>
      <c r="V632" t="s">
        <v>967</v>
      </c>
      <c r="W632" t="s">
        <v>989</v>
      </c>
      <c r="X632" t="s">
        <v>997</v>
      </c>
      <c r="Y632" t="s">
        <v>1000</v>
      </c>
      <c r="Z632">
        <v>0</v>
      </c>
      <c r="AA632">
        <f t="shared" si="185"/>
        <v>1</v>
      </c>
      <c r="AB632">
        <f t="shared" si="186"/>
        <v>1</v>
      </c>
      <c r="AC632">
        <f t="shared" si="187"/>
        <v>1</v>
      </c>
      <c r="AD632">
        <f t="shared" si="188"/>
        <v>0</v>
      </c>
      <c r="AE632">
        <f t="shared" si="189"/>
        <v>0</v>
      </c>
      <c r="AF632">
        <f t="shared" si="190"/>
        <v>1</v>
      </c>
      <c r="AG632">
        <f t="shared" si="191"/>
        <v>1</v>
      </c>
      <c r="AH632">
        <f t="shared" si="192"/>
        <v>0</v>
      </c>
      <c r="AI632">
        <f t="shared" si="193"/>
        <v>1</v>
      </c>
      <c r="AJ632" s="9">
        <f t="shared" si="194"/>
        <v>29</v>
      </c>
      <c r="AK632">
        <f t="shared" si="195"/>
        <v>0</v>
      </c>
      <c r="AL632" s="9">
        <v>1</v>
      </c>
    </row>
    <row r="633" spans="1:38" x14ac:dyDescent="0.35">
      <c r="A633" s="50">
        <v>0</v>
      </c>
      <c r="B633" s="9" t="s">
        <v>78</v>
      </c>
      <c r="C633" s="53">
        <v>43894</v>
      </c>
      <c r="D633" s="53">
        <v>43906</v>
      </c>
      <c r="E633" s="53">
        <v>43955</v>
      </c>
      <c r="F633" s="21">
        <f t="shared" si="183"/>
        <v>49</v>
      </c>
      <c r="G633" s="53">
        <v>43906</v>
      </c>
      <c r="H633" s="9">
        <v>2020</v>
      </c>
      <c r="I633" s="50">
        <v>0</v>
      </c>
      <c r="J633" s="9">
        <v>7</v>
      </c>
      <c r="K633" s="9">
        <v>31</v>
      </c>
      <c r="L633" s="50" t="s">
        <v>570</v>
      </c>
      <c r="M633">
        <v>1</v>
      </c>
      <c r="N633">
        <v>1</v>
      </c>
      <c r="O633">
        <v>2</v>
      </c>
      <c r="P633">
        <v>-1</v>
      </c>
      <c r="Q633">
        <v>2</v>
      </c>
      <c r="R633">
        <v>1</v>
      </c>
      <c r="S633">
        <v>1</v>
      </c>
      <c r="T633">
        <v>2</v>
      </c>
      <c r="U633">
        <v>1</v>
      </c>
      <c r="V633" t="s">
        <v>967</v>
      </c>
      <c r="W633" t="s">
        <v>989</v>
      </c>
      <c r="X633" t="s">
        <v>997</v>
      </c>
      <c r="Y633" t="s">
        <v>1000</v>
      </c>
      <c r="Z633">
        <v>0</v>
      </c>
      <c r="AA633">
        <f t="shared" si="185"/>
        <v>1</v>
      </c>
      <c r="AB633">
        <f t="shared" si="186"/>
        <v>1</v>
      </c>
      <c r="AC633">
        <f t="shared" si="187"/>
        <v>1</v>
      </c>
      <c r="AD633">
        <f t="shared" si="188"/>
        <v>0</v>
      </c>
      <c r="AE633">
        <f t="shared" si="189"/>
        <v>1</v>
      </c>
      <c r="AF633">
        <f t="shared" si="190"/>
        <v>1</v>
      </c>
      <c r="AG633">
        <f t="shared" si="191"/>
        <v>1</v>
      </c>
      <c r="AH633">
        <f t="shared" si="192"/>
        <v>1</v>
      </c>
      <c r="AI633">
        <f t="shared" si="193"/>
        <v>1</v>
      </c>
      <c r="AJ633" s="9">
        <f t="shared" ref="AJ633:AJ699" si="196">IF(ISNUMBER(K633),K633,IF(OR(K633="general",K633="23;general"),"General",IF(OR(K633="exemption",K633="other (exemption)"),"Tax exemption/waiver/suspension","Other")))</f>
        <v>31</v>
      </c>
      <c r="AK633">
        <f t="shared" si="195"/>
        <v>0</v>
      </c>
      <c r="AL633" s="9">
        <v>1</v>
      </c>
    </row>
    <row r="634" spans="1:38" x14ac:dyDescent="0.35">
      <c r="A634" s="50">
        <v>0</v>
      </c>
      <c r="B634" s="9" t="s">
        <v>78</v>
      </c>
      <c r="C634" s="53">
        <v>43894</v>
      </c>
      <c r="D634" s="53">
        <v>43906</v>
      </c>
      <c r="E634" s="53">
        <v>43955</v>
      </c>
      <c r="F634" s="21">
        <f t="shared" si="183"/>
        <v>49</v>
      </c>
      <c r="G634" s="53">
        <v>43906</v>
      </c>
      <c r="H634" s="9">
        <v>2020</v>
      </c>
      <c r="I634" s="50">
        <v>0</v>
      </c>
      <c r="J634" s="9">
        <v>2</v>
      </c>
      <c r="K634" s="9" t="s">
        <v>206</v>
      </c>
      <c r="L634" s="50" t="s">
        <v>569</v>
      </c>
      <c r="M634">
        <v>2</v>
      </c>
      <c r="N634">
        <v>2</v>
      </c>
      <c r="O634">
        <v>-2</v>
      </c>
      <c r="P634">
        <v>-1</v>
      </c>
      <c r="Q634">
        <v>-2</v>
      </c>
      <c r="R634">
        <v>2</v>
      </c>
      <c r="S634">
        <v>1</v>
      </c>
      <c r="T634">
        <v>2</v>
      </c>
      <c r="U634">
        <v>1</v>
      </c>
      <c r="V634" t="s">
        <v>967</v>
      </c>
      <c r="W634" t="s">
        <v>989</v>
      </c>
      <c r="X634" t="s">
        <v>997</v>
      </c>
      <c r="Y634" t="s">
        <v>1000</v>
      </c>
      <c r="Z634">
        <v>0</v>
      </c>
      <c r="AA634">
        <f t="shared" si="185"/>
        <v>1</v>
      </c>
      <c r="AB634">
        <f t="shared" si="186"/>
        <v>1</v>
      </c>
      <c r="AC634">
        <f t="shared" si="187"/>
        <v>0</v>
      </c>
      <c r="AD634">
        <f t="shared" si="188"/>
        <v>0</v>
      </c>
      <c r="AE634">
        <f t="shared" si="189"/>
        <v>0</v>
      </c>
      <c r="AF634">
        <f t="shared" si="190"/>
        <v>1</v>
      </c>
      <c r="AG634">
        <f t="shared" si="191"/>
        <v>1</v>
      </c>
      <c r="AH634">
        <f t="shared" si="192"/>
        <v>1</v>
      </c>
      <c r="AI634">
        <f t="shared" si="193"/>
        <v>1</v>
      </c>
      <c r="AJ634" s="9" t="str">
        <f t="shared" si="196"/>
        <v>Tax exemption/waiver/suspension</v>
      </c>
      <c r="AK634">
        <f t="shared" si="195"/>
        <v>0</v>
      </c>
      <c r="AL634" s="9">
        <v>1</v>
      </c>
    </row>
    <row r="635" spans="1:38" x14ac:dyDescent="0.35">
      <c r="A635" s="50">
        <v>0</v>
      </c>
      <c r="B635" s="9" t="s">
        <v>78</v>
      </c>
      <c r="C635" s="53">
        <v>43894</v>
      </c>
      <c r="D635" s="53">
        <v>43906</v>
      </c>
      <c r="E635" s="53">
        <v>43955</v>
      </c>
      <c r="F635" s="21">
        <f t="shared" si="183"/>
        <v>49</v>
      </c>
      <c r="G635" s="53">
        <v>43906</v>
      </c>
      <c r="H635" s="9">
        <v>2020</v>
      </c>
      <c r="I635" s="50">
        <v>0</v>
      </c>
      <c r="J635" s="9">
        <v>2</v>
      </c>
      <c r="K635" s="9">
        <v>15</v>
      </c>
      <c r="L635" s="50" t="s">
        <v>551</v>
      </c>
      <c r="M635">
        <v>-2</v>
      </c>
      <c r="N635">
        <v>2</v>
      </c>
      <c r="O635">
        <v>-2</v>
      </c>
      <c r="P635">
        <v>-1</v>
      </c>
      <c r="Q635">
        <v>-2</v>
      </c>
      <c r="R635">
        <v>-2</v>
      </c>
      <c r="S635">
        <v>-2</v>
      </c>
      <c r="T635">
        <v>2</v>
      </c>
      <c r="U635">
        <v>1</v>
      </c>
      <c r="V635" t="s">
        <v>967</v>
      </c>
      <c r="W635" t="s">
        <v>989</v>
      </c>
      <c r="X635" t="s">
        <v>997</v>
      </c>
      <c r="Y635" t="s">
        <v>1000</v>
      </c>
      <c r="Z635">
        <v>0</v>
      </c>
      <c r="AA635">
        <f t="shared" si="185"/>
        <v>0</v>
      </c>
      <c r="AB635">
        <f t="shared" si="186"/>
        <v>1</v>
      </c>
      <c r="AC635">
        <f t="shared" si="187"/>
        <v>0</v>
      </c>
      <c r="AD635">
        <f t="shared" si="188"/>
        <v>0</v>
      </c>
      <c r="AE635">
        <f t="shared" si="189"/>
        <v>0</v>
      </c>
      <c r="AF635">
        <f t="shared" si="190"/>
        <v>0</v>
      </c>
      <c r="AG635">
        <f t="shared" si="191"/>
        <v>0</v>
      </c>
      <c r="AH635">
        <f t="shared" si="192"/>
        <v>1</v>
      </c>
      <c r="AI635">
        <f t="shared" si="193"/>
        <v>1</v>
      </c>
      <c r="AJ635" s="9">
        <f t="shared" si="196"/>
        <v>15</v>
      </c>
      <c r="AK635">
        <f t="shared" si="195"/>
        <v>0</v>
      </c>
      <c r="AL635" s="9">
        <v>1</v>
      </c>
    </row>
    <row r="636" spans="1:38" x14ac:dyDescent="0.35">
      <c r="A636" s="50">
        <v>0</v>
      </c>
      <c r="B636" s="9" t="s">
        <v>78</v>
      </c>
      <c r="C636" s="53">
        <v>43894</v>
      </c>
      <c r="D636" s="53">
        <v>43906</v>
      </c>
      <c r="E636" s="53">
        <v>43955</v>
      </c>
      <c r="F636" s="21">
        <f t="shared" si="183"/>
        <v>49</v>
      </c>
      <c r="G636" s="53">
        <v>43906</v>
      </c>
      <c r="H636" s="9">
        <v>2020</v>
      </c>
      <c r="I636" s="50">
        <v>0</v>
      </c>
      <c r="J636" s="9">
        <v>7</v>
      </c>
      <c r="K636" s="9">
        <v>30</v>
      </c>
      <c r="L636" s="50" t="s">
        <v>568</v>
      </c>
      <c r="M636">
        <v>1</v>
      </c>
      <c r="N636">
        <v>1</v>
      </c>
      <c r="O636">
        <v>2</v>
      </c>
      <c r="P636">
        <v>1</v>
      </c>
      <c r="Q636">
        <v>1</v>
      </c>
      <c r="R636">
        <v>1</v>
      </c>
      <c r="S636">
        <v>1</v>
      </c>
      <c r="T636">
        <v>-2</v>
      </c>
      <c r="U636">
        <v>1</v>
      </c>
      <c r="V636" t="s">
        <v>967</v>
      </c>
      <c r="W636" t="s">
        <v>989</v>
      </c>
      <c r="X636" t="s">
        <v>997</v>
      </c>
      <c r="Y636" t="s">
        <v>1000</v>
      </c>
      <c r="Z636">
        <v>0</v>
      </c>
      <c r="AA636">
        <f t="shared" si="185"/>
        <v>1</v>
      </c>
      <c r="AB636">
        <f t="shared" si="186"/>
        <v>1</v>
      </c>
      <c r="AC636">
        <f t="shared" si="187"/>
        <v>1</v>
      </c>
      <c r="AD636">
        <f t="shared" si="188"/>
        <v>1</v>
      </c>
      <c r="AE636">
        <f t="shared" si="189"/>
        <v>1</v>
      </c>
      <c r="AF636">
        <f t="shared" si="190"/>
        <v>1</v>
      </c>
      <c r="AG636">
        <f t="shared" si="191"/>
        <v>1</v>
      </c>
      <c r="AH636">
        <f t="shared" si="192"/>
        <v>0</v>
      </c>
      <c r="AI636">
        <f t="shared" si="193"/>
        <v>1</v>
      </c>
      <c r="AJ636" s="9">
        <f t="shared" si="196"/>
        <v>30</v>
      </c>
      <c r="AK636">
        <f t="shared" si="195"/>
        <v>0</v>
      </c>
      <c r="AL636" s="9">
        <v>1</v>
      </c>
    </row>
    <row r="637" spans="1:38" x14ac:dyDescent="0.35">
      <c r="A637" s="50">
        <v>0</v>
      </c>
      <c r="B637" s="9" t="s">
        <v>78</v>
      </c>
      <c r="C637" s="53">
        <v>43894</v>
      </c>
      <c r="D637" s="53">
        <v>43906</v>
      </c>
      <c r="E637" s="53">
        <v>43955</v>
      </c>
      <c r="F637" s="21">
        <f t="shared" si="183"/>
        <v>49</v>
      </c>
      <c r="G637" s="53">
        <v>43906</v>
      </c>
      <c r="H637" s="9">
        <v>2020</v>
      </c>
      <c r="I637" s="50">
        <v>0</v>
      </c>
      <c r="J637" s="9">
        <v>7</v>
      </c>
      <c r="K637" s="9" t="s">
        <v>201</v>
      </c>
      <c r="L637" s="50" t="s">
        <v>549</v>
      </c>
      <c r="M637">
        <v>1</v>
      </c>
      <c r="N637">
        <v>1</v>
      </c>
      <c r="O637">
        <v>2</v>
      </c>
      <c r="P637">
        <v>1</v>
      </c>
      <c r="Q637">
        <v>2</v>
      </c>
      <c r="R637">
        <v>1</v>
      </c>
      <c r="S637">
        <v>1</v>
      </c>
      <c r="T637">
        <v>2</v>
      </c>
      <c r="U637">
        <v>1</v>
      </c>
      <c r="V637" t="s">
        <v>967</v>
      </c>
      <c r="W637" t="s">
        <v>989</v>
      </c>
      <c r="X637" t="s">
        <v>997</v>
      </c>
      <c r="Y637" t="s">
        <v>1000</v>
      </c>
      <c r="Z637">
        <v>0</v>
      </c>
      <c r="AA637">
        <f t="shared" si="185"/>
        <v>1</v>
      </c>
      <c r="AB637">
        <f t="shared" si="186"/>
        <v>1</v>
      </c>
      <c r="AC637">
        <f t="shared" si="187"/>
        <v>1</v>
      </c>
      <c r="AD637">
        <f t="shared" si="188"/>
        <v>1</v>
      </c>
      <c r="AE637">
        <f t="shared" si="189"/>
        <v>1</v>
      </c>
      <c r="AF637">
        <f t="shared" si="190"/>
        <v>1</v>
      </c>
      <c r="AG637">
        <f t="shared" si="191"/>
        <v>1</v>
      </c>
      <c r="AH637">
        <f t="shared" si="192"/>
        <v>1</v>
      </c>
      <c r="AI637">
        <f t="shared" si="193"/>
        <v>1</v>
      </c>
      <c r="AJ637" s="9" t="str">
        <f t="shared" si="196"/>
        <v>Other</v>
      </c>
      <c r="AK637">
        <f t="shared" si="195"/>
        <v>0</v>
      </c>
      <c r="AL637" s="9">
        <v>1</v>
      </c>
    </row>
    <row r="638" spans="1:38" x14ac:dyDescent="0.35">
      <c r="A638" s="50">
        <v>0</v>
      </c>
      <c r="B638" s="9" t="s">
        <v>78</v>
      </c>
      <c r="C638" s="53">
        <v>43894</v>
      </c>
      <c r="D638" s="53">
        <v>43906</v>
      </c>
      <c r="E638" s="53">
        <v>43955</v>
      </c>
      <c r="F638" s="21">
        <f t="shared" si="183"/>
        <v>49</v>
      </c>
      <c r="G638" s="53">
        <v>43906</v>
      </c>
      <c r="H638" s="9">
        <v>2020</v>
      </c>
      <c r="I638" s="50">
        <v>0</v>
      </c>
      <c r="J638" s="9">
        <v>1</v>
      </c>
      <c r="K638" s="9">
        <v>7</v>
      </c>
      <c r="L638" s="50" t="s">
        <v>550</v>
      </c>
      <c r="M638">
        <v>2</v>
      </c>
      <c r="N638">
        <v>2</v>
      </c>
      <c r="O638">
        <v>-2</v>
      </c>
      <c r="P638">
        <v>-1</v>
      </c>
      <c r="Q638">
        <v>-2</v>
      </c>
      <c r="R638">
        <v>2</v>
      </c>
      <c r="S638">
        <v>1</v>
      </c>
      <c r="U638">
        <v>1</v>
      </c>
      <c r="V638" t="s">
        <v>967</v>
      </c>
      <c r="W638" t="s">
        <v>989</v>
      </c>
      <c r="X638" t="s">
        <v>997</v>
      </c>
      <c r="Y638" t="s">
        <v>1000</v>
      </c>
      <c r="Z638">
        <v>0</v>
      </c>
      <c r="AA638">
        <f t="shared" si="185"/>
        <v>1</v>
      </c>
      <c r="AB638">
        <f t="shared" si="186"/>
        <v>1</v>
      </c>
      <c r="AC638">
        <f t="shared" si="187"/>
        <v>0</v>
      </c>
      <c r="AD638">
        <f t="shared" si="188"/>
        <v>0</v>
      </c>
      <c r="AE638">
        <f t="shared" si="189"/>
        <v>0</v>
      </c>
      <c r="AF638">
        <f t="shared" si="190"/>
        <v>1</v>
      </c>
      <c r="AG638">
        <f t="shared" si="191"/>
        <v>1</v>
      </c>
      <c r="AH638">
        <f t="shared" si="192"/>
        <v>-1</v>
      </c>
      <c r="AI638">
        <f t="shared" si="193"/>
        <v>1</v>
      </c>
      <c r="AJ638" s="9">
        <f t="shared" si="196"/>
        <v>7</v>
      </c>
      <c r="AK638">
        <f t="shared" si="195"/>
        <v>0</v>
      </c>
      <c r="AL638" s="9">
        <v>1</v>
      </c>
    </row>
    <row r="639" spans="1:38" x14ac:dyDescent="0.35">
      <c r="A639" s="50">
        <v>0</v>
      </c>
      <c r="B639" s="9" t="s">
        <v>78</v>
      </c>
      <c r="C639" s="53">
        <v>43894</v>
      </c>
      <c r="D639" s="53">
        <v>43906</v>
      </c>
      <c r="E639" s="53">
        <v>43955</v>
      </c>
      <c r="F639" s="21">
        <f t="shared" si="183"/>
        <v>49</v>
      </c>
      <c r="G639" s="53">
        <v>43906</v>
      </c>
      <c r="H639" s="9">
        <v>2020</v>
      </c>
      <c r="I639" s="50">
        <v>0</v>
      </c>
      <c r="J639" s="9">
        <v>1</v>
      </c>
      <c r="K639" s="9">
        <v>6</v>
      </c>
      <c r="L639" s="50" t="s">
        <v>553</v>
      </c>
      <c r="M639">
        <v>-2</v>
      </c>
      <c r="N639">
        <v>2</v>
      </c>
      <c r="R639">
        <v>2</v>
      </c>
      <c r="S639">
        <v>2</v>
      </c>
      <c r="T639">
        <v>2</v>
      </c>
      <c r="U639">
        <v>1</v>
      </c>
      <c r="V639" t="s">
        <v>967</v>
      </c>
      <c r="W639" t="s">
        <v>989</v>
      </c>
      <c r="X639" t="s">
        <v>997</v>
      </c>
      <c r="Y639" t="s">
        <v>1000</v>
      </c>
      <c r="Z639">
        <v>0</v>
      </c>
      <c r="AA639">
        <f t="shared" si="185"/>
        <v>0</v>
      </c>
      <c r="AB639">
        <f t="shared" si="186"/>
        <v>1</v>
      </c>
      <c r="AC639">
        <f t="shared" si="187"/>
        <v>-1</v>
      </c>
      <c r="AD639">
        <f t="shared" si="188"/>
        <v>-1</v>
      </c>
      <c r="AE639">
        <f t="shared" si="189"/>
        <v>-1</v>
      </c>
      <c r="AF639">
        <f t="shared" si="190"/>
        <v>1</v>
      </c>
      <c r="AG639">
        <f t="shared" si="191"/>
        <v>1</v>
      </c>
      <c r="AH639">
        <f t="shared" si="192"/>
        <v>1</v>
      </c>
      <c r="AI639">
        <f t="shared" si="193"/>
        <v>1</v>
      </c>
      <c r="AJ639" s="9">
        <f t="shared" si="196"/>
        <v>6</v>
      </c>
      <c r="AK639">
        <f t="shared" si="195"/>
        <v>0</v>
      </c>
      <c r="AL639" s="9">
        <v>1</v>
      </c>
    </row>
    <row r="640" spans="1:38" x14ac:dyDescent="0.35">
      <c r="A640" s="50">
        <v>0</v>
      </c>
      <c r="B640" s="9" t="s">
        <v>78</v>
      </c>
      <c r="C640" s="53">
        <v>43894</v>
      </c>
      <c r="D640" s="53">
        <v>43906</v>
      </c>
      <c r="E640" s="53">
        <v>43955</v>
      </c>
      <c r="F640" s="21">
        <f t="shared" si="183"/>
        <v>49</v>
      </c>
      <c r="G640" s="53">
        <v>43906</v>
      </c>
      <c r="H640" s="9">
        <v>2020</v>
      </c>
      <c r="I640" s="50">
        <v>0</v>
      </c>
      <c r="J640" s="9">
        <v>7</v>
      </c>
      <c r="K640" s="9">
        <v>30</v>
      </c>
      <c r="L640" s="50" t="s">
        <v>556</v>
      </c>
      <c r="M640">
        <v>1</v>
      </c>
      <c r="N640">
        <v>1</v>
      </c>
      <c r="O640">
        <v>2</v>
      </c>
      <c r="P640">
        <v>1</v>
      </c>
      <c r="Q640">
        <v>2</v>
      </c>
      <c r="R640">
        <v>1</v>
      </c>
      <c r="S640">
        <v>1</v>
      </c>
      <c r="T640">
        <v>-2</v>
      </c>
      <c r="U640">
        <v>1</v>
      </c>
      <c r="V640" t="s">
        <v>967</v>
      </c>
      <c r="W640" t="s">
        <v>989</v>
      </c>
      <c r="X640" t="s">
        <v>997</v>
      </c>
      <c r="Y640" t="s">
        <v>1000</v>
      </c>
      <c r="Z640">
        <v>0</v>
      </c>
      <c r="AA640">
        <f t="shared" si="185"/>
        <v>1</v>
      </c>
      <c r="AB640">
        <f t="shared" si="186"/>
        <v>1</v>
      </c>
      <c r="AC640">
        <f t="shared" si="187"/>
        <v>1</v>
      </c>
      <c r="AD640">
        <f t="shared" si="188"/>
        <v>1</v>
      </c>
      <c r="AE640">
        <f t="shared" si="189"/>
        <v>1</v>
      </c>
      <c r="AF640">
        <f t="shared" si="190"/>
        <v>1</v>
      </c>
      <c r="AG640">
        <f t="shared" si="191"/>
        <v>1</v>
      </c>
      <c r="AH640">
        <f t="shared" si="192"/>
        <v>0</v>
      </c>
      <c r="AI640">
        <f t="shared" si="193"/>
        <v>1</v>
      </c>
      <c r="AJ640" s="9">
        <f t="shared" si="196"/>
        <v>30</v>
      </c>
      <c r="AK640">
        <f t="shared" si="195"/>
        <v>0</v>
      </c>
      <c r="AL640" s="9">
        <v>0</v>
      </c>
    </row>
    <row r="641" spans="1:38" x14ac:dyDescent="0.35">
      <c r="A641" s="50">
        <v>0</v>
      </c>
      <c r="B641" s="9" t="s">
        <v>78</v>
      </c>
      <c r="C641" s="53">
        <v>43894</v>
      </c>
      <c r="D641" s="53">
        <v>43906</v>
      </c>
      <c r="E641" s="53">
        <v>43955</v>
      </c>
      <c r="F641" s="21">
        <f t="shared" si="183"/>
        <v>49</v>
      </c>
      <c r="G641" s="53">
        <v>43906</v>
      </c>
      <c r="H641" s="9">
        <v>2020</v>
      </c>
      <c r="I641" s="50">
        <v>0</v>
      </c>
      <c r="J641" s="9">
        <v>6</v>
      </c>
      <c r="K641" s="9">
        <v>27</v>
      </c>
      <c r="L641" s="50" t="s">
        <v>565</v>
      </c>
      <c r="M641">
        <v>1</v>
      </c>
      <c r="N641">
        <v>1</v>
      </c>
      <c r="O641">
        <v>2</v>
      </c>
      <c r="P641">
        <v>-1</v>
      </c>
      <c r="Q641">
        <v>-2</v>
      </c>
      <c r="R641">
        <v>2</v>
      </c>
      <c r="S641">
        <v>-1</v>
      </c>
      <c r="T641">
        <v>2</v>
      </c>
      <c r="U641">
        <v>1</v>
      </c>
      <c r="V641" t="s">
        <v>967</v>
      </c>
      <c r="W641" t="s">
        <v>989</v>
      </c>
      <c r="X641" t="s">
        <v>997</v>
      </c>
      <c r="Y641" t="s">
        <v>1000</v>
      </c>
      <c r="Z641">
        <v>0</v>
      </c>
      <c r="AA641">
        <f t="shared" si="185"/>
        <v>1</v>
      </c>
      <c r="AB641">
        <f t="shared" si="186"/>
        <v>1</v>
      </c>
      <c r="AC641">
        <f t="shared" si="187"/>
        <v>1</v>
      </c>
      <c r="AD641">
        <f t="shared" si="188"/>
        <v>0</v>
      </c>
      <c r="AE641">
        <f t="shared" si="189"/>
        <v>0</v>
      </c>
      <c r="AF641">
        <f t="shared" si="190"/>
        <v>1</v>
      </c>
      <c r="AG641">
        <f t="shared" si="191"/>
        <v>0</v>
      </c>
      <c r="AH641">
        <f t="shared" si="192"/>
        <v>1</v>
      </c>
      <c r="AI641">
        <f t="shared" si="193"/>
        <v>1</v>
      </c>
      <c r="AJ641" s="9">
        <f t="shared" si="196"/>
        <v>27</v>
      </c>
      <c r="AK641" t="e">
        <f>IF(B641&lt;&gt;#REF!,1,0)</f>
        <v>#REF!</v>
      </c>
      <c r="AL641" s="9">
        <v>1</v>
      </c>
    </row>
    <row r="642" spans="1:38" x14ac:dyDescent="0.35">
      <c r="A642" s="50">
        <v>0</v>
      </c>
      <c r="B642" s="9" t="s">
        <v>78</v>
      </c>
      <c r="C642" s="53">
        <v>43894</v>
      </c>
      <c r="D642" s="53">
        <v>43906</v>
      </c>
      <c r="E642" s="53">
        <v>43955</v>
      </c>
      <c r="F642" s="21">
        <f t="shared" si="183"/>
        <v>49</v>
      </c>
      <c r="G642" s="53">
        <v>43906</v>
      </c>
      <c r="H642" s="9">
        <v>2020</v>
      </c>
      <c r="I642" s="50">
        <v>0</v>
      </c>
      <c r="J642" s="9">
        <v>2</v>
      </c>
      <c r="K642" s="9">
        <v>15</v>
      </c>
      <c r="L642" s="50" t="s">
        <v>554</v>
      </c>
      <c r="M642">
        <v>2</v>
      </c>
      <c r="N642">
        <v>2</v>
      </c>
      <c r="O642">
        <v>-2</v>
      </c>
      <c r="P642">
        <v>-1</v>
      </c>
      <c r="Q642">
        <v>-2</v>
      </c>
      <c r="R642">
        <v>-1</v>
      </c>
      <c r="S642">
        <v>2</v>
      </c>
      <c r="T642">
        <v>2</v>
      </c>
      <c r="U642">
        <v>1</v>
      </c>
      <c r="V642" t="s">
        <v>967</v>
      </c>
      <c r="W642" t="s">
        <v>989</v>
      </c>
      <c r="X642" t="s">
        <v>997</v>
      </c>
      <c r="Y642" t="s">
        <v>1000</v>
      </c>
      <c r="Z642">
        <v>0</v>
      </c>
      <c r="AA642">
        <f t="shared" si="185"/>
        <v>1</v>
      </c>
      <c r="AB642">
        <f t="shared" si="186"/>
        <v>1</v>
      </c>
      <c r="AC642">
        <f t="shared" si="187"/>
        <v>0</v>
      </c>
      <c r="AD642">
        <f t="shared" si="188"/>
        <v>0</v>
      </c>
      <c r="AE642">
        <f t="shared" si="189"/>
        <v>0</v>
      </c>
      <c r="AF642">
        <f t="shared" si="190"/>
        <v>0</v>
      </c>
      <c r="AG642">
        <f t="shared" si="191"/>
        <v>1</v>
      </c>
      <c r="AH642">
        <f t="shared" si="192"/>
        <v>1</v>
      </c>
      <c r="AI642">
        <f t="shared" si="193"/>
        <v>1</v>
      </c>
      <c r="AJ642" s="9">
        <f t="shared" si="196"/>
        <v>15</v>
      </c>
      <c r="AK642">
        <f t="shared" si="195"/>
        <v>0</v>
      </c>
      <c r="AL642" s="9">
        <v>1</v>
      </c>
    </row>
    <row r="643" spans="1:38" x14ac:dyDescent="0.35">
      <c r="A643" s="50">
        <v>0</v>
      </c>
      <c r="B643" s="9" t="s">
        <v>78</v>
      </c>
      <c r="C643" s="53">
        <v>43894</v>
      </c>
      <c r="D643" s="53">
        <v>43906</v>
      </c>
      <c r="E643" s="53">
        <v>43955</v>
      </c>
      <c r="F643" s="21">
        <f t="shared" si="183"/>
        <v>49</v>
      </c>
      <c r="G643" s="53">
        <v>43906</v>
      </c>
      <c r="H643" s="9">
        <v>2020</v>
      </c>
      <c r="I643" s="50">
        <v>0</v>
      </c>
      <c r="J643" s="9">
        <v>1</v>
      </c>
      <c r="K643" s="9">
        <v>7</v>
      </c>
      <c r="L643" s="50" t="s">
        <v>561</v>
      </c>
      <c r="M643">
        <v>2</v>
      </c>
      <c r="N643">
        <v>2</v>
      </c>
      <c r="O643">
        <v>-2</v>
      </c>
      <c r="P643">
        <v>-1</v>
      </c>
      <c r="Q643">
        <v>-2</v>
      </c>
      <c r="R643">
        <v>2</v>
      </c>
      <c r="S643">
        <v>1</v>
      </c>
      <c r="U643">
        <v>1</v>
      </c>
      <c r="V643" t="s">
        <v>967</v>
      </c>
      <c r="W643" t="s">
        <v>989</v>
      </c>
      <c r="X643" t="s">
        <v>997</v>
      </c>
      <c r="Y643" t="s">
        <v>1000</v>
      </c>
      <c r="Z643">
        <v>0</v>
      </c>
      <c r="AA643">
        <f t="shared" si="185"/>
        <v>1</v>
      </c>
      <c r="AB643">
        <f t="shared" si="186"/>
        <v>1</v>
      </c>
      <c r="AC643">
        <f t="shared" si="187"/>
        <v>0</v>
      </c>
      <c r="AD643">
        <f t="shared" si="188"/>
        <v>0</v>
      </c>
      <c r="AE643">
        <f t="shared" si="189"/>
        <v>0</v>
      </c>
      <c r="AF643">
        <f t="shared" si="190"/>
        <v>1</v>
      </c>
      <c r="AG643">
        <f t="shared" si="191"/>
        <v>1</v>
      </c>
      <c r="AH643">
        <f t="shared" si="192"/>
        <v>-1</v>
      </c>
      <c r="AI643">
        <f t="shared" si="193"/>
        <v>1</v>
      </c>
      <c r="AJ643" s="9">
        <f t="shared" si="196"/>
        <v>7</v>
      </c>
      <c r="AK643">
        <f t="shared" si="195"/>
        <v>0</v>
      </c>
      <c r="AL643" s="9">
        <v>1</v>
      </c>
    </row>
    <row r="644" spans="1:38" x14ac:dyDescent="0.35">
      <c r="A644" s="50">
        <v>0</v>
      </c>
      <c r="B644" s="9" t="s">
        <v>78</v>
      </c>
      <c r="C644" s="53">
        <v>43894</v>
      </c>
      <c r="D644" s="53">
        <v>43906</v>
      </c>
      <c r="E644" s="53">
        <v>43955</v>
      </c>
      <c r="F644" s="21">
        <f t="shared" si="183"/>
        <v>49</v>
      </c>
      <c r="G644" s="53">
        <v>43906</v>
      </c>
      <c r="H644" s="9">
        <v>2020</v>
      </c>
      <c r="I644" s="50">
        <v>0</v>
      </c>
      <c r="J644" s="9">
        <v>1</v>
      </c>
      <c r="K644" s="9">
        <v>6</v>
      </c>
      <c r="L644" s="50" t="s">
        <v>560</v>
      </c>
      <c r="M644">
        <v>-2</v>
      </c>
      <c r="N644">
        <v>2</v>
      </c>
      <c r="O644">
        <v>2</v>
      </c>
      <c r="P644">
        <v>2</v>
      </c>
      <c r="Q644">
        <v>2</v>
      </c>
      <c r="R644">
        <v>2</v>
      </c>
      <c r="S644">
        <v>1</v>
      </c>
      <c r="T644">
        <v>2</v>
      </c>
      <c r="U644">
        <v>1</v>
      </c>
      <c r="V644" t="s">
        <v>967</v>
      </c>
      <c r="W644" t="s">
        <v>989</v>
      </c>
      <c r="X644" t="s">
        <v>997</v>
      </c>
      <c r="Y644" t="s">
        <v>1000</v>
      </c>
      <c r="Z644">
        <v>0</v>
      </c>
      <c r="AA644">
        <f t="shared" si="185"/>
        <v>0</v>
      </c>
      <c r="AB644">
        <f t="shared" si="186"/>
        <v>1</v>
      </c>
      <c r="AC644">
        <f t="shared" si="187"/>
        <v>1</v>
      </c>
      <c r="AD644">
        <f t="shared" si="188"/>
        <v>1</v>
      </c>
      <c r="AE644">
        <f t="shared" si="189"/>
        <v>1</v>
      </c>
      <c r="AF644">
        <f t="shared" si="190"/>
        <v>1</v>
      </c>
      <c r="AG644">
        <f t="shared" si="191"/>
        <v>1</v>
      </c>
      <c r="AH644">
        <f t="shared" si="192"/>
        <v>1</v>
      </c>
      <c r="AI644">
        <f t="shared" si="193"/>
        <v>1</v>
      </c>
      <c r="AJ644" s="9">
        <f t="shared" si="196"/>
        <v>6</v>
      </c>
      <c r="AK644">
        <f t="shared" si="195"/>
        <v>0</v>
      </c>
      <c r="AL644" s="9">
        <v>1</v>
      </c>
    </row>
    <row r="645" spans="1:38" x14ac:dyDescent="0.35">
      <c r="A645" s="50">
        <v>0</v>
      </c>
      <c r="B645" s="9" t="s">
        <v>78</v>
      </c>
      <c r="C645" s="53">
        <v>43894</v>
      </c>
      <c r="D645" s="53">
        <v>43906</v>
      </c>
      <c r="E645" s="53">
        <v>43955</v>
      </c>
      <c r="F645" s="21">
        <f t="shared" si="183"/>
        <v>49</v>
      </c>
      <c r="G645" s="53">
        <v>43906</v>
      </c>
      <c r="H645" s="9">
        <v>2020</v>
      </c>
      <c r="I645" s="50">
        <v>0</v>
      </c>
      <c r="J645" s="9">
        <v>1</v>
      </c>
      <c r="K645" s="9">
        <v>7</v>
      </c>
      <c r="L645" s="50" t="s">
        <v>564</v>
      </c>
      <c r="M645">
        <v>2</v>
      </c>
      <c r="N645">
        <v>2</v>
      </c>
      <c r="O645">
        <v>-2</v>
      </c>
      <c r="P645">
        <v>-1</v>
      </c>
      <c r="Q645">
        <v>-2</v>
      </c>
      <c r="R645">
        <v>2</v>
      </c>
      <c r="S645">
        <v>2</v>
      </c>
      <c r="U645">
        <v>1</v>
      </c>
      <c r="V645" t="s">
        <v>967</v>
      </c>
      <c r="W645" t="s">
        <v>989</v>
      </c>
      <c r="X645" t="s">
        <v>997</v>
      </c>
      <c r="Y645" t="s">
        <v>1000</v>
      </c>
      <c r="Z645">
        <v>0</v>
      </c>
      <c r="AA645">
        <f t="shared" si="185"/>
        <v>1</v>
      </c>
      <c r="AB645">
        <f t="shared" si="186"/>
        <v>1</v>
      </c>
      <c r="AC645">
        <f t="shared" si="187"/>
        <v>0</v>
      </c>
      <c r="AD645">
        <f t="shared" si="188"/>
        <v>0</v>
      </c>
      <c r="AE645">
        <f t="shared" si="189"/>
        <v>0</v>
      </c>
      <c r="AF645">
        <f t="shared" si="190"/>
        <v>1</v>
      </c>
      <c r="AG645">
        <f t="shared" si="191"/>
        <v>1</v>
      </c>
      <c r="AH645">
        <f t="shared" si="192"/>
        <v>-1</v>
      </c>
      <c r="AI645">
        <f t="shared" si="193"/>
        <v>1</v>
      </c>
      <c r="AJ645" s="9">
        <f t="shared" si="196"/>
        <v>7</v>
      </c>
      <c r="AK645">
        <f t="shared" si="195"/>
        <v>0</v>
      </c>
      <c r="AL645" s="9">
        <v>1</v>
      </c>
    </row>
    <row r="646" spans="1:38" x14ac:dyDescent="0.35">
      <c r="A646" s="50">
        <v>0</v>
      </c>
      <c r="B646" s="9" t="s">
        <v>78</v>
      </c>
      <c r="C646" s="53">
        <v>43894</v>
      </c>
      <c r="D646" s="53">
        <v>43906</v>
      </c>
      <c r="E646" s="53">
        <v>43955</v>
      </c>
      <c r="F646" s="21">
        <f t="shared" si="183"/>
        <v>49</v>
      </c>
      <c r="G646" s="53">
        <v>43906</v>
      </c>
      <c r="H646" s="9">
        <v>2020</v>
      </c>
      <c r="I646" s="50">
        <v>0</v>
      </c>
      <c r="J646" s="9">
        <v>1</v>
      </c>
      <c r="K646" s="9">
        <v>7</v>
      </c>
      <c r="L646" s="50" t="s">
        <v>562</v>
      </c>
      <c r="M646">
        <v>-2</v>
      </c>
      <c r="N646">
        <v>-2</v>
      </c>
      <c r="O646">
        <v>-2</v>
      </c>
      <c r="P646">
        <v>-1</v>
      </c>
      <c r="Q646">
        <v>-2</v>
      </c>
      <c r="R646">
        <v>-1</v>
      </c>
      <c r="S646">
        <v>2</v>
      </c>
      <c r="T646">
        <v>2</v>
      </c>
      <c r="U646">
        <v>1</v>
      </c>
      <c r="V646" t="s">
        <v>967</v>
      </c>
      <c r="W646" t="s">
        <v>989</v>
      </c>
      <c r="X646" t="s">
        <v>997</v>
      </c>
      <c r="Y646" t="s">
        <v>1000</v>
      </c>
      <c r="Z646">
        <v>0</v>
      </c>
      <c r="AA646">
        <f t="shared" si="185"/>
        <v>0</v>
      </c>
      <c r="AB646">
        <f t="shared" si="186"/>
        <v>0</v>
      </c>
      <c r="AC646">
        <f t="shared" si="187"/>
        <v>0</v>
      </c>
      <c r="AD646">
        <f t="shared" si="188"/>
        <v>0</v>
      </c>
      <c r="AE646">
        <f t="shared" si="189"/>
        <v>0</v>
      </c>
      <c r="AF646">
        <f t="shared" si="190"/>
        <v>0</v>
      </c>
      <c r="AG646">
        <f t="shared" si="191"/>
        <v>1</v>
      </c>
      <c r="AH646">
        <f t="shared" si="192"/>
        <v>1</v>
      </c>
      <c r="AI646">
        <f t="shared" si="193"/>
        <v>1</v>
      </c>
      <c r="AJ646" s="9">
        <f t="shared" si="196"/>
        <v>7</v>
      </c>
      <c r="AK646">
        <f t="shared" si="195"/>
        <v>0</v>
      </c>
      <c r="AL646" s="9">
        <v>0</v>
      </c>
    </row>
    <row r="647" spans="1:38" x14ac:dyDescent="0.35">
      <c r="A647" s="50">
        <v>0</v>
      </c>
      <c r="B647" s="9" t="s">
        <v>78</v>
      </c>
      <c r="C647" s="53">
        <v>43894</v>
      </c>
      <c r="D647" s="53">
        <v>43906</v>
      </c>
      <c r="E647" s="53">
        <v>43955</v>
      </c>
      <c r="F647" s="21">
        <f t="shared" si="183"/>
        <v>49</v>
      </c>
      <c r="G647" s="53">
        <v>43906</v>
      </c>
      <c r="H647" s="9">
        <v>2020</v>
      </c>
      <c r="I647" s="50">
        <v>0</v>
      </c>
      <c r="J647" s="9">
        <v>1</v>
      </c>
      <c r="K647" s="9">
        <v>7</v>
      </c>
      <c r="L647" s="50" t="s">
        <v>557</v>
      </c>
      <c r="M647">
        <v>2</v>
      </c>
      <c r="N647">
        <v>2</v>
      </c>
      <c r="O647">
        <v>-2</v>
      </c>
      <c r="P647">
        <v>-1</v>
      </c>
      <c r="Q647">
        <v>-2</v>
      </c>
      <c r="R647">
        <v>-2</v>
      </c>
      <c r="S647">
        <v>2</v>
      </c>
      <c r="T647">
        <v>2</v>
      </c>
      <c r="U647">
        <v>1</v>
      </c>
      <c r="V647" t="s">
        <v>967</v>
      </c>
      <c r="W647" t="s">
        <v>989</v>
      </c>
      <c r="X647" t="s">
        <v>997</v>
      </c>
      <c r="Y647" t="s">
        <v>1000</v>
      </c>
      <c r="Z647">
        <v>0</v>
      </c>
      <c r="AA647">
        <f t="shared" si="185"/>
        <v>1</v>
      </c>
      <c r="AB647">
        <f t="shared" si="186"/>
        <v>1</v>
      </c>
      <c r="AC647">
        <f t="shared" si="187"/>
        <v>0</v>
      </c>
      <c r="AD647">
        <f t="shared" si="188"/>
        <v>0</v>
      </c>
      <c r="AE647">
        <f t="shared" si="189"/>
        <v>0</v>
      </c>
      <c r="AF647">
        <f t="shared" si="190"/>
        <v>0</v>
      </c>
      <c r="AG647">
        <f t="shared" si="191"/>
        <v>1</v>
      </c>
      <c r="AH647">
        <f t="shared" si="192"/>
        <v>1</v>
      </c>
      <c r="AI647">
        <f t="shared" si="193"/>
        <v>1</v>
      </c>
      <c r="AJ647" s="9">
        <f t="shared" si="196"/>
        <v>7</v>
      </c>
      <c r="AK647" t="e">
        <f>IF(B647&lt;&gt;#REF!,1,0)</f>
        <v>#REF!</v>
      </c>
      <c r="AL647" s="9">
        <v>1</v>
      </c>
    </row>
    <row r="648" spans="1:38" x14ac:dyDescent="0.35">
      <c r="A648" s="50">
        <v>0</v>
      </c>
      <c r="B648" s="9" t="s">
        <v>78</v>
      </c>
      <c r="C648" s="53">
        <v>43894</v>
      </c>
      <c r="D648" s="53">
        <v>43906</v>
      </c>
      <c r="E648" s="53">
        <v>43955</v>
      </c>
      <c r="F648" s="21">
        <f t="shared" si="183"/>
        <v>49</v>
      </c>
      <c r="G648" s="53">
        <v>43906</v>
      </c>
      <c r="H648" s="9">
        <v>2020</v>
      </c>
      <c r="I648" s="50">
        <v>0</v>
      </c>
      <c r="J648" s="9">
        <v>1</v>
      </c>
      <c r="K648" s="9" t="s">
        <v>206</v>
      </c>
      <c r="L648" s="50" t="s">
        <v>559</v>
      </c>
      <c r="M648">
        <v>2</v>
      </c>
      <c r="N648">
        <v>2</v>
      </c>
      <c r="O648">
        <v>-2</v>
      </c>
      <c r="P648">
        <v>-1</v>
      </c>
      <c r="Q648">
        <v>-2</v>
      </c>
      <c r="R648">
        <v>2</v>
      </c>
      <c r="S648">
        <v>2</v>
      </c>
      <c r="U648">
        <v>1</v>
      </c>
      <c r="V648" t="s">
        <v>967</v>
      </c>
      <c r="W648" t="s">
        <v>989</v>
      </c>
      <c r="X648" t="s">
        <v>997</v>
      </c>
      <c r="Y648" t="s">
        <v>1000</v>
      </c>
      <c r="Z648">
        <v>0</v>
      </c>
      <c r="AA648">
        <f t="shared" si="185"/>
        <v>1</v>
      </c>
      <c r="AB648">
        <f t="shared" si="186"/>
        <v>1</v>
      </c>
      <c r="AC648">
        <f t="shared" si="187"/>
        <v>0</v>
      </c>
      <c r="AD648">
        <f t="shared" si="188"/>
        <v>0</v>
      </c>
      <c r="AE648">
        <f t="shared" si="189"/>
        <v>0</v>
      </c>
      <c r="AF648">
        <f t="shared" si="190"/>
        <v>1</v>
      </c>
      <c r="AG648">
        <f t="shared" si="191"/>
        <v>1</v>
      </c>
      <c r="AH648">
        <f t="shared" si="192"/>
        <v>-1</v>
      </c>
      <c r="AI648">
        <f t="shared" si="193"/>
        <v>1</v>
      </c>
      <c r="AJ648" s="9" t="str">
        <f t="shared" si="196"/>
        <v>Tax exemption/waiver/suspension</v>
      </c>
      <c r="AK648">
        <f t="shared" si="195"/>
        <v>0</v>
      </c>
      <c r="AL648" s="9">
        <v>1</v>
      </c>
    </row>
    <row r="649" spans="1:38" x14ac:dyDescent="0.35">
      <c r="A649" s="50">
        <v>0</v>
      </c>
      <c r="B649" s="9" t="s">
        <v>78</v>
      </c>
      <c r="C649" s="53">
        <v>43894</v>
      </c>
      <c r="D649" s="53">
        <v>43906</v>
      </c>
      <c r="E649" s="53">
        <v>43955</v>
      </c>
      <c r="F649" s="21">
        <f t="shared" si="183"/>
        <v>49</v>
      </c>
      <c r="G649" s="53">
        <v>43906</v>
      </c>
      <c r="H649" s="9">
        <v>2020</v>
      </c>
      <c r="I649" s="50">
        <v>0</v>
      </c>
      <c r="J649" s="9">
        <v>1</v>
      </c>
      <c r="K649" s="9">
        <v>12</v>
      </c>
      <c r="L649" s="50" t="s">
        <v>548</v>
      </c>
      <c r="M649">
        <v>-2</v>
      </c>
      <c r="N649">
        <v>2</v>
      </c>
      <c r="O649">
        <v>-1</v>
      </c>
      <c r="Q649">
        <v>-2</v>
      </c>
      <c r="R649">
        <v>2</v>
      </c>
      <c r="S649">
        <v>2</v>
      </c>
      <c r="T649">
        <v>2</v>
      </c>
      <c r="U649">
        <v>1</v>
      </c>
      <c r="V649" t="s">
        <v>967</v>
      </c>
      <c r="W649" t="s">
        <v>989</v>
      </c>
      <c r="X649" t="s">
        <v>997</v>
      </c>
      <c r="Y649" t="s">
        <v>1000</v>
      </c>
      <c r="Z649">
        <v>0</v>
      </c>
      <c r="AA649">
        <f t="shared" si="185"/>
        <v>0</v>
      </c>
      <c r="AB649">
        <f t="shared" si="186"/>
        <v>1</v>
      </c>
      <c r="AC649">
        <f t="shared" si="187"/>
        <v>0</v>
      </c>
      <c r="AD649">
        <f t="shared" si="188"/>
        <v>-1</v>
      </c>
      <c r="AE649">
        <f t="shared" si="189"/>
        <v>0</v>
      </c>
      <c r="AF649">
        <f t="shared" si="190"/>
        <v>1</v>
      </c>
      <c r="AG649">
        <f t="shared" si="191"/>
        <v>1</v>
      </c>
      <c r="AH649">
        <f t="shared" si="192"/>
        <v>1</v>
      </c>
      <c r="AI649">
        <f t="shared" si="193"/>
        <v>1</v>
      </c>
      <c r="AJ649" s="9">
        <f t="shared" si="196"/>
        <v>12</v>
      </c>
      <c r="AK649">
        <f t="shared" si="195"/>
        <v>0</v>
      </c>
      <c r="AL649" s="9">
        <v>0</v>
      </c>
    </row>
    <row r="650" spans="1:38" x14ac:dyDescent="0.35">
      <c r="A650" s="50">
        <v>0</v>
      </c>
      <c r="B650" s="50" t="s">
        <v>78</v>
      </c>
      <c r="C650" s="53">
        <v>43894</v>
      </c>
      <c r="D650" s="53">
        <v>43906</v>
      </c>
      <c r="E650" s="53">
        <v>43955</v>
      </c>
      <c r="F650" s="21">
        <f t="shared" si="183"/>
        <v>49</v>
      </c>
      <c r="G650" s="53">
        <v>43906</v>
      </c>
      <c r="H650" s="9">
        <v>2020</v>
      </c>
      <c r="I650" s="50">
        <v>0</v>
      </c>
      <c r="J650" s="50">
        <v>7</v>
      </c>
      <c r="K650" s="50">
        <v>30</v>
      </c>
      <c r="L650" s="24" t="s">
        <v>1416</v>
      </c>
      <c r="M650" s="24"/>
      <c r="V650" t="s">
        <v>967</v>
      </c>
      <c r="W650" t="s">
        <v>989</v>
      </c>
      <c r="X650" t="s">
        <v>997</v>
      </c>
      <c r="Y650" t="s">
        <v>1000</v>
      </c>
      <c r="Z650">
        <v>0</v>
      </c>
      <c r="AA650">
        <v>-1</v>
      </c>
      <c r="AB650">
        <v>-1</v>
      </c>
      <c r="AC650">
        <v>-1</v>
      </c>
      <c r="AD650">
        <v>-1</v>
      </c>
      <c r="AE650">
        <v>-1</v>
      </c>
      <c r="AF650">
        <v>-1</v>
      </c>
      <c r="AG650">
        <v>-1</v>
      </c>
      <c r="AH650">
        <v>-1</v>
      </c>
      <c r="AI650">
        <v>-1</v>
      </c>
      <c r="AJ650" s="9">
        <f t="shared" si="196"/>
        <v>30</v>
      </c>
      <c r="AK650">
        <f t="shared" si="195"/>
        <v>0</v>
      </c>
      <c r="AL650" s="9">
        <v>0</v>
      </c>
    </row>
    <row r="651" spans="1:38" x14ac:dyDescent="0.35">
      <c r="A651" s="50">
        <v>0</v>
      </c>
      <c r="B651" s="50" t="s">
        <v>78</v>
      </c>
      <c r="C651" s="53">
        <v>43894</v>
      </c>
      <c r="D651" s="53">
        <v>43906</v>
      </c>
      <c r="E651" s="53">
        <v>43955</v>
      </c>
      <c r="F651" s="21">
        <f t="shared" si="183"/>
        <v>49</v>
      </c>
      <c r="G651" s="53">
        <v>43906</v>
      </c>
      <c r="H651" s="9">
        <v>2020</v>
      </c>
      <c r="I651" s="50">
        <v>0</v>
      </c>
      <c r="J651" s="50">
        <v>6</v>
      </c>
      <c r="K651" s="50">
        <v>29</v>
      </c>
      <c r="L651" s="24" t="s">
        <v>1712</v>
      </c>
      <c r="M651" s="24"/>
      <c r="V651" t="s">
        <v>967</v>
      </c>
      <c r="W651" t="s">
        <v>989</v>
      </c>
      <c r="X651" t="s">
        <v>997</v>
      </c>
      <c r="Y651" t="s">
        <v>1000</v>
      </c>
      <c r="Z651">
        <v>0</v>
      </c>
      <c r="AA651">
        <v>-1</v>
      </c>
      <c r="AB651">
        <v>-1</v>
      </c>
      <c r="AC651">
        <v>-1</v>
      </c>
      <c r="AD651">
        <v>-1</v>
      </c>
      <c r="AE651">
        <v>-1</v>
      </c>
      <c r="AF651">
        <v>-1</v>
      </c>
      <c r="AG651">
        <v>-1</v>
      </c>
      <c r="AH651">
        <v>-1</v>
      </c>
      <c r="AI651">
        <v>-1</v>
      </c>
      <c r="AJ651" s="9">
        <f t="shared" si="196"/>
        <v>29</v>
      </c>
      <c r="AK651">
        <f t="shared" si="195"/>
        <v>0</v>
      </c>
      <c r="AL651" s="9">
        <v>0</v>
      </c>
    </row>
    <row r="652" spans="1:38" x14ac:dyDescent="0.35">
      <c r="A652" s="50">
        <v>0</v>
      </c>
      <c r="B652" s="50" t="s">
        <v>78</v>
      </c>
      <c r="C652" s="53">
        <v>43894</v>
      </c>
      <c r="D652" s="53">
        <v>43906</v>
      </c>
      <c r="E652" s="53">
        <v>43955</v>
      </c>
      <c r="F652" s="21">
        <f t="shared" si="183"/>
        <v>49</v>
      </c>
      <c r="G652" s="53">
        <v>43906</v>
      </c>
      <c r="H652" s="9">
        <v>2020</v>
      </c>
      <c r="I652" s="50">
        <v>0</v>
      </c>
      <c r="J652" s="50">
        <v>7</v>
      </c>
      <c r="K652" s="50">
        <v>30</v>
      </c>
      <c r="L652" s="24" t="s">
        <v>1417</v>
      </c>
      <c r="M652" s="24"/>
      <c r="V652" t="s">
        <v>967</v>
      </c>
      <c r="W652" t="s">
        <v>989</v>
      </c>
      <c r="X652" t="s">
        <v>997</v>
      </c>
      <c r="Y652" t="s">
        <v>1000</v>
      </c>
      <c r="Z652">
        <v>0</v>
      </c>
      <c r="AA652">
        <v>-1</v>
      </c>
      <c r="AB652">
        <v>-1</v>
      </c>
      <c r="AC652">
        <v>-1</v>
      </c>
      <c r="AD652">
        <v>-1</v>
      </c>
      <c r="AE652">
        <v>-1</v>
      </c>
      <c r="AF652">
        <v>-1</v>
      </c>
      <c r="AG652">
        <v>-1</v>
      </c>
      <c r="AH652">
        <v>-1</v>
      </c>
      <c r="AI652">
        <v>-1</v>
      </c>
      <c r="AJ652" s="9">
        <f t="shared" si="196"/>
        <v>30</v>
      </c>
      <c r="AK652">
        <f t="shared" si="195"/>
        <v>0</v>
      </c>
      <c r="AL652" s="9">
        <v>0</v>
      </c>
    </row>
    <row r="653" spans="1:38" x14ac:dyDescent="0.35">
      <c r="A653" s="50">
        <v>0</v>
      </c>
      <c r="B653" s="50" t="s">
        <v>78</v>
      </c>
      <c r="C653" s="53">
        <v>43894</v>
      </c>
      <c r="D653" s="53">
        <v>43906</v>
      </c>
      <c r="E653" s="53">
        <v>43955</v>
      </c>
      <c r="F653" s="21">
        <f t="shared" si="183"/>
        <v>49</v>
      </c>
      <c r="G653" s="53">
        <v>43906</v>
      </c>
      <c r="H653" s="9">
        <v>2020</v>
      </c>
      <c r="I653" s="50">
        <v>0</v>
      </c>
      <c r="J653" s="50">
        <v>1</v>
      </c>
      <c r="K653" s="50">
        <v>3</v>
      </c>
      <c r="L653" s="24" t="s">
        <v>1418</v>
      </c>
      <c r="M653" s="24"/>
      <c r="V653" t="s">
        <v>967</v>
      </c>
      <c r="W653" t="s">
        <v>989</v>
      </c>
      <c r="X653" t="s">
        <v>997</v>
      </c>
      <c r="Y653" t="s">
        <v>1000</v>
      </c>
      <c r="Z653">
        <v>0</v>
      </c>
      <c r="AA653">
        <v>-1</v>
      </c>
      <c r="AB653">
        <v>-1</v>
      </c>
      <c r="AC653">
        <v>-1</v>
      </c>
      <c r="AD653">
        <v>-1</v>
      </c>
      <c r="AE653">
        <v>-1</v>
      </c>
      <c r="AF653">
        <v>-1</v>
      </c>
      <c r="AG653">
        <v>-1</v>
      </c>
      <c r="AH653">
        <v>-1</v>
      </c>
      <c r="AI653">
        <v>-1</v>
      </c>
      <c r="AJ653" s="9">
        <f t="shared" si="196"/>
        <v>3</v>
      </c>
      <c r="AK653">
        <f t="shared" si="195"/>
        <v>0</v>
      </c>
      <c r="AL653" s="9">
        <v>0</v>
      </c>
    </row>
    <row r="654" spans="1:38" x14ac:dyDescent="0.35">
      <c r="A654" s="50">
        <v>0</v>
      </c>
      <c r="B654" s="50" t="s">
        <v>78</v>
      </c>
      <c r="C654" s="53">
        <v>43894</v>
      </c>
      <c r="D654" s="53">
        <v>43906</v>
      </c>
      <c r="E654" s="53">
        <v>43955</v>
      </c>
      <c r="F654" s="21">
        <f t="shared" si="183"/>
        <v>49</v>
      </c>
      <c r="G654" s="53">
        <v>43906</v>
      </c>
      <c r="H654" s="9">
        <v>2020</v>
      </c>
      <c r="I654" s="50">
        <v>0</v>
      </c>
      <c r="J654" s="50">
        <v>3</v>
      </c>
      <c r="K654" s="50" t="s">
        <v>206</v>
      </c>
      <c r="L654" s="24" t="s">
        <v>1419</v>
      </c>
      <c r="M654" s="24"/>
      <c r="V654" t="s">
        <v>967</v>
      </c>
      <c r="W654" t="s">
        <v>989</v>
      </c>
      <c r="X654" t="s">
        <v>997</v>
      </c>
      <c r="Y654" t="s">
        <v>1000</v>
      </c>
      <c r="Z654">
        <v>0</v>
      </c>
      <c r="AA654">
        <v>-1</v>
      </c>
      <c r="AB654">
        <v>-1</v>
      </c>
      <c r="AC654">
        <v>-1</v>
      </c>
      <c r="AD654">
        <v>-1</v>
      </c>
      <c r="AE654">
        <v>-1</v>
      </c>
      <c r="AF654">
        <v>-1</v>
      </c>
      <c r="AG654">
        <v>-1</v>
      </c>
      <c r="AH654">
        <v>-1</v>
      </c>
      <c r="AI654">
        <v>-1</v>
      </c>
      <c r="AJ654" s="9" t="str">
        <f t="shared" si="196"/>
        <v>Tax exemption/waiver/suspension</v>
      </c>
      <c r="AK654">
        <f t="shared" si="195"/>
        <v>0</v>
      </c>
      <c r="AL654" s="9">
        <v>0</v>
      </c>
    </row>
    <row r="655" spans="1:38" x14ac:dyDescent="0.35">
      <c r="A655" s="50">
        <v>0</v>
      </c>
      <c r="B655" s="50" t="s">
        <v>78</v>
      </c>
      <c r="C655" s="53">
        <v>43894</v>
      </c>
      <c r="D655" s="53">
        <v>43906</v>
      </c>
      <c r="E655" s="53">
        <v>43955</v>
      </c>
      <c r="F655" s="21">
        <f t="shared" si="183"/>
        <v>49</v>
      </c>
      <c r="G655" s="53">
        <v>43906</v>
      </c>
      <c r="H655" s="9">
        <v>2020</v>
      </c>
      <c r="I655" s="50">
        <v>0</v>
      </c>
      <c r="J655" s="50">
        <v>1</v>
      </c>
      <c r="K655" s="50">
        <v>7</v>
      </c>
      <c r="L655" s="24" t="s">
        <v>1420</v>
      </c>
      <c r="M655" s="24"/>
      <c r="V655" t="s">
        <v>967</v>
      </c>
      <c r="W655" t="s">
        <v>989</v>
      </c>
      <c r="X655" t="s">
        <v>997</v>
      </c>
      <c r="Y655" t="s">
        <v>1000</v>
      </c>
      <c r="Z655">
        <v>0</v>
      </c>
      <c r="AA655">
        <v>-1</v>
      </c>
      <c r="AB655">
        <v>-1</v>
      </c>
      <c r="AC655">
        <v>-1</v>
      </c>
      <c r="AD655">
        <v>-1</v>
      </c>
      <c r="AE655">
        <v>-1</v>
      </c>
      <c r="AF655">
        <v>-1</v>
      </c>
      <c r="AG655">
        <v>-1</v>
      </c>
      <c r="AH655">
        <v>-1</v>
      </c>
      <c r="AI655">
        <v>-1</v>
      </c>
      <c r="AJ655" s="9">
        <f t="shared" si="196"/>
        <v>7</v>
      </c>
      <c r="AK655">
        <f t="shared" ref="AK655:AK695" si="197">IF(B655&lt;&gt;B654,1,0)</f>
        <v>0</v>
      </c>
      <c r="AL655" s="9">
        <v>0</v>
      </c>
    </row>
    <row r="656" spans="1:38" x14ac:dyDescent="0.35">
      <c r="A656" s="50">
        <v>0</v>
      </c>
      <c r="B656" s="50" t="s">
        <v>78</v>
      </c>
      <c r="C656" s="53">
        <v>43894</v>
      </c>
      <c r="D656" s="53">
        <v>43906</v>
      </c>
      <c r="E656" s="53">
        <v>43955</v>
      </c>
      <c r="F656" s="21">
        <f t="shared" si="183"/>
        <v>49</v>
      </c>
      <c r="G656" s="53">
        <v>43906</v>
      </c>
      <c r="H656" s="9">
        <v>2020</v>
      </c>
      <c r="I656" s="50">
        <v>0</v>
      </c>
      <c r="J656" s="50">
        <v>1</v>
      </c>
      <c r="K656" s="50">
        <v>5</v>
      </c>
      <c r="L656" s="24" t="s">
        <v>1421</v>
      </c>
      <c r="M656" s="24"/>
      <c r="V656" t="s">
        <v>967</v>
      </c>
      <c r="W656" t="s">
        <v>989</v>
      </c>
      <c r="X656" t="s">
        <v>997</v>
      </c>
      <c r="Y656" t="s">
        <v>1000</v>
      </c>
      <c r="Z656">
        <v>0</v>
      </c>
      <c r="AA656">
        <v>-1</v>
      </c>
      <c r="AB656">
        <v>-1</v>
      </c>
      <c r="AC656">
        <v>-1</v>
      </c>
      <c r="AD656">
        <v>-1</v>
      </c>
      <c r="AE656">
        <v>-1</v>
      </c>
      <c r="AF656">
        <v>-1</v>
      </c>
      <c r="AG656">
        <v>-1</v>
      </c>
      <c r="AH656">
        <v>-1</v>
      </c>
      <c r="AI656">
        <v>-1</v>
      </c>
      <c r="AJ656" s="9">
        <f t="shared" si="196"/>
        <v>5</v>
      </c>
      <c r="AK656">
        <f t="shared" si="197"/>
        <v>0</v>
      </c>
      <c r="AL656" s="9">
        <v>0</v>
      </c>
    </row>
    <row r="657" spans="1:38" x14ac:dyDescent="0.35">
      <c r="A657" s="50">
        <v>0</v>
      </c>
      <c r="B657" s="50" t="s">
        <v>78</v>
      </c>
      <c r="C657" s="53">
        <v>43894</v>
      </c>
      <c r="D657" s="53">
        <v>43906</v>
      </c>
      <c r="E657" s="53">
        <v>43955</v>
      </c>
      <c r="F657" s="21">
        <f t="shared" si="183"/>
        <v>49</v>
      </c>
      <c r="G657" s="53">
        <v>43906</v>
      </c>
      <c r="H657" s="9">
        <v>2020</v>
      </c>
      <c r="I657" s="50">
        <v>0</v>
      </c>
      <c r="J657" s="50">
        <v>1</v>
      </c>
      <c r="K657" s="50">
        <v>11</v>
      </c>
      <c r="L657" s="24" t="s">
        <v>1422</v>
      </c>
      <c r="M657" s="24"/>
      <c r="V657" t="s">
        <v>967</v>
      </c>
      <c r="W657" t="s">
        <v>989</v>
      </c>
      <c r="X657" t="s">
        <v>997</v>
      </c>
      <c r="Y657" t="s">
        <v>1000</v>
      </c>
      <c r="Z657">
        <v>0</v>
      </c>
      <c r="AA657">
        <v>-1</v>
      </c>
      <c r="AB657">
        <v>-1</v>
      </c>
      <c r="AC657">
        <v>-1</v>
      </c>
      <c r="AD657">
        <v>-1</v>
      </c>
      <c r="AE657">
        <v>-1</v>
      </c>
      <c r="AF657">
        <v>-1</v>
      </c>
      <c r="AG657">
        <v>-1</v>
      </c>
      <c r="AH657">
        <v>-1</v>
      </c>
      <c r="AI657">
        <v>-1</v>
      </c>
      <c r="AJ657" s="9">
        <f t="shared" si="196"/>
        <v>11</v>
      </c>
      <c r="AK657">
        <f t="shared" si="197"/>
        <v>0</v>
      </c>
      <c r="AL657" s="9">
        <v>0</v>
      </c>
    </row>
    <row r="658" spans="1:38" x14ac:dyDescent="0.35">
      <c r="A658" s="50">
        <v>0</v>
      </c>
      <c r="B658" s="50" t="s">
        <v>78</v>
      </c>
      <c r="C658" s="53">
        <v>43894</v>
      </c>
      <c r="D658" s="53">
        <v>43906</v>
      </c>
      <c r="E658" s="53">
        <v>43955</v>
      </c>
      <c r="F658" s="21">
        <f t="shared" si="183"/>
        <v>49</v>
      </c>
      <c r="G658" s="53">
        <v>43906</v>
      </c>
      <c r="H658" s="9">
        <v>2020</v>
      </c>
      <c r="I658" s="50">
        <v>0</v>
      </c>
      <c r="J658" s="50">
        <v>1</v>
      </c>
      <c r="K658" s="50" t="s">
        <v>206</v>
      </c>
      <c r="L658" s="24" t="s">
        <v>1423</v>
      </c>
      <c r="M658" s="24"/>
      <c r="V658" t="s">
        <v>967</v>
      </c>
      <c r="W658" t="s">
        <v>989</v>
      </c>
      <c r="X658" t="s">
        <v>997</v>
      </c>
      <c r="Y658" t="s">
        <v>1000</v>
      </c>
      <c r="Z658">
        <v>0</v>
      </c>
      <c r="AA658">
        <v>-1</v>
      </c>
      <c r="AB658">
        <v>-1</v>
      </c>
      <c r="AC658">
        <v>-1</v>
      </c>
      <c r="AD658">
        <v>-1</v>
      </c>
      <c r="AE658">
        <v>-1</v>
      </c>
      <c r="AF658">
        <v>-1</v>
      </c>
      <c r="AG658">
        <v>-1</v>
      </c>
      <c r="AH658">
        <v>-1</v>
      </c>
      <c r="AI658">
        <v>-1</v>
      </c>
      <c r="AJ658" s="9" t="str">
        <f t="shared" si="196"/>
        <v>Tax exemption/waiver/suspension</v>
      </c>
      <c r="AK658">
        <f t="shared" si="197"/>
        <v>0</v>
      </c>
      <c r="AL658" s="9">
        <v>1</v>
      </c>
    </row>
    <row r="659" spans="1:38" s="47" customFormat="1" x14ac:dyDescent="0.35">
      <c r="A659" s="50">
        <v>0</v>
      </c>
      <c r="B659" s="50" t="s">
        <v>78</v>
      </c>
      <c r="C659" s="53">
        <v>43894</v>
      </c>
      <c r="D659" s="53">
        <v>43906</v>
      </c>
      <c r="E659" s="53">
        <v>43955</v>
      </c>
      <c r="F659" s="21">
        <f t="shared" ref="F659:F665" si="198">DATEDIF(D659,E659,"D")</f>
        <v>49</v>
      </c>
      <c r="G659" s="53">
        <v>43906</v>
      </c>
      <c r="H659" s="9">
        <v>2021</v>
      </c>
      <c r="I659" s="50">
        <v>0</v>
      </c>
      <c r="J659" s="50">
        <v>1</v>
      </c>
      <c r="K659" s="50">
        <v>7</v>
      </c>
      <c r="L659" s="48" t="s">
        <v>1944</v>
      </c>
      <c r="M659" s="48"/>
    </row>
    <row r="660" spans="1:38" s="47" customFormat="1" x14ac:dyDescent="0.35">
      <c r="A660" s="50">
        <v>0</v>
      </c>
      <c r="B660" s="50" t="s">
        <v>78</v>
      </c>
      <c r="C660" s="53">
        <v>43894</v>
      </c>
      <c r="D660" s="53">
        <v>43906</v>
      </c>
      <c r="E660" s="53">
        <v>43955</v>
      </c>
      <c r="F660" s="21">
        <f t="shared" si="198"/>
        <v>49</v>
      </c>
      <c r="G660" s="53">
        <v>43906</v>
      </c>
      <c r="H660" s="9">
        <v>2021</v>
      </c>
      <c r="I660" s="50">
        <v>0</v>
      </c>
      <c r="J660" s="50">
        <v>9</v>
      </c>
      <c r="K660" s="50">
        <v>34</v>
      </c>
      <c r="L660" s="48" t="s">
        <v>1945</v>
      </c>
      <c r="M660" s="48"/>
    </row>
    <row r="661" spans="1:38" s="47" customFormat="1" x14ac:dyDescent="0.35">
      <c r="A661" s="50">
        <v>0</v>
      </c>
      <c r="B661" s="50" t="s">
        <v>78</v>
      </c>
      <c r="C661" s="53">
        <v>43894</v>
      </c>
      <c r="D661" s="53">
        <v>43906</v>
      </c>
      <c r="E661" s="53">
        <v>43955</v>
      </c>
      <c r="F661" s="21">
        <f t="shared" si="198"/>
        <v>49</v>
      </c>
      <c r="G661" s="53">
        <v>43906</v>
      </c>
      <c r="H661" s="9">
        <v>2021</v>
      </c>
      <c r="I661" s="50">
        <v>0</v>
      </c>
      <c r="J661" s="50">
        <v>1</v>
      </c>
      <c r="K661" s="50" t="s">
        <v>206</v>
      </c>
      <c r="L661" s="48" t="s">
        <v>1946</v>
      </c>
      <c r="M661" s="48"/>
    </row>
    <row r="662" spans="1:38" s="47" customFormat="1" x14ac:dyDescent="0.35">
      <c r="A662" s="50">
        <v>0</v>
      </c>
      <c r="B662" s="50" t="s">
        <v>78</v>
      </c>
      <c r="C662" s="53">
        <v>43894</v>
      </c>
      <c r="D662" s="53">
        <v>43906</v>
      </c>
      <c r="E662" s="53">
        <v>43955</v>
      </c>
      <c r="F662" s="21">
        <f t="shared" si="198"/>
        <v>49</v>
      </c>
      <c r="G662" s="53">
        <v>43906</v>
      </c>
      <c r="H662" s="9">
        <v>2021</v>
      </c>
      <c r="I662" s="50">
        <v>0</v>
      </c>
      <c r="J662" s="50">
        <v>7</v>
      </c>
      <c r="K662" s="50">
        <v>30</v>
      </c>
      <c r="L662" s="48" t="s">
        <v>1947</v>
      </c>
      <c r="M662" s="48"/>
    </row>
    <row r="663" spans="1:38" s="47" customFormat="1" x14ac:dyDescent="0.35">
      <c r="A663" s="50">
        <v>0</v>
      </c>
      <c r="B663" s="50" t="s">
        <v>78</v>
      </c>
      <c r="C663" s="53">
        <v>43894</v>
      </c>
      <c r="D663" s="53">
        <v>43906</v>
      </c>
      <c r="E663" s="53">
        <v>43955</v>
      </c>
      <c r="F663" s="21">
        <f t="shared" si="198"/>
        <v>49</v>
      </c>
      <c r="G663" s="53">
        <v>43906</v>
      </c>
      <c r="H663" s="9">
        <v>2021</v>
      </c>
      <c r="I663" s="50">
        <v>0</v>
      </c>
      <c r="J663" s="50">
        <v>7</v>
      </c>
      <c r="K663" s="50">
        <v>30</v>
      </c>
      <c r="L663" s="48" t="s">
        <v>1948</v>
      </c>
      <c r="M663" s="48"/>
    </row>
    <row r="664" spans="1:38" s="47" customFormat="1" x14ac:dyDescent="0.35">
      <c r="A664" s="50">
        <v>0</v>
      </c>
      <c r="B664" s="50" t="s">
        <v>78</v>
      </c>
      <c r="C664" s="53">
        <v>43894</v>
      </c>
      <c r="D664" s="53">
        <v>43906</v>
      </c>
      <c r="E664" s="53">
        <v>43955</v>
      </c>
      <c r="F664" s="21">
        <f t="shared" si="198"/>
        <v>49</v>
      </c>
      <c r="G664" s="53">
        <v>43906</v>
      </c>
      <c r="H664" s="9">
        <v>2021</v>
      </c>
      <c r="I664" s="50">
        <v>0</v>
      </c>
      <c r="J664" s="50">
        <v>7</v>
      </c>
      <c r="K664" s="50">
        <v>31</v>
      </c>
      <c r="L664" s="48" t="s">
        <v>1949</v>
      </c>
      <c r="M664" s="48"/>
    </row>
    <row r="665" spans="1:38" s="47" customFormat="1" x14ac:dyDescent="0.35">
      <c r="A665" s="50">
        <v>0</v>
      </c>
      <c r="B665" s="50" t="s">
        <v>78</v>
      </c>
      <c r="C665" s="53">
        <v>43894</v>
      </c>
      <c r="D665" s="53">
        <v>43906</v>
      </c>
      <c r="E665" s="53">
        <v>43955</v>
      </c>
      <c r="F665" s="21">
        <f t="shared" si="198"/>
        <v>49</v>
      </c>
      <c r="G665" s="53">
        <v>43906</v>
      </c>
      <c r="H665" s="9">
        <v>2021</v>
      </c>
      <c r="I665" s="50">
        <v>0</v>
      </c>
      <c r="J665" s="50">
        <v>7</v>
      </c>
      <c r="K665" s="50">
        <v>30</v>
      </c>
      <c r="L665" s="48" t="s">
        <v>1950</v>
      </c>
      <c r="M665" s="48"/>
    </row>
    <row r="666" spans="1:38" x14ac:dyDescent="0.35">
      <c r="A666" s="50">
        <v>0</v>
      </c>
      <c r="B666" s="9" t="s">
        <v>85</v>
      </c>
      <c r="C666" s="53">
        <v>43889</v>
      </c>
      <c r="D666" s="53">
        <v>43903</v>
      </c>
      <c r="E666" s="53">
        <v>43976</v>
      </c>
      <c r="F666" s="21">
        <f t="shared" si="183"/>
        <v>73</v>
      </c>
      <c r="G666" s="53">
        <v>43903</v>
      </c>
      <c r="H666" s="9">
        <v>2020</v>
      </c>
      <c r="I666" s="50">
        <v>0</v>
      </c>
      <c r="J666" s="9">
        <v>1</v>
      </c>
      <c r="K666" s="9">
        <v>6</v>
      </c>
      <c r="L666" s="50" t="s">
        <v>602</v>
      </c>
      <c r="M666">
        <v>2</v>
      </c>
      <c r="N666">
        <v>2</v>
      </c>
      <c r="O666">
        <v>2</v>
      </c>
      <c r="P666">
        <v>2</v>
      </c>
      <c r="Q666">
        <v>2</v>
      </c>
      <c r="R666">
        <v>2</v>
      </c>
      <c r="S666">
        <v>1</v>
      </c>
      <c r="T666">
        <v>2</v>
      </c>
      <c r="U666">
        <v>1</v>
      </c>
      <c r="V666" t="s">
        <v>969</v>
      </c>
      <c r="W666" t="s">
        <v>989</v>
      </c>
      <c r="X666" t="s">
        <v>997</v>
      </c>
      <c r="Y666" t="s">
        <v>1000</v>
      </c>
      <c r="Z666">
        <v>0</v>
      </c>
      <c r="AA666">
        <f t="shared" ref="AA666:AA680" si="199">IF(M666&gt;0,1,IF(M666&lt;0,0,-1))</f>
        <v>1</v>
      </c>
      <c r="AB666">
        <f t="shared" ref="AB666:AB680" si="200">IF(N666&gt;0,1,IF(N666&lt;0,0,-1))</f>
        <v>1</v>
      </c>
      <c r="AC666">
        <f t="shared" ref="AC666:AC680" si="201">IF(O666&gt;0,1,IF(O666&lt;0,0,-1))</f>
        <v>1</v>
      </c>
      <c r="AD666">
        <f t="shared" ref="AD666:AD680" si="202">IF(P666&gt;0,1,IF(P666&lt;0,0,-1))</f>
        <v>1</v>
      </c>
      <c r="AE666">
        <f t="shared" ref="AE666:AE680" si="203">IF(Q666&gt;0,1,IF(Q666&lt;0,0,-1))</f>
        <v>1</v>
      </c>
      <c r="AF666">
        <f t="shared" ref="AF666:AF680" si="204">IF(R666&gt;0,1,IF(R666&lt;0,0,-1))</f>
        <v>1</v>
      </c>
      <c r="AG666">
        <f t="shared" ref="AG666:AG680" si="205">IF(S666&gt;0,1,IF(S666&lt;0,0,-1))</f>
        <v>1</v>
      </c>
      <c r="AH666">
        <f t="shared" ref="AH666:AH680" si="206">IF(T666&gt;0,1,IF(T666&lt;0,0,-1))</f>
        <v>1</v>
      </c>
      <c r="AI666">
        <f t="shared" ref="AI666:AI680" si="207">IF(U666&gt;0,1,IF(U666&lt;0,0,-1))</f>
        <v>1</v>
      </c>
      <c r="AJ666" s="9">
        <f t="shared" si="196"/>
        <v>6</v>
      </c>
      <c r="AK666">
        <f>IF(B666&lt;&gt;B658,1,0)</f>
        <v>1</v>
      </c>
      <c r="AL666" s="9">
        <v>1</v>
      </c>
    </row>
    <row r="667" spans="1:38" x14ac:dyDescent="0.35">
      <c r="A667" s="50">
        <v>0</v>
      </c>
      <c r="B667" s="9" t="s">
        <v>85</v>
      </c>
      <c r="C667" s="53">
        <v>43889</v>
      </c>
      <c r="D667" s="53">
        <v>43903</v>
      </c>
      <c r="E667" s="53">
        <v>43976</v>
      </c>
      <c r="F667" s="21">
        <f t="shared" si="183"/>
        <v>73</v>
      </c>
      <c r="G667" s="53">
        <v>43903</v>
      </c>
      <c r="H667" s="9">
        <v>2020</v>
      </c>
      <c r="I667" s="50">
        <v>0</v>
      </c>
      <c r="J667" s="9">
        <v>1</v>
      </c>
      <c r="K667" s="9">
        <v>3</v>
      </c>
      <c r="L667" s="50" t="s">
        <v>593</v>
      </c>
      <c r="M667">
        <v>2</v>
      </c>
      <c r="N667">
        <v>2</v>
      </c>
      <c r="O667">
        <v>-2</v>
      </c>
      <c r="P667">
        <v>-1</v>
      </c>
      <c r="Q667">
        <v>-2</v>
      </c>
      <c r="R667">
        <v>2</v>
      </c>
      <c r="S667">
        <v>2</v>
      </c>
      <c r="T667">
        <v>-2</v>
      </c>
      <c r="U667">
        <v>1</v>
      </c>
      <c r="V667" t="s">
        <v>969</v>
      </c>
      <c r="W667" t="s">
        <v>989</v>
      </c>
      <c r="X667" t="s">
        <v>997</v>
      </c>
      <c r="Y667" t="s">
        <v>1000</v>
      </c>
      <c r="Z667">
        <v>0</v>
      </c>
      <c r="AA667">
        <f t="shared" si="199"/>
        <v>1</v>
      </c>
      <c r="AB667">
        <f t="shared" si="200"/>
        <v>1</v>
      </c>
      <c r="AC667">
        <f t="shared" si="201"/>
        <v>0</v>
      </c>
      <c r="AD667">
        <f t="shared" si="202"/>
        <v>0</v>
      </c>
      <c r="AE667">
        <f t="shared" si="203"/>
        <v>0</v>
      </c>
      <c r="AF667">
        <f t="shared" si="204"/>
        <v>1</v>
      </c>
      <c r="AG667">
        <f t="shared" si="205"/>
        <v>1</v>
      </c>
      <c r="AH667">
        <f t="shared" si="206"/>
        <v>0</v>
      </c>
      <c r="AI667">
        <f t="shared" si="207"/>
        <v>1</v>
      </c>
      <c r="AJ667" s="9">
        <f t="shared" si="196"/>
        <v>3</v>
      </c>
      <c r="AK667">
        <f t="shared" si="197"/>
        <v>0</v>
      </c>
      <c r="AL667" s="9">
        <v>1</v>
      </c>
    </row>
    <row r="668" spans="1:38" x14ac:dyDescent="0.35">
      <c r="A668" s="50">
        <v>0</v>
      </c>
      <c r="B668" s="9" t="s">
        <v>85</v>
      </c>
      <c r="C668" s="53">
        <v>43889</v>
      </c>
      <c r="D668" s="53">
        <v>43903</v>
      </c>
      <c r="E668" s="53">
        <v>43976</v>
      </c>
      <c r="F668" s="21">
        <f t="shared" si="183"/>
        <v>73</v>
      </c>
      <c r="G668" s="53">
        <v>43903</v>
      </c>
      <c r="H668" s="9">
        <v>2020</v>
      </c>
      <c r="I668" s="50">
        <v>0</v>
      </c>
      <c r="J668" s="9">
        <v>7</v>
      </c>
      <c r="K668" s="9">
        <v>30</v>
      </c>
      <c r="L668" s="50" t="s">
        <v>598</v>
      </c>
      <c r="M668">
        <v>1</v>
      </c>
      <c r="N668">
        <v>1</v>
      </c>
      <c r="O668">
        <v>2</v>
      </c>
      <c r="P668">
        <v>1</v>
      </c>
      <c r="Q668">
        <v>2</v>
      </c>
      <c r="R668">
        <v>1</v>
      </c>
      <c r="S668">
        <v>1</v>
      </c>
      <c r="T668">
        <v>-2</v>
      </c>
      <c r="U668">
        <v>1</v>
      </c>
      <c r="V668" t="s">
        <v>969</v>
      </c>
      <c r="W668" t="s">
        <v>989</v>
      </c>
      <c r="X668" t="s">
        <v>997</v>
      </c>
      <c r="Y668" t="s">
        <v>1000</v>
      </c>
      <c r="Z668">
        <v>0</v>
      </c>
      <c r="AA668">
        <f t="shared" si="199"/>
        <v>1</v>
      </c>
      <c r="AB668">
        <f t="shared" si="200"/>
        <v>1</v>
      </c>
      <c r="AC668">
        <f t="shared" si="201"/>
        <v>1</v>
      </c>
      <c r="AD668">
        <f t="shared" si="202"/>
        <v>1</v>
      </c>
      <c r="AE668">
        <f t="shared" si="203"/>
        <v>1</v>
      </c>
      <c r="AF668">
        <f t="shared" si="204"/>
        <v>1</v>
      </c>
      <c r="AG668">
        <f t="shared" si="205"/>
        <v>1</v>
      </c>
      <c r="AH668">
        <f t="shared" si="206"/>
        <v>0</v>
      </c>
      <c r="AI668">
        <f t="shared" si="207"/>
        <v>1</v>
      </c>
      <c r="AJ668" s="9">
        <f t="shared" si="196"/>
        <v>30</v>
      </c>
      <c r="AK668">
        <f t="shared" si="197"/>
        <v>0</v>
      </c>
      <c r="AL668" s="9">
        <v>1</v>
      </c>
    </row>
    <row r="669" spans="1:38" x14ac:dyDescent="0.35">
      <c r="A669" s="50">
        <v>0</v>
      </c>
      <c r="B669" s="9" t="s">
        <v>85</v>
      </c>
      <c r="C669" s="53">
        <v>43889</v>
      </c>
      <c r="D669" s="53">
        <v>43903</v>
      </c>
      <c r="E669" s="53">
        <v>43976</v>
      </c>
      <c r="F669" s="21">
        <f t="shared" si="183"/>
        <v>73</v>
      </c>
      <c r="G669" s="53">
        <v>43903</v>
      </c>
      <c r="H669" s="9">
        <v>2020</v>
      </c>
      <c r="I669" s="50">
        <v>0</v>
      </c>
      <c r="J669" s="9">
        <v>4</v>
      </c>
      <c r="K669" s="9" t="s">
        <v>201</v>
      </c>
      <c r="L669" s="50" t="s">
        <v>2229</v>
      </c>
      <c r="M669">
        <v>2</v>
      </c>
      <c r="N669">
        <v>2</v>
      </c>
      <c r="O669">
        <v>-2</v>
      </c>
      <c r="P669">
        <v>-1</v>
      </c>
      <c r="Q669">
        <v>-2</v>
      </c>
      <c r="R669">
        <v>-2</v>
      </c>
      <c r="S669">
        <v>-2</v>
      </c>
      <c r="U669">
        <v>1</v>
      </c>
      <c r="V669" t="s">
        <v>969</v>
      </c>
      <c r="W669" t="s">
        <v>989</v>
      </c>
      <c r="X669" t="s">
        <v>997</v>
      </c>
      <c r="Y669" t="s">
        <v>1000</v>
      </c>
      <c r="Z669">
        <v>0</v>
      </c>
      <c r="AA669">
        <f t="shared" si="199"/>
        <v>1</v>
      </c>
      <c r="AB669">
        <f t="shared" si="200"/>
        <v>1</v>
      </c>
      <c r="AC669">
        <f t="shared" si="201"/>
        <v>0</v>
      </c>
      <c r="AD669">
        <f t="shared" si="202"/>
        <v>0</v>
      </c>
      <c r="AE669">
        <f t="shared" si="203"/>
        <v>0</v>
      </c>
      <c r="AF669">
        <f t="shared" si="204"/>
        <v>0</v>
      </c>
      <c r="AG669">
        <f t="shared" si="205"/>
        <v>0</v>
      </c>
      <c r="AH669">
        <f t="shared" si="206"/>
        <v>-1</v>
      </c>
      <c r="AI669">
        <f t="shared" si="207"/>
        <v>1</v>
      </c>
      <c r="AJ669" s="9" t="str">
        <f t="shared" si="196"/>
        <v>Other</v>
      </c>
      <c r="AK669">
        <f t="shared" si="197"/>
        <v>0</v>
      </c>
      <c r="AL669" s="9">
        <v>1</v>
      </c>
    </row>
    <row r="670" spans="1:38" x14ac:dyDescent="0.35">
      <c r="A670" s="50">
        <v>0</v>
      </c>
      <c r="B670" s="9" t="s">
        <v>85</v>
      </c>
      <c r="C670" s="53">
        <v>43889</v>
      </c>
      <c r="D670" s="53">
        <v>43903</v>
      </c>
      <c r="E670" s="53">
        <v>43976</v>
      </c>
      <c r="F670" s="21">
        <f t="shared" si="183"/>
        <v>73</v>
      </c>
      <c r="G670" s="53">
        <v>43903</v>
      </c>
      <c r="H670" s="9">
        <v>2020</v>
      </c>
      <c r="I670" s="50">
        <v>0</v>
      </c>
      <c r="J670" s="9">
        <v>6</v>
      </c>
      <c r="K670" s="9">
        <v>25</v>
      </c>
      <c r="L670" s="50" t="s">
        <v>597</v>
      </c>
      <c r="M670">
        <v>1</v>
      </c>
      <c r="N670">
        <v>1</v>
      </c>
      <c r="O670">
        <v>2</v>
      </c>
      <c r="P670">
        <v>-1</v>
      </c>
      <c r="Q670">
        <v>2</v>
      </c>
      <c r="R670">
        <v>1</v>
      </c>
      <c r="S670">
        <v>1</v>
      </c>
      <c r="T670">
        <v>-2</v>
      </c>
      <c r="U670">
        <v>1</v>
      </c>
      <c r="V670" t="s">
        <v>969</v>
      </c>
      <c r="W670" t="s">
        <v>989</v>
      </c>
      <c r="X670" t="s">
        <v>997</v>
      </c>
      <c r="Y670" t="s">
        <v>1000</v>
      </c>
      <c r="Z670">
        <v>0</v>
      </c>
      <c r="AA670">
        <f t="shared" si="199"/>
        <v>1</v>
      </c>
      <c r="AB670">
        <f t="shared" si="200"/>
        <v>1</v>
      </c>
      <c r="AC670">
        <f t="shared" si="201"/>
        <v>1</v>
      </c>
      <c r="AD670">
        <f t="shared" si="202"/>
        <v>0</v>
      </c>
      <c r="AE670">
        <f t="shared" si="203"/>
        <v>1</v>
      </c>
      <c r="AF670">
        <f t="shared" si="204"/>
        <v>1</v>
      </c>
      <c r="AG670">
        <f t="shared" si="205"/>
        <v>1</v>
      </c>
      <c r="AH670">
        <f t="shared" si="206"/>
        <v>0</v>
      </c>
      <c r="AI670">
        <f t="shared" si="207"/>
        <v>1</v>
      </c>
      <c r="AJ670" s="9">
        <f t="shared" si="196"/>
        <v>25</v>
      </c>
      <c r="AK670">
        <f t="shared" si="197"/>
        <v>0</v>
      </c>
      <c r="AL670" s="9">
        <v>1</v>
      </c>
    </row>
    <row r="671" spans="1:38" x14ac:dyDescent="0.35">
      <c r="A671" s="50">
        <v>0</v>
      </c>
      <c r="B671" s="9" t="s">
        <v>85</v>
      </c>
      <c r="C671" s="53">
        <v>43889</v>
      </c>
      <c r="D671" s="53">
        <v>43903</v>
      </c>
      <c r="E671" s="53">
        <v>43976</v>
      </c>
      <c r="F671" s="21">
        <f t="shared" si="183"/>
        <v>73</v>
      </c>
      <c r="G671" s="53">
        <v>43903</v>
      </c>
      <c r="H671" s="9">
        <v>2020</v>
      </c>
      <c r="I671" s="50">
        <v>0</v>
      </c>
      <c r="J671" s="9">
        <v>7</v>
      </c>
      <c r="K671" s="9">
        <v>30</v>
      </c>
      <c r="L671" s="50" t="s">
        <v>595</v>
      </c>
      <c r="M671">
        <v>1</v>
      </c>
      <c r="N671">
        <v>1</v>
      </c>
      <c r="O671">
        <v>2</v>
      </c>
      <c r="P671">
        <v>1</v>
      </c>
      <c r="Q671">
        <v>2</v>
      </c>
      <c r="R671">
        <v>1</v>
      </c>
      <c r="S671">
        <v>1</v>
      </c>
      <c r="T671">
        <v>-2</v>
      </c>
      <c r="U671">
        <v>1</v>
      </c>
      <c r="V671" t="s">
        <v>969</v>
      </c>
      <c r="W671" t="s">
        <v>989</v>
      </c>
      <c r="X671" t="s">
        <v>997</v>
      </c>
      <c r="Y671" t="s">
        <v>1000</v>
      </c>
      <c r="Z671">
        <v>0</v>
      </c>
      <c r="AA671">
        <f t="shared" si="199"/>
        <v>1</v>
      </c>
      <c r="AB671">
        <f t="shared" si="200"/>
        <v>1</v>
      </c>
      <c r="AC671">
        <f t="shared" si="201"/>
        <v>1</v>
      </c>
      <c r="AD671">
        <f t="shared" si="202"/>
        <v>1</v>
      </c>
      <c r="AE671">
        <f t="shared" si="203"/>
        <v>1</v>
      </c>
      <c r="AF671">
        <f t="shared" si="204"/>
        <v>1</v>
      </c>
      <c r="AG671">
        <f t="shared" si="205"/>
        <v>1</v>
      </c>
      <c r="AH671">
        <f t="shared" si="206"/>
        <v>0</v>
      </c>
      <c r="AI671">
        <f t="shared" si="207"/>
        <v>1</v>
      </c>
      <c r="AJ671" s="9">
        <f t="shared" si="196"/>
        <v>30</v>
      </c>
      <c r="AK671">
        <f t="shared" si="197"/>
        <v>0</v>
      </c>
      <c r="AL671" s="9">
        <v>1</v>
      </c>
    </row>
    <row r="672" spans="1:38" x14ac:dyDescent="0.35">
      <c r="A672" s="50">
        <v>0</v>
      </c>
      <c r="B672" s="9" t="s">
        <v>85</v>
      </c>
      <c r="C672" s="53">
        <v>43889</v>
      </c>
      <c r="D672" s="53">
        <v>43903</v>
      </c>
      <c r="E672" s="53">
        <v>43976</v>
      </c>
      <c r="F672" s="21">
        <f t="shared" si="183"/>
        <v>73</v>
      </c>
      <c r="G672" s="53">
        <v>43903</v>
      </c>
      <c r="H672" s="9">
        <v>2020</v>
      </c>
      <c r="I672" s="50">
        <v>0</v>
      </c>
      <c r="J672" s="9">
        <v>7</v>
      </c>
      <c r="K672" s="9" t="s">
        <v>201</v>
      </c>
      <c r="L672" s="50" t="s">
        <v>589</v>
      </c>
      <c r="M672">
        <v>1</v>
      </c>
      <c r="N672">
        <v>1</v>
      </c>
      <c r="O672">
        <v>2</v>
      </c>
      <c r="P672">
        <v>2</v>
      </c>
      <c r="Q672">
        <v>2</v>
      </c>
      <c r="R672">
        <v>2</v>
      </c>
      <c r="S672">
        <v>2</v>
      </c>
      <c r="T672">
        <v>-2</v>
      </c>
      <c r="U672">
        <v>1</v>
      </c>
      <c r="V672" t="s">
        <v>969</v>
      </c>
      <c r="W672" t="s">
        <v>989</v>
      </c>
      <c r="X672" t="s">
        <v>997</v>
      </c>
      <c r="Y672" t="s">
        <v>1000</v>
      </c>
      <c r="Z672">
        <v>0</v>
      </c>
      <c r="AA672">
        <f t="shared" si="199"/>
        <v>1</v>
      </c>
      <c r="AB672">
        <f t="shared" si="200"/>
        <v>1</v>
      </c>
      <c r="AC672">
        <f t="shared" si="201"/>
        <v>1</v>
      </c>
      <c r="AD672">
        <f t="shared" si="202"/>
        <v>1</v>
      </c>
      <c r="AE672">
        <f t="shared" si="203"/>
        <v>1</v>
      </c>
      <c r="AF672">
        <f t="shared" si="204"/>
        <v>1</v>
      </c>
      <c r="AG672">
        <f t="shared" si="205"/>
        <v>1</v>
      </c>
      <c r="AH672">
        <f t="shared" si="206"/>
        <v>0</v>
      </c>
      <c r="AI672">
        <f t="shared" si="207"/>
        <v>1</v>
      </c>
      <c r="AJ672" s="9" t="str">
        <f t="shared" si="196"/>
        <v>Other</v>
      </c>
      <c r="AK672">
        <f t="shared" si="197"/>
        <v>0</v>
      </c>
      <c r="AL672" s="9">
        <v>1</v>
      </c>
    </row>
    <row r="673" spans="1:38" x14ac:dyDescent="0.35">
      <c r="A673" s="50">
        <v>0</v>
      </c>
      <c r="B673" s="9" t="s">
        <v>85</v>
      </c>
      <c r="C673" s="53">
        <v>43889</v>
      </c>
      <c r="D673" s="53">
        <v>43903</v>
      </c>
      <c r="E673" s="53">
        <v>43976</v>
      </c>
      <c r="F673" s="21">
        <f t="shared" si="183"/>
        <v>73</v>
      </c>
      <c r="G673" s="53">
        <v>43903</v>
      </c>
      <c r="H673" s="9">
        <v>2020</v>
      </c>
      <c r="I673" s="50">
        <v>0</v>
      </c>
      <c r="J673" s="9">
        <v>1</v>
      </c>
      <c r="K673" s="9">
        <v>7</v>
      </c>
      <c r="L673" s="50" t="s">
        <v>601</v>
      </c>
      <c r="M673">
        <v>-2</v>
      </c>
      <c r="N673">
        <v>2</v>
      </c>
      <c r="O673">
        <v>-2</v>
      </c>
      <c r="P673">
        <v>-1</v>
      </c>
      <c r="Q673">
        <v>-2</v>
      </c>
      <c r="R673">
        <v>-2</v>
      </c>
      <c r="S673">
        <v>2</v>
      </c>
      <c r="U673">
        <v>1</v>
      </c>
      <c r="V673" t="s">
        <v>969</v>
      </c>
      <c r="W673" t="s">
        <v>989</v>
      </c>
      <c r="X673" t="s">
        <v>997</v>
      </c>
      <c r="Y673" t="s">
        <v>1000</v>
      </c>
      <c r="Z673">
        <v>0</v>
      </c>
      <c r="AA673">
        <f t="shared" si="199"/>
        <v>0</v>
      </c>
      <c r="AB673">
        <f t="shared" si="200"/>
        <v>1</v>
      </c>
      <c r="AC673">
        <f t="shared" si="201"/>
        <v>0</v>
      </c>
      <c r="AD673">
        <f t="shared" si="202"/>
        <v>0</v>
      </c>
      <c r="AE673">
        <f t="shared" si="203"/>
        <v>0</v>
      </c>
      <c r="AF673">
        <f t="shared" si="204"/>
        <v>0</v>
      </c>
      <c r="AG673">
        <f t="shared" si="205"/>
        <v>1</v>
      </c>
      <c r="AH673">
        <f t="shared" si="206"/>
        <v>-1</v>
      </c>
      <c r="AI673">
        <f t="shared" si="207"/>
        <v>1</v>
      </c>
      <c r="AJ673" s="9">
        <f t="shared" si="196"/>
        <v>7</v>
      </c>
      <c r="AK673">
        <f t="shared" si="197"/>
        <v>0</v>
      </c>
      <c r="AL673" s="9">
        <v>1</v>
      </c>
    </row>
    <row r="674" spans="1:38" x14ac:dyDescent="0.35">
      <c r="A674" s="50">
        <v>0</v>
      </c>
      <c r="B674" s="9" t="s">
        <v>85</v>
      </c>
      <c r="C674" s="53">
        <v>43889</v>
      </c>
      <c r="D674" s="53">
        <v>43903</v>
      </c>
      <c r="E674" s="53">
        <v>43976</v>
      </c>
      <c r="F674" s="21">
        <f t="shared" si="183"/>
        <v>73</v>
      </c>
      <c r="G674" s="53">
        <v>43903</v>
      </c>
      <c r="H674" s="9">
        <v>2020</v>
      </c>
      <c r="I674" s="50">
        <v>0</v>
      </c>
      <c r="J674" s="9">
        <v>7</v>
      </c>
      <c r="K674" s="9">
        <v>30</v>
      </c>
      <c r="L674" s="50" t="s">
        <v>594</v>
      </c>
      <c r="M674">
        <v>1</v>
      </c>
      <c r="N674">
        <v>1</v>
      </c>
      <c r="O674">
        <v>2</v>
      </c>
      <c r="P674">
        <v>1</v>
      </c>
      <c r="Q674">
        <v>2</v>
      </c>
      <c r="R674">
        <v>1</v>
      </c>
      <c r="S674">
        <v>1</v>
      </c>
      <c r="T674">
        <v>-2</v>
      </c>
      <c r="U674">
        <v>1</v>
      </c>
      <c r="V674" t="s">
        <v>969</v>
      </c>
      <c r="W674" t="s">
        <v>989</v>
      </c>
      <c r="X674" t="s">
        <v>997</v>
      </c>
      <c r="Y674" t="s">
        <v>1000</v>
      </c>
      <c r="Z674">
        <v>0</v>
      </c>
      <c r="AA674">
        <f t="shared" si="199"/>
        <v>1</v>
      </c>
      <c r="AB674">
        <f t="shared" si="200"/>
        <v>1</v>
      </c>
      <c r="AC674">
        <f t="shared" si="201"/>
        <v>1</v>
      </c>
      <c r="AD674">
        <f t="shared" si="202"/>
        <v>1</v>
      </c>
      <c r="AE674">
        <f t="shared" si="203"/>
        <v>1</v>
      </c>
      <c r="AF674">
        <f t="shared" si="204"/>
        <v>1</v>
      </c>
      <c r="AG674">
        <f t="shared" si="205"/>
        <v>1</v>
      </c>
      <c r="AH674">
        <f t="shared" si="206"/>
        <v>0</v>
      </c>
      <c r="AI674">
        <f t="shared" si="207"/>
        <v>1</v>
      </c>
      <c r="AJ674" s="9">
        <f t="shared" si="196"/>
        <v>30</v>
      </c>
      <c r="AK674">
        <f t="shared" si="197"/>
        <v>0</v>
      </c>
      <c r="AL674" s="9">
        <v>1</v>
      </c>
    </row>
    <row r="675" spans="1:38" x14ac:dyDescent="0.35">
      <c r="A675" s="50">
        <v>0</v>
      </c>
      <c r="B675" s="9" t="s">
        <v>85</v>
      </c>
      <c r="C675" s="53">
        <v>43889</v>
      </c>
      <c r="D675" s="53">
        <v>43903</v>
      </c>
      <c r="E675" s="53">
        <v>43976</v>
      </c>
      <c r="F675" s="21">
        <f t="shared" si="183"/>
        <v>73</v>
      </c>
      <c r="G675" s="53">
        <v>43903</v>
      </c>
      <c r="H675" s="9">
        <v>2020</v>
      </c>
      <c r="I675" s="50">
        <v>0</v>
      </c>
      <c r="J675" s="9">
        <v>1</v>
      </c>
      <c r="K675" s="9">
        <v>6</v>
      </c>
      <c r="L675" s="50" t="s">
        <v>590</v>
      </c>
      <c r="M675">
        <v>-2</v>
      </c>
      <c r="N675">
        <v>2</v>
      </c>
      <c r="O675">
        <v>2</v>
      </c>
      <c r="P675">
        <v>2</v>
      </c>
      <c r="Q675">
        <v>2</v>
      </c>
      <c r="R675">
        <v>2</v>
      </c>
      <c r="S675">
        <v>1</v>
      </c>
      <c r="T675">
        <v>2</v>
      </c>
      <c r="U675">
        <v>1</v>
      </c>
      <c r="V675" t="s">
        <v>969</v>
      </c>
      <c r="W675" t="s">
        <v>989</v>
      </c>
      <c r="X675" t="s">
        <v>997</v>
      </c>
      <c r="Y675" t="s">
        <v>1000</v>
      </c>
      <c r="Z675">
        <v>0</v>
      </c>
      <c r="AA675">
        <f t="shared" si="199"/>
        <v>0</v>
      </c>
      <c r="AB675">
        <f t="shared" si="200"/>
        <v>1</v>
      </c>
      <c r="AC675">
        <f t="shared" si="201"/>
        <v>1</v>
      </c>
      <c r="AD675">
        <f t="shared" si="202"/>
        <v>1</v>
      </c>
      <c r="AE675">
        <f t="shared" si="203"/>
        <v>1</v>
      </c>
      <c r="AF675">
        <f t="shared" si="204"/>
        <v>1</v>
      </c>
      <c r="AG675">
        <f t="shared" si="205"/>
        <v>1</v>
      </c>
      <c r="AH675">
        <f t="shared" si="206"/>
        <v>1</v>
      </c>
      <c r="AI675">
        <f t="shared" si="207"/>
        <v>1</v>
      </c>
      <c r="AJ675" s="9">
        <f t="shared" si="196"/>
        <v>6</v>
      </c>
      <c r="AK675">
        <f t="shared" si="197"/>
        <v>0</v>
      </c>
      <c r="AL675" s="9">
        <v>1</v>
      </c>
    </row>
    <row r="676" spans="1:38" x14ac:dyDescent="0.35">
      <c r="A676" s="50">
        <v>0</v>
      </c>
      <c r="B676" s="9" t="s">
        <v>85</v>
      </c>
      <c r="C676" s="53">
        <v>43889</v>
      </c>
      <c r="D676" s="53">
        <v>43903</v>
      </c>
      <c r="E676" s="53">
        <v>43976</v>
      </c>
      <c r="F676" s="21">
        <f t="shared" si="183"/>
        <v>73</v>
      </c>
      <c r="G676" s="53">
        <v>43903</v>
      </c>
      <c r="H676" s="9">
        <v>2020</v>
      </c>
      <c r="I676" s="50">
        <v>0</v>
      </c>
      <c r="J676" s="9">
        <v>1</v>
      </c>
      <c r="K676" s="9">
        <v>6</v>
      </c>
      <c r="L676" s="50" t="s">
        <v>596</v>
      </c>
      <c r="M676">
        <v>-2</v>
      </c>
      <c r="N676">
        <v>2</v>
      </c>
      <c r="O676">
        <v>2</v>
      </c>
      <c r="P676">
        <v>2</v>
      </c>
      <c r="Q676">
        <v>2</v>
      </c>
      <c r="R676">
        <v>2</v>
      </c>
      <c r="S676">
        <v>1</v>
      </c>
      <c r="T676">
        <v>2</v>
      </c>
      <c r="U676">
        <v>1</v>
      </c>
      <c r="V676" t="s">
        <v>969</v>
      </c>
      <c r="W676" t="s">
        <v>989</v>
      </c>
      <c r="X676" t="s">
        <v>997</v>
      </c>
      <c r="Y676" t="s">
        <v>1000</v>
      </c>
      <c r="Z676">
        <v>0</v>
      </c>
      <c r="AA676">
        <f t="shared" si="199"/>
        <v>0</v>
      </c>
      <c r="AB676">
        <f t="shared" si="200"/>
        <v>1</v>
      </c>
      <c r="AC676">
        <f t="shared" si="201"/>
        <v>1</v>
      </c>
      <c r="AD676">
        <f t="shared" si="202"/>
        <v>1</v>
      </c>
      <c r="AE676">
        <f t="shared" si="203"/>
        <v>1</v>
      </c>
      <c r="AF676">
        <f t="shared" si="204"/>
        <v>1</v>
      </c>
      <c r="AG676">
        <f t="shared" si="205"/>
        <v>1</v>
      </c>
      <c r="AH676">
        <f t="shared" si="206"/>
        <v>1</v>
      </c>
      <c r="AI676">
        <f t="shared" si="207"/>
        <v>1</v>
      </c>
      <c r="AJ676" s="9">
        <f t="shared" si="196"/>
        <v>6</v>
      </c>
      <c r="AK676">
        <f t="shared" si="197"/>
        <v>0</v>
      </c>
      <c r="AL676" s="9">
        <v>1</v>
      </c>
    </row>
    <row r="677" spans="1:38" x14ac:dyDescent="0.35">
      <c r="A677" s="50">
        <v>0</v>
      </c>
      <c r="B677" s="9" t="s">
        <v>85</v>
      </c>
      <c r="C677" s="53">
        <v>43889</v>
      </c>
      <c r="D677" s="53">
        <v>43903</v>
      </c>
      <c r="E677" s="53">
        <v>43976</v>
      </c>
      <c r="F677" s="21">
        <f t="shared" si="183"/>
        <v>73</v>
      </c>
      <c r="G677" s="53">
        <v>43903</v>
      </c>
      <c r="H677" s="9">
        <v>2020</v>
      </c>
      <c r="I677" s="50">
        <v>0</v>
      </c>
      <c r="J677" s="9">
        <v>1</v>
      </c>
      <c r="K677" s="9">
        <v>3</v>
      </c>
      <c r="L677" s="50" t="s">
        <v>591</v>
      </c>
      <c r="M677">
        <v>-2</v>
      </c>
      <c r="N677">
        <v>2</v>
      </c>
      <c r="O677">
        <v>-2</v>
      </c>
      <c r="P677">
        <v>-1</v>
      </c>
      <c r="Q677">
        <v>-2</v>
      </c>
      <c r="R677">
        <v>-2</v>
      </c>
      <c r="S677">
        <v>2</v>
      </c>
      <c r="T677">
        <v>-2</v>
      </c>
      <c r="U677">
        <v>1</v>
      </c>
      <c r="V677" t="s">
        <v>969</v>
      </c>
      <c r="W677" t="s">
        <v>989</v>
      </c>
      <c r="X677" t="s">
        <v>997</v>
      </c>
      <c r="Y677" t="s">
        <v>1000</v>
      </c>
      <c r="Z677">
        <v>0</v>
      </c>
      <c r="AA677">
        <f t="shared" si="199"/>
        <v>0</v>
      </c>
      <c r="AB677">
        <f t="shared" si="200"/>
        <v>1</v>
      </c>
      <c r="AC677">
        <f t="shared" si="201"/>
        <v>0</v>
      </c>
      <c r="AD677">
        <f t="shared" si="202"/>
        <v>0</v>
      </c>
      <c r="AE677">
        <f t="shared" si="203"/>
        <v>0</v>
      </c>
      <c r="AF677">
        <f t="shared" si="204"/>
        <v>0</v>
      </c>
      <c r="AG677">
        <f t="shared" si="205"/>
        <v>1</v>
      </c>
      <c r="AH677">
        <f t="shared" si="206"/>
        <v>0</v>
      </c>
      <c r="AI677">
        <f t="shared" si="207"/>
        <v>1</v>
      </c>
      <c r="AJ677" s="9">
        <f t="shared" si="196"/>
        <v>3</v>
      </c>
      <c r="AK677">
        <f t="shared" si="197"/>
        <v>0</v>
      </c>
      <c r="AL677" s="9">
        <v>1</v>
      </c>
    </row>
    <row r="678" spans="1:38" x14ac:dyDescent="0.35">
      <c r="A678" s="50">
        <v>0</v>
      </c>
      <c r="B678" s="9" t="s">
        <v>85</v>
      </c>
      <c r="C678" s="53">
        <v>43889</v>
      </c>
      <c r="D678" s="53">
        <v>43903</v>
      </c>
      <c r="E678" s="53">
        <v>43976</v>
      </c>
      <c r="F678" s="21">
        <f t="shared" si="183"/>
        <v>73</v>
      </c>
      <c r="G678" s="53">
        <v>43903</v>
      </c>
      <c r="H678" s="9">
        <v>2020</v>
      </c>
      <c r="I678" s="50">
        <v>0</v>
      </c>
      <c r="J678" s="9">
        <v>9</v>
      </c>
      <c r="K678" s="9">
        <v>34</v>
      </c>
      <c r="L678" s="50" t="s">
        <v>599</v>
      </c>
      <c r="M678">
        <v>1</v>
      </c>
      <c r="N678">
        <v>1</v>
      </c>
      <c r="P678">
        <v>-1</v>
      </c>
      <c r="Q678">
        <v>2</v>
      </c>
      <c r="R678">
        <v>1</v>
      </c>
      <c r="S678">
        <v>1</v>
      </c>
      <c r="T678">
        <v>-2</v>
      </c>
      <c r="U678">
        <v>1</v>
      </c>
      <c r="V678" t="s">
        <v>969</v>
      </c>
      <c r="W678" t="s">
        <v>989</v>
      </c>
      <c r="X678" t="s">
        <v>997</v>
      </c>
      <c r="Y678" t="s">
        <v>1000</v>
      </c>
      <c r="Z678">
        <v>0</v>
      </c>
      <c r="AA678">
        <f t="shared" si="199"/>
        <v>1</v>
      </c>
      <c r="AB678">
        <f t="shared" si="200"/>
        <v>1</v>
      </c>
      <c r="AC678">
        <f t="shared" si="201"/>
        <v>-1</v>
      </c>
      <c r="AD678">
        <f t="shared" si="202"/>
        <v>0</v>
      </c>
      <c r="AE678">
        <f t="shared" si="203"/>
        <v>1</v>
      </c>
      <c r="AF678">
        <f t="shared" si="204"/>
        <v>1</v>
      </c>
      <c r="AG678">
        <f t="shared" si="205"/>
        <v>1</v>
      </c>
      <c r="AH678">
        <f t="shared" si="206"/>
        <v>0</v>
      </c>
      <c r="AI678">
        <f t="shared" si="207"/>
        <v>1</v>
      </c>
      <c r="AJ678" s="9">
        <f t="shared" si="196"/>
        <v>34</v>
      </c>
      <c r="AK678">
        <f t="shared" si="197"/>
        <v>0</v>
      </c>
      <c r="AL678" s="9">
        <v>1</v>
      </c>
    </row>
    <row r="679" spans="1:38" x14ac:dyDescent="0.35">
      <c r="A679" s="50">
        <v>0</v>
      </c>
      <c r="B679" s="9" t="s">
        <v>85</v>
      </c>
      <c r="C679" s="53">
        <v>43889</v>
      </c>
      <c r="D679" s="53">
        <v>43903</v>
      </c>
      <c r="E679" s="53">
        <v>43976</v>
      </c>
      <c r="F679" s="21">
        <f t="shared" si="183"/>
        <v>73</v>
      </c>
      <c r="G679" s="53">
        <v>43903</v>
      </c>
      <c r="H679" s="9">
        <v>2020</v>
      </c>
      <c r="I679" s="50">
        <v>0</v>
      </c>
      <c r="J679" s="9">
        <v>6</v>
      </c>
      <c r="K679" s="9">
        <v>26</v>
      </c>
      <c r="L679" s="50" t="s">
        <v>592</v>
      </c>
      <c r="M679">
        <v>1</v>
      </c>
      <c r="N679">
        <v>1</v>
      </c>
      <c r="O679">
        <v>-2</v>
      </c>
      <c r="P679">
        <v>-1</v>
      </c>
      <c r="Q679">
        <v>-2</v>
      </c>
      <c r="R679">
        <v>2</v>
      </c>
      <c r="S679">
        <v>1</v>
      </c>
      <c r="T679">
        <v>-2</v>
      </c>
      <c r="U679">
        <v>1</v>
      </c>
      <c r="V679" t="s">
        <v>969</v>
      </c>
      <c r="W679" t="s">
        <v>989</v>
      </c>
      <c r="X679" t="s">
        <v>997</v>
      </c>
      <c r="Y679" t="s">
        <v>1000</v>
      </c>
      <c r="Z679">
        <v>0</v>
      </c>
      <c r="AA679">
        <f t="shared" si="199"/>
        <v>1</v>
      </c>
      <c r="AB679">
        <f t="shared" si="200"/>
        <v>1</v>
      </c>
      <c r="AC679">
        <f t="shared" si="201"/>
        <v>0</v>
      </c>
      <c r="AD679">
        <f t="shared" si="202"/>
        <v>0</v>
      </c>
      <c r="AE679">
        <f t="shared" si="203"/>
        <v>0</v>
      </c>
      <c r="AF679">
        <f t="shared" si="204"/>
        <v>1</v>
      </c>
      <c r="AG679">
        <f t="shared" si="205"/>
        <v>1</v>
      </c>
      <c r="AH679">
        <f t="shared" si="206"/>
        <v>0</v>
      </c>
      <c r="AI679">
        <f t="shared" si="207"/>
        <v>1</v>
      </c>
      <c r="AJ679" s="9">
        <f t="shared" si="196"/>
        <v>26</v>
      </c>
      <c r="AK679">
        <f t="shared" si="197"/>
        <v>0</v>
      </c>
      <c r="AL679" s="9">
        <v>1</v>
      </c>
    </row>
    <row r="680" spans="1:38" x14ac:dyDescent="0.35">
      <c r="A680" s="50">
        <v>0</v>
      </c>
      <c r="B680" s="9" t="s">
        <v>85</v>
      </c>
      <c r="C680" s="53">
        <v>43889</v>
      </c>
      <c r="D680" s="53">
        <v>43903</v>
      </c>
      <c r="E680" s="53">
        <v>43976</v>
      </c>
      <c r="F680" s="21">
        <f t="shared" si="183"/>
        <v>73</v>
      </c>
      <c r="G680" s="53">
        <v>43903</v>
      </c>
      <c r="H680" s="9">
        <v>2020</v>
      </c>
      <c r="I680" s="50">
        <v>0</v>
      </c>
      <c r="J680" s="9">
        <v>1</v>
      </c>
      <c r="K680" s="9" t="s">
        <v>206</v>
      </c>
      <c r="L680" s="50" t="s">
        <v>600</v>
      </c>
      <c r="M680">
        <v>2</v>
      </c>
      <c r="N680">
        <v>2</v>
      </c>
      <c r="O680">
        <v>-2</v>
      </c>
      <c r="P680">
        <v>-1</v>
      </c>
      <c r="Q680">
        <v>-2</v>
      </c>
      <c r="R680">
        <v>2</v>
      </c>
      <c r="S680">
        <v>-2</v>
      </c>
      <c r="T680">
        <v>2</v>
      </c>
      <c r="U680">
        <v>1</v>
      </c>
      <c r="V680" t="s">
        <v>969</v>
      </c>
      <c r="W680" t="s">
        <v>989</v>
      </c>
      <c r="X680" t="s">
        <v>997</v>
      </c>
      <c r="Y680" t="s">
        <v>1000</v>
      </c>
      <c r="Z680">
        <v>0</v>
      </c>
      <c r="AA680">
        <f t="shared" si="199"/>
        <v>1</v>
      </c>
      <c r="AB680">
        <f t="shared" si="200"/>
        <v>1</v>
      </c>
      <c r="AC680">
        <f t="shared" si="201"/>
        <v>0</v>
      </c>
      <c r="AD680">
        <f t="shared" si="202"/>
        <v>0</v>
      </c>
      <c r="AE680">
        <f t="shared" si="203"/>
        <v>0</v>
      </c>
      <c r="AF680">
        <f t="shared" si="204"/>
        <v>1</v>
      </c>
      <c r="AG680">
        <f t="shared" si="205"/>
        <v>0</v>
      </c>
      <c r="AH680">
        <f t="shared" si="206"/>
        <v>1</v>
      </c>
      <c r="AI680">
        <f t="shared" si="207"/>
        <v>1</v>
      </c>
      <c r="AJ680" s="9" t="str">
        <f t="shared" si="196"/>
        <v>Tax exemption/waiver/suspension</v>
      </c>
      <c r="AK680">
        <f t="shared" si="197"/>
        <v>0</v>
      </c>
      <c r="AL680" s="9">
        <v>0</v>
      </c>
    </row>
    <row r="681" spans="1:38" x14ac:dyDescent="0.35">
      <c r="A681" s="50">
        <v>0</v>
      </c>
      <c r="B681" s="50" t="s">
        <v>85</v>
      </c>
      <c r="C681" s="53">
        <v>43889</v>
      </c>
      <c r="D681" s="53">
        <v>43903</v>
      </c>
      <c r="E681" s="53">
        <v>43976</v>
      </c>
      <c r="F681" s="21">
        <f t="shared" si="183"/>
        <v>73</v>
      </c>
      <c r="G681" s="53">
        <v>43903</v>
      </c>
      <c r="H681" s="9">
        <v>2020</v>
      </c>
      <c r="I681" s="50">
        <v>0</v>
      </c>
      <c r="J681" s="50">
        <v>7</v>
      </c>
      <c r="K681" s="50">
        <v>31</v>
      </c>
      <c r="L681" s="24" t="s">
        <v>1424</v>
      </c>
      <c r="M681" s="24"/>
      <c r="V681" t="s">
        <v>969</v>
      </c>
      <c r="W681" t="s">
        <v>989</v>
      </c>
      <c r="X681" t="s">
        <v>997</v>
      </c>
      <c r="Y681" t="s">
        <v>1000</v>
      </c>
      <c r="Z681">
        <v>0</v>
      </c>
      <c r="AA681">
        <v>-1</v>
      </c>
      <c r="AB681">
        <v>-1</v>
      </c>
      <c r="AC681">
        <v>-1</v>
      </c>
      <c r="AD681">
        <v>-1</v>
      </c>
      <c r="AE681">
        <v>-1</v>
      </c>
      <c r="AF681">
        <v>-1</v>
      </c>
      <c r="AG681">
        <v>-1</v>
      </c>
      <c r="AH681">
        <v>-1</v>
      </c>
      <c r="AI681">
        <v>-1</v>
      </c>
      <c r="AJ681" s="9">
        <f t="shared" si="196"/>
        <v>31</v>
      </c>
      <c r="AK681">
        <f t="shared" si="197"/>
        <v>0</v>
      </c>
      <c r="AL681" s="9">
        <v>0</v>
      </c>
    </row>
    <row r="682" spans="1:38" x14ac:dyDescent="0.35">
      <c r="A682" s="50">
        <v>0</v>
      </c>
      <c r="B682" s="50" t="s">
        <v>85</v>
      </c>
      <c r="C682" s="53">
        <v>43889</v>
      </c>
      <c r="D682" s="53">
        <v>43903</v>
      </c>
      <c r="E682" s="53">
        <v>43976</v>
      </c>
      <c r="F682" s="21">
        <f t="shared" si="183"/>
        <v>73</v>
      </c>
      <c r="G682" s="53">
        <v>43903</v>
      </c>
      <c r="H682" s="9">
        <v>2020</v>
      </c>
      <c r="I682" s="50">
        <v>0</v>
      </c>
      <c r="J682" s="50">
        <v>9</v>
      </c>
      <c r="K682" s="50">
        <v>34</v>
      </c>
      <c r="L682" s="24" t="s">
        <v>1425</v>
      </c>
      <c r="M682" s="24"/>
      <c r="V682" t="s">
        <v>969</v>
      </c>
      <c r="W682" t="s">
        <v>989</v>
      </c>
      <c r="X682" t="s">
        <v>997</v>
      </c>
      <c r="Y682" t="s">
        <v>1000</v>
      </c>
      <c r="Z682">
        <v>0</v>
      </c>
      <c r="AA682">
        <v>-1</v>
      </c>
      <c r="AB682">
        <v>-1</v>
      </c>
      <c r="AC682">
        <v>-1</v>
      </c>
      <c r="AD682">
        <v>-1</v>
      </c>
      <c r="AE682">
        <v>-1</v>
      </c>
      <c r="AF682">
        <v>-1</v>
      </c>
      <c r="AG682">
        <v>-1</v>
      </c>
      <c r="AH682">
        <v>-1</v>
      </c>
      <c r="AI682">
        <v>-1</v>
      </c>
      <c r="AJ682" s="9">
        <f t="shared" si="196"/>
        <v>34</v>
      </c>
      <c r="AK682">
        <f t="shared" si="197"/>
        <v>0</v>
      </c>
      <c r="AL682" s="9">
        <v>0</v>
      </c>
    </row>
    <row r="683" spans="1:38" x14ac:dyDescent="0.35">
      <c r="A683" s="50">
        <v>0</v>
      </c>
      <c r="B683" s="50" t="s">
        <v>85</v>
      </c>
      <c r="C683" s="53">
        <v>43889</v>
      </c>
      <c r="D683" s="53">
        <v>43903</v>
      </c>
      <c r="E683" s="53">
        <v>43976</v>
      </c>
      <c r="F683" s="21">
        <f t="shared" si="183"/>
        <v>73</v>
      </c>
      <c r="G683" s="53">
        <v>43903</v>
      </c>
      <c r="H683" s="9">
        <v>2020</v>
      </c>
      <c r="I683" s="50">
        <v>0</v>
      </c>
      <c r="J683" s="50">
        <v>2</v>
      </c>
      <c r="K683" s="50" t="s">
        <v>206</v>
      </c>
      <c r="L683" s="24" t="s">
        <v>1426</v>
      </c>
      <c r="M683" s="24"/>
      <c r="V683" t="s">
        <v>969</v>
      </c>
      <c r="W683" t="s">
        <v>989</v>
      </c>
      <c r="X683" t="s">
        <v>997</v>
      </c>
      <c r="Y683" t="s">
        <v>1000</v>
      </c>
      <c r="Z683">
        <v>0</v>
      </c>
      <c r="AA683">
        <v>-1</v>
      </c>
      <c r="AB683">
        <v>-1</v>
      </c>
      <c r="AC683">
        <v>-1</v>
      </c>
      <c r="AD683">
        <v>-1</v>
      </c>
      <c r="AE683">
        <v>-1</v>
      </c>
      <c r="AF683">
        <v>-1</v>
      </c>
      <c r="AG683">
        <v>-1</v>
      </c>
      <c r="AH683">
        <v>-1</v>
      </c>
      <c r="AI683">
        <v>-1</v>
      </c>
      <c r="AJ683" s="9" t="str">
        <f t="shared" si="196"/>
        <v>Tax exemption/waiver/suspension</v>
      </c>
      <c r="AK683" t="e">
        <f>IF(B683&lt;&gt;#REF!,1,0)</f>
        <v>#REF!</v>
      </c>
      <c r="AL683" s="9">
        <v>0</v>
      </c>
    </row>
    <row r="684" spans="1:38" x14ac:dyDescent="0.35">
      <c r="A684" s="50">
        <v>0</v>
      </c>
      <c r="B684" s="50" t="s">
        <v>85</v>
      </c>
      <c r="C684" s="53">
        <v>43889</v>
      </c>
      <c r="D684" s="53">
        <v>43903</v>
      </c>
      <c r="E684" s="53">
        <v>43976</v>
      </c>
      <c r="F684" s="21">
        <f t="shared" si="183"/>
        <v>73</v>
      </c>
      <c r="G684" s="53">
        <v>43903</v>
      </c>
      <c r="H684" s="9">
        <v>2020</v>
      </c>
      <c r="I684" s="50">
        <v>0</v>
      </c>
      <c r="J684" s="50">
        <v>1</v>
      </c>
      <c r="K684" s="50" t="s">
        <v>206</v>
      </c>
      <c r="L684" s="24" t="s">
        <v>1427</v>
      </c>
      <c r="M684" s="24"/>
      <c r="V684" t="s">
        <v>969</v>
      </c>
      <c r="W684" t="s">
        <v>989</v>
      </c>
      <c r="X684" t="s">
        <v>997</v>
      </c>
      <c r="Y684" t="s">
        <v>1000</v>
      </c>
      <c r="Z684">
        <v>0</v>
      </c>
      <c r="AA684">
        <v>-1</v>
      </c>
      <c r="AB684">
        <v>-1</v>
      </c>
      <c r="AC684">
        <v>-1</v>
      </c>
      <c r="AD684">
        <v>-1</v>
      </c>
      <c r="AE684">
        <v>-1</v>
      </c>
      <c r="AF684">
        <v>-1</v>
      </c>
      <c r="AG684">
        <v>-1</v>
      </c>
      <c r="AH684">
        <v>-1</v>
      </c>
      <c r="AI684">
        <v>-1</v>
      </c>
      <c r="AJ684" s="9" t="str">
        <f t="shared" si="196"/>
        <v>Tax exemption/waiver/suspension</v>
      </c>
      <c r="AK684" t="e">
        <f>IF(B684&lt;&gt;#REF!,1,0)</f>
        <v>#REF!</v>
      </c>
      <c r="AL684" s="9">
        <v>0</v>
      </c>
    </row>
    <row r="685" spans="1:38" x14ac:dyDescent="0.35">
      <c r="A685" s="50">
        <v>0</v>
      </c>
      <c r="B685" s="50" t="s">
        <v>85</v>
      </c>
      <c r="C685" s="53">
        <v>43889</v>
      </c>
      <c r="D685" s="53">
        <v>43903</v>
      </c>
      <c r="E685" s="53">
        <v>43976</v>
      </c>
      <c r="F685" s="21">
        <f t="shared" si="183"/>
        <v>73</v>
      </c>
      <c r="G685" s="53">
        <v>43903</v>
      </c>
      <c r="H685" s="9">
        <v>2020</v>
      </c>
      <c r="I685" s="50">
        <v>0</v>
      </c>
      <c r="J685" s="50">
        <v>4</v>
      </c>
      <c r="K685" s="50" t="s">
        <v>206</v>
      </c>
      <c r="L685" s="24" t="s">
        <v>1428</v>
      </c>
      <c r="M685" s="24"/>
      <c r="V685" t="s">
        <v>969</v>
      </c>
      <c r="W685" t="s">
        <v>989</v>
      </c>
      <c r="X685" t="s">
        <v>997</v>
      </c>
      <c r="Y685" t="s">
        <v>1000</v>
      </c>
      <c r="Z685">
        <v>0</v>
      </c>
      <c r="AA685">
        <v>-1</v>
      </c>
      <c r="AB685">
        <v>-1</v>
      </c>
      <c r="AC685">
        <v>-1</v>
      </c>
      <c r="AD685">
        <v>-1</v>
      </c>
      <c r="AE685">
        <v>-1</v>
      </c>
      <c r="AF685">
        <v>-1</v>
      </c>
      <c r="AG685">
        <v>-1</v>
      </c>
      <c r="AH685">
        <v>-1</v>
      </c>
      <c r="AI685">
        <v>-1</v>
      </c>
      <c r="AJ685" s="9" t="str">
        <f t="shared" si="196"/>
        <v>Tax exemption/waiver/suspension</v>
      </c>
      <c r="AK685">
        <f t="shared" si="197"/>
        <v>0</v>
      </c>
      <c r="AL685" s="9">
        <v>0</v>
      </c>
    </row>
    <row r="686" spans="1:38" x14ac:dyDescent="0.35">
      <c r="A686" s="50">
        <v>0</v>
      </c>
      <c r="B686" s="50" t="s">
        <v>85</v>
      </c>
      <c r="C686" s="53">
        <v>43889</v>
      </c>
      <c r="D686" s="53">
        <v>43903</v>
      </c>
      <c r="E686" s="53">
        <v>43976</v>
      </c>
      <c r="F686" s="21">
        <f t="shared" si="183"/>
        <v>73</v>
      </c>
      <c r="G686" s="53">
        <v>43903</v>
      </c>
      <c r="H686" s="9">
        <v>2020</v>
      </c>
      <c r="I686" s="50">
        <v>0</v>
      </c>
      <c r="J686" s="50">
        <v>1</v>
      </c>
      <c r="K686" s="50" t="s">
        <v>206</v>
      </c>
      <c r="L686" s="24" t="s">
        <v>1429</v>
      </c>
      <c r="M686" s="24"/>
      <c r="V686" t="s">
        <v>969</v>
      </c>
      <c r="W686" t="s">
        <v>989</v>
      </c>
      <c r="X686" t="s">
        <v>997</v>
      </c>
      <c r="Y686" t="s">
        <v>1000</v>
      </c>
      <c r="Z686">
        <v>0</v>
      </c>
      <c r="AA686">
        <v>-1</v>
      </c>
      <c r="AB686">
        <v>-1</v>
      </c>
      <c r="AC686">
        <v>-1</v>
      </c>
      <c r="AD686">
        <v>-1</v>
      </c>
      <c r="AE686">
        <v>-1</v>
      </c>
      <c r="AF686">
        <v>-1</v>
      </c>
      <c r="AG686">
        <v>-1</v>
      </c>
      <c r="AH686">
        <v>-1</v>
      </c>
      <c r="AI686">
        <v>-1</v>
      </c>
      <c r="AJ686" s="9" t="str">
        <f t="shared" si="196"/>
        <v>Tax exemption/waiver/suspension</v>
      </c>
      <c r="AK686">
        <f t="shared" si="197"/>
        <v>0</v>
      </c>
      <c r="AL686" s="9">
        <v>0</v>
      </c>
    </row>
    <row r="687" spans="1:38" x14ac:dyDescent="0.35">
      <c r="A687" s="50">
        <v>0</v>
      </c>
      <c r="B687" s="50" t="s">
        <v>85</v>
      </c>
      <c r="C687" s="53">
        <v>43889</v>
      </c>
      <c r="D687" s="53">
        <v>43903</v>
      </c>
      <c r="E687" s="53">
        <v>43976</v>
      </c>
      <c r="F687" s="21">
        <f t="shared" si="183"/>
        <v>73</v>
      </c>
      <c r="G687" s="53">
        <v>43903</v>
      </c>
      <c r="H687" s="9">
        <v>2020</v>
      </c>
      <c r="I687" s="50">
        <v>0</v>
      </c>
      <c r="J687" s="50">
        <v>1</v>
      </c>
      <c r="K687" s="50">
        <v>6</v>
      </c>
      <c r="L687" s="24" t="s">
        <v>1430</v>
      </c>
      <c r="M687" s="24"/>
      <c r="V687" t="s">
        <v>969</v>
      </c>
      <c r="W687" t="s">
        <v>989</v>
      </c>
      <c r="X687" t="s">
        <v>997</v>
      </c>
      <c r="Y687" t="s">
        <v>1000</v>
      </c>
      <c r="Z687">
        <v>0</v>
      </c>
      <c r="AA687">
        <v>-1</v>
      </c>
      <c r="AB687">
        <v>-1</v>
      </c>
      <c r="AC687">
        <v>-1</v>
      </c>
      <c r="AD687">
        <v>-1</v>
      </c>
      <c r="AE687">
        <v>-1</v>
      </c>
      <c r="AF687">
        <v>-1</v>
      </c>
      <c r="AG687">
        <v>-1</v>
      </c>
      <c r="AH687">
        <v>-1</v>
      </c>
      <c r="AI687">
        <v>-1</v>
      </c>
      <c r="AJ687" s="9">
        <f t="shared" si="196"/>
        <v>6</v>
      </c>
      <c r="AK687">
        <f t="shared" si="197"/>
        <v>0</v>
      </c>
      <c r="AL687" s="9">
        <v>0</v>
      </c>
    </row>
    <row r="688" spans="1:38" x14ac:dyDescent="0.35">
      <c r="A688" s="50">
        <v>0</v>
      </c>
      <c r="B688" s="50" t="s">
        <v>85</v>
      </c>
      <c r="C688" s="53">
        <v>43889</v>
      </c>
      <c r="D688" s="53">
        <v>43903</v>
      </c>
      <c r="E688" s="53">
        <v>43976</v>
      </c>
      <c r="F688" s="21">
        <f t="shared" si="183"/>
        <v>73</v>
      </c>
      <c r="G688" s="53">
        <v>43903</v>
      </c>
      <c r="H688" s="9">
        <v>2020</v>
      </c>
      <c r="I688" s="50">
        <v>0</v>
      </c>
      <c r="J688" s="50">
        <v>1</v>
      </c>
      <c r="K688" s="50">
        <v>6</v>
      </c>
      <c r="L688" s="24" t="s">
        <v>1431</v>
      </c>
      <c r="M688" s="24"/>
      <c r="V688" t="s">
        <v>969</v>
      </c>
      <c r="W688" t="s">
        <v>989</v>
      </c>
      <c r="X688" t="s">
        <v>997</v>
      </c>
      <c r="Y688" t="s">
        <v>1000</v>
      </c>
      <c r="Z688">
        <v>0</v>
      </c>
      <c r="AA688">
        <v>-1</v>
      </c>
      <c r="AB688">
        <v>-1</v>
      </c>
      <c r="AC688">
        <v>-1</v>
      </c>
      <c r="AD688">
        <v>-1</v>
      </c>
      <c r="AE688">
        <v>-1</v>
      </c>
      <c r="AF688">
        <v>-1</v>
      </c>
      <c r="AG688">
        <v>-1</v>
      </c>
      <c r="AH688">
        <v>-1</v>
      </c>
      <c r="AI688">
        <v>-1</v>
      </c>
      <c r="AJ688" s="9">
        <f t="shared" si="196"/>
        <v>6</v>
      </c>
      <c r="AK688">
        <f t="shared" si="197"/>
        <v>0</v>
      </c>
      <c r="AL688" s="9">
        <v>0</v>
      </c>
    </row>
    <row r="689" spans="1:38" x14ac:dyDescent="0.35">
      <c r="A689" s="50">
        <v>0</v>
      </c>
      <c r="B689" s="50" t="s">
        <v>85</v>
      </c>
      <c r="C689" s="53">
        <v>43889</v>
      </c>
      <c r="D689" s="53">
        <v>43903</v>
      </c>
      <c r="E689" s="53">
        <v>43976</v>
      </c>
      <c r="F689" s="21">
        <f t="shared" ref="F689:F772" si="208">DATEDIF(D689,E689,"D")</f>
        <v>73</v>
      </c>
      <c r="G689" s="53">
        <v>43903</v>
      </c>
      <c r="H689" s="9">
        <v>2020</v>
      </c>
      <c r="I689" s="50">
        <v>0</v>
      </c>
      <c r="J689" s="50">
        <v>1</v>
      </c>
      <c r="K689" s="50">
        <v>6</v>
      </c>
      <c r="L689" s="24" t="s">
        <v>1432</v>
      </c>
      <c r="M689" s="24"/>
      <c r="V689" t="s">
        <v>969</v>
      </c>
      <c r="W689" t="s">
        <v>989</v>
      </c>
      <c r="X689" t="s">
        <v>997</v>
      </c>
      <c r="Y689" t="s">
        <v>1000</v>
      </c>
      <c r="Z689">
        <v>0</v>
      </c>
      <c r="AA689">
        <v>-1</v>
      </c>
      <c r="AB689">
        <v>-1</v>
      </c>
      <c r="AC689">
        <v>-1</v>
      </c>
      <c r="AD689">
        <v>-1</v>
      </c>
      <c r="AE689">
        <v>-1</v>
      </c>
      <c r="AF689">
        <v>-1</v>
      </c>
      <c r="AG689">
        <v>-1</v>
      </c>
      <c r="AH689">
        <v>-1</v>
      </c>
      <c r="AI689">
        <v>-1</v>
      </c>
      <c r="AJ689" s="9">
        <f t="shared" si="196"/>
        <v>6</v>
      </c>
      <c r="AK689">
        <f t="shared" si="197"/>
        <v>0</v>
      </c>
      <c r="AL689" s="9">
        <v>0</v>
      </c>
    </row>
    <row r="690" spans="1:38" x14ac:dyDescent="0.35">
      <c r="A690" s="50">
        <v>0</v>
      </c>
      <c r="B690" s="50" t="s">
        <v>85</v>
      </c>
      <c r="C690" s="53">
        <v>43889</v>
      </c>
      <c r="D690" s="53">
        <v>43903</v>
      </c>
      <c r="E690" s="53">
        <v>43976</v>
      </c>
      <c r="F690" s="21">
        <f t="shared" si="208"/>
        <v>73</v>
      </c>
      <c r="G690" s="53">
        <v>43903</v>
      </c>
      <c r="H690" s="9">
        <v>2020</v>
      </c>
      <c r="I690" s="50">
        <v>0</v>
      </c>
      <c r="J690" s="50">
        <v>1</v>
      </c>
      <c r="K690" s="50">
        <v>6</v>
      </c>
      <c r="L690" s="24" t="s">
        <v>1433</v>
      </c>
      <c r="M690" s="24"/>
      <c r="V690" t="s">
        <v>969</v>
      </c>
      <c r="W690" t="s">
        <v>989</v>
      </c>
      <c r="X690" t="s">
        <v>997</v>
      </c>
      <c r="Y690" t="s">
        <v>1000</v>
      </c>
      <c r="Z690">
        <v>0</v>
      </c>
      <c r="AA690">
        <v>-1</v>
      </c>
      <c r="AB690">
        <v>-1</v>
      </c>
      <c r="AC690">
        <v>-1</v>
      </c>
      <c r="AD690">
        <v>-1</v>
      </c>
      <c r="AE690">
        <v>-1</v>
      </c>
      <c r="AF690">
        <v>-1</v>
      </c>
      <c r="AG690">
        <v>-1</v>
      </c>
      <c r="AH690">
        <v>-1</v>
      </c>
      <c r="AI690">
        <v>-1</v>
      </c>
      <c r="AJ690" s="9">
        <f t="shared" si="196"/>
        <v>6</v>
      </c>
      <c r="AK690">
        <f t="shared" si="197"/>
        <v>0</v>
      </c>
      <c r="AL690" s="9">
        <v>0</v>
      </c>
    </row>
    <row r="691" spans="1:38" x14ac:dyDescent="0.35">
      <c r="A691" s="50">
        <v>0</v>
      </c>
      <c r="B691" s="50" t="s">
        <v>85</v>
      </c>
      <c r="C691" s="53">
        <v>43889</v>
      </c>
      <c r="D691" s="53">
        <v>43903</v>
      </c>
      <c r="E691" s="53">
        <v>43976</v>
      </c>
      <c r="F691" s="21">
        <f t="shared" si="208"/>
        <v>73</v>
      </c>
      <c r="G691" s="53">
        <v>43903</v>
      </c>
      <c r="H691" s="9">
        <v>2020</v>
      </c>
      <c r="I691" s="50">
        <v>0</v>
      </c>
      <c r="J691" s="50">
        <v>1</v>
      </c>
      <c r="K691" s="50">
        <v>2</v>
      </c>
      <c r="L691" s="24" t="s">
        <v>1434</v>
      </c>
      <c r="M691" s="24"/>
      <c r="V691" t="s">
        <v>969</v>
      </c>
      <c r="W691" t="s">
        <v>989</v>
      </c>
      <c r="X691" t="s">
        <v>997</v>
      </c>
      <c r="Y691" t="s">
        <v>1000</v>
      </c>
      <c r="Z691">
        <v>0</v>
      </c>
      <c r="AA691">
        <v>-1</v>
      </c>
      <c r="AB691">
        <v>-1</v>
      </c>
      <c r="AC691">
        <v>-1</v>
      </c>
      <c r="AD691">
        <v>-1</v>
      </c>
      <c r="AE691">
        <v>-1</v>
      </c>
      <c r="AF691">
        <v>-1</v>
      </c>
      <c r="AG691">
        <v>-1</v>
      </c>
      <c r="AH691">
        <v>-1</v>
      </c>
      <c r="AI691">
        <v>-1</v>
      </c>
      <c r="AJ691" s="9">
        <f t="shared" si="196"/>
        <v>2</v>
      </c>
      <c r="AK691">
        <f t="shared" si="197"/>
        <v>0</v>
      </c>
      <c r="AL691" s="9">
        <v>0</v>
      </c>
    </row>
    <row r="692" spans="1:38" x14ac:dyDescent="0.35">
      <c r="A692" s="50">
        <v>0</v>
      </c>
      <c r="B692" s="50" t="s">
        <v>85</v>
      </c>
      <c r="C692" s="53">
        <v>43889</v>
      </c>
      <c r="D692" s="53">
        <v>43903</v>
      </c>
      <c r="E692" s="53">
        <v>43976</v>
      </c>
      <c r="F692" s="21">
        <f t="shared" si="208"/>
        <v>73</v>
      </c>
      <c r="G692" s="53">
        <v>43903</v>
      </c>
      <c r="H692" s="9">
        <v>2020</v>
      </c>
      <c r="I692" s="50">
        <v>0</v>
      </c>
      <c r="J692" s="50">
        <v>1</v>
      </c>
      <c r="K692" s="50">
        <v>3</v>
      </c>
      <c r="L692" s="24" t="s">
        <v>1435</v>
      </c>
      <c r="M692" s="24"/>
      <c r="V692" t="s">
        <v>969</v>
      </c>
      <c r="W692" t="s">
        <v>989</v>
      </c>
      <c r="X692" t="s">
        <v>997</v>
      </c>
      <c r="Y692" t="s">
        <v>1000</v>
      </c>
      <c r="Z692">
        <v>0</v>
      </c>
      <c r="AA692">
        <v>-1</v>
      </c>
      <c r="AB692">
        <v>-1</v>
      </c>
      <c r="AC692">
        <v>-1</v>
      </c>
      <c r="AD692">
        <v>-1</v>
      </c>
      <c r="AE692">
        <v>-1</v>
      </c>
      <c r="AF692">
        <v>-1</v>
      </c>
      <c r="AG692">
        <v>-1</v>
      </c>
      <c r="AH692">
        <v>-1</v>
      </c>
      <c r="AI692">
        <v>-1</v>
      </c>
      <c r="AJ692" s="9">
        <f t="shared" si="196"/>
        <v>3</v>
      </c>
      <c r="AK692">
        <f t="shared" si="197"/>
        <v>0</v>
      </c>
      <c r="AL692" s="9">
        <v>0</v>
      </c>
    </row>
    <row r="693" spans="1:38" x14ac:dyDescent="0.35">
      <c r="A693" s="50">
        <v>0</v>
      </c>
      <c r="B693" s="50" t="s">
        <v>85</v>
      </c>
      <c r="C693" s="53">
        <v>43889</v>
      </c>
      <c r="D693" s="53">
        <v>43903</v>
      </c>
      <c r="E693" s="53">
        <v>43976</v>
      </c>
      <c r="F693" s="21">
        <f t="shared" si="208"/>
        <v>73</v>
      </c>
      <c r="G693" s="53">
        <v>43903</v>
      </c>
      <c r="H693" s="9">
        <v>2020</v>
      </c>
      <c r="I693" s="50">
        <v>0</v>
      </c>
      <c r="J693" s="50">
        <v>9</v>
      </c>
      <c r="K693" s="50">
        <v>34</v>
      </c>
      <c r="L693" s="24" t="s">
        <v>1436</v>
      </c>
      <c r="M693" s="24"/>
      <c r="V693" t="s">
        <v>969</v>
      </c>
      <c r="W693" t="s">
        <v>989</v>
      </c>
      <c r="X693" t="s">
        <v>997</v>
      </c>
      <c r="Y693" t="s">
        <v>1000</v>
      </c>
      <c r="Z693">
        <v>0</v>
      </c>
      <c r="AA693">
        <v>-1</v>
      </c>
      <c r="AB693">
        <v>-1</v>
      </c>
      <c r="AC693">
        <v>-1</v>
      </c>
      <c r="AD693">
        <v>-1</v>
      </c>
      <c r="AE693">
        <v>-1</v>
      </c>
      <c r="AF693">
        <v>-1</v>
      </c>
      <c r="AG693">
        <v>-1</v>
      </c>
      <c r="AH693">
        <v>-1</v>
      </c>
      <c r="AI693">
        <v>-1</v>
      </c>
      <c r="AJ693" s="9">
        <f t="shared" si="196"/>
        <v>34</v>
      </c>
      <c r="AK693">
        <f t="shared" si="197"/>
        <v>0</v>
      </c>
      <c r="AL693" s="9">
        <v>0</v>
      </c>
    </row>
    <row r="694" spans="1:38" x14ac:dyDescent="0.35">
      <c r="A694" s="50">
        <v>0</v>
      </c>
      <c r="B694" s="50" t="s">
        <v>85</v>
      </c>
      <c r="C694" s="53">
        <v>43889</v>
      </c>
      <c r="D694" s="53">
        <v>43903</v>
      </c>
      <c r="E694" s="53">
        <v>43976</v>
      </c>
      <c r="F694" s="21">
        <f t="shared" si="208"/>
        <v>73</v>
      </c>
      <c r="G694" s="53">
        <v>43903</v>
      </c>
      <c r="H694" s="9">
        <v>2020</v>
      </c>
      <c r="I694" s="50">
        <v>0</v>
      </c>
      <c r="J694" s="50">
        <v>7</v>
      </c>
      <c r="K694" s="50">
        <v>30</v>
      </c>
      <c r="L694" s="24" t="s">
        <v>1437</v>
      </c>
      <c r="M694" s="24"/>
      <c r="V694" t="s">
        <v>969</v>
      </c>
      <c r="W694" t="s">
        <v>989</v>
      </c>
      <c r="X694" t="s">
        <v>997</v>
      </c>
      <c r="Y694" t="s">
        <v>1000</v>
      </c>
      <c r="Z694">
        <v>0</v>
      </c>
      <c r="AA694">
        <v>-1</v>
      </c>
      <c r="AB694">
        <v>-1</v>
      </c>
      <c r="AC694">
        <v>-1</v>
      </c>
      <c r="AD694">
        <v>-1</v>
      </c>
      <c r="AE694">
        <v>-1</v>
      </c>
      <c r="AF694">
        <v>-1</v>
      </c>
      <c r="AG694">
        <v>-1</v>
      </c>
      <c r="AH694">
        <v>-1</v>
      </c>
      <c r="AI694">
        <v>-1</v>
      </c>
      <c r="AJ694" s="9">
        <f t="shared" si="196"/>
        <v>30</v>
      </c>
      <c r="AK694">
        <f t="shared" si="197"/>
        <v>0</v>
      </c>
      <c r="AL694" s="9">
        <v>0</v>
      </c>
    </row>
    <row r="695" spans="1:38" x14ac:dyDescent="0.35">
      <c r="A695" s="50">
        <v>0</v>
      </c>
      <c r="B695" s="50" t="s">
        <v>85</v>
      </c>
      <c r="C695" s="53">
        <v>43889</v>
      </c>
      <c r="D695" s="53">
        <v>43903</v>
      </c>
      <c r="E695" s="53">
        <v>43976</v>
      </c>
      <c r="F695" s="21">
        <f t="shared" si="208"/>
        <v>73</v>
      </c>
      <c r="G695" s="53">
        <v>43903</v>
      </c>
      <c r="H695" s="9">
        <v>2020</v>
      </c>
      <c r="I695" s="50">
        <v>0</v>
      </c>
      <c r="J695" s="50">
        <v>7</v>
      </c>
      <c r="K695" s="50">
        <v>30</v>
      </c>
      <c r="L695" s="24" t="s">
        <v>1438</v>
      </c>
      <c r="M695" s="24"/>
      <c r="V695" t="s">
        <v>969</v>
      </c>
      <c r="W695" t="s">
        <v>989</v>
      </c>
      <c r="X695" t="s">
        <v>997</v>
      </c>
      <c r="Y695" t="s">
        <v>1000</v>
      </c>
      <c r="Z695">
        <v>0</v>
      </c>
      <c r="AA695">
        <v>-1</v>
      </c>
      <c r="AB695">
        <v>-1</v>
      </c>
      <c r="AC695">
        <v>-1</v>
      </c>
      <c r="AD695">
        <v>-1</v>
      </c>
      <c r="AE695">
        <v>-1</v>
      </c>
      <c r="AF695">
        <v>-1</v>
      </c>
      <c r="AG695">
        <v>-1</v>
      </c>
      <c r="AH695">
        <v>-1</v>
      </c>
      <c r="AI695">
        <v>-1</v>
      </c>
      <c r="AJ695" s="9">
        <f t="shared" si="196"/>
        <v>30</v>
      </c>
      <c r="AK695">
        <f t="shared" si="197"/>
        <v>0</v>
      </c>
      <c r="AL695" s="9">
        <v>0</v>
      </c>
    </row>
    <row r="696" spans="1:38" s="47" customFormat="1" x14ac:dyDescent="0.35">
      <c r="A696" s="50">
        <v>0</v>
      </c>
      <c r="B696" s="50" t="s">
        <v>85</v>
      </c>
      <c r="C696" s="53">
        <v>43889</v>
      </c>
      <c r="D696" s="53">
        <v>43903</v>
      </c>
      <c r="E696" s="53">
        <v>43976</v>
      </c>
      <c r="F696" s="21">
        <f t="shared" ref="F696:F699" si="209">DATEDIF(D696,E696,"D")</f>
        <v>73</v>
      </c>
      <c r="G696" s="53">
        <v>43903</v>
      </c>
      <c r="H696" s="9">
        <v>2021</v>
      </c>
      <c r="I696" s="50">
        <v>0</v>
      </c>
      <c r="J696" s="50">
        <v>9</v>
      </c>
      <c r="K696" s="50">
        <v>34</v>
      </c>
      <c r="L696" s="48" t="s">
        <v>1952</v>
      </c>
      <c r="M696" s="48"/>
      <c r="AJ696" s="47">
        <f t="shared" si="196"/>
        <v>34</v>
      </c>
    </row>
    <row r="697" spans="1:38" s="47" customFormat="1" x14ac:dyDescent="0.35">
      <c r="A697" s="50">
        <v>0</v>
      </c>
      <c r="B697" s="50" t="s">
        <v>85</v>
      </c>
      <c r="C697" s="53">
        <v>43889</v>
      </c>
      <c r="D697" s="53">
        <v>43903</v>
      </c>
      <c r="E697" s="53">
        <v>43976</v>
      </c>
      <c r="F697" s="21">
        <f t="shared" si="209"/>
        <v>73</v>
      </c>
      <c r="G697" s="53">
        <v>43903</v>
      </c>
      <c r="H697" s="9">
        <v>2021</v>
      </c>
      <c r="I697" s="50">
        <v>0</v>
      </c>
      <c r="J697" s="50">
        <v>9</v>
      </c>
      <c r="K697" s="50">
        <v>34</v>
      </c>
      <c r="L697" s="48" t="s">
        <v>1951</v>
      </c>
      <c r="M697" s="48"/>
      <c r="AJ697" s="47">
        <f t="shared" si="196"/>
        <v>34</v>
      </c>
    </row>
    <row r="698" spans="1:38" s="47" customFormat="1" x14ac:dyDescent="0.35">
      <c r="A698" s="50">
        <v>0</v>
      </c>
      <c r="B698" s="50" t="s">
        <v>85</v>
      </c>
      <c r="C698" s="53">
        <v>43889</v>
      </c>
      <c r="D698" s="53">
        <v>43903</v>
      </c>
      <c r="E698" s="53">
        <v>43976</v>
      </c>
      <c r="F698" s="21">
        <f t="shared" si="209"/>
        <v>73</v>
      </c>
      <c r="G698" s="53">
        <v>43903</v>
      </c>
      <c r="H698" s="9">
        <v>2021</v>
      </c>
      <c r="I698" s="50">
        <v>0</v>
      </c>
      <c r="J698" s="50">
        <v>7</v>
      </c>
      <c r="K698" s="50">
        <v>31</v>
      </c>
      <c r="L698" s="48" t="s">
        <v>1953</v>
      </c>
      <c r="M698" s="48"/>
      <c r="AJ698" s="47">
        <f t="shared" si="196"/>
        <v>31</v>
      </c>
    </row>
    <row r="699" spans="1:38" s="47" customFormat="1" x14ac:dyDescent="0.35">
      <c r="A699" s="50">
        <v>0</v>
      </c>
      <c r="B699" s="50" t="s">
        <v>85</v>
      </c>
      <c r="C699" s="53">
        <v>43889</v>
      </c>
      <c r="D699" s="53">
        <v>43903</v>
      </c>
      <c r="E699" s="53">
        <v>43976</v>
      </c>
      <c r="F699" s="21">
        <f t="shared" si="209"/>
        <v>73</v>
      </c>
      <c r="G699" s="53">
        <v>43903</v>
      </c>
      <c r="H699" s="9">
        <v>2021</v>
      </c>
      <c r="I699" s="50">
        <v>0</v>
      </c>
      <c r="J699" s="50">
        <v>9</v>
      </c>
      <c r="K699" s="50">
        <v>34</v>
      </c>
      <c r="L699" s="48" t="s">
        <v>1954</v>
      </c>
      <c r="M699" s="48"/>
      <c r="AJ699" s="47">
        <f t="shared" si="196"/>
        <v>34</v>
      </c>
    </row>
    <row r="700" spans="1:38" x14ac:dyDescent="0.35">
      <c r="A700" s="9">
        <v>1</v>
      </c>
      <c r="B700" s="9" t="s">
        <v>82</v>
      </c>
      <c r="C700" s="53">
        <v>43890</v>
      </c>
      <c r="D700" s="53">
        <v>43902</v>
      </c>
      <c r="E700" s="53">
        <v>44011</v>
      </c>
      <c r="F700" s="21">
        <f t="shared" si="208"/>
        <v>109</v>
      </c>
      <c r="G700" s="53">
        <v>43902</v>
      </c>
      <c r="H700" s="9">
        <v>2020</v>
      </c>
      <c r="I700" s="9">
        <v>1</v>
      </c>
      <c r="J700" s="9">
        <v>6</v>
      </c>
      <c r="K700" s="9">
        <v>27</v>
      </c>
      <c r="L700" s="50" t="s">
        <v>587</v>
      </c>
      <c r="M700">
        <v>1</v>
      </c>
      <c r="N700">
        <v>1</v>
      </c>
      <c r="O700">
        <v>2</v>
      </c>
      <c r="P700">
        <v>-1</v>
      </c>
      <c r="Q700">
        <v>-2</v>
      </c>
      <c r="R700">
        <v>1</v>
      </c>
      <c r="S700">
        <v>1</v>
      </c>
      <c r="T700">
        <v>2</v>
      </c>
      <c r="U700">
        <v>1</v>
      </c>
      <c r="V700" t="s">
        <v>968</v>
      </c>
      <c r="W700" t="s">
        <v>989</v>
      </c>
      <c r="X700" t="s">
        <v>997</v>
      </c>
      <c r="Y700" t="s">
        <v>1000</v>
      </c>
      <c r="Z700">
        <v>1</v>
      </c>
      <c r="AA700">
        <f t="shared" ref="AA700:AA716" si="210">IF(M700&gt;0,1,IF(M700&lt;0,0,-1))</f>
        <v>1</v>
      </c>
      <c r="AB700">
        <f t="shared" ref="AB700:AB716" si="211">IF(N700&gt;0,1,IF(N700&lt;0,0,-1))</f>
        <v>1</v>
      </c>
      <c r="AC700">
        <f t="shared" ref="AC700:AC716" si="212">IF(O700&gt;0,1,IF(O700&lt;0,0,-1))</f>
        <v>1</v>
      </c>
      <c r="AD700">
        <f t="shared" ref="AD700:AD716" si="213">IF(P700&gt;0,1,IF(P700&lt;0,0,-1))</f>
        <v>0</v>
      </c>
      <c r="AE700">
        <f t="shared" ref="AE700:AE716" si="214">IF(Q700&gt;0,1,IF(Q700&lt;0,0,-1))</f>
        <v>0</v>
      </c>
      <c r="AF700">
        <f t="shared" ref="AF700:AF716" si="215">IF(R700&gt;0,1,IF(R700&lt;0,0,-1))</f>
        <v>1</v>
      </c>
      <c r="AG700">
        <f t="shared" ref="AG700:AG716" si="216">IF(S700&gt;0,1,IF(S700&lt;0,0,-1))</f>
        <v>1</v>
      </c>
      <c r="AH700">
        <f t="shared" ref="AH700:AH716" si="217">IF(T700&gt;0,1,IF(T700&lt;0,0,-1))</f>
        <v>1</v>
      </c>
      <c r="AI700">
        <f t="shared" ref="AI700:AI716" si="218">IF(U700&gt;0,1,IF(U700&lt;0,0,-1))</f>
        <v>1</v>
      </c>
      <c r="AJ700" s="9">
        <f t="shared" ref="AJ700:AJ748" si="219">IF(ISNUMBER(K700),K700,IF(OR(K700="general",K700="23;general"),"General",IF(OR(K700="exemption",K700="other (exemption)"),"Tax exemption/waiver/suspension","Other")))</f>
        <v>27</v>
      </c>
      <c r="AK700" t="e">
        <f>IF(B700&lt;&gt;#REF!,1,0)</f>
        <v>#REF!</v>
      </c>
      <c r="AL700" s="9">
        <v>1</v>
      </c>
    </row>
    <row r="701" spans="1:38" x14ac:dyDescent="0.35">
      <c r="A701" s="9">
        <v>1</v>
      </c>
      <c r="B701" s="9" t="s">
        <v>82</v>
      </c>
      <c r="C701" s="53">
        <v>43890</v>
      </c>
      <c r="D701" s="53">
        <v>43902</v>
      </c>
      <c r="E701" s="53">
        <v>44011</v>
      </c>
      <c r="F701" s="21">
        <f t="shared" si="208"/>
        <v>109</v>
      </c>
      <c r="G701" s="53">
        <v>43902</v>
      </c>
      <c r="H701" s="9">
        <v>2020</v>
      </c>
      <c r="I701" s="9">
        <v>1</v>
      </c>
      <c r="J701" s="9">
        <v>5</v>
      </c>
      <c r="K701" s="9" t="s">
        <v>204</v>
      </c>
      <c r="L701" s="50" t="s">
        <v>577</v>
      </c>
      <c r="M701">
        <v>1</v>
      </c>
      <c r="N701">
        <v>-2</v>
      </c>
      <c r="O701">
        <v>-2</v>
      </c>
      <c r="P701">
        <v>-1</v>
      </c>
      <c r="Q701">
        <v>-2</v>
      </c>
      <c r="R701">
        <v>1</v>
      </c>
      <c r="S701">
        <v>1</v>
      </c>
      <c r="T701">
        <v>2</v>
      </c>
      <c r="U701">
        <v>1</v>
      </c>
      <c r="V701" t="s">
        <v>968</v>
      </c>
      <c r="W701" t="s">
        <v>989</v>
      </c>
      <c r="X701" t="s">
        <v>997</v>
      </c>
      <c r="Y701" t="s">
        <v>1000</v>
      </c>
      <c r="Z701">
        <v>1</v>
      </c>
      <c r="AA701">
        <f t="shared" si="210"/>
        <v>1</v>
      </c>
      <c r="AB701">
        <f t="shared" si="211"/>
        <v>0</v>
      </c>
      <c r="AC701">
        <f t="shared" si="212"/>
        <v>0</v>
      </c>
      <c r="AD701">
        <f t="shared" si="213"/>
        <v>0</v>
      </c>
      <c r="AE701">
        <f t="shared" si="214"/>
        <v>0</v>
      </c>
      <c r="AF701">
        <f t="shared" si="215"/>
        <v>1</v>
      </c>
      <c r="AG701">
        <f t="shared" si="216"/>
        <v>1</v>
      </c>
      <c r="AH701">
        <f t="shared" si="217"/>
        <v>1</v>
      </c>
      <c r="AI701">
        <f t="shared" si="218"/>
        <v>1</v>
      </c>
      <c r="AJ701" s="9" t="str">
        <f t="shared" si="219"/>
        <v>General</v>
      </c>
      <c r="AK701">
        <f t="shared" ref="AK701:AK733" si="220">IF(B701&lt;&gt;B700,1,0)</f>
        <v>0</v>
      </c>
      <c r="AL701" s="9">
        <v>1</v>
      </c>
    </row>
    <row r="702" spans="1:38" x14ac:dyDescent="0.35">
      <c r="A702" s="9">
        <v>1</v>
      </c>
      <c r="B702" s="9" t="s">
        <v>82</v>
      </c>
      <c r="C702" s="53">
        <v>43890</v>
      </c>
      <c r="D702" s="53">
        <v>43902</v>
      </c>
      <c r="E702" s="53">
        <v>44011</v>
      </c>
      <c r="F702" s="21">
        <f t="shared" si="208"/>
        <v>109</v>
      </c>
      <c r="G702" s="53">
        <v>43902</v>
      </c>
      <c r="H702" s="9">
        <v>2020</v>
      </c>
      <c r="I702" s="9">
        <v>1</v>
      </c>
      <c r="J702" s="9">
        <v>6</v>
      </c>
      <c r="K702" s="9">
        <v>26</v>
      </c>
      <c r="L702" s="50" t="s">
        <v>582</v>
      </c>
      <c r="M702">
        <v>1</v>
      </c>
      <c r="N702">
        <v>1</v>
      </c>
      <c r="O702">
        <v>2</v>
      </c>
      <c r="P702">
        <v>-1</v>
      </c>
      <c r="Q702">
        <v>-2</v>
      </c>
      <c r="R702">
        <v>2</v>
      </c>
      <c r="S702">
        <v>1</v>
      </c>
      <c r="T702">
        <v>2</v>
      </c>
      <c r="U702">
        <v>1</v>
      </c>
      <c r="V702" t="s">
        <v>968</v>
      </c>
      <c r="W702" t="s">
        <v>989</v>
      </c>
      <c r="X702" t="s">
        <v>997</v>
      </c>
      <c r="Y702" t="s">
        <v>1000</v>
      </c>
      <c r="Z702">
        <v>1</v>
      </c>
      <c r="AA702">
        <f t="shared" si="210"/>
        <v>1</v>
      </c>
      <c r="AB702">
        <f t="shared" si="211"/>
        <v>1</v>
      </c>
      <c r="AC702">
        <f t="shared" si="212"/>
        <v>1</v>
      </c>
      <c r="AD702">
        <f t="shared" si="213"/>
        <v>0</v>
      </c>
      <c r="AE702">
        <f t="shared" si="214"/>
        <v>0</v>
      </c>
      <c r="AF702">
        <f t="shared" si="215"/>
        <v>1</v>
      </c>
      <c r="AG702">
        <f t="shared" si="216"/>
        <v>1</v>
      </c>
      <c r="AH702">
        <f t="shared" si="217"/>
        <v>1</v>
      </c>
      <c r="AI702">
        <f t="shared" si="218"/>
        <v>1</v>
      </c>
      <c r="AJ702" s="9">
        <f t="shared" si="219"/>
        <v>26</v>
      </c>
      <c r="AK702">
        <f t="shared" si="220"/>
        <v>0</v>
      </c>
      <c r="AL702" s="9">
        <v>1</v>
      </c>
    </row>
    <row r="703" spans="1:38" x14ac:dyDescent="0.35">
      <c r="A703" s="9">
        <v>1</v>
      </c>
      <c r="B703" s="9" t="s">
        <v>82</v>
      </c>
      <c r="C703" s="53">
        <v>43890</v>
      </c>
      <c r="D703" s="53">
        <v>43902</v>
      </c>
      <c r="E703" s="53">
        <v>44011</v>
      </c>
      <c r="F703" s="21">
        <f t="shared" si="208"/>
        <v>109</v>
      </c>
      <c r="G703" s="53">
        <v>43902</v>
      </c>
      <c r="H703" s="9">
        <v>2020</v>
      </c>
      <c r="I703" s="9">
        <v>1</v>
      </c>
      <c r="J703" s="9" t="s">
        <v>201</v>
      </c>
      <c r="K703" s="9" t="s">
        <v>201</v>
      </c>
      <c r="L703" s="50" t="s">
        <v>583</v>
      </c>
      <c r="M703">
        <v>1</v>
      </c>
      <c r="N703">
        <v>1</v>
      </c>
      <c r="O703">
        <v>2</v>
      </c>
      <c r="P703">
        <v>-1</v>
      </c>
      <c r="Q703">
        <v>-2</v>
      </c>
      <c r="R703">
        <v>1</v>
      </c>
      <c r="S703">
        <v>-1</v>
      </c>
      <c r="T703">
        <v>2</v>
      </c>
      <c r="U703">
        <v>1</v>
      </c>
      <c r="V703" t="s">
        <v>968</v>
      </c>
      <c r="W703" t="s">
        <v>989</v>
      </c>
      <c r="X703" t="s">
        <v>997</v>
      </c>
      <c r="Y703" t="s">
        <v>1000</v>
      </c>
      <c r="Z703">
        <v>1</v>
      </c>
      <c r="AA703">
        <f t="shared" si="210"/>
        <v>1</v>
      </c>
      <c r="AB703">
        <f t="shared" si="211"/>
        <v>1</v>
      </c>
      <c r="AC703">
        <f t="shared" si="212"/>
        <v>1</v>
      </c>
      <c r="AD703">
        <f t="shared" si="213"/>
        <v>0</v>
      </c>
      <c r="AE703">
        <f t="shared" si="214"/>
        <v>0</v>
      </c>
      <c r="AF703">
        <f t="shared" si="215"/>
        <v>1</v>
      </c>
      <c r="AG703">
        <f t="shared" si="216"/>
        <v>0</v>
      </c>
      <c r="AH703">
        <f t="shared" si="217"/>
        <v>1</v>
      </c>
      <c r="AI703">
        <f t="shared" si="218"/>
        <v>1</v>
      </c>
      <c r="AJ703" s="9" t="str">
        <f t="shared" si="219"/>
        <v>Other</v>
      </c>
      <c r="AK703">
        <f t="shared" si="220"/>
        <v>0</v>
      </c>
      <c r="AL703" s="9">
        <v>1</v>
      </c>
    </row>
    <row r="704" spans="1:38" x14ac:dyDescent="0.35">
      <c r="A704" s="9">
        <v>1</v>
      </c>
      <c r="B704" s="9" t="s">
        <v>82</v>
      </c>
      <c r="C704" s="53">
        <v>43890</v>
      </c>
      <c r="D704" s="53">
        <v>43902</v>
      </c>
      <c r="E704" s="53">
        <v>44011</v>
      </c>
      <c r="F704" s="21">
        <f t="shared" si="208"/>
        <v>109</v>
      </c>
      <c r="G704" s="53">
        <v>43902</v>
      </c>
      <c r="H704" s="9">
        <v>2020</v>
      </c>
      <c r="I704" s="9">
        <v>1</v>
      </c>
      <c r="J704" s="9">
        <v>1</v>
      </c>
      <c r="K704" s="9">
        <v>6</v>
      </c>
      <c r="L704" s="50" t="s">
        <v>584</v>
      </c>
      <c r="M704">
        <v>2</v>
      </c>
      <c r="N704">
        <v>2</v>
      </c>
      <c r="O704">
        <v>2</v>
      </c>
      <c r="P704">
        <v>2</v>
      </c>
      <c r="Q704">
        <v>2</v>
      </c>
      <c r="R704">
        <v>2</v>
      </c>
      <c r="S704">
        <v>1</v>
      </c>
      <c r="T704">
        <v>2</v>
      </c>
      <c r="U704">
        <v>1</v>
      </c>
      <c r="V704" t="s">
        <v>968</v>
      </c>
      <c r="W704" t="s">
        <v>989</v>
      </c>
      <c r="X704" t="s">
        <v>997</v>
      </c>
      <c r="Y704" t="s">
        <v>1000</v>
      </c>
      <c r="Z704">
        <v>1</v>
      </c>
      <c r="AA704">
        <f t="shared" si="210"/>
        <v>1</v>
      </c>
      <c r="AB704">
        <f t="shared" si="211"/>
        <v>1</v>
      </c>
      <c r="AC704">
        <f t="shared" si="212"/>
        <v>1</v>
      </c>
      <c r="AD704">
        <f t="shared" si="213"/>
        <v>1</v>
      </c>
      <c r="AE704">
        <f t="shared" si="214"/>
        <v>1</v>
      </c>
      <c r="AF704">
        <f t="shared" si="215"/>
        <v>1</v>
      </c>
      <c r="AG704">
        <f t="shared" si="216"/>
        <v>1</v>
      </c>
      <c r="AH704">
        <f t="shared" si="217"/>
        <v>1</v>
      </c>
      <c r="AI704">
        <f t="shared" si="218"/>
        <v>1</v>
      </c>
      <c r="AJ704" s="9">
        <f t="shared" si="219"/>
        <v>6</v>
      </c>
      <c r="AK704">
        <f t="shared" si="220"/>
        <v>0</v>
      </c>
      <c r="AL704" s="9">
        <v>1</v>
      </c>
    </row>
    <row r="705" spans="1:38" x14ac:dyDescent="0.35">
      <c r="A705" s="9">
        <v>1</v>
      </c>
      <c r="B705" s="9" t="s">
        <v>82</v>
      </c>
      <c r="C705" s="53">
        <v>43890</v>
      </c>
      <c r="D705" s="53">
        <v>43902</v>
      </c>
      <c r="E705" s="53">
        <v>44011</v>
      </c>
      <c r="F705" s="21">
        <f t="shared" si="208"/>
        <v>109</v>
      </c>
      <c r="G705" s="53">
        <v>43902</v>
      </c>
      <c r="H705" s="9">
        <v>2020</v>
      </c>
      <c r="I705" s="9">
        <v>1</v>
      </c>
      <c r="J705" s="9">
        <v>1</v>
      </c>
      <c r="K705" s="9">
        <v>9</v>
      </c>
      <c r="L705" s="50" t="s">
        <v>586</v>
      </c>
      <c r="M705">
        <v>2</v>
      </c>
      <c r="N705">
        <v>2</v>
      </c>
      <c r="O705">
        <v>2</v>
      </c>
      <c r="P705">
        <v>2</v>
      </c>
      <c r="Q705">
        <v>2</v>
      </c>
      <c r="R705">
        <v>2</v>
      </c>
      <c r="S705">
        <v>1</v>
      </c>
      <c r="T705">
        <v>2</v>
      </c>
      <c r="U705">
        <v>1</v>
      </c>
      <c r="V705" t="s">
        <v>968</v>
      </c>
      <c r="W705" t="s">
        <v>989</v>
      </c>
      <c r="X705" t="s">
        <v>997</v>
      </c>
      <c r="Y705" t="s">
        <v>1000</v>
      </c>
      <c r="Z705">
        <v>1</v>
      </c>
      <c r="AA705">
        <f t="shared" si="210"/>
        <v>1</v>
      </c>
      <c r="AB705">
        <f t="shared" si="211"/>
        <v>1</v>
      </c>
      <c r="AC705">
        <f t="shared" si="212"/>
        <v>1</v>
      </c>
      <c r="AD705">
        <f t="shared" si="213"/>
        <v>1</v>
      </c>
      <c r="AE705">
        <f t="shared" si="214"/>
        <v>1</v>
      </c>
      <c r="AF705">
        <f t="shared" si="215"/>
        <v>1</v>
      </c>
      <c r="AG705">
        <f t="shared" si="216"/>
        <v>1</v>
      </c>
      <c r="AH705">
        <f t="shared" si="217"/>
        <v>1</v>
      </c>
      <c r="AI705">
        <f t="shared" si="218"/>
        <v>1</v>
      </c>
      <c r="AJ705" s="9">
        <f t="shared" si="219"/>
        <v>9</v>
      </c>
      <c r="AK705">
        <f t="shared" si="220"/>
        <v>0</v>
      </c>
      <c r="AL705" s="9">
        <v>1</v>
      </c>
    </row>
    <row r="706" spans="1:38" x14ac:dyDescent="0.35">
      <c r="A706" s="9">
        <v>1</v>
      </c>
      <c r="B706" s="9" t="s">
        <v>82</v>
      </c>
      <c r="C706" s="53">
        <v>43890</v>
      </c>
      <c r="D706" s="53">
        <v>43902</v>
      </c>
      <c r="E706" s="53">
        <v>44011</v>
      </c>
      <c r="F706" s="21">
        <f t="shared" si="208"/>
        <v>109</v>
      </c>
      <c r="G706" s="53">
        <v>43902</v>
      </c>
      <c r="H706" s="9">
        <v>2020</v>
      </c>
      <c r="I706" s="9">
        <v>1</v>
      </c>
      <c r="J706" s="9">
        <v>1</v>
      </c>
      <c r="K706" s="9">
        <v>11</v>
      </c>
      <c r="L706" s="50" t="s">
        <v>574</v>
      </c>
      <c r="M706">
        <v>-2</v>
      </c>
      <c r="N706">
        <v>2</v>
      </c>
      <c r="O706">
        <v>-2</v>
      </c>
      <c r="R706">
        <v>2</v>
      </c>
      <c r="S706">
        <v>1</v>
      </c>
      <c r="T706">
        <v>2</v>
      </c>
      <c r="U706">
        <v>1</v>
      </c>
      <c r="V706" t="s">
        <v>968</v>
      </c>
      <c r="W706" t="s">
        <v>989</v>
      </c>
      <c r="X706" t="s">
        <v>997</v>
      </c>
      <c r="Y706" t="s">
        <v>1000</v>
      </c>
      <c r="Z706">
        <v>1</v>
      </c>
      <c r="AA706">
        <f t="shared" si="210"/>
        <v>0</v>
      </c>
      <c r="AB706">
        <f t="shared" si="211"/>
        <v>1</v>
      </c>
      <c r="AC706">
        <f t="shared" si="212"/>
        <v>0</v>
      </c>
      <c r="AD706">
        <f t="shared" si="213"/>
        <v>-1</v>
      </c>
      <c r="AE706">
        <f t="shared" si="214"/>
        <v>-1</v>
      </c>
      <c r="AF706">
        <f t="shared" si="215"/>
        <v>1</v>
      </c>
      <c r="AG706">
        <f t="shared" si="216"/>
        <v>1</v>
      </c>
      <c r="AH706">
        <f t="shared" si="217"/>
        <v>1</v>
      </c>
      <c r="AI706">
        <f t="shared" si="218"/>
        <v>1</v>
      </c>
      <c r="AJ706" s="9">
        <f t="shared" si="219"/>
        <v>11</v>
      </c>
      <c r="AK706">
        <f t="shared" si="220"/>
        <v>0</v>
      </c>
      <c r="AL706" s="9">
        <v>1</v>
      </c>
    </row>
    <row r="707" spans="1:38" x14ac:dyDescent="0.35">
      <c r="A707" s="9">
        <v>1</v>
      </c>
      <c r="B707" s="9" t="s">
        <v>82</v>
      </c>
      <c r="C707" s="53">
        <v>43890</v>
      </c>
      <c r="D707" s="53">
        <v>43902</v>
      </c>
      <c r="E707" s="53">
        <v>44011</v>
      </c>
      <c r="F707" s="21">
        <f t="shared" si="208"/>
        <v>109</v>
      </c>
      <c r="G707" s="53">
        <v>43902</v>
      </c>
      <c r="H707" s="9">
        <v>2020</v>
      </c>
      <c r="I707" s="9">
        <v>1</v>
      </c>
      <c r="J707" s="9">
        <v>6</v>
      </c>
      <c r="K707" s="9">
        <v>29</v>
      </c>
      <c r="L707" s="50" t="s">
        <v>572</v>
      </c>
      <c r="M707">
        <v>1</v>
      </c>
      <c r="N707">
        <v>1</v>
      </c>
      <c r="O707">
        <v>2</v>
      </c>
      <c r="P707">
        <v>-1</v>
      </c>
      <c r="Q707">
        <v>-2</v>
      </c>
      <c r="R707">
        <v>-2</v>
      </c>
      <c r="S707">
        <v>-1</v>
      </c>
      <c r="T707">
        <v>2</v>
      </c>
      <c r="U707">
        <v>1</v>
      </c>
      <c r="V707" t="s">
        <v>968</v>
      </c>
      <c r="W707" t="s">
        <v>989</v>
      </c>
      <c r="X707" t="s">
        <v>997</v>
      </c>
      <c r="Y707" t="s">
        <v>1000</v>
      </c>
      <c r="Z707">
        <v>1</v>
      </c>
      <c r="AA707">
        <f t="shared" si="210"/>
        <v>1</v>
      </c>
      <c r="AB707">
        <f t="shared" si="211"/>
        <v>1</v>
      </c>
      <c r="AC707">
        <f t="shared" si="212"/>
        <v>1</v>
      </c>
      <c r="AD707">
        <f t="shared" si="213"/>
        <v>0</v>
      </c>
      <c r="AE707">
        <f t="shared" si="214"/>
        <v>0</v>
      </c>
      <c r="AF707">
        <f t="shared" si="215"/>
        <v>0</v>
      </c>
      <c r="AG707">
        <f t="shared" si="216"/>
        <v>0</v>
      </c>
      <c r="AH707">
        <f t="shared" si="217"/>
        <v>1</v>
      </c>
      <c r="AI707">
        <f t="shared" si="218"/>
        <v>1</v>
      </c>
      <c r="AJ707" s="9">
        <f t="shared" si="219"/>
        <v>29</v>
      </c>
      <c r="AK707">
        <f t="shared" si="220"/>
        <v>0</v>
      </c>
      <c r="AL707" s="9">
        <v>1</v>
      </c>
    </row>
    <row r="708" spans="1:38" x14ac:dyDescent="0.35">
      <c r="A708" s="9">
        <v>1</v>
      </c>
      <c r="B708" s="9" t="s">
        <v>82</v>
      </c>
      <c r="C708" s="53">
        <v>43890</v>
      </c>
      <c r="D708" s="53">
        <v>43902</v>
      </c>
      <c r="E708" s="53">
        <v>44011</v>
      </c>
      <c r="F708" s="21">
        <f t="shared" si="208"/>
        <v>109</v>
      </c>
      <c r="G708" s="53">
        <v>43902</v>
      </c>
      <c r="H708" s="9">
        <v>2020</v>
      </c>
      <c r="I708" s="9">
        <v>1</v>
      </c>
      <c r="J708" s="9">
        <v>4</v>
      </c>
      <c r="K708" s="9" t="s">
        <v>206</v>
      </c>
      <c r="L708" s="50" t="s">
        <v>573</v>
      </c>
      <c r="M708">
        <v>-2</v>
      </c>
      <c r="N708">
        <v>2</v>
      </c>
      <c r="O708">
        <v>2</v>
      </c>
      <c r="P708">
        <v>2</v>
      </c>
      <c r="Q708">
        <v>2</v>
      </c>
      <c r="R708">
        <v>2</v>
      </c>
      <c r="S708">
        <v>1</v>
      </c>
      <c r="T708">
        <v>2</v>
      </c>
      <c r="U708">
        <v>1</v>
      </c>
      <c r="V708" t="s">
        <v>968</v>
      </c>
      <c r="W708" t="s">
        <v>989</v>
      </c>
      <c r="X708" t="s">
        <v>997</v>
      </c>
      <c r="Y708" t="s">
        <v>1000</v>
      </c>
      <c r="Z708">
        <v>1</v>
      </c>
      <c r="AA708">
        <f t="shared" si="210"/>
        <v>0</v>
      </c>
      <c r="AB708">
        <f t="shared" si="211"/>
        <v>1</v>
      </c>
      <c r="AC708">
        <f t="shared" si="212"/>
        <v>1</v>
      </c>
      <c r="AD708">
        <f t="shared" si="213"/>
        <v>1</v>
      </c>
      <c r="AE708">
        <f t="shared" si="214"/>
        <v>1</v>
      </c>
      <c r="AF708">
        <f t="shared" si="215"/>
        <v>1</v>
      </c>
      <c r="AG708">
        <f t="shared" si="216"/>
        <v>1</v>
      </c>
      <c r="AH708">
        <f t="shared" si="217"/>
        <v>1</v>
      </c>
      <c r="AI708">
        <f t="shared" si="218"/>
        <v>1</v>
      </c>
      <c r="AJ708" s="9" t="str">
        <f t="shared" si="219"/>
        <v>Tax exemption/waiver/suspension</v>
      </c>
      <c r="AK708">
        <f t="shared" si="220"/>
        <v>0</v>
      </c>
      <c r="AL708" s="9">
        <v>1</v>
      </c>
    </row>
    <row r="709" spans="1:38" x14ac:dyDescent="0.35">
      <c r="A709" s="9">
        <v>1</v>
      </c>
      <c r="B709" s="9" t="s">
        <v>82</v>
      </c>
      <c r="C709" s="53">
        <v>43890</v>
      </c>
      <c r="D709" s="53">
        <v>43902</v>
      </c>
      <c r="E709" s="53">
        <v>44011</v>
      </c>
      <c r="F709" s="21">
        <f t="shared" si="208"/>
        <v>109</v>
      </c>
      <c r="G709" s="53">
        <v>43902</v>
      </c>
      <c r="H709" s="9">
        <v>2020</v>
      </c>
      <c r="I709" s="9">
        <v>1</v>
      </c>
      <c r="J709" s="9">
        <v>6</v>
      </c>
      <c r="K709" s="9">
        <v>29</v>
      </c>
      <c r="L709" s="50" t="s">
        <v>588</v>
      </c>
      <c r="M709">
        <v>1</v>
      </c>
      <c r="N709">
        <v>1</v>
      </c>
      <c r="O709">
        <v>2</v>
      </c>
      <c r="P709">
        <v>-1</v>
      </c>
      <c r="Q709">
        <v>-2</v>
      </c>
      <c r="R709">
        <v>-2</v>
      </c>
      <c r="S709">
        <v>1</v>
      </c>
      <c r="T709">
        <v>-2</v>
      </c>
      <c r="U709">
        <v>1</v>
      </c>
      <c r="V709" t="s">
        <v>968</v>
      </c>
      <c r="W709" t="s">
        <v>989</v>
      </c>
      <c r="X709" t="s">
        <v>997</v>
      </c>
      <c r="Y709" t="s">
        <v>1000</v>
      </c>
      <c r="Z709">
        <v>1</v>
      </c>
      <c r="AA709">
        <f t="shared" si="210"/>
        <v>1</v>
      </c>
      <c r="AB709">
        <f t="shared" si="211"/>
        <v>1</v>
      </c>
      <c r="AC709">
        <f t="shared" si="212"/>
        <v>1</v>
      </c>
      <c r="AD709">
        <f t="shared" si="213"/>
        <v>0</v>
      </c>
      <c r="AE709">
        <f t="shared" si="214"/>
        <v>0</v>
      </c>
      <c r="AF709">
        <f t="shared" si="215"/>
        <v>0</v>
      </c>
      <c r="AG709">
        <f t="shared" si="216"/>
        <v>1</v>
      </c>
      <c r="AH709">
        <f t="shared" si="217"/>
        <v>0</v>
      </c>
      <c r="AI709">
        <f t="shared" si="218"/>
        <v>1</v>
      </c>
      <c r="AJ709" s="9">
        <f t="shared" si="219"/>
        <v>29</v>
      </c>
      <c r="AK709">
        <f t="shared" si="220"/>
        <v>0</v>
      </c>
      <c r="AL709" s="9">
        <v>1</v>
      </c>
    </row>
    <row r="710" spans="1:38" x14ac:dyDescent="0.35">
      <c r="A710" s="9">
        <v>1</v>
      </c>
      <c r="B710" s="9" t="s">
        <v>82</v>
      </c>
      <c r="C710" s="53">
        <v>43890</v>
      </c>
      <c r="D710" s="53">
        <v>43902</v>
      </c>
      <c r="E710" s="53">
        <v>44011</v>
      </c>
      <c r="F710" s="21">
        <f t="shared" si="208"/>
        <v>109</v>
      </c>
      <c r="G710" s="53">
        <v>43902</v>
      </c>
      <c r="H710" s="9">
        <v>2020</v>
      </c>
      <c r="I710" s="9">
        <v>1</v>
      </c>
      <c r="J710" s="9">
        <v>6</v>
      </c>
      <c r="K710" s="9">
        <v>26</v>
      </c>
      <c r="L710" s="50" t="s">
        <v>578</v>
      </c>
      <c r="M710">
        <v>1</v>
      </c>
      <c r="N710">
        <v>1</v>
      </c>
      <c r="O710">
        <v>-2</v>
      </c>
      <c r="P710">
        <v>-1</v>
      </c>
      <c r="Q710">
        <v>-2</v>
      </c>
      <c r="R710">
        <v>2</v>
      </c>
      <c r="S710">
        <v>1</v>
      </c>
      <c r="T710">
        <v>-2</v>
      </c>
      <c r="U710">
        <v>1</v>
      </c>
      <c r="V710" t="s">
        <v>968</v>
      </c>
      <c r="W710" t="s">
        <v>989</v>
      </c>
      <c r="X710" t="s">
        <v>997</v>
      </c>
      <c r="Y710" t="s">
        <v>1000</v>
      </c>
      <c r="Z710">
        <v>1</v>
      </c>
      <c r="AA710">
        <f t="shared" si="210"/>
        <v>1</v>
      </c>
      <c r="AB710">
        <f t="shared" si="211"/>
        <v>1</v>
      </c>
      <c r="AC710">
        <f t="shared" si="212"/>
        <v>0</v>
      </c>
      <c r="AD710">
        <f t="shared" si="213"/>
        <v>0</v>
      </c>
      <c r="AE710">
        <f t="shared" si="214"/>
        <v>0</v>
      </c>
      <c r="AF710">
        <f t="shared" si="215"/>
        <v>1</v>
      </c>
      <c r="AG710">
        <f t="shared" si="216"/>
        <v>1</v>
      </c>
      <c r="AH710">
        <f t="shared" si="217"/>
        <v>0</v>
      </c>
      <c r="AI710">
        <f t="shared" si="218"/>
        <v>1</v>
      </c>
      <c r="AJ710" s="9">
        <f t="shared" si="219"/>
        <v>26</v>
      </c>
      <c r="AK710">
        <f t="shared" si="220"/>
        <v>0</v>
      </c>
      <c r="AL710" s="9">
        <v>1</v>
      </c>
    </row>
    <row r="711" spans="1:38" x14ac:dyDescent="0.35">
      <c r="A711" s="9">
        <v>1</v>
      </c>
      <c r="B711" s="9" t="s">
        <v>82</v>
      </c>
      <c r="C711" s="53">
        <v>43890</v>
      </c>
      <c r="D711" s="53">
        <v>43902</v>
      </c>
      <c r="E711" s="53">
        <v>44011</v>
      </c>
      <c r="F711" s="21">
        <f t="shared" si="208"/>
        <v>109</v>
      </c>
      <c r="G711" s="53">
        <v>43902</v>
      </c>
      <c r="H711" s="9">
        <v>2020</v>
      </c>
      <c r="I711" s="9">
        <v>1</v>
      </c>
      <c r="J711" s="9">
        <v>3</v>
      </c>
      <c r="K711" s="9" t="s">
        <v>206</v>
      </c>
      <c r="L711" s="50" t="s">
        <v>576</v>
      </c>
      <c r="M711">
        <v>2</v>
      </c>
      <c r="N711">
        <v>2</v>
      </c>
      <c r="O711">
        <v>-2</v>
      </c>
      <c r="P711">
        <v>2</v>
      </c>
      <c r="Q711">
        <v>2</v>
      </c>
      <c r="T711">
        <v>2</v>
      </c>
      <c r="U711">
        <v>1</v>
      </c>
      <c r="V711" t="s">
        <v>968</v>
      </c>
      <c r="W711" t="s">
        <v>989</v>
      </c>
      <c r="X711" t="s">
        <v>997</v>
      </c>
      <c r="Y711" t="s">
        <v>1000</v>
      </c>
      <c r="Z711">
        <v>1</v>
      </c>
      <c r="AA711">
        <f t="shared" si="210"/>
        <v>1</v>
      </c>
      <c r="AB711">
        <f t="shared" si="211"/>
        <v>1</v>
      </c>
      <c r="AC711">
        <f t="shared" si="212"/>
        <v>0</v>
      </c>
      <c r="AD711">
        <f t="shared" si="213"/>
        <v>1</v>
      </c>
      <c r="AE711">
        <f t="shared" si="214"/>
        <v>1</v>
      </c>
      <c r="AF711">
        <f t="shared" si="215"/>
        <v>-1</v>
      </c>
      <c r="AG711">
        <f t="shared" si="216"/>
        <v>-1</v>
      </c>
      <c r="AH711">
        <f t="shared" si="217"/>
        <v>1</v>
      </c>
      <c r="AI711">
        <f t="shared" si="218"/>
        <v>1</v>
      </c>
      <c r="AJ711" s="9" t="str">
        <f t="shared" si="219"/>
        <v>Tax exemption/waiver/suspension</v>
      </c>
      <c r="AK711">
        <f t="shared" si="220"/>
        <v>0</v>
      </c>
      <c r="AL711" s="9">
        <v>1</v>
      </c>
    </row>
    <row r="712" spans="1:38" x14ac:dyDescent="0.35">
      <c r="A712" s="9">
        <v>1</v>
      </c>
      <c r="B712" s="9" t="s">
        <v>82</v>
      </c>
      <c r="C712" s="53">
        <v>43890</v>
      </c>
      <c r="D712" s="53">
        <v>43902</v>
      </c>
      <c r="E712" s="53">
        <v>44011</v>
      </c>
      <c r="F712" s="21">
        <f t="shared" si="208"/>
        <v>109</v>
      </c>
      <c r="G712" s="53">
        <v>43902</v>
      </c>
      <c r="H712" s="9">
        <v>2020</v>
      </c>
      <c r="I712" s="9">
        <v>1</v>
      </c>
      <c r="J712" s="9">
        <v>7</v>
      </c>
      <c r="K712" s="9">
        <v>31</v>
      </c>
      <c r="L712" s="50" t="s">
        <v>585</v>
      </c>
      <c r="M712">
        <v>1</v>
      </c>
      <c r="N712">
        <v>1</v>
      </c>
      <c r="O712">
        <v>-2</v>
      </c>
      <c r="P712">
        <v>-1</v>
      </c>
      <c r="Q712">
        <v>2</v>
      </c>
      <c r="R712">
        <v>-2</v>
      </c>
      <c r="S712">
        <v>1</v>
      </c>
      <c r="T712">
        <v>2</v>
      </c>
      <c r="U712">
        <v>1</v>
      </c>
      <c r="V712" t="s">
        <v>968</v>
      </c>
      <c r="W712" t="s">
        <v>989</v>
      </c>
      <c r="X712" t="s">
        <v>997</v>
      </c>
      <c r="Y712" t="s">
        <v>1000</v>
      </c>
      <c r="Z712">
        <v>1</v>
      </c>
      <c r="AA712">
        <f t="shared" si="210"/>
        <v>1</v>
      </c>
      <c r="AB712">
        <f t="shared" si="211"/>
        <v>1</v>
      </c>
      <c r="AC712">
        <f t="shared" si="212"/>
        <v>0</v>
      </c>
      <c r="AD712">
        <f t="shared" si="213"/>
        <v>0</v>
      </c>
      <c r="AE712">
        <f t="shared" si="214"/>
        <v>1</v>
      </c>
      <c r="AF712">
        <f t="shared" si="215"/>
        <v>0</v>
      </c>
      <c r="AG712">
        <f t="shared" si="216"/>
        <v>1</v>
      </c>
      <c r="AH712">
        <f t="shared" si="217"/>
        <v>1</v>
      </c>
      <c r="AI712">
        <f t="shared" si="218"/>
        <v>1</v>
      </c>
      <c r="AJ712" s="9">
        <f t="shared" si="219"/>
        <v>31</v>
      </c>
      <c r="AK712">
        <f t="shared" si="220"/>
        <v>0</v>
      </c>
      <c r="AL712" s="9">
        <v>1</v>
      </c>
    </row>
    <row r="713" spans="1:38" x14ac:dyDescent="0.35">
      <c r="A713" s="9">
        <v>1</v>
      </c>
      <c r="B713" s="9" t="s">
        <v>82</v>
      </c>
      <c r="C713" s="53">
        <v>43890</v>
      </c>
      <c r="D713" s="53">
        <v>43902</v>
      </c>
      <c r="E713" s="53">
        <v>44011</v>
      </c>
      <c r="F713" s="21">
        <f t="shared" si="208"/>
        <v>109</v>
      </c>
      <c r="G713" s="53">
        <v>43902</v>
      </c>
      <c r="H713" s="9">
        <v>2020</v>
      </c>
      <c r="I713" s="9">
        <v>1</v>
      </c>
      <c r="J713" s="9">
        <v>6</v>
      </c>
      <c r="K713" s="9">
        <v>27</v>
      </c>
      <c r="L713" s="50" t="s">
        <v>575</v>
      </c>
      <c r="M713">
        <v>1</v>
      </c>
      <c r="N713">
        <v>1</v>
      </c>
      <c r="O713">
        <v>2</v>
      </c>
      <c r="P713">
        <v>-1</v>
      </c>
      <c r="Q713">
        <v>-2</v>
      </c>
      <c r="R713">
        <v>-2</v>
      </c>
      <c r="S713">
        <v>-1</v>
      </c>
      <c r="T713">
        <v>2</v>
      </c>
      <c r="U713">
        <v>1</v>
      </c>
      <c r="V713" t="s">
        <v>968</v>
      </c>
      <c r="W713" t="s">
        <v>989</v>
      </c>
      <c r="X713" t="s">
        <v>997</v>
      </c>
      <c r="Y713" t="s">
        <v>1000</v>
      </c>
      <c r="Z713">
        <v>1</v>
      </c>
      <c r="AA713">
        <f t="shared" si="210"/>
        <v>1</v>
      </c>
      <c r="AB713">
        <f t="shared" si="211"/>
        <v>1</v>
      </c>
      <c r="AC713">
        <f t="shared" si="212"/>
        <v>1</v>
      </c>
      <c r="AD713">
        <f t="shared" si="213"/>
        <v>0</v>
      </c>
      <c r="AE713">
        <f t="shared" si="214"/>
        <v>0</v>
      </c>
      <c r="AF713">
        <f t="shared" si="215"/>
        <v>0</v>
      </c>
      <c r="AG713">
        <f t="shared" si="216"/>
        <v>0</v>
      </c>
      <c r="AH713">
        <f t="shared" si="217"/>
        <v>1</v>
      </c>
      <c r="AI713">
        <f t="shared" si="218"/>
        <v>1</v>
      </c>
      <c r="AJ713" s="9">
        <f t="shared" si="219"/>
        <v>27</v>
      </c>
      <c r="AK713">
        <f t="shared" si="220"/>
        <v>0</v>
      </c>
      <c r="AL713" s="9">
        <v>1</v>
      </c>
    </row>
    <row r="714" spans="1:38" x14ac:dyDescent="0.35">
      <c r="A714" s="9">
        <v>1</v>
      </c>
      <c r="B714" s="9" t="s">
        <v>82</v>
      </c>
      <c r="C714" s="53">
        <v>43890</v>
      </c>
      <c r="D714" s="53">
        <v>43902</v>
      </c>
      <c r="E714" s="53">
        <v>44011</v>
      </c>
      <c r="F714" s="21">
        <f t="shared" si="208"/>
        <v>109</v>
      </c>
      <c r="G714" s="53">
        <v>43902</v>
      </c>
      <c r="H714" s="9">
        <v>2020</v>
      </c>
      <c r="I714" s="9">
        <v>1</v>
      </c>
      <c r="J714" s="9">
        <v>1</v>
      </c>
      <c r="K714" s="9">
        <v>6</v>
      </c>
      <c r="L714" s="50" t="s">
        <v>579</v>
      </c>
      <c r="M714">
        <v>-2</v>
      </c>
      <c r="N714">
        <v>2</v>
      </c>
      <c r="O714">
        <v>2</v>
      </c>
      <c r="P714">
        <v>2</v>
      </c>
      <c r="Q714">
        <v>2</v>
      </c>
      <c r="R714">
        <v>2</v>
      </c>
      <c r="S714">
        <v>1</v>
      </c>
      <c r="T714">
        <v>2</v>
      </c>
      <c r="U714">
        <v>1</v>
      </c>
      <c r="V714" t="s">
        <v>968</v>
      </c>
      <c r="W714" t="s">
        <v>989</v>
      </c>
      <c r="X714" t="s">
        <v>997</v>
      </c>
      <c r="Y714" t="s">
        <v>1000</v>
      </c>
      <c r="Z714">
        <v>1</v>
      </c>
      <c r="AA714">
        <f t="shared" si="210"/>
        <v>0</v>
      </c>
      <c r="AB714">
        <f t="shared" si="211"/>
        <v>1</v>
      </c>
      <c r="AC714">
        <f t="shared" si="212"/>
        <v>1</v>
      </c>
      <c r="AD714">
        <f t="shared" si="213"/>
        <v>1</v>
      </c>
      <c r="AE714">
        <f t="shared" si="214"/>
        <v>1</v>
      </c>
      <c r="AF714">
        <f t="shared" si="215"/>
        <v>1</v>
      </c>
      <c r="AG714">
        <f t="shared" si="216"/>
        <v>1</v>
      </c>
      <c r="AH714">
        <f t="shared" si="217"/>
        <v>1</v>
      </c>
      <c r="AI714">
        <f t="shared" si="218"/>
        <v>1</v>
      </c>
      <c r="AJ714" s="9">
        <f t="shared" si="219"/>
        <v>6</v>
      </c>
      <c r="AK714">
        <f t="shared" si="220"/>
        <v>0</v>
      </c>
      <c r="AL714" s="9">
        <v>1</v>
      </c>
    </row>
    <row r="715" spans="1:38" x14ac:dyDescent="0.35">
      <c r="A715" s="9">
        <v>1</v>
      </c>
      <c r="B715" s="9" t="s">
        <v>82</v>
      </c>
      <c r="C715" s="53">
        <v>43890</v>
      </c>
      <c r="D715" s="53">
        <v>43902</v>
      </c>
      <c r="E715" s="53">
        <v>44011</v>
      </c>
      <c r="F715" s="21">
        <f t="shared" si="208"/>
        <v>109</v>
      </c>
      <c r="G715" s="53">
        <v>43902</v>
      </c>
      <c r="H715" s="9">
        <v>2020</v>
      </c>
      <c r="I715" s="9">
        <v>1</v>
      </c>
      <c r="J715" s="9">
        <v>1</v>
      </c>
      <c r="K715" s="9">
        <v>11</v>
      </c>
      <c r="L715" s="50" t="s">
        <v>580</v>
      </c>
      <c r="M715">
        <v>-2</v>
      </c>
      <c r="N715">
        <v>2</v>
      </c>
      <c r="O715">
        <v>-1</v>
      </c>
      <c r="Q715">
        <v>-2</v>
      </c>
      <c r="R715">
        <v>2</v>
      </c>
      <c r="S715">
        <v>-2</v>
      </c>
      <c r="T715">
        <v>2</v>
      </c>
      <c r="U715">
        <v>1</v>
      </c>
      <c r="V715" t="s">
        <v>968</v>
      </c>
      <c r="W715" t="s">
        <v>989</v>
      </c>
      <c r="X715" t="s">
        <v>997</v>
      </c>
      <c r="Y715" t="s">
        <v>1000</v>
      </c>
      <c r="Z715">
        <v>1</v>
      </c>
      <c r="AA715">
        <f t="shared" si="210"/>
        <v>0</v>
      </c>
      <c r="AB715">
        <f t="shared" si="211"/>
        <v>1</v>
      </c>
      <c r="AC715">
        <f t="shared" si="212"/>
        <v>0</v>
      </c>
      <c r="AD715">
        <f t="shared" si="213"/>
        <v>-1</v>
      </c>
      <c r="AE715">
        <f t="shared" si="214"/>
        <v>0</v>
      </c>
      <c r="AF715">
        <f t="shared" si="215"/>
        <v>1</v>
      </c>
      <c r="AG715">
        <f t="shared" si="216"/>
        <v>0</v>
      </c>
      <c r="AH715">
        <f t="shared" si="217"/>
        <v>1</v>
      </c>
      <c r="AI715">
        <f t="shared" si="218"/>
        <v>1</v>
      </c>
      <c r="AJ715" s="9">
        <f t="shared" si="219"/>
        <v>11</v>
      </c>
      <c r="AK715">
        <f t="shared" si="220"/>
        <v>0</v>
      </c>
      <c r="AL715" s="9">
        <v>1</v>
      </c>
    </row>
    <row r="716" spans="1:38" x14ac:dyDescent="0.35">
      <c r="A716" s="9">
        <v>1</v>
      </c>
      <c r="B716" s="9" t="s">
        <v>82</v>
      </c>
      <c r="C716" s="53">
        <v>43890</v>
      </c>
      <c r="D716" s="53">
        <v>43902</v>
      </c>
      <c r="E716" s="53">
        <v>44011</v>
      </c>
      <c r="F716" s="21">
        <f t="shared" si="208"/>
        <v>109</v>
      </c>
      <c r="G716" s="53">
        <v>43902</v>
      </c>
      <c r="H716" s="9">
        <v>2020</v>
      </c>
      <c r="I716" s="9">
        <v>1</v>
      </c>
      <c r="J716" s="9">
        <v>3</v>
      </c>
      <c r="K716" s="9" t="s">
        <v>206</v>
      </c>
      <c r="L716" s="50" t="s">
        <v>581</v>
      </c>
      <c r="M716">
        <v>2</v>
      </c>
      <c r="N716">
        <v>2</v>
      </c>
      <c r="O716">
        <v>-2</v>
      </c>
      <c r="P716">
        <v>-1</v>
      </c>
      <c r="Q716">
        <v>-2</v>
      </c>
      <c r="R716">
        <v>2</v>
      </c>
      <c r="S716">
        <v>2</v>
      </c>
      <c r="U716">
        <v>1</v>
      </c>
      <c r="V716" t="s">
        <v>968</v>
      </c>
      <c r="W716" t="s">
        <v>989</v>
      </c>
      <c r="X716" t="s">
        <v>997</v>
      </c>
      <c r="Y716" t="s">
        <v>1000</v>
      </c>
      <c r="Z716">
        <v>1</v>
      </c>
      <c r="AA716">
        <f t="shared" si="210"/>
        <v>1</v>
      </c>
      <c r="AB716">
        <f t="shared" si="211"/>
        <v>1</v>
      </c>
      <c r="AC716">
        <f t="shared" si="212"/>
        <v>0</v>
      </c>
      <c r="AD716">
        <f t="shared" si="213"/>
        <v>0</v>
      </c>
      <c r="AE716">
        <f t="shared" si="214"/>
        <v>0</v>
      </c>
      <c r="AF716">
        <f t="shared" si="215"/>
        <v>1</v>
      </c>
      <c r="AG716">
        <f t="shared" si="216"/>
        <v>1</v>
      </c>
      <c r="AH716">
        <f t="shared" si="217"/>
        <v>-1</v>
      </c>
      <c r="AI716">
        <f t="shared" si="218"/>
        <v>1</v>
      </c>
      <c r="AJ716" s="9" t="str">
        <f t="shared" si="219"/>
        <v>Tax exemption/waiver/suspension</v>
      </c>
      <c r="AK716">
        <f t="shared" si="220"/>
        <v>0</v>
      </c>
      <c r="AL716" s="9">
        <v>0</v>
      </c>
    </row>
    <row r="717" spans="1:38" x14ac:dyDescent="0.35">
      <c r="A717" s="9">
        <v>1</v>
      </c>
      <c r="B717" s="50" t="s">
        <v>82</v>
      </c>
      <c r="C717" s="53">
        <v>43890</v>
      </c>
      <c r="D717" s="53">
        <v>43902</v>
      </c>
      <c r="E717" s="53">
        <v>44011</v>
      </c>
      <c r="F717" s="21">
        <f t="shared" si="208"/>
        <v>109</v>
      </c>
      <c r="G717" s="53">
        <v>43902</v>
      </c>
      <c r="H717" s="9">
        <v>2020</v>
      </c>
      <c r="I717" s="9">
        <v>1</v>
      </c>
      <c r="J717" s="50">
        <v>7</v>
      </c>
      <c r="K717" s="50">
        <v>30</v>
      </c>
      <c r="L717" s="24" t="s">
        <v>1439</v>
      </c>
      <c r="M717" s="24"/>
      <c r="V717" t="s">
        <v>968</v>
      </c>
      <c r="W717" t="s">
        <v>989</v>
      </c>
      <c r="X717" t="s">
        <v>997</v>
      </c>
      <c r="Y717" t="s">
        <v>1000</v>
      </c>
      <c r="Z717">
        <v>1</v>
      </c>
      <c r="AA717">
        <v>-1</v>
      </c>
      <c r="AB717">
        <v>-1</v>
      </c>
      <c r="AC717">
        <v>-1</v>
      </c>
      <c r="AD717">
        <v>-1</v>
      </c>
      <c r="AE717">
        <v>-1</v>
      </c>
      <c r="AF717">
        <v>-1</v>
      </c>
      <c r="AG717">
        <v>-1</v>
      </c>
      <c r="AH717">
        <v>-1</v>
      </c>
      <c r="AI717">
        <v>-1</v>
      </c>
      <c r="AJ717" s="9">
        <f t="shared" si="219"/>
        <v>30</v>
      </c>
      <c r="AK717">
        <f t="shared" si="220"/>
        <v>0</v>
      </c>
      <c r="AL717" s="9">
        <v>0</v>
      </c>
    </row>
    <row r="718" spans="1:38" x14ac:dyDescent="0.35">
      <c r="A718" s="9">
        <v>1</v>
      </c>
      <c r="B718" s="50" t="s">
        <v>82</v>
      </c>
      <c r="C718" s="53">
        <v>43890</v>
      </c>
      <c r="D718" s="53">
        <v>43902</v>
      </c>
      <c r="E718" s="53">
        <v>44011</v>
      </c>
      <c r="F718" s="21">
        <f t="shared" si="208"/>
        <v>109</v>
      </c>
      <c r="G718" s="53">
        <v>43902</v>
      </c>
      <c r="H718" s="9">
        <v>2020</v>
      </c>
      <c r="I718" s="9">
        <v>1</v>
      </c>
      <c r="J718" s="50">
        <v>6</v>
      </c>
      <c r="K718" s="50">
        <v>28</v>
      </c>
      <c r="L718" s="24" t="s">
        <v>1440</v>
      </c>
      <c r="M718" s="24"/>
      <c r="V718" t="s">
        <v>968</v>
      </c>
      <c r="W718" t="s">
        <v>989</v>
      </c>
      <c r="X718" t="s">
        <v>997</v>
      </c>
      <c r="Y718" t="s">
        <v>1000</v>
      </c>
      <c r="Z718">
        <v>1</v>
      </c>
      <c r="AA718">
        <v>-1</v>
      </c>
      <c r="AB718">
        <v>-1</v>
      </c>
      <c r="AC718">
        <v>-1</v>
      </c>
      <c r="AD718">
        <v>-1</v>
      </c>
      <c r="AE718">
        <v>-1</v>
      </c>
      <c r="AF718">
        <v>-1</v>
      </c>
      <c r="AG718">
        <v>-1</v>
      </c>
      <c r="AH718">
        <v>-1</v>
      </c>
      <c r="AI718">
        <v>-1</v>
      </c>
      <c r="AJ718" s="9">
        <f t="shared" si="219"/>
        <v>28</v>
      </c>
      <c r="AK718">
        <f t="shared" si="220"/>
        <v>0</v>
      </c>
      <c r="AL718" s="9">
        <v>0</v>
      </c>
    </row>
    <row r="719" spans="1:38" x14ac:dyDescent="0.35">
      <c r="A719" s="9">
        <v>1</v>
      </c>
      <c r="B719" s="50" t="s">
        <v>82</v>
      </c>
      <c r="C719" s="53">
        <v>43890</v>
      </c>
      <c r="D719" s="53">
        <v>43902</v>
      </c>
      <c r="E719" s="53">
        <v>44011</v>
      </c>
      <c r="F719" s="21">
        <f t="shared" si="208"/>
        <v>109</v>
      </c>
      <c r="G719" s="53">
        <v>43902</v>
      </c>
      <c r="H719" s="9">
        <v>2020</v>
      </c>
      <c r="I719" s="9">
        <v>1</v>
      </c>
      <c r="J719" s="50">
        <v>7</v>
      </c>
      <c r="K719" s="50">
        <v>31</v>
      </c>
      <c r="L719" s="24" t="s">
        <v>1441</v>
      </c>
      <c r="M719" s="24"/>
      <c r="V719" t="s">
        <v>968</v>
      </c>
      <c r="W719" t="s">
        <v>989</v>
      </c>
      <c r="X719" t="s">
        <v>997</v>
      </c>
      <c r="Y719" t="s">
        <v>1000</v>
      </c>
      <c r="Z719">
        <v>1</v>
      </c>
      <c r="AA719">
        <v>-1</v>
      </c>
      <c r="AB719">
        <v>-1</v>
      </c>
      <c r="AC719">
        <v>-1</v>
      </c>
      <c r="AD719">
        <v>-1</v>
      </c>
      <c r="AE719">
        <v>-1</v>
      </c>
      <c r="AF719">
        <v>-1</v>
      </c>
      <c r="AG719">
        <v>-1</v>
      </c>
      <c r="AH719">
        <v>-1</v>
      </c>
      <c r="AI719">
        <v>-1</v>
      </c>
      <c r="AJ719" s="9">
        <f t="shared" si="219"/>
        <v>31</v>
      </c>
      <c r="AK719">
        <f t="shared" si="220"/>
        <v>0</v>
      </c>
      <c r="AL719" s="9">
        <v>0</v>
      </c>
    </row>
    <row r="720" spans="1:38" x14ac:dyDescent="0.35">
      <c r="A720" s="9">
        <v>1</v>
      </c>
      <c r="B720" s="50" t="s">
        <v>82</v>
      </c>
      <c r="C720" s="53">
        <v>43890</v>
      </c>
      <c r="D720" s="53">
        <v>43902</v>
      </c>
      <c r="E720" s="53">
        <v>44011</v>
      </c>
      <c r="F720" s="21">
        <f t="shared" si="208"/>
        <v>109</v>
      </c>
      <c r="G720" s="53">
        <v>43902</v>
      </c>
      <c r="H720" s="9">
        <v>2020</v>
      </c>
      <c r="I720" s="9">
        <v>1</v>
      </c>
      <c r="J720" s="50">
        <v>7</v>
      </c>
      <c r="K720" s="50">
        <v>30</v>
      </c>
      <c r="L720" s="24" t="s">
        <v>1442</v>
      </c>
      <c r="M720" s="24"/>
      <c r="V720" t="s">
        <v>968</v>
      </c>
      <c r="W720" t="s">
        <v>989</v>
      </c>
      <c r="X720" t="s">
        <v>997</v>
      </c>
      <c r="Y720" t="s">
        <v>1000</v>
      </c>
      <c r="Z720">
        <v>1</v>
      </c>
      <c r="AA720">
        <v>-1</v>
      </c>
      <c r="AB720">
        <v>-1</v>
      </c>
      <c r="AC720">
        <v>-1</v>
      </c>
      <c r="AD720">
        <v>-1</v>
      </c>
      <c r="AE720">
        <v>-1</v>
      </c>
      <c r="AF720">
        <v>-1</v>
      </c>
      <c r="AG720">
        <v>-1</v>
      </c>
      <c r="AH720">
        <v>-1</v>
      </c>
      <c r="AI720">
        <v>-1</v>
      </c>
      <c r="AJ720" s="9">
        <f t="shared" si="219"/>
        <v>30</v>
      </c>
      <c r="AK720">
        <f t="shared" si="220"/>
        <v>0</v>
      </c>
      <c r="AL720" s="9">
        <v>0</v>
      </c>
    </row>
    <row r="721" spans="1:38" x14ac:dyDescent="0.35">
      <c r="A721" s="9">
        <v>1</v>
      </c>
      <c r="B721" s="50" t="s">
        <v>82</v>
      </c>
      <c r="C721" s="53">
        <v>43890</v>
      </c>
      <c r="D721" s="53">
        <v>43902</v>
      </c>
      <c r="E721" s="53">
        <v>44011</v>
      </c>
      <c r="F721" s="21">
        <f t="shared" si="208"/>
        <v>109</v>
      </c>
      <c r="G721" s="53">
        <v>43902</v>
      </c>
      <c r="H721" s="9">
        <v>2020</v>
      </c>
      <c r="I721" s="9">
        <v>1</v>
      </c>
      <c r="J721" s="50">
        <v>7</v>
      </c>
      <c r="K721" s="50">
        <v>30</v>
      </c>
      <c r="L721" s="24" t="s">
        <v>1443</v>
      </c>
      <c r="M721" s="24"/>
      <c r="V721" t="s">
        <v>968</v>
      </c>
      <c r="W721" t="s">
        <v>989</v>
      </c>
      <c r="X721" t="s">
        <v>997</v>
      </c>
      <c r="Y721" t="s">
        <v>1000</v>
      </c>
      <c r="Z721">
        <v>1</v>
      </c>
      <c r="AA721">
        <v>-1</v>
      </c>
      <c r="AB721">
        <v>-1</v>
      </c>
      <c r="AC721">
        <v>-1</v>
      </c>
      <c r="AD721">
        <v>-1</v>
      </c>
      <c r="AE721">
        <v>-1</v>
      </c>
      <c r="AF721">
        <v>-1</v>
      </c>
      <c r="AG721">
        <v>-1</v>
      </c>
      <c r="AH721">
        <v>-1</v>
      </c>
      <c r="AI721">
        <v>-1</v>
      </c>
      <c r="AJ721" s="9">
        <f t="shared" si="219"/>
        <v>30</v>
      </c>
      <c r="AK721">
        <f t="shared" si="220"/>
        <v>0</v>
      </c>
      <c r="AL721" s="9">
        <v>0</v>
      </c>
    </row>
    <row r="722" spans="1:38" x14ac:dyDescent="0.35">
      <c r="A722" s="9">
        <v>1</v>
      </c>
      <c r="B722" s="50" t="s">
        <v>82</v>
      </c>
      <c r="C722" s="53">
        <v>43890</v>
      </c>
      <c r="D722" s="53">
        <v>43902</v>
      </c>
      <c r="E722" s="53">
        <v>44011</v>
      </c>
      <c r="F722" s="21">
        <f t="shared" si="208"/>
        <v>109</v>
      </c>
      <c r="G722" s="53">
        <v>43902</v>
      </c>
      <c r="H722" s="9">
        <v>2020</v>
      </c>
      <c r="I722" s="9">
        <v>1</v>
      </c>
      <c r="J722" s="50">
        <v>7</v>
      </c>
      <c r="K722" s="50">
        <v>30</v>
      </c>
      <c r="L722" s="24" t="s">
        <v>1444</v>
      </c>
      <c r="M722" s="24"/>
      <c r="V722" t="s">
        <v>968</v>
      </c>
      <c r="W722" t="s">
        <v>989</v>
      </c>
      <c r="X722" t="s">
        <v>997</v>
      </c>
      <c r="Y722" t="s">
        <v>1000</v>
      </c>
      <c r="Z722">
        <v>1</v>
      </c>
      <c r="AA722">
        <v>-1</v>
      </c>
      <c r="AB722">
        <v>-1</v>
      </c>
      <c r="AC722">
        <v>-1</v>
      </c>
      <c r="AD722">
        <v>-1</v>
      </c>
      <c r="AE722">
        <v>-1</v>
      </c>
      <c r="AF722">
        <v>-1</v>
      </c>
      <c r="AG722">
        <v>-1</v>
      </c>
      <c r="AH722">
        <v>-1</v>
      </c>
      <c r="AI722">
        <v>-1</v>
      </c>
      <c r="AJ722" s="9">
        <f t="shared" si="219"/>
        <v>30</v>
      </c>
      <c r="AK722">
        <f t="shared" si="220"/>
        <v>0</v>
      </c>
      <c r="AL722" s="9">
        <v>0</v>
      </c>
    </row>
    <row r="723" spans="1:38" x14ac:dyDescent="0.35">
      <c r="A723" s="9">
        <v>1</v>
      </c>
      <c r="B723" s="50" t="s">
        <v>82</v>
      </c>
      <c r="C723" s="53">
        <v>43890</v>
      </c>
      <c r="D723" s="53">
        <v>43902</v>
      </c>
      <c r="E723" s="53">
        <v>44011</v>
      </c>
      <c r="F723" s="21">
        <f t="shared" si="208"/>
        <v>109</v>
      </c>
      <c r="G723" s="53">
        <v>43902</v>
      </c>
      <c r="H723" s="9">
        <v>2020</v>
      </c>
      <c r="I723" s="9">
        <v>1</v>
      </c>
      <c r="J723" s="50">
        <v>7</v>
      </c>
      <c r="K723" s="50">
        <v>30</v>
      </c>
      <c r="L723" s="24" t="s">
        <v>1445</v>
      </c>
      <c r="M723" s="24"/>
      <c r="V723" t="s">
        <v>968</v>
      </c>
      <c r="W723" t="s">
        <v>989</v>
      </c>
      <c r="X723" t="s">
        <v>997</v>
      </c>
      <c r="Y723" t="s">
        <v>1000</v>
      </c>
      <c r="Z723">
        <v>1</v>
      </c>
      <c r="AA723">
        <v>-1</v>
      </c>
      <c r="AB723">
        <v>-1</v>
      </c>
      <c r="AC723">
        <v>-1</v>
      </c>
      <c r="AD723">
        <v>-1</v>
      </c>
      <c r="AE723">
        <v>-1</v>
      </c>
      <c r="AF723">
        <v>-1</v>
      </c>
      <c r="AG723">
        <v>-1</v>
      </c>
      <c r="AH723">
        <v>-1</v>
      </c>
      <c r="AI723">
        <v>-1</v>
      </c>
      <c r="AJ723" s="9">
        <f t="shared" si="219"/>
        <v>30</v>
      </c>
      <c r="AK723">
        <f t="shared" si="220"/>
        <v>0</v>
      </c>
      <c r="AL723" s="9">
        <v>0</v>
      </c>
    </row>
    <row r="724" spans="1:38" x14ac:dyDescent="0.35">
      <c r="A724" s="9">
        <v>1</v>
      </c>
      <c r="B724" s="50" t="s">
        <v>82</v>
      </c>
      <c r="C724" s="53">
        <v>43890</v>
      </c>
      <c r="D724" s="53">
        <v>43902</v>
      </c>
      <c r="E724" s="53">
        <v>44011</v>
      </c>
      <c r="F724" s="21">
        <f t="shared" si="208"/>
        <v>109</v>
      </c>
      <c r="G724" s="53">
        <v>43902</v>
      </c>
      <c r="H724" s="9">
        <v>2020</v>
      </c>
      <c r="I724" s="9">
        <v>1</v>
      </c>
      <c r="J724" s="50">
        <v>1</v>
      </c>
      <c r="K724" s="50">
        <v>4</v>
      </c>
      <c r="L724" s="24" t="s">
        <v>1446</v>
      </c>
      <c r="M724" s="24"/>
      <c r="V724" t="s">
        <v>968</v>
      </c>
      <c r="W724" t="s">
        <v>989</v>
      </c>
      <c r="X724" t="s">
        <v>997</v>
      </c>
      <c r="Y724" t="s">
        <v>1000</v>
      </c>
      <c r="Z724">
        <v>1</v>
      </c>
      <c r="AA724">
        <v>-1</v>
      </c>
      <c r="AB724">
        <v>-1</v>
      </c>
      <c r="AC724">
        <v>-1</v>
      </c>
      <c r="AD724">
        <v>-1</v>
      </c>
      <c r="AE724">
        <v>-1</v>
      </c>
      <c r="AF724">
        <v>-1</v>
      </c>
      <c r="AG724">
        <v>-1</v>
      </c>
      <c r="AH724">
        <v>-1</v>
      </c>
      <c r="AI724">
        <v>-1</v>
      </c>
      <c r="AJ724" s="9">
        <f t="shared" si="219"/>
        <v>4</v>
      </c>
      <c r="AK724">
        <f t="shared" si="220"/>
        <v>0</v>
      </c>
      <c r="AL724" s="9">
        <v>0</v>
      </c>
    </row>
    <row r="725" spans="1:38" x14ac:dyDescent="0.35">
      <c r="A725" s="9">
        <v>1</v>
      </c>
      <c r="B725" s="50" t="s">
        <v>82</v>
      </c>
      <c r="C725" s="53">
        <v>43890</v>
      </c>
      <c r="D725" s="53">
        <v>43902</v>
      </c>
      <c r="E725" s="53">
        <v>44011</v>
      </c>
      <c r="F725" s="21">
        <f t="shared" si="208"/>
        <v>109</v>
      </c>
      <c r="G725" s="53">
        <v>43902</v>
      </c>
      <c r="H725" s="9">
        <v>2020</v>
      </c>
      <c r="I725" s="9">
        <v>1</v>
      </c>
      <c r="J725" s="50">
        <v>9</v>
      </c>
      <c r="K725" s="50">
        <v>34</v>
      </c>
      <c r="L725" s="24" t="s">
        <v>1447</v>
      </c>
      <c r="M725" s="24"/>
      <c r="V725" t="s">
        <v>968</v>
      </c>
      <c r="W725" t="s">
        <v>989</v>
      </c>
      <c r="X725" t="s">
        <v>997</v>
      </c>
      <c r="Y725" t="s">
        <v>1000</v>
      </c>
      <c r="Z725">
        <v>1</v>
      </c>
      <c r="AA725">
        <v>-1</v>
      </c>
      <c r="AB725">
        <v>-1</v>
      </c>
      <c r="AC725">
        <v>-1</v>
      </c>
      <c r="AD725">
        <v>-1</v>
      </c>
      <c r="AE725">
        <v>-1</v>
      </c>
      <c r="AF725">
        <v>-1</v>
      </c>
      <c r="AG725">
        <v>-1</v>
      </c>
      <c r="AH725">
        <v>-1</v>
      </c>
      <c r="AI725">
        <v>-1</v>
      </c>
      <c r="AJ725" s="9">
        <f t="shared" si="219"/>
        <v>34</v>
      </c>
      <c r="AK725">
        <f t="shared" si="220"/>
        <v>0</v>
      </c>
      <c r="AL725" s="9">
        <v>0</v>
      </c>
    </row>
    <row r="726" spans="1:38" x14ac:dyDescent="0.35">
      <c r="A726" s="9">
        <v>1</v>
      </c>
      <c r="B726" s="50" t="s">
        <v>82</v>
      </c>
      <c r="C726" s="53">
        <v>43890</v>
      </c>
      <c r="D726" s="53">
        <v>43902</v>
      </c>
      <c r="E726" s="53">
        <v>44011</v>
      </c>
      <c r="F726" s="21">
        <f t="shared" si="208"/>
        <v>109</v>
      </c>
      <c r="G726" s="53">
        <v>43902</v>
      </c>
      <c r="H726" s="9">
        <v>2020</v>
      </c>
      <c r="I726" s="9">
        <v>1</v>
      </c>
      <c r="J726" s="50">
        <v>9</v>
      </c>
      <c r="K726" s="50">
        <v>34</v>
      </c>
      <c r="L726" s="24" t="s">
        <v>1448</v>
      </c>
      <c r="M726" s="24"/>
      <c r="V726" t="s">
        <v>968</v>
      </c>
      <c r="W726" t="s">
        <v>989</v>
      </c>
      <c r="X726" t="s">
        <v>997</v>
      </c>
      <c r="Y726" t="s">
        <v>1000</v>
      </c>
      <c r="Z726">
        <v>1</v>
      </c>
      <c r="AA726">
        <v>-1</v>
      </c>
      <c r="AB726">
        <v>-1</v>
      </c>
      <c r="AC726">
        <v>-1</v>
      </c>
      <c r="AD726">
        <v>-1</v>
      </c>
      <c r="AE726">
        <v>-1</v>
      </c>
      <c r="AF726">
        <v>-1</v>
      </c>
      <c r="AG726">
        <v>-1</v>
      </c>
      <c r="AH726">
        <v>-1</v>
      </c>
      <c r="AI726">
        <v>-1</v>
      </c>
      <c r="AJ726" s="9">
        <f t="shared" si="219"/>
        <v>34</v>
      </c>
      <c r="AK726">
        <f t="shared" si="220"/>
        <v>0</v>
      </c>
      <c r="AL726" s="9">
        <v>0</v>
      </c>
    </row>
    <row r="727" spans="1:38" x14ac:dyDescent="0.35">
      <c r="A727" s="9">
        <v>1</v>
      </c>
      <c r="B727" s="50" t="s">
        <v>82</v>
      </c>
      <c r="C727" s="53">
        <v>43890</v>
      </c>
      <c r="D727" s="53">
        <v>43902</v>
      </c>
      <c r="E727" s="53">
        <v>44011</v>
      </c>
      <c r="F727" s="21">
        <f t="shared" si="208"/>
        <v>109</v>
      </c>
      <c r="G727" s="53">
        <v>43902</v>
      </c>
      <c r="H727" s="9">
        <v>2020</v>
      </c>
      <c r="I727" s="9">
        <v>1</v>
      </c>
      <c r="J727" s="50">
        <v>1</v>
      </c>
      <c r="K727" s="50">
        <v>7</v>
      </c>
      <c r="L727" s="24" t="s">
        <v>1449</v>
      </c>
      <c r="M727" s="24"/>
      <c r="V727" t="s">
        <v>968</v>
      </c>
      <c r="W727" t="s">
        <v>989</v>
      </c>
      <c r="X727" t="s">
        <v>997</v>
      </c>
      <c r="Y727" t="s">
        <v>1000</v>
      </c>
      <c r="Z727">
        <v>1</v>
      </c>
      <c r="AA727">
        <v>-1</v>
      </c>
      <c r="AB727">
        <v>-1</v>
      </c>
      <c r="AC727">
        <v>-1</v>
      </c>
      <c r="AD727">
        <v>-1</v>
      </c>
      <c r="AE727">
        <v>-1</v>
      </c>
      <c r="AF727">
        <v>-1</v>
      </c>
      <c r="AG727">
        <v>-1</v>
      </c>
      <c r="AH727">
        <v>-1</v>
      </c>
      <c r="AI727">
        <v>-1</v>
      </c>
      <c r="AJ727" s="9">
        <f t="shared" si="219"/>
        <v>7</v>
      </c>
      <c r="AK727">
        <f t="shared" si="220"/>
        <v>0</v>
      </c>
      <c r="AL727" s="9">
        <v>0</v>
      </c>
    </row>
    <row r="728" spans="1:38" x14ac:dyDescent="0.35">
      <c r="A728" s="9">
        <v>1</v>
      </c>
      <c r="B728" s="50" t="s">
        <v>82</v>
      </c>
      <c r="C728" s="53">
        <v>43890</v>
      </c>
      <c r="D728" s="53">
        <v>43902</v>
      </c>
      <c r="E728" s="53">
        <v>44011</v>
      </c>
      <c r="F728" s="21">
        <f t="shared" si="208"/>
        <v>109</v>
      </c>
      <c r="G728" s="53">
        <v>43902</v>
      </c>
      <c r="H728" s="9">
        <v>2020</v>
      </c>
      <c r="I728" s="9">
        <v>1</v>
      </c>
      <c r="J728" s="50">
        <v>1</v>
      </c>
      <c r="K728" s="50">
        <v>11</v>
      </c>
      <c r="L728" s="24" t="s">
        <v>1450</v>
      </c>
      <c r="M728" s="24"/>
      <c r="V728" t="s">
        <v>968</v>
      </c>
      <c r="W728" t="s">
        <v>989</v>
      </c>
      <c r="X728" t="s">
        <v>997</v>
      </c>
      <c r="Y728" t="s">
        <v>1000</v>
      </c>
      <c r="Z728">
        <v>1</v>
      </c>
      <c r="AA728">
        <v>-1</v>
      </c>
      <c r="AB728">
        <v>-1</v>
      </c>
      <c r="AC728">
        <v>-1</v>
      </c>
      <c r="AD728">
        <v>-1</v>
      </c>
      <c r="AE728">
        <v>-1</v>
      </c>
      <c r="AF728">
        <v>-1</v>
      </c>
      <c r="AG728">
        <v>-1</v>
      </c>
      <c r="AH728">
        <v>-1</v>
      </c>
      <c r="AI728">
        <v>-1</v>
      </c>
      <c r="AJ728" s="9">
        <f t="shared" si="219"/>
        <v>11</v>
      </c>
      <c r="AK728">
        <f t="shared" si="220"/>
        <v>0</v>
      </c>
      <c r="AL728" s="9">
        <v>0</v>
      </c>
    </row>
    <row r="729" spans="1:38" x14ac:dyDescent="0.35">
      <c r="A729" s="9">
        <v>1</v>
      </c>
      <c r="B729" s="50" t="s">
        <v>82</v>
      </c>
      <c r="C729" s="53">
        <v>43890</v>
      </c>
      <c r="D729" s="53">
        <v>43902</v>
      </c>
      <c r="E729" s="53">
        <v>44011</v>
      </c>
      <c r="F729" s="21">
        <f t="shared" si="208"/>
        <v>109</v>
      </c>
      <c r="G729" s="53">
        <v>43902</v>
      </c>
      <c r="H729" s="9">
        <v>2020</v>
      </c>
      <c r="I729" s="9">
        <v>1</v>
      </c>
      <c r="J729" s="50">
        <v>1</v>
      </c>
      <c r="K729" s="50" t="s">
        <v>201</v>
      </c>
      <c r="L729" s="24" t="s">
        <v>1451</v>
      </c>
      <c r="M729" s="24"/>
      <c r="V729" t="s">
        <v>968</v>
      </c>
      <c r="W729" t="s">
        <v>989</v>
      </c>
      <c r="X729" t="s">
        <v>997</v>
      </c>
      <c r="Y729" t="s">
        <v>1000</v>
      </c>
      <c r="Z729">
        <v>1</v>
      </c>
      <c r="AA729">
        <v>-1</v>
      </c>
      <c r="AB729">
        <v>-1</v>
      </c>
      <c r="AC729">
        <v>-1</v>
      </c>
      <c r="AD729">
        <v>-1</v>
      </c>
      <c r="AE729">
        <v>-1</v>
      </c>
      <c r="AF729">
        <v>-1</v>
      </c>
      <c r="AG729">
        <v>-1</v>
      </c>
      <c r="AH729">
        <v>-1</v>
      </c>
      <c r="AI729">
        <v>-1</v>
      </c>
      <c r="AJ729" s="9" t="str">
        <f t="shared" si="219"/>
        <v>Other</v>
      </c>
      <c r="AK729">
        <f t="shared" si="220"/>
        <v>0</v>
      </c>
      <c r="AL729" s="9">
        <v>0</v>
      </c>
    </row>
    <row r="730" spans="1:38" x14ac:dyDescent="0.35">
      <c r="A730" s="9">
        <v>1</v>
      </c>
      <c r="B730" s="50" t="s">
        <v>82</v>
      </c>
      <c r="C730" s="53">
        <v>43890</v>
      </c>
      <c r="D730" s="53">
        <v>43902</v>
      </c>
      <c r="E730" s="53">
        <v>44011</v>
      </c>
      <c r="F730" s="21">
        <f t="shared" si="208"/>
        <v>109</v>
      </c>
      <c r="G730" s="53">
        <v>43902</v>
      </c>
      <c r="H730" s="9">
        <v>2020</v>
      </c>
      <c r="I730" s="9">
        <v>1</v>
      </c>
      <c r="J730" s="50">
        <v>1</v>
      </c>
      <c r="K730" s="50">
        <v>2</v>
      </c>
      <c r="L730" s="24" t="s">
        <v>1452</v>
      </c>
      <c r="M730" s="24"/>
      <c r="V730" t="s">
        <v>968</v>
      </c>
      <c r="W730" t="s">
        <v>989</v>
      </c>
      <c r="X730" t="s">
        <v>997</v>
      </c>
      <c r="Y730" t="s">
        <v>1000</v>
      </c>
      <c r="Z730">
        <v>1</v>
      </c>
      <c r="AA730">
        <v>-1</v>
      </c>
      <c r="AB730">
        <v>-1</v>
      </c>
      <c r="AC730">
        <v>-1</v>
      </c>
      <c r="AD730">
        <v>-1</v>
      </c>
      <c r="AE730">
        <v>-1</v>
      </c>
      <c r="AF730">
        <v>-1</v>
      </c>
      <c r="AG730">
        <v>-1</v>
      </c>
      <c r="AH730">
        <v>-1</v>
      </c>
      <c r="AI730">
        <v>-1</v>
      </c>
      <c r="AJ730" s="9">
        <f t="shared" si="219"/>
        <v>2</v>
      </c>
      <c r="AK730">
        <f t="shared" si="220"/>
        <v>0</v>
      </c>
      <c r="AL730" s="9">
        <v>0</v>
      </c>
    </row>
    <row r="731" spans="1:38" x14ac:dyDescent="0.35">
      <c r="A731" s="9">
        <v>1</v>
      </c>
      <c r="B731" s="50" t="s">
        <v>82</v>
      </c>
      <c r="C731" s="53">
        <v>43890</v>
      </c>
      <c r="D731" s="53">
        <v>43902</v>
      </c>
      <c r="E731" s="53">
        <v>44011</v>
      </c>
      <c r="F731" s="21">
        <f t="shared" si="208"/>
        <v>109</v>
      </c>
      <c r="G731" s="53">
        <v>43902</v>
      </c>
      <c r="H731" s="9">
        <v>2020</v>
      </c>
      <c r="I731" s="9">
        <v>1</v>
      </c>
      <c r="J731" s="50">
        <v>1</v>
      </c>
      <c r="K731" s="50">
        <v>2</v>
      </c>
      <c r="L731" s="24" t="s">
        <v>1453</v>
      </c>
      <c r="M731" s="24"/>
      <c r="V731" t="s">
        <v>968</v>
      </c>
      <c r="W731" t="s">
        <v>989</v>
      </c>
      <c r="X731" t="s">
        <v>997</v>
      </c>
      <c r="Y731" t="s">
        <v>1000</v>
      </c>
      <c r="Z731">
        <v>1</v>
      </c>
      <c r="AA731">
        <v>-1</v>
      </c>
      <c r="AB731">
        <v>-1</v>
      </c>
      <c r="AC731">
        <v>-1</v>
      </c>
      <c r="AD731">
        <v>-1</v>
      </c>
      <c r="AE731">
        <v>-1</v>
      </c>
      <c r="AF731">
        <v>-1</v>
      </c>
      <c r="AG731">
        <v>-1</v>
      </c>
      <c r="AH731">
        <v>-1</v>
      </c>
      <c r="AI731">
        <v>-1</v>
      </c>
      <c r="AJ731" s="9">
        <f t="shared" si="219"/>
        <v>2</v>
      </c>
      <c r="AK731">
        <f t="shared" si="220"/>
        <v>0</v>
      </c>
      <c r="AL731" s="9">
        <v>0</v>
      </c>
    </row>
    <row r="732" spans="1:38" x14ac:dyDescent="0.35">
      <c r="A732" s="9">
        <v>1</v>
      </c>
      <c r="B732" s="50" t="s">
        <v>82</v>
      </c>
      <c r="C732" s="53">
        <v>43890</v>
      </c>
      <c r="D732" s="53">
        <v>43902</v>
      </c>
      <c r="E732" s="53">
        <v>44011</v>
      </c>
      <c r="F732" s="21">
        <f t="shared" si="208"/>
        <v>109</v>
      </c>
      <c r="G732" s="53">
        <v>43902</v>
      </c>
      <c r="H732" s="9">
        <v>2020</v>
      </c>
      <c r="I732" s="9">
        <v>1</v>
      </c>
      <c r="J732" s="50">
        <v>1</v>
      </c>
      <c r="K732" s="50" t="s">
        <v>206</v>
      </c>
      <c r="L732" s="24" t="s">
        <v>1454</v>
      </c>
      <c r="M732" s="24"/>
      <c r="V732" t="s">
        <v>968</v>
      </c>
      <c r="W732" t="s">
        <v>989</v>
      </c>
      <c r="X732" t="s">
        <v>997</v>
      </c>
      <c r="Y732" t="s">
        <v>1000</v>
      </c>
      <c r="Z732">
        <v>1</v>
      </c>
      <c r="AA732">
        <v>-1</v>
      </c>
      <c r="AB732">
        <v>-1</v>
      </c>
      <c r="AC732">
        <v>-1</v>
      </c>
      <c r="AD732">
        <v>-1</v>
      </c>
      <c r="AE732">
        <v>-1</v>
      </c>
      <c r="AF732">
        <v>-1</v>
      </c>
      <c r="AG732">
        <v>-1</v>
      </c>
      <c r="AH732">
        <v>-1</v>
      </c>
      <c r="AI732">
        <v>-1</v>
      </c>
      <c r="AJ732" s="9" t="str">
        <f t="shared" si="219"/>
        <v>Tax exemption/waiver/suspension</v>
      </c>
      <c r="AK732">
        <f t="shared" si="220"/>
        <v>0</v>
      </c>
      <c r="AL732" s="9">
        <v>0</v>
      </c>
    </row>
    <row r="733" spans="1:38" x14ac:dyDescent="0.35">
      <c r="A733" s="9">
        <v>1</v>
      </c>
      <c r="B733" s="50" t="s">
        <v>82</v>
      </c>
      <c r="C733" s="53">
        <v>43890</v>
      </c>
      <c r="D733" s="53">
        <v>43902</v>
      </c>
      <c r="E733" s="53">
        <v>44011</v>
      </c>
      <c r="F733" s="21">
        <f t="shared" si="208"/>
        <v>109</v>
      </c>
      <c r="G733" s="53">
        <v>43902</v>
      </c>
      <c r="H733" s="9">
        <v>2020</v>
      </c>
      <c r="I733" s="9">
        <v>1</v>
      </c>
      <c r="J733" s="50">
        <v>1</v>
      </c>
      <c r="K733" s="50">
        <v>5</v>
      </c>
      <c r="L733" s="24" t="s">
        <v>1455</v>
      </c>
      <c r="M733" s="24"/>
      <c r="V733" t="s">
        <v>968</v>
      </c>
      <c r="W733" t="s">
        <v>989</v>
      </c>
      <c r="X733" t="s">
        <v>997</v>
      </c>
      <c r="Y733" t="s">
        <v>1000</v>
      </c>
      <c r="Z733">
        <v>1</v>
      </c>
      <c r="AA733">
        <v>-1</v>
      </c>
      <c r="AB733">
        <v>-1</v>
      </c>
      <c r="AC733">
        <v>-1</v>
      </c>
      <c r="AD733">
        <v>-1</v>
      </c>
      <c r="AE733">
        <v>-1</v>
      </c>
      <c r="AF733">
        <v>-1</v>
      </c>
      <c r="AG733">
        <v>-1</v>
      </c>
      <c r="AH733">
        <v>-1</v>
      </c>
      <c r="AI733">
        <v>-1</v>
      </c>
      <c r="AJ733" s="9">
        <f t="shared" si="219"/>
        <v>5</v>
      </c>
      <c r="AK733">
        <f t="shared" si="220"/>
        <v>0</v>
      </c>
      <c r="AL733" s="9">
        <v>1</v>
      </c>
    </row>
    <row r="734" spans="1:38" s="47" customFormat="1" x14ac:dyDescent="0.35">
      <c r="A734" s="9">
        <v>1</v>
      </c>
      <c r="B734" s="50" t="s">
        <v>82</v>
      </c>
      <c r="C734" s="53">
        <v>43890</v>
      </c>
      <c r="D734" s="53">
        <v>43902</v>
      </c>
      <c r="E734" s="53">
        <v>44011</v>
      </c>
      <c r="F734" s="21">
        <f t="shared" ref="F734:F745" si="221">DATEDIF(D734,E734,"D")</f>
        <v>109</v>
      </c>
      <c r="G734" s="53">
        <v>43902</v>
      </c>
      <c r="H734" s="9">
        <v>2021</v>
      </c>
      <c r="I734" s="9">
        <v>1</v>
      </c>
      <c r="J734" s="50">
        <v>6</v>
      </c>
      <c r="K734" s="50">
        <v>29</v>
      </c>
      <c r="L734" s="48" t="s">
        <v>1957</v>
      </c>
      <c r="M734" s="48"/>
      <c r="AJ734" s="47">
        <f t="shared" si="219"/>
        <v>29</v>
      </c>
    </row>
    <row r="735" spans="1:38" s="47" customFormat="1" x14ac:dyDescent="0.35">
      <c r="A735" s="9">
        <v>1</v>
      </c>
      <c r="B735" s="50" t="s">
        <v>82</v>
      </c>
      <c r="C735" s="53">
        <v>43890</v>
      </c>
      <c r="D735" s="53">
        <v>43902</v>
      </c>
      <c r="E735" s="53">
        <v>44011</v>
      </c>
      <c r="F735" s="21">
        <f t="shared" si="221"/>
        <v>109</v>
      </c>
      <c r="G735" s="53">
        <v>43902</v>
      </c>
      <c r="H735" s="9">
        <v>2021</v>
      </c>
      <c r="I735" s="9">
        <v>1</v>
      </c>
      <c r="J735" s="50">
        <v>9</v>
      </c>
      <c r="K735" s="50">
        <v>34</v>
      </c>
      <c r="L735" s="48" t="s">
        <v>1955</v>
      </c>
      <c r="M735" s="48"/>
      <c r="AJ735" s="47">
        <f t="shared" si="219"/>
        <v>34</v>
      </c>
    </row>
    <row r="736" spans="1:38" s="47" customFormat="1" x14ac:dyDescent="0.35">
      <c r="A736" s="9">
        <v>1</v>
      </c>
      <c r="B736" s="50" t="s">
        <v>82</v>
      </c>
      <c r="C736" s="53">
        <v>43890</v>
      </c>
      <c r="D736" s="53">
        <v>43902</v>
      </c>
      <c r="E736" s="53">
        <v>44011</v>
      </c>
      <c r="F736" s="21">
        <f t="shared" si="221"/>
        <v>109</v>
      </c>
      <c r="G736" s="53">
        <v>43902</v>
      </c>
      <c r="H736" s="9">
        <v>2021</v>
      </c>
      <c r="I736" s="9">
        <v>1</v>
      </c>
      <c r="J736" s="50">
        <v>1</v>
      </c>
      <c r="K736" s="50">
        <v>7</v>
      </c>
      <c r="L736" s="48" t="s">
        <v>1956</v>
      </c>
      <c r="M736" s="48"/>
      <c r="AJ736" s="47">
        <f t="shared" si="219"/>
        <v>7</v>
      </c>
    </row>
    <row r="737" spans="1:38" s="47" customFormat="1" x14ac:dyDescent="0.35">
      <c r="A737" s="9">
        <v>1</v>
      </c>
      <c r="B737" s="50" t="s">
        <v>82</v>
      </c>
      <c r="C737" s="53">
        <v>43890</v>
      </c>
      <c r="D737" s="53">
        <v>43902</v>
      </c>
      <c r="E737" s="53">
        <v>44011</v>
      </c>
      <c r="F737" s="21">
        <f t="shared" si="221"/>
        <v>109</v>
      </c>
      <c r="G737" s="53">
        <v>43902</v>
      </c>
      <c r="H737" s="9">
        <v>2021</v>
      </c>
      <c r="I737" s="9">
        <v>1</v>
      </c>
      <c r="J737" s="50">
        <v>1</v>
      </c>
      <c r="K737" s="50" t="s">
        <v>206</v>
      </c>
      <c r="L737" s="48" t="s">
        <v>1958</v>
      </c>
      <c r="M737" s="48"/>
    </row>
    <row r="738" spans="1:38" s="47" customFormat="1" x14ac:dyDescent="0.35">
      <c r="A738" s="9">
        <v>1</v>
      </c>
      <c r="B738" s="50" t="s">
        <v>82</v>
      </c>
      <c r="C738" s="53">
        <v>43890</v>
      </c>
      <c r="D738" s="53">
        <v>43902</v>
      </c>
      <c r="E738" s="53">
        <v>44011</v>
      </c>
      <c r="F738" s="21">
        <f t="shared" si="221"/>
        <v>109</v>
      </c>
      <c r="G738" s="53">
        <v>43902</v>
      </c>
      <c r="H738" s="9">
        <v>2021</v>
      </c>
      <c r="I738" s="9">
        <v>1</v>
      </c>
      <c r="J738" s="50">
        <v>1</v>
      </c>
      <c r="K738" s="50">
        <v>6</v>
      </c>
      <c r="L738" s="48" t="s">
        <v>1959</v>
      </c>
      <c r="M738" s="48"/>
    </row>
    <row r="739" spans="1:38" s="47" customFormat="1" x14ac:dyDescent="0.35">
      <c r="A739" s="9">
        <v>1</v>
      </c>
      <c r="B739" s="50" t="s">
        <v>82</v>
      </c>
      <c r="C739" s="53">
        <v>43890</v>
      </c>
      <c r="D739" s="53">
        <v>43902</v>
      </c>
      <c r="E739" s="53">
        <v>44011</v>
      </c>
      <c r="F739" s="21">
        <f t="shared" si="221"/>
        <v>109</v>
      </c>
      <c r="G739" s="53">
        <v>43902</v>
      </c>
      <c r="H739" s="9">
        <v>2021</v>
      </c>
      <c r="I739" s="9">
        <v>1</v>
      </c>
      <c r="J739" s="50">
        <v>9</v>
      </c>
      <c r="K739" s="50">
        <v>34</v>
      </c>
      <c r="L739" s="48" t="s">
        <v>1960</v>
      </c>
      <c r="M739" s="48"/>
    </row>
    <row r="740" spans="1:38" s="47" customFormat="1" x14ac:dyDescent="0.35">
      <c r="A740" s="9">
        <v>1</v>
      </c>
      <c r="B740" s="50" t="s">
        <v>82</v>
      </c>
      <c r="C740" s="53">
        <v>43890</v>
      </c>
      <c r="D740" s="53">
        <v>43902</v>
      </c>
      <c r="E740" s="53">
        <v>44011</v>
      </c>
      <c r="F740" s="21">
        <f t="shared" si="221"/>
        <v>109</v>
      </c>
      <c r="G740" s="53">
        <v>43902</v>
      </c>
      <c r="H740" s="9">
        <v>2021</v>
      </c>
      <c r="I740" s="9">
        <v>1</v>
      </c>
      <c r="J740" s="50">
        <v>9</v>
      </c>
      <c r="K740" s="50">
        <v>34</v>
      </c>
      <c r="L740" s="48" t="s">
        <v>1961</v>
      </c>
      <c r="M740" s="48"/>
    </row>
    <row r="741" spans="1:38" s="47" customFormat="1" x14ac:dyDescent="0.35">
      <c r="A741" s="9">
        <v>1</v>
      </c>
      <c r="B741" s="50" t="s">
        <v>82</v>
      </c>
      <c r="C741" s="53">
        <v>43890</v>
      </c>
      <c r="D741" s="53">
        <v>43902</v>
      </c>
      <c r="E741" s="53">
        <v>44011</v>
      </c>
      <c r="F741" s="21">
        <f t="shared" si="221"/>
        <v>109</v>
      </c>
      <c r="G741" s="53">
        <v>43902</v>
      </c>
      <c r="H741" s="9">
        <v>2021</v>
      </c>
      <c r="I741" s="9">
        <v>1</v>
      </c>
      <c r="J741" s="50">
        <v>7</v>
      </c>
      <c r="K741" s="50">
        <v>31</v>
      </c>
      <c r="L741" s="48" t="s">
        <v>1962</v>
      </c>
      <c r="M741" s="48"/>
    </row>
    <row r="742" spans="1:38" s="47" customFormat="1" x14ac:dyDescent="0.35">
      <c r="A742" s="9">
        <v>1</v>
      </c>
      <c r="B742" s="50" t="s">
        <v>82</v>
      </c>
      <c r="C742" s="53">
        <v>43890</v>
      </c>
      <c r="D742" s="53">
        <v>43902</v>
      </c>
      <c r="E742" s="53">
        <v>44011</v>
      </c>
      <c r="F742" s="21">
        <f t="shared" si="221"/>
        <v>109</v>
      </c>
      <c r="G742" s="53">
        <v>43902</v>
      </c>
      <c r="H742" s="9">
        <v>2021</v>
      </c>
      <c r="I742" s="9">
        <v>1</v>
      </c>
      <c r="J742" s="50">
        <v>9</v>
      </c>
      <c r="K742" s="50">
        <v>34</v>
      </c>
      <c r="L742" s="48" t="s">
        <v>1963</v>
      </c>
      <c r="M742" s="48"/>
    </row>
    <row r="743" spans="1:38" s="47" customFormat="1" x14ac:dyDescent="0.35">
      <c r="A743" s="9">
        <v>1</v>
      </c>
      <c r="B743" s="50" t="s">
        <v>82</v>
      </c>
      <c r="C743" s="53">
        <v>43890</v>
      </c>
      <c r="D743" s="53">
        <v>43902</v>
      </c>
      <c r="E743" s="53">
        <v>44011</v>
      </c>
      <c r="F743" s="21">
        <f t="shared" si="221"/>
        <v>109</v>
      </c>
      <c r="G743" s="53">
        <v>43902</v>
      </c>
      <c r="H743" s="9">
        <v>2021</v>
      </c>
      <c r="I743" s="9">
        <v>1</v>
      </c>
      <c r="J743" s="50">
        <v>2</v>
      </c>
      <c r="K743" s="50">
        <v>18</v>
      </c>
      <c r="L743" s="48" t="s">
        <v>1964</v>
      </c>
      <c r="M743" s="48"/>
    </row>
    <row r="744" spans="1:38" s="47" customFormat="1" x14ac:dyDescent="0.35">
      <c r="A744" s="9">
        <v>1</v>
      </c>
      <c r="B744" s="50" t="s">
        <v>82</v>
      </c>
      <c r="C744" s="53">
        <v>43890</v>
      </c>
      <c r="D744" s="53">
        <v>43902</v>
      </c>
      <c r="E744" s="53">
        <v>44011</v>
      </c>
      <c r="F744" s="21">
        <f t="shared" si="221"/>
        <v>109</v>
      </c>
      <c r="G744" s="53">
        <v>43902</v>
      </c>
      <c r="H744" s="9">
        <v>2021</v>
      </c>
      <c r="I744" s="9">
        <v>1</v>
      </c>
      <c r="J744" s="50">
        <v>6</v>
      </c>
      <c r="K744" s="50">
        <v>27</v>
      </c>
      <c r="L744" s="48" t="s">
        <v>1965</v>
      </c>
      <c r="M744" s="48"/>
    </row>
    <row r="745" spans="1:38" s="47" customFormat="1" x14ac:dyDescent="0.35">
      <c r="A745" s="9">
        <v>1</v>
      </c>
      <c r="B745" s="50" t="s">
        <v>82</v>
      </c>
      <c r="C745" s="53">
        <v>43890</v>
      </c>
      <c r="D745" s="53">
        <v>43902</v>
      </c>
      <c r="E745" s="53">
        <v>44011</v>
      </c>
      <c r="F745" s="21">
        <f t="shared" si="221"/>
        <v>109</v>
      </c>
      <c r="G745" s="53">
        <v>43902</v>
      </c>
      <c r="H745" s="9">
        <v>2021</v>
      </c>
      <c r="I745" s="9">
        <v>1</v>
      </c>
      <c r="J745" s="50">
        <v>7</v>
      </c>
      <c r="K745" s="50">
        <v>30</v>
      </c>
      <c r="L745" s="49" t="s">
        <v>1966</v>
      </c>
      <c r="M745" s="48"/>
    </row>
    <row r="746" spans="1:38" x14ac:dyDescent="0.35">
      <c r="A746" s="50">
        <v>0</v>
      </c>
      <c r="B746" s="9" t="s">
        <v>86</v>
      </c>
      <c r="C746" s="53">
        <v>43882</v>
      </c>
      <c r="D746" s="53">
        <v>43909</v>
      </c>
      <c r="E746" s="53">
        <v>43958</v>
      </c>
      <c r="F746" s="21">
        <f t="shared" si="208"/>
        <v>49</v>
      </c>
      <c r="G746" s="53">
        <v>43909</v>
      </c>
      <c r="H746" s="9">
        <v>2020</v>
      </c>
      <c r="I746" s="50">
        <v>0</v>
      </c>
      <c r="J746" s="9">
        <v>6</v>
      </c>
      <c r="K746" s="9">
        <v>26</v>
      </c>
      <c r="L746" s="50" t="s">
        <v>609</v>
      </c>
      <c r="M746">
        <v>1</v>
      </c>
      <c r="N746">
        <v>1</v>
      </c>
      <c r="O746">
        <v>2</v>
      </c>
      <c r="P746">
        <v>-1</v>
      </c>
      <c r="Q746">
        <v>-2</v>
      </c>
      <c r="R746">
        <v>2</v>
      </c>
      <c r="S746">
        <v>1</v>
      </c>
      <c r="T746">
        <v>2</v>
      </c>
      <c r="U746">
        <v>1</v>
      </c>
      <c r="V746" t="s">
        <v>970</v>
      </c>
      <c r="W746" t="s">
        <v>993</v>
      </c>
      <c r="X746" t="s">
        <v>997</v>
      </c>
      <c r="Y746" t="s">
        <v>1000</v>
      </c>
      <c r="Z746">
        <v>0</v>
      </c>
      <c r="AA746">
        <f t="shared" ref="AA746:AA754" si="222">IF(M746&gt;0,1,IF(M746&lt;0,0,-1))</f>
        <v>1</v>
      </c>
      <c r="AB746">
        <f t="shared" ref="AB746:AB754" si="223">IF(N746&gt;0,1,IF(N746&lt;0,0,-1))</f>
        <v>1</v>
      </c>
      <c r="AC746">
        <f t="shared" ref="AC746:AC754" si="224">IF(O746&gt;0,1,IF(O746&lt;0,0,-1))</f>
        <v>1</v>
      </c>
      <c r="AD746">
        <f t="shared" ref="AD746:AD754" si="225">IF(P746&gt;0,1,IF(P746&lt;0,0,-1))</f>
        <v>0</v>
      </c>
      <c r="AE746">
        <f t="shared" ref="AE746:AE754" si="226">IF(Q746&gt;0,1,IF(Q746&lt;0,0,-1))</f>
        <v>0</v>
      </c>
      <c r="AF746">
        <f t="shared" ref="AF746:AF754" si="227">IF(R746&gt;0,1,IF(R746&lt;0,0,-1))</f>
        <v>1</v>
      </c>
      <c r="AG746">
        <f t="shared" ref="AG746:AG754" si="228">IF(S746&gt;0,1,IF(S746&lt;0,0,-1))</f>
        <v>1</v>
      </c>
      <c r="AH746">
        <f t="shared" ref="AH746:AH754" si="229">IF(T746&gt;0,1,IF(T746&lt;0,0,-1))</f>
        <v>1</v>
      </c>
      <c r="AI746">
        <f t="shared" ref="AI746:AI754" si="230">IF(U746&gt;0,1,IF(U746&lt;0,0,-1))</f>
        <v>1</v>
      </c>
      <c r="AJ746" s="9">
        <f t="shared" si="219"/>
        <v>26</v>
      </c>
      <c r="AK746" t="e">
        <f>IF(B746&lt;&gt;#REF!,1,0)</f>
        <v>#REF!</v>
      </c>
      <c r="AL746" s="9">
        <v>1</v>
      </c>
    </row>
    <row r="747" spans="1:38" x14ac:dyDescent="0.35">
      <c r="A747" s="50">
        <v>0</v>
      </c>
      <c r="B747" s="9" t="s">
        <v>86</v>
      </c>
      <c r="C747" s="53">
        <v>43882</v>
      </c>
      <c r="D747" s="53">
        <v>43909</v>
      </c>
      <c r="E747" s="53">
        <v>43958</v>
      </c>
      <c r="F747" s="21">
        <f t="shared" si="208"/>
        <v>49</v>
      </c>
      <c r="G747" s="53">
        <v>43909</v>
      </c>
      <c r="H747" s="9">
        <v>2020</v>
      </c>
      <c r="I747" s="50">
        <v>0</v>
      </c>
      <c r="J747" s="9">
        <v>1</v>
      </c>
      <c r="K747" s="9">
        <v>6</v>
      </c>
      <c r="L747" s="50" t="s">
        <v>605</v>
      </c>
      <c r="M747">
        <v>-2</v>
      </c>
      <c r="N747">
        <v>2</v>
      </c>
      <c r="O747">
        <v>2</v>
      </c>
      <c r="P747">
        <v>2</v>
      </c>
      <c r="Q747">
        <v>2</v>
      </c>
      <c r="R747">
        <v>2</v>
      </c>
      <c r="S747">
        <v>1</v>
      </c>
      <c r="T747">
        <v>2</v>
      </c>
      <c r="U747">
        <v>1</v>
      </c>
      <c r="V747" t="s">
        <v>970</v>
      </c>
      <c r="W747" t="s">
        <v>993</v>
      </c>
      <c r="X747" t="s">
        <v>997</v>
      </c>
      <c r="Y747" t="s">
        <v>1000</v>
      </c>
      <c r="Z747">
        <v>0</v>
      </c>
      <c r="AA747">
        <f t="shared" si="222"/>
        <v>0</v>
      </c>
      <c r="AB747">
        <f t="shared" si="223"/>
        <v>1</v>
      </c>
      <c r="AC747">
        <f t="shared" si="224"/>
        <v>1</v>
      </c>
      <c r="AD747">
        <f t="shared" si="225"/>
        <v>1</v>
      </c>
      <c r="AE747">
        <f t="shared" si="226"/>
        <v>1</v>
      </c>
      <c r="AF747">
        <f t="shared" si="227"/>
        <v>1</v>
      </c>
      <c r="AG747">
        <f t="shared" si="228"/>
        <v>1</v>
      </c>
      <c r="AH747">
        <f t="shared" si="229"/>
        <v>1</v>
      </c>
      <c r="AI747">
        <f t="shared" si="230"/>
        <v>1</v>
      </c>
      <c r="AJ747" s="9">
        <f t="shared" si="219"/>
        <v>6</v>
      </c>
      <c r="AK747">
        <f>IF(B747&lt;&gt;B746,1,0)</f>
        <v>0</v>
      </c>
      <c r="AL747" s="9">
        <v>1</v>
      </c>
    </row>
    <row r="748" spans="1:38" x14ac:dyDescent="0.35">
      <c r="A748" s="50">
        <v>0</v>
      </c>
      <c r="B748" s="9" t="s">
        <v>86</v>
      </c>
      <c r="C748" s="53">
        <v>43882</v>
      </c>
      <c r="D748" s="53">
        <v>43909</v>
      </c>
      <c r="E748" s="53">
        <v>43958</v>
      </c>
      <c r="F748" s="21">
        <f t="shared" si="208"/>
        <v>49</v>
      </c>
      <c r="G748" s="53">
        <v>43909</v>
      </c>
      <c r="H748" s="9">
        <v>2020</v>
      </c>
      <c r="I748" s="50">
        <v>0</v>
      </c>
      <c r="J748" s="9">
        <v>6</v>
      </c>
      <c r="K748" s="9">
        <v>26</v>
      </c>
      <c r="L748" s="50" t="s">
        <v>607</v>
      </c>
      <c r="M748">
        <v>1</v>
      </c>
      <c r="N748">
        <v>1</v>
      </c>
      <c r="O748">
        <v>2</v>
      </c>
      <c r="P748">
        <v>-1</v>
      </c>
      <c r="Q748">
        <v>2</v>
      </c>
      <c r="R748">
        <v>2</v>
      </c>
      <c r="S748">
        <v>1</v>
      </c>
      <c r="T748">
        <v>2</v>
      </c>
      <c r="U748">
        <v>1</v>
      </c>
      <c r="V748" t="s">
        <v>970</v>
      </c>
      <c r="W748" t="s">
        <v>993</v>
      </c>
      <c r="X748" t="s">
        <v>997</v>
      </c>
      <c r="Y748" t="s">
        <v>1000</v>
      </c>
      <c r="Z748">
        <v>0</v>
      </c>
      <c r="AA748">
        <f t="shared" si="222"/>
        <v>1</v>
      </c>
      <c r="AB748">
        <f t="shared" si="223"/>
        <v>1</v>
      </c>
      <c r="AC748">
        <f t="shared" si="224"/>
        <v>1</v>
      </c>
      <c r="AD748">
        <f t="shared" si="225"/>
        <v>0</v>
      </c>
      <c r="AE748">
        <f t="shared" si="226"/>
        <v>1</v>
      </c>
      <c r="AF748">
        <f t="shared" si="227"/>
        <v>1</v>
      </c>
      <c r="AG748">
        <f t="shared" si="228"/>
        <v>1</v>
      </c>
      <c r="AH748">
        <f t="shared" si="229"/>
        <v>1</v>
      </c>
      <c r="AI748">
        <f t="shared" si="230"/>
        <v>1</v>
      </c>
      <c r="AJ748" s="9">
        <f t="shared" si="219"/>
        <v>26</v>
      </c>
      <c r="AK748" t="e">
        <f>IF(B748&lt;&gt;#REF!,1,0)</f>
        <v>#REF!</v>
      </c>
      <c r="AL748" s="9">
        <v>1</v>
      </c>
    </row>
    <row r="749" spans="1:38" x14ac:dyDescent="0.35">
      <c r="A749" s="50">
        <v>0</v>
      </c>
      <c r="B749" s="9" t="s">
        <v>86</v>
      </c>
      <c r="C749" s="53">
        <v>43882</v>
      </c>
      <c r="D749" s="53">
        <v>43909</v>
      </c>
      <c r="E749" s="53">
        <v>43958</v>
      </c>
      <c r="F749" s="21">
        <f t="shared" si="208"/>
        <v>49</v>
      </c>
      <c r="G749" s="53">
        <v>43909</v>
      </c>
      <c r="H749" s="9">
        <v>2020</v>
      </c>
      <c r="I749" s="50">
        <v>0</v>
      </c>
      <c r="J749" s="9">
        <v>6</v>
      </c>
      <c r="K749" s="9">
        <v>29</v>
      </c>
      <c r="L749" s="50" t="s">
        <v>604</v>
      </c>
      <c r="M749">
        <v>2</v>
      </c>
      <c r="N749">
        <v>1</v>
      </c>
      <c r="O749">
        <v>2</v>
      </c>
      <c r="P749">
        <v>-1</v>
      </c>
      <c r="Q749">
        <v>2</v>
      </c>
      <c r="R749">
        <v>-2</v>
      </c>
      <c r="S749">
        <v>1</v>
      </c>
      <c r="T749">
        <v>2</v>
      </c>
      <c r="U749">
        <v>1</v>
      </c>
      <c r="V749" t="s">
        <v>970</v>
      </c>
      <c r="W749" t="s">
        <v>993</v>
      </c>
      <c r="X749" t="s">
        <v>997</v>
      </c>
      <c r="Y749" t="s">
        <v>1000</v>
      </c>
      <c r="Z749">
        <v>0</v>
      </c>
      <c r="AA749">
        <f t="shared" si="222"/>
        <v>1</v>
      </c>
      <c r="AB749">
        <f t="shared" si="223"/>
        <v>1</v>
      </c>
      <c r="AC749">
        <f t="shared" si="224"/>
        <v>1</v>
      </c>
      <c r="AD749">
        <f t="shared" si="225"/>
        <v>0</v>
      </c>
      <c r="AE749">
        <f t="shared" si="226"/>
        <v>1</v>
      </c>
      <c r="AF749">
        <f t="shared" si="227"/>
        <v>0</v>
      </c>
      <c r="AG749">
        <f t="shared" si="228"/>
        <v>1</v>
      </c>
      <c r="AH749">
        <f t="shared" si="229"/>
        <v>1</v>
      </c>
      <c r="AI749">
        <f t="shared" si="230"/>
        <v>1</v>
      </c>
      <c r="AJ749" s="9">
        <f t="shared" ref="AJ749:AJ818" si="231">IF(ISNUMBER(K749),K749,IF(OR(K749="general",K749="23;general"),"General",IF(OR(K749="exemption",K749="other (exemption)"),"Tax exemption/waiver/suspension","Other")))</f>
        <v>29</v>
      </c>
      <c r="AK749">
        <f t="shared" ref="AK749:AK818" si="232">IF(B749&lt;&gt;B748,1,0)</f>
        <v>0</v>
      </c>
      <c r="AL749" s="9">
        <v>1</v>
      </c>
    </row>
    <row r="750" spans="1:38" x14ac:dyDescent="0.35">
      <c r="A750" s="50">
        <v>0</v>
      </c>
      <c r="B750" s="9" t="s">
        <v>86</v>
      </c>
      <c r="C750" s="53">
        <v>43882</v>
      </c>
      <c r="D750" s="53">
        <v>43909</v>
      </c>
      <c r="E750" s="53">
        <v>43958</v>
      </c>
      <c r="F750" s="21">
        <f t="shared" si="208"/>
        <v>49</v>
      </c>
      <c r="G750" s="53">
        <v>43909</v>
      </c>
      <c r="H750" s="9">
        <v>2020</v>
      </c>
      <c r="I750" s="50">
        <v>0</v>
      </c>
      <c r="J750" s="9">
        <v>6</v>
      </c>
      <c r="K750" s="9">
        <v>26</v>
      </c>
      <c r="L750" s="50" t="s">
        <v>611</v>
      </c>
      <c r="M750">
        <v>1</v>
      </c>
      <c r="N750">
        <v>1</v>
      </c>
      <c r="O750">
        <v>2</v>
      </c>
      <c r="P750">
        <v>-1</v>
      </c>
      <c r="Q750">
        <v>-2</v>
      </c>
      <c r="R750">
        <v>-2</v>
      </c>
      <c r="S750">
        <v>1</v>
      </c>
      <c r="T750">
        <v>2</v>
      </c>
      <c r="U750">
        <v>1</v>
      </c>
      <c r="V750" t="s">
        <v>970</v>
      </c>
      <c r="W750" t="s">
        <v>993</v>
      </c>
      <c r="X750" t="s">
        <v>997</v>
      </c>
      <c r="Y750" t="s">
        <v>1000</v>
      </c>
      <c r="Z750">
        <v>0</v>
      </c>
      <c r="AA750">
        <f t="shared" si="222"/>
        <v>1</v>
      </c>
      <c r="AB750">
        <f t="shared" si="223"/>
        <v>1</v>
      </c>
      <c r="AC750">
        <f t="shared" si="224"/>
        <v>1</v>
      </c>
      <c r="AD750">
        <f t="shared" si="225"/>
        <v>0</v>
      </c>
      <c r="AE750">
        <f t="shared" si="226"/>
        <v>0</v>
      </c>
      <c r="AF750">
        <f t="shared" si="227"/>
        <v>0</v>
      </c>
      <c r="AG750">
        <f t="shared" si="228"/>
        <v>1</v>
      </c>
      <c r="AH750">
        <f t="shared" si="229"/>
        <v>1</v>
      </c>
      <c r="AI750">
        <f t="shared" si="230"/>
        <v>1</v>
      </c>
      <c r="AJ750" s="9">
        <f t="shared" si="231"/>
        <v>26</v>
      </c>
      <c r="AK750">
        <f t="shared" si="232"/>
        <v>0</v>
      </c>
      <c r="AL750" s="9">
        <v>1</v>
      </c>
    </row>
    <row r="751" spans="1:38" x14ac:dyDescent="0.35">
      <c r="A751" s="50">
        <v>0</v>
      </c>
      <c r="B751" s="9" t="s">
        <v>86</v>
      </c>
      <c r="C751" s="53">
        <v>43882</v>
      </c>
      <c r="D751" s="53">
        <v>43909</v>
      </c>
      <c r="E751" s="53">
        <v>43958</v>
      </c>
      <c r="F751" s="21">
        <f t="shared" si="208"/>
        <v>49</v>
      </c>
      <c r="G751" s="53">
        <v>43909</v>
      </c>
      <c r="H751" s="9">
        <v>2020</v>
      </c>
      <c r="I751" s="50">
        <v>0</v>
      </c>
      <c r="J751" s="9">
        <v>7</v>
      </c>
      <c r="K751" s="9">
        <v>30</v>
      </c>
      <c r="L751" s="50" t="s">
        <v>606</v>
      </c>
      <c r="M751">
        <v>1</v>
      </c>
      <c r="N751">
        <v>1</v>
      </c>
      <c r="O751">
        <v>2</v>
      </c>
      <c r="P751">
        <v>1</v>
      </c>
      <c r="Q751">
        <v>-2</v>
      </c>
      <c r="R751">
        <v>2</v>
      </c>
      <c r="S751">
        <v>1</v>
      </c>
      <c r="T751">
        <v>-2</v>
      </c>
      <c r="U751">
        <v>1</v>
      </c>
      <c r="V751" t="s">
        <v>970</v>
      </c>
      <c r="W751" t="s">
        <v>993</v>
      </c>
      <c r="X751" t="s">
        <v>997</v>
      </c>
      <c r="Y751" t="s">
        <v>1000</v>
      </c>
      <c r="Z751">
        <v>0</v>
      </c>
      <c r="AA751">
        <f t="shared" si="222"/>
        <v>1</v>
      </c>
      <c r="AB751">
        <f t="shared" si="223"/>
        <v>1</v>
      </c>
      <c r="AC751">
        <f t="shared" si="224"/>
        <v>1</v>
      </c>
      <c r="AD751">
        <f t="shared" si="225"/>
        <v>1</v>
      </c>
      <c r="AE751">
        <f t="shared" si="226"/>
        <v>0</v>
      </c>
      <c r="AF751">
        <f t="shared" si="227"/>
        <v>1</v>
      </c>
      <c r="AG751">
        <f t="shared" si="228"/>
        <v>1</v>
      </c>
      <c r="AH751">
        <f t="shared" si="229"/>
        <v>0</v>
      </c>
      <c r="AI751">
        <f t="shared" si="230"/>
        <v>1</v>
      </c>
      <c r="AJ751" s="9">
        <f t="shared" si="231"/>
        <v>30</v>
      </c>
      <c r="AK751">
        <f t="shared" si="232"/>
        <v>0</v>
      </c>
      <c r="AL751" s="9">
        <v>1</v>
      </c>
    </row>
    <row r="752" spans="1:38" x14ac:dyDescent="0.35">
      <c r="A752" s="50">
        <v>0</v>
      </c>
      <c r="B752" s="9" t="s">
        <v>86</v>
      </c>
      <c r="C752" s="53">
        <v>43882</v>
      </c>
      <c r="D752" s="53">
        <v>43909</v>
      </c>
      <c r="E752" s="53">
        <v>43958</v>
      </c>
      <c r="F752" s="21">
        <f t="shared" si="208"/>
        <v>49</v>
      </c>
      <c r="G752" s="53">
        <v>43909</v>
      </c>
      <c r="H752" s="9">
        <v>2020</v>
      </c>
      <c r="I752" s="50">
        <v>0</v>
      </c>
      <c r="J752" s="9">
        <v>2</v>
      </c>
      <c r="K752" s="9">
        <v>14</v>
      </c>
      <c r="L752" s="50" t="s">
        <v>603</v>
      </c>
      <c r="M752">
        <v>-2</v>
      </c>
      <c r="N752">
        <v>2</v>
      </c>
      <c r="O752">
        <v>2</v>
      </c>
      <c r="P752">
        <v>2</v>
      </c>
      <c r="Q752">
        <v>2</v>
      </c>
      <c r="R752">
        <v>2</v>
      </c>
      <c r="S752">
        <v>1</v>
      </c>
      <c r="T752">
        <v>2</v>
      </c>
      <c r="U752">
        <v>1</v>
      </c>
      <c r="V752" t="s">
        <v>970</v>
      </c>
      <c r="W752" t="s">
        <v>993</v>
      </c>
      <c r="X752" t="s">
        <v>997</v>
      </c>
      <c r="Y752" t="s">
        <v>1000</v>
      </c>
      <c r="Z752">
        <v>0</v>
      </c>
      <c r="AA752">
        <f t="shared" si="222"/>
        <v>0</v>
      </c>
      <c r="AB752">
        <f t="shared" si="223"/>
        <v>1</v>
      </c>
      <c r="AC752">
        <f t="shared" si="224"/>
        <v>1</v>
      </c>
      <c r="AD752">
        <f t="shared" si="225"/>
        <v>1</v>
      </c>
      <c r="AE752">
        <f t="shared" si="226"/>
        <v>1</v>
      </c>
      <c r="AF752">
        <f t="shared" si="227"/>
        <v>1</v>
      </c>
      <c r="AG752">
        <f t="shared" si="228"/>
        <v>1</v>
      </c>
      <c r="AH752">
        <f t="shared" si="229"/>
        <v>1</v>
      </c>
      <c r="AI752">
        <f t="shared" si="230"/>
        <v>1</v>
      </c>
      <c r="AJ752" s="9">
        <f t="shared" si="231"/>
        <v>14</v>
      </c>
      <c r="AK752">
        <f t="shared" si="232"/>
        <v>0</v>
      </c>
      <c r="AL752" s="9">
        <v>1</v>
      </c>
    </row>
    <row r="753" spans="1:38" x14ac:dyDescent="0.35">
      <c r="A753" s="50">
        <v>0</v>
      </c>
      <c r="B753" s="9" t="s">
        <v>86</v>
      </c>
      <c r="C753" s="53">
        <v>43882</v>
      </c>
      <c r="D753" s="53">
        <v>43909</v>
      </c>
      <c r="E753" s="53">
        <v>43958</v>
      </c>
      <c r="F753" s="21">
        <f t="shared" si="208"/>
        <v>49</v>
      </c>
      <c r="G753" s="53">
        <v>43909</v>
      </c>
      <c r="H753" s="9">
        <v>2020</v>
      </c>
      <c r="I753" s="50">
        <v>0</v>
      </c>
      <c r="J753" s="9">
        <v>7</v>
      </c>
      <c r="K753" s="9">
        <v>31</v>
      </c>
      <c r="L753" s="50" t="s">
        <v>608</v>
      </c>
      <c r="M753">
        <v>2</v>
      </c>
      <c r="N753">
        <v>1</v>
      </c>
      <c r="O753">
        <v>2</v>
      </c>
      <c r="P753">
        <v>-1</v>
      </c>
      <c r="Q753">
        <v>2</v>
      </c>
      <c r="R753">
        <v>1</v>
      </c>
      <c r="S753">
        <v>1</v>
      </c>
      <c r="T753">
        <v>2</v>
      </c>
      <c r="U753">
        <v>1</v>
      </c>
      <c r="V753" t="s">
        <v>970</v>
      </c>
      <c r="W753" t="s">
        <v>993</v>
      </c>
      <c r="X753" t="s">
        <v>997</v>
      </c>
      <c r="Y753" t="s">
        <v>1000</v>
      </c>
      <c r="Z753">
        <v>0</v>
      </c>
      <c r="AA753">
        <f t="shared" si="222"/>
        <v>1</v>
      </c>
      <c r="AB753">
        <f t="shared" si="223"/>
        <v>1</v>
      </c>
      <c r="AC753">
        <f t="shared" si="224"/>
        <v>1</v>
      </c>
      <c r="AD753">
        <f t="shared" si="225"/>
        <v>0</v>
      </c>
      <c r="AE753">
        <f t="shared" si="226"/>
        <v>1</v>
      </c>
      <c r="AF753">
        <f t="shared" si="227"/>
        <v>1</v>
      </c>
      <c r="AG753">
        <f t="shared" si="228"/>
        <v>1</v>
      </c>
      <c r="AH753">
        <f t="shared" si="229"/>
        <v>1</v>
      </c>
      <c r="AI753">
        <f t="shared" si="230"/>
        <v>1</v>
      </c>
      <c r="AJ753" s="9">
        <f t="shared" si="231"/>
        <v>31</v>
      </c>
      <c r="AK753">
        <f t="shared" si="232"/>
        <v>0</v>
      </c>
      <c r="AL753" s="9">
        <v>1</v>
      </c>
    </row>
    <row r="754" spans="1:38" x14ac:dyDescent="0.35">
      <c r="A754" s="50">
        <v>0</v>
      </c>
      <c r="B754" s="9" t="s">
        <v>86</v>
      </c>
      <c r="C754" s="53">
        <v>43882</v>
      </c>
      <c r="D754" s="53">
        <v>43909</v>
      </c>
      <c r="E754" s="53">
        <v>43958</v>
      </c>
      <c r="F754" s="21">
        <f t="shared" si="208"/>
        <v>49</v>
      </c>
      <c r="G754" s="53">
        <v>43909</v>
      </c>
      <c r="H754" s="9">
        <v>2020</v>
      </c>
      <c r="I754" s="50">
        <v>0</v>
      </c>
      <c r="J754" s="9">
        <v>1</v>
      </c>
      <c r="K754" s="9">
        <v>6</v>
      </c>
      <c r="L754" s="50" t="s">
        <v>610</v>
      </c>
      <c r="M754">
        <v>-2</v>
      </c>
      <c r="N754">
        <v>2</v>
      </c>
      <c r="O754">
        <v>2</v>
      </c>
      <c r="P754">
        <v>2</v>
      </c>
      <c r="Q754">
        <v>2</v>
      </c>
      <c r="R754">
        <v>2</v>
      </c>
      <c r="S754">
        <v>1</v>
      </c>
      <c r="T754">
        <v>2</v>
      </c>
      <c r="U754">
        <v>1</v>
      </c>
      <c r="V754" t="s">
        <v>970</v>
      </c>
      <c r="W754" t="s">
        <v>993</v>
      </c>
      <c r="X754" t="s">
        <v>997</v>
      </c>
      <c r="Y754" t="s">
        <v>1000</v>
      </c>
      <c r="Z754">
        <v>0</v>
      </c>
      <c r="AA754">
        <f t="shared" si="222"/>
        <v>0</v>
      </c>
      <c r="AB754">
        <f t="shared" si="223"/>
        <v>1</v>
      </c>
      <c r="AC754">
        <f t="shared" si="224"/>
        <v>1</v>
      </c>
      <c r="AD754">
        <f t="shared" si="225"/>
        <v>1</v>
      </c>
      <c r="AE754">
        <f t="shared" si="226"/>
        <v>1</v>
      </c>
      <c r="AF754">
        <f t="shared" si="227"/>
        <v>1</v>
      </c>
      <c r="AG754">
        <f t="shared" si="228"/>
        <v>1</v>
      </c>
      <c r="AH754">
        <f t="shared" si="229"/>
        <v>1</v>
      </c>
      <c r="AI754">
        <f t="shared" si="230"/>
        <v>1</v>
      </c>
      <c r="AJ754" s="9">
        <f t="shared" si="231"/>
        <v>6</v>
      </c>
      <c r="AK754">
        <f t="shared" si="232"/>
        <v>0</v>
      </c>
      <c r="AL754" s="9">
        <v>0</v>
      </c>
    </row>
    <row r="755" spans="1:38" x14ac:dyDescent="0.35">
      <c r="A755" s="50">
        <v>0</v>
      </c>
      <c r="B755" s="50" t="s">
        <v>86</v>
      </c>
      <c r="C755" s="53">
        <v>43882</v>
      </c>
      <c r="D755" s="53">
        <v>43909</v>
      </c>
      <c r="E755" s="53">
        <v>43958</v>
      </c>
      <c r="F755" s="21">
        <f t="shared" si="208"/>
        <v>49</v>
      </c>
      <c r="G755" s="53">
        <v>43909</v>
      </c>
      <c r="H755" s="9">
        <v>2020</v>
      </c>
      <c r="I755" s="50">
        <v>0</v>
      </c>
      <c r="J755" s="50">
        <v>7</v>
      </c>
      <c r="K755" s="50">
        <v>31</v>
      </c>
      <c r="L755" s="24" t="s">
        <v>1713</v>
      </c>
      <c r="M755" s="24"/>
      <c r="V755" t="s">
        <v>970</v>
      </c>
      <c r="W755" t="s">
        <v>993</v>
      </c>
      <c r="X755" t="s">
        <v>997</v>
      </c>
      <c r="Y755" t="s">
        <v>1000</v>
      </c>
      <c r="Z755">
        <v>0</v>
      </c>
      <c r="AA755">
        <v>-1</v>
      </c>
      <c r="AB755">
        <v>-1</v>
      </c>
      <c r="AC755">
        <v>-1</v>
      </c>
      <c r="AD755">
        <v>-1</v>
      </c>
      <c r="AE755">
        <v>-1</v>
      </c>
      <c r="AF755">
        <v>-1</v>
      </c>
      <c r="AG755">
        <v>-1</v>
      </c>
      <c r="AH755">
        <v>-1</v>
      </c>
      <c r="AI755">
        <v>-1</v>
      </c>
      <c r="AJ755" s="9">
        <f t="shared" si="231"/>
        <v>31</v>
      </c>
      <c r="AK755">
        <f t="shared" si="232"/>
        <v>0</v>
      </c>
      <c r="AL755" s="9">
        <v>0</v>
      </c>
    </row>
    <row r="756" spans="1:38" x14ac:dyDescent="0.35">
      <c r="A756" s="50">
        <v>0</v>
      </c>
      <c r="B756" s="50" t="s">
        <v>86</v>
      </c>
      <c r="C756" s="53">
        <v>43882</v>
      </c>
      <c r="D756" s="53">
        <v>43909</v>
      </c>
      <c r="E756" s="53">
        <v>43958</v>
      </c>
      <c r="F756" s="21">
        <f t="shared" si="208"/>
        <v>49</v>
      </c>
      <c r="G756" s="53">
        <v>43909</v>
      </c>
      <c r="H756" s="9">
        <v>2020</v>
      </c>
      <c r="I756" s="50">
        <v>0</v>
      </c>
      <c r="J756" s="50">
        <v>6</v>
      </c>
      <c r="K756" s="50">
        <v>28</v>
      </c>
      <c r="L756" s="24" t="s">
        <v>1456</v>
      </c>
      <c r="M756" s="24"/>
      <c r="V756" t="s">
        <v>970</v>
      </c>
      <c r="W756" t="s">
        <v>993</v>
      </c>
      <c r="X756" t="s">
        <v>997</v>
      </c>
      <c r="Y756" t="s">
        <v>1000</v>
      </c>
      <c r="Z756">
        <v>0</v>
      </c>
      <c r="AA756">
        <v>-1</v>
      </c>
      <c r="AB756">
        <v>-1</v>
      </c>
      <c r="AC756">
        <v>-1</v>
      </c>
      <c r="AD756">
        <v>-1</v>
      </c>
      <c r="AE756">
        <v>-1</v>
      </c>
      <c r="AF756">
        <v>-1</v>
      </c>
      <c r="AG756">
        <v>-1</v>
      </c>
      <c r="AH756">
        <v>-1</v>
      </c>
      <c r="AI756">
        <v>-1</v>
      </c>
      <c r="AJ756" s="9">
        <f t="shared" si="231"/>
        <v>28</v>
      </c>
      <c r="AK756">
        <f t="shared" si="232"/>
        <v>0</v>
      </c>
      <c r="AL756" s="9">
        <v>0</v>
      </c>
    </row>
    <row r="757" spans="1:38" x14ac:dyDescent="0.35">
      <c r="A757" s="50">
        <v>0</v>
      </c>
      <c r="B757" s="50" t="s">
        <v>86</v>
      </c>
      <c r="C757" s="53">
        <v>43882</v>
      </c>
      <c r="D757" s="53">
        <v>43909</v>
      </c>
      <c r="E757" s="53">
        <v>43958</v>
      </c>
      <c r="F757" s="21">
        <f t="shared" si="208"/>
        <v>49</v>
      </c>
      <c r="G757" s="53">
        <v>43909</v>
      </c>
      <c r="H757" s="9">
        <v>2020</v>
      </c>
      <c r="I757" s="50">
        <v>0</v>
      </c>
      <c r="J757" s="50">
        <v>9</v>
      </c>
      <c r="K757" s="50">
        <v>34</v>
      </c>
      <c r="L757" s="24" t="s">
        <v>1457</v>
      </c>
      <c r="M757" s="24"/>
      <c r="V757" t="s">
        <v>970</v>
      </c>
      <c r="W757" t="s">
        <v>993</v>
      </c>
      <c r="X757" t="s">
        <v>997</v>
      </c>
      <c r="Y757" t="s">
        <v>1000</v>
      </c>
      <c r="Z757">
        <v>0</v>
      </c>
      <c r="AA757">
        <v>-1</v>
      </c>
      <c r="AB757">
        <v>-1</v>
      </c>
      <c r="AC757">
        <v>-1</v>
      </c>
      <c r="AD757">
        <v>-1</v>
      </c>
      <c r="AE757">
        <v>-1</v>
      </c>
      <c r="AF757">
        <v>-1</v>
      </c>
      <c r="AG757">
        <v>-1</v>
      </c>
      <c r="AH757">
        <v>-1</v>
      </c>
      <c r="AI757">
        <v>-1</v>
      </c>
      <c r="AJ757" s="9">
        <f t="shared" si="231"/>
        <v>34</v>
      </c>
      <c r="AK757">
        <f t="shared" si="232"/>
        <v>0</v>
      </c>
      <c r="AL757" s="9">
        <v>0</v>
      </c>
    </row>
    <row r="758" spans="1:38" x14ac:dyDescent="0.35">
      <c r="A758" s="50">
        <v>0</v>
      </c>
      <c r="B758" s="50" t="s">
        <v>86</v>
      </c>
      <c r="C758" s="53">
        <v>43882</v>
      </c>
      <c r="D758" s="53">
        <v>43909</v>
      </c>
      <c r="E758" s="53">
        <v>43958</v>
      </c>
      <c r="F758" s="21">
        <f t="shared" si="208"/>
        <v>49</v>
      </c>
      <c r="G758" s="53">
        <v>43909</v>
      </c>
      <c r="H758" s="9">
        <v>2020</v>
      </c>
      <c r="I758" s="50">
        <v>0</v>
      </c>
      <c r="J758" s="50">
        <v>1</v>
      </c>
      <c r="K758" s="50">
        <v>9</v>
      </c>
      <c r="L758" s="24" t="s">
        <v>1458</v>
      </c>
      <c r="M758" s="24"/>
      <c r="V758" t="s">
        <v>970</v>
      </c>
      <c r="W758" t="s">
        <v>993</v>
      </c>
      <c r="X758" t="s">
        <v>997</v>
      </c>
      <c r="Y758" t="s">
        <v>1000</v>
      </c>
      <c r="Z758">
        <v>0</v>
      </c>
      <c r="AA758">
        <v>-1</v>
      </c>
      <c r="AB758">
        <v>-1</v>
      </c>
      <c r="AC758">
        <v>-1</v>
      </c>
      <c r="AD758">
        <v>-1</v>
      </c>
      <c r="AE758">
        <v>-1</v>
      </c>
      <c r="AF758">
        <v>-1</v>
      </c>
      <c r="AG758">
        <v>-1</v>
      </c>
      <c r="AH758">
        <v>-1</v>
      </c>
      <c r="AI758">
        <v>-1</v>
      </c>
      <c r="AJ758" s="9">
        <f t="shared" si="231"/>
        <v>9</v>
      </c>
      <c r="AK758" t="e">
        <f>IF(B758&lt;&gt;#REF!,1,0)</f>
        <v>#REF!</v>
      </c>
      <c r="AL758" s="9">
        <v>0</v>
      </c>
    </row>
    <row r="759" spans="1:38" x14ac:dyDescent="0.35">
      <c r="A759" s="50">
        <v>0</v>
      </c>
      <c r="B759" s="50" t="s">
        <v>86</v>
      </c>
      <c r="C759" s="53">
        <v>43882</v>
      </c>
      <c r="D759" s="53">
        <v>43909</v>
      </c>
      <c r="E759" s="53">
        <v>43958</v>
      </c>
      <c r="F759" s="21">
        <f t="shared" si="208"/>
        <v>49</v>
      </c>
      <c r="G759" s="53">
        <v>43909</v>
      </c>
      <c r="H759" s="9">
        <v>2020</v>
      </c>
      <c r="I759" s="50">
        <v>0</v>
      </c>
      <c r="J759" s="50">
        <v>1</v>
      </c>
      <c r="K759" s="50">
        <v>7</v>
      </c>
      <c r="L759" s="24" t="s">
        <v>1459</v>
      </c>
      <c r="M759" s="24"/>
      <c r="V759" t="s">
        <v>970</v>
      </c>
      <c r="W759" t="s">
        <v>993</v>
      </c>
      <c r="X759" t="s">
        <v>997</v>
      </c>
      <c r="Y759" t="s">
        <v>1000</v>
      </c>
      <c r="Z759">
        <v>0</v>
      </c>
      <c r="AA759">
        <v>-1</v>
      </c>
      <c r="AB759">
        <v>-1</v>
      </c>
      <c r="AC759">
        <v>-1</v>
      </c>
      <c r="AD759">
        <v>-1</v>
      </c>
      <c r="AE759">
        <v>-1</v>
      </c>
      <c r="AF759">
        <v>-1</v>
      </c>
      <c r="AG759">
        <v>-1</v>
      </c>
      <c r="AH759">
        <v>-1</v>
      </c>
      <c r="AI759">
        <v>-1</v>
      </c>
      <c r="AJ759" s="9">
        <f t="shared" si="231"/>
        <v>7</v>
      </c>
      <c r="AK759">
        <f t="shared" si="232"/>
        <v>0</v>
      </c>
      <c r="AL759" s="9">
        <v>0</v>
      </c>
    </row>
    <row r="760" spans="1:38" x14ac:dyDescent="0.35">
      <c r="A760" s="50">
        <v>0</v>
      </c>
      <c r="B760" s="50" t="s">
        <v>86</v>
      </c>
      <c r="C760" s="53">
        <v>43882</v>
      </c>
      <c r="D760" s="53">
        <v>43909</v>
      </c>
      <c r="E760" s="53">
        <v>43958</v>
      </c>
      <c r="F760" s="21">
        <f t="shared" si="208"/>
        <v>49</v>
      </c>
      <c r="G760" s="53">
        <v>43909</v>
      </c>
      <c r="H760" s="9">
        <v>2020</v>
      </c>
      <c r="I760" s="50">
        <v>0</v>
      </c>
      <c r="J760" s="50">
        <v>2</v>
      </c>
      <c r="K760" s="50">
        <v>18</v>
      </c>
      <c r="L760" s="24" t="s">
        <v>1460</v>
      </c>
      <c r="M760" s="24"/>
      <c r="V760" t="s">
        <v>970</v>
      </c>
      <c r="W760" t="s">
        <v>993</v>
      </c>
      <c r="X760" t="s">
        <v>997</v>
      </c>
      <c r="Y760" t="s">
        <v>1000</v>
      </c>
      <c r="Z760">
        <v>0</v>
      </c>
      <c r="AA760">
        <v>-1</v>
      </c>
      <c r="AB760">
        <v>-1</v>
      </c>
      <c r="AC760">
        <v>-1</v>
      </c>
      <c r="AD760">
        <v>-1</v>
      </c>
      <c r="AE760">
        <v>-1</v>
      </c>
      <c r="AF760">
        <v>-1</v>
      </c>
      <c r="AG760">
        <v>-1</v>
      </c>
      <c r="AH760">
        <v>-1</v>
      </c>
      <c r="AI760">
        <v>-1</v>
      </c>
      <c r="AJ760" s="9">
        <f t="shared" si="231"/>
        <v>18</v>
      </c>
      <c r="AK760">
        <f t="shared" si="232"/>
        <v>0</v>
      </c>
      <c r="AL760" s="9">
        <v>0</v>
      </c>
    </row>
    <row r="761" spans="1:38" x14ac:dyDescent="0.35">
      <c r="A761" s="50">
        <v>0</v>
      </c>
      <c r="B761" s="50" t="s">
        <v>86</v>
      </c>
      <c r="C761" s="53">
        <v>43882</v>
      </c>
      <c r="D761" s="53">
        <v>43909</v>
      </c>
      <c r="E761" s="53">
        <v>43958</v>
      </c>
      <c r="F761" s="21">
        <f t="shared" si="208"/>
        <v>49</v>
      </c>
      <c r="G761" s="53">
        <v>43909</v>
      </c>
      <c r="H761" s="9">
        <v>2020</v>
      </c>
      <c r="I761" s="50">
        <v>0</v>
      </c>
      <c r="J761" s="50">
        <v>9</v>
      </c>
      <c r="K761" s="50">
        <v>34</v>
      </c>
      <c r="L761" s="24" t="s">
        <v>1461</v>
      </c>
      <c r="M761" s="24"/>
      <c r="V761" t="s">
        <v>970</v>
      </c>
      <c r="W761" t="s">
        <v>993</v>
      </c>
      <c r="X761" t="s">
        <v>997</v>
      </c>
      <c r="Y761" t="s">
        <v>1000</v>
      </c>
      <c r="Z761">
        <v>0</v>
      </c>
      <c r="AA761">
        <v>-1</v>
      </c>
      <c r="AB761">
        <v>-1</v>
      </c>
      <c r="AC761">
        <v>-1</v>
      </c>
      <c r="AD761">
        <v>-1</v>
      </c>
      <c r="AE761">
        <v>-1</v>
      </c>
      <c r="AF761">
        <v>-1</v>
      </c>
      <c r="AG761">
        <v>-1</v>
      </c>
      <c r="AH761">
        <v>-1</v>
      </c>
      <c r="AI761">
        <v>-1</v>
      </c>
      <c r="AJ761" s="9">
        <f t="shared" si="231"/>
        <v>34</v>
      </c>
      <c r="AK761">
        <f t="shared" si="232"/>
        <v>0</v>
      </c>
      <c r="AL761" s="9">
        <v>0</v>
      </c>
    </row>
    <row r="762" spans="1:38" x14ac:dyDescent="0.35">
      <c r="A762" s="50">
        <v>0</v>
      </c>
      <c r="B762" s="50" t="s">
        <v>86</v>
      </c>
      <c r="C762" s="53">
        <v>43882</v>
      </c>
      <c r="D762" s="53">
        <v>43909</v>
      </c>
      <c r="E762" s="53">
        <v>43958</v>
      </c>
      <c r="F762" s="21">
        <f t="shared" si="208"/>
        <v>49</v>
      </c>
      <c r="G762" s="53">
        <v>43909</v>
      </c>
      <c r="H762" s="9">
        <v>2020</v>
      </c>
      <c r="I762" s="50">
        <v>0</v>
      </c>
      <c r="J762" s="50">
        <v>2</v>
      </c>
      <c r="K762" s="50" t="s">
        <v>206</v>
      </c>
      <c r="L762" s="24" t="s">
        <v>1462</v>
      </c>
      <c r="M762" s="24"/>
      <c r="V762" t="s">
        <v>970</v>
      </c>
      <c r="W762" t="s">
        <v>993</v>
      </c>
      <c r="X762" t="s">
        <v>997</v>
      </c>
      <c r="Y762" t="s">
        <v>1000</v>
      </c>
      <c r="Z762">
        <v>0</v>
      </c>
      <c r="AA762">
        <v>-1</v>
      </c>
      <c r="AB762">
        <v>-1</v>
      </c>
      <c r="AC762">
        <v>-1</v>
      </c>
      <c r="AD762">
        <v>-1</v>
      </c>
      <c r="AE762">
        <v>-1</v>
      </c>
      <c r="AF762">
        <v>-1</v>
      </c>
      <c r="AG762">
        <v>-1</v>
      </c>
      <c r="AH762">
        <v>-1</v>
      </c>
      <c r="AI762">
        <v>-1</v>
      </c>
      <c r="AJ762" s="9" t="str">
        <f t="shared" si="231"/>
        <v>Tax exemption/waiver/suspension</v>
      </c>
      <c r="AK762">
        <f t="shared" si="232"/>
        <v>0</v>
      </c>
      <c r="AL762" s="9">
        <v>0</v>
      </c>
    </row>
    <row r="763" spans="1:38" x14ac:dyDescent="0.35">
      <c r="A763" s="50">
        <v>0</v>
      </c>
      <c r="B763" s="50" t="s">
        <v>86</v>
      </c>
      <c r="C763" s="53">
        <v>43882</v>
      </c>
      <c r="D763" s="53">
        <v>43909</v>
      </c>
      <c r="E763" s="53">
        <v>43958</v>
      </c>
      <c r="F763" s="21">
        <f t="shared" si="208"/>
        <v>49</v>
      </c>
      <c r="G763" s="53">
        <v>43909</v>
      </c>
      <c r="H763" s="9">
        <v>2020</v>
      </c>
      <c r="I763" s="50">
        <v>0</v>
      </c>
      <c r="J763" s="50">
        <v>4</v>
      </c>
      <c r="K763" s="50">
        <v>20</v>
      </c>
      <c r="L763" s="24" t="s">
        <v>1463</v>
      </c>
      <c r="M763" s="24"/>
      <c r="V763" t="s">
        <v>970</v>
      </c>
      <c r="W763" t="s">
        <v>993</v>
      </c>
      <c r="X763" t="s">
        <v>997</v>
      </c>
      <c r="Y763" t="s">
        <v>1000</v>
      </c>
      <c r="Z763">
        <v>0</v>
      </c>
      <c r="AA763">
        <v>-1</v>
      </c>
      <c r="AB763">
        <v>-1</v>
      </c>
      <c r="AC763">
        <v>-1</v>
      </c>
      <c r="AD763">
        <v>-1</v>
      </c>
      <c r="AE763">
        <v>-1</v>
      </c>
      <c r="AF763">
        <v>-1</v>
      </c>
      <c r="AG763">
        <v>-1</v>
      </c>
      <c r="AH763">
        <v>-1</v>
      </c>
      <c r="AI763">
        <v>-1</v>
      </c>
      <c r="AJ763" s="9">
        <f t="shared" si="231"/>
        <v>20</v>
      </c>
      <c r="AK763">
        <f t="shared" si="232"/>
        <v>0</v>
      </c>
      <c r="AL763" s="9">
        <v>0</v>
      </c>
    </row>
    <row r="764" spans="1:38" x14ac:dyDescent="0.35">
      <c r="A764" s="50">
        <v>0</v>
      </c>
      <c r="B764" s="50" t="s">
        <v>86</v>
      </c>
      <c r="C764" s="53">
        <v>43882</v>
      </c>
      <c r="D764" s="53">
        <v>43909</v>
      </c>
      <c r="E764" s="53">
        <v>43958</v>
      </c>
      <c r="F764" s="21">
        <f t="shared" si="208"/>
        <v>49</v>
      </c>
      <c r="G764" s="53">
        <v>43909</v>
      </c>
      <c r="H764" s="9">
        <v>2020</v>
      </c>
      <c r="I764" s="50">
        <v>0</v>
      </c>
      <c r="J764" s="50">
        <v>7</v>
      </c>
      <c r="K764" s="50">
        <v>30</v>
      </c>
      <c r="L764" s="24" t="s">
        <v>1464</v>
      </c>
      <c r="M764" s="24"/>
      <c r="V764" t="s">
        <v>970</v>
      </c>
      <c r="W764" t="s">
        <v>993</v>
      </c>
      <c r="X764" t="s">
        <v>997</v>
      </c>
      <c r="Y764" t="s">
        <v>1000</v>
      </c>
      <c r="Z764">
        <v>0</v>
      </c>
      <c r="AA764">
        <v>-1</v>
      </c>
      <c r="AB764">
        <v>-1</v>
      </c>
      <c r="AC764">
        <v>-1</v>
      </c>
      <c r="AD764">
        <v>-1</v>
      </c>
      <c r="AE764">
        <v>-1</v>
      </c>
      <c r="AF764">
        <v>-1</v>
      </c>
      <c r="AG764">
        <v>-1</v>
      </c>
      <c r="AH764">
        <v>-1</v>
      </c>
      <c r="AI764">
        <v>-1</v>
      </c>
      <c r="AJ764" s="9">
        <f t="shared" si="231"/>
        <v>30</v>
      </c>
      <c r="AK764">
        <f t="shared" si="232"/>
        <v>0</v>
      </c>
      <c r="AL764" s="9">
        <v>1</v>
      </c>
    </row>
    <row r="765" spans="1:38" s="47" customFormat="1" x14ac:dyDescent="0.35">
      <c r="A765" s="50">
        <v>0</v>
      </c>
      <c r="B765" s="50" t="s">
        <v>86</v>
      </c>
      <c r="C765" s="53">
        <v>43882</v>
      </c>
      <c r="D765" s="53">
        <v>43909</v>
      </c>
      <c r="E765" s="53">
        <v>43958</v>
      </c>
      <c r="F765" s="21">
        <f t="shared" si="208"/>
        <v>49</v>
      </c>
      <c r="G765" s="53">
        <v>43909</v>
      </c>
      <c r="H765" s="9">
        <v>2021</v>
      </c>
      <c r="I765" s="50">
        <v>0</v>
      </c>
      <c r="J765" s="50">
        <v>6</v>
      </c>
      <c r="K765" s="50">
        <v>29</v>
      </c>
      <c r="L765" s="48" t="s">
        <v>1793</v>
      </c>
      <c r="M765" s="48"/>
      <c r="V765" t="s">
        <v>970</v>
      </c>
      <c r="AJ765" s="47">
        <f t="shared" si="231"/>
        <v>29</v>
      </c>
    </row>
    <row r="766" spans="1:38" s="47" customFormat="1" x14ac:dyDescent="0.35">
      <c r="A766" s="50">
        <v>0</v>
      </c>
      <c r="B766" s="50" t="s">
        <v>86</v>
      </c>
      <c r="C766" s="53">
        <v>43882</v>
      </c>
      <c r="D766" s="53">
        <v>43909</v>
      </c>
      <c r="E766" s="53">
        <v>43958</v>
      </c>
      <c r="F766" s="21">
        <f t="shared" ref="F766:F771" si="233">DATEDIF(D766,E766,"D")</f>
        <v>49</v>
      </c>
      <c r="G766" s="53">
        <v>43909</v>
      </c>
      <c r="H766" s="9">
        <v>2021</v>
      </c>
      <c r="I766" s="50">
        <v>0</v>
      </c>
      <c r="J766" s="50">
        <v>9</v>
      </c>
      <c r="K766" s="50">
        <v>34</v>
      </c>
      <c r="L766" s="48" t="s">
        <v>1967</v>
      </c>
      <c r="M766" s="48"/>
      <c r="V766"/>
      <c r="AJ766" s="47">
        <f t="shared" si="231"/>
        <v>34</v>
      </c>
    </row>
    <row r="767" spans="1:38" s="47" customFormat="1" x14ac:dyDescent="0.35">
      <c r="A767" s="50">
        <v>0</v>
      </c>
      <c r="B767" s="50" t="s">
        <v>86</v>
      </c>
      <c r="C767" s="53">
        <v>43882</v>
      </c>
      <c r="D767" s="53">
        <v>43909</v>
      </c>
      <c r="E767" s="53">
        <v>43958</v>
      </c>
      <c r="F767" s="21">
        <f t="shared" si="233"/>
        <v>49</v>
      </c>
      <c r="G767" s="53">
        <v>43909</v>
      </c>
      <c r="H767" s="9">
        <v>2021</v>
      </c>
      <c r="I767" s="50">
        <v>0</v>
      </c>
      <c r="J767" s="50">
        <v>9</v>
      </c>
      <c r="K767" s="50">
        <v>34</v>
      </c>
      <c r="L767" s="48" t="s">
        <v>1968</v>
      </c>
      <c r="M767" s="48"/>
      <c r="V767"/>
      <c r="AJ767" s="47">
        <f t="shared" si="231"/>
        <v>34</v>
      </c>
    </row>
    <row r="768" spans="1:38" s="47" customFormat="1" x14ac:dyDescent="0.35">
      <c r="A768" s="50">
        <v>0</v>
      </c>
      <c r="B768" s="50" t="s">
        <v>86</v>
      </c>
      <c r="C768" s="53">
        <v>43882</v>
      </c>
      <c r="D768" s="53">
        <v>43909</v>
      </c>
      <c r="E768" s="53">
        <v>43958</v>
      </c>
      <c r="F768" s="21">
        <f t="shared" si="233"/>
        <v>49</v>
      </c>
      <c r="G768" s="53">
        <v>43909</v>
      </c>
      <c r="H768" s="9">
        <v>2021</v>
      </c>
      <c r="I768" s="50">
        <v>0</v>
      </c>
      <c r="J768" s="50">
        <v>7</v>
      </c>
      <c r="K768" s="50">
        <v>31</v>
      </c>
      <c r="L768" s="48" t="s">
        <v>1969</v>
      </c>
      <c r="M768" s="48"/>
      <c r="V768"/>
      <c r="AJ768" s="47">
        <f t="shared" si="231"/>
        <v>31</v>
      </c>
    </row>
    <row r="769" spans="1:38" s="47" customFormat="1" x14ac:dyDescent="0.35">
      <c r="A769" s="50">
        <v>0</v>
      </c>
      <c r="B769" s="50" t="s">
        <v>86</v>
      </c>
      <c r="C769" s="53">
        <v>43882</v>
      </c>
      <c r="D769" s="53">
        <v>43909</v>
      </c>
      <c r="E769" s="53">
        <v>43958</v>
      </c>
      <c r="F769" s="21">
        <f t="shared" si="233"/>
        <v>49</v>
      </c>
      <c r="G769" s="53">
        <v>43909</v>
      </c>
      <c r="H769" s="9">
        <v>2021</v>
      </c>
      <c r="I769" s="50">
        <v>0</v>
      </c>
      <c r="J769" s="50">
        <v>1</v>
      </c>
      <c r="K769" s="50" t="s">
        <v>206</v>
      </c>
      <c r="L769" s="48" t="s">
        <v>2230</v>
      </c>
      <c r="M769" s="48"/>
      <c r="V769"/>
    </row>
    <row r="770" spans="1:38" s="47" customFormat="1" x14ac:dyDescent="0.35">
      <c r="A770" s="50">
        <v>0</v>
      </c>
      <c r="B770" s="50" t="s">
        <v>86</v>
      </c>
      <c r="C770" s="53">
        <v>43882</v>
      </c>
      <c r="D770" s="53">
        <v>43909</v>
      </c>
      <c r="E770" s="53">
        <v>43958</v>
      </c>
      <c r="F770" s="21">
        <f t="shared" si="233"/>
        <v>49</v>
      </c>
      <c r="G770" s="53">
        <v>43909</v>
      </c>
      <c r="H770" s="9">
        <v>2021</v>
      </c>
      <c r="I770" s="50">
        <v>0</v>
      </c>
      <c r="J770" s="50">
        <v>9</v>
      </c>
      <c r="K770" s="50">
        <v>34</v>
      </c>
      <c r="L770" s="48" t="s">
        <v>1970</v>
      </c>
      <c r="M770" s="48"/>
      <c r="V770"/>
    </row>
    <row r="771" spans="1:38" s="47" customFormat="1" x14ac:dyDescent="0.35">
      <c r="A771" s="50">
        <v>0</v>
      </c>
      <c r="B771" s="50" t="s">
        <v>86</v>
      </c>
      <c r="C771" s="53">
        <v>43882</v>
      </c>
      <c r="D771" s="53">
        <v>43909</v>
      </c>
      <c r="E771" s="53">
        <v>43958</v>
      </c>
      <c r="F771" s="21">
        <f t="shared" si="233"/>
        <v>49</v>
      </c>
      <c r="G771" s="53">
        <v>43909</v>
      </c>
      <c r="H771" s="9">
        <v>2021</v>
      </c>
      <c r="I771" s="50">
        <v>0</v>
      </c>
      <c r="J771" s="50">
        <v>1</v>
      </c>
      <c r="K771" s="50">
        <v>5</v>
      </c>
      <c r="L771" s="48" t="s">
        <v>1971</v>
      </c>
      <c r="M771" s="48"/>
      <c r="V771"/>
    </row>
    <row r="772" spans="1:38" x14ac:dyDescent="0.35">
      <c r="A772" s="9">
        <v>1</v>
      </c>
      <c r="B772" s="9" t="s">
        <v>87</v>
      </c>
      <c r="C772" s="53">
        <v>43861</v>
      </c>
      <c r="D772" s="53">
        <v>43899</v>
      </c>
      <c r="E772" s="53">
        <v>43969</v>
      </c>
      <c r="F772" s="21">
        <f t="shared" si="208"/>
        <v>70</v>
      </c>
      <c r="G772" s="53">
        <v>43899</v>
      </c>
      <c r="H772" s="9">
        <v>2020</v>
      </c>
      <c r="I772" s="9">
        <v>1</v>
      </c>
      <c r="J772" s="9">
        <v>1</v>
      </c>
      <c r="K772" s="9">
        <v>6</v>
      </c>
      <c r="L772" s="50" t="s">
        <v>628</v>
      </c>
      <c r="M772">
        <v>2</v>
      </c>
      <c r="N772">
        <v>2</v>
      </c>
      <c r="O772">
        <v>2</v>
      </c>
      <c r="P772">
        <v>2</v>
      </c>
      <c r="Q772">
        <v>2</v>
      </c>
      <c r="R772">
        <v>2</v>
      </c>
      <c r="S772">
        <v>1</v>
      </c>
      <c r="T772">
        <v>2</v>
      </c>
      <c r="U772">
        <v>1</v>
      </c>
      <c r="V772" t="s">
        <v>971</v>
      </c>
      <c r="W772" t="s">
        <v>989</v>
      </c>
      <c r="X772" t="s">
        <v>997</v>
      </c>
      <c r="Y772" t="s">
        <v>1000</v>
      </c>
      <c r="Z772">
        <v>1</v>
      </c>
      <c r="AA772">
        <f t="shared" ref="AA772:AA795" si="234">IF(M772&gt;0,1,IF(M772&lt;0,0,-1))</f>
        <v>1</v>
      </c>
      <c r="AB772">
        <f t="shared" ref="AB772:AB795" si="235">IF(N772&gt;0,1,IF(N772&lt;0,0,-1))</f>
        <v>1</v>
      </c>
      <c r="AC772">
        <f t="shared" ref="AC772:AC795" si="236">IF(O772&gt;0,1,IF(O772&lt;0,0,-1))</f>
        <v>1</v>
      </c>
      <c r="AD772">
        <f t="shared" ref="AD772:AD795" si="237">IF(P772&gt;0,1,IF(P772&lt;0,0,-1))</f>
        <v>1</v>
      </c>
      <c r="AE772">
        <f t="shared" ref="AE772:AE795" si="238">IF(Q772&gt;0,1,IF(Q772&lt;0,0,-1))</f>
        <v>1</v>
      </c>
      <c r="AF772">
        <f t="shared" ref="AF772:AF795" si="239">IF(R772&gt;0,1,IF(R772&lt;0,0,-1))</f>
        <v>1</v>
      </c>
      <c r="AG772">
        <f t="shared" ref="AG772:AG795" si="240">IF(S772&gt;0,1,IF(S772&lt;0,0,-1))</f>
        <v>1</v>
      </c>
      <c r="AH772">
        <f t="shared" ref="AH772:AH795" si="241">IF(T772&gt;0,1,IF(T772&lt;0,0,-1))</f>
        <v>1</v>
      </c>
      <c r="AI772">
        <f t="shared" ref="AI772:AI795" si="242">IF(U772&gt;0,1,IF(U772&lt;0,0,-1))</f>
        <v>1</v>
      </c>
      <c r="AJ772" s="9">
        <f t="shared" si="231"/>
        <v>6</v>
      </c>
      <c r="AK772">
        <f>IF(B772&lt;&gt;B764,1,0)</f>
        <v>1</v>
      </c>
      <c r="AL772" s="9">
        <v>1</v>
      </c>
    </row>
    <row r="773" spans="1:38" x14ac:dyDescent="0.35">
      <c r="A773" s="9">
        <v>1</v>
      </c>
      <c r="B773" s="9" t="s">
        <v>87</v>
      </c>
      <c r="C773" s="53">
        <v>43861</v>
      </c>
      <c r="D773" s="53">
        <v>43899</v>
      </c>
      <c r="E773" s="53">
        <v>43969</v>
      </c>
      <c r="F773" s="21">
        <f t="shared" ref="F773:F852" si="243">DATEDIF(D773,E773,"D")</f>
        <v>70</v>
      </c>
      <c r="G773" s="53">
        <v>43899</v>
      </c>
      <c r="H773" s="9">
        <v>2020</v>
      </c>
      <c r="I773" s="9">
        <v>1</v>
      </c>
      <c r="J773" s="9">
        <v>3</v>
      </c>
      <c r="K773" s="9">
        <v>19</v>
      </c>
      <c r="L773" s="50" t="s">
        <v>623</v>
      </c>
      <c r="M773">
        <v>2</v>
      </c>
      <c r="N773">
        <v>2</v>
      </c>
      <c r="O773">
        <v>-2</v>
      </c>
      <c r="P773">
        <v>-1</v>
      </c>
      <c r="Q773">
        <v>-2</v>
      </c>
      <c r="R773">
        <v>2</v>
      </c>
      <c r="S773">
        <v>2</v>
      </c>
      <c r="T773">
        <v>2</v>
      </c>
      <c r="U773">
        <v>1</v>
      </c>
      <c r="V773" t="s">
        <v>971</v>
      </c>
      <c r="W773" t="s">
        <v>989</v>
      </c>
      <c r="X773" t="s">
        <v>997</v>
      </c>
      <c r="Y773" t="s">
        <v>1000</v>
      </c>
      <c r="Z773">
        <v>1</v>
      </c>
      <c r="AA773">
        <f t="shared" si="234"/>
        <v>1</v>
      </c>
      <c r="AB773">
        <f t="shared" si="235"/>
        <v>1</v>
      </c>
      <c r="AC773">
        <f t="shared" si="236"/>
        <v>0</v>
      </c>
      <c r="AD773">
        <f t="shared" si="237"/>
        <v>0</v>
      </c>
      <c r="AE773">
        <f t="shared" si="238"/>
        <v>0</v>
      </c>
      <c r="AF773">
        <f t="shared" si="239"/>
        <v>1</v>
      </c>
      <c r="AG773">
        <f t="shared" si="240"/>
        <v>1</v>
      </c>
      <c r="AH773">
        <f t="shared" si="241"/>
        <v>1</v>
      </c>
      <c r="AI773">
        <f t="shared" si="242"/>
        <v>1</v>
      </c>
      <c r="AJ773" s="9">
        <f t="shared" si="231"/>
        <v>19</v>
      </c>
      <c r="AK773">
        <f t="shared" si="232"/>
        <v>0</v>
      </c>
      <c r="AL773" s="9">
        <v>1</v>
      </c>
    </row>
    <row r="774" spans="1:38" x14ac:dyDescent="0.35">
      <c r="A774" s="9">
        <v>1</v>
      </c>
      <c r="B774" s="9" t="s">
        <v>87</v>
      </c>
      <c r="C774" s="53">
        <v>43861</v>
      </c>
      <c r="D774" s="53">
        <v>43899</v>
      </c>
      <c r="E774" s="53">
        <v>43969</v>
      </c>
      <c r="F774" s="21">
        <f t="shared" si="243"/>
        <v>70</v>
      </c>
      <c r="G774" s="53">
        <v>43899</v>
      </c>
      <c r="H774" s="9">
        <v>2020</v>
      </c>
      <c r="I774" s="9">
        <v>1</v>
      </c>
      <c r="J774" s="9">
        <v>7</v>
      </c>
      <c r="K774" s="9">
        <v>30</v>
      </c>
      <c r="L774" s="50" t="s">
        <v>621</v>
      </c>
      <c r="M774">
        <v>1</v>
      </c>
      <c r="N774">
        <v>1</v>
      </c>
      <c r="O774">
        <v>2</v>
      </c>
      <c r="P774">
        <v>1</v>
      </c>
      <c r="Q774">
        <v>2</v>
      </c>
      <c r="R774">
        <v>2</v>
      </c>
      <c r="S774">
        <v>1</v>
      </c>
      <c r="T774">
        <v>-2</v>
      </c>
      <c r="U774">
        <v>1</v>
      </c>
      <c r="V774" t="s">
        <v>971</v>
      </c>
      <c r="W774" t="s">
        <v>989</v>
      </c>
      <c r="X774" t="s">
        <v>997</v>
      </c>
      <c r="Y774" t="s">
        <v>1000</v>
      </c>
      <c r="Z774">
        <v>1</v>
      </c>
      <c r="AA774">
        <f t="shared" si="234"/>
        <v>1</v>
      </c>
      <c r="AB774">
        <f t="shared" si="235"/>
        <v>1</v>
      </c>
      <c r="AC774">
        <f t="shared" si="236"/>
        <v>1</v>
      </c>
      <c r="AD774">
        <f t="shared" si="237"/>
        <v>1</v>
      </c>
      <c r="AE774">
        <f t="shared" si="238"/>
        <v>1</v>
      </c>
      <c r="AF774">
        <f t="shared" si="239"/>
        <v>1</v>
      </c>
      <c r="AG774">
        <f t="shared" si="240"/>
        <v>1</v>
      </c>
      <c r="AH774">
        <f t="shared" si="241"/>
        <v>0</v>
      </c>
      <c r="AI774">
        <f t="shared" si="242"/>
        <v>1</v>
      </c>
      <c r="AJ774" s="9">
        <f t="shared" si="231"/>
        <v>30</v>
      </c>
      <c r="AK774">
        <f t="shared" si="232"/>
        <v>0</v>
      </c>
      <c r="AL774" s="9">
        <v>1</v>
      </c>
    </row>
    <row r="775" spans="1:38" x14ac:dyDescent="0.35">
      <c r="A775" s="9">
        <v>1</v>
      </c>
      <c r="B775" s="9" t="s">
        <v>87</v>
      </c>
      <c r="C775" s="53">
        <v>43861</v>
      </c>
      <c r="D775" s="53">
        <v>43899</v>
      </c>
      <c r="E775" s="53">
        <v>43969</v>
      </c>
      <c r="F775" s="21">
        <f t="shared" si="243"/>
        <v>70</v>
      </c>
      <c r="G775" s="53">
        <v>43899</v>
      </c>
      <c r="H775" s="9">
        <v>2020</v>
      </c>
      <c r="I775" s="9">
        <v>1</v>
      </c>
      <c r="J775" s="9">
        <v>1</v>
      </c>
      <c r="K775" s="9">
        <v>4</v>
      </c>
      <c r="L775" s="50" t="s">
        <v>616</v>
      </c>
      <c r="N775">
        <v>2</v>
      </c>
      <c r="O775">
        <v>-2</v>
      </c>
      <c r="P775">
        <v>-1</v>
      </c>
      <c r="R775">
        <v>-2</v>
      </c>
      <c r="S775">
        <v>2</v>
      </c>
      <c r="T775">
        <v>-2</v>
      </c>
      <c r="U775">
        <v>1</v>
      </c>
      <c r="V775" t="s">
        <v>971</v>
      </c>
      <c r="W775" t="s">
        <v>989</v>
      </c>
      <c r="X775" t="s">
        <v>997</v>
      </c>
      <c r="Y775" t="s">
        <v>1000</v>
      </c>
      <c r="Z775">
        <v>1</v>
      </c>
      <c r="AA775">
        <f t="shared" si="234"/>
        <v>-1</v>
      </c>
      <c r="AB775">
        <f t="shared" si="235"/>
        <v>1</v>
      </c>
      <c r="AC775">
        <f t="shared" si="236"/>
        <v>0</v>
      </c>
      <c r="AD775">
        <f t="shared" si="237"/>
        <v>0</v>
      </c>
      <c r="AE775">
        <f t="shared" si="238"/>
        <v>-1</v>
      </c>
      <c r="AF775">
        <f t="shared" si="239"/>
        <v>0</v>
      </c>
      <c r="AG775">
        <f t="shared" si="240"/>
        <v>1</v>
      </c>
      <c r="AH775">
        <f t="shared" si="241"/>
        <v>0</v>
      </c>
      <c r="AI775">
        <f t="shared" si="242"/>
        <v>1</v>
      </c>
      <c r="AJ775" s="9">
        <f t="shared" si="231"/>
        <v>4</v>
      </c>
      <c r="AK775">
        <f t="shared" si="232"/>
        <v>0</v>
      </c>
      <c r="AL775" s="9">
        <v>1</v>
      </c>
    </row>
    <row r="776" spans="1:38" x14ac:dyDescent="0.35">
      <c r="A776" s="9">
        <v>1</v>
      </c>
      <c r="B776" s="9" t="s">
        <v>87</v>
      </c>
      <c r="C776" s="53">
        <v>43861</v>
      </c>
      <c r="D776" s="53">
        <v>43899</v>
      </c>
      <c r="E776" s="53">
        <v>43969</v>
      </c>
      <c r="F776" s="21">
        <f t="shared" si="243"/>
        <v>70</v>
      </c>
      <c r="G776" s="53">
        <v>43899</v>
      </c>
      <c r="H776" s="9">
        <v>2020</v>
      </c>
      <c r="I776" s="9">
        <v>1</v>
      </c>
      <c r="J776" s="9">
        <v>6</v>
      </c>
      <c r="K776" s="9">
        <v>29</v>
      </c>
      <c r="L776" s="50" t="s">
        <v>627</v>
      </c>
      <c r="M776">
        <v>1</v>
      </c>
      <c r="N776">
        <v>1</v>
      </c>
      <c r="O776">
        <v>2</v>
      </c>
      <c r="P776">
        <v>-1</v>
      </c>
      <c r="Q776">
        <v>-2</v>
      </c>
      <c r="R776">
        <v>2</v>
      </c>
      <c r="S776">
        <v>1</v>
      </c>
      <c r="T776">
        <v>2</v>
      </c>
      <c r="U776">
        <v>1</v>
      </c>
      <c r="V776" t="s">
        <v>971</v>
      </c>
      <c r="W776" t="s">
        <v>989</v>
      </c>
      <c r="X776" t="s">
        <v>997</v>
      </c>
      <c r="Y776" t="s">
        <v>1000</v>
      </c>
      <c r="Z776">
        <v>1</v>
      </c>
      <c r="AA776">
        <f t="shared" si="234"/>
        <v>1</v>
      </c>
      <c r="AB776">
        <f t="shared" si="235"/>
        <v>1</v>
      </c>
      <c r="AC776">
        <f t="shared" si="236"/>
        <v>1</v>
      </c>
      <c r="AD776">
        <f t="shared" si="237"/>
        <v>0</v>
      </c>
      <c r="AE776">
        <f t="shared" si="238"/>
        <v>0</v>
      </c>
      <c r="AF776">
        <f t="shared" si="239"/>
        <v>1</v>
      </c>
      <c r="AG776">
        <f t="shared" si="240"/>
        <v>1</v>
      </c>
      <c r="AH776">
        <f t="shared" si="241"/>
        <v>1</v>
      </c>
      <c r="AI776">
        <f t="shared" si="242"/>
        <v>1</v>
      </c>
      <c r="AJ776" s="9">
        <f t="shared" si="231"/>
        <v>29</v>
      </c>
      <c r="AK776">
        <f t="shared" si="232"/>
        <v>0</v>
      </c>
      <c r="AL776" s="9">
        <v>1</v>
      </c>
    </row>
    <row r="777" spans="1:38" x14ac:dyDescent="0.35">
      <c r="A777" s="9">
        <v>1</v>
      </c>
      <c r="B777" s="9" t="s">
        <v>87</v>
      </c>
      <c r="C777" s="53">
        <v>43861</v>
      </c>
      <c r="D777" s="53">
        <v>43899</v>
      </c>
      <c r="E777" s="53">
        <v>43969</v>
      </c>
      <c r="F777" s="21">
        <f t="shared" si="243"/>
        <v>70</v>
      </c>
      <c r="G777" s="53">
        <v>43899</v>
      </c>
      <c r="H777" s="9">
        <v>2020</v>
      </c>
      <c r="I777" s="9">
        <v>1</v>
      </c>
      <c r="J777" s="9">
        <v>7</v>
      </c>
      <c r="K777" s="9" t="s">
        <v>201</v>
      </c>
      <c r="L777" s="50" t="s">
        <v>615</v>
      </c>
      <c r="M777">
        <v>1</v>
      </c>
      <c r="N777">
        <v>1</v>
      </c>
      <c r="O777">
        <v>2</v>
      </c>
      <c r="P777">
        <v>-1</v>
      </c>
      <c r="Q777">
        <v>-2</v>
      </c>
      <c r="R777">
        <v>2</v>
      </c>
      <c r="S777">
        <v>1</v>
      </c>
      <c r="T777">
        <v>-2</v>
      </c>
      <c r="U777">
        <v>1</v>
      </c>
      <c r="V777" t="s">
        <v>971</v>
      </c>
      <c r="W777" t="s">
        <v>989</v>
      </c>
      <c r="X777" t="s">
        <v>997</v>
      </c>
      <c r="Y777" t="s">
        <v>1000</v>
      </c>
      <c r="Z777">
        <v>1</v>
      </c>
      <c r="AA777">
        <f t="shared" si="234"/>
        <v>1</v>
      </c>
      <c r="AB777">
        <f t="shared" si="235"/>
        <v>1</v>
      </c>
      <c r="AC777">
        <f t="shared" si="236"/>
        <v>1</v>
      </c>
      <c r="AD777">
        <f t="shared" si="237"/>
        <v>0</v>
      </c>
      <c r="AE777">
        <f t="shared" si="238"/>
        <v>0</v>
      </c>
      <c r="AF777">
        <f t="shared" si="239"/>
        <v>1</v>
      </c>
      <c r="AG777">
        <f t="shared" si="240"/>
        <v>1</v>
      </c>
      <c r="AH777">
        <f t="shared" si="241"/>
        <v>0</v>
      </c>
      <c r="AI777">
        <f t="shared" si="242"/>
        <v>1</v>
      </c>
      <c r="AJ777" s="9" t="str">
        <f t="shared" si="231"/>
        <v>Other</v>
      </c>
      <c r="AK777">
        <f t="shared" si="232"/>
        <v>0</v>
      </c>
      <c r="AL777" s="9">
        <v>1</v>
      </c>
    </row>
    <row r="778" spans="1:38" x14ac:dyDescent="0.35">
      <c r="A778" s="9">
        <v>1</v>
      </c>
      <c r="B778" s="9" t="s">
        <v>87</v>
      </c>
      <c r="C778" s="53">
        <v>43861</v>
      </c>
      <c r="D778" s="53">
        <v>43899</v>
      </c>
      <c r="E778" s="53">
        <v>43969</v>
      </c>
      <c r="F778" s="21">
        <f t="shared" si="243"/>
        <v>70</v>
      </c>
      <c r="G778" s="53">
        <v>43899</v>
      </c>
      <c r="H778" s="9">
        <v>2020</v>
      </c>
      <c r="I778" s="9">
        <v>1</v>
      </c>
      <c r="J778" s="9">
        <v>6</v>
      </c>
      <c r="K778" s="9">
        <v>26</v>
      </c>
      <c r="L778" s="50" t="s">
        <v>618</v>
      </c>
      <c r="M778">
        <v>1</v>
      </c>
      <c r="N778">
        <v>1</v>
      </c>
      <c r="O778">
        <v>2</v>
      </c>
      <c r="P778">
        <v>-1</v>
      </c>
      <c r="Q778">
        <v>-2</v>
      </c>
      <c r="R778">
        <v>1</v>
      </c>
      <c r="S778">
        <v>1</v>
      </c>
      <c r="T778">
        <v>2</v>
      </c>
      <c r="U778">
        <v>1</v>
      </c>
      <c r="V778" t="s">
        <v>971</v>
      </c>
      <c r="W778" t="s">
        <v>989</v>
      </c>
      <c r="X778" t="s">
        <v>997</v>
      </c>
      <c r="Y778" t="s">
        <v>1000</v>
      </c>
      <c r="Z778">
        <v>1</v>
      </c>
      <c r="AA778">
        <f t="shared" si="234"/>
        <v>1</v>
      </c>
      <c r="AB778">
        <f t="shared" si="235"/>
        <v>1</v>
      </c>
      <c r="AC778">
        <f t="shared" si="236"/>
        <v>1</v>
      </c>
      <c r="AD778">
        <f t="shared" si="237"/>
        <v>0</v>
      </c>
      <c r="AE778">
        <f t="shared" si="238"/>
        <v>0</v>
      </c>
      <c r="AF778">
        <f t="shared" si="239"/>
        <v>1</v>
      </c>
      <c r="AG778">
        <f t="shared" si="240"/>
        <v>1</v>
      </c>
      <c r="AH778">
        <f t="shared" si="241"/>
        <v>1</v>
      </c>
      <c r="AI778">
        <f t="shared" si="242"/>
        <v>1</v>
      </c>
      <c r="AJ778" s="9">
        <f t="shared" si="231"/>
        <v>26</v>
      </c>
      <c r="AK778">
        <f t="shared" si="232"/>
        <v>0</v>
      </c>
      <c r="AL778" s="9">
        <v>1</v>
      </c>
    </row>
    <row r="779" spans="1:38" x14ac:dyDescent="0.35">
      <c r="A779" s="9">
        <v>1</v>
      </c>
      <c r="B779" s="9" t="s">
        <v>87</v>
      </c>
      <c r="C779" s="53">
        <v>43861</v>
      </c>
      <c r="D779" s="53">
        <v>43899</v>
      </c>
      <c r="E779" s="53">
        <v>43969</v>
      </c>
      <c r="F779" s="21">
        <f t="shared" si="243"/>
        <v>70</v>
      </c>
      <c r="G779" s="53">
        <v>43899</v>
      </c>
      <c r="H779" s="9">
        <v>2020</v>
      </c>
      <c r="I779" s="9">
        <v>1</v>
      </c>
      <c r="J779" s="9">
        <v>1</v>
      </c>
      <c r="K779" s="9">
        <v>6</v>
      </c>
      <c r="L779" s="50" t="s">
        <v>614</v>
      </c>
      <c r="N779">
        <v>2</v>
      </c>
      <c r="O779">
        <v>2</v>
      </c>
      <c r="P779">
        <v>2</v>
      </c>
      <c r="Q779">
        <v>2</v>
      </c>
      <c r="R779">
        <v>2</v>
      </c>
      <c r="S779">
        <v>1</v>
      </c>
      <c r="T779">
        <v>2</v>
      </c>
      <c r="U779">
        <v>1</v>
      </c>
      <c r="V779" t="s">
        <v>971</v>
      </c>
      <c r="W779" t="s">
        <v>989</v>
      </c>
      <c r="X779" t="s">
        <v>997</v>
      </c>
      <c r="Y779" t="s">
        <v>1000</v>
      </c>
      <c r="Z779">
        <v>1</v>
      </c>
      <c r="AA779">
        <f t="shared" si="234"/>
        <v>-1</v>
      </c>
      <c r="AB779">
        <f t="shared" si="235"/>
        <v>1</v>
      </c>
      <c r="AC779">
        <f t="shared" si="236"/>
        <v>1</v>
      </c>
      <c r="AD779">
        <f t="shared" si="237"/>
        <v>1</v>
      </c>
      <c r="AE779">
        <f t="shared" si="238"/>
        <v>1</v>
      </c>
      <c r="AF779">
        <f t="shared" si="239"/>
        <v>1</v>
      </c>
      <c r="AG779">
        <f t="shared" si="240"/>
        <v>1</v>
      </c>
      <c r="AH779">
        <f t="shared" si="241"/>
        <v>1</v>
      </c>
      <c r="AI779">
        <f t="shared" si="242"/>
        <v>1</v>
      </c>
      <c r="AJ779" s="9">
        <f t="shared" si="231"/>
        <v>6</v>
      </c>
      <c r="AK779">
        <f t="shared" si="232"/>
        <v>0</v>
      </c>
      <c r="AL779" s="9">
        <v>1</v>
      </c>
    </row>
    <row r="780" spans="1:38" x14ac:dyDescent="0.35">
      <c r="A780" s="9">
        <v>1</v>
      </c>
      <c r="B780" s="9" t="s">
        <v>87</v>
      </c>
      <c r="C780" s="53">
        <v>43861</v>
      </c>
      <c r="D780" s="53">
        <v>43899</v>
      </c>
      <c r="E780" s="53">
        <v>43969</v>
      </c>
      <c r="F780" s="21">
        <f t="shared" si="243"/>
        <v>70</v>
      </c>
      <c r="G780" s="53">
        <v>43899</v>
      </c>
      <c r="H780" s="9">
        <v>2020</v>
      </c>
      <c r="I780" s="9">
        <v>1</v>
      </c>
      <c r="J780" s="9">
        <v>1</v>
      </c>
      <c r="K780" s="9">
        <v>4</v>
      </c>
      <c r="L780" s="50" t="s">
        <v>631</v>
      </c>
      <c r="M780">
        <v>2</v>
      </c>
      <c r="N780">
        <v>2</v>
      </c>
      <c r="O780">
        <v>-2</v>
      </c>
      <c r="P780">
        <v>-1</v>
      </c>
      <c r="T780">
        <v>-2</v>
      </c>
      <c r="U780">
        <v>1</v>
      </c>
      <c r="V780" t="s">
        <v>971</v>
      </c>
      <c r="W780" t="s">
        <v>989</v>
      </c>
      <c r="X780" t="s">
        <v>997</v>
      </c>
      <c r="Y780" t="s">
        <v>1000</v>
      </c>
      <c r="Z780">
        <v>1</v>
      </c>
      <c r="AA780">
        <f t="shared" si="234"/>
        <v>1</v>
      </c>
      <c r="AB780">
        <f t="shared" si="235"/>
        <v>1</v>
      </c>
      <c r="AC780">
        <f t="shared" si="236"/>
        <v>0</v>
      </c>
      <c r="AD780">
        <f t="shared" si="237"/>
        <v>0</v>
      </c>
      <c r="AE780">
        <f t="shared" si="238"/>
        <v>-1</v>
      </c>
      <c r="AF780">
        <f t="shared" si="239"/>
        <v>-1</v>
      </c>
      <c r="AG780">
        <f t="shared" si="240"/>
        <v>-1</v>
      </c>
      <c r="AH780">
        <f t="shared" si="241"/>
        <v>0</v>
      </c>
      <c r="AI780">
        <f t="shared" si="242"/>
        <v>1</v>
      </c>
      <c r="AJ780" s="9">
        <f t="shared" si="231"/>
        <v>4</v>
      </c>
      <c r="AK780">
        <f t="shared" si="232"/>
        <v>0</v>
      </c>
      <c r="AL780" s="9">
        <v>1</v>
      </c>
    </row>
    <row r="781" spans="1:38" x14ac:dyDescent="0.35">
      <c r="A781" s="9">
        <v>1</v>
      </c>
      <c r="B781" s="9" t="s">
        <v>87</v>
      </c>
      <c r="C781" s="53">
        <v>43861</v>
      </c>
      <c r="D781" s="53">
        <v>43899</v>
      </c>
      <c r="E781" s="53">
        <v>43969</v>
      </c>
      <c r="F781" s="21">
        <f t="shared" si="243"/>
        <v>70</v>
      </c>
      <c r="G781" s="53">
        <v>43899</v>
      </c>
      <c r="H781" s="9">
        <v>2020</v>
      </c>
      <c r="I781" s="9">
        <v>1</v>
      </c>
      <c r="J781" s="9">
        <v>4</v>
      </c>
      <c r="K781" s="9" t="s">
        <v>201</v>
      </c>
      <c r="L781" s="50" t="s">
        <v>613</v>
      </c>
      <c r="M781">
        <v>1</v>
      </c>
      <c r="N781">
        <v>-2</v>
      </c>
      <c r="O781">
        <v>2</v>
      </c>
      <c r="P781">
        <v>-1</v>
      </c>
      <c r="Q781">
        <v>2</v>
      </c>
      <c r="R781">
        <v>-2</v>
      </c>
      <c r="S781">
        <v>1</v>
      </c>
      <c r="T781">
        <v>2</v>
      </c>
      <c r="U781">
        <v>1</v>
      </c>
      <c r="V781" t="s">
        <v>971</v>
      </c>
      <c r="W781" t="s">
        <v>989</v>
      </c>
      <c r="X781" t="s">
        <v>997</v>
      </c>
      <c r="Y781" t="s">
        <v>1000</v>
      </c>
      <c r="Z781">
        <v>1</v>
      </c>
      <c r="AA781">
        <f t="shared" si="234"/>
        <v>1</v>
      </c>
      <c r="AB781">
        <f t="shared" si="235"/>
        <v>0</v>
      </c>
      <c r="AC781">
        <f t="shared" si="236"/>
        <v>1</v>
      </c>
      <c r="AD781">
        <f t="shared" si="237"/>
        <v>0</v>
      </c>
      <c r="AE781">
        <f t="shared" si="238"/>
        <v>1</v>
      </c>
      <c r="AF781">
        <f t="shared" si="239"/>
        <v>0</v>
      </c>
      <c r="AG781">
        <f t="shared" si="240"/>
        <v>1</v>
      </c>
      <c r="AH781">
        <f t="shared" si="241"/>
        <v>1</v>
      </c>
      <c r="AI781">
        <f t="shared" si="242"/>
        <v>1</v>
      </c>
      <c r="AJ781" s="9" t="str">
        <f t="shared" si="231"/>
        <v>Other</v>
      </c>
      <c r="AK781">
        <f t="shared" si="232"/>
        <v>0</v>
      </c>
      <c r="AL781" s="9">
        <v>1</v>
      </c>
    </row>
    <row r="782" spans="1:38" x14ac:dyDescent="0.35">
      <c r="A782" s="9">
        <v>1</v>
      </c>
      <c r="B782" s="9" t="s">
        <v>87</v>
      </c>
      <c r="C782" s="53">
        <v>43861</v>
      </c>
      <c r="D782" s="53">
        <v>43899</v>
      </c>
      <c r="E782" s="53">
        <v>43969</v>
      </c>
      <c r="F782" s="21">
        <f t="shared" si="243"/>
        <v>70</v>
      </c>
      <c r="G782" s="53">
        <v>43899</v>
      </c>
      <c r="H782" s="9">
        <v>2020</v>
      </c>
      <c r="I782" s="9">
        <v>1</v>
      </c>
      <c r="J782" s="9">
        <v>5</v>
      </c>
      <c r="K782" s="9" t="s">
        <v>204</v>
      </c>
      <c r="L782" s="50" t="s">
        <v>622</v>
      </c>
      <c r="M782">
        <v>1</v>
      </c>
      <c r="N782">
        <v>-2</v>
      </c>
      <c r="O782">
        <v>-2</v>
      </c>
      <c r="P782">
        <v>-1</v>
      </c>
      <c r="Q782">
        <v>-2</v>
      </c>
      <c r="R782">
        <v>1</v>
      </c>
      <c r="S782">
        <v>1</v>
      </c>
      <c r="T782">
        <v>2</v>
      </c>
      <c r="U782">
        <v>1</v>
      </c>
      <c r="V782" t="s">
        <v>971</v>
      </c>
      <c r="W782" t="s">
        <v>989</v>
      </c>
      <c r="X782" t="s">
        <v>997</v>
      </c>
      <c r="Y782" t="s">
        <v>1000</v>
      </c>
      <c r="Z782">
        <v>1</v>
      </c>
      <c r="AA782">
        <f t="shared" si="234"/>
        <v>1</v>
      </c>
      <c r="AB782">
        <f t="shared" si="235"/>
        <v>0</v>
      </c>
      <c r="AC782">
        <f t="shared" si="236"/>
        <v>0</v>
      </c>
      <c r="AD782">
        <f t="shared" si="237"/>
        <v>0</v>
      </c>
      <c r="AE782">
        <f t="shared" si="238"/>
        <v>0</v>
      </c>
      <c r="AF782">
        <f t="shared" si="239"/>
        <v>1</v>
      </c>
      <c r="AG782">
        <f t="shared" si="240"/>
        <v>1</v>
      </c>
      <c r="AH782">
        <f t="shared" si="241"/>
        <v>1</v>
      </c>
      <c r="AI782">
        <f t="shared" si="242"/>
        <v>1</v>
      </c>
      <c r="AJ782" s="9" t="str">
        <f t="shared" si="231"/>
        <v>General</v>
      </c>
      <c r="AK782">
        <f t="shared" si="232"/>
        <v>0</v>
      </c>
      <c r="AL782" s="9">
        <v>1</v>
      </c>
    </row>
    <row r="783" spans="1:38" x14ac:dyDescent="0.35">
      <c r="A783" s="9">
        <v>1</v>
      </c>
      <c r="B783" s="9" t="s">
        <v>87</v>
      </c>
      <c r="C783" s="53">
        <v>43861</v>
      </c>
      <c r="D783" s="53">
        <v>43899</v>
      </c>
      <c r="E783" s="53">
        <v>43969</v>
      </c>
      <c r="F783" s="21">
        <f t="shared" si="243"/>
        <v>70</v>
      </c>
      <c r="G783" s="53">
        <v>43899</v>
      </c>
      <c r="H783" s="9">
        <v>2020</v>
      </c>
      <c r="I783" s="9">
        <v>1</v>
      </c>
      <c r="J783" s="9">
        <v>1</v>
      </c>
      <c r="K783" s="9">
        <v>6</v>
      </c>
      <c r="L783" s="50" t="s">
        <v>619</v>
      </c>
      <c r="N783">
        <v>2</v>
      </c>
      <c r="O783">
        <v>2</v>
      </c>
      <c r="P783">
        <v>2</v>
      </c>
      <c r="Q783">
        <v>2</v>
      </c>
      <c r="R783">
        <v>2</v>
      </c>
      <c r="S783">
        <v>2</v>
      </c>
      <c r="T783">
        <v>2</v>
      </c>
      <c r="U783">
        <v>1</v>
      </c>
      <c r="V783" t="s">
        <v>971</v>
      </c>
      <c r="W783" t="s">
        <v>989</v>
      </c>
      <c r="X783" t="s">
        <v>997</v>
      </c>
      <c r="Y783" t="s">
        <v>1000</v>
      </c>
      <c r="Z783">
        <v>1</v>
      </c>
      <c r="AA783">
        <f t="shared" si="234"/>
        <v>-1</v>
      </c>
      <c r="AB783">
        <f t="shared" si="235"/>
        <v>1</v>
      </c>
      <c r="AC783">
        <f t="shared" si="236"/>
        <v>1</v>
      </c>
      <c r="AD783">
        <f t="shared" si="237"/>
        <v>1</v>
      </c>
      <c r="AE783">
        <f t="shared" si="238"/>
        <v>1</v>
      </c>
      <c r="AF783">
        <f t="shared" si="239"/>
        <v>1</v>
      </c>
      <c r="AG783">
        <f t="shared" si="240"/>
        <v>1</v>
      </c>
      <c r="AH783">
        <f t="shared" si="241"/>
        <v>1</v>
      </c>
      <c r="AI783">
        <f t="shared" si="242"/>
        <v>1</v>
      </c>
      <c r="AJ783" s="9">
        <f t="shared" si="231"/>
        <v>6</v>
      </c>
      <c r="AK783">
        <f t="shared" si="232"/>
        <v>0</v>
      </c>
      <c r="AL783" s="9">
        <v>1</v>
      </c>
    </row>
    <row r="784" spans="1:38" x14ac:dyDescent="0.35">
      <c r="A784" s="9">
        <v>1</v>
      </c>
      <c r="B784" s="9" t="s">
        <v>87</v>
      </c>
      <c r="C784" s="53">
        <v>43861</v>
      </c>
      <c r="D784" s="53">
        <v>43899</v>
      </c>
      <c r="E784" s="53">
        <v>43969</v>
      </c>
      <c r="F784" s="21">
        <f t="shared" si="243"/>
        <v>70</v>
      </c>
      <c r="G784" s="53">
        <v>43899</v>
      </c>
      <c r="H784" s="9">
        <v>2020</v>
      </c>
      <c r="I784" s="9">
        <v>1</v>
      </c>
      <c r="J784" s="9">
        <v>1</v>
      </c>
      <c r="K784" s="9">
        <v>10</v>
      </c>
      <c r="L784" s="50" t="s">
        <v>629</v>
      </c>
      <c r="M784">
        <v>2</v>
      </c>
      <c r="N784">
        <v>2</v>
      </c>
      <c r="O784">
        <v>2</v>
      </c>
      <c r="P784">
        <v>2</v>
      </c>
      <c r="Q784">
        <v>2</v>
      </c>
      <c r="R784">
        <v>2</v>
      </c>
      <c r="S784">
        <v>1</v>
      </c>
      <c r="T784">
        <v>2</v>
      </c>
      <c r="U784">
        <v>1</v>
      </c>
      <c r="V784" t="s">
        <v>971</v>
      </c>
      <c r="W784" t="s">
        <v>989</v>
      </c>
      <c r="X784" t="s">
        <v>997</v>
      </c>
      <c r="Y784" t="s">
        <v>1000</v>
      </c>
      <c r="Z784">
        <v>1</v>
      </c>
      <c r="AA784">
        <f t="shared" si="234"/>
        <v>1</v>
      </c>
      <c r="AB784">
        <f t="shared" si="235"/>
        <v>1</v>
      </c>
      <c r="AC784">
        <f t="shared" si="236"/>
        <v>1</v>
      </c>
      <c r="AD784">
        <f t="shared" si="237"/>
        <v>1</v>
      </c>
      <c r="AE784">
        <f t="shared" si="238"/>
        <v>1</v>
      </c>
      <c r="AF784">
        <f t="shared" si="239"/>
        <v>1</v>
      </c>
      <c r="AG784">
        <f t="shared" si="240"/>
        <v>1</v>
      </c>
      <c r="AH784">
        <f t="shared" si="241"/>
        <v>1</v>
      </c>
      <c r="AI784">
        <f t="shared" si="242"/>
        <v>1</v>
      </c>
      <c r="AJ784" s="9">
        <f t="shared" si="231"/>
        <v>10</v>
      </c>
      <c r="AK784">
        <f t="shared" si="232"/>
        <v>0</v>
      </c>
      <c r="AL784" s="9">
        <v>1</v>
      </c>
    </row>
    <row r="785" spans="1:38" x14ac:dyDescent="0.35">
      <c r="A785" s="9">
        <v>1</v>
      </c>
      <c r="B785" s="9" t="s">
        <v>87</v>
      </c>
      <c r="C785" s="53">
        <v>43861</v>
      </c>
      <c r="D785" s="53">
        <v>43899</v>
      </c>
      <c r="E785" s="53">
        <v>43969</v>
      </c>
      <c r="F785" s="21">
        <f t="shared" si="243"/>
        <v>70</v>
      </c>
      <c r="G785" s="53">
        <v>43899</v>
      </c>
      <c r="H785" s="9">
        <v>2020</v>
      </c>
      <c r="I785" s="9">
        <v>1</v>
      </c>
      <c r="J785" s="9">
        <v>6</v>
      </c>
      <c r="K785" s="9">
        <v>29</v>
      </c>
      <c r="L785" s="50" t="s">
        <v>632</v>
      </c>
      <c r="M785">
        <v>1</v>
      </c>
      <c r="N785">
        <v>1</v>
      </c>
      <c r="O785">
        <v>-2</v>
      </c>
      <c r="P785">
        <v>-1</v>
      </c>
      <c r="Q785">
        <v>2</v>
      </c>
      <c r="R785">
        <v>2</v>
      </c>
      <c r="S785">
        <v>1</v>
      </c>
      <c r="T785">
        <v>-2</v>
      </c>
      <c r="U785">
        <v>1</v>
      </c>
      <c r="V785" t="s">
        <v>971</v>
      </c>
      <c r="W785" t="s">
        <v>989</v>
      </c>
      <c r="X785" t="s">
        <v>997</v>
      </c>
      <c r="Y785" t="s">
        <v>1000</v>
      </c>
      <c r="Z785">
        <v>1</v>
      </c>
      <c r="AA785">
        <f t="shared" si="234"/>
        <v>1</v>
      </c>
      <c r="AB785">
        <f t="shared" si="235"/>
        <v>1</v>
      </c>
      <c r="AC785">
        <f t="shared" si="236"/>
        <v>0</v>
      </c>
      <c r="AD785">
        <f t="shared" si="237"/>
        <v>0</v>
      </c>
      <c r="AE785">
        <f t="shared" si="238"/>
        <v>1</v>
      </c>
      <c r="AF785">
        <f t="shared" si="239"/>
        <v>1</v>
      </c>
      <c r="AG785">
        <f t="shared" si="240"/>
        <v>1</v>
      </c>
      <c r="AH785">
        <f t="shared" si="241"/>
        <v>0</v>
      </c>
      <c r="AI785">
        <f t="shared" si="242"/>
        <v>1</v>
      </c>
      <c r="AJ785" s="9">
        <f t="shared" si="231"/>
        <v>29</v>
      </c>
      <c r="AK785">
        <f t="shared" si="232"/>
        <v>0</v>
      </c>
      <c r="AL785" s="9">
        <v>1</v>
      </c>
    </row>
    <row r="786" spans="1:38" x14ac:dyDescent="0.35">
      <c r="A786" s="9">
        <v>1</v>
      </c>
      <c r="B786" s="9" t="s">
        <v>87</v>
      </c>
      <c r="C786" s="53">
        <v>43861</v>
      </c>
      <c r="D786" s="53">
        <v>43899</v>
      </c>
      <c r="E786" s="53">
        <v>43969</v>
      </c>
      <c r="F786" s="21">
        <f t="shared" si="243"/>
        <v>70</v>
      </c>
      <c r="G786" s="53">
        <v>43899</v>
      </c>
      <c r="H786" s="9">
        <v>2020</v>
      </c>
      <c r="I786" s="9">
        <v>1</v>
      </c>
      <c r="J786" s="9">
        <v>2</v>
      </c>
      <c r="K786" s="9" t="s">
        <v>206</v>
      </c>
      <c r="L786" s="50" t="s">
        <v>617</v>
      </c>
      <c r="M786">
        <v>2</v>
      </c>
      <c r="N786">
        <v>1</v>
      </c>
      <c r="O786">
        <v>2</v>
      </c>
      <c r="P786">
        <v>-1</v>
      </c>
      <c r="Q786">
        <v>-2</v>
      </c>
      <c r="R786">
        <v>2</v>
      </c>
      <c r="S786">
        <v>-1</v>
      </c>
      <c r="T786">
        <v>2</v>
      </c>
      <c r="U786">
        <v>1</v>
      </c>
      <c r="V786" t="s">
        <v>971</v>
      </c>
      <c r="W786" t="s">
        <v>989</v>
      </c>
      <c r="X786" t="s">
        <v>997</v>
      </c>
      <c r="Y786" t="s">
        <v>1000</v>
      </c>
      <c r="Z786">
        <v>1</v>
      </c>
      <c r="AA786">
        <f t="shared" si="234"/>
        <v>1</v>
      </c>
      <c r="AB786">
        <f t="shared" si="235"/>
        <v>1</v>
      </c>
      <c r="AC786">
        <f t="shared" si="236"/>
        <v>1</v>
      </c>
      <c r="AD786">
        <f t="shared" si="237"/>
        <v>0</v>
      </c>
      <c r="AE786">
        <f t="shared" si="238"/>
        <v>0</v>
      </c>
      <c r="AF786">
        <f t="shared" si="239"/>
        <v>1</v>
      </c>
      <c r="AG786">
        <f t="shared" si="240"/>
        <v>0</v>
      </c>
      <c r="AH786">
        <f t="shared" si="241"/>
        <v>1</v>
      </c>
      <c r="AI786">
        <f t="shared" si="242"/>
        <v>1</v>
      </c>
      <c r="AJ786" s="9" t="str">
        <f t="shared" si="231"/>
        <v>Tax exemption/waiver/suspension</v>
      </c>
      <c r="AK786">
        <f t="shared" si="232"/>
        <v>0</v>
      </c>
      <c r="AL786" s="9">
        <v>1</v>
      </c>
    </row>
    <row r="787" spans="1:38" x14ac:dyDescent="0.35">
      <c r="A787" s="9">
        <v>1</v>
      </c>
      <c r="B787" s="9" t="s">
        <v>87</v>
      </c>
      <c r="C787" s="53">
        <v>43861</v>
      </c>
      <c r="D787" s="53">
        <v>43899</v>
      </c>
      <c r="E787" s="53">
        <v>43969</v>
      </c>
      <c r="F787" s="21">
        <f t="shared" si="243"/>
        <v>70</v>
      </c>
      <c r="G787" s="53">
        <v>43899</v>
      </c>
      <c r="H787" s="9">
        <v>2020</v>
      </c>
      <c r="I787" s="9">
        <v>1</v>
      </c>
      <c r="J787" s="9">
        <v>6</v>
      </c>
      <c r="K787" s="9">
        <v>29</v>
      </c>
      <c r="L787" s="50" t="s">
        <v>633</v>
      </c>
      <c r="M787">
        <v>1</v>
      </c>
      <c r="N787">
        <v>1</v>
      </c>
      <c r="O787">
        <v>-2</v>
      </c>
      <c r="P787">
        <v>-1</v>
      </c>
      <c r="Q787">
        <v>-2</v>
      </c>
      <c r="R787">
        <v>2</v>
      </c>
      <c r="S787">
        <v>1</v>
      </c>
      <c r="T787">
        <v>-2</v>
      </c>
      <c r="U787">
        <v>1</v>
      </c>
      <c r="V787" t="s">
        <v>971</v>
      </c>
      <c r="W787" t="s">
        <v>989</v>
      </c>
      <c r="X787" t="s">
        <v>997</v>
      </c>
      <c r="Y787" t="s">
        <v>1000</v>
      </c>
      <c r="Z787">
        <v>1</v>
      </c>
      <c r="AA787">
        <f t="shared" si="234"/>
        <v>1</v>
      </c>
      <c r="AB787">
        <f t="shared" si="235"/>
        <v>1</v>
      </c>
      <c r="AC787">
        <f t="shared" si="236"/>
        <v>0</v>
      </c>
      <c r="AD787">
        <f t="shared" si="237"/>
        <v>0</v>
      </c>
      <c r="AE787">
        <f t="shared" si="238"/>
        <v>0</v>
      </c>
      <c r="AF787">
        <f t="shared" si="239"/>
        <v>1</v>
      </c>
      <c r="AG787">
        <f t="shared" si="240"/>
        <v>1</v>
      </c>
      <c r="AH787">
        <f t="shared" si="241"/>
        <v>0</v>
      </c>
      <c r="AI787">
        <f t="shared" si="242"/>
        <v>1</v>
      </c>
      <c r="AJ787" s="9">
        <f t="shared" si="231"/>
        <v>29</v>
      </c>
      <c r="AK787">
        <f t="shared" si="232"/>
        <v>0</v>
      </c>
      <c r="AL787" s="9">
        <v>1</v>
      </c>
    </row>
    <row r="788" spans="1:38" x14ac:dyDescent="0.35">
      <c r="A788" s="9">
        <v>1</v>
      </c>
      <c r="B788" s="9" t="s">
        <v>87</v>
      </c>
      <c r="C788" s="53">
        <v>43861</v>
      </c>
      <c r="D788" s="53">
        <v>43899</v>
      </c>
      <c r="E788" s="53">
        <v>43969</v>
      </c>
      <c r="F788" s="21">
        <f t="shared" si="243"/>
        <v>70</v>
      </c>
      <c r="G788" s="53">
        <v>43899</v>
      </c>
      <c r="H788" s="9">
        <v>2020</v>
      </c>
      <c r="I788" s="9">
        <v>1</v>
      </c>
      <c r="J788" s="9">
        <v>2</v>
      </c>
      <c r="K788" s="9">
        <v>14</v>
      </c>
      <c r="L788" s="50" t="s">
        <v>625</v>
      </c>
      <c r="M788">
        <v>2</v>
      </c>
      <c r="N788">
        <v>2</v>
      </c>
      <c r="O788">
        <v>2</v>
      </c>
      <c r="P788">
        <v>2</v>
      </c>
      <c r="Q788">
        <v>2</v>
      </c>
      <c r="R788">
        <v>2</v>
      </c>
      <c r="S788">
        <v>1</v>
      </c>
      <c r="T788">
        <v>2</v>
      </c>
      <c r="U788">
        <v>1</v>
      </c>
      <c r="V788" t="s">
        <v>971</v>
      </c>
      <c r="W788" t="s">
        <v>989</v>
      </c>
      <c r="X788" t="s">
        <v>997</v>
      </c>
      <c r="Y788" t="s">
        <v>1000</v>
      </c>
      <c r="Z788">
        <v>1</v>
      </c>
      <c r="AA788">
        <f t="shared" si="234"/>
        <v>1</v>
      </c>
      <c r="AB788">
        <f t="shared" si="235"/>
        <v>1</v>
      </c>
      <c r="AC788">
        <f t="shared" si="236"/>
        <v>1</v>
      </c>
      <c r="AD788">
        <f t="shared" si="237"/>
        <v>1</v>
      </c>
      <c r="AE788">
        <f t="shared" si="238"/>
        <v>1</v>
      </c>
      <c r="AF788">
        <f t="shared" si="239"/>
        <v>1</v>
      </c>
      <c r="AG788">
        <f t="shared" si="240"/>
        <v>1</v>
      </c>
      <c r="AH788">
        <f t="shared" si="241"/>
        <v>1</v>
      </c>
      <c r="AI788">
        <f t="shared" si="242"/>
        <v>1</v>
      </c>
      <c r="AJ788" s="9">
        <f t="shared" si="231"/>
        <v>14</v>
      </c>
      <c r="AK788">
        <f t="shared" si="232"/>
        <v>0</v>
      </c>
      <c r="AL788" s="9">
        <v>1</v>
      </c>
    </row>
    <row r="789" spans="1:38" x14ac:dyDescent="0.35">
      <c r="A789" s="9">
        <v>1</v>
      </c>
      <c r="B789" s="9" t="s">
        <v>87</v>
      </c>
      <c r="C789" s="53">
        <v>43861</v>
      </c>
      <c r="D789" s="53">
        <v>43899</v>
      </c>
      <c r="E789" s="53">
        <v>43969</v>
      </c>
      <c r="F789" s="21">
        <f t="shared" si="243"/>
        <v>70</v>
      </c>
      <c r="G789" s="53">
        <v>43899</v>
      </c>
      <c r="H789" s="9">
        <v>2020</v>
      </c>
      <c r="I789" s="9">
        <v>1</v>
      </c>
      <c r="J789" s="9">
        <v>1</v>
      </c>
      <c r="K789" s="9" t="s">
        <v>206</v>
      </c>
      <c r="L789" s="50" t="s">
        <v>635</v>
      </c>
      <c r="M789">
        <v>2</v>
      </c>
      <c r="N789">
        <v>2</v>
      </c>
      <c r="O789">
        <v>-2</v>
      </c>
      <c r="P789">
        <v>-1</v>
      </c>
      <c r="Q789">
        <v>-2</v>
      </c>
      <c r="R789">
        <v>2</v>
      </c>
      <c r="S789">
        <v>1</v>
      </c>
      <c r="T789">
        <v>-2</v>
      </c>
      <c r="U789">
        <v>1</v>
      </c>
      <c r="V789" t="s">
        <v>971</v>
      </c>
      <c r="W789" t="s">
        <v>989</v>
      </c>
      <c r="X789" t="s">
        <v>997</v>
      </c>
      <c r="Y789" t="s">
        <v>1000</v>
      </c>
      <c r="Z789">
        <v>1</v>
      </c>
      <c r="AA789">
        <f t="shared" si="234"/>
        <v>1</v>
      </c>
      <c r="AB789">
        <f t="shared" si="235"/>
        <v>1</v>
      </c>
      <c r="AC789">
        <f t="shared" si="236"/>
        <v>0</v>
      </c>
      <c r="AD789">
        <f t="shared" si="237"/>
        <v>0</v>
      </c>
      <c r="AE789">
        <f t="shared" si="238"/>
        <v>0</v>
      </c>
      <c r="AF789">
        <f t="shared" si="239"/>
        <v>1</v>
      </c>
      <c r="AG789">
        <f t="shared" si="240"/>
        <v>1</v>
      </c>
      <c r="AH789">
        <f t="shared" si="241"/>
        <v>0</v>
      </c>
      <c r="AI789">
        <f t="shared" si="242"/>
        <v>1</v>
      </c>
      <c r="AJ789" s="9" t="str">
        <f t="shared" si="231"/>
        <v>Tax exemption/waiver/suspension</v>
      </c>
      <c r="AK789">
        <f t="shared" si="232"/>
        <v>0</v>
      </c>
      <c r="AL789" s="9">
        <v>1</v>
      </c>
    </row>
    <row r="790" spans="1:38" x14ac:dyDescent="0.35">
      <c r="A790" s="9">
        <v>1</v>
      </c>
      <c r="B790" s="9" t="s">
        <v>87</v>
      </c>
      <c r="C790" s="53">
        <v>43861</v>
      </c>
      <c r="D790" s="53">
        <v>43899</v>
      </c>
      <c r="E790" s="53">
        <v>43969</v>
      </c>
      <c r="F790" s="21">
        <f t="shared" si="243"/>
        <v>70</v>
      </c>
      <c r="G790" s="53">
        <v>43899</v>
      </c>
      <c r="H790" s="9">
        <v>2020</v>
      </c>
      <c r="I790" s="9">
        <v>1</v>
      </c>
      <c r="J790" s="9">
        <v>1</v>
      </c>
      <c r="K790" s="9">
        <v>6</v>
      </c>
      <c r="L790" s="50" t="s">
        <v>624</v>
      </c>
      <c r="M790">
        <v>2</v>
      </c>
      <c r="N790">
        <v>2</v>
      </c>
      <c r="O790">
        <v>2</v>
      </c>
      <c r="P790">
        <v>2</v>
      </c>
      <c r="Q790">
        <v>2</v>
      </c>
      <c r="R790">
        <v>2</v>
      </c>
      <c r="S790">
        <v>1</v>
      </c>
      <c r="T790">
        <v>2</v>
      </c>
      <c r="U790">
        <v>1</v>
      </c>
      <c r="V790" t="s">
        <v>971</v>
      </c>
      <c r="W790" t="s">
        <v>989</v>
      </c>
      <c r="X790" t="s">
        <v>997</v>
      </c>
      <c r="Y790" t="s">
        <v>1000</v>
      </c>
      <c r="Z790">
        <v>1</v>
      </c>
      <c r="AA790">
        <f t="shared" si="234"/>
        <v>1</v>
      </c>
      <c r="AB790">
        <f t="shared" si="235"/>
        <v>1</v>
      </c>
      <c r="AC790">
        <f t="shared" si="236"/>
        <v>1</v>
      </c>
      <c r="AD790">
        <f t="shared" si="237"/>
        <v>1</v>
      </c>
      <c r="AE790">
        <f t="shared" si="238"/>
        <v>1</v>
      </c>
      <c r="AF790">
        <f t="shared" si="239"/>
        <v>1</v>
      </c>
      <c r="AG790">
        <f t="shared" si="240"/>
        <v>1</v>
      </c>
      <c r="AH790">
        <f t="shared" si="241"/>
        <v>1</v>
      </c>
      <c r="AI790">
        <f t="shared" si="242"/>
        <v>1</v>
      </c>
      <c r="AJ790" s="9">
        <f t="shared" si="231"/>
        <v>6</v>
      </c>
      <c r="AK790">
        <f t="shared" si="232"/>
        <v>0</v>
      </c>
      <c r="AL790" s="9">
        <v>1</v>
      </c>
    </row>
    <row r="791" spans="1:38" x14ac:dyDescent="0.35">
      <c r="A791" s="9">
        <v>1</v>
      </c>
      <c r="B791" s="9" t="s">
        <v>87</v>
      </c>
      <c r="C791" s="53">
        <v>43861</v>
      </c>
      <c r="D791" s="53">
        <v>43899</v>
      </c>
      <c r="E791" s="53">
        <v>43969</v>
      </c>
      <c r="F791" s="21">
        <f t="shared" si="243"/>
        <v>70</v>
      </c>
      <c r="G791" s="53">
        <v>43899</v>
      </c>
      <c r="H791" s="9">
        <v>2020</v>
      </c>
      <c r="I791" s="9">
        <v>1</v>
      </c>
      <c r="J791" s="9">
        <v>6</v>
      </c>
      <c r="K791" s="9">
        <v>25</v>
      </c>
      <c r="L791" s="50" t="s">
        <v>620</v>
      </c>
      <c r="M791">
        <v>1</v>
      </c>
      <c r="N791">
        <v>1</v>
      </c>
      <c r="O791">
        <v>-2</v>
      </c>
      <c r="P791">
        <v>-1</v>
      </c>
      <c r="Q791">
        <v>2</v>
      </c>
      <c r="R791">
        <v>1</v>
      </c>
      <c r="S791">
        <v>1</v>
      </c>
      <c r="T791">
        <v>-2</v>
      </c>
      <c r="U791">
        <v>1</v>
      </c>
      <c r="V791" t="s">
        <v>971</v>
      </c>
      <c r="W791" t="s">
        <v>989</v>
      </c>
      <c r="X791" t="s">
        <v>997</v>
      </c>
      <c r="Y791" t="s">
        <v>1000</v>
      </c>
      <c r="Z791">
        <v>1</v>
      </c>
      <c r="AA791">
        <f t="shared" si="234"/>
        <v>1</v>
      </c>
      <c r="AB791">
        <f t="shared" si="235"/>
        <v>1</v>
      </c>
      <c r="AC791">
        <f t="shared" si="236"/>
        <v>0</v>
      </c>
      <c r="AD791">
        <f t="shared" si="237"/>
        <v>0</v>
      </c>
      <c r="AE791">
        <f t="shared" si="238"/>
        <v>1</v>
      </c>
      <c r="AF791">
        <f t="shared" si="239"/>
        <v>1</v>
      </c>
      <c r="AG791">
        <f t="shared" si="240"/>
        <v>1</v>
      </c>
      <c r="AH791">
        <f t="shared" si="241"/>
        <v>0</v>
      </c>
      <c r="AI791">
        <f t="shared" si="242"/>
        <v>1</v>
      </c>
      <c r="AJ791" s="9">
        <f t="shared" si="231"/>
        <v>25</v>
      </c>
      <c r="AK791">
        <f t="shared" si="232"/>
        <v>0</v>
      </c>
      <c r="AL791" s="9">
        <v>1</v>
      </c>
    </row>
    <row r="792" spans="1:38" x14ac:dyDescent="0.35">
      <c r="A792" s="9">
        <v>1</v>
      </c>
      <c r="B792" s="9" t="s">
        <v>87</v>
      </c>
      <c r="C792" s="53">
        <v>43861</v>
      </c>
      <c r="D792" s="53">
        <v>43899</v>
      </c>
      <c r="E792" s="53">
        <v>43969</v>
      </c>
      <c r="F792" s="21">
        <f t="shared" si="243"/>
        <v>70</v>
      </c>
      <c r="G792" s="53">
        <v>43899</v>
      </c>
      <c r="H792" s="9">
        <v>2020</v>
      </c>
      <c r="I792" s="9">
        <v>1</v>
      </c>
      <c r="J792" s="9">
        <v>1</v>
      </c>
      <c r="K792" s="9">
        <v>12</v>
      </c>
      <c r="L792" s="50" t="s">
        <v>630</v>
      </c>
      <c r="M792">
        <v>-2</v>
      </c>
      <c r="N792">
        <v>2</v>
      </c>
      <c r="O792">
        <v>-2</v>
      </c>
      <c r="R792">
        <v>2</v>
      </c>
      <c r="S792">
        <v>2</v>
      </c>
      <c r="T792">
        <v>2</v>
      </c>
      <c r="U792">
        <v>1</v>
      </c>
      <c r="V792" t="s">
        <v>971</v>
      </c>
      <c r="W792" t="s">
        <v>989</v>
      </c>
      <c r="X792" t="s">
        <v>997</v>
      </c>
      <c r="Y792" t="s">
        <v>1000</v>
      </c>
      <c r="Z792">
        <v>1</v>
      </c>
      <c r="AA792">
        <f t="shared" si="234"/>
        <v>0</v>
      </c>
      <c r="AB792">
        <f t="shared" si="235"/>
        <v>1</v>
      </c>
      <c r="AC792">
        <f t="shared" si="236"/>
        <v>0</v>
      </c>
      <c r="AD792">
        <f t="shared" si="237"/>
        <v>-1</v>
      </c>
      <c r="AE792">
        <f t="shared" si="238"/>
        <v>-1</v>
      </c>
      <c r="AF792">
        <f t="shared" si="239"/>
        <v>1</v>
      </c>
      <c r="AG792">
        <f t="shared" si="240"/>
        <v>1</v>
      </c>
      <c r="AH792">
        <f t="shared" si="241"/>
        <v>1</v>
      </c>
      <c r="AI792">
        <f t="shared" si="242"/>
        <v>1</v>
      </c>
      <c r="AJ792" s="9">
        <f t="shared" si="231"/>
        <v>12</v>
      </c>
      <c r="AK792">
        <f t="shared" si="232"/>
        <v>0</v>
      </c>
      <c r="AL792" s="9">
        <v>1</v>
      </c>
    </row>
    <row r="793" spans="1:38" x14ac:dyDescent="0.35">
      <c r="A793" s="9">
        <v>1</v>
      </c>
      <c r="B793" s="9" t="s">
        <v>87</v>
      </c>
      <c r="C793" s="53">
        <v>43861</v>
      </c>
      <c r="D793" s="53">
        <v>43899</v>
      </c>
      <c r="E793" s="53">
        <v>43969</v>
      </c>
      <c r="F793" s="21">
        <f t="shared" si="243"/>
        <v>70</v>
      </c>
      <c r="G793" s="53">
        <v>43899</v>
      </c>
      <c r="H793" s="9">
        <v>2020</v>
      </c>
      <c r="I793" s="9">
        <v>1</v>
      </c>
      <c r="J793" s="9">
        <v>7</v>
      </c>
      <c r="K793" s="9">
        <v>30</v>
      </c>
      <c r="L793" s="50" t="s">
        <v>634</v>
      </c>
      <c r="M793">
        <v>1</v>
      </c>
      <c r="N793">
        <v>1</v>
      </c>
      <c r="O793">
        <v>2</v>
      </c>
      <c r="P793">
        <v>1</v>
      </c>
      <c r="Q793">
        <v>-2</v>
      </c>
      <c r="R793">
        <v>2</v>
      </c>
      <c r="S793">
        <v>1</v>
      </c>
      <c r="T793">
        <v>-2</v>
      </c>
      <c r="U793">
        <v>1</v>
      </c>
      <c r="V793" t="s">
        <v>971</v>
      </c>
      <c r="W793" t="s">
        <v>989</v>
      </c>
      <c r="X793" t="s">
        <v>997</v>
      </c>
      <c r="Y793" t="s">
        <v>1000</v>
      </c>
      <c r="Z793">
        <v>1</v>
      </c>
      <c r="AA793">
        <f t="shared" si="234"/>
        <v>1</v>
      </c>
      <c r="AB793">
        <f t="shared" si="235"/>
        <v>1</v>
      </c>
      <c r="AC793">
        <f t="shared" si="236"/>
        <v>1</v>
      </c>
      <c r="AD793">
        <f t="shared" si="237"/>
        <v>1</v>
      </c>
      <c r="AE793">
        <f t="shared" si="238"/>
        <v>0</v>
      </c>
      <c r="AF793">
        <f t="shared" si="239"/>
        <v>1</v>
      </c>
      <c r="AG793">
        <f t="shared" si="240"/>
        <v>1</v>
      </c>
      <c r="AH793">
        <f t="shared" si="241"/>
        <v>0</v>
      </c>
      <c r="AI793">
        <f t="shared" si="242"/>
        <v>1</v>
      </c>
      <c r="AJ793" s="9">
        <f t="shared" si="231"/>
        <v>30</v>
      </c>
      <c r="AK793">
        <f t="shared" si="232"/>
        <v>0</v>
      </c>
      <c r="AL793" s="9">
        <v>1</v>
      </c>
    </row>
    <row r="794" spans="1:38" x14ac:dyDescent="0.35">
      <c r="A794" s="9">
        <v>1</v>
      </c>
      <c r="B794" s="9" t="s">
        <v>87</v>
      </c>
      <c r="C794" s="53">
        <v>43861</v>
      </c>
      <c r="D794" s="53">
        <v>43899</v>
      </c>
      <c r="E794" s="53">
        <v>43969</v>
      </c>
      <c r="F794" s="21">
        <f t="shared" si="243"/>
        <v>70</v>
      </c>
      <c r="G794" s="53">
        <v>43899</v>
      </c>
      <c r="H794" s="9">
        <v>2020</v>
      </c>
      <c r="I794" s="9">
        <v>1</v>
      </c>
      <c r="J794" s="9">
        <v>6</v>
      </c>
      <c r="K794" s="9">
        <v>25</v>
      </c>
      <c r="L794" s="50" t="s">
        <v>626</v>
      </c>
      <c r="M794">
        <v>1</v>
      </c>
      <c r="N794">
        <v>1</v>
      </c>
      <c r="O794">
        <v>-2</v>
      </c>
      <c r="P794">
        <v>-1</v>
      </c>
      <c r="Q794">
        <v>2</v>
      </c>
      <c r="R794">
        <v>1</v>
      </c>
      <c r="S794">
        <v>1</v>
      </c>
      <c r="T794">
        <v>-2</v>
      </c>
      <c r="U794">
        <v>1</v>
      </c>
      <c r="V794" t="s">
        <v>971</v>
      </c>
      <c r="W794" t="s">
        <v>989</v>
      </c>
      <c r="X794" t="s">
        <v>997</v>
      </c>
      <c r="Y794" t="s">
        <v>1000</v>
      </c>
      <c r="Z794">
        <v>1</v>
      </c>
      <c r="AA794">
        <f t="shared" si="234"/>
        <v>1</v>
      </c>
      <c r="AB794">
        <f t="shared" si="235"/>
        <v>1</v>
      </c>
      <c r="AC794">
        <f t="shared" si="236"/>
        <v>0</v>
      </c>
      <c r="AD794">
        <f t="shared" si="237"/>
        <v>0</v>
      </c>
      <c r="AE794">
        <f t="shared" si="238"/>
        <v>1</v>
      </c>
      <c r="AF794">
        <f t="shared" si="239"/>
        <v>1</v>
      </c>
      <c r="AG794">
        <f t="shared" si="240"/>
        <v>1</v>
      </c>
      <c r="AH794">
        <f t="shared" si="241"/>
        <v>0</v>
      </c>
      <c r="AI794">
        <f t="shared" si="242"/>
        <v>1</v>
      </c>
      <c r="AJ794" s="9">
        <f t="shared" si="231"/>
        <v>25</v>
      </c>
      <c r="AK794">
        <f t="shared" si="232"/>
        <v>0</v>
      </c>
      <c r="AL794" s="9">
        <v>1</v>
      </c>
    </row>
    <row r="795" spans="1:38" x14ac:dyDescent="0.35">
      <c r="A795" s="9">
        <v>1</v>
      </c>
      <c r="B795" s="9" t="s">
        <v>87</v>
      </c>
      <c r="C795" s="53">
        <v>43861</v>
      </c>
      <c r="D795" s="53">
        <v>43899</v>
      </c>
      <c r="E795" s="53">
        <v>43969</v>
      </c>
      <c r="F795" s="21">
        <f t="shared" si="243"/>
        <v>70</v>
      </c>
      <c r="G795" s="53">
        <v>43899</v>
      </c>
      <c r="H795" s="9">
        <v>2020</v>
      </c>
      <c r="I795" s="9">
        <v>1</v>
      </c>
      <c r="J795" s="9">
        <v>6</v>
      </c>
      <c r="K795" s="9">
        <v>25</v>
      </c>
      <c r="L795" s="50" t="s">
        <v>612</v>
      </c>
      <c r="M795">
        <v>1</v>
      </c>
      <c r="N795">
        <v>1</v>
      </c>
      <c r="O795">
        <v>2</v>
      </c>
      <c r="P795">
        <v>-1</v>
      </c>
      <c r="Q795">
        <v>2</v>
      </c>
      <c r="R795">
        <v>1</v>
      </c>
      <c r="S795">
        <v>1</v>
      </c>
      <c r="T795">
        <v>-2</v>
      </c>
      <c r="U795">
        <v>1</v>
      </c>
      <c r="V795" t="s">
        <v>971</v>
      </c>
      <c r="W795" t="s">
        <v>989</v>
      </c>
      <c r="X795" t="s">
        <v>997</v>
      </c>
      <c r="Y795" t="s">
        <v>1000</v>
      </c>
      <c r="Z795">
        <v>1</v>
      </c>
      <c r="AA795">
        <f t="shared" si="234"/>
        <v>1</v>
      </c>
      <c r="AB795">
        <f t="shared" si="235"/>
        <v>1</v>
      </c>
      <c r="AC795">
        <f t="shared" si="236"/>
        <v>1</v>
      </c>
      <c r="AD795">
        <f t="shared" si="237"/>
        <v>0</v>
      </c>
      <c r="AE795">
        <f t="shared" si="238"/>
        <v>1</v>
      </c>
      <c r="AF795">
        <f t="shared" si="239"/>
        <v>1</v>
      </c>
      <c r="AG795">
        <f t="shared" si="240"/>
        <v>1</v>
      </c>
      <c r="AH795">
        <f t="shared" si="241"/>
        <v>0</v>
      </c>
      <c r="AI795">
        <f t="shared" si="242"/>
        <v>1</v>
      </c>
      <c r="AJ795" s="9">
        <f t="shared" si="231"/>
        <v>25</v>
      </c>
      <c r="AK795">
        <f t="shared" si="232"/>
        <v>0</v>
      </c>
      <c r="AL795" s="9">
        <v>0</v>
      </c>
    </row>
    <row r="796" spans="1:38" x14ac:dyDescent="0.35">
      <c r="A796" s="9">
        <v>1</v>
      </c>
      <c r="B796" s="50" t="s">
        <v>87</v>
      </c>
      <c r="C796" s="53">
        <v>43861</v>
      </c>
      <c r="D796" s="53">
        <v>43899</v>
      </c>
      <c r="E796" s="53">
        <v>43969</v>
      </c>
      <c r="F796" s="21">
        <f t="shared" si="243"/>
        <v>70</v>
      </c>
      <c r="G796" s="53">
        <v>43899</v>
      </c>
      <c r="H796" s="9">
        <v>2020</v>
      </c>
      <c r="I796" s="9">
        <v>1</v>
      </c>
      <c r="J796" s="50">
        <v>6</v>
      </c>
      <c r="K796" s="50">
        <v>25</v>
      </c>
      <c r="L796" s="24" t="s">
        <v>1888</v>
      </c>
      <c r="M796" s="24"/>
      <c r="V796" t="s">
        <v>971</v>
      </c>
      <c r="W796" t="s">
        <v>989</v>
      </c>
      <c r="X796" t="s">
        <v>997</v>
      </c>
      <c r="Y796" t="s">
        <v>1000</v>
      </c>
      <c r="Z796">
        <v>1</v>
      </c>
      <c r="AA796">
        <v>-1</v>
      </c>
      <c r="AB796">
        <v>-1</v>
      </c>
      <c r="AC796">
        <v>-1</v>
      </c>
      <c r="AD796">
        <v>-1</v>
      </c>
      <c r="AE796">
        <v>-1</v>
      </c>
      <c r="AF796">
        <v>-1</v>
      </c>
      <c r="AG796">
        <v>-1</v>
      </c>
      <c r="AH796">
        <v>-1</v>
      </c>
      <c r="AI796">
        <v>-1</v>
      </c>
      <c r="AJ796" s="9">
        <f t="shared" si="231"/>
        <v>25</v>
      </c>
      <c r="AK796">
        <f t="shared" si="232"/>
        <v>0</v>
      </c>
      <c r="AL796" s="9">
        <v>0</v>
      </c>
    </row>
    <row r="797" spans="1:38" x14ac:dyDescent="0.35">
      <c r="A797" s="9">
        <v>1</v>
      </c>
      <c r="B797" s="50" t="s">
        <v>87</v>
      </c>
      <c r="C797" s="53">
        <v>43861</v>
      </c>
      <c r="D797" s="53">
        <v>43899</v>
      </c>
      <c r="E797" s="53">
        <v>43969</v>
      </c>
      <c r="F797" s="21">
        <f t="shared" si="243"/>
        <v>70</v>
      </c>
      <c r="G797" s="53">
        <v>43899</v>
      </c>
      <c r="H797" s="9">
        <v>2020</v>
      </c>
      <c r="I797" s="9">
        <v>1</v>
      </c>
      <c r="J797" s="50">
        <v>5</v>
      </c>
      <c r="K797" s="50">
        <v>24</v>
      </c>
      <c r="L797" s="24" t="s">
        <v>1465</v>
      </c>
      <c r="M797" s="24"/>
      <c r="V797" t="s">
        <v>971</v>
      </c>
      <c r="W797" t="s">
        <v>989</v>
      </c>
      <c r="X797" t="s">
        <v>997</v>
      </c>
      <c r="Y797" t="s">
        <v>1000</v>
      </c>
      <c r="Z797">
        <v>1</v>
      </c>
      <c r="AA797">
        <v>-1</v>
      </c>
      <c r="AB797">
        <v>-1</v>
      </c>
      <c r="AC797">
        <v>-1</v>
      </c>
      <c r="AD797">
        <v>-1</v>
      </c>
      <c r="AE797">
        <v>-1</v>
      </c>
      <c r="AF797">
        <v>-1</v>
      </c>
      <c r="AG797">
        <v>-1</v>
      </c>
      <c r="AH797">
        <v>-1</v>
      </c>
      <c r="AI797">
        <v>-1</v>
      </c>
      <c r="AJ797" s="9">
        <f t="shared" si="231"/>
        <v>24</v>
      </c>
      <c r="AK797">
        <f t="shared" si="232"/>
        <v>0</v>
      </c>
      <c r="AL797" s="9">
        <v>0</v>
      </c>
    </row>
    <row r="798" spans="1:38" x14ac:dyDescent="0.35">
      <c r="A798" s="9">
        <v>1</v>
      </c>
      <c r="B798" s="50" t="s">
        <v>87</v>
      </c>
      <c r="C798" s="53">
        <v>43861</v>
      </c>
      <c r="D798" s="53">
        <v>43899</v>
      </c>
      <c r="E798" s="53">
        <v>43969</v>
      </c>
      <c r="F798" s="21">
        <f t="shared" si="243"/>
        <v>70</v>
      </c>
      <c r="G798" s="53">
        <v>43899</v>
      </c>
      <c r="H798" s="9">
        <v>2020</v>
      </c>
      <c r="I798" s="9">
        <v>1</v>
      </c>
      <c r="J798" s="50">
        <v>5</v>
      </c>
      <c r="K798" s="50" t="s">
        <v>204</v>
      </c>
      <c r="L798" s="24" t="s">
        <v>1466</v>
      </c>
      <c r="M798" s="24"/>
      <c r="V798" t="s">
        <v>971</v>
      </c>
      <c r="W798" t="s">
        <v>989</v>
      </c>
      <c r="X798" t="s">
        <v>997</v>
      </c>
      <c r="Y798" t="s">
        <v>1000</v>
      </c>
      <c r="Z798">
        <v>1</v>
      </c>
      <c r="AA798">
        <v>-1</v>
      </c>
      <c r="AB798">
        <v>-1</v>
      </c>
      <c r="AC798">
        <v>-1</v>
      </c>
      <c r="AD798">
        <v>-1</v>
      </c>
      <c r="AE798">
        <v>-1</v>
      </c>
      <c r="AF798">
        <v>-1</v>
      </c>
      <c r="AG798">
        <v>-1</v>
      </c>
      <c r="AH798">
        <v>-1</v>
      </c>
      <c r="AI798">
        <v>-1</v>
      </c>
      <c r="AJ798" s="9" t="str">
        <f t="shared" si="231"/>
        <v>General</v>
      </c>
      <c r="AK798">
        <f t="shared" si="232"/>
        <v>0</v>
      </c>
      <c r="AL798" s="9">
        <v>0</v>
      </c>
    </row>
    <row r="799" spans="1:38" x14ac:dyDescent="0.35">
      <c r="A799" s="9">
        <v>1</v>
      </c>
      <c r="B799" s="50" t="s">
        <v>87</v>
      </c>
      <c r="C799" s="53">
        <v>43861</v>
      </c>
      <c r="D799" s="53">
        <v>43899</v>
      </c>
      <c r="E799" s="53">
        <v>43969</v>
      </c>
      <c r="F799" s="21">
        <f t="shared" si="243"/>
        <v>70</v>
      </c>
      <c r="G799" s="53">
        <v>43899</v>
      </c>
      <c r="H799" s="9">
        <v>2020</v>
      </c>
      <c r="I799" s="9">
        <v>1</v>
      </c>
      <c r="J799" s="50">
        <v>5</v>
      </c>
      <c r="K799" s="50" t="s">
        <v>204</v>
      </c>
      <c r="L799" s="24" t="s">
        <v>1467</v>
      </c>
      <c r="M799" s="24"/>
      <c r="V799" t="s">
        <v>971</v>
      </c>
      <c r="W799" t="s">
        <v>989</v>
      </c>
      <c r="X799" t="s">
        <v>997</v>
      </c>
      <c r="Y799" t="s">
        <v>1000</v>
      </c>
      <c r="Z799">
        <v>1</v>
      </c>
      <c r="AA799">
        <v>-1</v>
      </c>
      <c r="AB799">
        <v>-1</v>
      </c>
      <c r="AC799">
        <v>-1</v>
      </c>
      <c r="AD799">
        <v>-1</v>
      </c>
      <c r="AE799">
        <v>-1</v>
      </c>
      <c r="AF799">
        <v>-1</v>
      </c>
      <c r="AG799">
        <v>-1</v>
      </c>
      <c r="AH799">
        <v>-1</v>
      </c>
      <c r="AI799">
        <v>-1</v>
      </c>
      <c r="AJ799" s="9" t="str">
        <f t="shared" si="231"/>
        <v>General</v>
      </c>
      <c r="AK799">
        <f t="shared" si="232"/>
        <v>0</v>
      </c>
      <c r="AL799" s="9">
        <v>0</v>
      </c>
    </row>
    <row r="800" spans="1:38" x14ac:dyDescent="0.35">
      <c r="A800" s="9">
        <v>1</v>
      </c>
      <c r="B800" s="50" t="s">
        <v>87</v>
      </c>
      <c r="C800" s="53">
        <v>43861</v>
      </c>
      <c r="D800" s="53">
        <v>43899</v>
      </c>
      <c r="E800" s="53">
        <v>43969</v>
      </c>
      <c r="F800" s="21">
        <f t="shared" si="243"/>
        <v>70</v>
      </c>
      <c r="G800" s="53">
        <v>43899</v>
      </c>
      <c r="H800" s="9">
        <v>2020</v>
      </c>
      <c r="I800" s="9">
        <v>1</v>
      </c>
      <c r="J800" s="50">
        <v>7</v>
      </c>
      <c r="K800" s="50">
        <v>31</v>
      </c>
      <c r="L800" s="24" t="s">
        <v>1887</v>
      </c>
      <c r="M800" s="24"/>
      <c r="V800" t="s">
        <v>971</v>
      </c>
      <c r="W800" t="s">
        <v>989</v>
      </c>
      <c r="X800" t="s">
        <v>997</v>
      </c>
      <c r="Y800" t="s">
        <v>1000</v>
      </c>
      <c r="Z800">
        <v>1</v>
      </c>
      <c r="AA800">
        <v>-1</v>
      </c>
      <c r="AB800">
        <v>-1</v>
      </c>
      <c r="AC800">
        <v>-1</v>
      </c>
      <c r="AD800">
        <v>-1</v>
      </c>
      <c r="AE800">
        <v>-1</v>
      </c>
      <c r="AF800">
        <v>-1</v>
      </c>
      <c r="AG800">
        <v>-1</v>
      </c>
      <c r="AH800">
        <v>-1</v>
      </c>
      <c r="AI800">
        <v>-1</v>
      </c>
      <c r="AJ800" s="9">
        <f t="shared" si="231"/>
        <v>31</v>
      </c>
      <c r="AK800">
        <f t="shared" si="232"/>
        <v>0</v>
      </c>
      <c r="AL800" s="9">
        <v>0</v>
      </c>
    </row>
    <row r="801" spans="1:38" x14ac:dyDescent="0.35">
      <c r="A801" s="9">
        <v>1</v>
      </c>
      <c r="B801" s="50" t="s">
        <v>87</v>
      </c>
      <c r="C801" s="53">
        <v>43861</v>
      </c>
      <c r="D801" s="53">
        <v>43899</v>
      </c>
      <c r="E801" s="53">
        <v>43969</v>
      </c>
      <c r="F801" s="21">
        <f t="shared" si="243"/>
        <v>70</v>
      </c>
      <c r="G801" s="53">
        <v>43899</v>
      </c>
      <c r="H801" s="9">
        <v>2020</v>
      </c>
      <c r="I801" s="9">
        <v>1</v>
      </c>
      <c r="J801" s="50">
        <v>6</v>
      </c>
      <c r="K801" s="50">
        <v>29</v>
      </c>
      <c r="L801" s="24" t="s">
        <v>1794</v>
      </c>
      <c r="M801" s="24"/>
      <c r="V801" t="s">
        <v>971</v>
      </c>
      <c r="W801" t="s">
        <v>989</v>
      </c>
      <c r="X801" t="s">
        <v>997</v>
      </c>
      <c r="Y801" t="s">
        <v>1000</v>
      </c>
      <c r="Z801">
        <v>1</v>
      </c>
      <c r="AA801">
        <v>-1</v>
      </c>
      <c r="AB801">
        <v>-1</v>
      </c>
      <c r="AC801">
        <v>-1</v>
      </c>
      <c r="AD801">
        <v>-1</v>
      </c>
      <c r="AE801">
        <v>-1</v>
      </c>
      <c r="AF801">
        <v>-1</v>
      </c>
      <c r="AG801">
        <v>-1</v>
      </c>
      <c r="AH801">
        <v>-1</v>
      </c>
      <c r="AI801">
        <v>-1</v>
      </c>
      <c r="AJ801" s="9">
        <f t="shared" si="231"/>
        <v>29</v>
      </c>
      <c r="AK801">
        <f t="shared" si="232"/>
        <v>0</v>
      </c>
      <c r="AL801" s="9">
        <v>0</v>
      </c>
    </row>
    <row r="802" spans="1:38" x14ac:dyDescent="0.35">
      <c r="A802" s="9">
        <v>1</v>
      </c>
      <c r="B802" s="50" t="s">
        <v>87</v>
      </c>
      <c r="C802" s="53">
        <v>43861</v>
      </c>
      <c r="D802" s="53">
        <v>43899</v>
      </c>
      <c r="E802" s="53">
        <v>43969</v>
      </c>
      <c r="F802" s="21">
        <f t="shared" si="243"/>
        <v>70</v>
      </c>
      <c r="G802" s="53">
        <v>43899</v>
      </c>
      <c r="H802" s="9">
        <v>2020</v>
      </c>
      <c r="I802" s="9">
        <v>1</v>
      </c>
      <c r="J802" s="50">
        <v>1</v>
      </c>
      <c r="K802" s="50" t="s">
        <v>206</v>
      </c>
      <c r="L802" s="24" t="s">
        <v>1795</v>
      </c>
      <c r="M802" s="24"/>
      <c r="V802" t="s">
        <v>971</v>
      </c>
      <c r="W802" t="s">
        <v>989</v>
      </c>
      <c r="X802" t="s">
        <v>997</v>
      </c>
      <c r="Y802" t="s">
        <v>1000</v>
      </c>
      <c r="Z802">
        <v>1</v>
      </c>
      <c r="AA802">
        <v>-1</v>
      </c>
      <c r="AB802">
        <v>-1</v>
      </c>
      <c r="AC802">
        <v>-1</v>
      </c>
      <c r="AD802">
        <v>-1</v>
      </c>
      <c r="AE802">
        <v>-1</v>
      </c>
      <c r="AF802">
        <v>-1</v>
      </c>
      <c r="AG802">
        <v>-1</v>
      </c>
      <c r="AH802">
        <v>-1</v>
      </c>
      <c r="AI802">
        <v>-1</v>
      </c>
      <c r="AJ802" s="9" t="str">
        <f t="shared" si="231"/>
        <v>Tax exemption/waiver/suspension</v>
      </c>
      <c r="AK802">
        <f t="shared" si="232"/>
        <v>0</v>
      </c>
      <c r="AL802" s="9">
        <v>0</v>
      </c>
    </row>
    <row r="803" spans="1:38" x14ac:dyDescent="0.35">
      <c r="A803" s="9">
        <v>1</v>
      </c>
      <c r="B803" s="50" t="s">
        <v>87</v>
      </c>
      <c r="C803" s="53">
        <v>43861</v>
      </c>
      <c r="D803" s="53">
        <v>43899</v>
      </c>
      <c r="E803" s="53">
        <v>43969</v>
      </c>
      <c r="F803" s="21">
        <f t="shared" si="243"/>
        <v>70</v>
      </c>
      <c r="G803" s="53">
        <v>43899</v>
      </c>
      <c r="H803" s="9">
        <v>2020</v>
      </c>
      <c r="I803" s="9">
        <v>1</v>
      </c>
      <c r="J803" s="50">
        <v>1</v>
      </c>
      <c r="K803" s="50">
        <v>6</v>
      </c>
      <c r="L803" s="24" t="s">
        <v>1796</v>
      </c>
      <c r="M803" s="24"/>
      <c r="V803" t="s">
        <v>971</v>
      </c>
      <c r="W803" t="s">
        <v>989</v>
      </c>
      <c r="X803" t="s">
        <v>997</v>
      </c>
      <c r="Y803" t="s">
        <v>1000</v>
      </c>
      <c r="Z803">
        <v>1</v>
      </c>
      <c r="AA803">
        <v>-1</v>
      </c>
      <c r="AB803">
        <v>-1</v>
      </c>
      <c r="AC803">
        <v>-1</v>
      </c>
      <c r="AD803">
        <v>-1</v>
      </c>
      <c r="AE803">
        <v>-1</v>
      </c>
      <c r="AF803">
        <v>-1</v>
      </c>
      <c r="AG803">
        <v>-1</v>
      </c>
      <c r="AH803">
        <v>-1</v>
      </c>
      <c r="AI803">
        <v>-1</v>
      </c>
      <c r="AJ803" s="9">
        <f t="shared" si="231"/>
        <v>6</v>
      </c>
      <c r="AK803">
        <f t="shared" si="232"/>
        <v>0</v>
      </c>
      <c r="AL803" s="9">
        <v>0</v>
      </c>
    </row>
    <row r="804" spans="1:38" x14ac:dyDescent="0.35">
      <c r="A804" s="9">
        <v>1</v>
      </c>
      <c r="B804" s="50" t="s">
        <v>87</v>
      </c>
      <c r="C804" s="53">
        <v>43861</v>
      </c>
      <c r="D804" s="53">
        <v>43899</v>
      </c>
      <c r="E804" s="53">
        <v>43969</v>
      </c>
      <c r="F804" s="21">
        <f t="shared" si="243"/>
        <v>70</v>
      </c>
      <c r="G804" s="53">
        <v>43899</v>
      </c>
      <c r="H804" s="9">
        <v>2020</v>
      </c>
      <c r="I804" s="9">
        <v>1</v>
      </c>
      <c r="J804" s="50">
        <v>3</v>
      </c>
      <c r="K804" s="50" t="s">
        <v>206</v>
      </c>
      <c r="L804" s="24" t="s">
        <v>1468</v>
      </c>
      <c r="M804" s="24"/>
      <c r="V804" t="s">
        <v>971</v>
      </c>
      <c r="W804" t="s">
        <v>989</v>
      </c>
      <c r="X804" t="s">
        <v>997</v>
      </c>
      <c r="Y804" t="s">
        <v>1000</v>
      </c>
      <c r="Z804">
        <v>1</v>
      </c>
      <c r="AA804">
        <v>-1</v>
      </c>
      <c r="AB804">
        <v>-1</v>
      </c>
      <c r="AC804">
        <v>-1</v>
      </c>
      <c r="AD804">
        <v>-1</v>
      </c>
      <c r="AE804">
        <v>-1</v>
      </c>
      <c r="AF804">
        <v>-1</v>
      </c>
      <c r="AG804">
        <v>-1</v>
      </c>
      <c r="AH804">
        <v>-1</v>
      </c>
      <c r="AI804">
        <v>-1</v>
      </c>
      <c r="AJ804" s="9" t="str">
        <f t="shared" si="231"/>
        <v>Tax exemption/waiver/suspension</v>
      </c>
      <c r="AK804">
        <f t="shared" si="232"/>
        <v>0</v>
      </c>
      <c r="AL804" s="9">
        <v>0</v>
      </c>
    </row>
    <row r="805" spans="1:38" x14ac:dyDescent="0.35">
      <c r="A805" s="9">
        <v>1</v>
      </c>
      <c r="B805" s="50" t="s">
        <v>87</v>
      </c>
      <c r="C805" s="53">
        <v>43861</v>
      </c>
      <c r="D805" s="53">
        <v>43899</v>
      </c>
      <c r="E805" s="53">
        <v>43969</v>
      </c>
      <c r="F805" s="21">
        <f t="shared" si="243"/>
        <v>70</v>
      </c>
      <c r="G805" s="53">
        <v>43899</v>
      </c>
      <c r="H805" s="9">
        <v>2020</v>
      </c>
      <c r="I805" s="9">
        <v>1</v>
      </c>
      <c r="J805" s="50">
        <v>1</v>
      </c>
      <c r="K805" s="50">
        <v>12</v>
      </c>
      <c r="L805" s="24" t="s">
        <v>1469</v>
      </c>
      <c r="M805" s="24"/>
      <c r="V805" t="s">
        <v>971</v>
      </c>
      <c r="W805" t="s">
        <v>989</v>
      </c>
      <c r="X805" t="s">
        <v>997</v>
      </c>
      <c r="Y805" t="s">
        <v>1000</v>
      </c>
      <c r="Z805">
        <v>1</v>
      </c>
      <c r="AA805">
        <v>-1</v>
      </c>
      <c r="AB805">
        <v>-1</v>
      </c>
      <c r="AC805">
        <v>-1</v>
      </c>
      <c r="AD805">
        <v>-1</v>
      </c>
      <c r="AE805">
        <v>-1</v>
      </c>
      <c r="AF805">
        <v>-1</v>
      </c>
      <c r="AG805">
        <v>-1</v>
      </c>
      <c r="AH805">
        <v>-1</v>
      </c>
      <c r="AI805">
        <v>-1</v>
      </c>
      <c r="AJ805" s="9">
        <f t="shared" si="231"/>
        <v>12</v>
      </c>
      <c r="AK805">
        <f t="shared" si="232"/>
        <v>0</v>
      </c>
      <c r="AL805" s="9">
        <v>0</v>
      </c>
    </row>
    <row r="806" spans="1:38" x14ac:dyDescent="0.35">
      <c r="A806" s="9">
        <v>1</v>
      </c>
      <c r="B806" s="50" t="s">
        <v>87</v>
      </c>
      <c r="C806" s="53">
        <v>43861</v>
      </c>
      <c r="D806" s="53">
        <v>43899</v>
      </c>
      <c r="E806" s="53">
        <v>43969</v>
      </c>
      <c r="F806" s="21">
        <f t="shared" si="243"/>
        <v>70</v>
      </c>
      <c r="G806" s="53">
        <v>43899</v>
      </c>
      <c r="H806" s="9">
        <v>2020</v>
      </c>
      <c r="I806" s="9">
        <v>1</v>
      </c>
      <c r="J806" s="50">
        <v>1</v>
      </c>
      <c r="K806" s="50">
        <v>10</v>
      </c>
      <c r="L806" s="24" t="s">
        <v>1470</v>
      </c>
      <c r="M806" s="24"/>
      <c r="V806" t="s">
        <v>971</v>
      </c>
      <c r="W806" t="s">
        <v>989</v>
      </c>
      <c r="X806" t="s">
        <v>997</v>
      </c>
      <c r="Y806" t="s">
        <v>1000</v>
      </c>
      <c r="Z806">
        <v>1</v>
      </c>
      <c r="AA806">
        <v>-1</v>
      </c>
      <c r="AB806">
        <v>-1</v>
      </c>
      <c r="AC806">
        <v>-1</v>
      </c>
      <c r="AD806">
        <v>-1</v>
      </c>
      <c r="AE806">
        <v>-1</v>
      </c>
      <c r="AF806">
        <v>-1</v>
      </c>
      <c r="AG806">
        <v>-1</v>
      </c>
      <c r="AH806">
        <v>-1</v>
      </c>
      <c r="AI806">
        <v>-1</v>
      </c>
      <c r="AJ806" s="9">
        <f t="shared" si="231"/>
        <v>10</v>
      </c>
      <c r="AK806">
        <f t="shared" si="232"/>
        <v>0</v>
      </c>
      <c r="AL806" s="9">
        <v>0</v>
      </c>
    </row>
    <row r="807" spans="1:38" x14ac:dyDescent="0.35">
      <c r="A807" s="9">
        <v>1</v>
      </c>
      <c r="B807" s="50" t="s">
        <v>87</v>
      </c>
      <c r="C807" s="53">
        <v>43861</v>
      </c>
      <c r="D807" s="53">
        <v>43899</v>
      </c>
      <c r="E807" s="53">
        <v>43969</v>
      </c>
      <c r="F807" s="21">
        <f t="shared" si="243"/>
        <v>70</v>
      </c>
      <c r="G807" s="53">
        <v>43899</v>
      </c>
      <c r="H807" s="9">
        <v>2020</v>
      </c>
      <c r="I807" s="9">
        <v>1</v>
      </c>
      <c r="J807" s="50">
        <v>1</v>
      </c>
      <c r="K807" s="50" t="s">
        <v>206</v>
      </c>
      <c r="L807" s="24" t="s">
        <v>1471</v>
      </c>
      <c r="M807" s="24"/>
      <c r="V807" t="s">
        <v>971</v>
      </c>
      <c r="W807" t="s">
        <v>989</v>
      </c>
      <c r="X807" t="s">
        <v>997</v>
      </c>
      <c r="Y807" t="s">
        <v>1000</v>
      </c>
      <c r="Z807">
        <v>1</v>
      </c>
      <c r="AA807">
        <v>-1</v>
      </c>
      <c r="AB807">
        <v>-1</v>
      </c>
      <c r="AC807">
        <v>-1</v>
      </c>
      <c r="AD807">
        <v>-1</v>
      </c>
      <c r="AE807">
        <v>-1</v>
      </c>
      <c r="AF807">
        <v>-1</v>
      </c>
      <c r="AG807">
        <v>-1</v>
      </c>
      <c r="AH807">
        <v>-1</v>
      </c>
      <c r="AI807">
        <v>-1</v>
      </c>
      <c r="AJ807" s="9" t="str">
        <f t="shared" si="231"/>
        <v>Tax exemption/waiver/suspension</v>
      </c>
      <c r="AK807">
        <f t="shared" si="232"/>
        <v>0</v>
      </c>
      <c r="AL807" s="9">
        <v>0</v>
      </c>
    </row>
    <row r="808" spans="1:38" x14ac:dyDescent="0.35">
      <c r="A808" s="9">
        <v>1</v>
      </c>
      <c r="B808" s="50" t="s">
        <v>87</v>
      </c>
      <c r="C808" s="53">
        <v>43861</v>
      </c>
      <c r="D808" s="53">
        <v>43899</v>
      </c>
      <c r="E808" s="53">
        <v>43969</v>
      </c>
      <c r="F808" s="21">
        <f t="shared" si="243"/>
        <v>70</v>
      </c>
      <c r="G808" s="53">
        <v>43899</v>
      </c>
      <c r="H808" s="9">
        <v>2020</v>
      </c>
      <c r="I808" s="9">
        <v>1</v>
      </c>
      <c r="J808" s="50">
        <v>4</v>
      </c>
      <c r="K808" s="50" t="s">
        <v>201</v>
      </c>
      <c r="L808" s="24" t="s">
        <v>1472</v>
      </c>
      <c r="M808" s="24"/>
      <c r="V808" t="s">
        <v>971</v>
      </c>
      <c r="W808" t="s">
        <v>989</v>
      </c>
      <c r="X808" t="s">
        <v>997</v>
      </c>
      <c r="Y808" t="s">
        <v>1000</v>
      </c>
      <c r="Z808">
        <v>1</v>
      </c>
      <c r="AA808">
        <v>-1</v>
      </c>
      <c r="AB808">
        <v>-1</v>
      </c>
      <c r="AC808">
        <v>-1</v>
      </c>
      <c r="AD808">
        <v>-1</v>
      </c>
      <c r="AE808">
        <v>-1</v>
      </c>
      <c r="AF808">
        <v>-1</v>
      </c>
      <c r="AG808">
        <v>-1</v>
      </c>
      <c r="AH808">
        <v>-1</v>
      </c>
      <c r="AI808">
        <v>-1</v>
      </c>
      <c r="AJ808" s="9" t="str">
        <f t="shared" si="231"/>
        <v>Other</v>
      </c>
      <c r="AK808">
        <f t="shared" si="232"/>
        <v>0</v>
      </c>
      <c r="AL808" s="9">
        <v>0</v>
      </c>
    </row>
    <row r="809" spans="1:38" x14ac:dyDescent="0.35">
      <c r="A809" s="9">
        <v>1</v>
      </c>
      <c r="B809" s="50" t="s">
        <v>87</v>
      </c>
      <c r="C809" s="53">
        <v>43861</v>
      </c>
      <c r="D809" s="53">
        <v>43899</v>
      </c>
      <c r="E809" s="53">
        <v>43969</v>
      </c>
      <c r="F809" s="21">
        <f t="shared" si="243"/>
        <v>70</v>
      </c>
      <c r="G809" s="53">
        <v>43899</v>
      </c>
      <c r="H809" s="9">
        <v>2020</v>
      </c>
      <c r="I809" s="9">
        <v>1</v>
      </c>
      <c r="J809" s="50">
        <v>3</v>
      </c>
      <c r="K809" s="50">
        <v>19</v>
      </c>
      <c r="L809" s="24" t="s">
        <v>1473</v>
      </c>
      <c r="M809" s="24"/>
      <c r="V809" t="s">
        <v>971</v>
      </c>
      <c r="W809" t="s">
        <v>989</v>
      </c>
      <c r="X809" t="s">
        <v>997</v>
      </c>
      <c r="Y809" t="s">
        <v>1000</v>
      </c>
      <c r="Z809">
        <v>1</v>
      </c>
      <c r="AA809">
        <v>-1</v>
      </c>
      <c r="AB809">
        <v>-1</v>
      </c>
      <c r="AC809">
        <v>-1</v>
      </c>
      <c r="AD809">
        <v>-1</v>
      </c>
      <c r="AE809">
        <v>-1</v>
      </c>
      <c r="AF809">
        <v>-1</v>
      </c>
      <c r="AG809">
        <v>-1</v>
      </c>
      <c r="AH809">
        <v>-1</v>
      </c>
      <c r="AI809">
        <v>-1</v>
      </c>
      <c r="AJ809" s="9">
        <f t="shared" si="231"/>
        <v>19</v>
      </c>
      <c r="AK809">
        <f t="shared" si="232"/>
        <v>0</v>
      </c>
      <c r="AL809" s="9">
        <v>0</v>
      </c>
    </row>
    <row r="810" spans="1:38" x14ac:dyDescent="0.35">
      <c r="A810" s="9">
        <v>1</v>
      </c>
      <c r="B810" s="50" t="s">
        <v>87</v>
      </c>
      <c r="C810" s="53">
        <v>43861</v>
      </c>
      <c r="D810" s="53">
        <v>43899</v>
      </c>
      <c r="E810" s="53">
        <v>43969</v>
      </c>
      <c r="F810" s="21">
        <f t="shared" si="243"/>
        <v>70</v>
      </c>
      <c r="G810" s="53">
        <v>43899</v>
      </c>
      <c r="H810" s="9">
        <v>2020</v>
      </c>
      <c r="I810" s="9">
        <v>1</v>
      </c>
      <c r="J810" s="50">
        <v>1</v>
      </c>
      <c r="K810" s="50">
        <v>6</v>
      </c>
      <c r="L810" s="24" t="s">
        <v>1474</v>
      </c>
      <c r="M810" s="24"/>
      <c r="V810" t="s">
        <v>971</v>
      </c>
      <c r="W810" t="s">
        <v>989</v>
      </c>
      <c r="X810" t="s">
        <v>997</v>
      </c>
      <c r="Y810" t="s">
        <v>1000</v>
      </c>
      <c r="Z810">
        <v>1</v>
      </c>
      <c r="AA810">
        <v>-1</v>
      </c>
      <c r="AB810">
        <v>-1</v>
      </c>
      <c r="AC810">
        <v>-1</v>
      </c>
      <c r="AD810">
        <v>-1</v>
      </c>
      <c r="AE810">
        <v>-1</v>
      </c>
      <c r="AF810">
        <v>-1</v>
      </c>
      <c r="AG810">
        <v>-1</v>
      </c>
      <c r="AH810">
        <v>-1</v>
      </c>
      <c r="AI810">
        <v>-1</v>
      </c>
      <c r="AJ810" s="9">
        <f t="shared" si="231"/>
        <v>6</v>
      </c>
      <c r="AK810">
        <f t="shared" si="232"/>
        <v>0</v>
      </c>
      <c r="AL810" s="9">
        <v>0</v>
      </c>
    </row>
    <row r="811" spans="1:38" x14ac:dyDescent="0.35">
      <c r="A811" s="9">
        <v>1</v>
      </c>
      <c r="B811" s="50" t="s">
        <v>87</v>
      </c>
      <c r="C811" s="53">
        <v>43861</v>
      </c>
      <c r="D811" s="53">
        <v>43899</v>
      </c>
      <c r="E811" s="53">
        <v>43969</v>
      </c>
      <c r="F811" s="21">
        <f t="shared" si="243"/>
        <v>70</v>
      </c>
      <c r="G811" s="53">
        <v>43899</v>
      </c>
      <c r="H811" s="9">
        <v>2020</v>
      </c>
      <c r="I811" s="9">
        <v>1</v>
      </c>
      <c r="J811" s="50">
        <v>1</v>
      </c>
      <c r="K811" s="50">
        <v>4</v>
      </c>
      <c r="L811" s="24" t="s">
        <v>1475</v>
      </c>
      <c r="M811" s="24"/>
      <c r="V811" t="s">
        <v>971</v>
      </c>
      <c r="W811" t="s">
        <v>989</v>
      </c>
      <c r="X811" t="s">
        <v>997</v>
      </c>
      <c r="Y811" t="s">
        <v>1000</v>
      </c>
      <c r="Z811">
        <v>1</v>
      </c>
      <c r="AA811">
        <v>-1</v>
      </c>
      <c r="AB811">
        <v>-1</v>
      </c>
      <c r="AC811">
        <v>-1</v>
      </c>
      <c r="AD811">
        <v>-1</v>
      </c>
      <c r="AE811">
        <v>-1</v>
      </c>
      <c r="AF811">
        <v>-1</v>
      </c>
      <c r="AG811">
        <v>-1</v>
      </c>
      <c r="AH811">
        <v>-1</v>
      </c>
      <c r="AI811">
        <v>-1</v>
      </c>
      <c r="AJ811" s="9">
        <f t="shared" si="231"/>
        <v>4</v>
      </c>
      <c r="AK811">
        <f t="shared" si="232"/>
        <v>0</v>
      </c>
      <c r="AL811" s="9">
        <v>0</v>
      </c>
    </row>
    <row r="812" spans="1:38" x14ac:dyDescent="0.35">
      <c r="A812" s="9">
        <v>1</v>
      </c>
      <c r="B812" s="50" t="s">
        <v>87</v>
      </c>
      <c r="C812" s="53">
        <v>43861</v>
      </c>
      <c r="D812" s="53">
        <v>43899</v>
      </c>
      <c r="E812" s="53">
        <v>43969</v>
      </c>
      <c r="F812" s="21">
        <f t="shared" si="243"/>
        <v>70</v>
      </c>
      <c r="G812" s="53">
        <v>43899</v>
      </c>
      <c r="H812" s="9">
        <v>2020</v>
      </c>
      <c r="I812" s="9">
        <v>1</v>
      </c>
      <c r="J812" s="50">
        <v>1</v>
      </c>
      <c r="K812" s="50">
        <v>4</v>
      </c>
      <c r="L812" s="24" t="s">
        <v>1476</v>
      </c>
      <c r="M812" s="24"/>
      <c r="V812" t="s">
        <v>971</v>
      </c>
      <c r="W812" t="s">
        <v>989</v>
      </c>
      <c r="X812" t="s">
        <v>997</v>
      </c>
      <c r="Y812" t="s">
        <v>1000</v>
      </c>
      <c r="Z812">
        <v>1</v>
      </c>
      <c r="AA812">
        <v>-1</v>
      </c>
      <c r="AB812">
        <v>-1</v>
      </c>
      <c r="AC812">
        <v>-1</v>
      </c>
      <c r="AD812">
        <v>-1</v>
      </c>
      <c r="AE812">
        <v>-1</v>
      </c>
      <c r="AF812">
        <v>-1</v>
      </c>
      <c r="AG812">
        <v>-1</v>
      </c>
      <c r="AH812">
        <v>-1</v>
      </c>
      <c r="AI812">
        <v>-1</v>
      </c>
      <c r="AJ812" s="9">
        <f t="shared" si="231"/>
        <v>4</v>
      </c>
      <c r="AK812">
        <f t="shared" si="232"/>
        <v>0</v>
      </c>
      <c r="AL812" s="9">
        <v>0</v>
      </c>
    </row>
    <row r="813" spans="1:38" x14ac:dyDescent="0.35">
      <c r="A813" s="9">
        <v>1</v>
      </c>
      <c r="B813" s="50" t="s">
        <v>87</v>
      </c>
      <c r="C813" s="53">
        <v>43861</v>
      </c>
      <c r="D813" s="53">
        <v>43899</v>
      </c>
      <c r="E813" s="53">
        <v>43969</v>
      </c>
      <c r="F813" s="21">
        <f t="shared" si="243"/>
        <v>70</v>
      </c>
      <c r="G813" s="53">
        <v>43899</v>
      </c>
      <c r="H813" s="9">
        <v>2020</v>
      </c>
      <c r="I813" s="9">
        <v>1</v>
      </c>
      <c r="J813" s="50">
        <v>1</v>
      </c>
      <c r="K813" s="50">
        <v>4</v>
      </c>
      <c r="L813" s="24" t="s">
        <v>1477</v>
      </c>
      <c r="M813" s="24"/>
      <c r="V813" t="s">
        <v>971</v>
      </c>
      <c r="W813" t="s">
        <v>989</v>
      </c>
      <c r="X813" t="s">
        <v>997</v>
      </c>
      <c r="Y813" t="s">
        <v>1000</v>
      </c>
      <c r="Z813">
        <v>1</v>
      </c>
      <c r="AA813">
        <v>-1</v>
      </c>
      <c r="AB813">
        <v>-1</v>
      </c>
      <c r="AC813">
        <v>-1</v>
      </c>
      <c r="AD813">
        <v>-1</v>
      </c>
      <c r="AE813">
        <v>-1</v>
      </c>
      <c r="AF813">
        <v>-1</v>
      </c>
      <c r="AG813">
        <v>-1</v>
      </c>
      <c r="AH813">
        <v>-1</v>
      </c>
      <c r="AI813">
        <v>-1</v>
      </c>
      <c r="AJ813" s="9">
        <f t="shared" si="231"/>
        <v>4</v>
      </c>
      <c r="AK813">
        <f t="shared" si="232"/>
        <v>0</v>
      </c>
      <c r="AL813" s="9">
        <v>0</v>
      </c>
    </row>
    <row r="814" spans="1:38" x14ac:dyDescent="0.35">
      <c r="A814" s="9">
        <v>1</v>
      </c>
      <c r="B814" s="50" t="s">
        <v>87</v>
      </c>
      <c r="C814" s="53">
        <v>43861</v>
      </c>
      <c r="D814" s="53">
        <v>43899</v>
      </c>
      <c r="E814" s="53">
        <v>43969</v>
      </c>
      <c r="F814" s="21">
        <f t="shared" si="243"/>
        <v>70</v>
      </c>
      <c r="G814" s="53">
        <v>43899</v>
      </c>
      <c r="H814" s="9">
        <v>2020</v>
      </c>
      <c r="I814" s="9">
        <v>1</v>
      </c>
      <c r="J814" s="50">
        <v>1</v>
      </c>
      <c r="K814" s="50">
        <v>4</v>
      </c>
      <c r="L814" s="24" t="s">
        <v>1478</v>
      </c>
      <c r="M814" s="24"/>
      <c r="V814" t="s">
        <v>971</v>
      </c>
      <c r="W814" t="s">
        <v>989</v>
      </c>
      <c r="X814" t="s">
        <v>997</v>
      </c>
      <c r="Y814" t="s">
        <v>1000</v>
      </c>
      <c r="Z814">
        <v>1</v>
      </c>
      <c r="AA814">
        <v>-1</v>
      </c>
      <c r="AB814">
        <v>-1</v>
      </c>
      <c r="AC814">
        <v>-1</v>
      </c>
      <c r="AD814">
        <v>-1</v>
      </c>
      <c r="AE814">
        <v>-1</v>
      </c>
      <c r="AF814">
        <v>-1</v>
      </c>
      <c r="AG814">
        <v>-1</v>
      </c>
      <c r="AH814">
        <v>-1</v>
      </c>
      <c r="AI814">
        <v>-1</v>
      </c>
      <c r="AJ814" s="9">
        <f t="shared" si="231"/>
        <v>4</v>
      </c>
      <c r="AK814">
        <f t="shared" si="232"/>
        <v>0</v>
      </c>
      <c r="AL814" s="9">
        <v>0</v>
      </c>
    </row>
    <row r="815" spans="1:38" x14ac:dyDescent="0.35">
      <c r="A815" s="9">
        <v>1</v>
      </c>
      <c r="B815" s="50" t="s">
        <v>87</v>
      </c>
      <c r="C815" s="53">
        <v>43861</v>
      </c>
      <c r="D815" s="53">
        <v>43899</v>
      </c>
      <c r="E815" s="53">
        <v>43969</v>
      </c>
      <c r="F815" s="21">
        <f t="shared" si="243"/>
        <v>70</v>
      </c>
      <c r="G815" s="53">
        <v>43899</v>
      </c>
      <c r="H815" s="9">
        <v>2020</v>
      </c>
      <c r="I815" s="9">
        <v>1</v>
      </c>
      <c r="J815" s="50">
        <v>1</v>
      </c>
      <c r="K815" s="50">
        <v>8</v>
      </c>
      <c r="L815" s="24" t="s">
        <v>1479</v>
      </c>
      <c r="M815" s="24"/>
      <c r="V815" t="s">
        <v>971</v>
      </c>
      <c r="W815" t="s">
        <v>989</v>
      </c>
      <c r="X815" t="s">
        <v>997</v>
      </c>
      <c r="Y815" t="s">
        <v>1000</v>
      </c>
      <c r="Z815">
        <v>1</v>
      </c>
      <c r="AA815">
        <v>-1</v>
      </c>
      <c r="AB815">
        <v>-1</v>
      </c>
      <c r="AC815">
        <v>-1</v>
      </c>
      <c r="AD815">
        <v>-1</v>
      </c>
      <c r="AE815">
        <v>-1</v>
      </c>
      <c r="AF815">
        <v>-1</v>
      </c>
      <c r="AG815">
        <v>-1</v>
      </c>
      <c r="AH815">
        <v>-1</v>
      </c>
      <c r="AI815">
        <v>-1</v>
      </c>
      <c r="AJ815" s="9">
        <f t="shared" si="231"/>
        <v>8</v>
      </c>
      <c r="AK815">
        <f t="shared" si="232"/>
        <v>0</v>
      </c>
      <c r="AL815" s="9">
        <v>0</v>
      </c>
    </row>
    <row r="816" spans="1:38" x14ac:dyDescent="0.35">
      <c r="A816" s="9">
        <v>1</v>
      </c>
      <c r="B816" s="50" t="s">
        <v>87</v>
      </c>
      <c r="C816" s="53">
        <v>43861</v>
      </c>
      <c r="D816" s="53">
        <v>43899</v>
      </c>
      <c r="E816" s="53">
        <v>43969</v>
      </c>
      <c r="F816" s="21">
        <f t="shared" si="243"/>
        <v>70</v>
      </c>
      <c r="G816" s="53">
        <v>43899</v>
      </c>
      <c r="H816" s="9">
        <v>2020</v>
      </c>
      <c r="I816" s="9">
        <v>1</v>
      </c>
      <c r="J816" s="50">
        <v>6</v>
      </c>
      <c r="K816" s="50">
        <v>28</v>
      </c>
      <c r="L816" s="24" t="s">
        <v>1480</v>
      </c>
      <c r="M816" s="24"/>
      <c r="V816" t="s">
        <v>971</v>
      </c>
      <c r="W816" t="s">
        <v>989</v>
      </c>
      <c r="X816" t="s">
        <v>997</v>
      </c>
      <c r="Y816" t="s">
        <v>1000</v>
      </c>
      <c r="Z816">
        <v>1</v>
      </c>
      <c r="AA816">
        <v>-1</v>
      </c>
      <c r="AB816">
        <v>-1</v>
      </c>
      <c r="AC816">
        <v>-1</v>
      </c>
      <c r="AD816">
        <v>-1</v>
      </c>
      <c r="AE816">
        <v>-1</v>
      </c>
      <c r="AF816">
        <v>-1</v>
      </c>
      <c r="AG816">
        <v>-1</v>
      </c>
      <c r="AH816">
        <v>-1</v>
      </c>
      <c r="AI816">
        <v>-1</v>
      </c>
      <c r="AJ816" s="9">
        <f t="shared" si="231"/>
        <v>28</v>
      </c>
      <c r="AK816">
        <f t="shared" si="232"/>
        <v>0</v>
      </c>
      <c r="AL816" s="9">
        <v>0</v>
      </c>
    </row>
    <row r="817" spans="1:38" x14ac:dyDescent="0.35">
      <c r="A817" s="9">
        <v>1</v>
      </c>
      <c r="B817" s="50" t="s">
        <v>87</v>
      </c>
      <c r="C817" s="53">
        <v>43861</v>
      </c>
      <c r="D817" s="53">
        <v>43899</v>
      </c>
      <c r="E817" s="53">
        <v>43969</v>
      </c>
      <c r="F817" s="21">
        <f t="shared" si="243"/>
        <v>70</v>
      </c>
      <c r="G817" s="53">
        <v>43899</v>
      </c>
      <c r="H817" s="9">
        <v>2020</v>
      </c>
      <c r="I817" s="9">
        <v>1</v>
      </c>
      <c r="J817" s="50">
        <v>4</v>
      </c>
      <c r="K817" s="50" t="s">
        <v>201</v>
      </c>
      <c r="L817" s="24" t="s">
        <v>1481</v>
      </c>
      <c r="M817" s="24"/>
      <c r="V817" t="s">
        <v>971</v>
      </c>
      <c r="W817" t="s">
        <v>989</v>
      </c>
      <c r="X817" t="s">
        <v>997</v>
      </c>
      <c r="Y817" t="s">
        <v>1000</v>
      </c>
      <c r="Z817">
        <v>1</v>
      </c>
      <c r="AA817">
        <v>-1</v>
      </c>
      <c r="AB817">
        <v>-1</v>
      </c>
      <c r="AC817">
        <v>-1</v>
      </c>
      <c r="AD817">
        <v>-1</v>
      </c>
      <c r="AE817">
        <v>-1</v>
      </c>
      <c r="AF817">
        <v>-1</v>
      </c>
      <c r="AG817">
        <v>-1</v>
      </c>
      <c r="AH817">
        <v>-1</v>
      </c>
      <c r="AI817">
        <v>-1</v>
      </c>
      <c r="AJ817" s="9" t="str">
        <f t="shared" si="231"/>
        <v>Other</v>
      </c>
      <c r="AK817">
        <f t="shared" si="232"/>
        <v>0</v>
      </c>
      <c r="AL817" s="9">
        <v>0</v>
      </c>
    </row>
    <row r="818" spans="1:38" x14ac:dyDescent="0.35">
      <c r="A818" s="9">
        <v>1</v>
      </c>
      <c r="B818" s="50" t="s">
        <v>87</v>
      </c>
      <c r="C818" s="53">
        <v>43861</v>
      </c>
      <c r="D818" s="53">
        <v>43899</v>
      </c>
      <c r="E818" s="53">
        <v>43969</v>
      </c>
      <c r="F818" s="21">
        <f t="shared" si="243"/>
        <v>70</v>
      </c>
      <c r="G818" s="53">
        <v>43899</v>
      </c>
      <c r="H818" s="9">
        <v>2020</v>
      </c>
      <c r="I818" s="9">
        <v>1</v>
      </c>
      <c r="J818" s="50">
        <v>4</v>
      </c>
      <c r="K818" s="50" t="s">
        <v>201</v>
      </c>
      <c r="L818" s="24" t="s">
        <v>1482</v>
      </c>
      <c r="M818" s="24"/>
      <c r="V818" t="s">
        <v>971</v>
      </c>
      <c r="W818" t="s">
        <v>989</v>
      </c>
      <c r="X818" t="s">
        <v>997</v>
      </c>
      <c r="Y818" t="s">
        <v>1000</v>
      </c>
      <c r="Z818">
        <v>1</v>
      </c>
      <c r="AA818">
        <v>-1</v>
      </c>
      <c r="AB818">
        <v>-1</v>
      </c>
      <c r="AC818">
        <v>-1</v>
      </c>
      <c r="AD818">
        <v>-1</v>
      </c>
      <c r="AE818">
        <v>-1</v>
      </c>
      <c r="AF818">
        <v>-1</v>
      </c>
      <c r="AG818">
        <v>-1</v>
      </c>
      <c r="AH818">
        <v>-1</v>
      </c>
      <c r="AI818">
        <v>-1</v>
      </c>
      <c r="AJ818" s="9" t="str">
        <f t="shared" si="231"/>
        <v>Other</v>
      </c>
      <c r="AK818">
        <f t="shared" si="232"/>
        <v>0</v>
      </c>
      <c r="AL818" s="9">
        <v>0</v>
      </c>
    </row>
    <row r="819" spans="1:38" x14ac:dyDescent="0.35">
      <c r="A819" s="9">
        <v>1</v>
      </c>
      <c r="B819" s="50" t="s">
        <v>87</v>
      </c>
      <c r="C819" s="53">
        <v>43861</v>
      </c>
      <c r="D819" s="53">
        <v>43899</v>
      </c>
      <c r="E819" s="53">
        <v>43969</v>
      </c>
      <c r="F819" s="21">
        <f t="shared" si="243"/>
        <v>70</v>
      </c>
      <c r="G819" s="53">
        <v>43899</v>
      </c>
      <c r="H819" s="9">
        <v>2020</v>
      </c>
      <c r="I819" s="9">
        <v>1</v>
      </c>
      <c r="J819" s="50">
        <v>1</v>
      </c>
      <c r="K819" s="50" t="s">
        <v>201</v>
      </c>
      <c r="L819" s="24" t="s">
        <v>1483</v>
      </c>
      <c r="M819" s="24"/>
      <c r="V819" t="s">
        <v>971</v>
      </c>
      <c r="W819" t="s">
        <v>989</v>
      </c>
      <c r="X819" t="s">
        <v>997</v>
      </c>
      <c r="Y819" t="s">
        <v>1000</v>
      </c>
      <c r="Z819">
        <v>1</v>
      </c>
      <c r="AA819">
        <v>-1</v>
      </c>
      <c r="AB819">
        <v>-1</v>
      </c>
      <c r="AC819">
        <v>-1</v>
      </c>
      <c r="AD819">
        <v>-1</v>
      </c>
      <c r="AE819">
        <v>-1</v>
      </c>
      <c r="AF819">
        <v>-1</v>
      </c>
      <c r="AG819">
        <v>-1</v>
      </c>
      <c r="AH819">
        <v>-1</v>
      </c>
      <c r="AI819">
        <v>-1</v>
      </c>
      <c r="AJ819" s="9" t="str">
        <f t="shared" ref="AJ819:AJ857" si="244">IF(ISNUMBER(K819),K819,IF(OR(K819="general",K819="23;general"),"General",IF(OR(K819="exemption",K819="other (exemption)"),"Tax exemption/waiver/suspension","Other")))</f>
        <v>Other</v>
      </c>
      <c r="AK819">
        <f>IF(B819&lt;&gt;B818,1,0)</f>
        <v>0</v>
      </c>
      <c r="AL819" s="9">
        <v>0</v>
      </c>
    </row>
    <row r="820" spans="1:38" x14ac:dyDescent="0.35">
      <c r="A820" s="9">
        <v>1</v>
      </c>
      <c r="B820" s="50" t="s">
        <v>87</v>
      </c>
      <c r="C820" s="53">
        <v>43861</v>
      </c>
      <c r="D820" s="53">
        <v>43899</v>
      </c>
      <c r="E820" s="53">
        <v>43969</v>
      </c>
      <c r="F820" s="21">
        <f t="shared" si="243"/>
        <v>70</v>
      </c>
      <c r="G820" s="53">
        <v>43899</v>
      </c>
      <c r="H820" s="9">
        <v>2020</v>
      </c>
      <c r="I820" s="9">
        <v>1</v>
      </c>
      <c r="J820" s="50">
        <v>7</v>
      </c>
      <c r="K820" s="50">
        <v>30</v>
      </c>
      <c r="L820" s="24" t="s">
        <v>1484</v>
      </c>
      <c r="M820" s="24"/>
      <c r="V820" t="s">
        <v>971</v>
      </c>
      <c r="W820" t="s">
        <v>989</v>
      </c>
      <c r="X820" t="s">
        <v>997</v>
      </c>
      <c r="Y820" t="s">
        <v>1000</v>
      </c>
      <c r="Z820">
        <v>1</v>
      </c>
      <c r="AA820">
        <v>-1</v>
      </c>
      <c r="AB820">
        <v>-1</v>
      </c>
      <c r="AC820">
        <v>-1</v>
      </c>
      <c r="AD820">
        <v>-1</v>
      </c>
      <c r="AE820">
        <v>-1</v>
      </c>
      <c r="AF820">
        <v>-1</v>
      </c>
      <c r="AG820">
        <v>-1</v>
      </c>
      <c r="AH820">
        <v>-1</v>
      </c>
      <c r="AI820">
        <v>-1</v>
      </c>
      <c r="AJ820" s="9">
        <f t="shared" si="244"/>
        <v>30</v>
      </c>
      <c r="AK820">
        <f>IF(B820&lt;&gt;B819,1,0)</f>
        <v>0</v>
      </c>
      <c r="AL820" s="9">
        <v>0</v>
      </c>
    </row>
    <row r="821" spans="1:38" x14ac:dyDescent="0.35">
      <c r="A821" s="9">
        <v>1</v>
      </c>
      <c r="B821" s="50" t="s">
        <v>87</v>
      </c>
      <c r="C821" s="53">
        <v>43861</v>
      </c>
      <c r="D821" s="53">
        <v>43899</v>
      </c>
      <c r="E821" s="53">
        <v>43969</v>
      </c>
      <c r="F821" s="21">
        <f t="shared" si="243"/>
        <v>70</v>
      </c>
      <c r="G821" s="53">
        <v>43899</v>
      </c>
      <c r="H821" s="9">
        <v>2020</v>
      </c>
      <c r="I821" s="9">
        <v>1</v>
      </c>
      <c r="J821" s="50">
        <v>9</v>
      </c>
      <c r="K821" s="50">
        <v>34</v>
      </c>
      <c r="L821" s="24" t="s">
        <v>1485</v>
      </c>
      <c r="M821" s="24"/>
      <c r="V821" t="s">
        <v>971</v>
      </c>
      <c r="W821" t="s">
        <v>989</v>
      </c>
      <c r="X821" t="s">
        <v>997</v>
      </c>
      <c r="Y821" t="s">
        <v>1000</v>
      </c>
      <c r="Z821">
        <v>1</v>
      </c>
      <c r="AA821">
        <v>-1</v>
      </c>
      <c r="AB821">
        <v>-1</v>
      </c>
      <c r="AC821">
        <v>-1</v>
      </c>
      <c r="AD821">
        <v>-1</v>
      </c>
      <c r="AE821">
        <v>-1</v>
      </c>
      <c r="AF821">
        <v>-1</v>
      </c>
      <c r="AG821">
        <v>-1</v>
      </c>
      <c r="AH821">
        <v>-1</v>
      </c>
      <c r="AI821">
        <v>-1</v>
      </c>
      <c r="AJ821" s="9">
        <f t="shared" si="244"/>
        <v>34</v>
      </c>
      <c r="AK821">
        <f>IF(B821&lt;&gt;B820,1,0)</f>
        <v>0</v>
      </c>
      <c r="AL821" s="9">
        <v>1</v>
      </c>
    </row>
    <row r="822" spans="1:38" s="47" customFormat="1" x14ac:dyDescent="0.35">
      <c r="A822" s="9">
        <v>1</v>
      </c>
      <c r="B822" s="50" t="s">
        <v>87</v>
      </c>
      <c r="C822" s="53">
        <v>43861</v>
      </c>
      <c r="D822" s="53">
        <v>43899</v>
      </c>
      <c r="E822" s="53">
        <v>43969</v>
      </c>
      <c r="F822" s="21">
        <f t="shared" si="243"/>
        <v>70</v>
      </c>
      <c r="G822" s="53">
        <v>43899</v>
      </c>
      <c r="H822" s="9">
        <v>2021</v>
      </c>
      <c r="I822" s="9">
        <v>1</v>
      </c>
      <c r="J822" s="50">
        <v>9</v>
      </c>
      <c r="K822" s="50">
        <v>34</v>
      </c>
      <c r="L822" s="48" t="s">
        <v>1725</v>
      </c>
      <c r="M822" s="48"/>
      <c r="V822" t="s">
        <v>971</v>
      </c>
      <c r="AJ822" s="47">
        <f t="shared" si="244"/>
        <v>34</v>
      </c>
    </row>
    <row r="823" spans="1:38" s="47" customFormat="1" x14ac:dyDescent="0.35">
      <c r="A823" s="9">
        <v>1</v>
      </c>
      <c r="B823" s="50" t="s">
        <v>87</v>
      </c>
      <c r="C823" s="53">
        <v>43861</v>
      </c>
      <c r="D823" s="53">
        <v>43899</v>
      </c>
      <c r="E823" s="53">
        <v>43969</v>
      </c>
      <c r="F823" s="21">
        <f t="shared" si="243"/>
        <v>70</v>
      </c>
      <c r="G823" s="53">
        <v>43899</v>
      </c>
      <c r="H823" s="9">
        <v>2021</v>
      </c>
      <c r="I823" s="9">
        <v>1</v>
      </c>
      <c r="J823" s="50">
        <v>6</v>
      </c>
      <c r="K823" s="50">
        <v>29</v>
      </c>
      <c r="L823" s="48" t="s">
        <v>1726</v>
      </c>
      <c r="M823" s="48"/>
      <c r="V823" t="s">
        <v>971</v>
      </c>
      <c r="AJ823" s="47">
        <f t="shared" si="244"/>
        <v>29</v>
      </c>
    </row>
    <row r="824" spans="1:38" s="47" customFormat="1" x14ac:dyDescent="0.35">
      <c r="A824" s="9">
        <v>1</v>
      </c>
      <c r="B824" s="50" t="s">
        <v>87</v>
      </c>
      <c r="C824" s="53">
        <v>43861</v>
      </c>
      <c r="D824" s="53">
        <v>43899</v>
      </c>
      <c r="E824" s="53">
        <v>43969</v>
      </c>
      <c r="F824" s="21">
        <f t="shared" si="243"/>
        <v>70</v>
      </c>
      <c r="G824" s="53">
        <v>43899</v>
      </c>
      <c r="H824" s="9">
        <v>2021</v>
      </c>
      <c r="I824" s="9">
        <v>1</v>
      </c>
      <c r="J824" s="50">
        <v>6</v>
      </c>
      <c r="K824" s="50">
        <v>27</v>
      </c>
      <c r="L824" s="48" t="s">
        <v>1727</v>
      </c>
      <c r="M824" s="48"/>
      <c r="V824" t="s">
        <v>971</v>
      </c>
      <c r="AJ824" s="47">
        <f t="shared" si="244"/>
        <v>27</v>
      </c>
    </row>
    <row r="825" spans="1:38" s="47" customFormat="1" x14ac:dyDescent="0.35">
      <c r="A825" s="9">
        <v>1</v>
      </c>
      <c r="B825" s="50" t="s">
        <v>87</v>
      </c>
      <c r="C825" s="53">
        <v>43861</v>
      </c>
      <c r="D825" s="53">
        <v>43899</v>
      </c>
      <c r="E825" s="53">
        <v>43969</v>
      </c>
      <c r="F825" s="21">
        <f t="shared" si="243"/>
        <v>70</v>
      </c>
      <c r="G825" s="53">
        <v>43899</v>
      </c>
      <c r="H825" s="9">
        <v>2021</v>
      </c>
      <c r="I825" s="9">
        <v>1</v>
      </c>
      <c r="J825" s="50">
        <v>9</v>
      </c>
      <c r="K825" s="50">
        <v>34</v>
      </c>
      <c r="L825" s="48" t="s">
        <v>1728</v>
      </c>
      <c r="M825" s="48"/>
      <c r="V825" t="s">
        <v>971</v>
      </c>
      <c r="AJ825" s="47">
        <f t="shared" si="244"/>
        <v>34</v>
      </c>
    </row>
    <row r="826" spans="1:38" s="47" customFormat="1" x14ac:dyDescent="0.35">
      <c r="A826" s="9">
        <v>1</v>
      </c>
      <c r="B826" s="50" t="s">
        <v>87</v>
      </c>
      <c r="C826" s="53">
        <v>43861</v>
      </c>
      <c r="D826" s="53">
        <v>43899</v>
      </c>
      <c r="E826" s="53">
        <v>43969</v>
      </c>
      <c r="F826" s="21">
        <f t="shared" ref="F826:F841" si="245">DATEDIF(D826,E826,"D")</f>
        <v>70</v>
      </c>
      <c r="G826" s="53">
        <v>43899</v>
      </c>
      <c r="H826" s="9">
        <v>2021</v>
      </c>
      <c r="I826" s="9">
        <v>1</v>
      </c>
      <c r="J826" s="50">
        <v>9</v>
      </c>
      <c r="K826" s="50">
        <v>34</v>
      </c>
      <c r="L826" s="48" t="s">
        <v>1972</v>
      </c>
      <c r="M826" s="48"/>
      <c r="V826"/>
      <c r="AJ826" s="47">
        <f t="shared" si="244"/>
        <v>34</v>
      </c>
    </row>
    <row r="827" spans="1:38" s="47" customFormat="1" x14ac:dyDescent="0.35">
      <c r="A827" s="9">
        <v>1</v>
      </c>
      <c r="B827" s="50" t="s">
        <v>87</v>
      </c>
      <c r="C827" s="53">
        <v>43861</v>
      </c>
      <c r="D827" s="53">
        <v>43899</v>
      </c>
      <c r="E827" s="53">
        <v>43969</v>
      </c>
      <c r="F827" s="21">
        <f t="shared" si="245"/>
        <v>70</v>
      </c>
      <c r="G827" s="53">
        <v>43899</v>
      </c>
      <c r="H827" s="9">
        <v>2021</v>
      </c>
      <c r="I827" s="9">
        <v>1</v>
      </c>
      <c r="J827" s="50">
        <v>1</v>
      </c>
      <c r="K827" s="50">
        <v>4</v>
      </c>
      <c r="L827" s="48" t="s">
        <v>1973</v>
      </c>
      <c r="M827" s="48"/>
      <c r="V827"/>
      <c r="AJ827" s="47">
        <f t="shared" si="244"/>
        <v>4</v>
      </c>
    </row>
    <row r="828" spans="1:38" s="47" customFormat="1" x14ac:dyDescent="0.35">
      <c r="A828" s="9">
        <v>1</v>
      </c>
      <c r="B828" s="50" t="s">
        <v>87</v>
      </c>
      <c r="C828" s="53">
        <v>43861</v>
      </c>
      <c r="D828" s="53">
        <v>43899</v>
      </c>
      <c r="E828" s="53">
        <v>43969</v>
      </c>
      <c r="F828" s="21">
        <f t="shared" si="245"/>
        <v>70</v>
      </c>
      <c r="G828" s="53">
        <v>43899</v>
      </c>
      <c r="H828" s="9">
        <v>2021</v>
      </c>
      <c r="I828" s="9">
        <v>1</v>
      </c>
      <c r="J828" s="50">
        <v>2</v>
      </c>
      <c r="K828" s="50">
        <v>14</v>
      </c>
      <c r="L828" s="48" t="s">
        <v>1974</v>
      </c>
      <c r="M828" s="48"/>
      <c r="V828"/>
    </row>
    <row r="829" spans="1:38" s="47" customFormat="1" x14ac:dyDescent="0.35">
      <c r="A829" s="9">
        <v>1</v>
      </c>
      <c r="B829" s="50" t="s">
        <v>87</v>
      </c>
      <c r="C829" s="53">
        <v>43861</v>
      </c>
      <c r="D829" s="53">
        <v>43899</v>
      </c>
      <c r="E829" s="53">
        <v>43969</v>
      </c>
      <c r="F829" s="21">
        <f t="shared" si="245"/>
        <v>70</v>
      </c>
      <c r="G829" s="53">
        <v>43899</v>
      </c>
      <c r="H829" s="9">
        <v>2021</v>
      </c>
      <c r="I829" s="9">
        <v>1</v>
      </c>
      <c r="J829" s="50">
        <v>1</v>
      </c>
      <c r="K829" s="50">
        <v>6</v>
      </c>
      <c r="L829" s="48" t="s">
        <v>1975</v>
      </c>
      <c r="M829" s="48"/>
      <c r="V829"/>
    </row>
    <row r="830" spans="1:38" s="47" customFormat="1" x14ac:dyDescent="0.35">
      <c r="A830" s="9">
        <v>1</v>
      </c>
      <c r="B830" s="50" t="s">
        <v>87</v>
      </c>
      <c r="C830" s="53">
        <v>43861</v>
      </c>
      <c r="D830" s="53">
        <v>43899</v>
      </c>
      <c r="E830" s="53">
        <v>43969</v>
      </c>
      <c r="F830" s="21">
        <f t="shared" si="245"/>
        <v>70</v>
      </c>
      <c r="G830" s="53">
        <v>43899</v>
      </c>
      <c r="H830" s="9">
        <v>2021</v>
      </c>
      <c r="I830" s="9">
        <v>1</v>
      </c>
      <c r="J830" s="50">
        <v>1</v>
      </c>
      <c r="K830" s="50">
        <v>6</v>
      </c>
      <c r="L830" s="48" t="s">
        <v>1976</v>
      </c>
      <c r="M830" s="48"/>
      <c r="V830"/>
    </row>
    <row r="831" spans="1:38" s="47" customFormat="1" x14ac:dyDescent="0.35">
      <c r="A831" s="9">
        <v>1</v>
      </c>
      <c r="B831" s="50" t="s">
        <v>87</v>
      </c>
      <c r="C831" s="53">
        <v>43861</v>
      </c>
      <c r="D831" s="53">
        <v>43899</v>
      </c>
      <c r="E831" s="53">
        <v>43969</v>
      </c>
      <c r="F831" s="21">
        <f t="shared" si="245"/>
        <v>70</v>
      </c>
      <c r="G831" s="53">
        <v>43899</v>
      </c>
      <c r="H831" s="9">
        <v>2021</v>
      </c>
      <c r="I831" s="9">
        <v>1</v>
      </c>
      <c r="J831" s="50">
        <v>1</v>
      </c>
      <c r="K831" s="50">
        <v>11</v>
      </c>
      <c r="L831" s="48" t="s">
        <v>1977</v>
      </c>
      <c r="M831" s="48"/>
      <c r="V831"/>
    </row>
    <row r="832" spans="1:38" s="47" customFormat="1" x14ac:dyDescent="0.35">
      <c r="A832" s="9">
        <v>1</v>
      </c>
      <c r="B832" s="50" t="s">
        <v>87</v>
      </c>
      <c r="C832" s="53">
        <v>43861</v>
      </c>
      <c r="D832" s="53">
        <v>43899</v>
      </c>
      <c r="E832" s="53">
        <v>43969</v>
      </c>
      <c r="F832" s="21">
        <f t="shared" si="245"/>
        <v>70</v>
      </c>
      <c r="G832" s="53">
        <v>43899</v>
      </c>
      <c r="H832" s="9">
        <v>2021</v>
      </c>
      <c r="I832" s="9">
        <v>1</v>
      </c>
      <c r="J832" s="50">
        <v>1</v>
      </c>
      <c r="K832" s="50" t="s">
        <v>206</v>
      </c>
      <c r="L832" s="48" t="s">
        <v>1978</v>
      </c>
      <c r="M832" s="48"/>
      <c r="V832"/>
    </row>
    <row r="833" spans="1:38" s="47" customFormat="1" x14ac:dyDescent="0.35">
      <c r="A833" s="9">
        <v>1</v>
      </c>
      <c r="B833" s="50" t="s">
        <v>87</v>
      </c>
      <c r="C833" s="53">
        <v>43861</v>
      </c>
      <c r="D833" s="53">
        <v>43899</v>
      </c>
      <c r="E833" s="53">
        <v>43969</v>
      </c>
      <c r="F833" s="21">
        <f t="shared" si="245"/>
        <v>70</v>
      </c>
      <c r="G833" s="53">
        <v>43899</v>
      </c>
      <c r="H833" s="9">
        <v>2021</v>
      </c>
      <c r="I833" s="9">
        <v>1</v>
      </c>
      <c r="J833" s="50">
        <v>9</v>
      </c>
      <c r="K833" s="50">
        <v>34</v>
      </c>
      <c r="L833" s="48" t="s">
        <v>1979</v>
      </c>
      <c r="M833" s="48"/>
      <c r="V833"/>
    </row>
    <row r="834" spans="1:38" s="47" customFormat="1" x14ac:dyDescent="0.35">
      <c r="A834" s="9">
        <v>1</v>
      </c>
      <c r="B834" s="50" t="s">
        <v>87</v>
      </c>
      <c r="C834" s="53">
        <v>43861</v>
      </c>
      <c r="D834" s="53">
        <v>43899</v>
      </c>
      <c r="E834" s="53">
        <v>43969</v>
      </c>
      <c r="F834" s="21">
        <f t="shared" si="245"/>
        <v>70</v>
      </c>
      <c r="G834" s="53">
        <v>43899</v>
      </c>
      <c r="H834" s="9">
        <v>2021</v>
      </c>
      <c r="I834" s="9">
        <v>1</v>
      </c>
      <c r="J834" s="50">
        <v>6</v>
      </c>
      <c r="K834" s="50">
        <v>29</v>
      </c>
      <c r="L834" s="48" t="s">
        <v>1980</v>
      </c>
      <c r="M834" s="48"/>
      <c r="V834"/>
    </row>
    <row r="835" spans="1:38" s="47" customFormat="1" x14ac:dyDescent="0.35">
      <c r="A835" s="9">
        <v>1</v>
      </c>
      <c r="B835" s="50" t="s">
        <v>87</v>
      </c>
      <c r="C835" s="53">
        <v>43861</v>
      </c>
      <c r="D835" s="53">
        <v>43899</v>
      </c>
      <c r="E835" s="53">
        <v>43969</v>
      </c>
      <c r="F835" s="21">
        <f t="shared" si="245"/>
        <v>70</v>
      </c>
      <c r="G835" s="53">
        <v>43899</v>
      </c>
      <c r="H835" s="9">
        <v>2021</v>
      </c>
      <c r="I835" s="9">
        <v>1</v>
      </c>
      <c r="J835" s="50">
        <v>9</v>
      </c>
      <c r="K835" s="50">
        <v>34</v>
      </c>
      <c r="L835" s="48" t="s">
        <v>1981</v>
      </c>
      <c r="M835" s="48"/>
      <c r="V835"/>
    </row>
    <row r="836" spans="1:38" s="47" customFormat="1" x14ac:dyDescent="0.35">
      <c r="A836" s="9">
        <v>1</v>
      </c>
      <c r="B836" s="50" t="s">
        <v>87</v>
      </c>
      <c r="C836" s="53">
        <v>43861</v>
      </c>
      <c r="D836" s="53">
        <v>43899</v>
      </c>
      <c r="E836" s="53">
        <v>43969</v>
      </c>
      <c r="F836" s="21">
        <f t="shared" si="245"/>
        <v>70</v>
      </c>
      <c r="G836" s="53">
        <v>43899</v>
      </c>
      <c r="H836" s="9">
        <v>2021</v>
      </c>
      <c r="I836" s="9">
        <v>1</v>
      </c>
      <c r="J836" s="50">
        <v>9</v>
      </c>
      <c r="K836" s="50">
        <v>34</v>
      </c>
      <c r="L836" s="48" t="s">
        <v>1982</v>
      </c>
      <c r="M836" s="48"/>
      <c r="V836"/>
    </row>
    <row r="837" spans="1:38" s="47" customFormat="1" x14ac:dyDescent="0.35">
      <c r="A837" s="9">
        <v>1</v>
      </c>
      <c r="B837" s="50" t="s">
        <v>87</v>
      </c>
      <c r="C837" s="53">
        <v>43861</v>
      </c>
      <c r="D837" s="53">
        <v>43899</v>
      </c>
      <c r="E837" s="53">
        <v>43969</v>
      </c>
      <c r="F837" s="21">
        <f t="shared" si="245"/>
        <v>70</v>
      </c>
      <c r="G837" s="53">
        <v>43899</v>
      </c>
      <c r="H837" s="9">
        <v>2021</v>
      </c>
      <c r="I837" s="9">
        <v>1</v>
      </c>
      <c r="J837" s="50">
        <v>1</v>
      </c>
      <c r="K837" s="50">
        <v>4</v>
      </c>
      <c r="L837" s="48" t="s">
        <v>1983</v>
      </c>
      <c r="M837" s="48"/>
      <c r="V837"/>
    </row>
    <row r="838" spans="1:38" s="47" customFormat="1" x14ac:dyDescent="0.35">
      <c r="A838" s="9">
        <v>1</v>
      </c>
      <c r="B838" s="50" t="s">
        <v>87</v>
      </c>
      <c r="C838" s="53">
        <v>43861</v>
      </c>
      <c r="D838" s="53">
        <v>43899</v>
      </c>
      <c r="E838" s="53">
        <v>43969</v>
      </c>
      <c r="F838" s="21">
        <f t="shared" si="245"/>
        <v>70</v>
      </c>
      <c r="G838" s="53">
        <v>43899</v>
      </c>
      <c r="H838" s="9">
        <v>2021</v>
      </c>
      <c r="I838" s="9">
        <v>1</v>
      </c>
      <c r="J838" s="50">
        <v>1</v>
      </c>
      <c r="K838" s="50">
        <v>4</v>
      </c>
      <c r="L838" s="48" t="s">
        <v>1984</v>
      </c>
      <c r="M838" s="48"/>
      <c r="V838"/>
    </row>
    <row r="839" spans="1:38" s="47" customFormat="1" x14ac:dyDescent="0.35">
      <c r="A839" s="9">
        <v>1</v>
      </c>
      <c r="B839" s="50" t="s">
        <v>87</v>
      </c>
      <c r="C839" s="53">
        <v>43861</v>
      </c>
      <c r="D839" s="53">
        <v>43899</v>
      </c>
      <c r="E839" s="53">
        <v>43969</v>
      </c>
      <c r="F839" s="21">
        <f t="shared" si="245"/>
        <v>70</v>
      </c>
      <c r="G839" s="53">
        <v>43899</v>
      </c>
      <c r="H839" s="9">
        <v>2021</v>
      </c>
      <c r="I839" s="9">
        <v>1</v>
      </c>
      <c r="J839" s="50">
        <v>6</v>
      </c>
      <c r="K839" s="50">
        <v>29</v>
      </c>
      <c r="L839" s="48" t="s">
        <v>1985</v>
      </c>
      <c r="M839" s="48"/>
      <c r="V839"/>
    </row>
    <row r="840" spans="1:38" s="47" customFormat="1" x14ac:dyDescent="0.35">
      <c r="A840" s="9">
        <v>1</v>
      </c>
      <c r="B840" s="50" t="s">
        <v>87</v>
      </c>
      <c r="C840" s="53">
        <v>43861</v>
      </c>
      <c r="D840" s="53">
        <v>43899</v>
      </c>
      <c r="E840" s="53">
        <v>43969</v>
      </c>
      <c r="F840" s="21">
        <f t="shared" si="245"/>
        <v>70</v>
      </c>
      <c r="G840" s="53">
        <v>43899</v>
      </c>
      <c r="H840" s="9">
        <v>2021</v>
      </c>
      <c r="I840" s="9">
        <v>1</v>
      </c>
      <c r="J840" s="50">
        <v>9</v>
      </c>
      <c r="K840" s="50">
        <v>34</v>
      </c>
      <c r="L840" s="48" t="s">
        <v>1986</v>
      </c>
      <c r="M840" s="48"/>
      <c r="V840"/>
    </row>
    <row r="841" spans="1:38" s="47" customFormat="1" x14ac:dyDescent="0.35">
      <c r="A841" s="9">
        <v>1</v>
      </c>
      <c r="B841" s="50" t="s">
        <v>87</v>
      </c>
      <c r="C841" s="53">
        <v>43861</v>
      </c>
      <c r="D841" s="53">
        <v>43899</v>
      </c>
      <c r="E841" s="53">
        <v>43969</v>
      </c>
      <c r="F841" s="21">
        <f t="shared" si="245"/>
        <v>70</v>
      </c>
      <c r="G841" s="53">
        <v>43899</v>
      </c>
      <c r="H841" s="9">
        <v>2021</v>
      </c>
      <c r="I841" s="9">
        <v>1</v>
      </c>
      <c r="J841" s="50">
        <v>9</v>
      </c>
      <c r="K841" s="50">
        <v>34</v>
      </c>
      <c r="L841" s="48" t="s">
        <v>1987</v>
      </c>
      <c r="M841" s="48"/>
      <c r="V841"/>
    </row>
    <row r="842" spans="1:38" x14ac:dyDescent="0.35">
      <c r="A842" s="50">
        <v>0</v>
      </c>
      <c r="B842" s="9" t="s">
        <v>91</v>
      </c>
      <c r="C842" s="53">
        <v>43846</v>
      </c>
      <c r="D842" s="53">
        <v>43928</v>
      </c>
      <c r="E842" s="53">
        <v>43976</v>
      </c>
      <c r="F842" s="21">
        <f t="shared" si="243"/>
        <v>48</v>
      </c>
      <c r="G842" s="53">
        <v>43928</v>
      </c>
      <c r="H842" s="9">
        <v>2020</v>
      </c>
      <c r="I842" s="50">
        <v>0</v>
      </c>
      <c r="J842" s="9">
        <v>7</v>
      </c>
      <c r="K842" s="9">
        <v>30</v>
      </c>
      <c r="L842" s="50" t="s">
        <v>2001</v>
      </c>
      <c r="M842">
        <v>1</v>
      </c>
      <c r="N842">
        <v>1</v>
      </c>
      <c r="O842">
        <v>2</v>
      </c>
      <c r="P842">
        <v>1</v>
      </c>
      <c r="Q842">
        <v>2</v>
      </c>
      <c r="R842">
        <v>2</v>
      </c>
      <c r="S842">
        <v>1</v>
      </c>
      <c r="T842">
        <v>-2</v>
      </c>
      <c r="U842">
        <v>1</v>
      </c>
      <c r="V842" t="s">
        <v>972</v>
      </c>
      <c r="W842" t="s">
        <v>994</v>
      </c>
      <c r="X842" t="s">
        <v>997</v>
      </c>
      <c r="Y842" t="s">
        <v>1000</v>
      </c>
      <c r="Z842">
        <v>0</v>
      </c>
      <c r="AA842">
        <f t="shared" ref="AA842:AI849" si="246">IF(M842&gt;0,1,IF(M842&lt;0,0,-1))</f>
        <v>1</v>
      </c>
      <c r="AB842">
        <f t="shared" si="246"/>
        <v>1</v>
      </c>
      <c r="AC842">
        <f t="shared" si="246"/>
        <v>1</v>
      </c>
      <c r="AD842">
        <f t="shared" si="246"/>
        <v>1</v>
      </c>
      <c r="AE842">
        <f t="shared" si="246"/>
        <v>1</v>
      </c>
      <c r="AF842">
        <f t="shared" si="246"/>
        <v>1</v>
      </c>
      <c r="AG842">
        <f t="shared" si="246"/>
        <v>1</v>
      </c>
      <c r="AH842">
        <f t="shared" si="246"/>
        <v>0</v>
      </c>
      <c r="AI842">
        <f t="shared" si="246"/>
        <v>1</v>
      </c>
      <c r="AJ842" s="9">
        <f t="shared" si="244"/>
        <v>30</v>
      </c>
      <c r="AK842" t="e">
        <f>IF(B842&lt;&gt;#REF!,1,0)</f>
        <v>#REF!</v>
      </c>
      <c r="AL842" s="9">
        <v>1</v>
      </c>
    </row>
    <row r="843" spans="1:38" x14ac:dyDescent="0.35">
      <c r="A843" s="50">
        <v>0</v>
      </c>
      <c r="B843" s="9" t="s">
        <v>91</v>
      </c>
      <c r="C843" s="53">
        <v>43846</v>
      </c>
      <c r="D843" s="53">
        <v>43928</v>
      </c>
      <c r="E843" s="53">
        <v>43976</v>
      </c>
      <c r="F843" s="21">
        <f t="shared" si="243"/>
        <v>48</v>
      </c>
      <c r="G843" s="53">
        <v>43928</v>
      </c>
      <c r="H843" s="9">
        <v>2020</v>
      </c>
      <c r="I843" s="50">
        <v>0</v>
      </c>
      <c r="J843" s="9">
        <v>6</v>
      </c>
      <c r="K843" s="9">
        <v>29</v>
      </c>
      <c r="L843" s="50" t="s">
        <v>637</v>
      </c>
      <c r="M843">
        <v>1</v>
      </c>
      <c r="N843">
        <v>1</v>
      </c>
      <c r="O843">
        <v>-2</v>
      </c>
      <c r="P843">
        <v>-1</v>
      </c>
      <c r="Q843">
        <v>-2</v>
      </c>
      <c r="R843">
        <v>2</v>
      </c>
      <c r="S843">
        <v>1</v>
      </c>
      <c r="T843">
        <v>-2</v>
      </c>
      <c r="U843">
        <v>1</v>
      </c>
      <c r="V843" t="s">
        <v>972</v>
      </c>
      <c r="W843" t="s">
        <v>994</v>
      </c>
      <c r="X843" t="s">
        <v>997</v>
      </c>
      <c r="Y843" t="s">
        <v>1000</v>
      </c>
      <c r="Z843">
        <v>0</v>
      </c>
      <c r="AA843">
        <f t="shared" si="246"/>
        <v>1</v>
      </c>
      <c r="AB843">
        <f t="shared" si="246"/>
        <v>1</v>
      </c>
      <c r="AC843">
        <f t="shared" si="246"/>
        <v>0</v>
      </c>
      <c r="AD843">
        <f t="shared" si="246"/>
        <v>0</v>
      </c>
      <c r="AE843">
        <f t="shared" si="246"/>
        <v>0</v>
      </c>
      <c r="AF843">
        <f t="shared" si="246"/>
        <v>1</v>
      </c>
      <c r="AG843">
        <f t="shared" si="246"/>
        <v>1</v>
      </c>
      <c r="AH843">
        <f t="shared" si="246"/>
        <v>0</v>
      </c>
      <c r="AI843">
        <f t="shared" si="246"/>
        <v>1</v>
      </c>
      <c r="AJ843" s="9">
        <f t="shared" si="244"/>
        <v>29</v>
      </c>
      <c r="AK843">
        <f t="shared" ref="AK843:AK857" si="247">IF(B843&lt;&gt;B842,1,0)</f>
        <v>0</v>
      </c>
      <c r="AL843" s="9">
        <v>1</v>
      </c>
    </row>
    <row r="844" spans="1:38" x14ac:dyDescent="0.35">
      <c r="A844" s="50">
        <v>0</v>
      </c>
      <c r="B844" s="9" t="s">
        <v>91</v>
      </c>
      <c r="C844" s="53">
        <v>43846</v>
      </c>
      <c r="D844" s="53">
        <v>43928</v>
      </c>
      <c r="E844" s="53">
        <v>43976</v>
      </c>
      <c r="F844" s="21">
        <f t="shared" si="243"/>
        <v>48</v>
      </c>
      <c r="G844" s="53">
        <v>43928</v>
      </c>
      <c r="H844" s="9">
        <v>2020</v>
      </c>
      <c r="I844" s="50">
        <v>0</v>
      </c>
      <c r="J844" s="9">
        <v>5</v>
      </c>
      <c r="K844" s="9" t="s">
        <v>204</v>
      </c>
      <c r="L844" s="50" t="s">
        <v>636</v>
      </c>
      <c r="M844">
        <v>1</v>
      </c>
      <c r="N844">
        <v>-2</v>
      </c>
      <c r="O844">
        <v>-2</v>
      </c>
      <c r="P844">
        <v>-1</v>
      </c>
      <c r="Q844">
        <v>-2</v>
      </c>
      <c r="R844">
        <v>1</v>
      </c>
      <c r="S844">
        <v>1</v>
      </c>
      <c r="T844">
        <v>2</v>
      </c>
      <c r="U844">
        <v>1</v>
      </c>
      <c r="V844" t="s">
        <v>972</v>
      </c>
      <c r="W844" t="s">
        <v>994</v>
      </c>
      <c r="X844" t="s">
        <v>997</v>
      </c>
      <c r="Y844" t="s">
        <v>1000</v>
      </c>
      <c r="Z844">
        <v>0</v>
      </c>
      <c r="AA844">
        <f t="shared" si="246"/>
        <v>1</v>
      </c>
      <c r="AB844">
        <f t="shared" si="246"/>
        <v>0</v>
      </c>
      <c r="AC844">
        <f t="shared" si="246"/>
        <v>0</v>
      </c>
      <c r="AD844">
        <f t="shared" si="246"/>
        <v>0</v>
      </c>
      <c r="AE844">
        <f t="shared" si="246"/>
        <v>0</v>
      </c>
      <c r="AF844">
        <f t="shared" si="246"/>
        <v>1</v>
      </c>
      <c r="AG844">
        <f t="shared" si="246"/>
        <v>1</v>
      </c>
      <c r="AH844">
        <f t="shared" si="246"/>
        <v>1</v>
      </c>
      <c r="AI844">
        <f t="shared" si="246"/>
        <v>1</v>
      </c>
      <c r="AJ844" s="9" t="str">
        <f t="shared" si="244"/>
        <v>General</v>
      </c>
      <c r="AK844">
        <f t="shared" si="247"/>
        <v>0</v>
      </c>
      <c r="AL844" s="9">
        <v>1</v>
      </c>
    </row>
    <row r="845" spans="1:38" x14ac:dyDescent="0.35">
      <c r="A845" s="50">
        <v>0</v>
      </c>
      <c r="B845" s="9" t="s">
        <v>91</v>
      </c>
      <c r="C845" s="53">
        <v>43846</v>
      </c>
      <c r="D845" s="53">
        <v>43928</v>
      </c>
      <c r="E845" s="53">
        <v>43976</v>
      </c>
      <c r="F845" s="21">
        <f t="shared" si="243"/>
        <v>48</v>
      </c>
      <c r="G845" s="53">
        <v>43928</v>
      </c>
      <c r="H845" s="9">
        <v>2020</v>
      </c>
      <c r="I845" s="50">
        <v>0</v>
      </c>
      <c r="J845" s="9">
        <v>1</v>
      </c>
      <c r="K845" s="9">
        <v>6</v>
      </c>
      <c r="L845" s="50" t="s">
        <v>639</v>
      </c>
      <c r="M845">
        <v>2</v>
      </c>
      <c r="N845">
        <v>2</v>
      </c>
      <c r="O845">
        <v>2</v>
      </c>
      <c r="P845">
        <v>2</v>
      </c>
      <c r="Q845">
        <v>2</v>
      </c>
      <c r="R845">
        <v>2</v>
      </c>
      <c r="S845">
        <v>1</v>
      </c>
      <c r="T845">
        <v>2</v>
      </c>
      <c r="U845">
        <v>1</v>
      </c>
      <c r="V845" t="s">
        <v>972</v>
      </c>
      <c r="W845" t="s">
        <v>994</v>
      </c>
      <c r="X845" t="s">
        <v>997</v>
      </c>
      <c r="Y845" t="s">
        <v>1000</v>
      </c>
      <c r="Z845">
        <v>0</v>
      </c>
      <c r="AA845">
        <f t="shared" si="246"/>
        <v>1</v>
      </c>
      <c r="AB845">
        <f t="shared" si="246"/>
        <v>1</v>
      </c>
      <c r="AC845">
        <f t="shared" si="246"/>
        <v>1</v>
      </c>
      <c r="AD845">
        <f t="shared" si="246"/>
        <v>1</v>
      </c>
      <c r="AE845">
        <f t="shared" si="246"/>
        <v>1</v>
      </c>
      <c r="AF845">
        <f t="shared" si="246"/>
        <v>1</v>
      </c>
      <c r="AG845">
        <f t="shared" si="246"/>
        <v>1</v>
      </c>
      <c r="AH845">
        <f t="shared" si="246"/>
        <v>1</v>
      </c>
      <c r="AI845">
        <f t="shared" si="246"/>
        <v>1</v>
      </c>
      <c r="AJ845" s="9">
        <f t="shared" si="244"/>
        <v>6</v>
      </c>
      <c r="AK845">
        <f t="shared" si="247"/>
        <v>0</v>
      </c>
      <c r="AL845" s="9">
        <v>1</v>
      </c>
    </row>
    <row r="846" spans="1:38" x14ac:dyDescent="0.35">
      <c r="A846" s="50">
        <v>0</v>
      </c>
      <c r="B846" s="9" t="s">
        <v>91</v>
      </c>
      <c r="C846" s="53">
        <v>43846</v>
      </c>
      <c r="D846" s="53">
        <v>43928</v>
      </c>
      <c r="E846" s="53">
        <v>43976</v>
      </c>
      <c r="F846" s="21">
        <f t="shared" si="243"/>
        <v>48</v>
      </c>
      <c r="G846" s="53">
        <v>43928</v>
      </c>
      <c r="H846" s="9">
        <v>2020</v>
      </c>
      <c r="I846" s="50">
        <v>0</v>
      </c>
      <c r="J846" s="9">
        <v>6</v>
      </c>
      <c r="K846" s="9">
        <v>29</v>
      </c>
      <c r="L846" s="50" t="s">
        <v>640</v>
      </c>
      <c r="M846">
        <v>1</v>
      </c>
      <c r="N846">
        <v>1</v>
      </c>
      <c r="O846">
        <v>-2</v>
      </c>
      <c r="P846">
        <v>-1</v>
      </c>
      <c r="Q846">
        <v>-2</v>
      </c>
      <c r="R846">
        <v>2</v>
      </c>
      <c r="S846">
        <v>1</v>
      </c>
      <c r="T846">
        <v>2</v>
      </c>
      <c r="U846">
        <v>1</v>
      </c>
      <c r="V846" t="s">
        <v>972</v>
      </c>
      <c r="W846" t="s">
        <v>994</v>
      </c>
      <c r="X846" t="s">
        <v>997</v>
      </c>
      <c r="Y846" t="s">
        <v>1000</v>
      </c>
      <c r="Z846">
        <v>0</v>
      </c>
      <c r="AA846">
        <f t="shared" si="246"/>
        <v>1</v>
      </c>
      <c r="AB846">
        <f t="shared" si="246"/>
        <v>1</v>
      </c>
      <c r="AC846">
        <f t="shared" si="246"/>
        <v>0</v>
      </c>
      <c r="AD846">
        <f t="shared" si="246"/>
        <v>0</v>
      </c>
      <c r="AE846">
        <f t="shared" si="246"/>
        <v>0</v>
      </c>
      <c r="AF846">
        <f t="shared" si="246"/>
        <v>1</v>
      </c>
      <c r="AG846">
        <f t="shared" si="246"/>
        <v>1</v>
      </c>
      <c r="AH846">
        <f t="shared" si="246"/>
        <v>1</v>
      </c>
      <c r="AI846">
        <f t="shared" si="246"/>
        <v>1</v>
      </c>
      <c r="AJ846" s="9">
        <f t="shared" si="244"/>
        <v>29</v>
      </c>
      <c r="AK846">
        <f t="shared" si="247"/>
        <v>0</v>
      </c>
      <c r="AL846" s="9">
        <v>1</v>
      </c>
    </row>
    <row r="847" spans="1:38" x14ac:dyDescent="0.35">
      <c r="A847" s="50">
        <v>0</v>
      </c>
      <c r="B847" s="9" t="s">
        <v>91</v>
      </c>
      <c r="C847" s="53">
        <v>43846</v>
      </c>
      <c r="D847" s="53">
        <v>43928</v>
      </c>
      <c r="E847" s="53">
        <v>43976</v>
      </c>
      <c r="F847" s="21">
        <f t="shared" si="243"/>
        <v>48</v>
      </c>
      <c r="G847" s="53">
        <v>43928</v>
      </c>
      <c r="H847" s="9">
        <v>2020</v>
      </c>
      <c r="I847" s="50">
        <v>0</v>
      </c>
      <c r="J847" s="9">
        <v>2</v>
      </c>
      <c r="K847" s="9">
        <v>14</v>
      </c>
      <c r="L847" s="50" t="s">
        <v>638</v>
      </c>
      <c r="M847">
        <v>-2</v>
      </c>
      <c r="N847">
        <v>2</v>
      </c>
      <c r="O847">
        <v>2</v>
      </c>
      <c r="P847">
        <v>2</v>
      </c>
      <c r="Q847">
        <v>2</v>
      </c>
      <c r="R847">
        <v>2</v>
      </c>
      <c r="S847">
        <v>1</v>
      </c>
      <c r="T847">
        <v>2</v>
      </c>
      <c r="U847">
        <v>1</v>
      </c>
      <c r="V847" t="s">
        <v>972</v>
      </c>
      <c r="W847" t="s">
        <v>994</v>
      </c>
      <c r="X847" t="s">
        <v>997</v>
      </c>
      <c r="Y847" t="s">
        <v>1000</v>
      </c>
      <c r="Z847">
        <v>0</v>
      </c>
      <c r="AA847">
        <f t="shared" si="246"/>
        <v>0</v>
      </c>
      <c r="AB847">
        <f t="shared" si="246"/>
        <v>1</v>
      </c>
      <c r="AC847">
        <f t="shared" si="246"/>
        <v>1</v>
      </c>
      <c r="AD847">
        <f t="shared" si="246"/>
        <v>1</v>
      </c>
      <c r="AE847">
        <f t="shared" si="246"/>
        <v>1</v>
      </c>
      <c r="AF847">
        <f t="shared" si="246"/>
        <v>1</v>
      </c>
      <c r="AG847">
        <f t="shared" si="246"/>
        <v>1</v>
      </c>
      <c r="AH847">
        <f t="shared" si="246"/>
        <v>1</v>
      </c>
      <c r="AI847">
        <f t="shared" si="246"/>
        <v>1</v>
      </c>
      <c r="AJ847" s="9">
        <f t="shared" si="244"/>
        <v>14</v>
      </c>
      <c r="AK847">
        <f t="shared" si="247"/>
        <v>0</v>
      </c>
      <c r="AL847" s="9">
        <v>1</v>
      </c>
    </row>
    <row r="848" spans="1:38" x14ac:dyDescent="0.35">
      <c r="A848" s="50">
        <v>0</v>
      </c>
      <c r="B848" s="9" t="s">
        <v>91</v>
      </c>
      <c r="C848" s="53">
        <v>43846</v>
      </c>
      <c r="D848" s="53">
        <v>43928</v>
      </c>
      <c r="E848" s="53">
        <v>43976</v>
      </c>
      <c r="F848" s="21">
        <f t="shared" si="243"/>
        <v>48</v>
      </c>
      <c r="G848" s="53">
        <v>43928</v>
      </c>
      <c r="H848" s="9">
        <v>2020</v>
      </c>
      <c r="I848" s="50">
        <v>0</v>
      </c>
      <c r="J848" s="9">
        <v>6</v>
      </c>
      <c r="K848" s="9">
        <v>29</v>
      </c>
      <c r="L848" s="50" t="s">
        <v>642</v>
      </c>
      <c r="M848">
        <v>1</v>
      </c>
      <c r="N848">
        <v>1</v>
      </c>
      <c r="O848">
        <v>-2</v>
      </c>
      <c r="P848">
        <v>-1</v>
      </c>
      <c r="Q848">
        <v>-2</v>
      </c>
      <c r="R848">
        <v>2</v>
      </c>
      <c r="S848">
        <v>1</v>
      </c>
      <c r="T848">
        <v>-2</v>
      </c>
      <c r="U848">
        <v>1</v>
      </c>
      <c r="V848" t="s">
        <v>972</v>
      </c>
      <c r="W848" t="s">
        <v>994</v>
      </c>
      <c r="X848" t="s">
        <v>997</v>
      </c>
      <c r="Y848" t="s">
        <v>1000</v>
      </c>
      <c r="Z848">
        <v>0</v>
      </c>
      <c r="AA848">
        <f t="shared" si="246"/>
        <v>1</v>
      </c>
      <c r="AB848">
        <f t="shared" si="246"/>
        <v>1</v>
      </c>
      <c r="AC848">
        <f t="shared" si="246"/>
        <v>0</v>
      </c>
      <c r="AD848">
        <f t="shared" si="246"/>
        <v>0</v>
      </c>
      <c r="AE848">
        <f t="shared" si="246"/>
        <v>0</v>
      </c>
      <c r="AF848">
        <f t="shared" si="246"/>
        <v>1</v>
      </c>
      <c r="AG848">
        <f t="shared" si="246"/>
        <v>1</v>
      </c>
      <c r="AH848">
        <f t="shared" si="246"/>
        <v>0</v>
      </c>
      <c r="AI848">
        <f t="shared" si="246"/>
        <v>1</v>
      </c>
      <c r="AJ848" s="9">
        <f t="shared" si="244"/>
        <v>29</v>
      </c>
      <c r="AK848">
        <f t="shared" si="247"/>
        <v>0</v>
      </c>
      <c r="AL848" s="9">
        <v>1</v>
      </c>
    </row>
    <row r="849" spans="1:38" x14ac:dyDescent="0.35">
      <c r="A849" s="50">
        <v>0</v>
      </c>
      <c r="B849" s="9" t="s">
        <v>91</v>
      </c>
      <c r="C849" s="53">
        <v>43846</v>
      </c>
      <c r="D849" s="53">
        <v>43928</v>
      </c>
      <c r="E849" s="53">
        <v>43976</v>
      </c>
      <c r="F849" s="21">
        <f t="shared" si="243"/>
        <v>48</v>
      </c>
      <c r="G849" s="53">
        <v>43928</v>
      </c>
      <c r="H849" s="9">
        <v>2020</v>
      </c>
      <c r="I849" s="50">
        <v>0</v>
      </c>
      <c r="J849" s="9">
        <v>5</v>
      </c>
      <c r="K849" s="9" t="s">
        <v>204</v>
      </c>
      <c r="L849" s="50" t="s">
        <v>641</v>
      </c>
      <c r="M849">
        <v>1</v>
      </c>
      <c r="N849">
        <v>-2</v>
      </c>
      <c r="O849">
        <v>-2</v>
      </c>
      <c r="P849">
        <v>-1</v>
      </c>
      <c r="Q849">
        <v>-2</v>
      </c>
      <c r="R849">
        <v>1</v>
      </c>
      <c r="S849">
        <v>1</v>
      </c>
      <c r="T849">
        <v>2</v>
      </c>
      <c r="U849">
        <v>1</v>
      </c>
      <c r="V849" t="s">
        <v>972</v>
      </c>
      <c r="W849" t="s">
        <v>994</v>
      </c>
      <c r="X849" t="s">
        <v>997</v>
      </c>
      <c r="Y849" t="s">
        <v>1000</v>
      </c>
      <c r="Z849">
        <v>0</v>
      </c>
      <c r="AA849">
        <f t="shared" si="246"/>
        <v>1</v>
      </c>
      <c r="AB849">
        <f t="shared" si="246"/>
        <v>0</v>
      </c>
      <c r="AC849">
        <f t="shared" si="246"/>
        <v>0</v>
      </c>
      <c r="AD849">
        <f t="shared" si="246"/>
        <v>0</v>
      </c>
      <c r="AE849">
        <f t="shared" si="246"/>
        <v>0</v>
      </c>
      <c r="AF849">
        <f t="shared" si="246"/>
        <v>1</v>
      </c>
      <c r="AG849">
        <f t="shared" si="246"/>
        <v>1</v>
      </c>
      <c r="AH849">
        <f t="shared" si="246"/>
        <v>1</v>
      </c>
      <c r="AI849">
        <f t="shared" si="246"/>
        <v>1</v>
      </c>
      <c r="AJ849" s="9" t="str">
        <f t="shared" si="244"/>
        <v>General</v>
      </c>
      <c r="AK849">
        <f t="shared" si="247"/>
        <v>0</v>
      </c>
      <c r="AL849" s="9">
        <v>0</v>
      </c>
    </row>
    <row r="850" spans="1:38" x14ac:dyDescent="0.35">
      <c r="A850" s="50">
        <v>0</v>
      </c>
      <c r="B850" s="50" t="s">
        <v>91</v>
      </c>
      <c r="C850" s="53">
        <v>43846</v>
      </c>
      <c r="D850" s="53">
        <v>43928</v>
      </c>
      <c r="E850" s="53">
        <v>43976</v>
      </c>
      <c r="F850" s="21">
        <f t="shared" si="243"/>
        <v>48</v>
      </c>
      <c r="G850" s="53">
        <v>43928</v>
      </c>
      <c r="H850" s="9">
        <v>2020</v>
      </c>
      <c r="I850" s="50">
        <v>0</v>
      </c>
      <c r="J850" s="50">
        <v>7</v>
      </c>
      <c r="K850" s="50">
        <v>30</v>
      </c>
      <c r="L850" s="24" t="s">
        <v>1797</v>
      </c>
      <c r="M850" s="24"/>
      <c r="V850" t="s">
        <v>972</v>
      </c>
      <c r="W850" t="s">
        <v>994</v>
      </c>
      <c r="X850" t="s">
        <v>997</v>
      </c>
      <c r="Y850" t="s">
        <v>1000</v>
      </c>
      <c r="Z850">
        <v>0</v>
      </c>
      <c r="AA850">
        <v>-1</v>
      </c>
      <c r="AB850">
        <v>-1</v>
      </c>
      <c r="AC850">
        <v>-1</v>
      </c>
      <c r="AD850">
        <v>-1</v>
      </c>
      <c r="AE850">
        <v>-1</v>
      </c>
      <c r="AF850">
        <v>-1</v>
      </c>
      <c r="AG850">
        <v>-1</v>
      </c>
      <c r="AH850">
        <v>-1</v>
      </c>
      <c r="AI850">
        <v>-1</v>
      </c>
      <c r="AJ850" s="9">
        <f t="shared" si="244"/>
        <v>30</v>
      </c>
      <c r="AK850">
        <f t="shared" si="247"/>
        <v>0</v>
      </c>
      <c r="AL850" s="9">
        <v>0</v>
      </c>
    </row>
    <row r="851" spans="1:38" x14ac:dyDescent="0.35">
      <c r="A851" s="50">
        <v>0</v>
      </c>
      <c r="B851" s="50" t="s">
        <v>91</v>
      </c>
      <c r="C851" s="53">
        <v>43846</v>
      </c>
      <c r="D851" s="53">
        <v>43928</v>
      </c>
      <c r="E851" s="53">
        <v>43976</v>
      </c>
      <c r="F851" s="21">
        <f t="shared" si="243"/>
        <v>48</v>
      </c>
      <c r="G851" s="53">
        <v>43928</v>
      </c>
      <c r="H851" s="9">
        <v>2020</v>
      </c>
      <c r="I851" s="50">
        <v>0</v>
      </c>
      <c r="J851" s="50">
        <v>9</v>
      </c>
      <c r="K851" s="50">
        <v>34</v>
      </c>
      <c r="L851" s="24" t="s">
        <v>1798</v>
      </c>
      <c r="M851" s="24"/>
      <c r="V851" t="s">
        <v>972</v>
      </c>
      <c r="W851" t="s">
        <v>994</v>
      </c>
      <c r="X851" t="s">
        <v>997</v>
      </c>
      <c r="Y851" t="s">
        <v>1000</v>
      </c>
      <c r="Z851">
        <v>0</v>
      </c>
      <c r="AA851">
        <v>-1</v>
      </c>
      <c r="AB851">
        <v>-1</v>
      </c>
      <c r="AC851">
        <v>-1</v>
      </c>
      <c r="AD851">
        <v>-1</v>
      </c>
      <c r="AE851">
        <v>-1</v>
      </c>
      <c r="AF851">
        <v>-1</v>
      </c>
      <c r="AG851">
        <v>-1</v>
      </c>
      <c r="AH851">
        <v>-1</v>
      </c>
      <c r="AI851">
        <v>-1</v>
      </c>
      <c r="AJ851" s="9">
        <f t="shared" si="244"/>
        <v>34</v>
      </c>
      <c r="AK851">
        <f t="shared" si="247"/>
        <v>0</v>
      </c>
      <c r="AL851" s="9">
        <v>0</v>
      </c>
    </row>
    <row r="852" spans="1:38" x14ac:dyDescent="0.35">
      <c r="A852" s="50">
        <v>0</v>
      </c>
      <c r="B852" s="50" t="s">
        <v>91</v>
      </c>
      <c r="C852" s="53">
        <v>43846</v>
      </c>
      <c r="D852" s="53">
        <v>43928</v>
      </c>
      <c r="E852" s="53">
        <v>43976</v>
      </c>
      <c r="F852" s="21">
        <f t="shared" si="243"/>
        <v>48</v>
      </c>
      <c r="G852" s="53">
        <v>43928</v>
      </c>
      <c r="H852" s="9">
        <v>2020</v>
      </c>
      <c r="I852" s="50">
        <v>0</v>
      </c>
      <c r="J852" s="50">
        <v>1</v>
      </c>
      <c r="K852" s="50">
        <v>2</v>
      </c>
      <c r="L852" s="24" t="s">
        <v>1486</v>
      </c>
      <c r="M852" s="24"/>
      <c r="V852" t="s">
        <v>972</v>
      </c>
      <c r="W852" t="s">
        <v>994</v>
      </c>
      <c r="X852" t="s">
        <v>997</v>
      </c>
      <c r="Y852" t="s">
        <v>1000</v>
      </c>
      <c r="Z852">
        <v>0</v>
      </c>
      <c r="AA852">
        <v>-1</v>
      </c>
      <c r="AB852">
        <v>-1</v>
      </c>
      <c r="AC852">
        <v>-1</v>
      </c>
      <c r="AD852">
        <v>-1</v>
      </c>
      <c r="AE852">
        <v>-1</v>
      </c>
      <c r="AF852">
        <v>-1</v>
      </c>
      <c r="AG852">
        <v>-1</v>
      </c>
      <c r="AH852">
        <v>-1</v>
      </c>
      <c r="AI852">
        <v>-1</v>
      </c>
      <c r="AJ852" s="9">
        <f t="shared" si="244"/>
        <v>2</v>
      </c>
      <c r="AK852">
        <f t="shared" si="247"/>
        <v>0</v>
      </c>
      <c r="AL852" s="9">
        <v>0</v>
      </c>
    </row>
    <row r="853" spans="1:38" x14ac:dyDescent="0.35">
      <c r="A853" s="50">
        <v>0</v>
      </c>
      <c r="B853" s="50" t="s">
        <v>91</v>
      </c>
      <c r="C853" s="53">
        <v>43846</v>
      </c>
      <c r="D853" s="53">
        <v>43928</v>
      </c>
      <c r="E853" s="53">
        <v>43976</v>
      </c>
      <c r="F853" s="21">
        <f t="shared" ref="F853:F939" si="248">DATEDIF(D853,E853,"D")</f>
        <v>48</v>
      </c>
      <c r="G853" s="53">
        <v>43928</v>
      </c>
      <c r="H853" s="9">
        <v>2020</v>
      </c>
      <c r="I853" s="50">
        <v>0</v>
      </c>
      <c r="J853" s="50">
        <v>1</v>
      </c>
      <c r="K853" s="50">
        <v>2</v>
      </c>
      <c r="L853" s="24" t="s">
        <v>1487</v>
      </c>
      <c r="M853" s="24"/>
      <c r="V853" t="s">
        <v>972</v>
      </c>
      <c r="W853" t="s">
        <v>994</v>
      </c>
      <c r="X853" t="s">
        <v>997</v>
      </c>
      <c r="Y853" t="s">
        <v>1000</v>
      </c>
      <c r="Z853">
        <v>0</v>
      </c>
      <c r="AA853">
        <v>-1</v>
      </c>
      <c r="AB853">
        <v>-1</v>
      </c>
      <c r="AC853">
        <v>-1</v>
      </c>
      <c r="AD853">
        <v>-1</v>
      </c>
      <c r="AE853">
        <v>-1</v>
      </c>
      <c r="AF853">
        <v>-1</v>
      </c>
      <c r="AG853">
        <v>-1</v>
      </c>
      <c r="AH853">
        <v>-1</v>
      </c>
      <c r="AI853">
        <v>-1</v>
      </c>
      <c r="AJ853" s="9">
        <f t="shared" si="244"/>
        <v>2</v>
      </c>
      <c r="AK853">
        <f t="shared" si="247"/>
        <v>0</v>
      </c>
      <c r="AL853" s="9">
        <v>0</v>
      </c>
    </row>
    <row r="854" spans="1:38" x14ac:dyDescent="0.35">
      <c r="A854" s="50">
        <v>0</v>
      </c>
      <c r="B854" s="50" t="s">
        <v>91</v>
      </c>
      <c r="C854" s="53">
        <v>43846</v>
      </c>
      <c r="D854" s="53">
        <v>43928</v>
      </c>
      <c r="E854" s="53">
        <v>43976</v>
      </c>
      <c r="F854" s="21">
        <f t="shared" si="248"/>
        <v>48</v>
      </c>
      <c r="G854" s="53">
        <v>43928</v>
      </c>
      <c r="H854" s="9">
        <v>2020</v>
      </c>
      <c r="I854" s="50">
        <v>0</v>
      </c>
      <c r="J854" s="50">
        <v>2</v>
      </c>
      <c r="K854" s="50">
        <v>15</v>
      </c>
      <c r="L854" s="24" t="s">
        <v>1488</v>
      </c>
      <c r="M854" s="24"/>
      <c r="V854" t="s">
        <v>972</v>
      </c>
      <c r="W854" t="s">
        <v>994</v>
      </c>
      <c r="X854" t="s">
        <v>997</v>
      </c>
      <c r="Y854" t="s">
        <v>1000</v>
      </c>
      <c r="Z854">
        <v>0</v>
      </c>
      <c r="AA854">
        <v>-1</v>
      </c>
      <c r="AB854">
        <v>-1</v>
      </c>
      <c r="AC854">
        <v>-1</v>
      </c>
      <c r="AD854">
        <v>-1</v>
      </c>
      <c r="AE854">
        <v>-1</v>
      </c>
      <c r="AF854">
        <v>-1</v>
      </c>
      <c r="AG854">
        <v>-1</v>
      </c>
      <c r="AH854">
        <v>-1</v>
      </c>
      <c r="AI854">
        <v>-1</v>
      </c>
      <c r="AJ854" s="9">
        <f t="shared" si="244"/>
        <v>15</v>
      </c>
      <c r="AK854">
        <f t="shared" si="247"/>
        <v>0</v>
      </c>
      <c r="AL854" s="9">
        <v>0</v>
      </c>
    </row>
    <row r="855" spans="1:38" x14ac:dyDescent="0.35">
      <c r="A855" s="50">
        <v>0</v>
      </c>
      <c r="B855" s="50" t="s">
        <v>91</v>
      </c>
      <c r="C855" s="53">
        <v>43846</v>
      </c>
      <c r="D855" s="53">
        <v>43928</v>
      </c>
      <c r="E855" s="53">
        <v>43976</v>
      </c>
      <c r="F855" s="21">
        <f t="shared" si="248"/>
        <v>48</v>
      </c>
      <c r="G855" s="53">
        <v>43928</v>
      </c>
      <c r="H855" s="9">
        <v>2020</v>
      </c>
      <c r="I855" s="50">
        <v>0</v>
      </c>
      <c r="J855" s="50">
        <v>1</v>
      </c>
      <c r="K855" s="50" t="s">
        <v>206</v>
      </c>
      <c r="L855" s="24" t="s">
        <v>1489</v>
      </c>
      <c r="M855" s="24"/>
      <c r="V855" t="s">
        <v>972</v>
      </c>
      <c r="W855" t="s">
        <v>994</v>
      </c>
      <c r="X855" t="s">
        <v>997</v>
      </c>
      <c r="Y855" t="s">
        <v>1000</v>
      </c>
      <c r="Z855">
        <v>0</v>
      </c>
      <c r="AA855">
        <v>-1</v>
      </c>
      <c r="AB855">
        <v>-1</v>
      </c>
      <c r="AC855">
        <v>-1</v>
      </c>
      <c r="AD855">
        <v>-1</v>
      </c>
      <c r="AE855">
        <v>-1</v>
      </c>
      <c r="AF855">
        <v>-1</v>
      </c>
      <c r="AG855">
        <v>-1</v>
      </c>
      <c r="AH855">
        <v>-1</v>
      </c>
      <c r="AI855">
        <v>-1</v>
      </c>
      <c r="AJ855" s="9" t="str">
        <f t="shared" si="244"/>
        <v>Tax exemption/waiver/suspension</v>
      </c>
      <c r="AK855">
        <f t="shared" si="247"/>
        <v>0</v>
      </c>
      <c r="AL855" s="9">
        <v>0</v>
      </c>
    </row>
    <row r="856" spans="1:38" x14ac:dyDescent="0.35">
      <c r="A856" s="50">
        <v>0</v>
      </c>
      <c r="B856" s="50" t="s">
        <v>91</v>
      </c>
      <c r="C856" s="53">
        <v>43846</v>
      </c>
      <c r="D856" s="53">
        <v>43928</v>
      </c>
      <c r="E856" s="53">
        <v>43976</v>
      </c>
      <c r="F856" s="21">
        <f t="shared" si="248"/>
        <v>48</v>
      </c>
      <c r="G856" s="53">
        <v>43928</v>
      </c>
      <c r="H856" s="9">
        <v>2020</v>
      </c>
      <c r="I856" s="50">
        <v>0</v>
      </c>
      <c r="J856" s="50">
        <v>5</v>
      </c>
      <c r="K856" s="50">
        <v>23</v>
      </c>
      <c r="L856" s="24" t="s">
        <v>1490</v>
      </c>
      <c r="M856" s="24"/>
      <c r="V856" t="s">
        <v>972</v>
      </c>
      <c r="W856" t="s">
        <v>994</v>
      </c>
      <c r="X856" t="s">
        <v>997</v>
      </c>
      <c r="Y856" t="s">
        <v>1000</v>
      </c>
      <c r="Z856">
        <v>0</v>
      </c>
      <c r="AA856">
        <v>-1</v>
      </c>
      <c r="AB856">
        <v>-1</v>
      </c>
      <c r="AC856">
        <v>-1</v>
      </c>
      <c r="AD856">
        <v>-1</v>
      </c>
      <c r="AE856">
        <v>-1</v>
      </c>
      <c r="AF856">
        <v>-1</v>
      </c>
      <c r="AG856">
        <v>-1</v>
      </c>
      <c r="AH856">
        <v>-1</v>
      </c>
      <c r="AI856">
        <v>-1</v>
      </c>
      <c r="AJ856" s="9">
        <f t="shared" si="244"/>
        <v>23</v>
      </c>
      <c r="AK856">
        <f t="shared" si="247"/>
        <v>0</v>
      </c>
      <c r="AL856" s="9">
        <v>0</v>
      </c>
    </row>
    <row r="857" spans="1:38" x14ac:dyDescent="0.35">
      <c r="A857" s="50">
        <v>0</v>
      </c>
      <c r="B857" s="50" t="s">
        <v>91</v>
      </c>
      <c r="C857" s="53">
        <v>43846</v>
      </c>
      <c r="D857" s="53">
        <v>43928</v>
      </c>
      <c r="E857" s="53">
        <v>43976</v>
      </c>
      <c r="F857" s="21">
        <f t="shared" si="248"/>
        <v>48</v>
      </c>
      <c r="G857" s="53">
        <v>43928</v>
      </c>
      <c r="H857" s="9">
        <v>2020</v>
      </c>
      <c r="I857" s="50">
        <v>0</v>
      </c>
      <c r="J857" s="50">
        <v>6</v>
      </c>
      <c r="K857" s="50">
        <v>25</v>
      </c>
      <c r="L857" s="24" t="s">
        <v>1491</v>
      </c>
      <c r="M857" s="24"/>
      <c r="V857" t="s">
        <v>972</v>
      </c>
      <c r="W857" t="s">
        <v>994</v>
      </c>
      <c r="X857" t="s">
        <v>997</v>
      </c>
      <c r="Y857" t="s">
        <v>1000</v>
      </c>
      <c r="Z857">
        <v>0</v>
      </c>
      <c r="AA857">
        <v>-1</v>
      </c>
      <c r="AB857">
        <v>-1</v>
      </c>
      <c r="AC857">
        <v>-1</v>
      </c>
      <c r="AD857">
        <v>-1</v>
      </c>
      <c r="AE857">
        <v>-1</v>
      </c>
      <c r="AF857">
        <v>-1</v>
      </c>
      <c r="AG857">
        <v>-1</v>
      </c>
      <c r="AH857">
        <v>-1</v>
      </c>
      <c r="AI857">
        <v>-1</v>
      </c>
      <c r="AJ857" s="9">
        <f t="shared" si="244"/>
        <v>25</v>
      </c>
      <c r="AK857">
        <f t="shared" si="247"/>
        <v>0</v>
      </c>
      <c r="AL857" s="9">
        <v>1</v>
      </c>
    </row>
    <row r="858" spans="1:38" s="47" customFormat="1" x14ac:dyDescent="0.35">
      <c r="A858" s="50">
        <v>0</v>
      </c>
      <c r="B858" s="50" t="s">
        <v>91</v>
      </c>
      <c r="C858" s="53">
        <v>43846</v>
      </c>
      <c r="D858" s="53">
        <v>43928</v>
      </c>
      <c r="E858" s="53">
        <v>43976</v>
      </c>
      <c r="F858" s="21">
        <f t="shared" ref="F858:F870" si="249">DATEDIF(D858,E858,"D")</f>
        <v>48</v>
      </c>
      <c r="G858" s="53">
        <v>43928</v>
      </c>
      <c r="H858" s="9">
        <v>2021</v>
      </c>
      <c r="I858" s="50">
        <v>0</v>
      </c>
      <c r="J858" s="50">
        <v>4</v>
      </c>
      <c r="K858" s="50" t="s">
        <v>201</v>
      </c>
      <c r="L858" s="48" t="s">
        <v>1989</v>
      </c>
      <c r="M858" s="48"/>
      <c r="V858"/>
    </row>
    <row r="859" spans="1:38" s="47" customFormat="1" x14ac:dyDescent="0.35">
      <c r="A859" s="50">
        <v>0</v>
      </c>
      <c r="B859" s="50" t="s">
        <v>91</v>
      </c>
      <c r="C859" s="53">
        <v>43846</v>
      </c>
      <c r="D859" s="53">
        <v>43928</v>
      </c>
      <c r="E859" s="53">
        <v>43976</v>
      </c>
      <c r="F859" s="21">
        <f t="shared" si="249"/>
        <v>48</v>
      </c>
      <c r="G859" s="53">
        <v>43928</v>
      </c>
      <c r="H859" s="9">
        <v>2021</v>
      </c>
      <c r="I859" s="50">
        <v>0</v>
      </c>
      <c r="J859" s="50">
        <v>4</v>
      </c>
      <c r="K859" s="50" t="s">
        <v>201</v>
      </c>
      <c r="L859" s="48" t="s">
        <v>1988</v>
      </c>
      <c r="M859" s="48"/>
      <c r="V859"/>
    </row>
    <row r="860" spans="1:38" s="47" customFormat="1" x14ac:dyDescent="0.35">
      <c r="A860" s="50">
        <v>0</v>
      </c>
      <c r="B860" s="50" t="s">
        <v>91</v>
      </c>
      <c r="C860" s="53">
        <v>43846</v>
      </c>
      <c r="D860" s="53">
        <v>43928</v>
      </c>
      <c r="E860" s="53">
        <v>43976</v>
      </c>
      <c r="F860" s="21">
        <f t="shared" si="249"/>
        <v>48</v>
      </c>
      <c r="G860" s="53">
        <v>43928</v>
      </c>
      <c r="H860" s="9">
        <v>2021</v>
      </c>
      <c r="I860" s="50">
        <v>0</v>
      </c>
      <c r="J860" s="50">
        <v>5</v>
      </c>
      <c r="K860" s="50">
        <v>22</v>
      </c>
      <c r="L860" s="48" t="s">
        <v>1990</v>
      </c>
      <c r="M860" s="48"/>
      <c r="V860"/>
    </row>
    <row r="861" spans="1:38" s="47" customFormat="1" x14ac:dyDescent="0.35">
      <c r="A861" s="50">
        <v>0</v>
      </c>
      <c r="B861" s="50" t="s">
        <v>91</v>
      </c>
      <c r="C861" s="53">
        <v>43846</v>
      </c>
      <c r="D861" s="53">
        <v>43928</v>
      </c>
      <c r="E861" s="53">
        <v>43976</v>
      </c>
      <c r="F861" s="21">
        <f t="shared" si="249"/>
        <v>48</v>
      </c>
      <c r="G861" s="53">
        <v>43928</v>
      </c>
      <c r="H861" s="9">
        <v>2021</v>
      </c>
      <c r="I861" s="50">
        <v>0</v>
      </c>
      <c r="J861" s="50">
        <v>5</v>
      </c>
      <c r="K861" s="50">
        <v>23</v>
      </c>
      <c r="L861" s="48" t="s">
        <v>1991</v>
      </c>
      <c r="M861" s="48"/>
      <c r="V861"/>
    </row>
    <row r="862" spans="1:38" s="47" customFormat="1" x14ac:dyDescent="0.35">
      <c r="A862" s="50">
        <v>0</v>
      </c>
      <c r="B862" s="50" t="s">
        <v>91</v>
      </c>
      <c r="C862" s="53">
        <v>43846</v>
      </c>
      <c r="D862" s="53">
        <v>43928</v>
      </c>
      <c r="E862" s="53">
        <v>43976</v>
      </c>
      <c r="F862" s="21">
        <f t="shared" si="249"/>
        <v>48</v>
      </c>
      <c r="G862" s="53">
        <v>43928</v>
      </c>
      <c r="H862" s="9">
        <v>2021</v>
      </c>
      <c r="I862" s="50">
        <v>0</v>
      </c>
      <c r="J862" s="50">
        <v>9</v>
      </c>
      <c r="K862" s="50">
        <v>34</v>
      </c>
      <c r="L862" s="48" t="s">
        <v>1992</v>
      </c>
      <c r="M862" s="48"/>
      <c r="V862"/>
    </row>
    <row r="863" spans="1:38" s="47" customFormat="1" x14ac:dyDescent="0.35">
      <c r="A863" s="50">
        <v>0</v>
      </c>
      <c r="B863" s="50" t="s">
        <v>91</v>
      </c>
      <c r="C863" s="53">
        <v>43846</v>
      </c>
      <c r="D863" s="53">
        <v>43928</v>
      </c>
      <c r="E863" s="53">
        <v>43976</v>
      </c>
      <c r="F863" s="21">
        <f t="shared" si="249"/>
        <v>48</v>
      </c>
      <c r="G863" s="53">
        <v>43928</v>
      </c>
      <c r="H863" s="9">
        <v>2021</v>
      </c>
      <c r="I863" s="50">
        <v>0</v>
      </c>
      <c r="J863" s="50">
        <v>7</v>
      </c>
      <c r="K863" s="50">
        <v>31</v>
      </c>
      <c r="L863" s="48" t="s">
        <v>1993</v>
      </c>
      <c r="M863" s="48"/>
      <c r="V863"/>
    </row>
    <row r="864" spans="1:38" s="47" customFormat="1" x14ac:dyDescent="0.35">
      <c r="A864" s="50">
        <v>0</v>
      </c>
      <c r="B864" s="50" t="s">
        <v>91</v>
      </c>
      <c r="C864" s="53">
        <v>43846</v>
      </c>
      <c r="D864" s="53">
        <v>43928</v>
      </c>
      <c r="E864" s="53">
        <v>43976</v>
      </c>
      <c r="F864" s="21">
        <f t="shared" si="249"/>
        <v>48</v>
      </c>
      <c r="G864" s="53">
        <v>43928</v>
      </c>
      <c r="H864" s="9">
        <v>2021</v>
      </c>
      <c r="I864" s="50">
        <v>0</v>
      </c>
      <c r="J864" s="50">
        <v>7</v>
      </c>
      <c r="K864" s="50">
        <v>31</v>
      </c>
      <c r="L864" s="48" t="s">
        <v>1994</v>
      </c>
      <c r="M864" s="48"/>
      <c r="V864"/>
    </row>
    <row r="865" spans="1:38" s="47" customFormat="1" x14ac:dyDescent="0.35">
      <c r="A865" s="50">
        <v>0</v>
      </c>
      <c r="B865" s="50" t="s">
        <v>91</v>
      </c>
      <c r="C865" s="53">
        <v>43846</v>
      </c>
      <c r="D865" s="53">
        <v>43928</v>
      </c>
      <c r="E865" s="53">
        <v>43976</v>
      </c>
      <c r="F865" s="21">
        <f t="shared" si="249"/>
        <v>48</v>
      </c>
      <c r="G865" s="53">
        <v>43928</v>
      </c>
      <c r="H865" s="9">
        <v>2021</v>
      </c>
      <c r="I865" s="50">
        <v>0</v>
      </c>
      <c r="J865" s="50">
        <v>7</v>
      </c>
      <c r="K865" s="50">
        <v>32</v>
      </c>
      <c r="L865" s="48" t="s">
        <v>1999</v>
      </c>
      <c r="M865" s="48"/>
      <c r="V865"/>
    </row>
    <row r="866" spans="1:38" s="47" customFormat="1" x14ac:dyDescent="0.35">
      <c r="A866" s="50">
        <v>0</v>
      </c>
      <c r="B866" s="50" t="s">
        <v>91</v>
      </c>
      <c r="C866" s="53">
        <v>43846</v>
      </c>
      <c r="D866" s="53">
        <v>43928</v>
      </c>
      <c r="E866" s="53">
        <v>43976</v>
      </c>
      <c r="F866" s="21">
        <f t="shared" si="249"/>
        <v>48</v>
      </c>
      <c r="G866" s="53">
        <v>43928</v>
      </c>
      <c r="H866" s="9">
        <v>2021</v>
      </c>
      <c r="I866" s="50">
        <v>0</v>
      </c>
      <c r="J866" s="50">
        <v>6</v>
      </c>
      <c r="K866" s="50">
        <v>25</v>
      </c>
      <c r="L866" s="48" t="s">
        <v>2000</v>
      </c>
      <c r="M866" s="48"/>
      <c r="V866"/>
    </row>
    <row r="867" spans="1:38" s="47" customFormat="1" x14ac:dyDescent="0.35">
      <c r="A867" s="50">
        <v>0</v>
      </c>
      <c r="B867" s="50" t="s">
        <v>91</v>
      </c>
      <c r="C867" s="53">
        <v>43846</v>
      </c>
      <c r="D867" s="53">
        <v>43928</v>
      </c>
      <c r="E867" s="53">
        <v>43976</v>
      </c>
      <c r="F867" s="21">
        <f t="shared" si="249"/>
        <v>48</v>
      </c>
      <c r="G867" s="53">
        <v>43928</v>
      </c>
      <c r="H867" s="9">
        <v>2021</v>
      </c>
      <c r="I867" s="50">
        <v>0</v>
      </c>
      <c r="J867" s="50">
        <v>9</v>
      </c>
      <c r="K867" s="50">
        <v>34</v>
      </c>
      <c r="L867" s="48" t="s">
        <v>1995</v>
      </c>
      <c r="M867" s="48"/>
      <c r="V867"/>
    </row>
    <row r="868" spans="1:38" s="47" customFormat="1" x14ac:dyDescent="0.35">
      <c r="A868" s="50">
        <v>0</v>
      </c>
      <c r="B868" s="50" t="s">
        <v>91</v>
      </c>
      <c r="C868" s="53">
        <v>43846</v>
      </c>
      <c r="D868" s="53">
        <v>43928</v>
      </c>
      <c r="E868" s="53">
        <v>43976</v>
      </c>
      <c r="F868" s="21">
        <f t="shared" si="249"/>
        <v>48</v>
      </c>
      <c r="G868" s="53">
        <v>43928</v>
      </c>
      <c r="H868" s="9">
        <v>2021</v>
      </c>
      <c r="I868" s="50">
        <v>0</v>
      </c>
      <c r="J868" s="50">
        <v>6</v>
      </c>
      <c r="K868" s="50">
        <v>29</v>
      </c>
      <c r="L868" s="48" t="s">
        <v>1996</v>
      </c>
      <c r="M868" s="48"/>
      <c r="V868"/>
    </row>
    <row r="869" spans="1:38" s="47" customFormat="1" x14ac:dyDescent="0.35">
      <c r="A869" s="50">
        <v>0</v>
      </c>
      <c r="B869" s="50" t="s">
        <v>91</v>
      </c>
      <c r="C869" s="53">
        <v>43846</v>
      </c>
      <c r="D869" s="53">
        <v>43928</v>
      </c>
      <c r="E869" s="53">
        <v>43976</v>
      </c>
      <c r="F869" s="21">
        <f t="shared" si="249"/>
        <v>48</v>
      </c>
      <c r="G869" s="53">
        <v>43928</v>
      </c>
      <c r="H869" s="9">
        <v>2021</v>
      </c>
      <c r="I869" s="50">
        <v>0</v>
      </c>
      <c r="J869" s="50">
        <v>6</v>
      </c>
      <c r="K869" s="50">
        <v>25</v>
      </c>
      <c r="L869" s="48" t="s">
        <v>1997</v>
      </c>
      <c r="M869" s="48"/>
      <c r="V869"/>
    </row>
    <row r="870" spans="1:38" s="47" customFormat="1" x14ac:dyDescent="0.35">
      <c r="A870" s="50">
        <v>0</v>
      </c>
      <c r="B870" s="50" t="s">
        <v>91</v>
      </c>
      <c r="C870" s="53">
        <v>43846</v>
      </c>
      <c r="D870" s="53">
        <v>43928</v>
      </c>
      <c r="E870" s="53">
        <v>43976</v>
      </c>
      <c r="F870" s="21">
        <f t="shared" si="249"/>
        <v>48</v>
      </c>
      <c r="G870" s="53">
        <v>43928</v>
      </c>
      <c r="H870" s="9">
        <v>2021</v>
      </c>
      <c r="I870" s="50">
        <v>0</v>
      </c>
      <c r="J870" s="50">
        <v>6</v>
      </c>
      <c r="K870" s="50">
        <v>25</v>
      </c>
      <c r="L870" s="48" t="s">
        <v>1998</v>
      </c>
      <c r="M870" s="48"/>
      <c r="V870"/>
    </row>
    <row r="871" spans="1:38" x14ac:dyDescent="0.35">
      <c r="A871" s="50">
        <v>0</v>
      </c>
      <c r="B871" s="9" t="s">
        <v>97</v>
      </c>
      <c r="C871" s="53">
        <v>43850</v>
      </c>
      <c r="D871" s="53">
        <v>43884</v>
      </c>
      <c r="E871" s="53">
        <v>43936</v>
      </c>
      <c r="F871" s="21">
        <f t="shared" si="248"/>
        <v>52</v>
      </c>
      <c r="G871" s="53">
        <v>43884</v>
      </c>
      <c r="H871" s="9">
        <v>2020</v>
      </c>
      <c r="I871" s="50">
        <v>0</v>
      </c>
      <c r="J871" s="9">
        <v>1</v>
      </c>
      <c r="K871" s="9">
        <v>7</v>
      </c>
      <c r="L871" s="50" t="s">
        <v>644</v>
      </c>
      <c r="M871">
        <v>2</v>
      </c>
      <c r="N871">
        <v>2</v>
      </c>
      <c r="O871">
        <v>-2</v>
      </c>
      <c r="P871">
        <v>-1</v>
      </c>
      <c r="Q871">
        <v>-2</v>
      </c>
      <c r="R871">
        <v>2</v>
      </c>
      <c r="S871">
        <v>2</v>
      </c>
      <c r="T871">
        <v>2</v>
      </c>
      <c r="U871">
        <v>1</v>
      </c>
      <c r="V871" t="s">
        <v>973</v>
      </c>
      <c r="W871" t="s">
        <v>994</v>
      </c>
      <c r="X871" t="s">
        <v>997</v>
      </c>
      <c r="Y871" t="s">
        <v>1000</v>
      </c>
      <c r="Z871">
        <v>0</v>
      </c>
      <c r="AA871">
        <f t="shared" ref="AA871:AA893" si="250">IF(M871&gt;0,1,IF(M871&lt;0,0,-1))</f>
        <v>1</v>
      </c>
      <c r="AB871">
        <f t="shared" ref="AB871:AB893" si="251">IF(N871&gt;0,1,IF(N871&lt;0,0,-1))</f>
        <v>1</v>
      </c>
      <c r="AC871">
        <f t="shared" ref="AC871:AC893" si="252">IF(O871&gt;0,1,IF(O871&lt;0,0,-1))</f>
        <v>0</v>
      </c>
      <c r="AD871">
        <f t="shared" ref="AD871:AD893" si="253">IF(P871&gt;0,1,IF(P871&lt;0,0,-1))</f>
        <v>0</v>
      </c>
      <c r="AE871">
        <f t="shared" ref="AE871:AE893" si="254">IF(Q871&gt;0,1,IF(Q871&lt;0,0,-1))</f>
        <v>0</v>
      </c>
      <c r="AF871">
        <f t="shared" ref="AF871:AF893" si="255">IF(R871&gt;0,1,IF(R871&lt;0,0,-1))</f>
        <v>1</v>
      </c>
      <c r="AG871">
        <f t="shared" ref="AG871:AG893" si="256">IF(S871&gt;0,1,IF(S871&lt;0,0,-1))</f>
        <v>1</v>
      </c>
      <c r="AH871">
        <f t="shared" ref="AH871:AH893" si="257">IF(T871&gt;0,1,IF(T871&lt;0,0,-1))</f>
        <v>1</v>
      </c>
      <c r="AI871">
        <f t="shared" ref="AI871:AI893" si="258">IF(U871&gt;0,1,IF(U871&lt;0,0,-1))</f>
        <v>1</v>
      </c>
      <c r="AJ871" s="9">
        <f t="shared" ref="AJ871:AJ876" si="259">IF(ISNUMBER(K871),K871,IF(OR(K871="general",K871="23;general"),"General",IF(OR(K871="exemption",K871="other (exemption)"),"Tax exemption/waiver/suspension","Other")))</f>
        <v>7</v>
      </c>
      <c r="AK871" t="e">
        <f>IF(B871&lt;&gt;#REF!,1,0)</f>
        <v>#REF!</v>
      </c>
      <c r="AL871" s="9">
        <v>1</v>
      </c>
    </row>
    <row r="872" spans="1:38" x14ac:dyDescent="0.35">
      <c r="A872" s="50">
        <v>0</v>
      </c>
      <c r="B872" s="9" t="s">
        <v>97</v>
      </c>
      <c r="C872" s="53">
        <v>43850</v>
      </c>
      <c r="D872" s="53">
        <v>43884</v>
      </c>
      <c r="E872" s="53">
        <v>43936</v>
      </c>
      <c r="F872" s="21">
        <f t="shared" si="248"/>
        <v>52</v>
      </c>
      <c r="G872" s="53">
        <v>43884</v>
      </c>
      <c r="H872" s="9">
        <v>2020</v>
      </c>
      <c r="I872" s="50">
        <v>0</v>
      </c>
      <c r="J872" s="9">
        <v>6</v>
      </c>
      <c r="K872" s="9">
        <v>29</v>
      </c>
      <c r="L872" s="50" t="s">
        <v>651</v>
      </c>
      <c r="M872">
        <v>1</v>
      </c>
      <c r="N872">
        <v>1</v>
      </c>
      <c r="O872">
        <v>2</v>
      </c>
      <c r="P872">
        <v>-1</v>
      </c>
      <c r="Q872">
        <v>2</v>
      </c>
      <c r="R872">
        <v>2</v>
      </c>
      <c r="S872">
        <v>1</v>
      </c>
      <c r="T872">
        <v>2</v>
      </c>
      <c r="U872">
        <v>1</v>
      </c>
      <c r="V872" t="s">
        <v>973</v>
      </c>
      <c r="W872" t="s">
        <v>994</v>
      </c>
      <c r="X872" t="s">
        <v>997</v>
      </c>
      <c r="Y872" t="s">
        <v>1000</v>
      </c>
      <c r="Z872">
        <v>0</v>
      </c>
      <c r="AA872">
        <f t="shared" si="250"/>
        <v>1</v>
      </c>
      <c r="AB872">
        <f t="shared" si="251"/>
        <v>1</v>
      </c>
      <c r="AC872">
        <f t="shared" si="252"/>
        <v>1</v>
      </c>
      <c r="AD872">
        <f t="shared" si="253"/>
        <v>0</v>
      </c>
      <c r="AE872">
        <f t="shared" si="254"/>
        <v>1</v>
      </c>
      <c r="AF872">
        <f t="shared" si="255"/>
        <v>1</v>
      </c>
      <c r="AG872">
        <f t="shared" si="256"/>
        <v>1</v>
      </c>
      <c r="AH872">
        <f t="shared" si="257"/>
        <v>1</v>
      </c>
      <c r="AI872">
        <f t="shared" si="258"/>
        <v>1</v>
      </c>
      <c r="AJ872" s="9">
        <f t="shared" si="259"/>
        <v>29</v>
      </c>
      <c r="AK872">
        <f t="shared" ref="AK872:AK904" si="260">IF(B872&lt;&gt;B871,1,0)</f>
        <v>0</v>
      </c>
      <c r="AL872" s="9">
        <v>1</v>
      </c>
    </row>
    <row r="873" spans="1:38" x14ac:dyDescent="0.35">
      <c r="A873" s="50">
        <v>0</v>
      </c>
      <c r="B873" s="9" t="s">
        <v>97</v>
      </c>
      <c r="C873" s="53">
        <v>43850</v>
      </c>
      <c r="D873" s="53">
        <v>43884</v>
      </c>
      <c r="E873" s="53">
        <v>43936</v>
      </c>
      <c r="F873" s="21">
        <f t="shared" si="248"/>
        <v>52</v>
      </c>
      <c r="G873" s="53">
        <v>43884</v>
      </c>
      <c r="H873" s="9">
        <v>2020</v>
      </c>
      <c r="I873" s="50">
        <v>0</v>
      </c>
      <c r="J873" s="9">
        <v>4</v>
      </c>
      <c r="K873" s="9">
        <v>20</v>
      </c>
      <c r="L873" s="50" t="s">
        <v>650</v>
      </c>
      <c r="M873">
        <v>2</v>
      </c>
      <c r="N873">
        <v>2</v>
      </c>
      <c r="O873">
        <v>-2</v>
      </c>
      <c r="P873">
        <v>-1</v>
      </c>
      <c r="Q873">
        <v>-2</v>
      </c>
      <c r="R873">
        <v>-2</v>
      </c>
      <c r="S873">
        <v>-2</v>
      </c>
      <c r="T873">
        <v>2</v>
      </c>
      <c r="U873">
        <v>1</v>
      </c>
      <c r="V873" t="s">
        <v>973</v>
      </c>
      <c r="W873" t="s">
        <v>994</v>
      </c>
      <c r="X873" t="s">
        <v>997</v>
      </c>
      <c r="Y873" t="s">
        <v>1000</v>
      </c>
      <c r="Z873">
        <v>0</v>
      </c>
      <c r="AA873">
        <f t="shared" si="250"/>
        <v>1</v>
      </c>
      <c r="AB873">
        <f t="shared" si="251"/>
        <v>1</v>
      </c>
      <c r="AC873">
        <f t="shared" si="252"/>
        <v>0</v>
      </c>
      <c r="AD873">
        <f t="shared" si="253"/>
        <v>0</v>
      </c>
      <c r="AE873">
        <f t="shared" si="254"/>
        <v>0</v>
      </c>
      <c r="AF873">
        <f t="shared" si="255"/>
        <v>0</v>
      </c>
      <c r="AG873">
        <f t="shared" si="256"/>
        <v>0</v>
      </c>
      <c r="AH873">
        <f t="shared" si="257"/>
        <v>1</v>
      </c>
      <c r="AI873">
        <f t="shared" si="258"/>
        <v>1</v>
      </c>
      <c r="AJ873" s="9">
        <f t="shared" si="259"/>
        <v>20</v>
      </c>
      <c r="AK873">
        <f t="shared" si="260"/>
        <v>0</v>
      </c>
      <c r="AL873" s="9">
        <v>1</v>
      </c>
    </row>
    <row r="874" spans="1:38" x14ac:dyDescent="0.35">
      <c r="A874" s="50">
        <v>0</v>
      </c>
      <c r="B874" s="9" t="s">
        <v>97</v>
      </c>
      <c r="C874" s="53">
        <v>43850</v>
      </c>
      <c r="D874" s="53">
        <v>43884</v>
      </c>
      <c r="E874" s="53">
        <v>43936</v>
      </c>
      <c r="F874" s="21">
        <f t="shared" si="248"/>
        <v>52</v>
      </c>
      <c r="G874" s="53">
        <v>43884</v>
      </c>
      <c r="H874" s="9">
        <v>2020</v>
      </c>
      <c r="I874" s="50">
        <v>0</v>
      </c>
      <c r="J874" s="9">
        <v>6</v>
      </c>
      <c r="K874" s="9">
        <v>29</v>
      </c>
      <c r="L874" s="50" t="s">
        <v>649</v>
      </c>
      <c r="M874">
        <v>1</v>
      </c>
      <c r="N874">
        <v>1</v>
      </c>
      <c r="O874">
        <v>2</v>
      </c>
      <c r="P874">
        <v>-1</v>
      </c>
      <c r="Q874">
        <v>2</v>
      </c>
      <c r="R874">
        <v>2</v>
      </c>
      <c r="S874">
        <v>1</v>
      </c>
      <c r="T874">
        <v>-2</v>
      </c>
      <c r="U874">
        <v>1</v>
      </c>
      <c r="V874" t="s">
        <v>973</v>
      </c>
      <c r="W874" t="s">
        <v>994</v>
      </c>
      <c r="X874" t="s">
        <v>997</v>
      </c>
      <c r="Y874" t="s">
        <v>1000</v>
      </c>
      <c r="Z874">
        <v>0</v>
      </c>
      <c r="AA874">
        <f t="shared" si="250"/>
        <v>1</v>
      </c>
      <c r="AB874">
        <f t="shared" si="251"/>
        <v>1</v>
      </c>
      <c r="AC874">
        <f t="shared" si="252"/>
        <v>1</v>
      </c>
      <c r="AD874">
        <f t="shared" si="253"/>
        <v>0</v>
      </c>
      <c r="AE874">
        <f t="shared" si="254"/>
        <v>1</v>
      </c>
      <c r="AF874">
        <f t="shared" si="255"/>
        <v>1</v>
      </c>
      <c r="AG874">
        <f t="shared" si="256"/>
        <v>1</v>
      </c>
      <c r="AH874">
        <f t="shared" si="257"/>
        <v>0</v>
      </c>
      <c r="AI874">
        <f t="shared" si="258"/>
        <v>1</v>
      </c>
      <c r="AJ874" s="9">
        <f t="shared" si="259"/>
        <v>29</v>
      </c>
      <c r="AK874">
        <f t="shared" si="260"/>
        <v>0</v>
      </c>
      <c r="AL874" s="9">
        <v>1</v>
      </c>
    </row>
    <row r="875" spans="1:38" x14ac:dyDescent="0.35">
      <c r="A875" s="50">
        <v>0</v>
      </c>
      <c r="B875" s="9" t="s">
        <v>97</v>
      </c>
      <c r="C875" s="53">
        <v>43850</v>
      </c>
      <c r="D875" s="53">
        <v>43884</v>
      </c>
      <c r="E875" s="53">
        <v>43936</v>
      </c>
      <c r="F875" s="21">
        <f t="shared" si="248"/>
        <v>52</v>
      </c>
      <c r="G875" s="53">
        <v>43884</v>
      </c>
      <c r="H875" s="9">
        <v>2020</v>
      </c>
      <c r="I875" s="50">
        <v>0</v>
      </c>
      <c r="J875" s="9">
        <v>7</v>
      </c>
      <c r="K875" s="9">
        <v>30</v>
      </c>
      <c r="L875" s="50" t="s">
        <v>648</v>
      </c>
      <c r="M875">
        <v>1</v>
      </c>
      <c r="N875">
        <v>1</v>
      </c>
      <c r="O875">
        <v>2</v>
      </c>
      <c r="P875">
        <v>1</v>
      </c>
      <c r="Q875">
        <v>2</v>
      </c>
      <c r="R875">
        <v>2</v>
      </c>
      <c r="S875">
        <v>1</v>
      </c>
      <c r="T875">
        <v>2</v>
      </c>
      <c r="U875">
        <v>1</v>
      </c>
      <c r="V875" t="s">
        <v>973</v>
      </c>
      <c r="W875" t="s">
        <v>994</v>
      </c>
      <c r="X875" t="s">
        <v>997</v>
      </c>
      <c r="Y875" t="s">
        <v>1000</v>
      </c>
      <c r="Z875">
        <v>0</v>
      </c>
      <c r="AA875">
        <f t="shared" si="250"/>
        <v>1</v>
      </c>
      <c r="AB875">
        <f t="shared" si="251"/>
        <v>1</v>
      </c>
      <c r="AC875">
        <f t="shared" si="252"/>
        <v>1</v>
      </c>
      <c r="AD875">
        <f t="shared" si="253"/>
        <v>1</v>
      </c>
      <c r="AE875">
        <f t="shared" si="254"/>
        <v>1</v>
      </c>
      <c r="AF875">
        <f t="shared" si="255"/>
        <v>1</v>
      </c>
      <c r="AG875">
        <f t="shared" si="256"/>
        <v>1</v>
      </c>
      <c r="AH875">
        <f t="shared" si="257"/>
        <v>1</v>
      </c>
      <c r="AI875">
        <f t="shared" si="258"/>
        <v>1</v>
      </c>
      <c r="AJ875" s="9">
        <f t="shared" si="259"/>
        <v>30</v>
      </c>
      <c r="AK875">
        <f t="shared" si="260"/>
        <v>0</v>
      </c>
      <c r="AL875" s="9">
        <v>1</v>
      </c>
    </row>
    <row r="876" spans="1:38" x14ac:dyDescent="0.35">
      <c r="A876" s="50">
        <v>0</v>
      </c>
      <c r="B876" s="9" t="s">
        <v>97</v>
      </c>
      <c r="C876" s="53">
        <v>43850</v>
      </c>
      <c r="D876" s="53">
        <v>43884</v>
      </c>
      <c r="E876" s="53">
        <v>43936</v>
      </c>
      <c r="F876" s="21">
        <f t="shared" si="248"/>
        <v>52</v>
      </c>
      <c r="G876" s="53">
        <v>43884</v>
      </c>
      <c r="H876" s="9">
        <v>2020</v>
      </c>
      <c r="I876" s="50">
        <v>0</v>
      </c>
      <c r="J876" s="9">
        <v>4</v>
      </c>
      <c r="K876" s="9">
        <v>20</v>
      </c>
      <c r="L876" s="50" t="s">
        <v>647</v>
      </c>
      <c r="M876">
        <v>2</v>
      </c>
      <c r="N876">
        <v>2</v>
      </c>
      <c r="P876">
        <v>-1</v>
      </c>
      <c r="R876">
        <v>2</v>
      </c>
      <c r="S876">
        <v>2</v>
      </c>
      <c r="T876">
        <v>2</v>
      </c>
      <c r="U876">
        <v>1</v>
      </c>
      <c r="V876" t="s">
        <v>973</v>
      </c>
      <c r="W876" t="s">
        <v>994</v>
      </c>
      <c r="X876" t="s">
        <v>997</v>
      </c>
      <c r="Y876" t="s">
        <v>1000</v>
      </c>
      <c r="Z876">
        <v>0</v>
      </c>
      <c r="AA876">
        <f t="shared" si="250"/>
        <v>1</v>
      </c>
      <c r="AB876">
        <f t="shared" si="251"/>
        <v>1</v>
      </c>
      <c r="AC876">
        <f t="shared" si="252"/>
        <v>-1</v>
      </c>
      <c r="AD876">
        <f t="shared" si="253"/>
        <v>0</v>
      </c>
      <c r="AE876">
        <f t="shared" si="254"/>
        <v>-1</v>
      </c>
      <c r="AF876">
        <f t="shared" si="255"/>
        <v>1</v>
      </c>
      <c r="AG876">
        <f t="shared" si="256"/>
        <v>1</v>
      </c>
      <c r="AH876">
        <f t="shared" si="257"/>
        <v>1</v>
      </c>
      <c r="AI876">
        <f t="shared" si="258"/>
        <v>1</v>
      </c>
      <c r="AJ876" s="9">
        <f t="shared" si="259"/>
        <v>20</v>
      </c>
      <c r="AK876">
        <f t="shared" si="260"/>
        <v>0</v>
      </c>
      <c r="AL876" s="9">
        <v>1</v>
      </c>
    </row>
    <row r="877" spans="1:38" x14ac:dyDescent="0.35">
      <c r="A877" s="50">
        <v>0</v>
      </c>
      <c r="B877" s="9" t="s">
        <v>97</v>
      </c>
      <c r="C877" s="53">
        <v>43850</v>
      </c>
      <c r="D877" s="53">
        <v>43884</v>
      </c>
      <c r="E877" s="53">
        <v>43936</v>
      </c>
      <c r="F877" s="21">
        <f t="shared" si="248"/>
        <v>52</v>
      </c>
      <c r="G877" s="53">
        <v>43884</v>
      </c>
      <c r="H877" s="9">
        <v>2020</v>
      </c>
      <c r="I877" s="50">
        <v>0</v>
      </c>
      <c r="J877" s="9">
        <v>6</v>
      </c>
      <c r="K877" s="9">
        <v>25</v>
      </c>
      <c r="L877" s="50" t="s">
        <v>655</v>
      </c>
      <c r="M877">
        <v>1</v>
      </c>
      <c r="N877">
        <v>1</v>
      </c>
      <c r="O877">
        <v>2</v>
      </c>
      <c r="P877">
        <v>-1</v>
      </c>
      <c r="Q877">
        <v>-2</v>
      </c>
      <c r="R877">
        <v>2</v>
      </c>
      <c r="S877">
        <v>1</v>
      </c>
      <c r="T877">
        <v>2</v>
      </c>
      <c r="U877">
        <v>1</v>
      </c>
      <c r="V877" t="s">
        <v>973</v>
      </c>
      <c r="W877" t="s">
        <v>994</v>
      </c>
      <c r="X877" t="s">
        <v>997</v>
      </c>
      <c r="Y877" t="s">
        <v>1000</v>
      </c>
      <c r="Z877">
        <v>0</v>
      </c>
      <c r="AA877">
        <f t="shared" si="250"/>
        <v>1</v>
      </c>
      <c r="AB877">
        <f t="shared" si="251"/>
        <v>1</v>
      </c>
      <c r="AC877">
        <f t="shared" si="252"/>
        <v>1</v>
      </c>
      <c r="AD877">
        <f t="shared" si="253"/>
        <v>0</v>
      </c>
      <c r="AE877">
        <f t="shared" si="254"/>
        <v>0</v>
      </c>
      <c r="AF877">
        <f t="shared" si="255"/>
        <v>1</v>
      </c>
      <c r="AG877">
        <f t="shared" si="256"/>
        <v>1</v>
      </c>
      <c r="AH877">
        <f t="shared" si="257"/>
        <v>1</v>
      </c>
      <c r="AI877">
        <f t="shared" si="258"/>
        <v>1</v>
      </c>
      <c r="AJ877" s="9">
        <f t="shared" ref="AJ877:AJ907" si="261">IF(ISNUMBER(K877),K877,IF(OR(K877="general",K877="23;general"),"General",IF(OR(K877="exemption",K877="other (exemption)"),"Tax exemption/waiver/suspension","Other")))</f>
        <v>25</v>
      </c>
      <c r="AK877">
        <f t="shared" si="260"/>
        <v>0</v>
      </c>
      <c r="AL877" s="9">
        <v>1</v>
      </c>
    </row>
    <row r="878" spans="1:38" x14ac:dyDescent="0.35">
      <c r="A878" s="50">
        <v>0</v>
      </c>
      <c r="B878" s="9" t="s">
        <v>97</v>
      </c>
      <c r="C878" s="53">
        <v>43850</v>
      </c>
      <c r="D878" s="53">
        <v>43884</v>
      </c>
      <c r="E878" s="53">
        <v>43936</v>
      </c>
      <c r="F878" s="21">
        <f t="shared" si="248"/>
        <v>52</v>
      </c>
      <c r="G878" s="53">
        <v>43884</v>
      </c>
      <c r="H878" s="9">
        <v>2020</v>
      </c>
      <c r="I878" s="50">
        <v>0</v>
      </c>
      <c r="J878" s="9">
        <v>6</v>
      </c>
      <c r="K878" s="9">
        <v>26</v>
      </c>
      <c r="L878" s="50" t="s">
        <v>656</v>
      </c>
      <c r="M878">
        <v>1</v>
      </c>
      <c r="N878">
        <v>1</v>
      </c>
      <c r="O878">
        <v>-2</v>
      </c>
      <c r="P878">
        <v>-1</v>
      </c>
      <c r="Q878">
        <v>-2</v>
      </c>
      <c r="R878">
        <v>2</v>
      </c>
      <c r="S878">
        <v>1</v>
      </c>
      <c r="T878">
        <v>-2</v>
      </c>
      <c r="U878">
        <v>1</v>
      </c>
      <c r="V878" t="s">
        <v>973</v>
      </c>
      <c r="W878" t="s">
        <v>994</v>
      </c>
      <c r="X878" t="s">
        <v>997</v>
      </c>
      <c r="Y878" t="s">
        <v>1000</v>
      </c>
      <c r="Z878">
        <v>0</v>
      </c>
      <c r="AA878">
        <f t="shared" si="250"/>
        <v>1</v>
      </c>
      <c r="AB878">
        <f t="shared" si="251"/>
        <v>1</v>
      </c>
      <c r="AC878">
        <f t="shared" si="252"/>
        <v>0</v>
      </c>
      <c r="AD878">
        <f t="shared" si="253"/>
        <v>0</v>
      </c>
      <c r="AE878">
        <f t="shared" si="254"/>
        <v>0</v>
      </c>
      <c r="AF878">
        <f t="shared" si="255"/>
        <v>1</v>
      </c>
      <c r="AG878">
        <f t="shared" si="256"/>
        <v>1</v>
      </c>
      <c r="AH878">
        <f t="shared" si="257"/>
        <v>0</v>
      </c>
      <c r="AI878">
        <f t="shared" si="258"/>
        <v>1</v>
      </c>
      <c r="AJ878" s="9">
        <f t="shared" si="261"/>
        <v>26</v>
      </c>
      <c r="AK878">
        <f t="shared" si="260"/>
        <v>0</v>
      </c>
      <c r="AL878" s="9">
        <v>1</v>
      </c>
    </row>
    <row r="879" spans="1:38" x14ac:dyDescent="0.35">
      <c r="A879" s="50">
        <v>0</v>
      </c>
      <c r="B879" s="9" t="s">
        <v>97</v>
      </c>
      <c r="C879" s="53">
        <v>43850</v>
      </c>
      <c r="D879" s="53">
        <v>43884</v>
      </c>
      <c r="E879" s="53">
        <v>43936</v>
      </c>
      <c r="F879" s="21">
        <f t="shared" si="248"/>
        <v>52</v>
      </c>
      <c r="G879" s="53">
        <v>43884</v>
      </c>
      <c r="H879" s="9">
        <v>2020</v>
      </c>
      <c r="I879" s="50">
        <v>0</v>
      </c>
      <c r="J879" s="9">
        <v>7</v>
      </c>
      <c r="K879" s="9">
        <v>30</v>
      </c>
      <c r="L879" s="50" t="s">
        <v>662</v>
      </c>
      <c r="M879">
        <v>1</v>
      </c>
      <c r="N879">
        <v>1</v>
      </c>
      <c r="O879">
        <v>-2</v>
      </c>
      <c r="P879">
        <v>1</v>
      </c>
      <c r="Q879">
        <v>2</v>
      </c>
      <c r="R879">
        <v>2</v>
      </c>
      <c r="S879">
        <v>1</v>
      </c>
      <c r="T879">
        <v>-2</v>
      </c>
      <c r="U879">
        <v>1</v>
      </c>
      <c r="V879" t="s">
        <v>973</v>
      </c>
      <c r="W879" t="s">
        <v>994</v>
      </c>
      <c r="X879" t="s">
        <v>997</v>
      </c>
      <c r="Y879" t="s">
        <v>1000</v>
      </c>
      <c r="Z879">
        <v>0</v>
      </c>
      <c r="AA879">
        <f t="shared" si="250"/>
        <v>1</v>
      </c>
      <c r="AB879">
        <f t="shared" si="251"/>
        <v>1</v>
      </c>
      <c r="AC879">
        <f t="shared" si="252"/>
        <v>0</v>
      </c>
      <c r="AD879">
        <f t="shared" si="253"/>
        <v>1</v>
      </c>
      <c r="AE879">
        <f t="shared" si="254"/>
        <v>1</v>
      </c>
      <c r="AF879">
        <f t="shared" si="255"/>
        <v>1</v>
      </c>
      <c r="AG879">
        <f t="shared" si="256"/>
        <v>1</v>
      </c>
      <c r="AH879">
        <f t="shared" si="257"/>
        <v>0</v>
      </c>
      <c r="AI879">
        <f t="shared" si="258"/>
        <v>1</v>
      </c>
      <c r="AJ879" s="9">
        <f t="shared" si="261"/>
        <v>30</v>
      </c>
      <c r="AK879">
        <f t="shared" si="260"/>
        <v>0</v>
      </c>
      <c r="AL879" s="9">
        <v>1</v>
      </c>
    </row>
    <row r="880" spans="1:38" x14ac:dyDescent="0.35">
      <c r="A880" s="50">
        <v>0</v>
      </c>
      <c r="B880" s="9" t="s">
        <v>97</v>
      </c>
      <c r="C880" s="53">
        <v>43850</v>
      </c>
      <c r="D880" s="53">
        <v>43884</v>
      </c>
      <c r="E880" s="53">
        <v>43936</v>
      </c>
      <c r="F880" s="21">
        <f t="shared" si="248"/>
        <v>52</v>
      </c>
      <c r="G880" s="53">
        <v>43884</v>
      </c>
      <c r="H880" s="9">
        <v>2020</v>
      </c>
      <c r="I880" s="50">
        <v>0</v>
      </c>
      <c r="J880" s="9">
        <v>1</v>
      </c>
      <c r="K880" s="9">
        <v>7</v>
      </c>
      <c r="L880" s="50" t="s">
        <v>657</v>
      </c>
      <c r="M880">
        <v>-2</v>
      </c>
      <c r="N880">
        <v>2</v>
      </c>
      <c r="O880">
        <v>-2</v>
      </c>
      <c r="P880">
        <v>-1</v>
      </c>
      <c r="Q880">
        <v>-2</v>
      </c>
      <c r="U880">
        <v>1</v>
      </c>
      <c r="V880" t="s">
        <v>973</v>
      </c>
      <c r="W880" t="s">
        <v>994</v>
      </c>
      <c r="X880" t="s">
        <v>997</v>
      </c>
      <c r="Y880" t="s">
        <v>1000</v>
      </c>
      <c r="Z880">
        <v>0</v>
      </c>
      <c r="AA880">
        <f t="shared" si="250"/>
        <v>0</v>
      </c>
      <c r="AB880">
        <f t="shared" si="251"/>
        <v>1</v>
      </c>
      <c r="AC880">
        <f t="shared" si="252"/>
        <v>0</v>
      </c>
      <c r="AD880">
        <f t="shared" si="253"/>
        <v>0</v>
      </c>
      <c r="AE880">
        <f t="shared" si="254"/>
        <v>0</v>
      </c>
      <c r="AF880">
        <f t="shared" si="255"/>
        <v>-1</v>
      </c>
      <c r="AG880">
        <f t="shared" si="256"/>
        <v>-1</v>
      </c>
      <c r="AH880">
        <f t="shared" si="257"/>
        <v>-1</v>
      </c>
      <c r="AI880">
        <f t="shared" si="258"/>
        <v>1</v>
      </c>
      <c r="AJ880" s="9">
        <f t="shared" si="261"/>
        <v>7</v>
      </c>
      <c r="AK880">
        <f t="shared" si="260"/>
        <v>0</v>
      </c>
      <c r="AL880" s="9">
        <v>1</v>
      </c>
    </row>
    <row r="881" spans="1:38" x14ac:dyDescent="0.35">
      <c r="A881" s="50">
        <v>0</v>
      </c>
      <c r="B881" s="9" t="s">
        <v>97</v>
      </c>
      <c r="C881" s="53">
        <v>43850</v>
      </c>
      <c r="D881" s="53">
        <v>43884</v>
      </c>
      <c r="E881" s="53">
        <v>43936</v>
      </c>
      <c r="F881" s="21">
        <f t="shared" si="248"/>
        <v>52</v>
      </c>
      <c r="G881" s="53">
        <v>43884</v>
      </c>
      <c r="H881" s="9">
        <v>2020</v>
      </c>
      <c r="I881" s="50">
        <v>0</v>
      </c>
      <c r="J881" s="9">
        <v>1</v>
      </c>
      <c r="K881" s="9">
        <v>6</v>
      </c>
      <c r="L881" s="50" t="s">
        <v>660</v>
      </c>
      <c r="M881">
        <v>2</v>
      </c>
      <c r="N881">
        <v>2</v>
      </c>
      <c r="O881">
        <v>2</v>
      </c>
      <c r="P881">
        <v>2</v>
      </c>
      <c r="Q881">
        <v>2</v>
      </c>
      <c r="R881">
        <v>2</v>
      </c>
      <c r="S881">
        <v>1</v>
      </c>
      <c r="T881">
        <v>2</v>
      </c>
      <c r="U881">
        <v>1</v>
      </c>
      <c r="V881" t="s">
        <v>973</v>
      </c>
      <c r="W881" t="s">
        <v>994</v>
      </c>
      <c r="X881" t="s">
        <v>997</v>
      </c>
      <c r="Y881" t="s">
        <v>1000</v>
      </c>
      <c r="Z881">
        <v>0</v>
      </c>
      <c r="AA881">
        <f t="shared" si="250"/>
        <v>1</v>
      </c>
      <c r="AB881">
        <f t="shared" si="251"/>
        <v>1</v>
      </c>
      <c r="AC881">
        <f t="shared" si="252"/>
        <v>1</v>
      </c>
      <c r="AD881">
        <f t="shared" si="253"/>
        <v>1</v>
      </c>
      <c r="AE881">
        <f t="shared" si="254"/>
        <v>1</v>
      </c>
      <c r="AF881">
        <f t="shared" si="255"/>
        <v>1</v>
      </c>
      <c r="AG881">
        <f t="shared" si="256"/>
        <v>1</v>
      </c>
      <c r="AH881">
        <f t="shared" si="257"/>
        <v>1</v>
      </c>
      <c r="AI881">
        <f t="shared" si="258"/>
        <v>1</v>
      </c>
      <c r="AJ881" s="9">
        <f t="shared" si="261"/>
        <v>6</v>
      </c>
      <c r="AK881">
        <f t="shared" si="260"/>
        <v>0</v>
      </c>
      <c r="AL881" s="9">
        <v>1</v>
      </c>
    </row>
    <row r="882" spans="1:38" x14ac:dyDescent="0.35">
      <c r="A882" s="50">
        <v>0</v>
      </c>
      <c r="B882" s="9" t="s">
        <v>97</v>
      </c>
      <c r="C882" s="53">
        <v>43850</v>
      </c>
      <c r="D882" s="53">
        <v>43884</v>
      </c>
      <c r="E882" s="53">
        <v>43936</v>
      </c>
      <c r="F882" s="21">
        <f t="shared" si="248"/>
        <v>52</v>
      </c>
      <c r="G882" s="53">
        <v>43884</v>
      </c>
      <c r="H882" s="9">
        <v>2020</v>
      </c>
      <c r="I882" s="50">
        <v>0</v>
      </c>
      <c r="J882" s="9">
        <v>4</v>
      </c>
      <c r="K882" s="9">
        <v>20</v>
      </c>
      <c r="L882" s="50" t="s">
        <v>665</v>
      </c>
      <c r="M882">
        <v>2</v>
      </c>
      <c r="N882">
        <v>2</v>
      </c>
      <c r="O882">
        <v>2</v>
      </c>
      <c r="P882">
        <v>-2</v>
      </c>
      <c r="Q882">
        <v>2</v>
      </c>
      <c r="R882">
        <v>2</v>
      </c>
      <c r="S882">
        <v>2</v>
      </c>
      <c r="T882">
        <v>2</v>
      </c>
      <c r="U882">
        <v>1</v>
      </c>
      <c r="V882" t="s">
        <v>973</v>
      </c>
      <c r="W882" t="s">
        <v>994</v>
      </c>
      <c r="X882" t="s">
        <v>997</v>
      </c>
      <c r="Y882" t="s">
        <v>1000</v>
      </c>
      <c r="Z882">
        <v>0</v>
      </c>
      <c r="AA882">
        <f t="shared" si="250"/>
        <v>1</v>
      </c>
      <c r="AB882">
        <f t="shared" si="251"/>
        <v>1</v>
      </c>
      <c r="AC882">
        <f t="shared" si="252"/>
        <v>1</v>
      </c>
      <c r="AD882">
        <f t="shared" si="253"/>
        <v>0</v>
      </c>
      <c r="AE882">
        <f t="shared" si="254"/>
        <v>1</v>
      </c>
      <c r="AF882">
        <f t="shared" si="255"/>
        <v>1</v>
      </c>
      <c r="AG882">
        <f t="shared" si="256"/>
        <v>1</v>
      </c>
      <c r="AH882">
        <f t="shared" si="257"/>
        <v>1</v>
      </c>
      <c r="AI882">
        <f t="shared" si="258"/>
        <v>1</v>
      </c>
      <c r="AJ882" s="9">
        <f t="shared" si="261"/>
        <v>20</v>
      </c>
      <c r="AK882">
        <f t="shared" si="260"/>
        <v>0</v>
      </c>
      <c r="AL882" s="9">
        <v>1</v>
      </c>
    </row>
    <row r="883" spans="1:38" x14ac:dyDescent="0.35">
      <c r="A883" s="50">
        <v>0</v>
      </c>
      <c r="B883" s="9" t="s">
        <v>97</v>
      </c>
      <c r="C883" s="53">
        <v>43850</v>
      </c>
      <c r="D883" s="53">
        <v>43884</v>
      </c>
      <c r="E883" s="53">
        <v>43936</v>
      </c>
      <c r="F883" s="21">
        <f t="shared" si="248"/>
        <v>52</v>
      </c>
      <c r="G883" s="53">
        <v>43884</v>
      </c>
      <c r="H883" s="9">
        <v>2020</v>
      </c>
      <c r="I883" s="50">
        <v>0</v>
      </c>
      <c r="J883" s="9">
        <v>1</v>
      </c>
      <c r="K883" s="9">
        <v>7</v>
      </c>
      <c r="L883" s="50" t="s">
        <v>653</v>
      </c>
      <c r="M883">
        <v>2</v>
      </c>
      <c r="N883">
        <v>2</v>
      </c>
      <c r="O883">
        <v>-2</v>
      </c>
      <c r="P883">
        <v>-1</v>
      </c>
      <c r="Q883">
        <v>-2</v>
      </c>
      <c r="R883">
        <v>-2</v>
      </c>
      <c r="S883">
        <v>2</v>
      </c>
      <c r="T883">
        <v>-2</v>
      </c>
      <c r="U883">
        <v>1</v>
      </c>
      <c r="V883" t="s">
        <v>973</v>
      </c>
      <c r="W883" t="s">
        <v>994</v>
      </c>
      <c r="X883" t="s">
        <v>997</v>
      </c>
      <c r="Y883" t="s">
        <v>1000</v>
      </c>
      <c r="Z883">
        <v>0</v>
      </c>
      <c r="AA883">
        <f t="shared" si="250"/>
        <v>1</v>
      </c>
      <c r="AB883">
        <f t="shared" si="251"/>
        <v>1</v>
      </c>
      <c r="AC883">
        <f t="shared" si="252"/>
        <v>0</v>
      </c>
      <c r="AD883">
        <f t="shared" si="253"/>
        <v>0</v>
      </c>
      <c r="AE883">
        <f t="shared" si="254"/>
        <v>0</v>
      </c>
      <c r="AF883">
        <f t="shared" si="255"/>
        <v>0</v>
      </c>
      <c r="AG883">
        <f t="shared" si="256"/>
        <v>1</v>
      </c>
      <c r="AH883">
        <f t="shared" si="257"/>
        <v>0</v>
      </c>
      <c r="AI883">
        <f t="shared" si="258"/>
        <v>1</v>
      </c>
      <c r="AJ883" s="9">
        <f t="shared" si="261"/>
        <v>7</v>
      </c>
      <c r="AK883">
        <f t="shared" si="260"/>
        <v>0</v>
      </c>
      <c r="AL883" s="9">
        <v>1</v>
      </c>
    </row>
    <row r="884" spans="1:38" x14ac:dyDescent="0.35">
      <c r="A884" s="50">
        <v>0</v>
      </c>
      <c r="B884" s="9" t="s">
        <v>97</v>
      </c>
      <c r="C884" s="53">
        <v>43850</v>
      </c>
      <c r="D884" s="53">
        <v>43884</v>
      </c>
      <c r="E884" s="53">
        <v>43936</v>
      </c>
      <c r="F884" s="21">
        <f t="shared" si="248"/>
        <v>52</v>
      </c>
      <c r="G884" s="53">
        <v>43884</v>
      </c>
      <c r="H884" s="9">
        <v>2020</v>
      </c>
      <c r="I884" s="50">
        <v>0</v>
      </c>
      <c r="J884" s="9">
        <v>1</v>
      </c>
      <c r="K884" s="9">
        <v>7</v>
      </c>
      <c r="L884" s="50" t="s">
        <v>658</v>
      </c>
      <c r="M884">
        <v>2</v>
      </c>
      <c r="N884">
        <v>2</v>
      </c>
      <c r="O884">
        <v>-2</v>
      </c>
      <c r="P884">
        <v>-1</v>
      </c>
      <c r="Q884">
        <v>-2</v>
      </c>
      <c r="R884">
        <v>-2</v>
      </c>
      <c r="S884">
        <v>2</v>
      </c>
      <c r="T884">
        <v>2</v>
      </c>
      <c r="U884">
        <v>1</v>
      </c>
      <c r="V884" t="s">
        <v>973</v>
      </c>
      <c r="W884" t="s">
        <v>994</v>
      </c>
      <c r="X884" t="s">
        <v>997</v>
      </c>
      <c r="Y884" t="s">
        <v>1000</v>
      </c>
      <c r="Z884">
        <v>0</v>
      </c>
      <c r="AA884">
        <f t="shared" si="250"/>
        <v>1</v>
      </c>
      <c r="AB884">
        <f t="shared" si="251"/>
        <v>1</v>
      </c>
      <c r="AC884">
        <f t="shared" si="252"/>
        <v>0</v>
      </c>
      <c r="AD884">
        <f t="shared" si="253"/>
        <v>0</v>
      </c>
      <c r="AE884">
        <f t="shared" si="254"/>
        <v>0</v>
      </c>
      <c r="AF884">
        <f t="shared" si="255"/>
        <v>0</v>
      </c>
      <c r="AG884">
        <f t="shared" si="256"/>
        <v>1</v>
      </c>
      <c r="AH884">
        <f t="shared" si="257"/>
        <v>1</v>
      </c>
      <c r="AI884">
        <f t="shared" si="258"/>
        <v>1</v>
      </c>
      <c r="AJ884" s="9">
        <f t="shared" si="261"/>
        <v>7</v>
      </c>
      <c r="AK884">
        <f t="shared" si="260"/>
        <v>0</v>
      </c>
      <c r="AL884" s="9">
        <v>1</v>
      </c>
    </row>
    <row r="885" spans="1:38" x14ac:dyDescent="0.35">
      <c r="A885" s="50">
        <v>0</v>
      </c>
      <c r="B885" s="9" t="s">
        <v>97</v>
      </c>
      <c r="C885" s="53">
        <v>43850</v>
      </c>
      <c r="D885" s="53">
        <v>43884</v>
      </c>
      <c r="E885" s="53">
        <v>43936</v>
      </c>
      <c r="F885" s="21">
        <f t="shared" si="248"/>
        <v>52</v>
      </c>
      <c r="G885" s="53">
        <v>43884</v>
      </c>
      <c r="H885" s="9">
        <v>2020</v>
      </c>
      <c r="I885" s="50">
        <v>0</v>
      </c>
      <c r="J885" s="9">
        <v>6</v>
      </c>
      <c r="K885" s="9">
        <v>25</v>
      </c>
      <c r="L885" s="50" t="s">
        <v>652</v>
      </c>
      <c r="M885">
        <v>1</v>
      </c>
      <c r="N885">
        <v>1</v>
      </c>
      <c r="O885">
        <v>-2</v>
      </c>
      <c r="P885">
        <v>-1</v>
      </c>
      <c r="Q885">
        <v>-2</v>
      </c>
      <c r="R885">
        <v>2</v>
      </c>
      <c r="S885">
        <v>1</v>
      </c>
      <c r="T885">
        <v>-2</v>
      </c>
      <c r="U885">
        <v>1</v>
      </c>
      <c r="V885" t="s">
        <v>973</v>
      </c>
      <c r="W885" t="s">
        <v>994</v>
      </c>
      <c r="X885" t="s">
        <v>997</v>
      </c>
      <c r="Y885" t="s">
        <v>1000</v>
      </c>
      <c r="Z885">
        <v>0</v>
      </c>
      <c r="AA885">
        <f t="shared" si="250"/>
        <v>1</v>
      </c>
      <c r="AB885">
        <f t="shared" si="251"/>
        <v>1</v>
      </c>
      <c r="AC885">
        <f t="shared" si="252"/>
        <v>0</v>
      </c>
      <c r="AD885">
        <f t="shared" si="253"/>
        <v>0</v>
      </c>
      <c r="AE885">
        <f t="shared" si="254"/>
        <v>0</v>
      </c>
      <c r="AF885">
        <f t="shared" si="255"/>
        <v>1</v>
      </c>
      <c r="AG885">
        <f t="shared" si="256"/>
        <v>1</v>
      </c>
      <c r="AH885">
        <f t="shared" si="257"/>
        <v>0</v>
      </c>
      <c r="AI885">
        <f t="shared" si="258"/>
        <v>1</v>
      </c>
      <c r="AJ885" s="9">
        <f t="shared" si="261"/>
        <v>25</v>
      </c>
      <c r="AK885">
        <f t="shared" si="260"/>
        <v>0</v>
      </c>
      <c r="AL885" s="9">
        <v>1</v>
      </c>
    </row>
    <row r="886" spans="1:38" x14ac:dyDescent="0.35">
      <c r="A886" s="50">
        <v>0</v>
      </c>
      <c r="B886" s="9" t="s">
        <v>97</v>
      </c>
      <c r="C886" s="53">
        <v>43850</v>
      </c>
      <c r="D886" s="53">
        <v>43884</v>
      </c>
      <c r="E886" s="53">
        <v>43936</v>
      </c>
      <c r="F886" s="21">
        <f t="shared" si="248"/>
        <v>52</v>
      </c>
      <c r="G886" s="53">
        <v>43884</v>
      </c>
      <c r="H886" s="9">
        <v>2020</v>
      </c>
      <c r="I886" s="50">
        <v>0</v>
      </c>
      <c r="J886" s="9">
        <v>5</v>
      </c>
      <c r="K886" s="9" t="s">
        <v>204</v>
      </c>
      <c r="L886" s="50" t="s">
        <v>645</v>
      </c>
      <c r="M886">
        <v>1</v>
      </c>
      <c r="N886">
        <v>-2</v>
      </c>
      <c r="O886">
        <v>-2</v>
      </c>
      <c r="P886">
        <v>-1</v>
      </c>
      <c r="Q886">
        <v>-2</v>
      </c>
      <c r="R886">
        <v>1</v>
      </c>
      <c r="S886">
        <v>1</v>
      </c>
      <c r="T886">
        <v>2</v>
      </c>
      <c r="U886">
        <v>1</v>
      </c>
      <c r="V886" t="s">
        <v>973</v>
      </c>
      <c r="W886" t="s">
        <v>994</v>
      </c>
      <c r="X886" t="s">
        <v>997</v>
      </c>
      <c r="Y886" t="s">
        <v>1000</v>
      </c>
      <c r="Z886">
        <v>0</v>
      </c>
      <c r="AA886">
        <f t="shared" si="250"/>
        <v>1</v>
      </c>
      <c r="AB886">
        <f t="shared" si="251"/>
        <v>0</v>
      </c>
      <c r="AC886">
        <f t="shared" si="252"/>
        <v>0</v>
      </c>
      <c r="AD886">
        <f t="shared" si="253"/>
        <v>0</v>
      </c>
      <c r="AE886">
        <f t="shared" si="254"/>
        <v>0</v>
      </c>
      <c r="AF886">
        <f t="shared" si="255"/>
        <v>1</v>
      </c>
      <c r="AG886">
        <f t="shared" si="256"/>
        <v>1</v>
      </c>
      <c r="AH886">
        <f t="shared" si="257"/>
        <v>1</v>
      </c>
      <c r="AI886">
        <f t="shared" si="258"/>
        <v>1</v>
      </c>
      <c r="AJ886" s="9" t="str">
        <f t="shared" si="261"/>
        <v>General</v>
      </c>
      <c r="AK886">
        <f t="shared" si="260"/>
        <v>0</v>
      </c>
      <c r="AL886" s="9">
        <v>1</v>
      </c>
    </row>
    <row r="887" spans="1:38" x14ac:dyDescent="0.35">
      <c r="A887" s="50">
        <v>0</v>
      </c>
      <c r="B887" s="9" t="s">
        <v>97</v>
      </c>
      <c r="C887" s="53">
        <v>43850</v>
      </c>
      <c r="D887" s="53">
        <v>43884</v>
      </c>
      <c r="E887" s="53">
        <v>43936</v>
      </c>
      <c r="F887" s="21">
        <f t="shared" si="248"/>
        <v>52</v>
      </c>
      <c r="G887" s="53">
        <v>43884</v>
      </c>
      <c r="H887" s="9">
        <v>2020</v>
      </c>
      <c r="I887" s="50">
        <v>0</v>
      </c>
      <c r="J887" s="9">
        <v>2</v>
      </c>
      <c r="K887" s="9">
        <v>16</v>
      </c>
      <c r="L887" s="50" t="s">
        <v>664</v>
      </c>
      <c r="M887">
        <v>1</v>
      </c>
      <c r="N887">
        <v>1</v>
      </c>
      <c r="O887">
        <v>-2</v>
      </c>
      <c r="P887">
        <v>-1</v>
      </c>
      <c r="Q887">
        <v>2</v>
      </c>
      <c r="R887">
        <v>2</v>
      </c>
      <c r="S887">
        <v>1</v>
      </c>
      <c r="T887">
        <v>1</v>
      </c>
      <c r="U887">
        <v>1</v>
      </c>
      <c r="V887" t="s">
        <v>973</v>
      </c>
      <c r="W887" t="s">
        <v>994</v>
      </c>
      <c r="X887" t="s">
        <v>997</v>
      </c>
      <c r="Y887" t="s">
        <v>1000</v>
      </c>
      <c r="Z887">
        <v>0</v>
      </c>
      <c r="AA887">
        <f t="shared" si="250"/>
        <v>1</v>
      </c>
      <c r="AB887">
        <f t="shared" si="251"/>
        <v>1</v>
      </c>
      <c r="AC887">
        <f t="shared" si="252"/>
        <v>0</v>
      </c>
      <c r="AD887">
        <f t="shared" si="253"/>
        <v>0</v>
      </c>
      <c r="AE887">
        <f t="shared" si="254"/>
        <v>1</v>
      </c>
      <c r="AF887">
        <f t="shared" si="255"/>
        <v>1</v>
      </c>
      <c r="AG887">
        <f t="shared" si="256"/>
        <v>1</v>
      </c>
      <c r="AH887">
        <f t="shared" si="257"/>
        <v>1</v>
      </c>
      <c r="AI887">
        <f t="shared" si="258"/>
        <v>1</v>
      </c>
      <c r="AJ887" s="9">
        <f t="shared" si="261"/>
        <v>16</v>
      </c>
      <c r="AK887">
        <f t="shared" si="260"/>
        <v>0</v>
      </c>
      <c r="AL887" s="9">
        <v>1</v>
      </c>
    </row>
    <row r="888" spans="1:38" x14ac:dyDescent="0.35">
      <c r="A888" s="50">
        <v>0</v>
      </c>
      <c r="B888" s="9" t="s">
        <v>97</v>
      </c>
      <c r="C888" s="53">
        <v>43850</v>
      </c>
      <c r="D888" s="53">
        <v>43884</v>
      </c>
      <c r="E888" s="53">
        <v>43936</v>
      </c>
      <c r="F888" s="21">
        <f t="shared" si="248"/>
        <v>52</v>
      </c>
      <c r="G888" s="53">
        <v>43884</v>
      </c>
      <c r="H888" s="9">
        <v>2020</v>
      </c>
      <c r="I888" s="50">
        <v>0</v>
      </c>
      <c r="J888" s="9">
        <v>6</v>
      </c>
      <c r="K888" s="9">
        <v>28</v>
      </c>
      <c r="L888" s="50" t="s">
        <v>654</v>
      </c>
      <c r="M888">
        <v>1</v>
      </c>
      <c r="N888">
        <v>1</v>
      </c>
      <c r="O888">
        <v>2</v>
      </c>
      <c r="P888">
        <v>-1</v>
      </c>
      <c r="Q888">
        <v>2</v>
      </c>
      <c r="R888">
        <v>2</v>
      </c>
      <c r="S888">
        <v>1</v>
      </c>
      <c r="T888">
        <v>-2</v>
      </c>
      <c r="U888">
        <v>1</v>
      </c>
      <c r="V888" t="s">
        <v>973</v>
      </c>
      <c r="W888" t="s">
        <v>994</v>
      </c>
      <c r="X888" t="s">
        <v>997</v>
      </c>
      <c r="Y888" t="s">
        <v>1000</v>
      </c>
      <c r="Z888">
        <v>0</v>
      </c>
      <c r="AA888">
        <f t="shared" si="250"/>
        <v>1</v>
      </c>
      <c r="AB888">
        <f t="shared" si="251"/>
        <v>1</v>
      </c>
      <c r="AC888">
        <f t="shared" si="252"/>
        <v>1</v>
      </c>
      <c r="AD888">
        <f t="shared" si="253"/>
        <v>0</v>
      </c>
      <c r="AE888">
        <f t="shared" si="254"/>
        <v>1</v>
      </c>
      <c r="AF888">
        <f t="shared" si="255"/>
        <v>1</v>
      </c>
      <c r="AG888">
        <f t="shared" si="256"/>
        <v>1</v>
      </c>
      <c r="AH888">
        <f t="shared" si="257"/>
        <v>0</v>
      </c>
      <c r="AI888">
        <f t="shared" si="258"/>
        <v>1</v>
      </c>
      <c r="AJ888" s="9">
        <f t="shared" si="261"/>
        <v>28</v>
      </c>
      <c r="AK888">
        <f t="shared" si="260"/>
        <v>0</v>
      </c>
      <c r="AL888" s="9">
        <v>1</v>
      </c>
    </row>
    <row r="889" spans="1:38" x14ac:dyDescent="0.35">
      <c r="A889" s="50">
        <v>0</v>
      </c>
      <c r="B889" s="9" t="s">
        <v>97</v>
      </c>
      <c r="C889" s="53">
        <v>43850</v>
      </c>
      <c r="D889" s="53">
        <v>43884</v>
      </c>
      <c r="E889" s="53">
        <v>43936</v>
      </c>
      <c r="F889" s="21">
        <f t="shared" si="248"/>
        <v>52</v>
      </c>
      <c r="G889" s="53">
        <v>43884</v>
      </c>
      <c r="H889" s="9">
        <v>2020</v>
      </c>
      <c r="I889" s="50">
        <v>0</v>
      </c>
      <c r="J889" s="9">
        <v>6</v>
      </c>
      <c r="K889" s="9">
        <v>28</v>
      </c>
      <c r="L889" s="50" t="s">
        <v>643</v>
      </c>
      <c r="M889">
        <v>-2</v>
      </c>
      <c r="N889">
        <v>1</v>
      </c>
      <c r="O889">
        <v>2</v>
      </c>
      <c r="P889">
        <v>1</v>
      </c>
      <c r="Q889">
        <v>2</v>
      </c>
      <c r="R889">
        <v>2</v>
      </c>
      <c r="S889">
        <v>1</v>
      </c>
      <c r="T889">
        <v>2</v>
      </c>
      <c r="U889">
        <v>1</v>
      </c>
      <c r="V889" t="s">
        <v>973</v>
      </c>
      <c r="W889" t="s">
        <v>994</v>
      </c>
      <c r="X889" t="s">
        <v>997</v>
      </c>
      <c r="Y889" t="s">
        <v>1000</v>
      </c>
      <c r="Z889">
        <v>0</v>
      </c>
      <c r="AA889">
        <f t="shared" si="250"/>
        <v>0</v>
      </c>
      <c r="AB889">
        <f t="shared" si="251"/>
        <v>1</v>
      </c>
      <c r="AC889">
        <f t="shared" si="252"/>
        <v>1</v>
      </c>
      <c r="AD889">
        <f t="shared" si="253"/>
        <v>1</v>
      </c>
      <c r="AE889">
        <f t="shared" si="254"/>
        <v>1</v>
      </c>
      <c r="AF889">
        <f t="shared" si="255"/>
        <v>1</v>
      </c>
      <c r="AG889">
        <f t="shared" si="256"/>
        <v>1</v>
      </c>
      <c r="AH889">
        <f t="shared" si="257"/>
        <v>1</v>
      </c>
      <c r="AI889">
        <f t="shared" si="258"/>
        <v>1</v>
      </c>
      <c r="AJ889" s="9">
        <f t="shared" si="261"/>
        <v>28</v>
      </c>
      <c r="AK889">
        <f t="shared" si="260"/>
        <v>0</v>
      </c>
      <c r="AL889" s="9">
        <v>1</v>
      </c>
    </row>
    <row r="890" spans="1:38" x14ac:dyDescent="0.35">
      <c r="A890" s="50">
        <v>0</v>
      </c>
      <c r="B890" s="9" t="s">
        <v>97</v>
      </c>
      <c r="C890" s="53">
        <v>43850</v>
      </c>
      <c r="D890" s="53">
        <v>43884</v>
      </c>
      <c r="E890" s="53">
        <v>43936</v>
      </c>
      <c r="F890" s="21">
        <f t="shared" si="248"/>
        <v>52</v>
      </c>
      <c r="G890" s="53">
        <v>43884</v>
      </c>
      <c r="H890" s="9">
        <v>2020</v>
      </c>
      <c r="I890" s="50">
        <v>0</v>
      </c>
      <c r="J890" s="9">
        <v>5</v>
      </c>
      <c r="K890" s="9" t="s">
        <v>204</v>
      </c>
      <c r="L890" s="50" t="s">
        <v>659</v>
      </c>
      <c r="M890">
        <v>1</v>
      </c>
      <c r="N890">
        <v>-2</v>
      </c>
      <c r="O890">
        <v>-2</v>
      </c>
      <c r="P890">
        <v>-1</v>
      </c>
      <c r="Q890">
        <v>-2</v>
      </c>
      <c r="R890">
        <v>1</v>
      </c>
      <c r="S890">
        <v>1</v>
      </c>
      <c r="T890">
        <v>2</v>
      </c>
      <c r="U890">
        <v>1</v>
      </c>
      <c r="V890" t="s">
        <v>973</v>
      </c>
      <c r="W890" t="s">
        <v>994</v>
      </c>
      <c r="X890" t="s">
        <v>997</v>
      </c>
      <c r="Y890" t="s">
        <v>1000</v>
      </c>
      <c r="Z890">
        <v>0</v>
      </c>
      <c r="AA890">
        <f t="shared" si="250"/>
        <v>1</v>
      </c>
      <c r="AB890">
        <f t="shared" si="251"/>
        <v>0</v>
      </c>
      <c r="AC890">
        <f t="shared" si="252"/>
        <v>0</v>
      </c>
      <c r="AD890">
        <f t="shared" si="253"/>
        <v>0</v>
      </c>
      <c r="AE890">
        <f t="shared" si="254"/>
        <v>0</v>
      </c>
      <c r="AF890">
        <f t="shared" si="255"/>
        <v>1</v>
      </c>
      <c r="AG890">
        <f t="shared" si="256"/>
        <v>1</v>
      </c>
      <c r="AH890">
        <f t="shared" si="257"/>
        <v>1</v>
      </c>
      <c r="AI890">
        <f t="shared" si="258"/>
        <v>1</v>
      </c>
      <c r="AJ890" s="9" t="str">
        <f t="shared" si="261"/>
        <v>General</v>
      </c>
      <c r="AK890">
        <f t="shared" si="260"/>
        <v>0</v>
      </c>
      <c r="AL890" s="9">
        <v>1</v>
      </c>
    </row>
    <row r="891" spans="1:38" x14ac:dyDescent="0.35">
      <c r="A891" s="50">
        <v>0</v>
      </c>
      <c r="B891" s="9" t="s">
        <v>97</v>
      </c>
      <c r="C891" s="53">
        <v>43850</v>
      </c>
      <c r="D891" s="53">
        <v>43884</v>
      </c>
      <c r="E891" s="53">
        <v>43936</v>
      </c>
      <c r="F891" s="21">
        <f t="shared" si="248"/>
        <v>52</v>
      </c>
      <c r="G891" s="53">
        <v>43884</v>
      </c>
      <c r="H891" s="9">
        <v>2020</v>
      </c>
      <c r="I891" s="50">
        <v>0</v>
      </c>
      <c r="J891" s="9">
        <v>6</v>
      </c>
      <c r="K891" s="9">
        <v>29</v>
      </c>
      <c r="L891" s="50" t="s">
        <v>661</v>
      </c>
      <c r="M891">
        <v>1</v>
      </c>
      <c r="N891">
        <v>1</v>
      </c>
      <c r="O891">
        <v>-2</v>
      </c>
      <c r="P891">
        <v>-1</v>
      </c>
      <c r="Q891">
        <v>-2</v>
      </c>
      <c r="R891">
        <v>2</v>
      </c>
      <c r="S891">
        <v>1</v>
      </c>
      <c r="T891">
        <v>-2</v>
      </c>
      <c r="U891">
        <v>1</v>
      </c>
      <c r="V891" t="s">
        <v>973</v>
      </c>
      <c r="W891" t="s">
        <v>994</v>
      </c>
      <c r="X891" t="s">
        <v>997</v>
      </c>
      <c r="Y891" t="s">
        <v>1000</v>
      </c>
      <c r="Z891">
        <v>0</v>
      </c>
      <c r="AA891">
        <f t="shared" si="250"/>
        <v>1</v>
      </c>
      <c r="AB891">
        <f t="shared" si="251"/>
        <v>1</v>
      </c>
      <c r="AC891">
        <f t="shared" si="252"/>
        <v>0</v>
      </c>
      <c r="AD891">
        <f t="shared" si="253"/>
        <v>0</v>
      </c>
      <c r="AE891">
        <f t="shared" si="254"/>
        <v>0</v>
      </c>
      <c r="AF891">
        <f t="shared" si="255"/>
        <v>1</v>
      </c>
      <c r="AG891">
        <f t="shared" si="256"/>
        <v>1</v>
      </c>
      <c r="AH891">
        <f t="shared" si="257"/>
        <v>0</v>
      </c>
      <c r="AI891">
        <f t="shared" si="258"/>
        <v>1</v>
      </c>
      <c r="AJ891" s="9">
        <f t="shared" si="261"/>
        <v>29</v>
      </c>
      <c r="AK891">
        <f t="shared" si="260"/>
        <v>0</v>
      </c>
      <c r="AL891" s="9">
        <v>1</v>
      </c>
    </row>
    <row r="892" spans="1:38" x14ac:dyDescent="0.35">
      <c r="A892" s="50">
        <v>0</v>
      </c>
      <c r="B892" s="9" t="s">
        <v>97</v>
      </c>
      <c r="C892" s="53">
        <v>43850</v>
      </c>
      <c r="D892" s="53">
        <v>43884</v>
      </c>
      <c r="E892" s="53">
        <v>43936</v>
      </c>
      <c r="F892" s="21">
        <f t="shared" si="248"/>
        <v>52</v>
      </c>
      <c r="G892" s="53">
        <v>43884</v>
      </c>
      <c r="H892" s="9">
        <v>2020</v>
      </c>
      <c r="I892" s="50">
        <v>0</v>
      </c>
      <c r="J892" s="9">
        <v>6</v>
      </c>
      <c r="K892" s="9">
        <v>27</v>
      </c>
      <c r="L892" s="50" t="s">
        <v>663</v>
      </c>
      <c r="M892">
        <v>1</v>
      </c>
      <c r="N892">
        <v>1</v>
      </c>
      <c r="O892">
        <v>2</v>
      </c>
      <c r="P892">
        <v>-1</v>
      </c>
      <c r="Q892">
        <v>-2</v>
      </c>
      <c r="R892">
        <v>2</v>
      </c>
      <c r="S892">
        <v>-1</v>
      </c>
      <c r="T892">
        <v>2</v>
      </c>
      <c r="U892">
        <v>1</v>
      </c>
      <c r="V892" t="s">
        <v>973</v>
      </c>
      <c r="W892" t="s">
        <v>994</v>
      </c>
      <c r="X892" t="s">
        <v>997</v>
      </c>
      <c r="Y892" t="s">
        <v>1000</v>
      </c>
      <c r="Z892">
        <v>0</v>
      </c>
      <c r="AA892">
        <f t="shared" si="250"/>
        <v>1</v>
      </c>
      <c r="AB892">
        <f t="shared" si="251"/>
        <v>1</v>
      </c>
      <c r="AC892">
        <f t="shared" si="252"/>
        <v>1</v>
      </c>
      <c r="AD892">
        <f t="shared" si="253"/>
        <v>0</v>
      </c>
      <c r="AE892">
        <f t="shared" si="254"/>
        <v>0</v>
      </c>
      <c r="AF892">
        <f t="shared" si="255"/>
        <v>1</v>
      </c>
      <c r="AG892">
        <f t="shared" si="256"/>
        <v>0</v>
      </c>
      <c r="AH892">
        <f t="shared" si="257"/>
        <v>1</v>
      </c>
      <c r="AI892">
        <f t="shared" si="258"/>
        <v>1</v>
      </c>
      <c r="AJ892" s="9">
        <f t="shared" si="261"/>
        <v>27</v>
      </c>
      <c r="AK892">
        <f t="shared" si="260"/>
        <v>0</v>
      </c>
      <c r="AL892" s="9">
        <v>1</v>
      </c>
    </row>
    <row r="893" spans="1:38" x14ac:dyDescent="0.35">
      <c r="A893" s="50">
        <v>0</v>
      </c>
      <c r="B893" s="9" t="s">
        <v>97</v>
      </c>
      <c r="C893" s="53">
        <v>43850</v>
      </c>
      <c r="D893" s="53">
        <v>43884</v>
      </c>
      <c r="E893" s="53">
        <v>43936</v>
      </c>
      <c r="F893" s="21">
        <f t="shared" si="248"/>
        <v>52</v>
      </c>
      <c r="G893" s="53">
        <v>43884</v>
      </c>
      <c r="H893" s="9">
        <v>2020</v>
      </c>
      <c r="I893" s="50">
        <v>0</v>
      </c>
      <c r="J893" s="9">
        <v>6</v>
      </c>
      <c r="K893" s="9">
        <v>25</v>
      </c>
      <c r="L893" s="50" t="s">
        <v>646</v>
      </c>
      <c r="M893">
        <v>1</v>
      </c>
      <c r="N893">
        <v>1</v>
      </c>
      <c r="O893">
        <v>2</v>
      </c>
      <c r="P893">
        <v>-1</v>
      </c>
      <c r="Q893">
        <v>2</v>
      </c>
      <c r="R893">
        <v>2</v>
      </c>
      <c r="S893">
        <v>1</v>
      </c>
      <c r="T893">
        <v>2</v>
      </c>
      <c r="U893">
        <v>1</v>
      </c>
      <c r="V893" t="s">
        <v>973</v>
      </c>
      <c r="W893" t="s">
        <v>994</v>
      </c>
      <c r="X893" t="s">
        <v>997</v>
      </c>
      <c r="Y893" t="s">
        <v>1000</v>
      </c>
      <c r="Z893">
        <v>0</v>
      </c>
      <c r="AA893">
        <f t="shared" si="250"/>
        <v>1</v>
      </c>
      <c r="AB893">
        <f t="shared" si="251"/>
        <v>1</v>
      </c>
      <c r="AC893">
        <f t="shared" si="252"/>
        <v>1</v>
      </c>
      <c r="AD893">
        <f t="shared" si="253"/>
        <v>0</v>
      </c>
      <c r="AE893">
        <f t="shared" si="254"/>
        <v>1</v>
      </c>
      <c r="AF893">
        <f t="shared" si="255"/>
        <v>1</v>
      </c>
      <c r="AG893">
        <f t="shared" si="256"/>
        <v>1</v>
      </c>
      <c r="AH893">
        <f t="shared" si="257"/>
        <v>1</v>
      </c>
      <c r="AI893">
        <f t="shared" si="258"/>
        <v>1</v>
      </c>
      <c r="AJ893" s="9">
        <f t="shared" si="261"/>
        <v>25</v>
      </c>
      <c r="AK893">
        <f t="shared" si="260"/>
        <v>0</v>
      </c>
      <c r="AL893" s="9">
        <v>0</v>
      </c>
    </row>
    <row r="894" spans="1:38" x14ac:dyDescent="0.35">
      <c r="A894" s="50">
        <v>0</v>
      </c>
      <c r="B894" s="9" t="s">
        <v>97</v>
      </c>
      <c r="C894" s="53">
        <v>43850</v>
      </c>
      <c r="D894" s="53">
        <v>43884</v>
      </c>
      <c r="E894" s="53">
        <v>43936</v>
      </c>
      <c r="F894" s="21">
        <f t="shared" si="248"/>
        <v>52</v>
      </c>
      <c r="G894" s="53">
        <v>43884</v>
      </c>
      <c r="H894" s="9">
        <v>2020</v>
      </c>
      <c r="I894" s="50">
        <v>0</v>
      </c>
      <c r="J894" s="50">
        <v>7</v>
      </c>
      <c r="K894" s="50">
        <v>30</v>
      </c>
      <c r="L894" s="24" t="s">
        <v>1799</v>
      </c>
      <c r="M894" s="24"/>
      <c r="V894" t="s">
        <v>973</v>
      </c>
      <c r="W894" t="s">
        <v>994</v>
      </c>
      <c r="X894" t="s">
        <v>997</v>
      </c>
      <c r="Y894" t="s">
        <v>1000</v>
      </c>
      <c r="Z894">
        <v>0</v>
      </c>
      <c r="AA894">
        <v>-1</v>
      </c>
      <c r="AB894">
        <v>-1</v>
      </c>
      <c r="AC894">
        <v>-1</v>
      </c>
      <c r="AD894">
        <v>-1</v>
      </c>
      <c r="AE894">
        <v>-1</v>
      </c>
      <c r="AF894">
        <v>-1</v>
      </c>
      <c r="AG894">
        <v>-1</v>
      </c>
      <c r="AH894">
        <v>-1</v>
      </c>
      <c r="AI894">
        <v>-1</v>
      </c>
      <c r="AJ894" s="9">
        <f t="shared" si="261"/>
        <v>30</v>
      </c>
      <c r="AK894" t="e">
        <f>IF(B894&lt;&gt;#REF!,1,0)</f>
        <v>#REF!</v>
      </c>
      <c r="AL894" s="9">
        <v>0</v>
      </c>
    </row>
    <row r="895" spans="1:38" x14ac:dyDescent="0.35">
      <c r="A895" s="50">
        <v>0</v>
      </c>
      <c r="B895" s="9" t="s">
        <v>97</v>
      </c>
      <c r="C895" s="53">
        <v>43850</v>
      </c>
      <c r="D895" s="53">
        <v>43884</v>
      </c>
      <c r="E895" s="53">
        <v>43936</v>
      </c>
      <c r="F895" s="21">
        <f t="shared" si="248"/>
        <v>52</v>
      </c>
      <c r="G895" s="53">
        <v>43884</v>
      </c>
      <c r="H895" s="9">
        <v>2020</v>
      </c>
      <c r="I895" s="50">
        <v>0</v>
      </c>
      <c r="J895" s="50">
        <v>6</v>
      </c>
      <c r="K895" s="50">
        <v>26</v>
      </c>
      <c r="L895" s="24" t="s">
        <v>1800</v>
      </c>
      <c r="M895" s="24"/>
      <c r="V895" t="s">
        <v>973</v>
      </c>
      <c r="W895" t="s">
        <v>994</v>
      </c>
      <c r="X895" t="s">
        <v>997</v>
      </c>
      <c r="Y895" t="s">
        <v>1000</v>
      </c>
      <c r="Z895">
        <v>0</v>
      </c>
      <c r="AA895">
        <v>-1</v>
      </c>
      <c r="AB895">
        <v>-1</v>
      </c>
      <c r="AC895">
        <v>-1</v>
      </c>
      <c r="AD895">
        <v>-1</v>
      </c>
      <c r="AE895">
        <v>-1</v>
      </c>
      <c r="AF895">
        <v>-1</v>
      </c>
      <c r="AG895">
        <v>-1</v>
      </c>
      <c r="AH895">
        <v>-1</v>
      </c>
      <c r="AI895">
        <v>-1</v>
      </c>
      <c r="AJ895" s="9">
        <f t="shared" si="261"/>
        <v>26</v>
      </c>
      <c r="AK895">
        <f t="shared" si="260"/>
        <v>0</v>
      </c>
      <c r="AL895" s="9">
        <v>0</v>
      </c>
    </row>
    <row r="896" spans="1:38" x14ac:dyDescent="0.35">
      <c r="A896" s="50">
        <v>0</v>
      </c>
      <c r="B896" s="9" t="s">
        <v>97</v>
      </c>
      <c r="C896" s="53">
        <v>43850</v>
      </c>
      <c r="D896" s="53">
        <v>43884</v>
      </c>
      <c r="E896" s="53">
        <v>43936</v>
      </c>
      <c r="F896" s="21">
        <f t="shared" si="248"/>
        <v>52</v>
      </c>
      <c r="G896" s="53">
        <v>43884</v>
      </c>
      <c r="H896" s="9">
        <v>2020</v>
      </c>
      <c r="I896" s="50">
        <v>0</v>
      </c>
      <c r="J896" s="50">
        <v>5</v>
      </c>
      <c r="K896" s="50" t="s">
        <v>204</v>
      </c>
      <c r="L896" s="24" t="s">
        <v>1801</v>
      </c>
      <c r="M896" s="24"/>
      <c r="V896" t="s">
        <v>973</v>
      </c>
      <c r="W896" t="s">
        <v>994</v>
      </c>
      <c r="X896" t="s">
        <v>997</v>
      </c>
      <c r="Y896" t="s">
        <v>1000</v>
      </c>
      <c r="Z896">
        <v>0</v>
      </c>
      <c r="AA896">
        <v>-1</v>
      </c>
      <c r="AB896">
        <v>-1</v>
      </c>
      <c r="AC896">
        <v>-1</v>
      </c>
      <c r="AD896">
        <v>-1</v>
      </c>
      <c r="AE896">
        <v>-1</v>
      </c>
      <c r="AF896">
        <v>-1</v>
      </c>
      <c r="AG896">
        <v>-1</v>
      </c>
      <c r="AH896">
        <v>-1</v>
      </c>
      <c r="AI896">
        <v>-1</v>
      </c>
      <c r="AJ896" s="9" t="str">
        <f t="shared" si="261"/>
        <v>General</v>
      </c>
      <c r="AK896">
        <f t="shared" si="260"/>
        <v>0</v>
      </c>
      <c r="AL896" s="9">
        <v>0</v>
      </c>
    </row>
    <row r="897" spans="1:38" x14ac:dyDescent="0.35">
      <c r="A897" s="50">
        <v>0</v>
      </c>
      <c r="B897" s="9" t="s">
        <v>97</v>
      </c>
      <c r="C897" s="53">
        <v>43850</v>
      </c>
      <c r="D897" s="53">
        <v>43884</v>
      </c>
      <c r="E897" s="53">
        <v>43936</v>
      </c>
      <c r="F897" s="21">
        <f t="shared" si="248"/>
        <v>52</v>
      </c>
      <c r="G897" s="53">
        <v>43884</v>
      </c>
      <c r="H897" s="9">
        <v>2020</v>
      </c>
      <c r="I897" s="50">
        <v>0</v>
      </c>
      <c r="J897" s="50">
        <v>4</v>
      </c>
      <c r="K897" s="50" t="s">
        <v>201</v>
      </c>
      <c r="L897" s="24" t="s">
        <v>1802</v>
      </c>
      <c r="M897" s="24"/>
      <c r="V897" t="s">
        <v>973</v>
      </c>
      <c r="W897" t="s">
        <v>994</v>
      </c>
      <c r="X897" t="s">
        <v>997</v>
      </c>
      <c r="Y897" t="s">
        <v>1000</v>
      </c>
      <c r="Z897">
        <v>0</v>
      </c>
      <c r="AA897">
        <v>-1</v>
      </c>
      <c r="AB897">
        <v>-1</v>
      </c>
      <c r="AC897">
        <v>-1</v>
      </c>
      <c r="AD897">
        <v>-1</v>
      </c>
      <c r="AE897">
        <v>-1</v>
      </c>
      <c r="AF897">
        <v>-1</v>
      </c>
      <c r="AG897">
        <v>-1</v>
      </c>
      <c r="AH897">
        <v>-1</v>
      </c>
      <c r="AI897">
        <v>-1</v>
      </c>
      <c r="AJ897" s="9" t="str">
        <f t="shared" si="261"/>
        <v>Other</v>
      </c>
      <c r="AK897">
        <f t="shared" si="260"/>
        <v>0</v>
      </c>
      <c r="AL897" s="9">
        <v>0</v>
      </c>
    </row>
    <row r="898" spans="1:38" x14ac:dyDescent="0.35">
      <c r="A898" s="50">
        <v>0</v>
      </c>
      <c r="B898" s="9" t="s">
        <v>97</v>
      </c>
      <c r="C898" s="53">
        <v>43850</v>
      </c>
      <c r="D898" s="53">
        <v>43884</v>
      </c>
      <c r="E898" s="53">
        <v>43936</v>
      </c>
      <c r="F898" s="21">
        <f t="shared" si="248"/>
        <v>52</v>
      </c>
      <c r="G898" s="53">
        <v>43884</v>
      </c>
      <c r="H898" s="9">
        <v>2020</v>
      </c>
      <c r="I898" s="50">
        <v>0</v>
      </c>
      <c r="J898" s="50">
        <v>1</v>
      </c>
      <c r="K898" s="50">
        <v>3</v>
      </c>
      <c r="L898" s="24" t="s">
        <v>1558</v>
      </c>
      <c r="M898" s="24"/>
      <c r="V898" t="s">
        <v>973</v>
      </c>
      <c r="W898" t="s">
        <v>994</v>
      </c>
      <c r="X898" t="s">
        <v>997</v>
      </c>
      <c r="Y898" t="s">
        <v>1000</v>
      </c>
      <c r="Z898">
        <v>0</v>
      </c>
      <c r="AA898">
        <v>-1</v>
      </c>
      <c r="AB898">
        <v>-1</v>
      </c>
      <c r="AC898">
        <v>-1</v>
      </c>
      <c r="AD898">
        <v>-1</v>
      </c>
      <c r="AE898">
        <v>-1</v>
      </c>
      <c r="AF898">
        <v>-1</v>
      </c>
      <c r="AG898">
        <v>-1</v>
      </c>
      <c r="AH898">
        <v>-1</v>
      </c>
      <c r="AI898">
        <v>-1</v>
      </c>
      <c r="AJ898" s="9">
        <f t="shared" si="261"/>
        <v>3</v>
      </c>
      <c r="AK898">
        <f t="shared" si="260"/>
        <v>0</v>
      </c>
      <c r="AL898" s="9">
        <v>0</v>
      </c>
    </row>
    <row r="899" spans="1:38" x14ac:dyDescent="0.35">
      <c r="A899" s="50">
        <v>0</v>
      </c>
      <c r="B899" s="9" t="s">
        <v>97</v>
      </c>
      <c r="C899" s="53">
        <v>43850</v>
      </c>
      <c r="D899" s="53">
        <v>43884</v>
      </c>
      <c r="E899" s="53">
        <v>43936</v>
      </c>
      <c r="F899" s="21">
        <f t="shared" si="248"/>
        <v>52</v>
      </c>
      <c r="G899" s="53">
        <v>43884</v>
      </c>
      <c r="H899" s="9">
        <v>2020</v>
      </c>
      <c r="I899" s="50">
        <v>0</v>
      </c>
      <c r="J899" s="50">
        <v>1</v>
      </c>
      <c r="K899" s="50">
        <v>9</v>
      </c>
      <c r="L899" s="24" t="s">
        <v>1559</v>
      </c>
      <c r="M899" s="24"/>
      <c r="V899" t="s">
        <v>973</v>
      </c>
      <c r="W899" t="s">
        <v>994</v>
      </c>
      <c r="X899" t="s">
        <v>997</v>
      </c>
      <c r="Y899" t="s">
        <v>1000</v>
      </c>
      <c r="Z899">
        <v>0</v>
      </c>
      <c r="AA899">
        <v>-1</v>
      </c>
      <c r="AB899">
        <v>-1</v>
      </c>
      <c r="AC899">
        <v>-1</v>
      </c>
      <c r="AD899">
        <v>-1</v>
      </c>
      <c r="AE899">
        <v>-1</v>
      </c>
      <c r="AF899">
        <v>-1</v>
      </c>
      <c r="AG899">
        <v>-1</v>
      </c>
      <c r="AH899">
        <v>-1</v>
      </c>
      <c r="AI899">
        <v>-1</v>
      </c>
      <c r="AJ899" s="9">
        <f t="shared" si="261"/>
        <v>9</v>
      </c>
      <c r="AK899">
        <f t="shared" si="260"/>
        <v>0</v>
      </c>
      <c r="AL899" s="9">
        <v>0</v>
      </c>
    </row>
    <row r="900" spans="1:38" x14ac:dyDescent="0.35">
      <c r="A900" s="50">
        <v>0</v>
      </c>
      <c r="B900" s="9" t="s">
        <v>97</v>
      </c>
      <c r="C900" s="53">
        <v>43850</v>
      </c>
      <c r="D900" s="53">
        <v>43884</v>
      </c>
      <c r="E900" s="53">
        <v>43936</v>
      </c>
      <c r="F900" s="21">
        <f t="shared" si="248"/>
        <v>52</v>
      </c>
      <c r="G900" s="53">
        <v>43884</v>
      </c>
      <c r="H900" s="9">
        <v>2020</v>
      </c>
      <c r="I900" s="50">
        <v>0</v>
      </c>
      <c r="J900" s="50">
        <v>1</v>
      </c>
      <c r="K900" s="50" t="s">
        <v>206</v>
      </c>
      <c r="L900" s="24" t="s">
        <v>1803</v>
      </c>
      <c r="M900" s="24"/>
      <c r="V900" t="s">
        <v>973</v>
      </c>
      <c r="W900" t="s">
        <v>994</v>
      </c>
      <c r="X900" t="s">
        <v>997</v>
      </c>
      <c r="Y900" t="s">
        <v>1000</v>
      </c>
      <c r="Z900">
        <v>0</v>
      </c>
      <c r="AA900">
        <v>-1</v>
      </c>
      <c r="AB900">
        <v>-1</v>
      </c>
      <c r="AC900">
        <v>-1</v>
      </c>
      <c r="AD900">
        <v>-1</v>
      </c>
      <c r="AE900">
        <v>-1</v>
      </c>
      <c r="AF900">
        <v>-1</v>
      </c>
      <c r="AG900">
        <v>-1</v>
      </c>
      <c r="AH900">
        <v>-1</v>
      </c>
      <c r="AI900">
        <v>-1</v>
      </c>
      <c r="AJ900" s="9" t="str">
        <f t="shared" si="261"/>
        <v>Tax exemption/waiver/suspension</v>
      </c>
      <c r="AK900">
        <f t="shared" si="260"/>
        <v>0</v>
      </c>
      <c r="AL900" s="9">
        <v>0</v>
      </c>
    </row>
    <row r="901" spans="1:38" x14ac:dyDescent="0.35">
      <c r="A901" s="50">
        <v>0</v>
      </c>
      <c r="B901" s="9" t="s">
        <v>97</v>
      </c>
      <c r="C901" s="53">
        <v>43850</v>
      </c>
      <c r="D901" s="53">
        <v>43884</v>
      </c>
      <c r="E901" s="53">
        <v>43936</v>
      </c>
      <c r="F901" s="21">
        <f t="shared" si="248"/>
        <v>52</v>
      </c>
      <c r="G901" s="53">
        <v>43884</v>
      </c>
      <c r="H901" s="9">
        <v>2020</v>
      </c>
      <c r="I901" s="50">
        <v>0</v>
      </c>
      <c r="J901" s="50">
        <v>1</v>
      </c>
      <c r="K901" s="50">
        <v>5</v>
      </c>
      <c r="L901" s="24" t="s">
        <v>1804</v>
      </c>
      <c r="M901" s="24"/>
      <c r="V901" t="s">
        <v>973</v>
      </c>
      <c r="W901" t="s">
        <v>994</v>
      </c>
      <c r="X901" t="s">
        <v>997</v>
      </c>
      <c r="Y901" t="s">
        <v>1000</v>
      </c>
      <c r="Z901">
        <v>0</v>
      </c>
      <c r="AA901">
        <v>-1</v>
      </c>
      <c r="AB901">
        <v>-1</v>
      </c>
      <c r="AC901">
        <v>-1</v>
      </c>
      <c r="AD901">
        <v>-1</v>
      </c>
      <c r="AE901">
        <v>-1</v>
      </c>
      <c r="AF901">
        <v>-1</v>
      </c>
      <c r="AG901">
        <v>-1</v>
      </c>
      <c r="AH901">
        <v>-1</v>
      </c>
      <c r="AI901">
        <v>-1</v>
      </c>
      <c r="AJ901" s="9">
        <f t="shared" si="261"/>
        <v>5</v>
      </c>
      <c r="AK901">
        <f t="shared" si="260"/>
        <v>0</v>
      </c>
      <c r="AL901" s="9">
        <v>0</v>
      </c>
    </row>
    <row r="902" spans="1:38" x14ac:dyDescent="0.35">
      <c r="A902" s="50">
        <v>0</v>
      </c>
      <c r="B902" s="9" t="s">
        <v>97</v>
      </c>
      <c r="C902" s="53">
        <v>43850</v>
      </c>
      <c r="D902" s="53">
        <v>43884</v>
      </c>
      <c r="E902" s="53">
        <v>43936</v>
      </c>
      <c r="F902" s="21">
        <f t="shared" si="248"/>
        <v>52</v>
      </c>
      <c r="G902" s="53">
        <v>43884</v>
      </c>
      <c r="H902" s="9">
        <v>2020</v>
      </c>
      <c r="I902" s="50">
        <v>0</v>
      </c>
      <c r="J902" s="50">
        <v>1</v>
      </c>
      <c r="K902" s="50">
        <v>6</v>
      </c>
      <c r="L902" s="24" t="s">
        <v>1805</v>
      </c>
      <c r="M902" s="24"/>
      <c r="V902" t="s">
        <v>973</v>
      </c>
      <c r="W902" t="s">
        <v>994</v>
      </c>
      <c r="X902" t="s">
        <v>997</v>
      </c>
      <c r="Y902" t="s">
        <v>1000</v>
      </c>
      <c r="Z902">
        <v>0</v>
      </c>
      <c r="AA902">
        <v>-1</v>
      </c>
      <c r="AB902">
        <v>-1</v>
      </c>
      <c r="AC902">
        <v>-1</v>
      </c>
      <c r="AD902">
        <v>-1</v>
      </c>
      <c r="AE902">
        <v>-1</v>
      </c>
      <c r="AF902">
        <v>-1</v>
      </c>
      <c r="AG902">
        <v>-1</v>
      </c>
      <c r="AH902">
        <v>-1</v>
      </c>
      <c r="AI902">
        <v>-1</v>
      </c>
      <c r="AJ902" s="9">
        <f t="shared" si="261"/>
        <v>6</v>
      </c>
      <c r="AK902">
        <f t="shared" si="260"/>
        <v>0</v>
      </c>
      <c r="AL902" s="9">
        <v>0</v>
      </c>
    </row>
    <row r="903" spans="1:38" x14ac:dyDescent="0.35">
      <c r="A903" s="50">
        <v>0</v>
      </c>
      <c r="B903" s="9" t="s">
        <v>97</v>
      </c>
      <c r="C903" s="53">
        <v>43850</v>
      </c>
      <c r="D903" s="53">
        <v>43884</v>
      </c>
      <c r="E903" s="53">
        <v>43936</v>
      </c>
      <c r="F903" s="21">
        <f t="shared" si="248"/>
        <v>52</v>
      </c>
      <c r="G903" s="53">
        <v>43884</v>
      </c>
      <c r="H903" s="9">
        <v>2020</v>
      </c>
      <c r="I903" s="50">
        <v>0</v>
      </c>
      <c r="J903" s="50">
        <v>6</v>
      </c>
      <c r="K903" s="50">
        <v>29</v>
      </c>
      <c r="L903" s="24" t="s">
        <v>1806</v>
      </c>
      <c r="M903" s="24"/>
      <c r="V903" t="s">
        <v>973</v>
      </c>
      <c r="W903" t="s">
        <v>994</v>
      </c>
      <c r="X903" t="s">
        <v>997</v>
      </c>
      <c r="Y903" t="s">
        <v>1000</v>
      </c>
      <c r="Z903">
        <v>0</v>
      </c>
      <c r="AA903">
        <v>-1</v>
      </c>
      <c r="AB903">
        <v>-1</v>
      </c>
      <c r="AC903">
        <v>-1</v>
      </c>
      <c r="AD903">
        <v>-1</v>
      </c>
      <c r="AE903">
        <v>-1</v>
      </c>
      <c r="AF903">
        <v>-1</v>
      </c>
      <c r="AG903">
        <v>-1</v>
      </c>
      <c r="AH903">
        <v>-1</v>
      </c>
      <c r="AI903">
        <v>-1</v>
      </c>
      <c r="AJ903" s="9">
        <f t="shared" si="261"/>
        <v>29</v>
      </c>
      <c r="AK903">
        <f t="shared" si="260"/>
        <v>0</v>
      </c>
      <c r="AL903" s="9">
        <v>0</v>
      </c>
    </row>
    <row r="904" spans="1:38" x14ac:dyDescent="0.35">
      <c r="A904" s="50">
        <v>0</v>
      </c>
      <c r="B904" s="9" t="s">
        <v>97</v>
      </c>
      <c r="C904" s="53">
        <v>43850</v>
      </c>
      <c r="D904" s="53">
        <v>43884</v>
      </c>
      <c r="E904" s="53">
        <v>43936</v>
      </c>
      <c r="F904" s="21">
        <f t="shared" si="248"/>
        <v>52</v>
      </c>
      <c r="G904" s="53">
        <v>43884</v>
      </c>
      <c r="H904" s="9">
        <v>2020</v>
      </c>
      <c r="I904" s="50">
        <v>0</v>
      </c>
      <c r="J904" s="50">
        <v>1</v>
      </c>
      <c r="K904" s="50">
        <v>12</v>
      </c>
      <c r="L904" s="24" t="s">
        <v>1807</v>
      </c>
      <c r="M904" s="24"/>
      <c r="V904" t="s">
        <v>973</v>
      </c>
      <c r="W904" t="s">
        <v>994</v>
      </c>
      <c r="X904" t="s">
        <v>997</v>
      </c>
      <c r="Y904" t="s">
        <v>1000</v>
      </c>
      <c r="Z904">
        <v>0</v>
      </c>
      <c r="AA904">
        <v>-1</v>
      </c>
      <c r="AB904">
        <v>-1</v>
      </c>
      <c r="AC904">
        <v>-1</v>
      </c>
      <c r="AD904">
        <v>-1</v>
      </c>
      <c r="AE904">
        <v>-1</v>
      </c>
      <c r="AF904">
        <v>-1</v>
      </c>
      <c r="AG904">
        <v>-1</v>
      </c>
      <c r="AH904">
        <v>-1</v>
      </c>
      <c r="AI904">
        <v>-1</v>
      </c>
      <c r="AJ904" s="9">
        <f t="shared" si="261"/>
        <v>12</v>
      </c>
      <c r="AK904">
        <f t="shared" si="260"/>
        <v>0</v>
      </c>
      <c r="AL904" s="9">
        <v>1</v>
      </c>
    </row>
    <row r="905" spans="1:38" s="47" customFormat="1" x14ac:dyDescent="0.35">
      <c r="A905" s="50">
        <v>0</v>
      </c>
      <c r="B905" s="9" t="s">
        <v>97</v>
      </c>
      <c r="C905" s="53">
        <v>43850</v>
      </c>
      <c r="D905" s="53">
        <v>43884</v>
      </c>
      <c r="E905" s="53">
        <v>43936</v>
      </c>
      <c r="F905" s="21">
        <f t="shared" ref="F905:F912" si="262">DATEDIF(D905,E905,"D")</f>
        <v>52</v>
      </c>
      <c r="G905" s="53">
        <v>43884</v>
      </c>
      <c r="H905" s="9">
        <v>2021</v>
      </c>
      <c r="I905" s="50">
        <v>0</v>
      </c>
      <c r="J905" s="50">
        <v>6</v>
      </c>
      <c r="K905" s="50">
        <v>26</v>
      </c>
      <c r="L905" s="48" t="s">
        <v>2002</v>
      </c>
      <c r="M905" s="48"/>
      <c r="AJ905" s="47">
        <f t="shared" si="261"/>
        <v>26</v>
      </c>
    </row>
    <row r="906" spans="1:38" s="47" customFormat="1" x14ac:dyDescent="0.35">
      <c r="A906" s="50">
        <v>0</v>
      </c>
      <c r="B906" s="9" t="s">
        <v>97</v>
      </c>
      <c r="C906" s="53">
        <v>43850</v>
      </c>
      <c r="D906" s="53">
        <v>43884</v>
      </c>
      <c r="E906" s="53">
        <v>43936</v>
      </c>
      <c r="F906" s="21">
        <f t="shared" si="262"/>
        <v>52</v>
      </c>
      <c r="G906" s="53">
        <v>43884</v>
      </c>
      <c r="H906" s="9">
        <v>2021</v>
      </c>
      <c r="I906" s="50">
        <v>0</v>
      </c>
      <c r="J906" s="50">
        <v>6</v>
      </c>
      <c r="K906" s="50">
        <v>28</v>
      </c>
      <c r="L906" s="48" t="s">
        <v>2003</v>
      </c>
      <c r="M906" s="48"/>
      <c r="AJ906" s="47">
        <f t="shared" si="261"/>
        <v>28</v>
      </c>
    </row>
    <row r="907" spans="1:38" s="47" customFormat="1" x14ac:dyDescent="0.35">
      <c r="A907" s="50">
        <v>0</v>
      </c>
      <c r="B907" s="9" t="s">
        <v>97</v>
      </c>
      <c r="C907" s="53">
        <v>43850</v>
      </c>
      <c r="D907" s="53">
        <v>43884</v>
      </c>
      <c r="E907" s="53">
        <v>43936</v>
      </c>
      <c r="F907" s="21">
        <f t="shared" si="262"/>
        <v>52</v>
      </c>
      <c r="G907" s="53">
        <v>43884</v>
      </c>
      <c r="H907" s="9">
        <v>2021</v>
      </c>
      <c r="I907" s="50">
        <v>0</v>
      </c>
      <c r="J907" s="50">
        <v>6</v>
      </c>
      <c r="K907" s="50">
        <v>28</v>
      </c>
      <c r="L907" s="48" t="s">
        <v>2004</v>
      </c>
      <c r="M907" s="48"/>
      <c r="AJ907" s="47">
        <f t="shared" si="261"/>
        <v>28</v>
      </c>
    </row>
    <row r="908" spans="1:38" s="47" customFormat="1" x14ac:dyDescent="0.35">
      <c r="A908" s="50">
        <v>0</v>
      </c>
      <c r="B908" s="9" t="s">
        <v>97</v>
      </c>
      <c r="C908" s="53">
        <v>43850</v>
      </c>
      <c r="D908" s="53">
        <v>43884</v>
      </c>
      <c r="E908" s="53">
        <v>43936</v>
      </c>
      <c r="F908" s="21">
        <f t="shared" si="262"/>
        <v>52</v>
      </c>
      <c r="G908" s="53">
        <v>43884</v>
      </c>
      <c r="H908" s="9">
        <v>2021</v>
      </c>
      <c r="I908" s="50">
        <v>0</v>
      </c>
      <c r="J908" s="50">
        <v>4</v>
      </c>
      <c r="K908" s="50" t="s">
        <v>201</v>
      </c>
      <c r="L908" s="48" t="s">
        <v>2005</v>
      </c>
      <c r="M908" s="48"/>
    </row>
    <row r="909" spans="1:38" s="47" customFormat="1" x14ac:dyDescent="0.35">
      <c r="A909" s="50">
        <v>0</v>
      </c>
      <c r="B909" s="9" t="s">
        <v>97</v>
      </c>
      <c r="C909" s="53">
        <v>43850</v>
      </c>
      <c r="D909" s="53">
        <v>43884</v>
      </c>
      <c r="E909" s="53">
        <v>43936</v>
      </c>
      <c r="F909" s="21">
        <f t="shared" si="262"/>
        <v>52</v>
      </c>
      <c r="G909" s="53">
        <v>43884</v>
      </c>
      <c r="H909" s="9">
        <v>2021</v>
      </c>
      <c r="I909" s="50">
        <v>0</v>
      </c>
      <c r="J909" s="50">
        <v>9</v>
      </c>
      <c r="K909" s="50">
        <v>34</v>
      </c>
      <c r="L909" s="48" t="s">
        <v>2006</v>
      </c>
      <c r="M909" s="48"/>
    </row>
    <row r="910" spans="1:38" s="47" customFormat="1" x14ac:dyDescent="0.35">
      <c r="A910" s="50">
        <v>0</v>
      </c>
      <c r="B910" s="9" t="s">
        <v>97</v>
      </c>
      <c r="C910" s="53">
        <v>43850</v>
      </c>
      <c r="D910" s="53">
        <v>43884</v>
      </c>
      <c r="E910" s="53">
        <v>43936</v>
      </c>
      <c r="F910" s="21">
        <f t="shared" si="262"/>
        <v>52</v>
      </c>
      <c r="G910" s="53">
        <v>43884</v>
      </c>
      <c r="H910" s="9">
        <v>2021</v>
      </c>
      <c r="I910" s="50">
        <v>0</v>
      </c>
      <c r="J910" s="50">
        <v>9</v>
      </c>
      <c r="K910" s="50">
        <v>34</v>
      </c>
      <c r="L910" s="48" t="s">
        <v>2007</v>
      </c>
      <c r="M910" s="48"/>
    </row>
    <row r="911" spans="1:38" s="47" customFormat="1" x14ac:dyDescent="0.35">
      <c r="A911" s="50">
        <v>0</v>
      </c>
      <c r="B911" s="9" t="s">
        <v>97</v>
      </c>
      <c r="C911" s="53">
        <v>43850</v>
      </c>
      <c r="D911" s="53">
        <v>43884</v>
      </c>
      <c r="E911" s="53">
        <v>43936</v>
      </c>
      <c r="F911" s="21">
        <f t="shared" si="262"/>
        <v>52</v>
      </c>
      <c r="G911" s="53">
        <v>43884</v>
      </c>
      <c r="H911" s="9">
        <v>2021</v>
      </c>
      <c r="I911" s="50">
        <v>0</v>
      </c>
      <c r="J911" s="50">
        <v>9</v>
      </c>
      <c r="K911" s="50">
        <v>34</v>
      </c>
      <c r="L911" s="48" t="s">
        <v>2008</v>
      </c>
      <c r="M911" s="48"/>
    </row>
    <row r="912" spans="1:38" s="47" customFormat="1" x14ac:dyDescent="0.35">
      <c r="A912" s="50">
        <v>0</v>
      </c>
      <c r="B912" s="9" t="s">
        <v>97</v>
      </c>
      <c r="C912" s="53">
        <v>43850</v>
      </c>
      <c r="D912" s="53">
        <v>43884</v>
      </c>
      <c r="E912" s="53">
        <v>43936</v>
      </c>
      <c r="F912" s="21">
        <f t="shared" si="262"/>
        <v>52</v>
      </c>
      <c r="G912" s="53">
        <v>43884</v>
      </c>
      <c r="H912" s="9">
        <v>2021</v>
      </c>
      <c r="I912" s="50">
        <v>0</v>
      </c>
      <c r="J912" s="50">
        <v>6</v>
      </c>
      <c r="K912" s="50">
        <v>29</v>
      </c>
      <c r="L912" s="48" t="s">
        <v>2009</v>
      </c>
      <c r="M912" s="48"/>
    </row>
    <row r="913" spans="1:38" x14ac:dyDescent="0.35">
      <c r="A913" s="50">
        <v>0</v>
      </c>
      <c r="B913" s="9" t="s">
        <v>108</v>
      </c>
      <c r="C913" s="53">
        <v>43892</v>
      </c>
      <c r="D913" s="53">
        <v>43903</v>
      </c>
      <c r="E913" s="53">
        <v>43991</v>
      </c>
      <c r="F913" s="21">
        <f t="shared" si="248"/>
        <v>88</v>
      </c>
      <c r="G913" s="53">
        <v>43903</v>
      </c>
      <c r="H913" s="9">
        <v>2020</v>
      </c>
      <c r="I913" s="50">
        <v>0</v>
      </c>
      <c r="J913" s="9">
        <v>5</v>
      </c>
      <c r="K913" s="9" t="s">
        <v>204</v>
      </c>
      <c r="L913" s="50" t="s">
        <v>700</v>
      </c>
      <c r="M913">
        <v>1</v>
      </c>
      <c r="N913">
        <v>1</v>
      </c>
      <c r="O913">
        <v>2</v>
      </c>
      <c r="P913">
        <v>-1</v>
      </c>
      <c r="Q913">
        <v>2</v>
      </c>
      <c r="R913">
        <v>2</v>
      </c>
      <c r="S913">
        <v>1</v>
      </c>
      <c r="T913">
        <v>2</v>
      </c>
      <c r="U913">
        <v>1</v>
      </c>
      <c r="V913" t="s">
        <v>976</v>
      </c>
      <c r="W913" t="s">
        <v>989</v>
      </c>
      <c r="X913" t="s">
        <v>997</v>
      </c>
      <c r="Y913" t="s">
        <v>1000</v>
      </c>
      <c r="Z913">
        <v>0</v>
      </c>
      <c r="AA913">
        <f t="shared" ref="AA913:AA921" si="263">IF(M913&gt;0,1,IF(M913&lt;0,0,-1))</f>
        <v>1</v>
      </c>
      <c r="AB913">
        <f t="shared" ref="AB913:AB921" si="264">IF(N913&gt;0,1,IF(N913&lt;0,0,-1))</f>
        <v>1</v>
      </c>
      <c r="AC913">
        <f t="shared" ref="AC913:AC921" si="265">IF(O913&gt;0,1,IF(O913&lt;0,0,-1))</f>
        <v>1</v>
      </c>
      <c r="AD913">
        <f t="shared" ref="AD913:AD921" si="266">IF(P913&gt;0,1,IF(P913&lt;0,0,-1))</f>
        <v>0</v>
      </c>
      <c r="AE913">
        <f t="shared" ref="AE913:AE921" si="267">IF(Q913&gt;0,1,IF(Q913&lt;0,0,-1))</f>
        <v>1</v>
      </c>
      <c r="AF913">
        <f t="shared" ref="AF913:AF921" si="268">IF(R913&gt;0,1,IF(R913&lt;0,0,-1))</f>
        <v>1</v>
      </c>
      <c r="AG913">
        <f t="shared" ref="AG913:AG921" si="269">IF(S913&gt;0,1,IF(S913&lt;0,0,-1))</f>
        <v>1</v>
      </c>
      <c r="AH913">
        <f t="shared" ref="AH913:AH921" si="270">IF(T913&gt;0,1,IF(T913&lt;0,0,-1))</f>
        <v>1</v>
      </c>
      <c r="AI913">
        <f t="shared" ref="AI913:AI921" si="271">IF(U913&gt;0,1,IF(U913&lt;0,0,-1))</f>
        <v>1</v>
      </c>
      <c r="AJ913" s="9" t="str">
        <f t="shared" ref="AJ913:AJ935" si="272">IF(ISNUMBER(K913),K913,IF(OR(K913="general",K913="23;general"),"General",IF(OR(K913="exemption",K913="other (exemption)"),"Tax exemption/waiver/suspension","Other")))</f>
        <v>General</v>
      </c>
      <c r="AK913" t="e">
        <f>IF(B913&lt;&gt;#REF!,1,0)</f>
        <v>#REF!</v>
      </c>
      <c r="AL913" s="9">
        <v>1</v>
      </c>
    </row>
    <row r="914" spans="1:38" x14ac:dyDescent="0.35">
      <c r="A914" s="50">
        <v>0</v>
      </c>
      <c r="B914" s="9" t="s">
        <v>108</v>
      </c>
      <c r="C914" s="53">
        <v>43892</v>
      </c>
      <c r="D914" s="53">
        <v>43903</v>
      </c>
      <c r="E914" s="53">
        <v>43991</v>
      </c>
      <c r="F914" s="21">
        <f t="shared" si="248"/>
        <v>88</v>
      </c>
      <c r="G914" s="53">
        <v>43903</v>
      </c>
      <c r="H914" s="9">
        <v>2020</v>
      </c>
      <c r="I914" s="50">
        <v>0</v>
      </c>
      <c r="J914" s="9">
        <v>3</v>
      </c>
      <c r="K914" s="9">
        <v>19</v>
      </c>
      <c r="L914" s="50" t="s">
        <v>704</v>
      </c>
      <c r="M914">
        <v>2</v>
      </c>
      <c r="N914">
        <v>2</v>
      </c>
      <c r="O914">
        <v>-2</v>
      </c>
      <c r="P914">
        <v>-1</v>
      </c>
      <c r="Q914">
        <v>-2</v>
      </c>
      <c r="S914">
        <v>2</v>
      </c>
      <c r="T914">
        <v>2</v>
      </c>
      <c r="U914">
        <v>1</v>
      </c>
      <c r="V914" t="s">
        <v>976</v>
      </c>
      <c r="W914" t="s">
        <v>989</v>
      </c>
      <c r="X914" t="s">
        <v>997</v>
      </c>
      <c r="Y914" t="s">
        <v>1000</v>
      </c>
      <c r="Z914">
        <v>0</v>
      </c>
      <c r="AA914">
        <f t="shared" si="263"/>
        <v>1</v>
      </c>
      <c r="AB914">
        <f t="shared" si="264"/>
        <v>1</v>
      </c>
      <c r="AC914">
        <f t="shared" si="265"/>
        <v>0</v>
      </c>
      <c r="AD914">
        <f t="shared" si="266"/>
        <v>0</v>
      </c>
      <c r="AE914">
        <f t="shared" si="267"/>
        <v>0</v>
      </c>
      <c r="AF914">
        <f t="shared" si="268"/>
        <v>-1</v>
      </c>
      <c r="AG914">
        <f t="shared" si="269"/>
        <v>1</v>
      </c>
      <c r="AH914">
        <f t="shared" si="270"/>
        <v>1</v>
      </c>
      <c r="AI914">
        <f t="shared" si="271"/>
        <v>1</v>
      </c>
      <c r="AJ914" s="9">
        <f t="shared" si="272"/>
        <v>19</v>
      </c>
      <c r="AK914">
        <f t="shared" ref="AK914:AK924" si="273">IF(B914&lt;&gt;B913,1,0)</f>
        <v>0</v>
      </c>
      <c r="AL914" s="9">
        <v>1</v>
      </c>
    </row>
    <row r="915" spans="1:38" x14ac:dyDescent="0.35">
      <c r="A915" s="50">
        <v>0</v>
      </c>
      <c r="B915" s="9" t="s">
        <v>108</v>
      </c>
      <c r="C915" s="53">
        <v>43892</v>
      </c>
      <c r="D915" s="53">
        <v>43903</v>
      </c>
      <c r="E915" s="53">
        <v>43991</v>
      </c>
      <c r="F915" s="21">
        <f t="shared" si="248"/>
        <v>88</v>
      </c>
      <c r="G915" s="53">
        <v>43903</v>
      </c>
      <c r="H915" s="9">
        <v>2020</v>
      </c>
      <c r="I915" s="50">
        <v>0</v>
      </c>
      <c r="J915" s="9">
        <v>1</v>
      </c>
      <c r="K915" s="9">
        <v>6</v>
      </c>
      <c r="L915" s="50" t="s">
        <v>707</v>
      </c>
      <c r="M915">
        <v>2</v>
      </c>
      <c r="N915">
        <v>2</v>
      </c>
      <c r="O915">
        <v>2</v>
      </c>
      <c r="P915">
        <v>2</v>
      </c>
      <c r="Q915">
        <v>2</v>
      </c>
      <c r="R915">
        <v>2</v>
      </c>
      <c r="S915">
        <v>1</v>
      </c>
      <c r="T915">
        <v>2</v>
      </c>
      <c r="U915">
        <v>1</v>
      </c>
      <c r="V915" t="s">
        <v>976</v>
      </c>
      <c r="W915" t="s">
        <v>989</v>
      </c>
      <c r="X915" t="s">
        <v>997</v>
      </c>
      <c r="Y915" t="s">
        <v>1000</v>
      </c>
      <c r="Z915">
        <v>0</v>
      </c>
      <c r="AA915">
        <f t="shared" si="263"/>
        <v>1</v>
      </c>
      <c r="AB915">
        <f t="shared" si="264"/>
        <v>1</v>
      </c>
      <c r="AC915">
        <f t="shared" si="265"/>
        <v>1</v>
      </c>
      <c r="AD915">
        <f t="shared" si="266"/>
        <v>1</v>
      </c>
      <c r="AE915">
        <f t="shared" si="267"/>
        <v>1</v>
      </c>
      <c r="AF915">
        <f t="shared" si="268"/>
        <v>1</v>
      </c>
      <c r="AG915">
        <f t="shared" si="269"/>
        <v>1</v>
      </c>
      <c r="AH915">
        <f t="shared" si="270"/>
        <v>1</v>
      </c>
      <c r="AI915">
        <f t="shared" si="271"/>
        <v>1</v>
      </c>
      <c r="AJ915" s="9">
        <f t="shared" si="272"/>
        <v>6</v>
      </c>
      <c r="AK915">
        <f t="shared" si="273"/>
        <v>0</v>
      </c>
      <c r="AL915" s="9">
        <v>1</v>
      </c>
    </row>
    <row r="916" spans="1:38" x14ac:dyDescent="0.35">
      <c r="A916" s="50">
        <v>0</v>
      </c>
      <c r="B916" s="9" t="s">
        <v>108</v>
      </c>
      <c r="C916" s="53">
        <v>43892</v>
      </c>
      <c r="D916" s="53">
        <v>43903</v>
      </c>
      <c r="E916" s="53">
        <v>43991</v>
      </c>
      <c r="F916" s="21">
        <f t="shared" si="248"/>
        <v>88</v>
      </c>
      <c r="G916" s="53">
        <v>43903</v>
      </c>
      <c r="H916" s="9">
        <v>2020</v>
      </c>
      <c r="I916" s="50">
        <v>0</v>
      </c>
      <c r="J916" s="9">
        <v>9</v>
      </c>
      <c r="K916" s="9">
        <v>34</v>
      </c>
      <c r="L916" s="50" t="s">
        <v>703</v>
      </c>
      <c r="M916">
        <v>2</v>
      </c>
      <c r="N916">
        <v>1</v>
      </c>
      <c r="O916">
        <v>2</v>
      </c>
      <c r="P916">
        <v>-1</v>
      </c>
      <c r="Q916">
        <v>2</v>
      </c>
      <c r="R916">
        <v>2</v>
      </c>
      <c r="S916">
        <v>1</v>
      </c>
      <c r="T916">
        <v>2</v>
      </c>
      <c r="U916">
        <v>-2</v>
      </c>
      <c r="V916" t="s">
        <v>976</v>
      </c>
      <c r="W916" t="s">
        <v>989</v>
      </c>
      <c r="X916" t="s">
        <v>997</v>
      </c>
      <c r="Y916" t="s">
        <v>1000</v>
      </c>
      <c r="Z916">
        <v>0</v>
      </c>
      <c r="AA916">
        <f t="shared" si="263"/>
        <v>1</v>
      </c>
      <c r="AB916">
        <f t="shared" si="264"/>
        <v>1</v>
      </c>
      <c r="AC916">
        <f t="shared" si="265"/>
        <v>1</v>
      </c>
      <c r="AD916">
        <f t="shared" si="266"/>
        <v>0</v>
      </c>
      <c r="AE916">
        <f t="shared" si="267"/>
        <v>1</v>
      </c>
      <c r="AF916">
        <f t="shared" si="268"/>
        <v>1</v>
      </c>
      <c r="AG916">
        <f t="shared" si="269"/>
        <v>1</v>
      </c>
      <c r="AH916">
        <f t="shared" si="270"/>
        <v>1</v>
      </c>
      <c r="AI916">
        <f t="shared" si="271"/>
        <v>0</v>
      </c>
      <c r="AJ916" s="9">
        <f t="shared" si="272"/>
        <v>34</v>
      </c>
      <c r="AK916">
        <f t="shared" si="273"/>
        <v>0</v>
      </c>
      <c r="AL916" s="9">
        <v>1</v>
      </c>
    </row>
    <row r="917" spans="1:38" x14ac:dyDescent="0.35">
      <c r="A917" s="50">
        <v>0</v>
      </c>
      <c r="B917" s="9" t="s">
        <v>108</v>
      </c>
      <c r="C917" s="53">
        <v>43892</v>
      </c>
      <c r="D917" s="53">
        <v>43903</v>
      </c>
      <c r="E917" s="53">
        <v>43991</v>
      </c>
      <c r="F917" s="21">
        <f t="shared" si="248"/>
        <v>88</v>
      </c>
      <c r="G917" s="53">
        <v>43903</v>
      </c>
      <c r="H917" s="9">
        <v>2020</v>
      </c>
      <c r="I917" s="50">
        <v>0</v>
      </c>
      <c r="J917" s="9">
        <v>6</v>
      </c>
      <c r="K917" s="9">
        <v>29</v>
      </c>
      <c r="L917" s="50" t="s">
        <v>701</v>
      </c>
      <c r="M917">
        <v>1</v>
      </c>
      <c r="N917">
        <v>1</v>
      </c>
      <c r="O917">
        <v>-2</v>
      </c>
      <c r="P917">
        <v>-1</v>
      </c>
      <c r="Q917">
        <v>-2</v>
      </c>
      <c r="R917">
        <v>2</v>
      </c>
      <c r="S917">
        <v>1</v>
      </c>
      <c r="T917">
        <v>2</v>
      </c>
      <c r="U917">
        <v>1</v>
      </c>
      <c r="V917" t="s">
        <v>976</v>
      </c>
      <c r="W917" t="s">
        <v>989</v>
      </c>
      <c r="X917" t="s">
        <v>997</v>
      </c>
      <c r="Y917" t="s">
        <v>1000</v>
      </c>
      <c r="Z917">
        <v>0</v>
      </c>
      <c r="AA917">
        <f t="shared" si="263"/>
        <v>1</v>
      </c>
      <c r="AB917">
        <f t="shared" si="264"/>
        <v>1</v>
      </c>
      <c r="AC917">
        <f t="shared" si="265"/>
        <v>0</v>
      </c>
      <c r="AD917">
        <f t="shared" si="266"/>
        <v>0</v>
      </c>
      <c r="AE917">
        <f t="shared" si="267"/>
        <v>0</v>
      </c>
      <c r="AF917">
        <f t="shared" si="268"/>
        <v>1</v>
      </c>
      <c r="AG917">
        <f t="shared" si="269"/>
        <v>1</v>
      </c>
      <c r="AH917">
        <f t="shared" si="270"/>
        <v>1</v>
      </c>
      <c r="AI917">
        <f t="shared" si="271"/>
        <v>1</v>
      </c>
      <c r="AJ917" s="9">
        <f t="shared" si="272"/>
        <v>29</v>
      </c>
      <c r="AK917">
        <f t="shared" si="273"/>
        <v>0</v>
      </c>
      <c r="AL917" s="9">
        <v>1</v>
      </c>
    </row>
    <row r="918" spans="1:38" x14ac:dyDescent="0.35">
      <c r="A918" s="50">
        <v>0</v>
      </c>
      <c r="B918" s="9" t="s">
        <v>108</v>
      </c>
      <c r="C918" s="53">
        <v>43892</v>
      </c>
      <c r="D918" s="53">
        <v>43903</v>
      </c>
      <c r="E918" s="53">
        <v>43991</v>
      </c>
      <c r="F918" s="21">
        <f t="shared" si="248"/>
        <v>88</v>
      </c>
      <c r="G918" s="53">
        <v>43903</v>
      </c>
      <c r="H918" s="9">
        <v>2020</v>
      </c>
      <c r="I918" s="50">
        <v>0</v>
      </c>
      <c r="J918" s="9">
        <v>1</v>
      </c>
      <c r="K918" s="9">
        <v>9</v>
      </c>
      <c r="L918" s="50" t="s">
        <v>706</v>
      </c>
      <c r="M918">
        <v>-2</v>
      </c>
      <c r="N918">
        <v>2</v>
      </c>
      <c r="O918">
        <v>2</v>
      </c>
      <c r="P918">
        <v>2</v>
      </c>
      <c r="Q918">
        <v>2</v>
      </c>
      <c r="R918">
        <v>-2</v>
      </c>
      <c r="S918">
        <v>-2</v>
      </c>
      <c r="T918">
        <v>2</v>
      </c>
      <c r="U918">
        <v>1</v>
      </c>
      <c r="V918" t="s">
        <v>976</v>
      </c>
      <c r="W918" t="s">
        <v>989</v>
      </c>
      <c r="X918" t="s">
        <v>997</v>
      </c>
      <c r="Y918" t="s">
        <v>1000</v>
      </c>
      <c r="Z918">
        <v>0</v>
      </c>
      <c r="AA918">
        <f t="shared" si="263"/>
        <v>0</v>
      </c>
      <c r="AB918">
        <f t="shared" si="264"/>
        <v>1</v>
      </c>
      <c r="AC918">
        <f t="shared" si="265"/>
        <v>1</v>
      </c>
      <c r="AD918">
        <f t="shared" si="266"/>
        <v>1</v>
      </c>
      <c r="AE918">
        <f t="shared" si="267"/>
        <v>1</v>
      </c>
      <c r="AF918">
        <f t="shared" si="268"/>
        <v>0</v>
      </c>
      <c r="AG918">
        <f t="shared" si="269"/>
        <v>0</v>
      </c>
      <c r="AH918">
        <f t="shared" si="270"/>
        <v>1</v>
      </c>
      <c r="AI918">
        <f t="shared" si="271"/>
        <v>1</v>
      </c>
      <c r="AJ918" s="9">
        <f t="shared" si="272"/>
        <v>9</v>
      </c>
      <c r="AK918">
        <f t="shared" si="273"/>
        <v>0</v>
      </c>
      <c r="AL918" s="9">
        <v>1</v>
      </c>
    </row>
    <row r="919" spans="1:38" x14ac:dyDescent="0.35">
      <c r="A919" s="50">
        <v>0</v>
      </c>
      <c r="B919" s="9" t="s">
        <v>108</v>
      </c>
      <c r="C919" s="53">
        <v>43892</v>
      </c>
      <c r="D919" s="53">
        <v>43903</v>
      </c>
      <c r="E919" s="53">
        <v>43991</v>
      </c>
      <c r="F919" s="21">
        <f t="shared" si="248"/>
        <v>88</v>
      </c>
      <c r="G919" s="53">
        <v>43903</v>
      </c>
      <c r="H919" s="9">
        <v>2020</v>
      </c>
      <c r="I919" s="50">
        <v>0</v>
      </c>
      <c r="J919" s="9">
        <v>7</v>
      </c>
      <c r="K919" s="9">
        <v>30</v>
      </c>
      <c r="L919" s="50" t="s">
        <v>705</v>
      </c>
      <c r="M919">
        <v>1</v>
      </c>
      <c r="N919">
        <v>1</v>
      </c>
      <c r="O919">
        <v>2</v>
      </c>
      <c r="P919">
        <v>1</v>
      </c>
      <c r="Q919">
        <v>2</v>
      </c>
      <c r="R919">
        <v>2</v>
      </c>
      <c r="S919">
        <v>1</v>
      </c>
      <c r="T919">
        <v>-2</v>
      </c>
      <c r="U919">
        <v>1</v>
      </c>
      <c r="V919" t="s">
        <v>976</v>
      </c>
      <c r="W919" t="s">
        <v>989</v>
      </c>
      <c r="X919" t="s">
        <v>997</v>
      </c>
      <c r="Y919" t="s">
        <v>1000</v>
      </c>
      <c r="Z919">
        <v>0</v>
      </c>
      <c r="AA919">
        <f t="shared" si="263"/>
        <v>1</v>
      </c>
      <c r="AB919">
        <f t="shared" si="264"/>
        <v>1</v>
      </c>
      <c r="AC919">
        <f t="shared" si="265"/>
        <v>1</v>
      </c>
      <c r="AD919">
        <f t="shared" si="266"/>
        <v>1</v>
      </c>
      <c r="AE919">
        <f t="shared" si="267"/>
        <v>1</v>
      </c>
      <c r="AF919">
        <f t="shared" si="268"/>
        <v>1</v>
      </c>
      <c r="AG919">
        <f t="shared" si="269"/>
        <v>1</v>
      </c>
      <c r="AH919">
        <f t="shared" si="270"/>
        <v>0</v>
      </c>
      <c r="AI919">
        <f t="shared" si="271"/>
        <v>1</v>
      </c>
      <c r="AJ919" s="9">
        <f t="shared" si="272"/>
        <v>30</v>
      </c>
      <c r="AK919">
        <f t="shared" si="273"/>
        <v>0</v>
      </c>
      <c r="AL919" s="9">
        <v>1</v>
      </c>
    </row>
    <row r="920" spans="1:38" x14ac:dyDescent="0.35">
      <c r="A920" s="50">
        <v>0</v>
      </c>
      <c r="B920" s="9" t="s">
        <v>108</v>
      </c>
      <c r="C920" s="53">
        <v>43892</v>
      </c>
      <c r="D920" s="53">
        <v>43903</v>
      </c>
      <c r="E920" s="53">
        <v>43991</v>
      </c>
      <c r="F920" s="21">
        <f t="shared" si="248"/>
        <v>88</v>
      </c>
      <c r="G920" s="53">
        <v>43903</v>
      </c>
      <c r="H920" s="9">
        <v>2020</v>
      </c>
      <c r="I920" s="50">
        <v>0</v>
      </c>
      <c r="J920" s="9">
        <v>1</v>
      </c>
      <c r="K920" s="9">
        <v>6</v>
      </c>
      <c r="L920" s="50" t="s">
        <v>708</v>
      </c>
      <c r="M920">
        <v>-2</v>
      </c>
      <c r="N920">
        <v>2</v>
      </c>
      <c r="O920">
        <v>2</v>
      </c>
      <c r="P920">
        <v>2</v>
      </c>
      <c r="Q920">
        <v>2</v>
      </c>
      <c r="R920">
        <v>2</v>
      </c>
      <c r="S920">
        <v>2</v>
      </c>
      <c r="T920">
        <v>2</v>
      </c>
      <c r="U920">
        <v>1</v>
      </c>
      <c r="V920" t="s">
        <v>976</v>
      </c>
      <c r="W920" t="s">
        <v>989</v>
      </c>
      <c r="X920" t="s">
        <v>997</v>
      </c>
      <c r="Y920" t="s">
        <v>1000</v>
      </c>
      <c r="Z920">
        <v>0</v>
      </c>
      <c r="AA920">
        <f t="shared" si="263"/>
        <v>0</v>
      </c>
      <c r="AB920">
        <f t="shared" si="264"/>
        <v>1</v>
      </c>
      <c r="AC920">
        <f t="shared" si="265"/>
        <v>1</v>
      </c>
      <c r="AD920">
        <f t="shared" si="266"/>
        <v>1</v>
      </c>
      <c r="AE920">
        <f t="shared" si="267"/>
        <v>1</v>
      </c>
      <c r="AF920">
        <f t="shared" si="268"/>
        <v>1</v>
      </c>
      <c r="AG920">
        <f t="shared" si="269"/>
        <v>1</v>
      </c>
      <c r="AH920">
        <f t="shared" si="270"/>
        <v>1</v>
      </c>
      <c r="AI920">
        <f t="shared" si="271"/>
        <v>1</v>
      </c>
      <c r="AJ920" s="9">
        <f t="shared" si="272"/>
        <v>6</v>
      </c>
      <c r="AK920">
        <f t="shared" si="273"/>
        <v>0</v>
      </c>
      <c r="AL920" s="9">
        <v>0</v>
      </c>
    </row>
    <row r="921" spans="1:38" x14ac:dyDescent="0.35">
      <c r="A921" s="50">
        <v>0</v>
      </c>
      <c r="B921" s="9" t="s">
        <v>108</v>
      </c>
      <c r="C921" s="53">
        <v>43892</v>
      </c>
      <c r="D921" s="53">
        <v>43903</v>
      </c>
      <c r="E921" s="53">
        <v>43991</v>
      </c>
      <c r="F921" s="21">
        <f t="shared" si="248"/>
        <v>88</v>
      </c>
      <c r="G921" s="53">
        <v>43903</v>
      </c>
      <c r="H921" s="9">
        <v>2020</v>
      </c>
      <c r="I921" s="50">
        <v>0</v>
      </c>
      <c r="J921" s="9">
        <v>5</v>
      </c>
      <c r="K921" s="9" t="s">
        <v>204</v>
      </c>
      <c r="L921" s="50" t="s">
        <v>702</v>
      </c>
      <c r="M921">
        <v>1</v>
      </c>
      <c r="N921">
        <v>1</v>
      </c>
      <c r="O921">
        <v>2</v>
      </c>
      <c r="P921">
        <v>-1</v>
      </c>
      <c r="Q921">
        <v>2</v>
      </c>
      <c r="R921">
        <v>2</v>
      </c>
      <c r="S921">
        <v>1</v>
      </c>
      <c r="T921">
        <v>2</v>
      </c>
      <c r="U921">
        <v>1</v>
      </c>
      <c r="V921" t="s">
        <v>976</v>
      </c>
      <c r="W921" t="s">
        <v>989</v>
      </c>
      <c r="X921" t="s">
        <v>997</v>
      </c>
      <c r="Y921" t="s">
        <v>1000</v>
      </c>
      <c r="Z921">
        <v>0</v>
      </c>
      <c r="AA921">
        <f t="shared" si="263"/>
        <v>1</v>
      </c>
      <c r="AB921">
        <f t="shared" si="264"/>
        <v>1</v>
      </c>
      <c r="AC921">
        <f t="shared" si="265"/>
        <v>1</v>
      </c>
      <c r="AD921">
        <f t="shared" si="266"/>
        <v>0</v>
      </c>
      <c r="AE921">
        <f t="shared" si="267"/>
        <v>1</v>
      </c>
      <c r="AF921">
        <f t="shared" si="268"/>
        <v>1</v>
      </c>
      <c r="AG921">
        <f t="shared" si="269"/>
        <v>1</v>
      </c>
      <c r="AH921">
        <f t="shared" si="270"/>
        <v>1</v>
      </c>
      <c r="AI921">
        <f t="shared" si="271"/>
        <v>1</v>
      </c>
      <c r="AJ921" s="9" t="str">
        <f t="shared" si="272"/>
        <v>General</v>
      </c>
      <c r="AK921">
        <f t="shared" si="273"/>
        <v>0</v>
      </c>
      <c r="AL921" s="9">
        <v>0</v>
      </c>
    </row>
    <row r="922" spans="1:38" x14ac:dyDescent="0.35">
      <c r="A922" s="50">
        <v>0</v>
      </c>
      <c r="B922" s="50" t="s">
        <v>108</v>
      </c>
      <c r="C922" s="53">
        <v>43892</v>
      </c>
      <c r="D922" s="53">
        <v>43903</v>
      </c>
      <c r="E922" s="53">
        <v>43991</v>
      </c>
      <c r="F922" s="21">
        <f t="shared" si="248"/>
        <v>88</v>
      </c>
      <c r="G922" s="53">
        <v>43903</v>
      </c>
      <c r="H922" s="9">
        <v>2020</v>
      </c>
      <c r="I922" s="50">
        <v>0</v>
      </c>
      <c r="J922" s="50">
        <v>9</v>
      </c>
      <c r="K922" s="50">
        <v>34</v>
      </c>
      <c r="L922" s="24" t="s">
        <v>1808</v>
      </c>
      <c r="M922" s="24"/>
      <c r="V922" t="s">
        <v>976</v>
      </c>
      <c r="W922" t="s">
        <v>989</v>
      </c>
      <c r="X922" t="s">
        <v>997</v>
      </c>
      <c r="Y922" t="s">
        <v>1000</v>
      </c>
      <c r="Z922">
        <v>0</v>
      </c>
      <c r="AA922">
        <v>-1</v>
      </c>
      <c r="AB922">
        <v>-1</v>
      </c>
      <c r="AC922">
        <v>-1</v>
      </c>
      <c r="AD922">
        <v>-1</v>
      </c>
      <c r="AE922">
        <v>-1</v>
      </c>
      <c r="AF922">
        <v>-1</v>
      </c>
      <c r="AG922">
        <v>-1</v>
      </c>
      <c r="AH922">
        <v>-1</v>
      </c>
      <c r="AI922">
        <v>-1</v>
      </c>
      <c r="AJ922" s="9">
        <f t="shared" si="272"/>
        <v>34</v>
      </c>
      <c r="AK922">
        <f t="shared" si="273"/>
        <v>0</v>
      </c>
      <c r="AL922" s="9">
        <v>0</v>
      </c>
    </row>
    <row r="923" spans="1:38" x14ac:dyDescent="0.35">
      <c r="A923" s="50">
        <v>0</v>
      </c>
      <c r="B923" s="50" t="s">
        <v>108</v>
      </c>
      <c r="C923" s="53">
        <v>43892</v>
      </c>
      <c r="D923" s="53">
        <v>43903</v>
      </c>
      <c r="E923" s="53">
        <v>43991</v>
      </c>
      <c r="F923" s="21">
        <f t="shared" si="248"/>
        <v>88</v>
      </c>
      <c r="G923" s="53">
        <v>43903</v>
      </c>
      <c r="H923" s="9">
        <v>2020</v>
      </c>
      <c r="I923" s="50">
        <v>0</v>
      </c>
      <c r="J923" s="50">
        <v>6</v>
      </c>
      <c r="K923" s="50">
        <v>28</v>
      </c>
      <c r="L923" s="24" t="s">
        <v>1886</v>
      </c>
      <c r="M923" s="24"/>
      <c r="V923" t="s">
        <v>976</v>
      </c>
      <c r="W923" t="s">
        <v>989</v>
      </c>
      <c r="X923" t="s">
        <v>997</v>
      </c>
      <c r="Y923" t="s">
        <v>1000</v>
      </c>
      <c r="Z923">
        <v>0</v>
      </c>
      <c r="AA923">
        <v>-1</v>
      </c>
      <c r="AB923">
        <v>-1</v>
      </c>
      <c r="AC923">
        <v>-1</v>
      </c>
      <c r="AD923">
        <v>-1</v>
      </c>
      <c r="AE923">
        <v>-1</v>
      </c>
      <c r="AF923">
        <v>-1</v>
      </c>
      <c r="AG923">
        <v>-1</v>
      </c>
      <c r="AH923">
        <v>-1</v>
      </c>
      <c r="AI923">
        <v>-1</v>
      </c>
      <c r="AJ923" s="9">
        <f t="shared" si="272"/>
        <v>28</v>
      </c>
      <c r="AK923" t="e">
        <f>IF(B923&lt;&gt;#REF!,1,0)</f>
        <v>#REF!</v>
      </c>
      <c r="AL923" s="9">
        <v>1</v>
      </c>
    </row>
    <row r="924" spans="1:38" x14ac:dyDescent="0.35">
      <c r="A924" s="50">
        <v>0</v>
      </c>
      <c r="B924" s="50" t="s">
        <v>108</v>
      </c>
      <c r="C924" s="53">
        <v>43892</v>
      </c>
      <c r="D924" s="53">
        <v>43903</v>
      </c>
      <c r="E924" s="53">
        <v>43991</v>
      </c>
      <c r="F924" s="21">
        <f t="shared" si="248"/>
        <v>88</v>
      </c>
      <c r="G924" s="53">
        <v>43903</v>
      </c>
      <c r="H924" s="9">
        <v>2020</v>
      </c>
      <c r="I924" s="50">
        <v>0</v>
      </c>
      <c r="J924" s="50">
        <v>4</v>
      </c>
      <c r="K924" s="50" t="s">
        <v>201</v>
      </c>
      <c r="L924" s="24" t="s">
        <v>1809</v>
      </c>
      <c r="M924" s="24"/>
      <c r="V924" t="s">
        <v>976</v>
      </c>
      <c r="W924" t="s">
        <v>989</v>
      </c>
      <c r="X924" t="s">
        <v>997</v>
      </c>
      <c r="Y924" t="s">
        <v>1000</v>
      </c>
      <c r="Z924">
        <v>0</v>
      </c>
      <c r="AA924">
        <v>-1</v>
      </c>
      <c r="AB924">
        <v>-1</v>
      </c>
      <c r="AC924">
        <v>-1</v>
      </c>
      <c r="AD924">
        <v>-1</v>
      </c>
      <c r="AE924">
        <v>-1</v>
      </c>
      <c r="AF924">
        <v>-1</v>
      </c>
      <c r="AG924">
        <v>-1</v>
      </c>
      <c r="AH924">
        <v>-1</v>
      </c>
      <c r="AI924">
        <v>-1</v>
      </c>
      <c r="AJ924" s="9" t="str">
        <f t="shared" si="272"/>
        <v>Other</v>
      </c>
      <c r="AK924">
        <f t="shared" si="273"/>
        <v>0</v>
      </c>
      <c r="AL924" s="9">
        <v>1</v>
      </c>
    </row>
    <row r="925" spans="1:38" s="47" customFormat="1" x14ac:dyDescent="0.35">
      <c r="A925" s="50">
        <v>0</v>
      </c>
      <c r="B925" s="50" t="s">
        <v>108</v>
      </c>
      <c r="C925" s="53">
        <v>43892</v>
      </c>
      <c r="D925" s="53">
        <v>43903</v>
      </c>
      <c r="E925" s="53">
        <v>43991</v>
      </c>
      <c r="F925" s="21">
        <f t="shared" ref="F925:F931" si="274">DATEDIF(D925,E925,"D")</f>
        <v>88</v>
      </c>
      <c r="G925" s="53">
        <v>43903</v>
      </c>
      <c r="H925" s="9">
        <v>2021</v>
      </c>
      <c r="I925" s="50">
        <v>0</v>
      </c>
      <c r="J925" s="50">
        <v>6</v>
      </c>
      <c r="K925" s="50">
        <v>29</v>
      </c>
      <c r="L925" s="48" t="s">
        <v>2010</v>
      </c>
      <c r="M925" s="48"/>
    </row>
    <row r="926" spans="1:38" s="47" customFormat="1" x14ac:dyDescent="0.35">
      <c r="A926" s="50">
        <v>0</v>
      </c>
      <c r="B926" s="50" t="s">
        <v>108</v>
      </c>
      <c r="C926" s="53">
        <v>43892</v>
      </c>
      <c r="D926" s="53">
        <v>43903</v>
      </c>
      <c r="E926" s="53">
        <v>43991</v>
      </c>
      <c r="F926" s="21">
        <f t="shared" si="274"/>
        <v>88</v>
      </c>
      <c r="G926" s="53">
        <v>43903</v>
      </c>
      <c r="H926" s="9">
        <v>2021</v>
      </c>
      <c r="I926" s="50">
        <v>0</v>
      </c>
      <c r="J926" s="50">
        <v>1</v>
      </c>
      <c r="K926" s="50">
        <v>6</v>
      </c>
      <c r="L926" s="48" t="s">
        <v>2011</v>
      </c>
      <c r="M926" s="48"/>
    </row>
    <row r="927" spans="1:38" s="47" customFormat="1" x14ac:dyDescent="0.35">
      <c r="A927" s="50">
        <v>0</v>
      </c>
      <c r="B927" s="50" t="s">
        <v>108</v>
      </c>
      <c r="C927" s="53">
        <v>43892</v>
      </c>
      <c r="D927" s="53">
        <v>43903</v>
      </c>
      <c r="E927" s="53">
        <v>43991</v>
      </c>
      <c r="F927" s="21">
        <f t="shared" si="274"/>
        <v>88</v>
      </c>
      <c r="G927" s="53">
        <v>43903</v>
      </c>
      <c r="H927" s="9">
        <v>2021</v>
      </c>
      <c r="I927" s="50">
        <v>0</v>
      </c>
      <c r="J927" s="50">
        <v>7</v>
      </c>
      <c r="K927" s="50">
        <v>30</v>
      </c>
      <c r="L927" s="48" t="s">
        <v>2012</v>
      </c>
      <c r="M927" s="48"/>
    </row>
    <row r="928" spans="1:38" s="47" customFormat="1" x14ac:dyDescent="0.35">
      <c r="A928" s="50">
        <v>0</v>
      </c>
      <c r="B928" s="50" t="s">
        <v>108</v>
      </c>
      <c r="C928" s="53">
        <v>43892</v>
      </c>
      <c r="D928" s="53">
        <v>43903</v>
      </c>
      <c r="E928" s="53">
        <v>43991</v>
      </c>
      <c r="F928" s="21">
        <f t="shared" si="274"/>
        <v>88</v>
      </c>
      <c r="G928" s="53">
        <v>43903</v>
      </c>
      <c r="H928" s="9">
        <v>2021</v>
      </c>
      <c r="I928" s="50">
        <v>0</v>
      </c>
      <c r="J928" s="50">
        <v>3</v>
      </c>
      <c r="K928" s="50">
        <v>19</v>
      </c>
      <c r="L928" s="48" t="s">
        <v>2013</v>
      </c>
      <c r="M928" s="48"/>
    </row>
    <row r="929" spans="1:38" s="47" customFormat="1" x14ac:dyDescent="0.35">
      <c r="A929" s="50">
        <v>0</v>
      </c>
      <c r="B929" s="50" t="s">
        <v>108</v>
      </c>
      <c r="C929" s="53">
        <v>43892</v>
      </c>
      <c r="D929" s="53">
        <v>43903</v>
      </c>
      <c r="E929" s="53">
        <v>43991</v>
      </c>
      <c r="F929" s="21">
        <f t="shared" si="274"/>
        <v>88</v>
      </c>
      <c r="G929" s="53">
        <v>43903</v>
      </c>
      <c r="H929" s="9">
        <v>2021</v>
      </c>
      <c r="I929" s="50">
        <v>0</v>
      </c>
      <c r="J929" s="50">
        <v>6</v>
      </c>
      <c r="K929" s="50">
        <v>29</v>
      </c>
      <c r="L929" s="48" t="s">
        <v>2014</v>
      </c>
      <c r="M929" s="48"/>
    </row>
    <row r="930" spans="1:38" s="47" customFormat="1" x14ac:dyDescent="0.35">
      <c r="A930" s="50">
        <v>0</v>
      </c>
      <c r="B930" s="50" t="s">
        <v>108</v>
      </c>
      <c r="C930" s="53">
        <v>43892</v>
      </c>
      <c r="D930" s="53">
        <v>43903</v>
      </c>
      <c r="E930" s="53">
        <v>43991</v>
      </c>
      <c r="F930" s="21">
        <f t="shared" si="274"/>
        <v>88</v>
      </c>
      <c r="G930" s="53">
        <v>43903</v>
      </c>
      <c r="H930" s="9">
        <v>2021</v>
      </c>
      <c r="I930" s="50">
        <v>0</v>
      </c>
      <c r="J930" s="50">
        <v>9</v>
      </c>
      <c r="K930" s="50">
        <v>34</v>
      </c>
      <c r="L930" s="48" t="s">
        <v>2015</v>
      </c>
      <c r="M930" s="48"/>
    </row>
    <row r="931" spans="1:38" s="47" customFormat="1" x14ac:dyDescent="0.35">
      <c r="A931" s="50">
        <v>0</v>
      </c>
      <c r="B931" s="50" t="s">
        <v>108</v>
      </c>
      <c r="C931" s="53">
        <v>43892</v>
      </c>
      <c r="D931" s="53">
        <v>43903</v>
      </c>
      <c r="E931" s="53">
        <v>43991</v>
      </c>
      <c r="F931" s="21">
        <f t="shared" si="274"/>
        <v>88</v>
      </c>
      <c r="G931" s="53">
        <v>43903</v>
      </c>
      <c r="H931" s="9">
        <v>2021</v>
      </c>
      <c r="I931" s="50">
        <v>0</v>
      </c>
      <c r="J931" s="50">
        <v>9</v>
      </c>
      <c r="K931" s="50">
        <v>34</v>
      </c>
      <c r="L931" s="48" t="s">
        <v>2016</v>
      </c>
      <c r="M931" s="48"/>
    </row>
    <row r="932" spans="1:38" x14ac:dyDescent="0.35">
      <c r="A932" s="50">
        <v>0</v>
      </c>
      <c r="B932" s="9" t="s">
        <v>106</v>
      </c>
      <c r="C932" s="53">
        <v>43889</v>
      </c>
      <c r="D932" s="53">
        <v>43906</v>
      </c>
      <c r="E932" s="53">
        <v>43969</v>
      </c>
      <c r="F932" s="21">
        <f t="shared" si="248"/>
        <v>63</v>
      </c>
      <c r="G932" s="53">
        <v>43906</v>
      </c>
      <c r="H932" s="9">
        <v>2020</v>
      </c>
      <c r="I932" s="50">
        <v>0</v>
      </c>
      <c r="J932" s="9">
        <v>1</v>
      </c>
      <c r="K932" s="9">
        <v>6</v>
      </c>
      <c r="L932" s="50" t="s">
        <v>672</v>
      </c>
      <c r="M932">
        <v>-2</v>
      </c>
      <c r="N932">
        <v>2</v>
      </c>
      <c r="O932">
        <v>2</v>
      </c>
      <c r="P932">
        <v>2</v>
      </c>
      <c r="Q932">
        <v>2</v>
      </c>
      <c r="R932">
        <v>2</v>
      </c>
      <c r="S932">
        <v>1</v>
      </c>
      <c r="T932">
        <v>2</v>
      </c>
      <c r="U932">
        <v>1</v>
      </c>
      <c r="V932" t="s">
        <v>974</v>
      </c>
      <c r="W932" t="s">
        <v>989</v>
      </c>
      <c r="X932" t="s">
        <v>997</v>
      </c>
      <c r="Y932" t="s">
        <v>1000</v>
      </c>
      <c r="Z932">
        <v>0</v>
      </c>
      <c r="AA932">
        <f t="shared" ref="AA932:AA949" si="275">IF(M932&gt;0,1,IF(M932&lt;0,0,-1))</f>
        <v>0</v>
      </c>
      <c r="AB932">
        <f t="shared" ref="AB932:AB949" si="276">IF(N932&gt;0,1,IF(N932&lt;0,0,-1))</f>
        <v>1</v>
      </c>
      <c r="AC932">
        <f t="shared" ref="AC932:AC949" si="277">IF(O932&gt;0,1,IF(O932&lt;0,0,-1))</f>
        <v>1</v>
      </c>
      <c r="AD932">
        <f t="shared" ref="AD932:AD949" si="278">IF(P932&gt;0,1,IF(P932&lt;0,0,-1))</f>
        <v>1</v>
      </c>
      <c r="AE932">
        <f t="shared" ref="AE932:AE949" si="279">IF(Q932&gt;0,1,IF(Q932&lt;0,0,-1))</f>
        <v>1</v>
      </c>
      <c r="AF932">
        <f t="shared" ref="AF932:AF949" si="280">IF(R932&gt;0,1,IF(R932&lt;0,0,-1))</f>
        <v>1</v>
      </c>
      <c r="AG932">
        <f t="shared" ref="AG932:AG949" si="281">IF(S932&gt;0,1,IF(S932&lt;0,0,-1))</f>
        <v>1</v>
      </c>
      <c r="AH932">
        <f t="shared" ref="AH932:AH949" si="282">IF(T932&gt;0,1,IF(T932&lt;0,0,-1))</f>
        <v>1</v>
      </c>
      <c r="AI932">
        <f t="shared" ref="AI932:AI949" si="283">IF(U932&gt;0,1,IF(U932&lt;0,0,-1))</f>
        <v>1</v>
      </c>
      <c r="AJ932" s="9">
        <f t="shared" si="272"/>
        <v>6</v>
      </c>
      <c r="AK932" t="e">
        <f>IF(B932&lt;&gt;#REF!,1,0)</f>
        <v>#REF!</v>
      </c>
      <c r="AL932" s="9">
        <v>1</v>
      </c>
    </row>
    <row r="933" spans="1:38" x14ac:dyDescent="0.35">
      <c r="A933" s="50">
        <v>0</v>
      </c>
      <c r="B933" s="9" t="s">
        <v>106</v>
      </c>
      <c r="C933" s="53">
        <v>43889</v>
      </c>
      <c r="D933" s="53">
        <v>43906</v>
      </c>
      <c r="E933" s="53">
        <v>43969</v>
      </c>
      <c r="F933" s="21">
        <f t="shared" si="248"/>
        <v>63</v>
      </c>
      <c r="G933" s="53">
        <v>43906</v>
      </c>
      <c r="H933" s="9">
        <v>2020</v>
      </c>
      <c r="I933" s="50">
        <v>0</v>
      </c>
      <c r="J933" s="9">
        <v>7</v>
      </c>
      <c r="K933" s="9">
        <v>30</v>
      </c>
      <c r="L933" s="50" t="s">
        <v>681</v>
      </c>
      <c r="M933">
        <v>1</v>
      </c>
      <c r="N933">
        <v>1</v>
      </c>
      <c r="O933">
        <v>2</v>
      </c>
      <c r="P933">
        <v>-1</v>
      </c>
      <c r="Q933">
        <v>-2</v>
      </c>
      <c r="R933">
        <v>2</v>
      </c>
      <c r="S933">
        <v>1</v>
      </c>
      <c r="T933">
        <v>-2</v>
      </c>
      <c r="U933">
        <v>1</v>
      </c>
      <c r="V933" t="s">
        <v>974</v>
      </c>
      <c r="W933" t="s">
        <v>989</v>
      </c>
      <c r="X933" t="s">
        <v>997</v>
      </c>
      <c r="Y933" t="s">
        <v>1000</v>
      </c>
      <c r="Z933">
        <v>0</v>
      </c>
      <c r="AA933">
        <f t="shared" si="275"/>
        <v>1</v>
      </c>
      <c r="AB933">
        <f t="shared" si="276"/>
        <v>1</v>
      </c>
      <c r="AC933">
        <f t="shared" si="277"/>
        <v>1</v>
      </c>
      <c r="AD933">
        <f t="shared" si="278"/>
        <v>0</v>
      </c>
      <c r="AE933">
        <f t="shared" si="279"/>
        <v>0</v>
      </c>
      <c r="AF933">
        <f t="shared" si="280"/>
        <v>1</v>
      </c>
      <c r="AG933">
        <f t="shared" si="281"/>
        <v>1</v>
      </c>
      <c r="AH933">
        <f t="shared" si="282"/>
        <v>0</v>
      </c>
      <c r="AI933">
        <f t="shared" si="283"/>
        <v>1</v>
      </c>
      <c r="AJ933" s="9">
        <f t="shared" si="272"/>
        <v>30</v>
      </c>
      <c r="AK933" t="e">
        <f>IF(B933&lt;&gt;#REF!,1,0)</f>
        <v>#REF!</v>
      </c>
      <c r="AL933" s="9">
        <v>1</v>
      </c>
    </row>
    <row r="934" spans="1:38" x14ac:dyDescent="0.35">
      <c r="A934" s="50">
        <v>0</v>
      </c>
      <c r="B934" s="9" t="s">
        <v>106</v>
      </c>
      <c r="C934" s="53">
        <v>43889</v>
      </c>
      <c r="D934" s="53">
        <v>43906</v>
      </c>
      <c r="E934" s="53">
        <v>43969</v>
      </c>
      <c r="F934" s="21">
        <f t="shared" si="248"/>
        <v>63</v>
      </c>
      <c r="G934" s="53">
        <v>43906</v>
      </c>
      <c r="H934" s="9">
        <v>2020</v>
      </c>
      <c r="I934" s="50">
        <v>0</v>
      </c>
      <c r="J934" s="9">
        <v>7</v>
      </c>
      <c r="K934" s="9">
        <v>30</v>
      </c>
      <c r="L934" s="50" t="s">
        <v>673</v>
      </c>
      <c r="M934">
        <v>1</v>
      </c>
      <c r="N934">
        <v>1</v>
      </c>
      <c r="O934">
        <v>2</v>
      </c>
      <c r="P934">
        <v>-1</v>
      </c>
      <c r="Q934">
        <v>-2</v>
      </c>
      <c r="R934">
        <v>2</v>
      </c>
      <c r="S934">
        <v>1</v>
      </c>
      <c r="T934">
        <v>-2</v>
      </c>
      <c r="U934">
        <v>1</v>
      </c>
      <c r="V934" t="s">
        <v>974</v>
      </c>
      <c r="W934" t="s">
        <v>989</v>
      </c>
      <c r="X934" t="s">
        <v>997</v>
      </c>
      <c r="Y934" t="s">
        <v>1000</v>
      </c>
      <c r="Z934">
        <v>0</v>
      </c>
      <c r="AA934">
        <f t="shared" si="275"/>
        <v>1</v>
      </c>
      <c r="AB934">
        <f t="shared" si="276"/>
        <v>1</v>
      </c>
      <c r="AC934">
        <f t="shared" si="277"/>
        <v>1</v>
      </c>
      <c r="AD934">
        <f t="shared" si="278"/>
        <v>0</v>
      </c>
      <c r="AE934">
        <f t="shared" si="279"/>
        <v>0</v>
      </c>
      <c r="AF934">
        <f t="shared" si="280"/>
        <v>1</v>
      </c>
      <c r="AG934">
        <f t="shared" si="281"/>
        <v>1</v>
      </c>
      <c r="AH934">
        <f t="shared" si="282"/>
        <v>0</v>
      </c>
      <c r="AI934">
        <f t="shared" si="283"/>
        <v>1</v>
      </c>
      <c r="AJ934" s="9">
        <f t="shared" si="272"/>
        <v>30</v>
      </c>
      <c r="AK934">
        <f t="shared" ref="AK934:AK972" si="284">IF(B934&lt;&gt;B933,1,0)</f>
        <v>0</v>
      </c>
      <c r="AL934" s="9">
        <v>1</v>
      </c>
    </row>
    <row r="935" spans="1:38" x14ac:dyDescent="0.35">
      <c r="A935" s="50">
        <v>0</v>
      </c>
      <c r="B935" s="9" t="s">
        <v>106</v>
      </c>
      <c r="C935" s="53">
        <v>43889</v>
      </c>
      <c r="D935" s="53">
        <v>43906</v>
      </c>
      <c r="E935" s="53">
        <v>43969</v>
      </c>
      <c r="F935" s="21">
        <f t="shared" si="248"/>
        <v>63</v>
      </c>
      <c r="G935" s="53">
        <v>43906</v>
      </c>
      <c r="H935" s="9">
        <v>2020</v>
      </c>
      <c r="I935" s="50">
        <v>0</v>
      </c>
      <c r="J935" s="9">
        <v>9</v>
      </c>
      <c r="K935" s="9">
        <v>34</v>
      </c>
      <c r="L935" s="50" t="s">
        <v>666</v>
      </c>
      <c r="M935">
        <v>1</v>
      </c>
      <c r="N935">
        <v>1</v>
      </c>
      <c r="O935">
        <v>2</v>
      </c>
      <c r="P935">
        <v>-1</v>
      </c>
      <c r="Q935">
        <v>-2</v>
      </c>
      <c r="R935">
        <v>-2</v>
      </c>
      <c r="S935">
        <v>1</v>
      </c>
      <c r="T935">
        <v>-2</v>
      </c>
      <c r="U935">
        <v>1</v>
      </c>
      <c r="V935" t="s">
        <v>974</v>
      </c>
      <c r="W935" t="s">
        <v>989</v>
      </c>
      <c r="X935" t="s">
        <v>997</v>
      </c>
      <c r="Y935" t="s">
        <v>1000</v>
      </c>
      <c r="Z935">
        <v>0</v>
      </c>
      <c r="AA935">
        <f t="shared" si="275"/>
        <v>1</v>
      </c>
      <c r="AB935">
        <f t="shared" si="276"/>
        <v>1</v>
      </c>
      <c r="AC935">
        <f t="shared" si="277"/>
        <v>1</v>
      </c>
      <c r="AD935">
        <f t="shared" si="278"/>
        <v>0</v>
      </c>
      <c r="AE935">
        <f t="shared" si="279"/>
        <v>0</v>
      </c>
      <c r="AF935">
        <f t="shared" si="280"/>
        <v>0</v>
      </c>
      <c r="AG935">
        <f t="shared" si="281"/>
        <v>1</v>
      </c>
      <c r="AH935">
        <f t="shared" si="282"/>
        <v>0</v>
      </c>
      <c r="AI935">
        <f t="shared" si="283"/>
        <v>1</v>
      </c>
      <c r="AJ935" s="9">
        <f t="shared" si="272"/>
        <v>34</v>
      </c>
      <c r="AK935">
        <f t="shared" si="284"/>
        <v>0</v>
      </c>
      <c r="AL935" s="9">
        <v>1</v>
      </c>
    </row>
    <row r="936" spans="1:38" x14ac:dyDescent="0.35">
      <c r="A936" s="50">
        <v>0</v>
      </c>
      <c r="B936" s="9" t="s">
        <v>106</v>
      </c>
      <c r="C936" s="53">
        <v>43889</v>
      </c>
      <c r="D936" s="53">
        <v>43906</v>
      </c>
      <c r="E936" s="53">
        <v>43969</v>
      </c>
      <c r="F936" s="21">
        <f t="shared" si="248"/>
        <v>63</v>
      </c>
      <c r="G936" s="53">
        <v>43906</v>
      </c>
      <c r="H936" s="9">
        <v>2020</v>
      </c>
      <c r="I936" s="50">
        <v>0</v>
      </c>
      <c r="J936" s="9">
        <v>7</v>
      </c>
      <c r="K936" s="9">
        <v>30</v>
      </c>
      <c r="L936" s="50" t="s">
        <v>2026</v>
      </c>
      <c r="M936">
        <v>1</v>
      </c>
      <c r="N936">
        <v>1</v>
      </c>
      <c r="O936">
        <v>2</v>
      </c>
      <c r="P936">
        <v>-1</v>
      </c>
      <c r="Q936">
        <v>-2</v>
      </c>
      <c r="R936">
        <v>2</v>
      </c>
      <c r="S936">
        <v>1</v>
      </c>
      <c r="T936">
        <v>-2</v>
      </c>
      <c r="U936">
        <v>1</v>
      </c>
      <c r="V936" t="s">
        <v>974</v>
      </c>
      <c r="W936" t="s">
        <v>989</v>
      </c>
      <c r="X936" t="s">
        <v>997</v>
      </c>
      <c r="Y936" t="s">
        <v>1000</v>
      </c>
      <c r="Z936">
        <v>0</v>
      </c>
      <c r="AA936">
        <f t="shared" si="275"/>
        <v>1</v>
      </c>
      <c r="AB936">
        <f t="shared" si="276"/>
        <v>1</v>
      </c>
      <c r="AC936">
        <f t="shared" si="277"/>
        <v>1</v>
      </c>
      <c r="AD936">
        <f t="shared" si="278"/>
        <v>0</v>
      </c>
      <c r="AE936">
        <f t="shared" si="279"/>
        <v>0</v>
      </c>
      <c r="AF936">
        <f t="shared" si="280"/>
        <v>1</v>
      </c>
      <c r="AG936">
        <f t="shared" si="281"/>
        <v>1</v>
      </c>
      <c r="AH936">
        <f t="shared" si="282"/>
        <v>0</v>
      </c>
      <c r="AI936">
        <f t="shared" si="283"/>
        <v>1</v>
      </c>
      <c r="AJ936" s="9">
        <f t="shared" ref="AJ936:AJ1002" si="285">IF(ISNUMBER(K936),K936,IF(OR(K936="general",K936="23;general"),"General",IF(OR(K936="exemption",K936="other (exemption)"),"Tax exemption/waiver/suspension","Other")))</f>
        <v>30</v>
      </c>
      <c r="AK936">
        <f t="shared" si="284"/>
        <v>0</v>
      </c>
      <c r="AL936" s="9">
        <v>1</v>
      </c>
    </row>
    <row r="937" spans="1:38" x14ac:dyDescent="0.35">
      <c r="A937" s="50">
        <v>0</v>
      </c>
      <c r="B937" s="9" t="s">
        <v>106</v>
      </c>
      <c r="C937" s="53">
        <v>43889</v>
      </c>
      <c r="D937" s="53">
        <v>43906</v>
      </c>
      <c r="E937" s="53">
        <v>43969</v>
      </c>
      <c r="F937" s="21">
        <f t="shared" si="248"/>
        <v>63</v>
      </c>
      <c r="G937" s="53">
        <v>43906</v>
      </c>
      <c r="H937" s="9">
        <v>2020</v>
      </c>
      <c r="I937" s="50">
        <v>0</v>
      </c>
      <c r="J937" s="9">
        <v>6</v>
      </c>
      <c r="K937" s="9">
        <v>27</v>
      </c>
      <c r="L937" s="50" t="s">
        <v>670</v>
      </c>
      <c r="M937">
        <v>1</v>
      </c>
      <c r="N937">
        <v>1</v>
      </c>
      <c r="O937">
        <v>2</v>
      </c>
      <c r="P937">
        <v>-1</v>
      </c>
      <c r="Q937">
        <v>-2</v>
      </c>
      <c r="R937">
        <v>2</v>
      </c>
      <c r="S937">
        <v>1</v>
      </c>
      <c r="T937">
        <v>-2</v>
      </c>
      <c r="U937">
        <v>1</v>
      </c>
      <c r="V937" t="s">
        <v>974</v>
      </c>
      <c r="W937" t="s">
        <v>989</v>
      </c>
      <c r="X937" t="s">
        <v>997</v>
      </c>
      <c r="Y937" t="s">
        <v>1000</v>
      </c>
      <c r="Z937">
        <v>0</v>
      </c>
      <c r="AA937">
        <f t="shared" si="275"/>
        <v>1</v>
      </c>
      <c r="AB937">
        <f t="shared" si="276"/>
        <v>1</v>
      </c>
      <c r="AC937">
        <f t="shared" si="277"/>
        <v>1</v>
      </c>
      <c r="AD937">
        <f t="shared" si="278"/>
        <v>0</v>
      </c>
      <c r="AE937">
        <f t="shared" si="279"/>
        <v>0</v>
      </c>
      <c r="AF937">
        <f t="shared" si="280"/>
        <v>1</v>
      </c>
      <c r="AG937">
        <f t="shared" si="281"/>
        <v>1</v>
      </c>
      <c r="AH937">
        <f t="shared" si="282"/>
        <v>0</v>
      </c>
      <c r="AI937">
        <f t="shared" si="283"/>
        <v>1</v>
      </c>
      <c r="AJ937" s="9">
        <f t="shared" si="285"/>
        <v>27</v>
      </c>
      <c r="AK937">
        <f t="shared" si="284"/>
        <v>0</v>
      </c>
      <c r="AL937" s="9">
        <v>1</v>
      </c>
    </row>
    <row r="938" spans="1:38" x14ac:dyDescent="0.35">
      <c r="A938" s="50">
        <v>0</v>
      </c>
      <c r="B938" s="9" t="s">
        <v>106</v>
      </c>
      <c r="C938" s="53">
        <v>43889</v>
      </c>
      <c r="D938" s="53">
        <v>43906</v>
      </c>
      <c r="E938" s="53">
        <v>43969</v>
      </c>
      <c r="F938" s="21">
        <f t="shared" si="248"/>
        <v>63</v>
      </c>
      <c r="G938" s="53">
        <v>43906</v>
      </c>
      <c r="H938" s="9">
        <v>2020</v>
      </c>
      <c r="I938" s="50">
        <v>0</v>
      </c>
      <c r="J938" s="9">
        <v>3</v>
      </c>
      <c r="K938" s="9">
        <v>19</v>
      </c>
      <c r="L938" s="50" t="s">
        <v>678</v>
      </c>
      <c r="M938">
        <v>2</v>
      </c>
      <c r="N938">
        <v>2</v>
      </c>
      <c r="O938">
        <v>-2</v>
      </c>
      <c r="P938">
        <v>-1</v>
      </c>
      <c r="Q938">
        <v>-2</v>
      </c>
      <c r="R938">
        <v>2</v>
      </c>
      <c r="S938">
        <v>-2</v>
      </c>
      <c r="U938">
        <v>1</v>
      </c>
      <c r="V938" t="s">
        <v>974</v>
      </c>
      <c r="W938" t="s">
        <v>989</v>
      </c>
      <c r="X938" t="s">
        <v>997</v>
      </c>
      <c r="Y938" t="s">
        <v>1000</v>
      </c>
      <c r="Z938">
        <v>0</v>
      </c>
      <c r="AA938">
        <f t="shared" si="275"/>
        <v>1</v>
      </c>
      <c r="AB938">
        <f t="shared" si="276"/>
        <v>1</v>
      </c>
      <c r="AC938">
        <f t="shared" si="277"/>
        <v>0</v>
      </c>
      <c r="AD938">
        <f t="shared" si="278"/>
        <v>0</v>
      </c>
      <c r="AE938">
        <f t="shared" si="279"/>
        <v>0</v>
      </c>
      <c r="AF938">
        <f t="shared" si="280"/>
        <v>1</v>
      </c>
      <c r="AG938">
        <f t="shared" si="281"/>
        <v>0</v>
      </c>
      <c r="AH938">
        <f t="shared" si="282"/>
        <v>-1</v>
      </c>
      <c r="AI938">
        <f t="shared" si="283"/>
        <v>1</v>
      </c>
      <c r="AJ938" s="9">
        <f t="shared" si="285"/>
        <v>19</v>
      </c>
      <c r="AK938">
        <f t="shared" si="284"/>
        <v>0</v>
      </c>
      <c r="AL938" s="9">
        <v>1</v>
      </c>
    </row>
    <row r="939" spans="1:38" x14ac:dyDescent="0.35">
      <c r="A939" s="50">
        <v>0</v>
      </c>
      <c r="B939" s="9" t="s">
        <v>106</v>
      </c>
      <c r="C939" s="53">
        <v>43889</v>
      </c>
      <c r="D939" s="53">
        <v>43906</v>
      </c>
      <c r="E939" s="53">
        <v>43969</v>
      </c>
      <c r="F939" s="21">
        <f t="shared" si="248"/>
        <v>63</v>
      </c>
      <c r="G939" s="53">
        <v>43906</v>
      </c>
      <c r="H939" s="9">
        <v>2020</v>
      </c>
      <c r="I939" s="50">
        <v>0</v>
      </c>
      <c r="J939" s="9">
        <v>5</v>
      </c>
      <c r="K939" s="9" t="s">
        <v>204</v>
      </c>
      <c r="L939" s="50" t="s">
        <v>675</v>
      </c>
      <c r="M939">
        <v>1</v>
      </c>
      <c r="N939">
        <v>-2</v>
      </c>
      <c r="O939">
        <v>-2</v>
      </c>
      <c r="P939">
        <v>-1</v>
      </c>
      <c r="Q939">
        <v>-2</v>
      </c>
      <c r="R939">
        <v>1</v>
      </c>
      <c r="S939">
        <v>1</v>
      </c>
      <c r="T939">
        <v>2</v>
      </c>
      <c r="U939">
        <v>1</v>
      </c>
      <c r="V939" t="s">
        <v>974</v>
      </c>
      <c r="W939" t="s">
        <v>989</v>
      </c>
      <c r="X939" t="s">
        <v>997</v>
      </c>
      <c r="Y939" t="s">
        <v>1000</v>
      </c>
      <c r="Z939">
        <v>0</v>
      </c>
      <c r="AA939">
        <f t="shared" si="275"/>
        <v>1</v>
      </c>
      <c r="AB939">
        <f t="shared" si="276"/>
        <v>0</v>
      </c>
      <c r="AC939">
        <f t="shared" si="277"/>
        <v>0</v>
      </c>
      <c r="AD939">
        <f t="shared" si="278"/>
        <v>0</v>
      </c>
      <c r="AE939">
        <f t="shared" si="279"/>
        <v>0</v>
      </c>
      <c r="AF939">
        <f t="shared" si="280"/>
        <v>1</v>
      </c>
      <c r="AG939">
        <f t="shared" si="281"/>
        <v>1</v>
      </c>
      <c r="AH939">
        <f t="shared" si="282"/>
        <v>1</v>
      </c>
      <c r="AI939">
        <f t="shared" si="283"/>
        <v>1</v>
      </c>
      <c r="AJ939" s="9" t="str">
        <f t="shared" si="285"/>
        <v>General</v>
      </c>
      <c r="AK939">
        <f t="shared" si="284"/>
        <v>0</v>
      </c>
      <c r="AL939" s="9">
        <v>1</v>
      </c>
    </row>
    <row r="940" spans="1:38" x14ac:dyDescent="0.35">
      <c r="A940" s="50">
        <v>0</v>
      </c>
      <c r="B940" s="9" t="s">
        <v>106</v>
      </c>
      <c r="C940" s="53">
        <v>43889</v>
      </c>
      <c r="D940" s="53">
        <v>43906</v>
      </c>
      <c r="E940" s="53">
        <v>43969</v>
      </c>
      <c r="F940" s="21">
        <f t="shared" ref="F940:F1016" si="286">DATEDIF(D940,E940,"D")</f>
        <v>63</v>
      </c>
      <c r="G940" s="53">
        <v>43906</v>
      </c>
      <c r="H940" s="9">
        <v>2020</v>
      </c>
      <c r="I940" s="50">
        <v>0</v>
      </c>
      <c r="J940" s="9">
        <v>2</v>
      </c>
      <c r="K940" s="9">
        <v>14</v>
      </c>
      <c r="L940" s="50" t="s">
        <v>671</v>
      </c>
      <c r="M940">
        <v>-2</v>
      </c>
      <c r="N940">
        <v>2</v>
      </c>
      <c r="O940">
        <v>2</v>
      </c>
      <c r="P940">
        <v>2</v>
      </c>
      <c r="Q940">
        <v>2</v>
      </c>
      <c r="R940">
        <v>2</v>
      </c>
      <c r="S940">
        <v>1</v>
      </c>
      <c r="T940">
        <v>2</v>
      </c>
      <c r="U940">
        <v>1</v>
      </c>
      <c r="V940" t="s">
        <v>974</v>
      </c>
      <c r="W940" t="s">
        <v>989</v>
      </c>
      <c r="X940" t="s">
        <v>997</v>
      </c>
      <c r="Y940" t="s">
        <v>1000</v>
      </c>
      <c r="Z940">
        <v>0</v>
      </c>
      <c r="AA940">
        <f t="shared" si="275"/>
        <v>0</v>
      </c>
      <c r="AB940">
        <f t="shared" si="276"/>
        <v>1</v>
      </c>
      <c r="AC940">
        <f t="shared" si="277"/>
        <v>1</v>
      </c>
      <c r="AD940">
        <f t="shared" si="278"/>
        <v>1</v>
      </c>
      <c r="AE940">
        <f t="shared" si="279"/>
        <v>1</v>
      </c>
      <c r="AF940">
        <f t="shared" si="280"/>
        <v>1</v>
      </c>
      <c r="AG940">
        <f t="shared" si="281"/>
        <v>1</v>
      </c>
      <c r="AH940">
        <f t="shared" si="282"/>
        <v>1</v>
      </c>
      <c r="AI940">
        <f t="shared" si="283"/>
        <v>1</v>
      </c>
      <c r="AJ940" s="9">
        <f t="shared" si="285"/>
        <v>14</v>
      </c>
      <c r="AK940">
        <f t="shared" si="284"/>
        <v>0</v>
      </c>
      <c r="AL940" s="9">
        <v>1</v>
      </c>
    </row>
    <row r="941" spans="1:38" x14ac:dyDescent="0.35">
      <c r="A941" s="50">
        <v>0</v>
      </c>
      <c r="B941" s="9" t="s">
        <v>106</v>
      </c>
      <c r="C941" s="53">
        <v>43889</v>
      </c>
      <c r="D941" s="53">
        <v>43906</v>
      </c>
      <c r="E941" s="53">
        <v>43969</v>
      </c>
      <c r="F941" s="21">
        <f t="shared" si="286"/>
        <v>63</v>
      </c>
      <c r="G941" s="53">
        <v>43906</v>
      </c>
      <c r="H941" s="9">
        <v>2020</v>
      </c>
      <c r="I941" s="50">
        <v>0</v>
      </c>
      <c r="J941" s="9">
        <v>1</v>
      </c>
      <c r="K941" s="9">
        <v>10</v>
      </c>
      <c r="L941" s="50" t="s">
        <v>669</v>
      </c>
      <c r="M941">
        <v>-2</v>
      </c>
      <c r="N941">
        <v>2</v>
      </c>
      <c r="O941">
        <v>2</v>
      </c>
      <c r="P941">
        <v>2</v>
      </c>
      <c r="Q941">
        <v>2</v>
      </c>
      <c r="R941">
        <v>2</v>
      </c>
      <c r="S941">
        <v>1</v>
      </c>
      <c r="T941">
        <v>2</v>
      </c>
      <c r="U941">
        <v>1</v>
      </c>
      <c r="V941" t="s">
        <v>974</v>
      </c>
      <c r="W941" t="s">
        <v>989</v>
      </c>
      <c r="X941" t="s">
        <v>997</v>
      </c>
      <c r="Y941" t="s">
        <v>1000</v>
      </c>
      <c r="Z941">
        <v>0</v>
      </c>
      <c r="AA941">
        <f t="shared" si="275"/>
        <v>0</v>
      </c>
      <c r="AB941">
        <f t="shared" si="276"/>
        <v>1</v>
      </c>
      <c r="AC941">
        <f t="shared" si="277"/>
        <v>1</v>
      </c>
      <c r="AD941">
        <f t="shared" si="278"/>
        <v>1</v>
      </c>
      <c r="AE941">
        <f t="shared" si="279"/>
        <v>1</v>
      </c>
      <c r="AF941">
        <f t="shared" si="280"/>
        <v>1</v>
      </c>
      <c r="AG941">
        <f t="shared" si="281"/>
        <v>1</v>
      </c>
      <c r="AH941">
        <f t="shared" si="282"/>
        <v>1</v>
      </c>
      <c r="AI941">
        <f t="shared" si="283"/>
        <v>1</v>
      </c>
      <c r="AJ941" s="9">
        <f t="shared" si="285"/>
        <v>10</v>
      </c>
      <c r="AK941">
        <f t="shared" si="284"/>
        <v>0</v>
      </c>
      <c r="AL941" s="9">
        <v>1</v>
      </c>
    </row>
    <row r="942" spans="1:38" x14ac:dyDescent="0.35">
      <c r="A942" s="50">
        <v>0</v>
      </c>
      <c r="B942" s="9" t="s">
        <v>106</v>
      </c>
      <c r="C942" s="53">
        <v>43889</v>
      </c>
      <c r="D942" s="53">
        <v>43906</v>
      </c>
      <c r="E942" s="53">
        <v>43969</v>
      </c>
      <c r="F942" s="21">
        <f t="shared" si="286"/>
        <v>63</v>
      </c>
      <c r="G942" s="53">
        <v>43906</v>
      </c>
      <c r="H942" s="9">
        <v>2020</v>
      </c>
      <c r="I942" s="50">
        <v>0</v>
      </c>
      <c r="J942" s="9">
        <v>6</v>
      </c>
      <c r="K942" s="9">
        <v>29</v>
      </c>
      <c r="L942" s="50" t="s">
        <v>667</v>
      </c>
      <c r="M942">
        <v>1</v>
      </c>
      <c r="N942">
        <v>1</v>
      </c>
      <c r="O942">
        <v>2</v>
      </c>
      <c r="P942">
        <v>-1</v>
      </c>
      <c r="Q942">
        <v>-2</v>
      </c>
      <c r="R942">
        <v>2</v>
      </c>
      <c r="S942">
        <v>1</v>
      </c>
      <c r="T942">
        <v>2</v>
      </c>
      <c r="U942">
        <v>1</v>
      </c>
      <c r="V942" t="s">
        <v>974</v>
      </c>
      <c r="W942" t="s">
        <v>989</v>
      </c>
      <c r="X942" t="s">
        <v>997</v>
      </c>
      <c r="Y942" t="s">
        <v>1000</v>
      </c>
      <c r="Z942">
        <v>0</v>
      </c>
      <c r="AA942">
        <f t="shared" si="275"/>
        <v>1</v>
      </c>
      <c r="AB942">
        <f t="shared" si="276"/>
        <v>1</v>
      </c>
      <c r="AC942">
        <f t="shared" si="277"/>
        <v>1</v>
      </c>
      <c r="AD942">
        <f t="shared" si="278"/>
        <v>0</v>
      </c>
      <c r="AE942">
        <f t="shared" si="279"/>
        <v>0</v>
      </c>
      <c r="AF942">
        <f t="shared" si="280"/>
        <v>1</v>
      </c>
      <c r="AG942">
        <f t="shared" si="281"/>
        <v>1</v>
      </c>
      <c r="AH942">
        <f t="shared" si="282"/>
        <v>1</v>
      </c>
      <c r="AI942">
        <f t="shared" si="283"/>
        <v>1</v>
      </c>
      <c r="AJ942" s="9">
        <f t="shared" si="285"/>
        <v>29</v>
      </c>
      <c r="AK942">
        <f t="shared" si="284"/>
        <v>0</v>
      </c>
      <c r="AL942" s="9">
        <v>1</v>
      </c>
    </row>
    <row r="943" spans="1:38" x14ac:dyDescent="0.35">
      <c r="A943" s="50">
        <v>0</v>
      </c>
      <c r="B943" s="9" t="s">
        <v>106</v>
      </c>
      <c r="C943" s="53">
        <v>43889</v>
      </c>
      <c r="D943" s="53">
        <v>43906</v>
      </c>
      <c r="E943" s="53">
        <v>43969</v>
      </c>
      <c r="F943" s="21">
        <f t="shared" si="286"/>
        <v>63</v>
      </c>
      <c r="G943" s="53">
        <v>43906</v>
      </c>
      <c r="H943" s="9">
        <v>2020</v>
      </c>
      <c r="I943" s="50">
        <v>0</v>
      </c>
      <c r="J943" s="9">
        <v>6</v>
      </c>
      <c r="K943" s="9">
        <v>29</v>
      </c>
      <c r="L943" s="50" t="s">
        <v>682</v>
      </c>
      <c r="M943">
        <v>1</v>
      </c>
      <c r="N943">
        <v>1</v>
      </c>
      <c r="O943">
        <v>2</v>
      </c>
      <c r="P943">
        <v>-1</v>
      </c>
      <c r="Q943">
        <v>-2</v>
      </c>
      <c r="R943">
        <v>2</v>
      </c>
      <c r="S943">
        <v>1</v>
      </c>
      <c r="T943">
        <v>-2</v>
      </c>
      <c r="U943">
        <v>1</v>
      </c>
      <c r="V943" t="s">
        <v>974</v>
      </c>
      <c r="W943" t="s">
        <v>989</v>
      </c>
      <c r="X943" t="s">
        <v>997</v>
      </c>
      <c r="Y943" t="s">
        <v>1000</v>
      </c>
      <c r="Z943">
        <v>0</v>
      </c>
      <c r="AA943">
        <f t="shared" si="275"/>
        <v>1</v>
      </c>
      <c r="AB943">
        <f t="shared" si="276"/>
        <v>1</v>
      </c>
      <c r="AC943">
        <f t="shared" si="277"/>
        <v>1</v>
      </c>
      <c r="AD943">
        <f t="shared" si="278"/>
        <v>0</v>
      </c>
      <c r="AE943">
        <f t="shared" si="279"/>
        <v>0</v>
      </c>
      <c r="AF943">
        <f t="shared" si="280"/>
        <v>1</v>
      </c>
      <c r="AG943">
        <f t="shared" si="281"/>
        <v>1</v>
      </c>
      <c r="AH943">
        <f t="shared" si="282"/>
        <v>0</v>
      </c>
      <c r="AI943">
        <f t="shared" si="283"/>
        <v>1</v>
      </c>
      <c r="AJ943" s="9">
        <f t="shared" si="285"/>
        <v>29</v>
      </c>
      <c r="AK943">
        <f t="shared" si="284"/>
        <v>0</v>
      </c>
      <c r="AL943" s="9">
        <v>1</v>
      </c>
    </row>
    <row r="944" spans="1:38" x14ac:dyDescent="0.35">
      <c r="A944" s="50">
        <v>0</v>
      </c>
      <c r="B944" s="9" t="s">
        <v>106</v>
      </c>
      <c r="C944" s="53">
        <v>43889</v>
      </c>
      <c r="D944" s="53">
        <v>43906</v>
      </c>
      <c r="E944" s="53">
        <v>43969</v>
      </c>
      <c r="F944" s="21">
        <f t="shared" si="286"/>
        <v>63</v>
      </c>
      <c r="G944" s="53">
        <v>43906</v>
      </c>
      <c r="H944" s="9">
        <v>2020</v>
      </c>
      <c r="I944" s="50">
        <v>0</v>
      </c>
      <c r="J944" s="9">
        <v>7</v>
      </c>
      <c r="K944" s="9">
        <v>30</v>
      </c>
      <c r="L944" s="50" t="s">
        <v>677</v>
      </c>
      <c r="M944">
        <v>1</v>
      </c>
      <c r="N944">
        <v>1</v>
      </c>
      <c r="O944">
        <v>2</v>
      </c>
      <c r="P944">
        <v>1</v>
      </c>
      <c r="Q944">
        <v>2</v>
      </c>
      <c r="R944">
        <v>2</v>
      </c>
      <c r="S944">
        <v>1</v>
      </c>
      <c r="T944">
        <v>-2</v>
      </c>
      <c r="U944">
        <v>1</v>
      </c>
      <c r="V944" t="s">
        <v>974</v>
      </c>
      <c r="W944" t="s">
        <v>989</v>
      </c>
      <c r="X944" t="s">
        <v>997</v>
      </c>
      <c r="Y944" t="s">
        <v>1000</v>
      </c>
      <c r="Z944">
        <v>0</v>
      </c>
      <c r="AA944">
        <f t="shared" si="275"/>
        <v>1</v>
      </c>
      <c r="AB944">
        <f t="shared" si="276"/>
        <v>1</v>
      </c>
      <c r="AC944">
        <f t="shared" si="277"/>
        <v>1</v>
      </c>
      <c r="AD944">
        <f t="shared" si="278"/>
        <v>1</v>
      </c>
      <c r="AE944">
        <f t="shared" si="279"/>
        <v>1</v>
      </c>
      <c r="AF944">
        <f t="shared" si="280"/>
        <v>1</v>
      </c>
      <c r="AG944">
        <f t="shared" si="281"/>
        <v>1</v>
      </c>
      <c r="AH944">
        <f t="shared" si="282"/>
        <v>0</v>
      </c>
      <c r="AI944">
        <f t="shared" si="283"/>
        <v>1</v>
      </c>
      <c r="AJ944" s="9">
        <f t="shared" si="285"/>
        <v>30</v>
      </c>
      <c r="AK944">
        <f t="shared" si="284"/>
        <v>0</v>
      </c>
      <c r="AL944" s="9">
        <v>1</v>
      </c>
    </row>
    <row r="945" spans="1:38" x14ac:dyDescent="0.35">
      <c r="A945" s="50">
        <v>0</v>
      </c>
      <c r="B945" s="9" t="s">
        <v>106</v>
      </c>
      <c r="C945" s="53">
        <v>43889</v>
      </c>
      <c r="D945" s="53">
        <v>43906</v>
      </c>
      <c r="E945" s="53">
        <v>43969</v>
      </c>
      <c r="F945" s="21">
        <f t="shared" si="286"/>
        <v>63</v>
      </c>
      <c r="G945" s="53">
        <v>43906</v>
      </c>
      <c r="H945" s="9">
        <v>2020</v>
      </c>
      <c r="I945" s="50">
        <v>0</v>
      </c>
      <c r="J945" s="9">
        <v>5</v>
      </c>
      <c r="K945" s="9" t="s">
        <v>204</v>
      </c>
      <c r="L945" s="50" t="s">
        <v>674</v>
      </c>
      <c r="M945">
        <v>1</v>
      </c>
      <c r="N945">
        <v>1</v>
      </c>
      <c r="O945">
        <v>2</v>
      </c>
      <c r="P945">
        <v>-1</v>
      </c>
      <c r="Q945">
        <v>2</v>
      </c>
      <c r="R945">
        <v>-2</v>
      </c>
      <c r="S945">
        <v>1</v>
      </c>
      <c r="T945">
        <v>2</v>
      </c>
      <c r="U945">
        <v>1</v>
      </c>
      <c r="V945" t="s">
        <v>974</v>
      </c>
      <c r="W945" t="s">
        <v>989</v>
      </c>
      <c r="X945" t="s">
        <v>997</v>
      </c>
      <c r="Y945" t="s">
        <v>1000</v>
      </c>
      <c r="Z945">
        <v>0</v>
      </c>
      <c r="AA945">
        <f t="shared" si="275"/>
        <v>1</v>
      </c>
      <c r="AB945">
        <f t="shared" si="276"/>
        <v>1</v>
      </c>
      <c r="AC945">
        <f t="shared" si="277"/>
        <v>1</v>
      </c>
      <c r="AD945">
        <f t="shared" si="278"/>
        <v>0</v>
      </c>
      <c r="AE945">
        <f t="shared" si="279"/>
        <v>1</v>
      </c>
      <c r="AF945">
        <f t="shared" si="280"/>
        <v>0</v>
      </c>
      <c r="AG945">
        <f t="shared" si="281"/>
        <v>1</v>
      </c>
      <c r="AH945">
        <f t="shared" si="282"/>
        <v>1</v>
      </c>
      <c r="AI945">
        <f t="shared" si="283"/>
        <v>1</v>
      </c>
      <c r="AJ945" s="9" t="str">
        <f t="shared" si="285"/>
        <v>General</v>
      </c>
      <c r="AK945">
        <f t="shared" si="284"/>
        <v>0</v>
      </c>
      <c r="AL945" s="9">
        <v>1</v>
      </c>
    </row>
    <row r="946" spans="1:38" x14ac:dyDescent="0.35">
      <c r="A946" s="50">
        <v>0</v>
      </c>
      <c r="B946" s="9" t="s">
        <v>106</v>
      </c>
      <c r="C946" s="53">
        <v>43889</v>
      </c>
      <c r="D946" s="53">
        <v>43906</v>
      </c>
      <c r="E946" s="53">
        <v>43969</v>
      </c>
      <c r="F946" s="21">
        <f t="shared" si="286"/>
        <v>63</v>
      </c>
      <c r="G946" s="53">
        <v>43906</v>
      </c>
      <c r="H946" s="9">
        <v>2020</v>
      </c>
      <c r="I946" s="50">
        <v>0</v>
      </c>
      <c r="J946" s="9">
        <v>6</v>
      </c>
      <c r="K946" s="9">
        <v>28</v>
      </c>
      <c r="L946" s="50" t="s">
        <v>668</v>
      </c>
      <c r="M946">
        <v>-2</v>
      </c>
      <c r="N946">
        <v>1</v>
      </c>
      <c r="O946">
        <v>2</v>
      </c>
      <c r="P946">
        <v>1</v>
      </c>
      <c r="Q946">
        <v>2</v>
      </c>
      <c r="R946">
        <v>2</v>
      </c>
      <c r="S946">
        <v>1</v>
      </c>
      <c r="T946">
        <v>2</v>
      </c>
      <c r="U946">
        <v>1</v>
      </c>
      <c r="V946" t="s">
        <v>974</v>
      </c>
      <c r="W946" t="s">
        <v>989</v>
      </c>
      <c r="X946" t="s">
        <v>997</v>
      </c>
      <c r="Y946" t="s">
        <v>1000</v>
      </c>
      <c r="Z946">
        <v>0</v>
      </c>
      <c r="AA946">
        <f t="shared" si="275"/>
        <v>0</v>
      </c>
      <c r="AB946">
        <f t="shared" si="276"/>
        <v>1</v>
      </c>
      <c r="AC946">
        <f t="shared" si="277"/>
        <v>1</v>
      </c>
      <c r="AD946">
        <f t="shared" si="278"/>
        <v>1</v>
      </c>
      <c r="AE946">
        <f t="shared" si="279"/>
        <v>1</v>
      </c>
      <c r="AF946">
        <f t="shared" si="280"/>
        <v>1</v>
      </c>
      <c r="AG946">
        <f t="shared" si="281"/>
        <v>1</v>
      </c>
      <c r="AH946">
        <f t="shared" si="282"/>
        <v>1</v>
      </c>
      <c r="AI946">
        <f t="shared" si="283"/>
        <v>1</v>
      </c>
      <c r="AJ946" s="9">
        <f t="shared" si="285"/>
        <v>28</v>
      </c>
      <c r="AK946">
        <f t="shared" si="284"/>
        <v>0</v>
      </c>
      <c r="AL946" s="9">
        <v>1</v>
      </c>
    </row>
    <row r="947" spans="1:38" x14ac:dyDescent="0.35">
      <c r="A947" s="50">
        <v>0</v>
      </c>
      <c r="B947" s="9" t="s">
        <v>106</v>
      </c>
      <c r="C947" s="53">
        <v>43889</v>
      </c>
      <c r="D947" s="53">
        <v>43906</v>
      </c>
      <c r="E947" s="53">
        <v>43969</v>
      </c>
      <c r="F947" s="21">
        <f t="shared" si="286"/>
        <v>63</v>
      </c>
      <c r="G947" s="53">
        <v>43906</v>
      </c>
      <c r="H947" s="9">
        <v>2020</v>
      </c>
      <c r="I947" s="50">
        <v>0</v>
      </c>
      <c r="J947" s="9">
        <v>1</v>
      </c>
      <c r="K947" s="9">
        <v>11</v>
      </c>
      <c r="L947" s="50" t="s">
        <v>676</v>
      </c>
      <c r="M947">
        <v>2</v>
      </c>
      <c r="N947">
        <v>2</v>
      </c>
      <c r="O947">
        <v>-2</v>
      </c>
      <c r="P947">
        <v>2</v>
      </c>
      <c r="Q947">
        <v>-2</v>
      </c>
      <c r="R947">
        <v>2</v>
      </c>
      <c r="S947">
        <v>-2</v>
      </c>
      <c r="T947">
        <v>2</v>
      </c>
      <c r="U947">
        <v>1</v>
      </c>
      <c r="V947" t="s">
        <v>974</v>
      </c>
      <c r="W947" t="s">
        <v>989</v>
      </c>
      <c r="X947" t="s">
        <v>997</v>
      </c>
      <c r="Y947" t="s">
        <v>1000</v>
      </c>
      <c r="Z947">
        <v>0</v>
      </c>
      <c r="AA947">
        <f t="shared" si="275"/>
        <v>1</v>
      </c>
      <c r="AB947">
        <f t="shared" si="276"/>
        <v>1</v>
      </c>
      <c r="AC947">
        <f t="shared" si="277"/>
        <v>0</v>
      </c>
      <c r="AD947">
        <f t="shared" si="278"/>
        <v>1</v>
      </c>
      <c r="AE947">
        <f t="shared" si="279"/>
        <v>0</v>
      </c>
      <c r="AF947">
        <f t="shared" si="280"/>
        <v>1</v>
      </c>
      <c r="AG947">
        <f t="shared" si="281"/>
        <v>0</v>
      </c>
      <c r="AH947">
        <f t="shared" si="282"/>
        <v>1</v>
      </c>
      <c r="AI947">
        <f t="shared" si="283"/>
        <v>1</v>
      </c>
      <c r="AJ947" s="9">
        <f t="shared" si="285"/>
        <v>11</v>
      </c>
      <c r="AK947" t="e">
        <f>IF(B947&lt;&gt;#REF!,1,0)</f>
        <v>#REF!</v>
      </c>
      <c r="AL947" s="9">
        <v>1</v>
      </c>
    </row>
    <row r="948" spans="1:38" x14ac:dyDescent="0.35">
      <c r="A948" s="50">
        <v>0</v>
      </c>
      <c r="B948" s="9" t="s">
        <v>106</v>
      </c>
      <c r="C948" s="53">
        <v>43889</v>
      </c>
      <c r="D948" s="53">
        <v>43906</v>
      </c>
      <c r="E948" s="53">
        <v>43969</v>
      </c>
      <c r="F948" s="21">
        <f t="shared" si="286"/>
        <v>63</v>
      </c>
      <c r="G948" s="53">
        <v>43906</v>
      </c>
      <c r="H948" s="9">
        <v>2020</v>
      </c>
      <c r="I948" s="50">
        <v>0</v>
      </c>
      <c r="J948" s="9">
        <v>6</v>
      </c>
      <c r="K948" s="9">
        <v>29</v>
      </c>
      <c r="L948" s="50" t="s">
        <v>679</v>
      </c>
      <c r="M948">
        <v>1</v>
      </c>
      <c r="N948">
        <v>1</v>
      </c>
      <c r="O948">
        <v>2</v>
      </c>
      <c r="P948">
        <v>-1</v>
      </c>
      <c r="Q948">
        <v>-2</v>
      </c>
      <c r="R948">
        <v>2</v>
      </c>
      <c r="S948">
        <v>1</v>
      </c>
      <c r="T948">
        <v>2</v>
      </c>
      <c r="U948">
        <v>1</v>
      </c>
      <c r="V948" t="s">
        <v>974</v>
      </c>
      <c r="W948" t="s">
        <v>989</v>
      </c>
      <c r="X948" t="s">
        <v>997</v>
      </c>
      <c r="Y948" t="s">
        <v>1000</v>
      </c>
      <c r="Z948">
        <v>0</v>
      </c>
      <c r="AA948">
        <f t="shared" si="275"/>
        <v>1</v>
      </c>
      <c r="AB948">
        <f t="shared" si="276"/>
        <v>1</v>
      </c>
      <c r="AC948">
        <f t="shared" si="277"/>
        <v>1</v>
      </c>
      <c r="AD948">
        <f t="shared" si="278"/>
        <v>0</v>
      </c>
      <c r="AE948">
        <f t="shared" si="279"/>
        <v>0</v>
      </c>
      <c r="AF948">
        <f t="shared" si="280"/>
        <v>1</v>
      </c>
      <c r="AG948">
        <f t="shared" si="281"/>
        <v>1</v>
      </c>
      <c r="AH948">
        <f t="shared" si="282"/>
        <v>1</v>
      </c>
      <c r="AI948">
        <f t="shared" si="283"/>
        <v>1</v>
      </c>
      <c r="AJ948" s="9">
        <f t="shared" si="285"/>
        <v>29</v>
      </c>
      <c r="AK948">
        <f t="shared" si="284"/>
        <v>0</v>
      </c>
      <c r="AL948" s="9">
        <v>0</v>
      </c>
    </row>
    <row r="949" spans="1:38" x14ac:dyDescent="0.35">
      <c r="A949" s="50">
        <v>0</v>
      </c>
      <c r="B949" s="9" t="s">
        <v>106</v>
      </c>
      <c r="C949" s="53">
        <v>43889</v>
      </c>
      <c r="D949" s="53">
        <v>43906</v>
      </c>
      <c r="E949" s="53">
        <v>43969</v>
      </c>
      <c r="F949" s="21">
        <f t="shared" si="286"/>
        <v>63</v>
      </c>
      <c r="G949" s="53">
        <v>43906</v>
      </c>
      <c r="H949" s="9">
        <v>2020</v>
      </c>
      <c r="I949" s="50">
        <v>0</v>
      </c>
      <c r="J949" s="9">
        <v>7</v>
      </c>
      <c r="K949" s="9">
        <v>30</v>
      </c>
      <c r="L949" s="50" t="s">
        <v>680</v>
      </c>
      <c r="M949">
        <v>1</v>
      </c>
      <c r="N949">
        <v>1</v>
      </c>
      <c r="O949">
        <v>2</v>
      </c>
      <c r="P949">
        <v>1</v>
      </c>
      <c r="Q949">
        <v>2</v>
      </c>
      <c r="R949">
        <v>2</v>
      </c>
      <c r="S949">
        <v>1</v>
      </c>
      <c r="T949">
        <v>2</v>
      </c>
      <c r="U949">
        <v>1</v>
      </c>
      <c r="V949" t="s">
        <v>974</v>
      </c>
      <c r="W949" t="s">
        <v>989</v>
      </c>
      <c r="X949" t="s">
        <v>997</v>
      </c>
      <c r="Y949" t="s">
        <v>1000</v>
      </c>
      <c r="Z949">
        <v>0</v>
      </c>
      <c r="AA949">
        <f t="shared" si="275"/>
        <v>1</v>
      </c>
      <c r="AB949">
        <f t="shared" si="276"/>
        <v>1</v>
      </c>
      <c r="AC949">
        <f t="shared" si="277"/>
        <v>1</v>
      </c>
      <c r="AD949">
        <f t="shared" si="278"/>
        <v>1</v>
      </c>
      <c r="AE949">
        <f t="shared" si="279"/>
        <v>1</v>
      </c>
      <c r="AF949">
        <f t="shared" si="280"/>
        <v>1</v>
      </c>
      <c r="AG949">
        <f t="shared" si="281"/>
        <v>1</v>
      </c>
      <c r="AH949">
        <f t="shared" si="282"/>
        <v>1</v>
      </c>
      <c r="AI949">
        <f t="shared" si="283"/>
        <v>1</v>
      </c>
      <c r="AJ949" s="9">
        <f t="shared" si="285"/>
        <v>30</v>
      </c>
      <c r="AK949">
        <f t="shared" si="284"/>
        <v>0</v>
      </c>
      <c r="AL949" s="9">
        <v>0</v>
      </c>
    </row>
    <row r="950" spans="1:38" x14ac:dyDescent="0.35">
      <c r="A950" s="50">
        <v>0</v>
      </c>
      <c r="B950" s="50" t="s">
        <v>106</v>
      </c>
      <c r="C950" s="53">
        <v>43889</v>
      </c>
      <c r="D950" s="53">
        <v>43906</v>
      </c>
      <c r="E950" s="53">
        <v>43969</v>
      </c>
      <c r="F950" s="21">
        <f t="shared" si="286"/>
        <v>63</v>
      </c>
      <c r="G950" s="53">
        <v>43906</v>
      </c>
      <c r="H950" s="9">
        <v>2020</v>
      </c>
      <c r="I950" s="50">
        <v>0</v>
      </c>
      <c r="J950" s="50">
        <v>7</v>
      </c>
      <c r="K950" s="50">
        <v>30</v>
      </c>
      <c r="L950" s="24" t="s">
        <v>1810</v>
      </c>
      <c r="M950" s="24"/>
      <c r="V950" t="s">
        <v>974</v>
      </c>
      <c r="W950" t="s">
        <v>989</v>
      </c>
      <c r="X950" t="s">
        <v>997</v>
      </c>
      <c r="Y950" t="s">
        <v>1000</v>
      </c>
      <c r="Z950">
        <v>0</v>
      </c>
      <c r="AA950">
        <v>-1</v>
      </c>
      <c r="AB950">
        <v>-1</v>
      </c>
      <c r="AC950">
        <v>-1</v>
      </c>
      <c r="AD950">
        <v>-1</v>
      </c>
      <c r="AE950">
        <v>-1</v>
      </c>
      <c r="AF950">
        <v>-1</v>
      </c>
      <c r="AG950">
        <v>-1</v>
      </c>
      <c r="AH950">
        <v>-1</v>
      </c>
      <c r="AI950">
        <v>-1</v>
      </c>
      <c r="AJ950" s="9">
        <f t="shared" si="285"/>
        <v>30</v>
      </c>
      <c r="AK950">
        <f t="shared" si="284"/>
        <v>0</v>
      </c>
      <c r="AL950" s="9">
        <v>0</v>
      </c>
    </row>
    <row r="951" spans="1:38" x14ac:dyDescent="0.35">
      <c r="A951" s="50">
        <v>0</v>
      </c>
      <c r="B951" s="50" t="s">
        <v>106</v>
      </c>
      <c r="C951" s="53">
        <v>43889</v>
      </c>
      <c r="D951" s="53">
        <v>43906</v>
      </c>
      <c r="E951" s="53">
        <v>43969</v>
      </c>
      <c r="F951" s="21">
        <f t="shared" si="286"/>
        <v>63</v>
      </c>
      <c r="G951" s="53">
        <v>43906</v>
      </c>
      <c r="H951" s="9">
        <v>2020</v>
      </c>
      <c r="I951" s="50">
        <v>0</v>
      </c>
      <c r="J951" s="50">
        <v>6</v>
      </c>
      <c r="K951" s="50">
        <v>28</v>
      </c>
      <c r="L951" s="24" t="s">
        <v>1811</v>
      </c>
      <c r="M951" s="24"/>
      <c r="V951" t="s">
        <v>974</v>
      </c>
      <c r="W951" t="s">
        <v>989</v>
      </c>
      <c r="X951" t="s">
        <v>997</v>
      </c>
      <c r="Y951" t="s">
        <v>1000</v>
      </c>
      <c r="Z951">
        <v>0</v>
      </c>
      <c r="AA951">
        <v>-1</v>
      </c>
      <c r="AB951">
        <v>-1</v>
      </c>
      <c r="AC951">
        <v>-1</v>
      </c>
      <c r="AD951">
        <v>-1</v>
      </c>
      <c r="AE951">
        <v>-1</v>
      </c>
      <c r="AF951">
        <v>-1</v>
      </c>
      <c r="AG951">
        <v>-1</v>
      </c>
      <c r="AH951">
        <v>-1</v>
      </c>
      <c r="AI951">
        <v>-1</v>
      </c>
      <c r="AJ951" s="9">
        <f t="shared" si="285"/>
        <v>28</v>
      </c>
      <c r="AK951">
        <f t="shared" si="284"/>
        <v>0</v>
      </c>
      <c r="AL951" s="9">
        <v>0</v>
      </c>
    </row>
    <row r="952" spans="1:38" x14ac:dyDescent="0.35">
      <c r="A952" s="50">
        <v>0</v>
      </c>
      <c r="B952" s="50" t="s">
        <v>106</v>
      </c>
      <c r="C952" s="53">
        <v>43889</v>
      </c>
      <c r="D952" s="53">
        <v>43906</v>
      </c>
      <c r="E952" s="53">
        <v>43969</v>
      </c>
      <c r="F952" s="21">
        <f t="shared" si="286"/>
        <v>63</v>
      </c>
      <c r="G952" s="53">
        <v>43906</v>
      </c>
      <c r="H952" s="9">
        <v>2020</v>
      </c>
      <c r="I952" s="50">
        <v>0</v>
      </c>
      <c r="J952" s="50">
        <v>6</v>
      </c>
      <c r="K952" s="50">
        <v>27</v>
      </c>
      <c r="L952" s="24" t="s">
        <v>1812</v>
      </c>
      <c r="M952" s="24"/>
      <c r="V952" t="s">
        <v>974</v>
      </c>
      <c r="W952" t="s">
        <v>989</v>
      </c>
      <c r="X952" t="s">
        <v>997</v>
      </c>
      <c r="Y952" t="s">
        <v>1000</v>
      </c>
      <c r="Z952">
        <v>0</v>
      </c>
      <c r="AA952">
        <v>-1</v>
      </c>
      <c r="AB952">
        <v>-1</v>
      </c>
      <c r="AC952">
        <v>-1</v>
      </c>
      <c r="AD952">
        <v>-1</v>
      </c>
      <c r="AE952">
        <v>-1</v>
      </c>
      <c r="AF952">
        <v>-1</v>
      </c>
      <c r="AG952">
        <v>-1</v>
      </c>
      <c r="AH952">
        <v>-1</v>
      </c>
      <c r="AI952">
        <v>-1</v>
      </c>
      <c r="AJ952" s="9">
        <f t="shared" si="285"/>
        <v>27</v>
      </c>
      <c r="AK952">
        <f t="shared" si="284"/>
        <v>0</v>
      </c>
      <c r="AL952" s="9">
        <v>0</v>
      </c>
    </row>
    <row r="953" spans="1:38" x14ac:dyDescent="0.35">
      <c r="A953" s="50">
        <v>0</v>
      </c>
      <c r="B953" s="50" t="s">
        <v>106</v>
      </c>
      <c r="C953" s="53">
        <v>43889</v>
      </c>
      <c r="D953" s="53">
        <v>43906</v>
      </c>
      <c r="E953" s="53">
        <v>43969</v>
      </c>
      <c r="F953" s="21">
        <f t="shared" si="286"/>
        <v>63</v>
      </c>
      <c r="G953" s="53">
        <v>43906</v>
      </c>
      <c r="H953" s="9">
        <v>2020</v>
      </c>
      <c r="I953" s="50">
        <v>0</v>
      </c>
      <c r="J953" s="50">
        <v>6</v>
      </c>
      <c r="K953" s="50">
        <v>26</v>
      </c>
      <c r="L953" s="24" t="s">
        <v>1813</v>
      </c>
      <c r="M953" s="24"/>
      <c r="V953" t="s">
        <v>974</v>
      </c>
      <c r="W953" t="s">
        <v>989</v>
      </c>
      <c r="X953" t="s">
        <v>997</v>
      </c>
      <c r="Y953" t="s">
        <v>1000</v>
      </c>
      <c r="Z953">
        <v>0</v>
      </c>
      <c r="AA953">
        <v>-1</v>
      </c>
      <c r="AB953">
        <v>-1</v>
      </c>
      <c r="AC953">
        <v>-1</v>
      </c>
      <c r="AD953">
        <v>-1</v>
      </c>
      <c r="AE953">
        <v>-1</v>
      </c>
      <c r="AF953">
        <v>-1</v>
      </c>
      <c r="AG953">
        <v>-1</v>
      </c>
      <c r="AH953">
        <v>-1</v>
      </c>
      <c r="AI953">
        <v>-1</v>
      </c>
      <c r="AJ953" s="9">
        <f t="shared" si="285"/>
        <v>26</v>
      </c>
      <c r="AK953">
        <f t="shared" si="284"/>
        <v>0</v>
      </c>
      <c r="AL953" s="9">
        <v>0</v>
      </c>
    </row>
    <row r="954" spans="1:38" x14ac:dyDescent="0.35">
      <c r="A954" s="50">
        <v>0</v>
      </c>
      <c r="B954" s="50" t="s">
        <v>106</v>
      </c>
      <c r="C954" s="53">
        <v>43889</v>
      </c>
      <c r="D954" s="53">
        <v>43906</v>
      </c>
      <c r="E954" s="53">
        <v>43969</v>
      </c>
      <c r="F954" s="21">
        <f t="shared" si="286"/>
        <v>63</v>
      </c>
      <c r="G954" s="53">
        <v>43906</v>
      </c>
      <c r="H954" s="9">
        <v>2020</v>
      </c>
      <c r="I954" s="50">
        <v>0</v>
      </c>
      <c r="J954" s="50">
        <v>6</v>
      </c>
      <c r="K954" s="50">
        <v>27</v>
      </c>
      <c r="L954" s="24" t="s">
        <v>1814</v>
      </c>
      <c r="M954" s="24"/>
      <c r="V954" t="s">
        <v>974</v>
      </c>
      <c r="W954" t="s">
        <v>989</v>
      </c>
      <c r="X954" t="s">
        <v>997</v>
      </c>
      <c r="Y954" t="s">
        <v>1000</v>
      </c>
      <c r="Z954">
        <v>0</v>
      </c>
      <c r="AA954">
        <v>-1</v>
      </c>
      <c r="AB954">
        <v>-1</v>
      </c>
      <c r="AC954">
        <v>-1</v>
      </c>
      <c r="AD954">
        <v>-1</v>
      </c>
      <c r="AE954">
        <v>-1</v>
      </c>
      <c r="AF954">
        <v>-1</v>
      </c>
      <c r="AG954">
        <v>-1</v>
      </c>
      <c r="AH954">
        <v>-1</v>
      </c>
      <c r="AI954">
        <v>-1</v>
      </c>
      <c r="AJ954" s="9">
        <f t="shared" si="285"/>
        <v>27</v>
      </c>
      <c r="AK954">
        <f t="shared" si="284"/>
        <v>0</v>
      </c>
      <c r="AL954" s="9">
        <v>0</v>
      </c>
    </row>
    <row r="955" spans="1:38" x14ac:dyDescent="0.35">
      <c r="A955" s="50">
        <v>0</v>
      </c>
      <c r="B955" s="50" t="s">
        <v>106</v>
      </c>
      <c r="C955" s="53">
        <v>43889</v>
      </c>
      <c r="D955" s="53">
        <v>43906</v>
      </c>
      <c r="E955" s="53">
        <v>43969</v>
      </c>
      <c r="F955" s="21">
        <f t="shared" si="286"/>
        <v>63</v>
      </c>
      <c r="G955" s="53">
        <v>43906</v>
      </c>
      <c r="H955" s="9">
        <v>2020</v>
      </c>
      <c r="I955" s="50">
        <v>0</v>
      </c>
      <c r="J955" s="50">
        <v>4</v>
      </c>
      <c r="K955" s="50" t="s">
        <v>201</v>
      </c>
      <c r="L955" s="24" t="s">
        <v>1492</v>
      </c>
      <c r="M955" s="24"/>
      <c r="V955" t="s">
        <v>974</v>
      </c>
      <c r="W955" t="s">
        <v>989</v>
      </c>
      <c r="X955" t="s">
        <v>997</v>
      </c>
      <c r="Y955" t="s">
        <v>1000</v>
      </c>
      <c r="Z955">
        <v>0</v>
      </c>
      <c r="AA955">
        <v>-1</v>
      </c>
      <c r="AB955">
        <v>-1</v>
      </c>
      <c r="AC955">
        <v>-1</v>
      </c>
      <c r="AD955">
        <v>-1</v>
      </c>
      <c r="AE955">
        <v>-1</v>
      </c>
      <c r="AF955">
        <v>-1</v>
      </c>
      <c r="AG955">
        <v>-1</v>
      </c>
      <c r="AH955">
        <v>-1</v>
      </c>
      <c r="AI955">
        <v>-1</v>
      </c>
      <c r="AJ955" s="9" t="str">
        <f t="shared" si="285"/>
        <v>Other</v>
      </c>
      <c r="AK955">
        <f t="shared" si="284"/>
        <v>0</v>
      </c>
      <c r="AL955" s="9">
        <v>0</v>
      </c>
    </row>
    <row r="956" spans="1:38" x14ac:dyDescent="0.35">
      <c r="A956" s="50">
        <v>0</v>
      </c>
      <c r="B956" s="50" t="s">
        <v>106</v>
      </c>
      <c r="C956" s="53">
        <v>43889</v>
      </c>
      <c r="D956" s="53">
        <v>43906</v>
      </c>
      <c r="E956" s="53">
        <v>43969</v>
      </c>
      <c r="F956" s="21">
        <f t="shared" si="286"/>
        <v>63</v>
      </c>
      <c r="G956" s="53">
        <v>43906</v>
      </c>
      <c r="H956" s="9">
        <v>2020</v>
      </c>
      <c r="I956" s="50">
        <v>0</v>
      </c>
      <c r="J956" s="50">
        <v>9</v>
      </c>
      <c r="K956" s="50">
        <v>34</v>
      </c>
      <c r="L956" s="24" t="s">
        <v>1493</v>
      </c>
      <c r="M956" s="24"/>
      <c r="V956" t="s">
        <v>974</v>
      </c>
      <c r="W956" t="s">
        <v>989</v>
      </c>
      <c r="X956" t="s">
        <v>997</v>
      </c>
      <c r="Y956" t="s">
        <v>1000</v>
      </c>
      <c r="Z956">
        <v>0</v>
      </c>
      <c r="AA956">
        <v>-1</v>
      </c>
      <c r="AB956">
        <v>-1</v>
      </c>
      <c r="AC956">
        <v>-1</v>
      </c>
      <c r="AD956">
        <v>-1</v>
      </c>
      <c r="AE956">
        <v>-1</v>
      </c>
      <c r="AF956">
        <v>-1</v>
      </c>
      <c r="AG956">
        <v>-1</v>
      </c>
      <c r="AH956">
        <v>-1</v>
      </c>
      <c r="AI956">
        <v>-1</v>
      </c>
      <c r="AJ956" s="9">
        <f t="shared" si="285"/>
        <v>34</v>
      </c>
      <c r="AK956">
        <f t="shared" si="284"/>
        <v>0</v>
      </c>
      <c r="AL956" s="9">
        <v>0</v>
      </c>
    </row>
    <row r="957" spans="1:38" x14ac:dyDescent="0.35">
      <c r="A957" s="50">
        <v>0</v>
      </c>
      <c r="B957" s="50" t="s">
        <v>106</v>
      </c>
      <c r="C957" s="53">
        <v>43889</v>
      </c>
      <c r="D957" s="53">
        <v>43906</v>
      </c>
      <c r="E957" s="53">
        <v>43969</v>
      </c>
      <c r="F957" s="21">
        <f t="shared" si="286"/>
        <v>63</v>
      </c>
      <c r="G957" s="53">
        <v>43906</v>
      </c>
      <c r="H957" s="9">
        <v>2020</v>
      </c>
      <c r="I957" s="50">
        <v>0</v>
      </c>
      <c r="J957" s="50">
        <v>9</v>
      </c>
      <c r="K957" s="50">
        <v>34</v>
      </c>
      <c r="L957" s="24" t="s">
        <v>1494</v>
      </c>
      <c r="M957" s="24"/>
      <c r="V957" t="s">
        <v>974</v>
      </c>
      <c r="W957" t="s">
        <v>989</v>
      </c>
      <c r="X957" t="s">
        <v>997</v>
      </c>
      <c r="Y957" t="s">
        <v>1000</v>
      </c>
      <c r="Z957">
        <v>0</v>
      </c>
      <c r="AA957">
        <v>-1</v>
      </c>
      <c r="AB957">
        <v>-1</v>
      </c>
      <c r="AC957">
        <v>-1</v>
      </c>
      <c r="AD957">
        <v>-1</v>
      </c>
      <c r="AE957">
        <v>-1</v>
      </c>
      <c r="AF957">
        <v>-1</v>
      </c>
      <c r="AG957">
        <v>-1</v>
      </c>
      <c r="AH957">
        <v>-1</v>
      </c>
      <c r="AI957">
        <v>-1</v>
      </c>
      <c r="AJ957" s="9">
        <f t="shared" si="285"/>
        <v>34</v>
      </c>
      <c r="AK957">
        <f t="shared" si="284"/>
        <v>0</v>
      </c>
      <c r="AL957" s="9">
        <v>1</v>
      </c>
    </row>
    <row r="958" spans="1:38" x14ac:dyDescent="0.35">
      <c r="A958" s="50">
        <v>0</v>
      </c>
      <c r="B958" s="50" t="s">
        <v>106</v>
      </c>
      <c r="C958" s="53">
        <v>43889</v>
      </c>
      <c r="D958" s="53">
        <v>43906</v>
      </c>
      <c r="E958" s="53">
        <v>43969</v>
      </c>
      <c r="F958" s="21">
        <f t="shared" si="286"/>
        <v>63</v>
      </c>
      <c r="G958" s="53">
        <v>43906</v>
      </c>
      <c r="H958" s="9">
        <v>2020</v>
      </c>
      <c r="I958" s="50">
        <v>0</v>
      </c>
      <c r="J958" s="50">
        <v>9</v>
      </c>
      <c r="K958" s="50">
        <v>34</v>
      </c>
      <c r="L958" s="24" t="s">
        <v>1495</v>
      </c>
      <c r="M958" s="24"/>
      <c r="V958" t="s">
        <v>974</v>
      </c>
      <c r="W958" t="s">
        <v>989</v>
      </c>
      <c r="X958" t="s">
        <v>997</v>
      </c>
      <c r="Y958" t="s">
        <v>1000</v>
      </c>
      <c r="Z958">
        <v>0</v>
      </c>
      <c r="AA958">
        <v>-1</v>
      </c>
      <c r="AB958">
        <v>-1</v>
      </c>
      <c r="AC958">
        <v>-1</v>
      </c>
      <c r="AD958">
        <v>-1</v>
      </c>
      <c r="AE958">
        <v>-1</v>
      </c>
      <c r="AF958">
        <v>-1</v>
      </c>
      <c r="AG958">
        <v>-1</v>
      </c>
      <c r="AH958">
        <v>-1</v>
      </c>
      <c r="AI958">
        <v>-1</v>
      </c>
      <c r="AJ958" s="9">
        <f t="shared" si="285"/>
        <v>34</v>
      </c>
      <c r="AK958">
        <f t="shared" si="284"/>
        <v>0</v>
      </c>
      <c r="AL958" s="9">
        <v>1</v>
      </c>
    </row>
    <row r="959" spans="1:38" s="52" customFormat="1" x14ac:dyDescent="0.35">
      <c r="A959" s="50">
        <v>0</v>
      </c>
      <c r="B959" s="50" t="s">
        <v>106</v>
      </c>
      <c r="C959" s="53">
        <v>43889</v>
      </c>
      <c r="D959" s="53">
        <v>43906</v>
      </c>
      <c r="E959" s="53">
        <v>43969</v>
      </c>
      <c r="F959" s="21">
        <f t="shared" ref="F959" si="287">DATEDIF(D959,E959,"D")</f>
        <v>63</v>
      </c>
      <c r="G959" s="53">
        <v>43906</v>
      </c>
      <c r="H959" s="9">
        <v>2021</v>
      </c>
      <c r="I959" s="50">
        <v>0</v>
      </c>
      <c r="J959" s="50">
        <v>5</v>
      </c>
      <c r="K959" s="50">
        <v>22</v>
      </c>
      <c r="L959" s="51" t="s">
        <v>1815</v>
      </c>
      <c r="M959" s="51"/>
      <c r="AJ959" s="52">
        <f t="shared" si="285"/>
        <v>22</v>
      </c>
    </row>
    <row r="960" spans="1:38" s="47" customFormat="1" x14ac:dyDescent="0.35">
      <c r="A960" s="50">
        <v>0</v>
      </c>
      <c r="B960" s="50" t="s">
        <v>106</v>
      </c>
      <c r="C960" s="53">
        <v>43889</v>
      </c>
      <c r="D960" s="53">
        <v>43906</v>
      </c>
      <c r="E960" s="53">
        <v>43969</v>
      </c>
      <c r="F960" s="21">
        <f t="shared" ref="F960:F968" si="288">DATEDIF(D960,E960,"D")</f>
        <v>63</v>
      </c>
      <c r="G960" s="53">
        <v>43906</v>
      </c>
      <c r="H960" s="9">
        <v>2021</v>
      </c>
      <c r="I960" s="50">
        <v>0</v>
      </c>
      <c r="J960" s="50">
        <v>9</v>
      </c>
      <c r="K960" s="50">
        <v>34</v>
      </c>
      <c r="L960" s="48" t="s">
        <v>2017</v>
      </c>
      <c r="M960" s="48"/>
      <c r="AJ960" s="47">
        <f t="shared" si="285"/>
        <v>34</v>
      </c>
    </row>
    <row r="961" spans="1:38" s="47" customFormat="1" x14ac:dyDescent="0.35">
      <c r="A961" s="50">
        <v>0</v>
      </c>
      <c r="B961" s="50" t="s">
        <v>106</v>
      </c>
      <c r="C961" s="53">
        <v>43889</v>
      </c>
      <c r="D961" s="53">
        <v>43906</v>
      </c>
      <c r="E961" s="53">
        <v>43969</v>
      </c>
      <c r="F961" s="21">
        <f t="shared" si="288"/>
        <v>63</v>
      </c>
      <c r="G961" s="53">
        <v>43906</v>
      </c>
      <c r="H961" s="9">
        <v>2021</v>
      </c>
      <c r="I961" s="50">
        <v>0</v>
      </c>
      <c r="J961" s="50">
        <v>6</v>
      </c>
      <c r="K961" s="50">
        <v>29</v>
      </c>
      <c r="L961" s="48" t="s">
        <v>2018</v>
      </c>
      <c r="M961" s="48"/>
      <c r="AJ961" s="47">
        <f t="shared" si="285"/>
        <v>29</v>
      </c>
    </row>
    <row r="962" spans="1:38" s="47" customFormat="1" x14ac:dyDescent="0.35">
      <c r="A962" s="50">
        <v>0</v>
      </c>
      <c r="B962" s="50" t="s">
        <v>106</v>
      </c>
      <c r="C962" s="53">
        <v>43889</v>
      </c>
      <c r="D962" s="53">
        <v>43906</v>
      </c>
      <c r="E962" s="53">
        <v>43969</v>
      </c>
      <c r="F962" s="21">
        <f t="shared" si="288"/>
        <v>63</v>
      </c>
      <c r="G962" s="53">
        <v>43906</v>
      </c>
      <c r="H962" s="9">
        <v>2021</v>
      </c>
      <c r="I962" s="50">
        <v>0</v>
      </c>
      <c r="J962" s="50">
        <v>9</v>
      </c>
      <c r="K962" s="50">
        <v>34</v>
      </c>
      <c r="L962" s="48" t="s">
        <v>2019</v>
      </c>
      <c r="M962" s="48"/>
    </row>
    <row r="963" spans="1:38" s="47" customFormat="1" x14ac:dyDescent="0.35">
      <c r="A963" s="50">
        <v>0</v>
      </c>
      <c r="B963" s="50" t="s">
        <v>106</v>
      </c>
      <c r="C963" s="53">
        <v>43889</v>
      </c>
      <c r="D963" s="53">
        <v>43906</v>
      </c>
      <c r="E963" s="53">
        <v>43969</v>
      </c>
      <c r="F963" s="21">
        <f t="shared" si="288"/>
        <v>63</v>
      </c>
      <c r="G963" s="53">
        <v>43906</v>
      </c>
      <c r="H963" s="9">
        <v>2021</v>
      </c>
      <c r="I963" s="50">
        <v>0</v>
      </c>
      <c r="J963" s="50">
        <v>1</v>
      </c>
      <c r="K963" s="50">
        <v>6</v>
      </c>
      <c r="L963" s="48" t="s">
        <v>2020</v>
      </c>
      <c r="M963" s="48"/>
    </row>
    <row r="964" spans="1:38" s="47" customFormat="1" x14ac:dyDescent="0.35">
      <c r="A964" s="50">
        <v>0</v>
      </c>
      <c r="B964" s="50" t="s">
        <v>106</v>
      </c>
      <c r="C964" s="53">
        <v>43889</v>
      </c>
      <c r="D964" s="53">
        <v>43906</v>
      </c>
      <c r="E964" s="53">
        <v>43969</v>
      </c>
      <c r="F964" s="21">
        <f t="shared" si="288"/>
        <v>63</v>
      </c>
      <c r="G964" s="53">
        <v>43906</v>
      </c>
      <c r="H964" s="9">
        <v>2021</v>
      </c>
      <c r="I964" s="50">
        <v>0</v>
      </c>
      <c r="J964" s="50">
        <v>6</v>
      </c>
      <c r="K964" s="50">
        <v>29</v>
      </c>
      <c r="L964" s="48" t="s">
        <v>2021</v>
      </c>
      <c r="M964" s="48"/>
    </row>
    <row r="965" spans="1:38" s="47" customFormat="1" x14ac:dyDescent="0.35">
      <c r="A965" s="50">
        <v>0</v>
      </c>
      <c r="B965" s="50" t="s">
        <v>106</v>
      </c>
      <c r="C965" s="53">
        <v>43889</v>
      </c>
      <c r="D965" s="53">
        <v>43906</v>
      </c>
      <c r="E965" s="53">
        <v>43969</v>
      </c>
      <c r="F965" s="21">
        <f t="shared" si="288"/>
        <v>63</v>
      </c>
      <c r="G965" s="53">
        <v>43906</v>
      </c>
      <c r="H965" s="9">
        <v>2021</v>
      </c>
      <c r="I965" s="50">
        <v>0</v>
      </c>
      <c r="J965" s="50">
        <v>1</v>
      </c>
      <c r="K965" s="50">
        <v>7</v>
      </c>
      <c r="L965" s="48" t="s">
        <v>2023</v>
      </c>
      <c r="M965" s="48"/>
    </row>
    <row r="966" spans="1:38" s="47" customFormat="1" x14ac:dyDescent="0.35">
      <c r="A966" s="50">
        <v>0</v>
      </c>
      <c r="B966" s="50" t="s">
        <v>106</v>
      </c>
      <c r="C966" s="53">
        <v>43889</v>
      </c>
      <c r="D966" s="53">
        <v>43906</v>
      </c>
      <c r="E966" s="53">
        <v>43969</v>
      </c>
      <c r="F966" s="21">
        <f t="shared" si="288"/>
        <v>63</v>
      </c>
      <c r="G966" s="53">
        <v>43906</v>
      </c>
      <c r="H966" s="9">
        <v>2021</v>
      </c>
      <c r="I966" s="50">
        <v>0</v>
      </c>
      <c r="J966" s="50">
        <v>3</v>
      </c>
      <c r="K966" s="50" t="s">
        <v>206</v>
      </c>
      <c r="L966" s="48" t="s">
        <v>2022</v>
      </c>
      <c r="M966" s="48"/>
    </row>
    <row r="967" spans="1:38" s="47" customFormat="1" x14ac:dyDescent="0.35">
      <c r="A967" s="50">
        <v>0</v>
      </c>
      <c r="B967" s="50" t="s">
        <v>106</v>
      </c>
      <c r="C967" s="53">
        <v>43889</v>
      </c>
      <c r="D967" s="53">
        <v>43906</v>
      </c>
      <c r="E967" s="53">
        <v>43969</v>
      </c>
      <c r="F967" s="21">
        <f t="shared" si="288"/>
        <v>63</v>
      </c>
      <c r="G967" s="53">
        <v>43906</v>
      </c>
      <c r="H967" s="9">
        <v>2021</v>
      </c>
      <c r="I967" s="50">
        <v>0</v>
      </c>
      <c r="J967" s="50">
        <v>9</v>
      </c>
      <c r="K967" s="50">
        <v>34</v>
      </c>
      <c r="L967" s="48" t="s">
        <v>2024</v>
      </c>
      <c r="M967" s="48"/>
    </row>
    <row r="968" spans="1:38" s="47" customFormat="1" x14ac:dyDescent="0.35">
      <c r="A968" s="50">
        <v>0</v>
      </c>
      <c r="B968" s="50" t="s">
        <v>106</v>
      </c>
      <c r="C968" s="53">
        <v>43889</v>
      </c>
      <c r="D968" s="53">
        <v>43906</v>
      </c>
      <c r="E968" s="53">
        <v>43969</v>
      </c>
      <c r="F968" s="21">
        <f t="shared" si="288"/>
        <v>63</v>
      </c>
      <c r="G968" s="53">
        <v>43906</v>
      </c>
      <c r="H968" s="9">
        <v>2021</v>
      </c>
      <c r="I968" s="50">
        <v>0</v>
      </c>
      <c r="J968" s="50">
        <v>7</v>
      </c>
      <c r="K968" s="50">
        <v>30</v>
      </c>
      <c r="L968" s="48" t="s">
        <v>2025</v>
      </c>
      <c r="M968" s="48"/>
    </row>
    <row r="969" spans="1:38" x14ac:dyDescent="0.35">
      <c r="A969" s="50">
        <v>0</v>
      </c>
      <c r="B969" s="9" t="s">
        <v>107</v>
      </c>
      <c r="C969" s="53">
        <v>43890</v>
      </c>
      <c r="D969" s="53">
        <v>43906</v>
      </c>
      <c r="E969" s="53">
        <v>43980</v>
      </c>
      <c r="F969" s="21">
        <f t="shared" si="286"/>
        <v>74</v>
      </c>
      <c r="G969" s="53">
        <v>43906</v>
      </c>
      <c r="H969" s="9">
        <v>2020</v>
      </c>
      <c r="I969" s="50">
        <v>0</v>
      </c>
      <c r="J969" s="9">
        <v>1</v>
      </c>
      <c r="K969" s="9">
        <v>6</v>
      </c>
      <c r="L969" s="50" t="s">
        <v>697</v>
      </c>
      <c r="M969">
        <v>-2</v>
      </c>
      <c r="N969">
        <v>2</v>
      </c>
      <c r="O969">
        <v>2</v>
      </c>
      <c r="P969">
        <v>2</v>
      </c>
      <c r="Q969">
        <v>2</v>
      </c>
      <c r="R969">
        <v>2</v>
      </c>
      <c r="S969">
        <v>1</v>
      </c>
      <c r="T969">
        <v>2</v>
      </c>
      <c r="U969">
        <v>1</v>
      </c>
      <c r="V969" t="s">
        <v>975</v>
      </c>
      <c r="W969" t="s">
        <v>989</v>
      </c>
      <c r="X969" t="s">
        <v>997</v>
      </c>
      <c r="Y969" t="s">
        <v>1000</v>
      </c>
      <c r="Z969">
        <v>0</v>
      </c>
      <c r="AA969">
        <f t="shared" ref="AA969:AA985" si="289">IF(M969&gt;0,1,IF(M969&lt;0,0,-1))</f>
        <v>0</v>
      </c>
      <c r="AB969">
        <f t="shared" ref="AB969:AB985" si="290">IF(N969&gt;0,1,IF(N969&lt;0,0,-1))</f>
        <v>1</v>
      </c>
      <c r="AC969">
        <f t="shared" ref="AC969:AC985" si="291">IF(O969&gt;0,1,IF(O969&lt;0,0,-1))</f>
        <v>1</v>
      </c>
      <c r="AD969">
        <f t="shared" ref="AD969:AD985" si="292">IF(P969&gt;0,1,IF(P969&lt;0,0,-1))</f>
        <v>1</v>
      </c>
      <c r="AE969">
        <f t="shared" ref="AE969:AE985" si="293">IF(Q969&gt;0,1,IF(Q969&lt;0,0,-1))</f>
        <v>1</v>
      </c>
      <c r="AF969">
        <f t="shared" ref="AF969:AF985" si="294">IF(R969&gt;0,1,IF(R969&lt;0,0,-1))</f>
        <v>1</v>
      </c>
      <c r="AG969">
        <f t="shared" ref="AG969:AG985" si="295">IF(S969&gt;0,1,IF(S969&lt;0,0,-1))</f>
        <v>1</v>
      </c>
      <c r="AH969">
        <f t="shared" ref="AH969:AH985" si="296">IF(T969&gt;0,1,IF(T969&lt;0,0,-1))</f>
        <v>1</v>
      </c>
      <c r="AI969">
        <f t="shared" ref="AI969:AI985" si="297">IF(U969&gt;0,1,IF(U969&lt;0,0,-1))</f>
        <v>1</v>
      </c>
      <c r="AJ969" s="9">
        <f t="shared" si="285"/>
        <v>6</v>
      </c>
      <c r="AK969">
        <f>IF(B969&lt;&gt;B958,1,0)</f>
        <v>1</v>
      </c>
      <c r="AL969" s="9">
        <v>1</v>
      </c>
    </row>
    <row r="970" spans="1:38" x14ac:dyDescent="0.35">
      <c r="A970" s="50">
        <v>0</v>
      </c>
      <c r="B970" s="9" t="s">
        <v>107</v>
      </c>
      <c r="C970" s="53">
        <v>43890</v>
      </c>
      <c r="D970" s="53">
        <v>43906</v>
      </c>
      <c r="E970" s="53">
        <v>43980</v>
      </c>
      <c r="F970" s="21">
        <f t="shared" si="286"/>
        <v>74</v>
      </c>
      <c r="G970" s="53">
        <v>43906</v>
      </c>
      <c r="H970" s="9">
        <v>2020</v>
      </c>
      <c r="I970" s="50">
        <v>0</v>
      </c>
      <c r="J970" s="9">
        <v>7</v>
      </c>
      <c r="K970" s="9">
        <v>30</v>
      </c>
      <c r="L970" s="50" t="s">
        <v>691</v>
      </c>
      <c r="M970">
        <v>-2</v>
      </c>
      <c r="N970">
        <v>1</v>
      </c>
      <c r="O970">
        <v>-2</v>
      </c>
      <c r="P970">
        <v>1</v>
      </c>
      <c r="Q970">
        <v>2</v>
      </c>
      <c r="R970">
        <v>2</v>
      </c>
      <c r="S970">
        <v>1</v>
      </c>
      <c r="T970">
        <v>-2</v>
      </c>
      <c r="U970">
        <v>1</v>
      </c>
      <c r="V970" t="s">
        <v>975</v>
      </c>
      <c r="W970" t="s">
        <v>989</v>
      </c>
      <c r="X970" t="s">
        <v>997</v>
      </c>
      <c r="Y970" t="s">
        <v>1000</v>
      </c>
      <c r="Z970">
        <v>0</v>
      </c>
      <c r="AA970">
        <f t="shared" si="289"/>
        <v>0</v>
      </c>
      <c r="AB970">
        <f t="shared" si="290"/>
        <v>1</v>
      </c>
      <c r="AC970">
        <f t="shared" si="291"/>
        <v>0</v>
      </c>
      <c r="AD970">
        <f t="shared" si="292"/>
        <v>1</v>
      </c>
      <c r="AE970">
        <f t="shared" si="293"/>
        <v>1</v>
      </c>
      <c r="AF970">
        <f t="shared" si="294"/>
        <v>1</v>
      </c>
      <c r="AG970">
        <f t="shared" si="295"/>
        <v>1</v>
      </c>
      <c r="AH970">
        <f t="shared" si="296"/>
        <v>0</v>
      </c>
      <c r="AI970">
        <f t="shared" si="297"/>
        <v>1</v>
      </c>
      <c r="AJ970" s="9">
        <f t="shared" si="285"/>
        <v>30</v>
      </c>
      <c r="AK970">
        <f t="shared" si="284"/>
        <v>0</v>
      </c>
      <c r="AL970" s="9">
        <v>1</v>
      </c>
    </row>
    <row r="971" spans="1:38" x14ac:dyDescent="0.35">
      <c r="A971" s="50">
        <v>0</v>
      </c>
      <c r="B971" s="9" t="s">
        <v>107</v>
      </c>
      <c r="C971" s="53">
        <v>43890</v>
      </c>
      <c r="D971" s="53">
        <v>43906</v>
      </c>
      <c r="E971" s="53">
        <v>43980</v>
      </c>
      <c r="F971" s="21">
        <f t="shared" si="286"/>
        <v>74</v>
      </c>
      <c r="G971" s="53">
        <v>43906</v>
      </c>
      <c r="H971" s="9">
        <v>2020</v>
      </c>
      <c r="I971" s="50">
        <v>0</v>
      </c>
      <c r="J971" s="9">
        <v>1</v>
      </c>
      <c r="K971" s="9">
        <v>6</v>
      </c>
      <c r="L971" s="50" t="s">
        <v>683</v>
      </c>
      <c r="M971">
        <v>2</v>
      </c>
      <c r="N971">
        <v>2</v>
      </c>
      <c r="O971">
        <v>2</v>
      </c>
      <c r="P971">
        <v>2</v>
      </c>
      <c r="Q971">
        <v>2</v>
      </c>
      <c r="R971">
        <v>2</v>
      </c>
      <c r="S971">
        <v>1</v>
      </c>
      <c r="T971">
        <v>2</v>
      </c>
      <c r="U971">
        <v>1</v>
      </c>
      <c r="V971" t="s">
        <v>975</v>
      </c>
      <c r="W971" t="s">
        <v>989</v>
      </c>
      <c r="X971" t="s">
        <v>997</v>
      </c>
      <c r="Y971" t="s">
        <v>1000</v>
      </c>
      <c r="Z971">
        <v>0</v>
      </c>
      <c r="AA971">
        <f t="shared" si="289"/>
        <v>1</v>
      </c>
      <c r="AB971">
        <f t="shared" si="290"/>
        <v>1</v>
      </c>
      <c r="AC971">
        <f t="shared" si="291"/>
        <v>1</v>
      </c>
      <c r="AD971">
        <f t="shared" si="292"/>
        <v>1</v>
      </c>
      <c r="AE971">
        <f t="shared" si="293"/>
        <v>1</v>
      </c>
      <c r="AF971">
        <f t="shared" si="294"/>
        <v>1</v>
      </c>
      <c r="AG971">
        <f t="shared" si="295"/>
        <v>1</v>
      </c>
      <c r="AH971">
        <f t="shared" si="296"/>
        <v>1</v>
      </c>
      <c r="AI971">
        <f t="shared" si="297"/>
        <v>1</v>
      </c>
      <c r="AJ971" s="9">
        <f t="shared" si="285"/>
        <v>6</v>
      </c>
      <c r="AK971">
        <f t="shared" si="284"/>
        <v>0</v>
      </c>
      <c r="AL971" s="9">
        <v>1</v>
      </c>
    </row>
    <row r="972" spans="1:38" x14ac:dyDescent="0.35">
      <c r="A972" s="50">
        <v>0</v>
      </c>
      <c r="B972" s="9" t="s">
        <v>107</v>
      </c>
      <c r="C972" s="53">
        <v>43890</v>
      </c>
      <c r="D972" s="53">
        <v>43906</v>
      </c>
      <c r="E972" s="53">
        <v>43980</v>
      </c>
      <c r="F972" s="21">
        <f t="shared" si="286"/>
        <v>74</v>
      </c>
      <c r="G972" s="53">
        <v>43906</v>
      </c>
      <c r="H972" s="9">
        <v>2020</v>
      </c>
      <c r="I972" s="50">
        <v>0</v>
      </c>
      <c r="J972" s="9">
        <v>5</v>
      </c>
      <c r="K972" s="9" t="s">
        <v>204</v>
      </c>
      <c r="L972" s="50" t="s">
        <v>693</v>
      </c>
      <c r="M972">
        <v>1</v>
      </c>
      <c r="N972">
        <v>-2</v>
      </c>
      <c r="O972">
        <v>-2</v>
      </c>
      <c r="P972">
        <v>-1</v>
      </c>
      <c r="Q972">
        <v>-2</v>
      </c>
      <c r="R972">
        <v>1</v>
      </c>
      <c r="S972">
        <v>1</v>
      </c>
      <c r="T972">
        <v>2</v>
      </c>
      <c r="U972">
        <v>1</v>
      </c>
      <c r="V972" t="s">
        <v>975</v>
      </c>
      <c r="W972" t="s">
        <v>989</v>
      </c>
      <c r="X972" t="s">
        <v>997</v>
      </c>
      <c r="Y972" t="s">
        <v>1000</v>
      </c>
      <c r="Z972">
        <v>0</v>
      </c>
      <c r="AA972">
        <f t="shared" si="289"/>
        <v>1</v>
      </c>
      <c r="AB972">
        <f t="shared" si="290"/>
        <v>0</v>
      </c>
      <c r="AC972">
        <f t="shared" si="291"/>
        <v>0</v>
      </c>
      <c r="AD972">
        <f t="shared" si="292"/>
        <v>0</v>
      </c>
      <c r="AE972">
        <f t="shared" si="293"/>
        <v>0</v>
      </c>
      <c r="AF972">
        <f t="shared" si="294"/>
        <v>1</v>
      </c>
      <c r="AG972">
        <f t="shared" si="295"/>
        <v>1</v>
      </c>
      <c r="AH972">
        <f t="shared" si="296"/>
        <v>1</v>
      </c>
      <c r="AI972">
        <f t="shared" si="297"/>
        <v>1</v>
      </c>
      <c r="AJ972" s="9" t="str">
        <f t="shared" si="285"/>
        <v>General</v>
      </c>
      <c r="AK972">
        <f t="shared" si="284"/>
        <v>0</v>
      </c>
      <c r="AL972" s="9">
        <v>1</v>
      </c>
    </row>
    <row r="973" spans="1:38" x14ac:dyDescent="0.35">
      <c r="A973" s="50">
        <v>0</v>
      </c>
      <c r="B973" s="9" t="s">
        <v>107</v>
      </c>
      <c r="C973" s="53">
        <v>43890</v>
      </c>
      <c r="D973" s="53">
        <v>43906</v>
      </c>
      <c r="E973" s="53">
        <v>43980</v>
      </c>
      <c r="F973" s="21">
        <f t="shared" si="286"/>
        <v>74</v>
      </c>
      <c r="G973" s="53">
        <v>43906</v>
      </c>
      <c r="H973" s="9">
        <v>2020</v>
      </c>
      <c r="I973" s="50">
        <v>0</v>
      </c>
      <c r="J973" s="9">
        <v>6</v>
      </c>
      <c r="K973" s="9">
        <v>28</v>
      </c>
      <c r="L973" s="50" t="s">
        <v>685</v>
      </c>
      <c r="M973">
        <v>1</v>
      </c>
      <c r="N973">
        <v>1</v>
      </c>
      <c r="O973">
        <v>2</v>
      </c>
      <c r="P973">
        <v>-1</v>
      </c>
      <c r="Q973">
        <v>2</v>
      </c>
      <c r="R973">
        <v>2</v>
      </c>
      <c r="S973">
        <v>1</v>
      </c>
      <c r="T973">
        <v>2</v>
      </c>
      <c r="U973">
        <v>1</v>
      </c>
      <c r="V973" t="s">
        <v>975</v>
      </c>
      <c r="W973" t="s">
        <v>989</v>
      </c>
      <c r="X973" t="s">
        <v>997</v>
      </c>
      <c r="Y973" t="s">
        <v>1000</v>
      </c>
      <c r="Z973">
        <v>0</v>
      </c>
      <c r="AA973">
        <f t="shared" si="289"/>
        <v>1</v>
      </c>
      <c r="AB973">
        <f t="shared" si="290"/>
        <v>1</v>
      </c>
      <c r="AC973">
        <f t="shared" si="291"/>
        <v>1</v>
      </c>
      <c r="AD973">
        <f t="shared" si="292"/>
        <v>0</v>
      </c>
      <c r="AE973">
        <f t="shared" si="293"/>
        <v>1</v>
      </c>
      <c r="AF973">
        <f t="shared" si="294"/>
        <v>1</v>
      </c>
      <c r="AG973">
        <f t="shared" si="295"/>
        <v>1</v>
      </c>
      <c r="AH973">
        <f t="shared" si="296"/>
        <v>1</v>
      </c>
      <c r="AI973">
        <f t="shared" si="297"/>
        <v>1</v>
      </c>
      <c r="AJ973" s="9">
        <f t="shared" si="285"/>
        <v>28</v>
      </c>
      <c r="AK973">
        <f t="shared" ref="AK973:AK992" si="298">IF(B973&lt;&gt;B972,1,0)</f>
        <v>0</v>
      </c>
      <c r="AL973" s="9">
        <v>1</v>
      </c>
    </row>
    <row r="974" spans="1:38" x14ac:dyDescent="0.35">
      <c r="A974" s="50">
        <v>0</v>
      </c>
      <c r="B974" s="9" t="s">
        <v>107</v>
      </c>
      <c r="C974" s="53">
        <v>43890</v>
      </c>
      <c r="D974" s="53">
        <v>43906</v>
      </c>
      <c r="E974" s="53">
        <v>43980</v>
      </c>
      <c r="F974" s="21">
        <f t="shared" si="286"/>
        <v>74</v>
      </c>
      <c r="G974" s="53">
        <v>43906</v>
      </c>
      <c r="H974" s="9">
        <v>2020</v>
      </c>
      <c r="I974" s="50">
        <v>0</v>
      </c>
      <c r="J974" s="9">
        <v>2</v>
      </c>
      <c r="K974" s="9">
        <v>14</v>
      </c>
      <c r="L974" s="50" t="s">
        <v>684</v>
      </c>
      <c r="M974">
        <v>-1</v>
      </c>
      <c r="N974">
        <v>2</v>
      </c>
      <c r="O974">
        <v>2</v>
      </c>
      <c r="P974">
        <v>2</v>
      </c>
      <c r="Q974">
        <v>2</v>
      </c>
      <c r="R974">
        <v>2</v>
      </c>
      <c r="S974">
        <v>1</v>
      </c>
      <c r="T974">
        <v>2</v>
      </c>
      <c r="U974">
        <v>1</v>
      </c>
      <c r="V974" t="s">
        <v>975</v>
      </c>
      <c r="W974" t="s">
        <v>989</v>
      </c>
      <c r="X974" t="s">
        <v>997</v>
      </c>
      <c r="Y974" t="s">
        <v>1000</v>
      </c>
      <c r="Z974">
        <v>0</v>
      </c>
      <c r="AA974">
        <f t="shared" si="289"/>
        <v>0</v>
      </c>
      <c r="AB974">
        <f t="shared" si="290"/>
        <v>1</v>
      </c>
      <c r="AC974">
        <f t="shared" si="291"/>
        <v>1</v>
      </c>
      <c r="AD974">
        <f t="shared" si="292"/>
        <v>1</v>
      </c>
      <c r="AE974">
        <f t="shared" si="293"/>
        <v>1</v>
      </c>
      <c r="AF974">
        <f t="shared" si="294"/>
        <v>1</v>
      </c>
      <c r="AG974">
        <f t="shared" si="295"/>
        <v>1</v>
      </c>
      <c r="AH974">
        <f t="shared" si="296"/>
        <v>1</v>
      </c>
      <c r="AI974">
        <f t="shared" si="297"/>
        <v>1</v>
      </c>
      <c r="AJ974" s="9">
        <f t="shared" si="285"/>
        <v>14</v>
      </c>
      <c r="AK974">
        <f t="shared" si="298"/>
        <v>0</v>
      </c>
      <c r="AL974" s="9">
        <v>1</v>
      </c>
    </row>
    <row r="975" spans="1:38" x14ac:dyDescent="0.35">
      <c r="A975" s="50">
        <v>0</v>
      </c>
      <c r="B975" s="9" t="s">
        <v>107</v>
      </c>
      <c r="C975" s="53">
        <v>43890</v>
      </c>
      <c r="D975" s="53">
        <v>43906</v>
      </c>
      <c r="E975" s="53">
        <v>43980</v>
      </c>
      <c r="F975" s="21">
        <f t="shared" si="286"/>
        <v>74</v>
      </c>
      <c r="G975" s="53">
        <v>43906</v>
      </c>
      <c r="H975" s="9">
        <v>2020</v>
      </c>
      <c r="I975" s="50">
        <v>0</v>
      </c>
      <c r="J975" s="9">
        <v>6</v>
      </c>
      <c r="K975" s="9">
        <v>29</v>
      </c>
      <c r="L975" s="50" t="s">
        <v>694</v>
      </c>
      <c r="M975">
        <v>1</v>
      </c>
      <c r="N975">
        <v>1</v>
      </c>
      <c r="O975">
        <v>2</v>
      </c>
      <c r="P975">
        <v>-1</v>
      </c>
      <c r="Q975">
        <v>-2</v>
      </c>
      <c r="R975">
        <v>2</v>
      </c>
      <c r="S975">
        <v>1</v>
      </c>
      <c r="T975">
        <v>2</v>
      </c>
      <c r="U975">
        <v>1</v>
      </c>
      <c r="V975" t="s">
        <v>975</v>
      </c>
      <c r="W975" t="s">
        <v>989</v>
      </c>
      <c r="X975" t="s">
        <v>997</v>
      </c>
      <c r="Y975" t="s">
        <v>1000</v>
      </c>
      <c r="Z975">
        <v>0</v>
      </c>
      <c r="AA975">
        <f t="shared" si="289"/>
        <v>1</v>
      </c>
      <c r="AB975">
        <f t="shared" si="290"/>
        <v>1</v>
      </c>
      <c r="AC975">
        <f t="shared" si="291"/>
        <v>1</v>
      </c>
      <c r="AD975">
        <f t="shared" si="292"/>
        <v>0</v>
      </c>
      <c r="AE975">
        <f t="shared" si="293"/>
        <v>0</v>
      </c>
      <c r="AF975">
        <f t="shared" si="294"/>
        <v>1</v>
      </c>
      <c r="AG975">
        <f t="shared" si="295"/>
        <v>1</v>
      </c>
      <c r="AH975">
        <f t="shared" si="296"/>
        <v>1</v>
      </c>
      <c r="AI975">
        <f t="shared" si="297"/>
        <v>1</v>
      </c>
      <c r="AJ975" s="9">
        <f t="shared" si="285"/>
        <v>29</v>
      </c>
      <c r="AK975">
        <f t="shared" si="298"/>
        <v>0</v>
      </c>
      <c r="AL975" s="9">
        <v>1</v>
      </c>
    </row>
    <row r="976" spans="1:38" x14ac:dyDescent="0.35">
      <c r="A976" s="50">
        <v>0</v>
      </c>
      <c r="B976" s="9" t="s">
        <v>107</v>
      </c>
      <c r="C976" s="53">
        <v>43890</v>
      </c>
      <c r="D976" s="53">
        <v>43906</v>
      </c>
      <c r="E976" s="53">
        <v>43980</v>
      </c>
      <c r="F976" s="21">
        <f t="shared" si="286"/>
        <v>74</v>
      </c>
      <c r="G976" s="53">
        <v>43906</v>
      </c>
      <c r="H976" s="9">
        <v>2020</v>
      </c>
      <c r="I976" s="50">
        <v>0</v>
      </c>
      <c r="J976" s="9">
        <v>1</v>
      </c>
      <c r="K976" s="9">
        <v>5</v>
      </c>
      <c r="L976" s="50" t="s">
        <v>688</v>
      </c>
      <c r="M976">
        <v>2</v>
      </c>
      <c r="N976">
        <v>2</v>
      </c>
      <c r="O976">
        <v>2</v>
      </c>
      <c r="P976">
        <v>2</v>
      </c>
      <c r="Q976">
        <v>2</v>
      </c>
      <c r="R976">
        <v>2</v>
      </c>
      <c r="S976">
        <v>1</v>
      </c>
      <c r="T976">
        <v>2</v>
      </c>
      <c r="U976">
        <v>1</v>
      </c>
      <c r="V976" t="s">
        <v>975</v>
      </c>
      <c r="W976" t="s">
        <v>989</v>
      </c>
      <c r="X976" t="s">
        <v>997</v>
      </c>
      <c r="Y976" t="s">
        <v>1000</v>
      </c>
      <c r="Z976">
        <v>0</v>
      </c>
      <c r="AA976">
        <f t="shared" si="289"/>
        <v>1</v>
      </c>
      <c r="AB976">
        <f t="shared" si="290"/>
        <v>1</v>
      </c>
      <c r="AC976">
        <f t="shared" si="291"/>
        <v>1</v>
      </c>
      <c r="AD976">
        <f t="shared" si="292"/>
        <v>1</v>
      </c>
      <c r="AE976">
        <f t="shared" si="293"/>
        <v>1</v>
      </c>
      <c r="AF976">
        <f t="shared" si="294"/>
        <v>1</v>
      </c>
      <c r="AG976">
        <f t="shared" si="295"/>
        <v>1</v>
      </c>
      <c r="AH976">
        <f t="shared" si="296"/>
        <v>1</v>
      </c>
      <c r="AI976">
        <f t="shared" si="297"/>
        <v>1</v>
      </c>
      <c r="AJ976" s="9">
        <f t="shared" si="285"/>
        <v>5</v>
      </c>
      <c r="AK976">
        <f t="shared" si="298"/>
        <v>0</v>
      </c>
      <c r="AL976" s="9">
        <v>1</v>
      </c>
    </row>
    <row r="977" spans="1:38" x14ac:dyDescent="0.35">
      <c r="A977" s="50">
        <v>0</v>
      </c>
      <c r="B977" s="9" t="s">
        <v>107</v>
      </c>
      <c r="C977" s="53">
        <v>43890</v>
      </c>
      <c r="D977" s="53">
        <v>43906</v>
      </c>
      <c r="E977" s="53">
        <v>43980</v>
      </c>
      <c r="F977" s="21">
        <f t="shared" si="286"/>
        <v>74</v>
      </c>
      <c r="G977" s="53">
        <v>43906</v>
      </c>
      <c r="H977" s="9">
        <v>2020</v>
      </c>
      <c r="I977" s="50">
        <v>0</v>
      </c>
      <c r="J977" s="9">
        <v>6</v>
      </c>
      <c r="K977" s="9">
        <v>26</v>
      </c>
      <c r="L977" s="50" t="s">
        <v>695</v>
      </c>
      <c r="M977">
        <v>-2</v>
      </c>
      <c r="N977">
        <v>1</v>
      </c>
      <c r="O977">
        <v>-2</v>
      </c>
      <c r="P977">
        <v>-1</v>
      </c>
      <c r="Q977">
        <v>2</v>
      </c>
      <c r="R977">
        <v>-2</v>
      </c>
      <c r="S977">
        <v>1</v>
      </c>
      <c r="U977">
        <v>1</v>
      </c>
      <c r="V977" t="s">
        <v>975</v>
      </c>
      <c r="W977" t="s">
        <v>989</v>
      </c>
      <c r="X977" t="s">
        <v>997</v>
      </c>
      <c r="Y977" t="s">
        <v>1000</v>
      </c>
      <c r="Z977">
        <v>0</v>
      </c>
      <c r="AA977">
        <f t="shared" si="289"/>
        <v>0</v>
      </c>
      <c r="AB977">
        <f t="shared" si="290"/>
        <v>1</v>
      </c>
      <c r="AC977">
        <f t="shared" si="291"/>
        <v>0</v>
      </c>
      <c r="AD977">
        <f t="shared" si="292"/>
        <v>0</v>
      </c>
      <c r="AE977">
        <f t="shared" si="293"/>
        <v>1</v>
      </c>
      <c r="AF977">
        <f t="shared" si="294"/>
        <v>0</v>
      </c>
      <c r="AG977">
        <f t="shared" si="295"/>
        <v>1</v>
      </c>
      <c r="AH977">
        <f t="shared" si="296"/>
        <v>-1</v>
      </c>
      <c r="AI977">
        <f t="shared" si="297"/>
        <v>1</v>
      </c>
      <c r="AJ977" s="9">
        <f t="shared" si="285"/>
        <v>26</v>
      </c>
      <c r="AK977">
        <f t="shared" si="298"/>
        <v>0</v>
      </c>
      <c r="AL977" s="9">
        <v>1</v>
      </c>
    </row>
    <row r="978" spans="1:38" x14ac:dyDescent="0.35">
      <c r="A978" s="50">
        <v>0</v>
      </c>
      <c r="B978" s="9" t="s">
        <v>107</v>
      </c>
      <c r="C978" s="53">
        <v>43890</v>
      </c>
      <c r="D978" s="53">
        <v>43906</v>
      </c>
      <c r="E978" s="53">
        <v>43980</v>
      </c>
      <c r="F978" s="21">
        <f t="shared" si="286"/>
        <v>74</v>
      </c>
      <c r="G978" s="53">
        <v>43906</v>
      </c>
      <c r="H978" s="9">
        <v>2020</v>
      </c>
      <c r="I978" s="50">
        <v>0</v>
      </c>
      <c r="J978" s="9">
        <v>1</v>
      </c>
      <c r="K978" s="9">
        <v>9</v>
      </c>
      <c r="L978" s="50" t="s">
        <v>692</v>
      </c>
      <c r="M978">
        <v>2</v>
      </c>
      <c r="N978">
        <v>2</v>
      </c>
      <c r="O978">
        <v>2</v>
      </c>
      <c r="P978">
        <v>2</v>
      </c>
      <c r="Q978">
        <v>2</v>
      </c>
      <c r="R978">
        <v>-2</v>
      </c>
      <c r="S978">
        <v>-2</v>
      </c>
      <c r="T978">
        <v>2</v>
      </c>
      <c r="U978">
        <v>1</v>
      </c>
      <c r="V978" t="s">
        <v>975</v>
      </c>
      <c r="W978" t="s">
        <v>989</v>
      </c>
      <c r="X978" t="s">
        <v>997</v>
      </c>
      <c r="Y978" t="s">
        <v>1000</v>
      </c>
      <c r="Z978">
        <v>0</v>
      </c>
      <c r="AA978">
        <f t="shared" si="289"/>
        <v>1</v>
      </c>
      <c r="AB978">
        <f t="shared" si="290"/>
        <v>1</v>
      </c>
      <c r="AC978">
        <f t="shared" si="291"/>
        <v>1</v>
      </c>
      <c r="AD978">
        <f t="shared" si="292"/>
        <v>1</v>
      </c>
      <c r="AE978">
        <f t="shared" si="293"/>
        <v>1</v>
      </c>
      <c r="AF978">
        <f t="shared" si="294"/>
        <v>0</v>
      </c>
      <c r="AG978">
        <f t="shared" si="295"/>
        <v>0</v>
      </c>
      <c r="AH978">
        <f t="shared" si="296"/>
        <v>1</v>
      </c>
      <c r="AI978">
        <f t="shared" si="297"/>
        <v>1</v>
      </c>
      <c r="AJ978" s="9">
        <f t="shared" si="285"/>
        <v>9</v>
      </c>
      <c r="AK978">
        <f t="shared" si="298"/>
        <v>0</v>
      </c>
      <c r="AL978" s="9">
        <v>1</v>
      </c>
    </row>
    <row r="979" spans="1:38" x14ac:dyDescent="0.35">
      <c r="A979" s="50">
        <v>0</v>
      </c>
      <c r="B979" s="9" t="s">
        <v>107</v>
      </c>
      <c r="C979" s="53">
        <v>43890</v>
      </c>
      <c r="D979" s="53">
        <v>43906</v>
      </c>
      <c r="E979" s="53">
        <v>43980</v>
      </c>
      <c r="F979" s="21">
        <f t="shared" si="286"/>
        <v>74</v>
      </c>
      <c r="G979" s="53">
        <v>43906</v>
      </c>
      <c r="H979" s="9">
        <v>2020</v>
      </c>
      <c r="I979" s="50">
        <v>0</v>
      </c>
      <c r="J979" s="9">
        <v>1</v>
      </c>
      <c r="K979" s="9">
        <v>6</v>
      </c>
      <c r="L979" s="50" t="s">
        <v>699</v>
      </c>
      <c r="M979">
        <v>-2</v>
      </c>
      <c r="N979">
        <v>2</v>
      </c>
      <c r="O979">
        <v>2</v>
      </c>
      <c r="P979">
        <v>2</v>
      </c>
      <c r="Q979">
        <v>2</v>
      </c>
      <c r="R979">
        <v>2</v>
      </c>
      <c r="S979">
        <v>1</v>
      </c>
      <c r="T979">
        <v>2</v>
      </c>
      <c r="U979">
        <v>1</v>
      </c>
      <c r="V979" t="s">
        <v>975</v>
      </c>
      <c r="W979" t="s">
        <v>989</v>
      </c>
      <c r="X979" t="s">
        <v>997</v>
      </c>
      <c r="Y979" t="s">
        <v>1000</v>
      </c>
      <c r="Z979">
        <v>0</v>
      </c>
      <c r="AA979">
        <f t="shared" si="289"/>
        <v>0</v>
      </c>
      <c r="AB979">
        <f t="shared" si="290"/>
        <v>1</v>
      </c>
      <c r="AC979">
        <f t="shared" si="291"/>
        <v>1</v>
      </c>
      <c r="AD979">
        <f t="shared" si="292"/>
        <v>1</v>
      </c>
      <c r="AE979">
        <f t="shared" si="293"/>
        <v>1</v>
      </c>
      <c r="AF979">
        <f t="shared" si="294"/>
        <v>1</v>
      </c>
      <c r="AG979">
        <f t="shared" si="295"/>
        <v>1</v>
      </c>
      <c r="AH979">
        <f t="shared" si="296"/>
        <v>1</v>
      </c>
      <c r="AI979">
        <f t="shared" si="297"/>
        <v>1</v>
      </c>
      <c r="AJ979" s="9">
        <f t="shared" si="285"/>
        <v>6</v>
      </c>
      <c r="AK979">
        <f t="shared" si="298"/>
        <v>0</v>
      </c>
      <c r="AL979" s="9">
        <v>1</v>
      </c>
    </row>
    <row r="980" spans="1:38" x14ac:dyDescent="0.35">
      <c r="A980" s="50">
        <v>0</v>
      </c>
      <c r="B980" s="9" t="s">
        <v>107</v>
      </c>
      <c r="C980" s="53">
        <v>43890</v>
      </c>
      <c r="D980" s="53">
        <v>43906</v>
      </c>
      <c r="E980" s="53">
        <v>43980</v>
      </c>
      <c r="F980" s="21">
        <f t="shared" si="286"/>
        <v>74</v>
      </c>
      <c r="G980" s="53">
        <v>43906</v>
      </c>
      <c r="H980" s="9">
        <v>2020</v>
      </c>
      <c r="I980" s="50">
        <v>0</v>
      </c>
      <c r="J980" s="9">
        <v>7</v>
      </c>
      <c r="K980" s="9">
        <v>30</v>
      </c>
      <c r="L980" s="50" t="s">
        <v>698</v>
      </c>
      <c r="M980">
        <v>1</v>
      </c>
      <c r="N980">
        <v>1</v>
      </c>
      <c r="O980">
        <v>2</v>
      </c>
      <c r="P980">
        <v>1</v>
      </c>
      <c r="Q980">
        <v>2</v>
      </c>
      <c r="R980">
        <v>2</v>
      </c>
      <c r="S980">
        <v>1</v>
      </c>
      <c r="T980">
        <v>2</v>
      </c>
      <c r="U980">
        <v>1</v>
      </c>
      <c r="V980" t="s">
        <v>975</v>
      </c>
      <c r="W980" t="s">
        <v>989</v>
      </c>
      <c r="X980" t="s">
        <v>997</v>
      </c>
      <c r="Y980" t="s">
        <v>1000</v>
      </c>
      <c r="Z980">
        <v>0</v>
      </c>
      <c r="AA980">
        <f t="shared" si="289"/>
        <v>1</v>
      </c>
      <c r="AB980">
        <f t="shared" si="290"/>
        <v>1</v>
      </c>
      <c r="AC980">
        <f t="shared" si="291"/>
        <v>1</v>
      </c>
      <c r="AD980">
        <f t="shared" si="292"/>
        <v>1</v>
      </c>
      <c r="AE980">
        <f t="shared" si="293"/>
        <v>1</v>
      </c>
      <c r="AF980">
        <f t="shared" si="294"/>
        <v>1</v>
      </c>
      <c r="AG980">
        <f t="shared" si="295"/>
        <v>1</v>
      </c>
      <c r="AH980">
        <f t="shared" si="296"/>
        <v>1</v>
      </c>
      <c r="AI980">
        <f t="shared" si="297"/>
        <v>1</v>
      </c>
      <c r="AJ980" s="9">
        <f t="shared" si="285"/>
        <v>30</v>
      </c>
      <c r="AK980">
        <f t="shared" si="298"/>
        <v>0</v>
      </c>
      <c r="AL980" s="9">
        <v>1</v>
      </c>
    </row>
    <row r="981" spans="1:38" x14ac:dyDescent="0.35">
      <c r="A981" s="50">
        <v>0</v>
      </c>
      <c r="B981" s="9" t="s">
        <v>107</v>
      </c>
      <c r="C981" s="53">
        <v>43890</v>
      </c>
      <c r="D981" s="53">
        <v>43906</v>
      </c>
      <c r="E981" s="53">
        <v>43980</v>
      </c>
      <c r="F981" s="21">
        <f t="shared" si="286"/>
        <v>74</v>
      </c>
      <c r="G981" s="53">
        <v>43906</v>
      </c>
      <c r="H981" s="9">
        <v>2020</v>
      </c>
      <c r="I981" s="50">
        <v>0</v>
      </c>
      <c r="J981" s="9">
        <v>2</v>
      </c>
      <c r="K981" s="9">
        <v>13</v>
      </c>
      <c r="L981" s="50" t="s">
        <v>687</v>
      </c>
      <c r="M981">
        <v>-2</v>
      </c>
      <c r="N981">
        <v>2</v>
      </c>
      <c r="O981">
        <v>2</v>
      </c>
      <c r="P981">
        <v>2</v>
      </c>
      <c r="Q981">
        <v>2</v>
      </c>
      <c r="R981">
        <v>2</v>
      </c>
      <c r="S981">
        <v>1</v>
      </c>
      <c r="T981">
        <v>2</v>
      </c>
      <c r="U981">
        <v>1</v>
      </c>
      <c r="V981" t="s">
        <v>975</v>
      </c>
      <c r="W981" t="s">
        <v>989</v>
      </c>
      <c r="X981" t="s">
        <v>997</v>
      </c>
      <c r="Y981" t="s">
        <v>1000</v>
      </c>
      <c r="Z981">
        <v>0</v>
      </c>
      <c r="AA981">
        <f t="shared" si="289"/>
        <v>0</v>
      </c>
      <c r="AB981">
        <f t="shared" si="290"/>
        <v>1</v>
      </c>
      <c r="AC981">
        <f t="shared" si="291"/>
        <v>1</v>
      </c>
      <c r="AD981">
        <f t="shared" si="292"/>
        <v>1</v>
      </c>
      <c r="AE981">
        <f t="shared" si="293"/>
        <v>1</v>
      </c>
      <c r="AF981">
        <f t="shared" si="294"/>
        <v>1</v>
      </c>
      <c r="AG981">
        <f t="shared" si="295"/>
        <v>1</v>
      </c>
      <c r="AH981">
        <f t="shared" si="296"/>
        <v>1</v>
      </c>
      <c r="AI981">
        <f t="shared" si="297"/>
        <v>1</v>
      </c>
      <c r="AJ981" s="9">
        <f t="shared" si="285"/>
        <v>13</v>
      </c>
      <c r="AK981">
        <f t="shared" si="298"/>
        <v>0</v>
      </c>
      <c r="AL981" s="9">
        <v>1</v>
      </c>
    </row>
    <row r="982" spans="1:38" x14ac:dyDescent="0.35">
      <c r="A982" s="50">
        <v>0</v>
      </c>
      <c r="B982" s="9" t="s">
        <v>107</v>
      </c>
      <c r="C982" s="53">
        <v>43890</v>
      </c>
      <c r="D982" s="53">
        <v>43906</v>
      </c>
      <c r="E982" s="53">
        <v>43980</v>
      </c>
      <c r="F982" s="21">
        <f t="shared" si="286"/>
        <v>74</v>
      </c>
      <c r="G982" s="53">
        <v>43906</v>
      </c>
      <c r="H982" s="9">
        <v>2020</v>
      </c>
      <c r="I982" s="50">
        <v>0</v>
      </c>
      <c r="J982" s="9">
        <v>7</v>
      </c>
      <c r="K982" s="9">
        <v>30</v>
      </c>
      <c r="L982" s="50" t="s">
        <v>689</v>
      </c>
      <c r="M982">
        <v>1</v>
      </c>
      <c r="N982">
        <v>1</v>
      </c>
      <c r="Q982">
        <v>2</v>
      </c>
      <c r="R982">
        <v>2</v>
      </c>
      <c r="S982">
        <v>1</v>
      </c>
      <c r="T982">
        <v>-2</v>
      </c>
      <c r="U982">
        <v>1</v>
      </c>
      <c r="V982" t="s">
        <v>975</v>
      </c>
      <c r="W982" t="s">
        <v>989</v>
      </c>
      <c r="X982" t="s">
        <v>997</v>
      </c>
      <c r="Y982" t="s">
        <v>1000</v>
      </c>
      <c r="Z982">
        <v>0</v>
      </c>
      <c r="AA982">
        <f t="shared" si="289"/>
        <v>1</v>
      </c>
      <c r="AB982">
        <f t="shared" si="290"/>
        <v>1</v>
      </c>
      <c r="AC982">
        <f t="shared" si="291"/>
        <v>-1</v>
      </c>
      <c r="AD982">
        <f t="shared" si="292"/>
        <v>-1</v>
      </c>
      <c r="AE982">
        <f t="shared" si="293"/>
        <v>1</v>
      </c>
      <c r="AF982">
        <f t="shared" si="294"/>
        <v>1</v>
      </c>
      <c r="AG982">
        <f t="shared" si="295"/>
        <v>1</v>
      </c>
      <c r="AH982">
        <f t="shared" si="296"/>
        <v>0</v>
      </c>
      <c r="AI982">
        <f t="shared" si="297"/>
        <v>1</v>
      </c>
      <c r="AJ982" s="9">
        <f t="shared" si="285"/>
        <v>30</v>
      </c>
      <c r="AK982">
        <f t="shared" si="298"/>
        <v>0</v>
      </c>
      <c r="AL982" s="9">
        <v>1</v>
      </c>
    </row>
    <row r="983" spans="1:38" x14ac:dyDescent="0.35">
      <c r="A983" s="50">
        <v>0</v>
      </c>
      <c r="B983" s="9" t="s">
        <v>107</v>
      </c>
      <c r="C983" s="53">
        <v>43890</v>
      </c>
      <c r="D983" s="53">
        <v>43906</v>
      </c>
      <c r="E983" s="53">
        <v>43980</v>
      </c>
      <c r="F983" s="21">
        <f t="shared" si="286"/>
        <v>74</v>
      </c>
      <c r="G983" s="53">
        <v>43906</v>
      </c>
      <c r="H983" s="9">
        <v>2020</v>
      </c>
      <c r="I983" s="50">
        <v>0</v>
      </c>
      <c r="J983" s="9">
        <v>1</v>
      </c>
      <c r="K983" s="9">
        <v>10</v>
      </c>
      <c r="L983" s="50" t="s">
        <v>696</v>
      </c>
      <c r="M983">
        <v>2</v>
      </c>
      <c r="N983">
        <v>2</v>
      </c>
      <c r="O983">
        <v>2</v>
      </c>
      <c r="P983">
        <v>2</v>
      </c>
      <c r="Q983">
        <v>2</v>
      </c>
      <c r="R983">
        <v>2</v>
      </c>
      <c r="S983">
        <v>1</v>
      </c>
      <c r="T983">
        <v>2</v>
      </c>
      <c r="U983">
        <v>1</v>
      </c>
      <c r="V983" t="s">
        <v>975</v>
      </c>
      <c r="W983" t="s">
        <v>989</v>
      </c>
      <c r="X983" t="s">
        <v>997</v>
      </c>
      <c r="Y983" t="s">
        <v>1000</v>
      </c>
      <c r="Z983">
        <v>0</v>
      </c>
      <c r="AA983">
        <f t="shared" si="289"/>
        <v>1</v>
      </c>
      <c r="AB983">
        <f t="shared" si="290"/>
        <v>1</v>
      </c>
      <c r="AC983">
        <f t="shared" si="291"/>
        <v>1</v>
      </c>
      <c r="AD983">
        <f t="shared" si="292"/>
        <v>1</v>
      </c>
      <c r="AE983">
        <f t="shared" si="293"/>
        <v>1</v>
      </c>
      <c r="AF983">
        <f t="shared" si="294"/>
        <v>1</v>
      </c>
      <c r="AG983">
        <f t="shared" si="295"/>
        <v>1</v>
      </c>
      <c r="AH983">
        <f t="shared" si="296"/>
        <v>1</v>
      </c>
      <c r="AI983">
        <f t="shared" si="297"/>
        <v>1</v>
      </c>
      <c r="AJ983" s="9">
        <f t="shared" si="285"/>
        <v>10</v>
      </c>
      <c r="AK983">
        <f t="shared" si="298"/>
        <v>0</v>
      </c>
      <c r="AL983" s="9">
        <v>1</v>
      </c>
    </row>
    <row r="984" spans="1:38" x14ac:dyDescent="0.35">
      <c r="A984" s="50">
        <v>0</v>
      </c>
      <c r="B984" s="9" t="s">
        <v>107</v>
      </c>
      <c r="C984" s="53">
        <v>43890</v>
      </c>
      <c r="D984" s="53">
        <v>43906</v>
      </c>
      <c r="E984" s="53">
        <v>43980</v>
      </c>
      <c r="F984" s="21">
        <f t="shared" si="286"/>
        <v>74</v>
      </c>
      <c r="G984" s="53">
        <v>43906</v>
      </c>
      <c r="H984" s="9">
        <v>2020</v>
      </c>
      <c r="I984" s="50">
        <v>0</v>
      </c>
      <c r="J984" s="9">
        <v>7</v>
      </c>
      <c r="K984" s="9">
        <v>31</v>
      </c>
      <c r="L984" s="50" t="s">
        <v>686</v>
      </c>
      <c r="M984">
        <v>1</v>
      </c>
      <c r="N984">
        <v>1</v>
      </c>
      <c r="O984">
        <v>-2</v>
      </c>
      <c r="P984">
        <v>-1</v>
      </c>
      <c r="Q984">
        <v>-2</v>
      </c>
      <c r="R984">
        <v>2</v>
      </c>
      <c r="S984">
        <v>1</v>
      </c>
      <c r="T984">
        <v>-2</v>
      </c>
      <c r="U984">
        <v>1</v>
      </c>
      <c r="V984" t="s">
        <v>975</v>
      </c>
      <c r="W984" t="s">
        <v>989</v>
      </c>
      <c r="X984" t="s">
        <v>997</v>
      </c>
      <c r="Y984" t="s">
        <v>1000</v>
      </c>
      <c r="Z984">
        <v>0</v>
      </c>
      <c r="AA984">
        <f t="shared" si="289"/>
        <v>1</v>
      </c>
      <c r="AB984">
        <f t="shared" si="290"/>
        <v>1</v>
      </c>
      <c r="AC984">
        <f t="shared" si="291"/>
        <v>0</v>
      </c>
      <c r="AD984">
        <f t="shared" si="292"/>
        <v>0</v>
      </c>
      <c r="AE984">
        <f t="shared" si="293"/>
        <v>0</v>
      </c>
      <c r="AF984">
        <f t="shared" si="294"/>
        <v>1</v>
      </c>
      <c r="AG984">
        <f t="shared" si="295"/>
        <v>1</v>
      </c>
      <c r="AH984">
        <f t="shared" si="296"/>
        <v>0</v>
      </c>
      <c r="AI984">
        <f t="shared" si="297"/>
        <v>1</v>
      </c>
      <c r="AJ984" s="9">
        <f t="shared" si="285"/>
        <v>31</v>
      </c>
      <c r="AK984">
        <f t="shared" si="298"/>
        <v>0</v>
      </c>
      <c r="AL984" s="9">
        <v>0</v>
      </c>
    </row>
    <row r="985" spans="1:38" x14ac:dyDescent="0.35">
      <c r="A985" s="50">
        <v>0</v>
      </c>
      <c r="B985" s="9" t="s">
        <v>107</v>
      </c>
      <c r="C985" s="53">
        <v>43890</v>
      </c>
      <c r="D985" s="53">
        <v>43906</v>
      </c>
      <c r="E985" s="53">
        <v>43980</v>
      </c>
      <c r="F985" s="21">
        <f t="shared" si="286"/>
        <v>74</v>
      </c>
      <c r="G985" s="53">
        <v>43906</v>
      </c>
      <c r="H985" s="9">
        <v>2020</v>
      </c>
      <c r="I985" s="50">
        <v>0</v>
      </c>
      <c r="J985" s="9">
        <v>6</v>
      </c>
      <c r="K985" s="9">
        <v>29</v>
      </c>
      <c r="L985" s="50" t="s">
        <v>690</v>
      </c>
      <c r="M985">
        <v>-2</v>
      </c>
      <c r="N985">
        <v>1</v>
      </c>
      <c r="O985">
        <v>-2</v>
      </c>
      <c r="P985">
        <v>-1</v>
      </c>
      <c r="Q985">
        <v>2</v>
      </c>
      <c r="R985">
        <v>2</v>
      </c>
      <c r="S985">
        <v>1</v>
      </c>
      <c r="T985">
        <v>2</v>
      </c>
      <c r="U985">
        <v>1</v>
      </c>
      <c r="V985" t="s">
        <v>975</v>
      </c>
      <c r="W985" t="s">
        <v>989</v>
      </c>
      <c r="X985" t="s">
        <v>997</v>
      </c>
      <c r="Y985" t="s">
        <v>1000</v>
      </c>
      <c r="Z985">
        <v>0</v>
      </c>
      <c r="AA985">
        <f t="shared" si="289"/>
        <v>0</v>
      </c>
      <c r="AB985">
        <f t="shared" si="290"/>
        <v>1</v>
      </c>
      <c r="AC985">
        <f t="shared" si="291"/>
        <v>0</v>
      </c>
      <c r="AD985">
        <f t="shared" si="292"/>
        <v>0</v>
      </c>
      <c r="AE985">
        <f t="shared" si="293"/>
        <v>1</v>
      </c>
      <c r="AF985">
        <f t="shared" si="294"/>
        <v>1</v>
      </c>
      <c r="AG985">
        <f t="shared" si="295"/>
        <v>1</v>
      </c>
      <c r="AH985">
        <f t="shared" si="296"/>
        <v>1</v>
      </c>
      <c r="AI985">
        <f t="shared" si="297"/>
        <v>1</v>
      </c>
      <c r="AJ985" s="9">
        <f t="shared" si="285"/>
        <v>29</v>
      </c>
      <c r="AK985">
        <f t="shared" si="298"/>
        <v>0</v>
      </c>
      <c r="AL985" s="9">
        <v>0</v>
      </c>
    </row>
    <row r="986" spans="1:38" x14ac:dyDescent="0.35">
      <c r="A986" s="50">
        <v>0</v>
      </c>
      <c r="B986" s="50" t="s">
        <v>107</v>
      </c>
      <c r="C986" s="53">
        <v>43890</v>
      </c>
      <c r="D986" s="53">
        <v>43906</v>
      </c>
      <c r="E986" s="53">
        <v>43980</v>
      </c>
      <c r="F986" s="21">
        <f t="shared" si="286"/>
        <v>74</v>
      </c>
      <c r="G986" s="53">
        <v>43906</v>
      </c>
      <c r="H986" s="9">
        <v>2020</v>
      </c>
      <c r="I986" s="50">
        <v>0</v>
      </c>
      <c r="J986" s="50">
        <v>9</v>
      </c>
      <c r="K986" s="50">
        <v>34</v>
      </c>
      <c r="L986" s="24" t="s">
        <v>1879</v>
      </c>
      <c r="M986" s="24"/>
      <c r="V986" t="s">
        <v>975</v>
      </c>
      <c r="W986" t="s">
        <v>989</v>
      </c>
      <c r="X986" t="s">
        <v>997</v>
      </c>
      <c r="Y986" t="s">
        <v>1000</v>
      </c>
      <c r="Z986">
        <v>0</v>
      </c>
      <c r="AA986">
        <v>-1</v>
      </c>
      <c r="AB986">
        <v>-1</v>
      </c>
      <c r="AC986">
        <v>-1</v>
      </c>
      <c r="AD986">
        <v>-1</v>
      </c>
      <c r="AE986">
        <v>-1</v>
      </c>
      <c r="AF986">
        <v>-1</v>
      </c>
      <c r="AG986">
        <v>-1</v>
      </c>
      <c r="AH986">
        <v>-1</v>
      </c>
      <c r="AI986">
        <v>-1</v>
      </c>
      <c r="AJ986" s="9">
        <f t="shared" si="285"/>
        <v>34</v>
      </c>
      <c r="AK986">
        <f t="shared" si="298"/>
        <v>0</v>
      </c>
      <c r="AL986" s="9">
        <v>0</v>
      </c>
    </row>
    <row r="987" spans="1:38" x14ac:dyDescent="0.35">
      <c r="A987" s="50">
        <v>0</v>
      </c>
      <c r="B987" s="50" t="s">
        <v>107</v>
      </c>
      <c r="C987" s="53">
        <v>43890</v>
      </c>
      <c r="D987" s="53">
        <v>43906</v>
      </c>
      <c r="E987" s="53">
        <v>43980</v>
      </c>
      <c r="F987" s="21">
        <f t="shared" si="286"/>
        <v>74</v>
      </c>
      <c r="G987" s="53">
        <v>43906</v>
      </c>
      <c r="H987" s="9">
        <v>2020</v>
      </c>
      <c r="I987" s="50">
        <v>0</v>
      </c>
      <c r="J987" s="50">
        <v>9</v>
      </c>
      <c r="K987" s="50">
        <v>34</v>
      </c>
      <c r="L987" s="24" t="s">
        <v>1880</v>
      </c>
      <c r="M987" s="24"/>
      <c r="V987" t="s">
        <v>975</v>
      </c>
      <c r="W987" t="s">
        <v>989</v>
      </c>
      <c r="X987" t="s">
        <v>997</v>
      </c>
      <c r="Y987" t="s">
        <v>1000</v>
      </c>
      <c r="Z987">
        <v>0</v>
      </c>
      <c r="AA987">
        <v>-1</v>
      </c>
      <c r="AB987">
        <v>-1</v>
      </c>
      <c r="AC987">
        <v>-1</v>
      </c>
      <c r="AD987">
        <v>-1</v>
      </c>
      <c r="AE987">
        <v>-1</v>
      </c>
      <c r="AF987">
        <v>-1</v>
      </c>
      <c r="AG987">
        <v>-1</v>
      </c>
      <c r="AH987">
        <v>-1</v>
      </c>
      <c r="AI987">
        <v>-1</v>
      </c>
      <c r="AJ987" s="9">
        <f t="shared" si="285"/>
        <v>34</v>
      </c>
      <c r="AK987">
        <f t="shared" si="298"/>
        <v>0</v>
      </c>
      <c r="AL987" s="9">
        <v>0</v>
      </c>
    </row>
    <row r="988" spans="1:38" x14ac:dyDescent="0.35">
      <c r="A988" s="50">
        <v>0</v>
      </c>
      <c r="B988" s="50" t="s">
        <v>107</v>
      </c>
      <c r="C988" s="53">
        <v>43890</v>
      </c>
      <c r="D988" s="53">
        <v>43906</v>
      </c>
      <c r="E988" s="53">
        <v>43980</v>
      </c>
      <c r="F988" s="21">
        <f t="shared" si="286"/>
        <v>74</v>
      </c>
      <c r="G988" s="53">
        <v>43906</v>
      </c>
      <c r="H988" s="9">
        <v>2020</v>
      </c>
      <c r="I988" s="50">
        <v>0</v>
      </c>
      <c r="J988" s="50">
        <v>6</v>
      </c>
      <c r="K988" s="50">
        <v>29</v>
      </c>
      <c r="L988" s="24" t="s">
        <v>1881</v>
      </c>
      <c r="M988" s="24"/>
      <c r="V988" t="s">
        <v>975</v>
      </c>
      <c r="W988" t="s">
        <v>989</v>
      </c>
      <c r="X988" t="s">
        <v>997</v>
      </c>
      <c r="Y988" t="s">
        <v>1000</v>
      </c>
      <c r="Z988">
        <v>0</v>
      </c>
      <c r="AA988">
        <v>-1</v>
      </c>
      <c r="AB988">
        <v>-1</v>
      </c>
      <c r="AC988">
        <v>-1</v>
      </c>
      <c r="AD988">
        <v>-1</v>
      </c>
      <c r="AE988">
        <v>-1</v>
      </c>
      <c r="AF988">
        <v>-1</v>
      </c>
      <c r="AG988">
        <v>-1</v>
      </c>
      <c r="AH988">
        <v>-1</v>
      </c>
      <c r="AI988">
        <v>-1</v>
      </c>
      <c r="AJ988" s="9">
        <f t="shared" si="285"/>
        <v>29</v>
      </c>
      <c r="AK988">
        <f t="shared" si="298"/>
        <v>0</v>
      </c>
      <c r="AL988" s="9">
        <v>0</v>
      </c>
    </row>
    <row r="989" spans="1:38" x14ac:dyDescent="0.35">
      <c r="A989" s="50">
        <v>0</v>
      </c>
      <c r="B989" s="50" t="s">
        <v>107</v>
      </c>
      <c r="C989" s="53">
        <v>43890</v>
      </c>
      <c r="D989" s="53">
        <v>43906</v>
      </c>
      <c r="E989" s="53">
        <v>43980</v>
      </c>
      <c r="F989" s="21">
        <f t="shared" si="286"/>
        <v>74</v>
      </c>
      <c r="G989" s="53">
        <v>43906</v>
      </c>
      <c r="H989" s="9">
        <v>2020</v>
      </c>
      <c r="I989" s="50">
        <v>0</v>
      </c>
      <c r="J989" s="50">
        <v>6</v>
      </c>
      <c r="K989" s="50">
        <v>25</v>
      </c>
      <c r="L989" s="24" t="s">
        <v>1882</v>
      </c>
      <c r="M989" s="24"/>
      <c r="V989" t="s">
        <v>975</v>
      </c>
      <c r="W989" t="s">
        <v>989</v>
      </c>
      <c r="X989" t="s">
        <v>997</v>
      </c>
      <c r="Y989" t="s">
        <v>1000</v>
      </c>
      <c r="Z989">
        <v>0</v>
      </c>
      <c r="AA989">
        <v>-1</v>
      </c>
      <c r="AB989">
        <v>-1</v>
      </c>
      <c r="AC989">
        <v>-1</v>
      </c>
      <c r="AD989">
        <v>-1</v>
      </c>
      <c r="AE989">
        <v>-1</v>
      </c>
      <c r="AF989">
        <v>-1</v>
      </c>
      <c r="AG989">
        <v>-1</v>
      </c>
      <c r="AH989">
        <v>-1</v>
      </c>
      <c r="AI989">
        <v>-1</v>
      </c>
      <c r="AJ989" s="9">
        <f t="shared" si="285"/>
        <v>25</v>
      </c>
      <c r="AK989">
        <f t="shared" si="298"/>
        <v>0</v>
      </c>
      <c r="AL989" s="9">
        <v>0</v>
      </c>
    </row>
    <row r="990" spans="1:38" x14ac:dyDescent="0.35">
      <c r="A990" s="50">
        <v>0</v>
      </c>
      <c r="B990" s="50" t="s">
        <v>107</v>
      </c>
      <c r="C990" s="53">
        <v>43890</v>
      </c>
      <c r="D990" s="53">
        <v>43906</v>
      </c>
      <c r="E990" s="53">
        <v>43980</v>
      </c>
      <c r="F990" s="21">
        <f t="shared" si="286"/>
        <v>74</v>
      </c>
      <c r="G990" s="53">
        <v>43906</v>
      </c>
      <c r="H990" s="9">
        <v>2020</v>
      </c>
      <c r="I990" s="50">
        <v>0</v>
      </c>
      <c r="J990" s="50">
        <v>4</v>
      </c>
      <c r="K990" s="50" t="s">
        <v>201</v>
      </c>
      <c r="L990" s="24" t="s">
        <v>1883</v>
      </c>
      <c r="M990" s="24"/>
      <c r="V990" t="s">
        <v>975</v>
      </c>
      <c r="W990" t="s">
        <v>989</v>
      </c>
      <c r="X990" t="s">
        <v>997</v>
      </c>
      <c r="Y990" t="s">
        <v>1000</v>
      </c>
      <c r="Z990">
        <v>0</v>
      </c>
      <c r="AA990">
        <v>-1</v>
      </c>
      <c r="AB990">
        <v>-1</v>
      </c>
      <c r="AC990">
        <v>-1</v>
      </c>
      <c r="AD990">
        <v>-1</v>
      </c>
      <c r="AE990">
        <v>-1</v>
      </c>
      <c r="AF990">
        <v>-1</v>
      </c>
      <c r="AG990">
        <v>-1</v>
      </c>
      <c r="AH990">
        <v>-1</v>
      </c>
      <c r="AI990">
        <v>-1</v>
      </c>
      <c r="AJ990" s="9" t="str">
        <f t="shared" si="285"/>
        <v>Other</v>
      </c>
      <c r="AK990">
        <f t="shared" si="298"/>
        <v>0</v>
      </c>
      <c r="AL990" s="9">
        <v>0</v>
      </c>
    </row>
    <row r="991" spans="1:38" x14ac:dyDescent="0.35">
      <c r="A991" s="50">
        <v>0</v>
      </c>
      <c r="B991" s="50" t="s">
        <v>107</v>
      </c>
      <c r="C991" s="53">
        <v>43890</v>
      </c>
      <c r="D991" s="53">
        <v>43906</v>
      </c>
      <c r="E991" s="53">
        <v>43980</v>
      </c>
      <c r="F991" s="21">
        <f t="shared" si="286"/>
        <v>74</v>
      </c>
      <c r="G991" s="53">
        <v>43906</v>
      </c>
      <c r="H991" s="9">
        <v>2020</v>
      </c>
      <c r="I991" s="50">
        <v>0</v>
      </c>
      <c r="J991" s="50">
        <v>6</v>
      </c>
      <c r="K991" s="50">
        <v>26</v>
      </c>
      <c r="L991" s="24" t="s">
        <v>1884</v>
      </c>
      <c r="M991" s="24"/>
      <c r="V991" t="s">
        <v>975</v>
      </c>
      <c r="W991" t="s">
        <v>989</v>
      </c>
      <c r="X991" t="s">
        <v>997</v>
      </c>
      <c r="Y991" t="s">
        <v>1000</v>
      </c>
      <c r="Z991">
        <v>0</v>
      </c>
      <c r="AA991">
        <v>-1</v>
      </c>
      <c r="AB991">
        <v>-1</v>
      </c>
      <c r="AC991">
        <v>-1</v>
      </c>
      <c r="AD991">
        <v>-1</v>
      </c>
      <c r="AE991">
        <v>-1</v>
      </c>
      <c r="AF991">
        <v>-1</v>
      </c>
      <c r="AG991">
        <v>-1</v>
      </c>
      <c r="AH991">
        <v>-1</v>
      </c>
      <c r="AI991">
        <v>-1</v>
      </c>
      <c r="AJ991" s="9">
        <f t="shared" si="285"/>
        <v>26</v>
      </c>
      <c r="AK991">
        <f t="shared" si="298"/>
        <v>0</v>
      </c>
      <c r="AL991" s="9">
        <v>1</v>
      </c>
    </row>
    <row r="992" spans="1:38" x14ac:dyDescent="0.35">
      <c r="A992" s="50">
        <v>0</v>
      </c>
      <c r="B992" s="50" t="s">
        <v>107</v>
      </c>
      <c r="C992" s="53">
        <v>43890</v>
      </c>
      <c r="D992" s="53">
        <v>43906</v>
      </c>
      <c r="E992" s="53">
        <v>43980</v>
      </c>
      <c r="F992" s="21">
        <f t="shared" si="286"/>
        <v>74</v>
      </c>
      <c r="G992" s="53">
        <v>43906</v>
      </c>
      <c r="H992" s="9">
        <v>2020</v>
      </c>
      <c r="I992" s="50">
        <v>0</v>
      </c>
      <c r="J992" s="50">
        <v>6</v>
      </c>
      <c r="K992" s="50">
        <v>28</v>
      </c>
      <c r="L992" s="24" t="s">
        <v>1885</v>
      </c>
      <c r="M992" s="24"/>
      <c r="V992" t="s">
        <v>975</v>
      </c>
      <c r="W992" t="s">
        <v>989</v>
      </c>
      <c r="X992" t="s">
        <v>997</v>
      </c>
      <c r="Y992" t="s">
        <v>1000</v>
      </c>
      <c r="Z992">
        <v>0</v>
      </c>
      <c r="AA992">
        <v>-1</v>
      </c>
      <c r="AB992">
        <v>-1</v>
      </c>
      <c r="AC992">
        <v>-1</v>
      </c>
      <c r="AD992">
        <v>-1</v>
      </c>
      <c r="AE992">
        <v>-1</v>
      </c>
      <c r="AF992">
        <v>-1</v>
      </c>
      <c r="AG992">
        <v>-1</v>
      </c>
      <c r="AH992">
        <v>-1</v>
      </c>
      <c r="AI992">
        <v>-1</v>
      </c>
      <c r="AJ992" s="9">
        <f t="shared" si="285"/>
        <v>28</v>
      </c>
      <c r="AK992">
        <f t="shared" si="298"/>
        <v>0</v>
      </c>
      <c r="AL992" s="9">
        <v>1</v>
      </c>
    </row>
    <row r="993" spans="1:38" s="47" customFormat="1" x14ac:dyDescent="0.35">
      <c r="A993" s="50">
        <v>0</v>
      </c>
      <c r="B993" s="50" t="s">
        <v>107</v>
      </c>
      <c r="C993" s="53">
        <v>43890</v>
      </c>
      <c r="D993" s="53">
        <v>43906</v>
      </c>
      <c r="E993" s="53">
        <v>43980</v>
      </c>
      <c r="F993" s="21">
        <f t="shared" si="286"/>
        <v>74</v>
      </c>
      <c r="G993" s="53">
        <v>43906</v>
      </c>
      <c r="H993" s="9">
        <v>2021</v>
      </c>
      <c r="I993" s="50">
        <v>0</v>
      </c>
      <c r="J993" s="50">
        <v>9</v>
      </c>
      <c r="K993" s="50">
        <v>34</v>
      </c>
      <c r="L993" s="48" t="s">
        <v>1722</v>
      </c>
      <c r="M993" s="48"/>
      <c r="V993" t="s">
        <v>975</v>
      </c>
      <c r="W993" t="s">
        <v>989</v>
      </c>
      <c r="X993" t="s">
        <v>997</v>
      </c>
      <c r="AJ993" s="47">
        <f t="shared" si="285"/>
        <v>34</v>
      </c>
    </row>
    <row r="994" spans="1:38" s="47" customFormat="1" x14ac:dyDescent="0.35">
      <c r="A994" s="50">
        <v>0</v>
      </c>
      <c r="B994" s="50" t="s">
        <v>107</v>
      </c>
      <c r="C994" s="53">
        <v>43890</v>
      </c>
      <c r="D994" s="53">
        <v>43906</v>
      </c>
      <c r="E994" s="53">
        <v>43980</v>
      </c>
      <c r="F994" s="21">
        <f t="shared" si="286"/>
        <v>74</v>
      </c>
      <c r="G994" s="53">
        <v>43906</v>
      </c>
      <c r="H994" s="9">
        <v>2021</v>
      </c>
      <c r="I994" s="50">
        <v>0</v>
      </c>
      <c r="J994" s="50">
        <v>7</v>
      </c>
      <c r="K994" s="50">
        <v>31</v>
      </c>
      <c r="L994" s="48" t="s">
        <v>1723</v>
      </c>
      <c r="M994" s="48"/>
      <c r="V994" t="s">
        <v>975</v>
      </c>
      <c r="W994" t="s">
        <v>989</v>
      </c>
      <c r="X994" t="s">
        <v>997</v>
      </c>
      <c r="AJ994" s="47">
        <f t="shared" si="285"/>
        <v>31</v>
      </c>
    </row>
    <row r="995" spans="1:38" s="47" customFormat="1" x14ac:dyDescent="0.35">
      <c r="A995" s="50">
        <v>0</v>
      </c>
      <c r="B995" s="50" t="s">
        <v>107</v>
      </c>
      <c r="C995" s="53">
        <v>43890</v>
      </c>
      <c r="D995" s="53">
        <v>43906</v>
      </c>
      <c r="E995" s="53">
        <v>43980</v>
      </c>
      <c r="F995" s="21">
        <f t="shared" si="286"/>
        <v>74</v>
      </c>
      <c r="G995" s="53">
        <v>43906</v>
      </c>
      <c r="H995" s="9">
        <v>2021</v>
      </c>
      <c r="I995" s="50">
        <v>0</v>
      </c>
      <c r="J995" s="50">
        <v>9</v>
      </c>
      <c r="K995" s="50">
        <v>34</v>
      </c>
      <c r="L995" s="48" t="s">
        <v>1724</v>
      </c>
      <c r="M995" s="48"/>
      <c r="V995" t="s">
        <v>975</v>
      </c>
      <c r="W995" t="s">
        <v>989</v>
      </c>
      <c r="X995" t="s">
        <v>997</v>
      </c>
      <c r="AJ995" s="47">
        <f t="shared" si="285"/>
        <v>34</v>
      </c>
    </row>
    <row r="996" spans="1:38" s="47" customFormat="1" x14ac:dyDescent="0.35">
      <c r="A996" s="50">
        <v>0</v>
      </c>
      <c r="B996" s="50" t="s">
        <v>107</v>
      </c>
      <c r="C996" s="53">
        <v>43890</v>
      </c>
      <c r="D996" s="53">
        <v>43906</v>
      </c>
      <c r="E996" s="53">
        <v>43980</v>
      </c>
      <c r="F996" s="21">
        <f t="shared" ref="F996:F1002" si="299">DATEDIF(D996,E996,"D")</f>
        <v>74</v>
      </c>
      <c r="G996" s="53">
        <v>43907</v>
      </c>
      <c r="H996" s="9">
        <v>2021</v>
      </c>
      <c r="I996" s="50">
        <v>0</v>
      </c>
      <c r="J996" s="50">
        <v>9</v>
      </c>
      <c r="K996" s="50">
        <v>34</v>
      </c>
      <c r="L996" s="48" t="s">
        <v>2027</v>
      </c>
      <c r="M996" s="48"/>
      <c r="V996"/>
      <c r="W996"/>
      <c r="X996"/>
      <c r="AJ996" s="47">
        <f t="shared" si="285"/>
        <v>34</v>
      </c>
    </row>
    <row r="997" spans="1:38" s="47" customFormat="1" x14ac:dyDescent="0.35">
      <c r="A997" s="50">
        <v>0</v>
      </c>
      <c r="B997" s="50" t="s">
        <v>107</v>
      </c>
      <c r="C997" s="53">
        <v>43890</v>
      </c>
      <c r="D997" s="53">
        <v>43906</v>
      </c>
      <c r="E997" s="53">
        <v>43980</v>
      </c>
      <c r="F997" s="21">
        <f t="shared" si="299"/>
        <v>74</v>
      </c>
      <c r="G997" s="53">
        <v>43908</v>
      </c>
      <c r="H997" s="9">
        <v>2021</v>
      </c>
      <c r="I997" s="50">
        <v>0</v>
      </c>
      <c r="J997" s="50">
        <v>9</v>
      </c>
      <c r="K997" s="50">
        <v>34</v>
      </c>
      <c r="L997" s="48" t="s">
        <v>2028</v>
      </c>
      <c r="M997" s="48"/>
      <c r="V997"/>
      <c r="W997"/>
      <c r="X997"/>
      <c r="AJ997" s="47">
        <f t="shared" si="285"/>
        <v>34</v>
      </c>
    </row>
    <row r="998" spans="1:38" s="47" customFormat="1" x14ac:dyDescent="0.35">
      <c r="A998" s="50">
        <v>0</v>
      </c>
      <c r="B998" s="50" t="s">
        <v>107</v>
      </c>
      <c r="C998" s="53">
        <v>43890</v>
      </c>
      <c r="D998" s="53">
        <v>43906</v>
      </c>
      <c r="E998" s="53">
        <v>43980</v>
      </c>
      <c r="F998" s="21">
        <f t="shared" si="299"/>
        <v>74</v>
      </c>
      <c r="G998" s="53">
        <v>43909</v>
      </c>
      <c r="H998" s="9">
        <v>2021</v>
      </c>
      <c r="I998" s="50">
        <v>0</v>
      </c>
      <c r="J998" s="50">
        <v>7</v>
      </c>
      <c r="K998" s="50">
        <v>31</v>
      </c>
      <c r="L998" s="48" t="s">
        <v>2029</v>
      </c>
      <c r="M998" s="48"/>
      <c r="V998"/>
      <c r="W998"/>
      <c r="X998"/>
      <c r="AJ998" s="47">
        <f t="shared" si="285"/>
        <v>31</v>
      </c>
    </row>
    <row r="999" spans="1:38" s="47" customFormat="1" x14ac:dyDescent="0.35">
      <c r="A999" s="50">
        <v>0</v>
      </c>
      <c r="B999" s="50" t="s">
        <v>107</v>
      </c>
      <c r="C999" s="53">
        <v>43890</v>
      </c>
      <c r="D999" s="53">
        <v>43906</v>
      </c>
      <c r="E999" s="53">
        <v>43980</v>
      </c>
      <c r="F999" s="21">
        <f t="shared" si="299"/>
        <v>74</v>
      </c>
      <c r="G999" s="53">
        <v>43910</v>
      </c>
      <c r="H999" s="9">
        <v>2021</v>
      </c>
      <c r="I999" s="50">
        <v>0</v>
      </c>
      <c r="J999" s="50">
        <v>7</v>
      </c>
      <c r="K999" s="50">
        <v>30</v>
      </c>
      <c r="L999" s="48" t="s">
        <v>2030</v>
      </c>
      <c r="M999" s="48"/>
      <c r="V999"/>
      <c r="W999"/>
      <c r="X999"/>
      <c r="AJ999" s="47">
        <f t="shared" si="285"/>
        <v>30</v>
      </c>
    </row>
    <row r="1000" spans="1:38" s="47" customFormat="1" x14ac:dyDescent="0.35">
      <c r="A1000" s="50">
        <v>0</v>
      </c>
      <c r="B1000" s="50" t="s">
        <v>107</v>
      </c>
      <c r="C1000" s="53">
        <v>43890</v>
      </c>
      <c r="D1000" s="53">
        <v>43906</v>
      </c>
      <c r="E1000" s="53">
        <v>43980</v>
      </c>
      <c r="F1000" s="21">
        <f t="shared" si="299"/>
        <v>74</v>
      </c>
      <c r="G1000" s="53">
        <v>43911</v>
      </c>
      <c r="H1000" s="9">
        <v>2021</v>
      </c>
      <c r="I1000" s="50">
        <v>0</v>
      </c>
      <c r="J1000" s="50">
        <v>9</v>
      </c>
      <c r="K1000" s="50">
        <v>34</v>
      </c>
      <c r="L1000" s="48" t="s">
        <v>2031</v>
      </c>
      <c r="M1000" s="48"/>
      <c r="V1000"/>
      <c r="W1000"/>
      <c r="X1000"/>
      <c r="AJ1000" s="47">
        <f t="shared" si="285"/>
        <v>34</v>
      </c>
    </row>
    <row r="1001" spans="1:38" s="47" customFormat="1" x14ac:dyDescent="0.35">
      <c r="A1001" s="50">
        <v>0</v>
      </c>
      <c r="B1001" s="50" t="s">
        <v>107</v>
      </c>
      <c r="C1001" s="53">
        <v>43890</v>
      </c>
      <c r="D1001" s="53">
        <v>43906</v>
      </c>
      <c r="E1001" s="53">
        <v>43980</v>
      </c>
      <c r="F1001" s="21">
        <f t="shared" si="299"/>
        <v>74</v>
      </c>
      <c r="G1001" s="53">
        <v>43912</v>
      </c>
      <c r="H1001" s="9">
        <v>2021</v>
      </c>
      <c r="I1001" s="50">
        <v>0</v>
      </c>
      <c r="J1001" s="50">
        <v>6</v>
      </c>
      <c r="K1001" s="50">
        <v>29</v>
      </c>
      <c r="L1001" s="48" t="s">
        <v>2032</v>
      </c>
      <c r="M1001" s="48"/>
      <c r="V1001"/>
      <c r="W1001"/>
      <c r="X1001"/>
      <c r="AJ1001" s="47">
        <f t="shared" si="285"/>
        <v>29</v>
      </c>
    </row>
    <row r="1002" spans="1:38" s="47" customFormat="1" x14ac:dyDescent="0.35">
      <c r="A1002" s="50">
        <v>0</v>
      </c>
      <c r="B1002" s="50" t="s">
        <v>107</v>
      </c>
      <c r="C1002" s="53">
        <v>43890</v>
      </c>
      <c r="D1002" s="53">
        <v>43906</v>
      </c>
      <c r="E1002" s="53">
        <v>43980</v>
      </c>
      <c r="F1002" s="21">
        <f t="shared" si="299"/>
        <v>74</v>
      </c>
      <c r="G1002" s="53">
        <v>43913</v>
      </c>
      <c r="H1002" s="9">
        <v>2021</v>
      </c>
      <c r="I1002" s="50">
        <v>0</v>
      </c>
      <c r="J1002" s="50">
        <v>6</v>
      </c>
      <c r="K1002" s="50">
        <v>29</v>
      </c>
      <c r="L1002" s="48" t="s">
        <v>2033</v>
      </c>
      <c r="M1002" s="48"/>
      <c r="V1002"/>
      <c r="W1002"/>
      <c r="X1002"/>
      <c r="AJ1002" s="47">
        <f t="shared" si="285"/>
        <v>29</v>
      </c>
    </row>
    <row r="1003" spans="1:38" x14ac:dyDescent="0.35">
      <c r="A1003" s="50">
        <v>0</v>
      </c>
      <c r="B1003" s="9" t="s">
        <v>115</v>
      </c>
      <c r="C1003" s="53">
        <v>43889</v>
      </c>
      <c r="D1003" s="53">
        <v>43913</v>
      </c>
      <c r="E1003" s="53">
        <v>43997</v>
      </c>
      <c r="F1003" s="21">
        <f t="shared" si="286"/>
        <v>84</v>
      </c>
      <c r="G1003" s="53">
        <v>43913</v>
      </c>
      <c r="H1003" s="9">
        <v>2020</v>
      </c>
      <c r="I1003" s="50">
        <v>0</v>
      </c>
      <c r="J1003" s="9">
        <v>1</v>
      </c>
      <c r="K1003" s="9">
        <v>7</v>
      </c>
      <c r="L1003" s="50" t="s">
        <v>2038</v>
      </c>
      <c r="M1003">
        <v>2</v>
      </c>
      <c r="N1003">
        <v>2</v>
      </c>
      <c r="O1003">
        <v>-2</v>
      </c>
      <c r="P1003">
        <v>-1</v>
      </c>
      <c r="Q1003">
        <v>-2</v>
      </c>
      <c r="R1003">
        <v>2</v>
      </c>
      <c r="S1003">
        <v>2</v>
      </c>
      <c r="T1003">
        <v>2</v>
      </c>
      <c r="U1003">
        <v>1</v>
      </c>
      <c r="V1003" t="s">
        <v>977</v>
      </c>
      <c r="W1003" t="s">
        <v>990</v>
      </c>
      <c r="X1003" t="s">
        <v>998</v>
      </c>
      <c r="Y1003" t="s">
        <v>1003</v>
      </c>
      <c r="Z1003">
        <v>0</v>
      </c>
      <c r="AA1003">
        <f t="shared" ref="AA1003:AA1014" si="300">IF(M1003&gt;0,1,IF(M1003&lt;0,0,-1))</f>
        <v>1</v>
      </c>
      <c r="AB1003">
        <f t="shared" ref="AB1003:AB1014" si="301">IF(N1003&gt;0,1,IF(N1003&lt;0,0,-1))</f>
        <v>1</v>
      </c>
      <c r="AC1003">
        <f t="shared" ref="AC1003:AC1014" si="302">IF(O1003&gt;0,1,IF(O1003&lt;0,0,-1))</f>
        <v>0</v>
      </c>
      <c r="AD1003">
        <f t="shared" ref="AD1003:AD1014" si="303">IF(P1003&gt;0,1,IF(P1003&lt;0,0,-1))</f>
        <v>0</v>
      </c>
      <c r="AE1003">
        <f t="shared" ref="AE1003:AE1014" si="304">IF(Q1003&gt;0,1,IF(Q1003&lt;0,0,-1))</f>
        <v>0</v>
      </c>
      <c r="AF1003">
        <f t="shared" ref="AF1003:AF1014" si="305">IF(R1003&gt;0,1,IF(R1003&lt;0,0,-1))</f>
        <v>1</v>
      </c>
      <c r="AG1003">
        <f t="shared" ref="AG1003:AG1014" si="306">IF(S1003&gt;0,1,IF(S1003&lt;0,0,-1))</f>
        <v>1</v>
      </c>
      <c r="AH1003">
        <f t="shared" ref="AH1003:AH1014" si="307">IF(T1003&gt;0,1,IF(T1003&lt;0,0,-1))</f>
        <v>1</v>
      </c>
      <c r="AI1003">
        <f t="shared" ref="AI1003:AI1014" si="308">IF(U1003&gt;0,1,IF(U1003&lt;0,0,-1))</f>
        <v>1</v>
      </c>
      <c r="AJ1003" s="9">
        <f t="shared" ref="AJ1003:AJ1027" si="309">IF(ISNUMBER(K1003),K1003,IF(OR(K1003="general",K1003="23;general"),"General",IF(OR(K1003="exemption",K1003="other (exemption)"),"Tax exemption/waiver/suspension","Other")))</f>
        <v>7</v>
      </c>
      <c r="AK1003" t="e">
        <f>IF(B1003&lt;&gt;#REF!,1,0)</f>
        <v>#REF!</v>
      </c>
      <c r="AL1003" s="9">
        <v>1</v>
      </c>
    </row>
    <row r="1004" spans="1:38" x14ac:dyDescent="0.35">
      <c r="A1004" s="50">
        <v>0</v>
      </c>
      <c r="B1004" s="9" t="s">
        <v>115</v>
      </c>
      <c r="C1004" s="53">
        <v>43889</v>
      </c>
      <c r="D1004" s="53">
        <v>43913</v>
      </c>
      <c r="E1004" s="53">
        <v>43997</v>
      </c>
      <c r="F1004" s="21">
        <f t="shared" si="286"/>
        <v>84</v>
      </c>
      <c r="G1004" s="53">
        <v>43913</v>
      </c>
      <c r="H1004" s="9">
        <v>2020</v>
      </c>
      <c r="I1004" s="50">
        <v>0</v>
      </c>
      <c r="J1004" s="9">
        <v>1</v>
      </c>
      <c r="K1004" s="9">
        <v>9</v>
      </c>
      <c r="L1004" s="50" t="s">
        <v>718</v>
      </c>
      <c r="M1004">
        <v>-2</v>
      </c>
      <c r="N1004">
        <v>2</v>
      </c>
      <c r="O1004">
        <v>2</v>
      </c>
      <c r="P1004">
        <v>2</v>
      </c>
      <c r="Q1004">
        <v>2</v>
      </c>
      <c r="R1004">
        <v>-2</v>
      </c>
      <c r="S1004">
        <v>-2</v>
      </c>
      <c r="T1004">
        <v>2</v>
      </c>
      <c r="U1004">
        <v>1</v>
      </c>
      <c r="V1004" t="s">
        <v>977</v>
      </c>
      <c r="W1004" t="s">
        <v>990</v>
      </c>
      <c r="X1004" t="s">
        <v>998</v>
      </c>
      <c r="Y1004" t="s">
        <v>1003</v>
      </c>
      <c r="Z1004">
        <v>0</v>
      </c>
      <c r="AA1004">
        <f t="shared" si="300"/>
        <v>0</v>
      </c>
      <c r="AB1004">
        <f t="shared" si="301"/>
        <v>1</v>
      </c>
      <c r="AC1004">
        <f t="shared" si="302"/>
        <v>1</v>
      </c>
      <c r="AD1004">
        <f t="shared" si="303"/>
        <v>1</v>
      </c>
      <c r="AE1004">
        <f t="shared" si="304"/>
        <v>1</v>
      </c>
      <c r="AF1004">
        <f t="shared" si="305"/>
        <v>0</v>
      </c>
      <c r="AG1004">
        <f t="shared" si="306"/>
        <v>0</v>
      </c>
      <c r="AH1004">
        <f t="shared" si="307"/>
        <v>1</v>
      </c>
      <c r="AI1004">
        <f t="shared" si="308"/>
        <v>1</v>
      </c>
      <c r="AJ1004" s="9">
        <f t="shared" si="309"/>
        <v>9</v>
      </c>
      <c r="AK1004" t="e">
        <f>IF(B1004&lt;&gt;#REF!,1,0)</f>
        <v>#REF!</v>
      </c>
      <c r="AL1004" s="9">
        <v>1</v>
      </c>
    </row>
    <row r="1005" spans="1:38" x14ac:dyDescent="0.35">
      <c r="A1005" s="50">
        <v>0</v>
      </c>
      <c r="B1005" s="9" t="s">
        <v>115</v>
      </c>
      <c r="C1005" s="53">
        <v>43889</v>
      </c>
      <c r="D1005" s="53">
        <v>43913</v>
      </c>
      <c r="E1005" s="53">
        <v>43997</v>
      </c>
      <c r="F1005" s="21">
        <f t="shared" si="286"/>
        <v>84</v>
      </c>
      <c r="G1005" s="53">
        <v>43913</v>
      </c>
      <c r="H1005" s="9">
        <v>2020</v>
      </c>
      <c r="I1005" s="50">
        <v>0</v>
      </c>
      <c r="J1005" s="9">
        <v>7</v>
      </c>
      <c r="K1005" s="9">
        <v>30</v>
      </c>
      <c r="L1005" s="50" t="s">
        <v>715</v>
      </c>
      <c r="M1005">
        <v>1</v>
      </c>
      <c r="N1005">
        <v>1</v>
      </c>
      <c r="O1005">
        <v>2</v>
      </c>
      <c r="P1005">
        <v>1</v>
      </c>
      <c r="Q1005">
        <v>2</v>
      </c>
      <c r="R1005">
        <v>2</v>
      </c>
      <c r="S1005">
        <v>1</v>
      </c>
      <c r="T1005">
        <v>-2</v>
      </c>
      <c r="U1005">
        <v>1</v>
      </c>
      <c r="V1005" t="s">
        <v>977</v>
      </c>
      <c r="W1005" t="s">
        <v>990</v>
      </c>
      <c r="X1005" t="s">
        <v>998</v>
      </c>
      <c r="Y1005" t="s">
        <v>1003</v>
      </c>
      <c r="Z1005">
        <v>0</v>
      </c>
      <c r="AA1005">
        <f t="shared" si="300"/>
        <v>1</v>
      </c>
      <c r="AB1005">
        <f t="shared" si="301"/>
        <v>1</v>
      </c>
      <c r="AC1005">
        <f t="shared" si="302"/>
        <v>1</v>
      </c>
      <c r="AD1005">
        <f t="shared" si="303"/>
        <v>1</v>
      </c>
      <c r="AE1005">
        <f t="shared" si="304"/>
        <v>1</v>
      </c>
      <c r="AF1005">
        <f t="shared" si="305"/>
        <v>1</v>
      </c>
      <c r="AG1005">
        <f t="shared" si="306"/>
        <v>1</v>
      </c>
      <c r="AH1005">
        <f t="shared" si="307"/>
        <v>0</v>
      </c>
      <c r="AI1005">
        <f t="shared" si="308"/>
        <v>1</v>
      </c>
      <c r="AJ1005" s="9">
        <f t="shared" si="309"/>
        <v>30</v>
      </c>
      <c r="AK1005">
        <f t="shared" ref="AK1005:AK1023" si="310">IF(B1005&lt;&gt;B1004,1,0)</f>
        <v>0</v>
      </c>
      <c r="AL1005" s="9">
        <v>1</v>
      </c>
    </row>
    <row r="1006" spans="1:38" x14ac:dyDescent="0.35">
      <c r="A1006" s="50">
        <v>0</v>
      </c>
      <c r="B1006" s="9" t="s">
        <v>115</v>
      </c>
      <c r="C1006" s="53">
        <v>43889</v>
      </c>
      <c r="D1006" s="53">
        <v>43913</v>
      </c>
      <c r="E1006" s="53">
        <v>43997</v>
      </c>
      <c r="F1006" s="21">
        <f t="shared" si="286"/>
        <v>84</v>
      </c>
      <c r="G1006" s="53">
        <v>43913</v>
      </c>
      <c r="H1006" s="9">
        <v>2020</v>
      </c>
      <c r="I1006" s="50">
        <v>0</v>
      </c>
      <c r="J1006" s="9">
        <v>6</v>
      </c>
      <c r="K1006" s="9">
        <v>27</v>
      </c>
      <c r="L1006" s="50" t="s">
        <v>714</v>
      </c>
      <c r="M1006">
        <v>1</v>
      </c>
      <c r="N1006">
        <v>1</v>
      </c>
      <c r="O1006">
        <v>2</v>
      </c>
      <c r="P1006">
        <v>1</v>
      </c>
      <c r="Q1006">
        <v>2</v>
      </c>
      <c r="R1006">
        <v>2</v>
      </c>
      <c r="S1006">
        <v>-1</v>
      </c>
      <c r="T1006">
        <v>2</v>
      </c>
      <c r="U1006">
        <v>1</v>
      </c>
      <c r="V1006" t="s">
        <v>977</v>
      </c>
      <c r="W1006" t="s">
        <v>990</v>
      </c>
      <c r="X1006" t="s">
        <v>998</v>
      </c>
      <c r="Y1006" t="s">
        <v>1003</v>
      </c>
      <c r="Z1006">
        <v>0</v>
      </c>
      <c r="AA1006">
        <f t="shared" si="300"/>
        <v>1</v>
      </c>
      <c r="AB1006">
        <f t="shared" si="301"/>
        <v>1</v>
      </c>
      <c r="AC1006">
        <f t="shared" si="302"/>
        <v>1</v>
      </c>
      <c r="AD1006">
        <f t="shared" si="303"/>
        <v>1</v>
      </c>
      <c r="AE1006">
        <f t="shared" si="304"/>
        <v>1</v>
      </c>
      <c r="AF1006">
        <f t="shared" si="305"/>
        <v>1</v>
      </c>
      <c r="AG1006">
        <f t="shared" si="306"/>
        <v>0</v>
      </c>
      <c r="AH1006">
        <f t="shared" si="307"/>
        <v>1</v>
      </c>
      <c r="AI1006">
        <f t="shared" si="308"/>
        <v>1</v>
      </c>
      <c r="AJ1006" s="9">
        <f t="shared" si="309"/>
        <v>27</v>
      </c>
      <c r="AK1006">
        <f t="shared" si="310"/>
        <v>0</v>
      </c>
      <c r="AL1006" s="9">
        <v>1</v>
      </c>
    </row>
    <row r="1007" spans="1:38" x14ac:dyDescent="0.35">
      <c r="A1007" s="50">
        <v>0</v>
      </c>
      <c r="B1007" s="9" t="s">
        <v>115</v>
      </c>
      <c r="C1007" s="53">
        <v>43889</v>
      </c>
      <c r="D1007" s="53">
        <v>43913</v>
      </c>
      <c r="E1007" s="53">
        <v>43997</v>
      </c>
      <c r="F1007" s="21">
        <f t="shared" si="286"/>
        <v>84</v>
      </c>
      <c r="G1007" s="53">
        <v>43913</v>
      </c>
      <c r="H1007" s="9">
        <v>2020</v>
      </c>
      <c r="I1007" s="50">
        <v>0</v>
      </c>
      <c r="J1007" s="9">
        <v>1</v>
      </c>
      <c r="K1007" s="9">
        <v>6</v>
      </c>
      <c r="L1007" s="50" t="s">
        <v>716</v>
      </c>
      <c r="M1007">
        <v>-2</v>
      </c>
      <c r="N1007">
        <v>2</v>
      </c>
      <c r="O1007">
        <v>2</v>
      </c>
      <c r="P1007">
        <v>2</v>
      </c>
      <c r="Q1007">
        <v>2</v>
      </c>
      <c r="R1007">
        <v>2</v>
      </c>
      <c r="S1007">
        <v>1</v>
      </c>
      <c r="T1007">
        <v>2</v>
      </c>
      <c r="U1007">
        <v>1</v>
      </c>
      <c r="V1007" t="s">
        <v>977</v>
      </c>
      <c r="W1007" t="s">
        <v>990</v>
      </c>
      <c r="X1007" t="s">
        <v>998</v>
      </c>
      <c r="Y1007" t="s">
        <v>1003</v>
      </c>
      <c r="Z1007">
        <v>0</v>
      </c>
      <c r="AA1007">
        <f t="shared" si="300"/>
        <v>0</v>
      </c>
      <c r="AB1007">
        <f t="shared" si="301"/>
        <v>1</v>
      </c>
      <c r="AC1007">
        <f t="shared" si="302"/>
        <v>1</v>
      </c>
      <c r="AD1007">
        <f t="shared" si="303"/>
        <v>1</v>
      </c>
      <c r="AE1007">
        <f t="shared" si="304"/>
        <v>1</v>
      </c>
      <c r="AF1007">
        <f t="shared" si="305"/>
        <v>1</v>
      </c>
      <c r="AG1007">
        <f t="shared" si="306"/>
        <v>1</v>
      </c>
      <c r="AH1007">
        <f t="shared" si="307"/>
        <v>1</v>
      </c>
      <c r="AI1007">
        <f t="shared" si="308"/>
        <v>1</v>
      </c>
      <c r="AJ1007" s="9">
        <f t="shared" si="309"/>
        <v>6</v>
      </c>
      <c r="AK1007">
        <f t="shared" si="310"/>
        <v>0</v>
      </c>
      <c r="AL1007" s="9">
        <v>1</v>
      </c>
    </row>
    <row r="1008" spans="1:38" x14ac:dyDescent="0.35">
      <c r="A1008" s="50">
        <v>0</v>
      </c>
      <c r="B1008" s="9" t="s">
        <v>115</v>
      </c>
      <c r="C1008" s="53">
        <v>43889</v>
      </c>
      <c r="D1008" s="53">
        <v>43913</v>
      </c>
      <c r="E1008" s="53">
        <v>43997</v>
      </c>
      <c r="F1008" s="21">
        <f t="shared" si="286"/>
        <v>84</v>
      </c>
      <c r="G1008" s="53">
        <v>43913</v>
      </c>
      <c r="H1008" s="9">
        <v>2020</v>
      </c>
      <c r="I1008" s="50">
        <v>0</v>
      </c>
      <c r="J1008" s="9">
        <v>1</v>
      </c>
      <c r="K1008" s="9">
        <v>6</v>
      </c>
      <c r="L1008" s="50" t="s">
        <v>710</v>
      </c>
      <c r="M1008">
        <v>-2</v>
      </c>
      <c r="N1008">
        <v>2</v>
      </c>
      <c r="O1008">
        <v>2</v>
      </c>
      <c r="P1008">
        <v>2</v>
      </c>
      <c r="Q1008">
        <v>2</v>
      </c>
      <c r="R1008">
        <v>2</v>
      </c>
      <c r="S1008">
        <v>1</v>
      </c>
      <c r="T1008">
        <v>2</v>
      </c>
      <c r="U1008">
        <v>1</v>
      </c>
      <c r="V1008" t="s">
        <v>977</v>
      </c>
      <c r="W1008" t="s">
        <v>990</v>
      </c>
      <c r="X1008" t="s">
        <v>998</v>
      </c>
      <c r="Y1008" t="s">
        <v>1003</v>
      </c>
      <c r="Z1008">
        <v>0</v>
      </c>
      <c r="AA1008">
        <f t="shared" si="300"/>
        <v>0</v>
      </c>
      <c r="AB1008">
        <f t="shared" si="301"/>
        <v>1</v>
      </c>
      <c r="AC1008">
        <f t="shared" si="302"/>
        <v>1</v>
      </c>
      <c r="AD1008">
        <f t="shared" si="303"/>
        <v>1</v>
      </c>
      <c r="AE1008">
        <f t="shared" si="304"/>
        <v>1</v>
      </c>
      <c r="AF1008">
        <f t="shared" si="305"/>
        <v>1</v>
      </c>
      <c r="AG1008">
        <f t="shared" si="306"/>
        <v>1</v>
      </c>
      <c r="AH1008">
        <f t="shared" si="307"/>
        <v>1</v>
      </c>
      <c r="AI1008">
        <f t="shared" si="308"/>
        <v>1</v>
      </c>
      <c r="AJ1008" s="9">
        <f t="shared" si="309"/>
        <v>6</v>
      </c>
      <c r="AK1008">
        <f t="shared" si="310"/>
        <v>0</v>
      </c>
      <c r="AL1008" s="9">
        <v>1</v>
      </c>
    </row>
    <row r="1009" spans="1:38" x14ac:dyDescent="0.35">
      <c r="A1009" s="50">
        <v>0</v>
      </c>
      <c r="B1009" s="9" t="s">
        <v>115</v>
      </c>
      <c r="C1009" s="53">
        <v>43889</v>
      </c>
      <c r="D1009" s="53">
        <v>43913</v>
      </c>
      <c r="E1009" s="53">
        <v>43997</v>
      </c>
      <c r="F1009" s="21">
        <f t="shared" si="286"/>
        <v>84</v>
      </c>
      <c r="G1009" s="53">
        <v>43913</v>
      </c>
      <c r="H1009" s="9">
        <v>2020</v>
      </c>
      <c r="I1009" s="50">
        <v>0</v>
      </c>
      <c r="J1009" s="9">
        <v>7</v>
      </c>
      <c r="K1009" s="9">
        <v>30</v>
      </c>
      <c r="L1009" s="50" t="s">
        <v>709</v>
      </c>
      <c r="M1009">
        <v>1</v>
      </c>
      <c r="N1009">
        <v>1</v>
      </c>
      <c r="O1009">
        <v>2</v>
      </c>
      <c r="P1009">
        <v>1</v>
      </c>
      <c r="Q1009">
        <v>2</v>
      </c>
      <c r="R1009">
        <v>2</v>
      </c>
      <c r="S1009">
        <v>1</v>
      </c>
      <c r="T1009">
        <v>-2</v>
      </c>
      <c r="U1009">
        <v>1</v>
      </c>
      <c r="V1009" t="s">
        <v>977</v>
      </c>
      <c r="W1009" t="s">
        <v>990</v>
      </c>
      <c r="X1009" t="s">
        <v>998</v>
      </c>
      <c r="Y1009" t="s">
        <v>1003</v>
      </c>
      <c r="Z1009">
        <v>0</v>
      </c>
      <c r="AA1009">
        <f t="shared" si="300"/>
        <v>1</v>
      </c>
      <c r="AB1009">
        <f t="shared" si="301"/>
        <v>1</v>
      </c>
      <c r="AC1009">
        <f t="shared" si="302"/>
        <v>1</v>
      </c>
      <c r="AD1009">
        <f t="shared" si="303"/>
        <v>1</v>
      </c>
      <c r="AE1009">
        <f t="shared" si="304"/>
        <v>1</v>
      </c>
      <c r="AF1009">
        <f t="shared" si="305"/>
        <v>1</v>
      </c>
      <c r="AG1009">
        <f t="shared" si="306"/>
        <v>1</v>
      </c>
      <c r="AH1009">
        <f t="shared" si="307"/>
        <v>0</v>
      </c>
      <c r="AI1009">
        <f t="shared" si="308"/>
        <v>1</v>
      </c>
      <c r="AJ1009" s="9">
        <f t="shared" si="309"/>
        <v>30</v>
      </c>
      <c r="AK1009">
        <f t="shared" si="310"/>
        <v>0</v>
      </c>
      <c r="AL1009" s="9">
        <v>1</v>
      </c>
    </row>
    <row r="1010" spans="1:38" x14ac:dyDescent="0.35">
      <c r="A1010" s="50">
        <v>0</v>
      </c>
      <c r="B1010" s="9" t="s">
        <v>115</v>
      </c>
      <c r="C1010" s="53">
        <v>43889</v>
      </c>
      <c r="D1010" s="53">
        <v>43913</v>
      </c>
      <c r="E1010" s="53">
        <v>43997</v>
      </c>
      <c r="F1010" s="21">
        <f t="shared" si="286"/>
        <v>84</v>
      </c>
      <c r="G1010" s="53">
        <v>43913</v>
      </c>
      <c r="H1010" s="9">
        <v>2020</v>
      </c>
      <c r="I1010" s="50">
        <v>0</v>
      </c>
      <c r="J1010" s="9">
        <v>1</v>
      </c>
      <c r="K1010" s="9">
        <v>6</v>
      </c>
      <c r="L1010" s="50" t="s">
        <v>712</v>
      </c>
      <c r="M1010">
        <v>-2</v>
      </c>
      <c r="N1010">
        <v>2</v>
      </c>
      <c r="O1010">
        <v>2</v>
      </c>
      <c r="P1010">
        <v>2</v>
      </c>
      <c r="Q1010">
        <v>2</v>
      </c>
      <c r="R1010">
        <v>2</v>
      </c>
      <c r="S1010">
        <v>1</v>
      </c>
      <c r="T1010">
        <v>2</v>
      </c>
      <c r="U1010">
        <v>1</v>
      </c>
      <c r="V1010" t="s">
        <v>977</v>
      </c>
      <c r="W1010" t="s">
        <v>990</v>
      </c>
      <c r="X1010" t="s">
        <v>998</v>
      </c>
      <c r="Y1010" t="s">
        <v>1003</v>
      </c>
      <c r="Z1010">
        <v>0</v>
      </c>
      <c r="AA1010">
        <f t="shared" si="300"/>
        <v>0</v>
      </c>
      <c r="AB1010">
        <f t="shared" si="301"/>
        <v>1</v>
      </c>
      <c r="AC1010">
        <f t="shared" si="302"/>
        <v>1</v>
      </c>
      <c r="AD1010">
        <f t="shared" si="303"/>
        <v>1</v>
      </c>
      <c r="AE1010">
        <f t="shared" si="304"/>
        <v>1</v>
      </c>
      <c r="AF1010">
        <f t="shared" si="305"/>
        <v>1</v>
      </c>
      <c r="AG1010">
        <f t="shared" si="306"/>
        <v>1</v>
      </c>
      <c r="AH1010">
        <f t="shared" si="307"/>
        <v>1</v>
      </c>
      <c r="AI1010">
        <f t="shared" si="308"/>
        <v>1</v>
      </c>
      <c r="AJ1010" s="9">
        <f t="shared" si="309"/>
        <v>6</v>
      </c>
      <c r="AK1010">
        <f t="shared" si="310"/>
        <v>0</v>
      </c>
      <c r="AL1010" s="9">
        <v>1</v>
      </c>
    </row>
    <row r="1011" spans="1:38" x14ac:dyDescent="0.35">
      <c r="A1011" s="50">
        <v>0</v>
      </c>
      <c r="B1011" s="9" t="s">
        <v>115</v>
      </c>
      <c r="C1011" s="53">
        <v>43889</v>
      </c>
      <c r="D1011" s="53">
        <v>43913</v>
      </c>
      <c r="E1011" s="53">
        <v>43997</v>
      </c>
      <c r="F1011" s="21">
        <f t="shared" si="286"/>
        <v>84</v>
      </c>
      <c r="G1011" s="53">
        <v>43913</v>
      </c>
      <c r="H1011" s="9">
        <v>2020</v>
      </c>
      <c r="I1011" s="50">
        <v>0</v>
      </c>
      <c r="J1011" s="9">
        <v>1</v>
      </c>
      <c r="K1011" s="9">
        <v>4</v>
      </c>
      <c r="L1011" s="50" t="s">
        <v>713</v>
      </c>
      <c r="M1011">
        <v>-2</v>
      </c>
      <c r="N1011">
        <v>2</v>
      </c>
      <c r="O1011">
        <v>2</v>
      </c>
      <c r="P1011">
        <v>-2</v>
      </c>
      <c r="Q1011">
        <v>2</v>
      </c>
      <c r="R1011">
        <v>2</v>
      </c>
      <c r="S1011">
        <v>2</v>
      </c>
      <c r="T1011">
        <v>2</v>
      </c>
      <c r="U1011">
        <v>1</v>
      </c>
      <c r="V1011" t="s">
        <v>977</v>
      </c>
      <c r="W1011" t="s">
        <v>990</v>
      </c>
      <c r="X1011" t="s">
        <v>998</v>
      </c>
      <c r="Y1011" t="s">
        <v>1003</v>
      </c>
      <c r="Z1011">
        <v>0</v>
      </c>
      <c r="AA1011">
        <f t="shared" si="300"/>
        <v>0</v>
      </c>
      <c r="AB1011">
        <f t="shared" si="301"/>
        <v>1</v>
      </c>
      <c r="AC1011">
        <f t="shared" si="302"/>
        <v>1</v>
      </c>
      <c r="AD1011">
        <f t="shared" si="303"/>
        <v>0</v>
      </c>
      <c r="AE1011">
        <f t="shared" si="304"/>
        <v>1</v>
      </c>
      <c r="AF1011">
        <f t="shared" si="305"/>
        <v>1</v>
      </c>
      <c r="AG1011">
        <f t="shared" si="306"/>
        <v>1</v>
      </c>
      <c r="AH1011">
        <f t="shared" si="307"/>
        <v>1</v>
      </c>
      <c r="AI1011">
        <f t="shared" si="308"/>
        <v>1</v>
      </c>
      <c r="AJ1011" s="9">
        <f t="shared" si="309"/>
        <v>4</v>
      </c>
      <c r="AK1011" t="e">
        <f>IF(B1011&lt;&gt;#REF!,1,0)</f>
        <v>#REF!</v>
      </c>
      <c r="AL1011" s="9">
        <v>1</v>
      </c>
    </row>
    <row r="1012" spans="1:38" x14ac:dyDescent="0.35">
      <c r="A1012" s="50">
        <v>0</v>
      </c>
      <c r="B1012" s="9" t="s">
        <v>115</v>
      </c>
      <c r="C1012" s="53">
        <v>43889</v>
      </c>
      <c r="D1012" s="53">
        <v>43913</v>
      </c>
      <c r="E1012" s="53">
        <v>43997</v>
      </c>
      <c r="F1012" s="21">
        <f t="shared" si="286"/>
        <v>84</v>
      </c>
      <c r="G1012" s="53">
        <v>43913</v>
      </c>
      <c r="H1012" s="9">
        <v>2020</v>
      </c>
      <c r="I1012" s="50">
        <v>0</v>
      </c>
      <c r="J1012" s="9">
        <v>1</v>
      </c>
      <c r="K1012" s="9">
        <v>12</v>
      </c>
      <c r="L1012" s="50" t="s">
        <v>719</v>
      </c>
      <c r="M1012">
        <v>-2</v>
      </c>
      <c r="N1012">
        <v>2</v>
      </c>
      <c r="O1012">
        <v>-2</v>
      </c>
      <c r="Q1012">
        <v>-2</v>
      </c>
      <c r="R1012">
        <v>2</v>
      </c>
      <c r="S1012">
        <v>2</v>
      </c>
      <c r="T1012">
        <v>2</v>
      </c>
      <c r="U1012">
        <v>1</v>
      </c>
      <c r="V1012" t="s">
        <v>977</v>
      </c>
      <c r="W1012" t="s">
        <v>990</v>
      </c>
      <c r="X1012" t="s">
        <v>998</v>
      </c>
      <c r="Y1012" t="s">
        <v>1003</v>
      </c>
      <c r="Z1012">
        <v>0</v>
      </c>
      <c r="AA1012">
        <f t="shared" si="300"/>
        <v>0</v>
      </c>
      <c r="AB1012">
        <f t="shared" si="301"/>
        <v>1</v>
      </c>
      <c r="AC1012">
        <f t="shared" si="302"/>
        <v>0</v>
      </c>
      <c r="AD1012">
        <f t="shared" si="303"/>
        <v>-1</v>
      </c>
      <c r="AE1012">
        <f t="shared" si="304"/>
        <v>0</v>
      </c>
      <c r="AF1012">
        <f t="shared" si="305"/>
        <v>1</v>
      </c>
      <c r="AG1012">
        <f t="shared" si="306"/>
        <v>1</v>
      </c>
      <c r="AH1012">
        <f t="shared" si="307"/>
        <v>1</v>
      </c>
      <c r="AI1012">
        <f t="shared" si="308"/>
        <v>1</v>
      </c>
      <c r="AJ1012" s="9">
        <f t="shared" si="309"/>
        <v>12</v>
      </c>
      <c r="AK1012">
        <f t="shared" si="310"/>
        <v>0</v>
      </c>
      <c r="AL1012" s="9">
        <v>1</v>
      </c>
    </row>
    <row r="1013" spans="1:38" x14ac:dyDescent="0.35">
      <c r="A1013" s="50">
        <v>0</v>
      </c>
      <c r="B1013" s="9" t="s">
        <v>115</v>
      </c>
      <c r="C1013" s="53">
        <v>43889</v>
      </c>
      <c r="D1013" s="53">
        <v>43913</v>
      </c>
      <c r="E1013" s="53">
        <v>43997</v>
      </c>
      <c r="F1013" s="21">
        <f t="shared" si="286"/>
        <v>84</v>
      </c>
      <c r="G1013" s="53">
        <v>43913</v>
      </c>
      <c r="H1013" s="9">
        <v>2020</v>
      </c>
      <c r="I1013" s="50">
        <v>0</v>
      </c>
      <c r="J1013" s="9">
        <v>4</v>
      </c>
      <c r="K1013" s="9" t="s">
        <v>201</v>
      </c>
      <c r="L1013" s="50" t="s">
        <v>717</v>
      </c>
      <c r="P1013">
        <v>-1</v>
      </c>
      <c r="Q1013">
        <v>2</v>
      </c>
      <c r="R1013">
        <v>2</v>
      </c>
      <c r="U1013">
        <v>1</v>
      </c>
      <c r="V1013" t="s">
        <v>977</v>
      </c>
      <c r="W1013" t="s">
        <v>990</v>
      </c>
      <c r="X1013" t="s">
        <v>998</v>
      </c>
      <c r="Y1013" t="s">
        <v>1003</v>
      </c>
      <c r="Z1013">
        <v>0</v>
      </c>
      <c r="AA1013">
        <f t="shared" si="300"/>
        <v>-1</v>
      </c>
      <c r="AB1013">
        <f t="shared" si="301"/>
        <v>-1</v>
      </c>
      <c r="AC1013">
        <f t="shared" si="302"/>
        <v>-1</v>
      </c>
      <c r="AD1013">
        <f t="shared" si="303"/>
        <v>0</v>
      </c>
      <c r="AE1013">
        <f t="shared" si="304"/>
        <v>1</v>
      </c>
      <c r="AF1013">
        <f t="shared" si="305"/>
        <v>1</v>
      </c>
      <c r="AG1013">
        <f t="shared" si="306"/>
        <v>-1</v>
      </c>
      <c r="AH1013">
        <f t="shared" si="307"/>
        <v>-1</v>
      </c>
      <c r="AI1013">
        <f t="shared" si="308"/>
        <v>1</v>
      </c>
      <c r="AJ1013" s="9" t="str">
        <f t="shared" si="309"/>
        <v>Other</v>
      </c>
      <c r="AK1013">
        <f t="shared" si="310"/>
        <v>0</v>
      </c>
      <c r="AL1013" s="9">
        <v>0</v>
      </c>
    </row>
    <row r="1014" spans="1:38" x14ac:dyDescent="0.35">
      <c r="A1014" s="50">
        <v>0</v>
      </c>
      <c r="B1014" s="9" t="s">
        <v>115</v>
      </c>
      <c r="C1014" s="53">
        <v>43889</v>
      </c>
      <c r="D1014" s="53">
        <v>43913</v>
      </c>
      <c r="E1014" s="53">
        <v>43997</v>
      </c>
      <c r="F1014" s="21">
        <f t="shared" si="286"/>
        <v>84</v>
      </c>
      <c r="G1014" s="53">
        <v>43913</v>
      </c>
      <c r="H1014" s="9">
        <v>2020</v>
      </c>
      <c r="I1014" s="50">
        <v>0</v>
      </c>
      <c r="J1014" s="9">
        <v>7</v>
      </c>
      <c r="K1014" s="9">
        <v>32</v>
      </c>
      <c r="L1014" s="50" t="s">
        <v>711</v>
      </c>
      <c r="M1014">
        <v>1</v>
      </c>
      <c r="N1014">
        <v>1</v>
      </c>
      <c r="O1014">
        <v>2</v>
      </c>
      <c r="P1014">
        <v>1</v>
      </c>
      <c r="Q1014">
        <v>2</v>
      </c>
      <c r="R1014">
        <v>2</v>
      </c>
      <c r="S1014">
        <v>1</v>
      </c>
      <c r="T1014">
        <v>-2</v>
      </c>
      <c r="U1014">
        <v>1</v>
      </c>
      <c r="V1014" t="s">
        <v>977</v>
      </c>
      <c r="W1014" t="s">
        <v>990</v>
      </c>
      <c r="X1014" t="s">
        <v>998</v>
      </c>
      <c r="Y1014" t="s">
        <v>1003</v>
      </c>
      <c r="Z1014">
        <v>0</v>
      </c>
      <c r="AA1014">
        <f t="shared" si="300"/>
        <v>1</v>
      </c>
      <c r="AB1014">
        <f t="shared" si="301"/>
        <v>1</v>
      </c>
      <c r="AC1014">
        <f t="shared" si="302"/>
        <v>1</v>
      </c>
      <c r="AD1014">
        <f t="shared" si="303"/>
        <v>1</v>
      </c>
      <c r="AE1014">
        <f t="shared" si="304"/>
        <v>1</v>
      </c>
      <c r="AF1014">
        <f t="shared" si="305"/>
        <v>1</v>
      </c>
      <c r="AG1014">
        <f t="shared" si="306"/>
        <v>1</v>
      </c>
      <c r="AH1014">
        <f t="shared" si="307"/>
        <v>0</v>
      </c>
      <c r="AI1014">
        <f t="shared" si="308"/>
        <v>1</v>
      </c>
      <c r="AJ1014" s="9">
        <f t="shared" si="309"/>
        <v>32</v>
      </c>
      <c r="AK1014">
        <f t="shared" si="310"/>
        <v>0</v>
      </c>
      <c r="AL1014" s="9">
        <v>0</v>
      </c>
    </row>
    <row r="1015" spans="1:38" x14ac:dyDescent="0.35">
      <c r="A1015" s="50">
        <v>0</v>
      </c>
      <c r="B1015" s="50" t="s">
        <v>115</v>
      </c>
      <c r="C1015" s="53">
        <v>43889</v>
      </c>
      <c r="D1015" s="53">
        <v>43913</v>
      </c>
      <c r="E1015" s="53">
        <v>43997</v>
      </c>
      <c r="F1015" s="21">
        <f t="shared" si="286"/>
        <v>84</v>
      </c>
      <c r="G1015" s="53">
        <v>43913</v>
      </c>
      <c r="H1015" s="9">
        <v>2020</v>
      </c>
      <c r="I1015" s="50">
        <v>0</v>
      </c>
      <c r="J1015" s="50">
        <v>7</v>
      </c>
      <c r="K1015" s="50">
        <v>30</v>
      </c>
      <c r="L1015" s="24" t="s">
        <v>1816</v>
      </c>
      <c r="M1015" s="24"/>
      <c r="V1015" t="s">
        <v>977</v>
      </c>
      <c r="W1015" t="s">
        <v>990</v>
      </c>
      <c r="X1015" t="s">
        <v>998</v>
      </c>
      <c r="Y1015" t="s">
        <v>1003</v>
      </c>
      <c r="Z1015">
        <v>0</v>
      </c>
      <c r="AA1015">
        <v>-1</v>
      </c>
      <c r="AB1015">
        <v>-1</v>
      </c>
      <c r="AC1015">
        <v>-1</v>
      </c>
      <c r="AD1015">
        <v>-1</v>
      </c>
      <c r="AE1015">
        <v>-1</v>
      </c>
      <c r="AF1015">
        <v>-1</v>
      </c>
      <c r="AG1015">
        <v>-1</v>
      </c>
      <c r="AH1015">
        <v>-1</v>
      </c>
      <c r="AI1015">
        <v>-1</v>
      </c>
      <c r="AJ1015" s="9">
        <f t="shared" si="309"/>
        <v>30</v>
      </c>
      <c r="AK1015" t="e">
        <f>IF(B1015&lt;&gt;#REF!,1,0)</f>
        <v>#REF!</v>
      </c>
      <c r="AL1015" s="9">
        <v>0</v>
      </c>
    </row>
    <row r="1016" spans="1:38" x14ac:dyDescent="0.35">
      <c r="A1016" s="50">
        <v>0</v>
      </c>
      <c r="B1016" s="50" t="s">
        <v>115</v>
      </c>
      <c r="C1016" s="53">
        <v>43889</v>
      </c>
      <c r="D1016" s="53">
        <v>43913</v>
      </c>
      <c r="E1016" s="53">
        <v>43997</v>
      </c>
      <c r="F1016" s="21">
        <f t="shared" si="286"/>
        <v>84</v>
      </c>
      <c r="G1016" s="53">
        <v>43913</v>
      </c>
      <c r="H1016" s="9">
        <v>2020</v>
      </c>
      <c r="I1016" s="50">
        <v>0</v>
      </c>
      <c r="J1016" s="50">
        <v>7</v>
      </c>
      <c r="K1016" s="50">
        <v>30</v>
      </c>
      <c r="L1016" s="24" t="s">
        <v>1817</v>
      </c>
      <c r="M1016" s="24"/>
      <c r="V1016" t="s">
        <v>977</v>
      </c>
      <c r="W1016" t="s">
        <v>990</v>
      </c>
      <c r="X1016" t="s">
        <v>998</v>
      </c>
      <c r="Y1016" t="s">
        <v>1003</v>
      </c>
      <c r="Z1016">
        <v>0</v>
      </c>
      <c r="AA1016">
        <v>-1</v>
      </c>
      <c r="AB1016">
        <v>-1</v>
      </c>
      <c r="AC1016">
        <v>-1</v>
      </c>
      <c r="AD1016">
        <v>-1</v>
      </c>
      <c r="AE1016">
        <v>-1</v>
      </c>
      <c r="AF1016">
        <v>-1</v>
      </c>
      <c r="AG1016">
        <v>-1</v>
      </c>
      <c r="AH1016">
        <v>-1</v>
      </c>
      <c r="AI1016">
        <v>-1</v>
      </c>
      <c r="AJ1016" s="9">
        <f t="shared" si="309"/>
        <v>30</v>
      </c>
      <c r="AK1016">
        <f t="shared" si="310"/>
        <v>0</v>
      </c>
      <c r="AL1016" s="9">
        <v>0</v>
      </c>
    </row>
    <row r="1017" spans="1:38" x14ac:dyDescent="0.35">
      <c r="A1017" s="50">
        <v>0</v>
      </c>
      <c r="B1017" s="50" t="s">
        <v>115</v>
      </c>
      <c r="C1017" s="53">
        <v>43889</v>
      </c>
      <c r="D1017" s="53">
        <v>43913</v>
      </c>
      <c r="E1017" s="53">
        <v>43997</v>
      </c>
      <c r="F1017" s="21">
        <f t="shared" ref="F1017:F1083" si="311">DATEDIF(D1017,E1017,"D")</f>
        <v>84</v>
      </c>
      <c r="G1017" s="53">
        <v>43913</v>
      </c>
      <c r="H1017" s="9">
        <v>2020</v>
      </c>
      <c r="I1017" s="50">
        <v>0</v>
      </c>
      <c r="J1017" s="50">
        <v>6</v>
      </c>
      <c r="K1017" s="50">
        <v>29</v>
      </c>
      <c r="L1017" s="24" t="s">
        <v>1496</v>
      </c>
      <c r="M1017" s="24"/>
      <c r="V1017" t="s">
        <v>977</v>
      </c>
      <c r="W1017" t="s">
        <v>990</v>
      </c>
      <c r="X1017" t="s">
        <v>998</v>
      </c>
      <c r="Y1017" t="s">
        <v>1003</v>
      </c>
      <c r="Z1017">
        <v>0</v>
      </c>
      <c r="AA1017">
        <v>-1</v>
      </c>
      <c r="AB1017">
        <v>-1</v>
      </c>
      <c r="AC1017">
        <v>-1</v>
      </c>
      <c r="AD1017">
        <v>-1</v>
      </c>
      <c r="AE1017">
        <v>-1</v>
      </c>
      <c r="AF1017">
        <v>-1</v>
      </c>
      <c r="AG1017">
        <v>-1</v>
      </c>
      <c r="AH1017">
        <v>-1</v>
      </c>
      <c r="AI1017">
        <v>-1</v>
      </c>
      <c r="AJ1017" s="9">
        <f t="shared" si="309"/>
        <v>29</v>
      </c>
      <c r="AK1017">
        <f t="shared" si="310"/>
        <v>0</v>
      </c>
      <c r="AL1017" s="9">
        <v>0</v>
      </c>
    </row>
    <row r="1018" spans="1:38" x14ac:dyDescent="0.35">
      <c r="A1018" s="50">
        <v>0</v>
      </c>
      <c r="B1018" s="50" t="s">
        <v>115</v>
      </c>
      <c r="C1018" s="53">
        <v>43889</v>
      </c>
      <c r="D1018" s="53">
        <v>43913</v>
      </c>
      <c r="E1018" s="53">
        <v>43997</v>
      </c>
      <c r="F1018" s="21">
        <f t="shared" si="311"/>
        <v>84</v>
      </c>
      <c r="G1018" s="53">
        <v>43913</v>
      </c>
      <c r="H1018" s="9">
        <v>2020</v>
      </c>
      <c r="I1018" s="50">
        <v>0</v>
      </c>
      <c r="J1018" s="50">
        <v>6</v>
      </c>
      <c r="K1018" s="50">
        <v>28</v>
      </c>
      <c r="L1018" s="24" t="s">
        <v>1818</v>
      </c>
      <c r="M1018" s="24"/>
      <c r="V1018" t="s">
        <v>977</v>
      </c>
      <c r="W1018" t="s">
        <v>990</v>
      </c>
      <c r="X1018" t="s">
        <v>998</v>
      </c>
      <c r="Y1018" t="s">
        <v>1003</v>
      </c>
      <c r="Z1018">
        <v>0</v>
      </c>
      <c r="AA1018">
        <v>-1</v>
      </c>
      <c r="AB1018">
        <v>-1</v>
      </c>
      <c r="AC1018">
        <v>-1</v>
      </c>
      <c r="AD1018">
        <v>-1</v>
      </c>
      <c r="AE1018">
        <v>-1</v>
      </c>
      <c r="AF1018">
        <v>-1</v>
      </c>
      <c r="AG1018">
        <v>-1</v>
      </c>
      <c r="AH1018">
        <v>-1</v>
      </c>
      <c r="AI1018">
        <v>-1</v>
      </c>
      <c r="AJ1018" s="9">
        <f t="shared" si="309"/>
        <v>28</v>
      </c>
      <c r="AK1018">
        <f t="shared" si="310"/>
        <v>0</v>
      </c>
      <c r="AL1018" s="9">
        <v>0</v>
      </c>
    </row>
    <row r="1019" spans="1:38" x14ac:dyDescent="0.35">
      <c r="A1019" s="50">
        <v>0</v>
      </c>
      <c r="B1019" s="50" t="s">
        <v>115</v>
      </c>
      <c r="C1019" s="53">
        <v>43889</v>
      </c>
      <c r="D1019" s="53">
        <v>43913</v>
      </c>
      <c r="E1019" s="53">
        <v>43997</v>
      </c>
      <c r="F1019" s="21">
        <f t="shared" si="311"/>
        <v>84</v>
      </c>
      <c r="G1019" s="53">
        <v>43913</v>
      </c>
      <c r="H1019" s="9">
        <v>2020</v>
      </c>
      <c r="I1019" s="50">
        <v>0</v>
      </c>
      <c r="J1019" s="50">
        <v>7</v>
      </c>
      <c r="K1019" s="50">
        <v>32</v>
      </c>
      <c r="L1019" s="24" t="s">
        <v>1819</v>
      </c>
      <c r="M1019" s="24"/>
      <c r="V1019" t="s">
        <v>977</v>
      </c>
      <c r="W1019" t="s">
        <v>990</v>
      </c>
      <c r="X1019" t="s">
        <v>998</v>
      </c>
      <c r="Y1019" t="s">
        <v>1003</v>
      </c>
      <c r="Z1019">
        <v>0</v>
      </c>
      <c r="AA1019">
        <v>-1</v>
      </c>
      <c r="AB1019">
        <v>-1</v>
      </c>
      <c r="AC1019">
        <v>-1</v>
      </c>
      <c r="AD1019">
        <v>-1</v>
      </c>
      <c r="AE1019">
        <v>-1</v>
      </c>
      <c r="AF1019">
        <v>-1</v>
      </c>
      <c r="AG1019">
        <v>-1</v>
      </c>
      <c r="AH1019">
        <v>-1</v>
      </c>
      <c r="AI1019">
        <v>-1</v>
      </c>
      <c r="AJ1019" s="9">
        <f t="shared" si="309"/>
        <v>32</v>
      </c>
      <c r="AK1019" t="e">
        <f>IF(B1019&lt;&gt;#REF!,1,0)</f>
        <v>#REF!</v>
      </c>
      <c r="AL1019" s="9">
        <v>0</v>
      </c>
    </row>
    <row r="1020" spans="1:38" x14ac:dyDescent="0.35">
      <c r="A1020" s="50">
        <v>0</v>
      </c>
      <c r="B1020" s="50" t="s">
        <v>115</v>
      </c>
      <c r="C1020" s="53">
        <v>43889</v>
      </c>
      <c r="D1020" s="53">
        <v>43913</v>
      </c>
      <c r="E1020" s="53">
        <v>43997</v>
      </c>
      <c r="F1020" s="21">
        <f t="shared" si="311"/>
        <v>84</v>
      </c>
      <c r="G1020" s="53">
        <v>43913</v>
      </c>
      <c r="H1020" s="9">
        <v>2020</v>
      </c>
      <c r="I1020" s="50">
        <v>0</v>
      </c>
      <c r="J1020" s="50">
        <v>2</v>
      </c>
      <c r="K1020" s="50">
        <v>13</v>
      </c>
      <c r="L1020" s="24" t="s">
        <v>1497</v>
      </c>
      <c r="M1020" s="24"/>
      <c r="V1020" t="s">
        <v>977</v>
      </c>
      <c r="W1020" t="s">
        <v>990</v>
      </c>
      <c r="X1020" t="s">
        <v>998</v>
      </c>
      <c r="Y1020" t="s">
        <v>1003</v>
      </c>
      <c r="Z1020">
        <v>0</v>
      </c>
      <c r="AA1020">
        <v>-1</v>
      </c>
      <c r="AB1020">
        <v>-1</v>
      </c>
      <c r="AC1020">
        <v>-1</v>
      </c>
      <c r="AD1020">
        <v>-1</v>
      </c>
      <c r="AE1020">
        <v>-1</v>
      </c>
      <c r="AF1020">
        <v>-1</v>
      </c>
      <c r="AG1020">
        <v>-1</v>
      </c>
      <c r="AH1020">
        <v>-1</v>
      </c>
      <c r="AI1020">
        <v>-1</v>
      </c>
      <c r="AJ1020" s="9">
        <f t="shared" si="309"/>
        <v>13</v>
      </c>
      <c r="AK1020" t="e">
        <f>IF(B1020&lt;&gt;#REF!,1,0)</f>
        <v>#REF!</v>
      </c>
      <c r="AL1020" s="9">
        <v>0</v>
      </c>
    </row>
    <row r="1021" spans="1:38" x14ac:dyDescent="0.35">
      <c r="A1021" s="50">
        <v>0</v>
      </c>
      <c r="B1021" s="50" t="s">
        <v>115</v>
      </c>
      <c r="C1021" s="53">
        <v>43889</v>
      </c>
      <c r="D1021" s="53">
        <v>43913</v>
      </c>
      <c r="E1021" s="53">
        <v>43997</v>
      </c>
      <c r="F1021" s="21">
        <f t="shared" si="311"/>
        <v>84</v>
      </c>
      <c r="G1021" s="53">
        <v>43913</v>
      </c>
      <c r="H1021" s="9">
        <v>2020</v>
      </c>
      <c r="I1021" s="50">
        <v>0</v>
      </c>
      <c r="J1021" s="50">
        <v>2</v>
      </c>
      <c r="K1021" s="50" t="s">
        <v>206</v>
      </c>
      <c r="L1021" s="24" t="s">
        <v>1498</v>
      </c>
      <c r="M1021" s="24"/>
      <c r="V1021" t="s">
        <v>977</v>
      </c>
      <c r="W1021" t="s">
        <v>990</v>
      </c>
      <c r="X1021" t="s">
        <v>998</v>
      </c>
      <c r="Y1021" t="s">
        <v>1003</v>
      </c>
      <c r="Z1021">
        <v>0</v>
      </c>
      <c r="AA1021">
        <v>-1</v>
      </c>
      <c r="AB1021">
        <v>-1</v>
      </c>
      <c r="AC1021">
        <v>-1</v>
      </c>
      <c r="AD1021">
        <v>-1</v>
      </c>
      <c r="AE1021">
        <v>-1</v>
      </c>
      <c r="AF1021">
        <v>-1</v>
      </c>
      <c r="AG1021">
        <v>-1</v>
      </c>
      <c r="AH1021">
        <v>-1</v>
      </c>
      <c r="AI1021">
        <v>-1</v>
      </c>
      <c r="AJ1021" s="9" t="str">
        <f t="shared" si="309"/>
        <v>Tax exemption/waiver/suspension</v>
      </c>
      <c r="AK1021">
        <f t="shared" si="310"/>
        <v>0</v>
      </c>
      <c r="AL1021" s="9">
        <v>0</v>
      </c>
    </row>
    <row r="1022" spans="1:38" x14ac:dyDescent="0.35">
      <c r="A1022" s="50">
        <v>0</v>
      </c>
      <c r="B1022" s="50" t="s">
        <v>115</v>
      </c>
      <c r="C1022" s="53">
        <v>43889</v>
      </c>
      <c r="D1022" s="53">
        <v>43913</v>
      </c>
      <c r="E1022" s="53">
        <v>43997</v>
      </c>
      <c r="F1022" s="21">
        <f t="shared" si="311"/>
        <v>84</v>
      </c>
      <c r="G1022" s="53">
        <v>43913</v>
      </c>
      <c r="H1022" s="9">
        <v>2020</v>
      </c>
      <c r="I1022" s="50">
        <v>0</v>
      </c>
      <c r="J1022" s="50">
        <v>1</v>
      </c>
      <c r="K1022" s="50">
        <v>6</v>
      </c>
      <c r="L1022" s="24" t="s">
        <v>1499</v>
      </c>
      <c r="M1022" s="24"/>
      <c r="V1022" t="s">
        <v>977</v>
      </c>
      <c r="W1022" t="s">
        <v>990</v>
      </c>
      <c r="X1022" t="s">
        <v>998</v>
      </c>
      <c r="Y1022" t="s">
        <v>1003</v>
      </c>
      <c r="Z1022">
        <v>0</v>
      </c>
      <c r="AA1022">
        <v>-1</v>
      </c>
      <c r="AB1022">
        <v>-1</v>
      </c>
      <c r="AC1022">
        <v>-1</v>
      </c>
      <c r="AD1022">
        <v>-1</v>
      </c>
      <c r="AE1022">
        <v>-1</v>
      </c>
      <c r="AF1022">
        <v>-1</v>
      </c>
      <c r="AG1022">
        <v>-1</v>
      </c>
      <c r="AH1022">
        <v>-1</v>
      </c>
      <c r="AI1022">
        <v>-1</v>
      </c>
      <c r="AJ1022" s="9">
        <f t="shared" si="309"/>
        <v>6</v>
      </c>
      <c r="AK1022">
        <f t="shared" si="310"/>
        <v>0</v>
      </c>
      <c r="AL1022" s="9">
        <v>0</v>
      </c>
    </row>
    <row r="1023" spans="1:38" x14ac:dyDescent="0.35">
      <c r="A1023" s="50">
        <v>0</v>
      </c>
      <c r="B1023" s="50" t="s">
        <v>115</v>
      </c>
      <c r="C1023" s="53">
        <v>43889</v>
      </c>
      <c r="D1023" s="53">
        <v>43913</v>
      </c>
      <c r="E1023" s="53">
        <v>43997</v>
      </c>
      <c r="F1023" s="21">
        <f t="shared" si="311"/>
        <v>84</v>
      </c>
      <c r="G1023" s="53">
        <v>43913</v>
      </c>
      <c r="H1023" s="9">
        <v>2020</v>
      </c>
      <c r="I1023" s="50">
        <v>0</v>
      </c>
      <c r="J1023" s="50">
        <v>4</v>
      </c>
      <c r="K1023" s="50">
        <v>20</v>
      </c>
      <c r="L1023" s="24" t="s">
        <v>1500</v>
      </c>
      <c r="M1023" s="24"/>
      <c r="V1023" t="s">
        <v>977</v>
      </c>
      <c r="W1023" t="s">
        <v>990</v>
      </c>
      <c r="X1023" t="s">
        <v>998</v>
      </c>
      <c r="Y1023" t="s">
        <v>1003</v>
      </c>
      <c r="Z1023">
        <v>0</v>
      </c>
      <c r="AA1023">
        <v>-1</v>
      </c>
      <c r="AB1023">
        <v>-1</v>
      </c>
      <c r="AC1023">
        <v>-1</v>
      </c>
      <c r="AD1023">
        <v>-1</v>
      </c>
      <c r="AE1023">
        <v>-1</v>
      </c>
      <c r="AF1023">
        <v>-1</v>
      </c>
      <c r="AG1023">
        <v>-1</v>
      </c>
      <c r="AH1023">
        <v>-1</v>
      </c>
      <c r="AI1023">
        <v>-1</v>
      </c>
      <c r="AJ1023" s="9">
        <f t="shared" si="309"/>
        <v>20</v>
      </c>
      <c r="AK1023">
        <f t="shared" si="310"/>
        <v>0</v>
      </c>
      <c r="AL1023" s="9">
        <v>1</v>
      </c>
    </row>
    <row r="1024" spans="1:38" s="47" customFormat="1" x14ac:dyDescent="0.35">
      <c r="A1024" s="50">
        <v>0</v>
      </c>
      <c r="B1024" s="50" t="s">
        <v>115</v>
      </c>
      <c r="C1024" s="53">
        <v>43889</v>
      </c>
      <c r="D1024" s="53">
        <v>43913</v>
      </c>
      <c r="E1024" s="53">
        <v>43997</v>
      </c>
      <c r="F1024" s="21">
        <f t="shared" ref="F1024:F1027" si="312">DATEDIF(D1024,E1024,"D")</f>
        <v>84</v>
      </c>
      <c r="G1024" s="53">
        <v>43913</v>
      </c>
      <c r="H1024" s="9">
        <v>2021</v>
      </c>
      <c r="I1024" s="50">
        <v>0</v>
      </c>
      <c r="J1024" s="50">
        <v>1</v>
      </c>
      <c r="K1024" s="50">
        <v>7</v>
      </c>
      <c r="L1024" s="48" t="s">
        <v>2034</v>
      </c>
      <c r="M1024" s="48"/>
      <c r="AJ1024" s="47">
        <f t="shared" si="309"/>
        <v>7</v>
      </c>
    </row>
    <row r="1025" spans="1:38" s="47" customFormat="1" x14ac:dyDescent="0.35">
      <c r="A1025" s="50">
        <v>0</v>
      </c>
      <c r="B1025" s="50" t="s">
        <v>115</v>
      </c>
      <c r="C1025" s="53">
        <v>43889</v>
      </c>
      <c r="D1025" s="53">
        <v>43913</v>
      </c>
      <c r="E1025" s="53">
        <v>43997</v>
      </c>
      <c r="F1025" s="21">
        <f t="shared" si="312"/>
        <v>84</v>
      </c>
      <c r="G1025" s="53">
        <v>43913</v>
      </c>
      <c r="H1025" s="9">
        <v>2021</v>
      </c>
      <c r="I1025" s="50">
        <v>0</v>
      </c>
      <c r="J1025" s="50">
        <v>7</v>
      </c>
      <c r="K1025" s="50">
        <v>32</v>
      </c>
      <c r="L1025" s="48" t="s">
        <v>2037</v>
      </c>
      <c r="M1025" s="48"/>
      <c r="AJ1025" s="47">
        <f t="shared" si="309"/>
        <v>32</v>
      </c>
    </row>
    <row r="1026" spans="1:38" s="47" customFormat="1" x14ac:dyDescent="0.35">
      <c r="A1026" s="50">
        <v>0</v>
      </c>
      <c r="B1026" s="50" t="s">
        <v>115</v>
      </c>
      <c r="C1026" s="53">
        <v>43889</v>
      </c>
      <c r="D1026" s="53">
        <v>43913</v>
      </c>
      <c r="E1026" s="53">
        <v>43997</v>
      </c>
      <c r="F1026" s="21">
        <f t="shared" si="312"/>
        <v>84</v>
      </c>
      <c r="G1026" s="53">
        <v>43913</v>
      </c>
      <c r="H1026" s="9">
        <v>2021</v>
      </c>
      <c r="I1026" s="50">
        <v>0</v>
      </c>
      <c r="J1026" s="50">
        <v>6</v>
      </c>
      <c r="K1026" s="50">
        <v>25</v>
      </c>
      <c r="L1026" s="48" t="s">
        <v>2035</v>
      </c>
      <c r="M1026" s="48"/>
      <c r="AJ1026" s="47">
        <f t="shared" si="309"/>
        <v>25</v>
      </c>
    </row>
    <row r="1027" spans="1:38" s="47" customFormat="1" x14ac:dyDescent="0.35">
      <c r="A1027" s="50">
        <v>0</v>
      </c>
      <c r="B1027" s="50" t="s">
        <v>115</v>
      </c>
      <c r="C1027" s="53">
        <v>43889</v>
      </c>
      <c r="D1027" s="53">
        <v>43913</v>
      </c>
      <c r="E1027" s="53">
        <v>43997</v>
      </c>
      <c r="F1027" s="21">
        <f t="shared" si="312"/>
        <v>84</v>
      </c>
      <c r="G1027" s="53">
        <v>43913</v>
      </c>
      <c r="H1027" s="9">
        <v>2021</v>
      </c>
      <c r="I1027" s="50">
        <v>0</v>
      </c>
      <c r="J1027" s="50">
        <v>7</v>
      </c>
      <c r="K1027" s="50">
        <v>30</v>
      </c>
      <c r="L1027" s="48" t="s">
        <v>2036</v>
      </c>
      <c r="M1027" s="48"/>
      <c r="AJ1027" s="47">
        <f t="shared" si="309"/>
        <v>30</v>
      </c>
    </row>
    <row r="1028" spans="1:38" x14ac:dyDescent="0.35">
      <c r="A1028" s="9">
        <v>1</v>
      </c>
      <c r="B1028" s="9" t="s">
        <v>133</v>
      </c>
      <c r="C1028" s="53">
        <v>43888</v>
      </c>
      <c r="D1028" s="53">
        <v>43905</v>
      </c>
      <c r="E1028" s="53">
        <v>43983</v>
      </c>
      <c r="F1028" s="21">
        <f t="shared" si="311"/>
        <v>78</v>
      </c>
      <c r="G1028" s="53">
        <v>43905</v>
      </c>
      <c r="H1028" s="9">
        <v>2020</v>
      </c>
      <c r="I1028" s="9">
        <v>1</v>
      </c>
      <c r="J1028" s="9">
        <v>7</v>
      </c>
      <c r="K1028" s="9">
        <v>30</v>
      </c>
      <c r="L1028" s="50" t="s">
        <v>734</v>
      </c>
      <c r="M1028">
        <v>1</v>
      </c>
      <c r="N1028">
        <v>1</v>
      </c>
      <c r="O1028">
        <v>2</v>
      </c>
      <c r="P1028">
        <v>1</v>
      </c>
      <c r="Q1028">
        <v>2</v>
      </c>
      <c r="R1028">
        <v>2</v>
      </c>
      <c r="S1028">
        <v>1</v>
      </c>
      <c r="T1028">
        <v>2</v>
      </c>
      <c r="U1028">
        <v>1</v>
      </c>
      <c r="V1028" t="s">
        <v>978</v>
      </c>
      <c r="W1028" t="s">
        <v>989</v>
      </c>
      <c r="X1028" t="s">
        <v>997</v>
      </c>
      <c r="Y1028" t="s">
        <v>1000</v>
      </c>
      <c r="Z1028">
        <v>1</v>
      </c>
      <c r="AA1028">
        <f t="shared" ref="AA1028:AA1048" si="313">IF(M1028&gt;0,1,IF(M1028&lt;0,0,-1))</f>
        <v>1</v>
      </c>
      <c r="AB1028">
        <f t="shared" ref="AB1028:AB1048" si="314">IF(N1028&gt;0,1,IF(N1028&lt;0,0,-1))</f>
        <v>1</v>
      </c>
      <c r="AC1028">
        <f t="shared" ref="AC1028:AC1048" si="315">IF(O1028&gt;0,1,IF(O1028&lt;0,0,-1))</f>
        <v>1</v>
      </c>
      <c r="AD1028">
        <f t="shared" ref="AD1028:AD1048" si="316">IF(P1028&gt;0,1,IF(P1028&lt;0,0,-1))</f>
        <v>1</v>
      </c>
      <c r="AE1028">
        <f t="shared" ref="AE1028:AE1048" si="317">IF(Q1028&gt;0,1,IF(Q1028&lt;0,0,-1))</f>
        <v>1</v>
      </c>
      <c r="AF1028">
        <f t="shared" ref="AF1028:AF1048" si="318">IF(R1028&gt;0,1,IF(R1028&lt;0,0,-1))</f>
        <v>1</v>
      </c>
      <c r="AG1028">
        <f t="shared" ref="AG1028:AG1048" si="319">IF(S1028&gt;0,1,IF(S1028&lt;0,0,-1))</f>
        <v>1</v>
      </c>
      <c r="AH1028">
        <f t="shared" ref="AH1028:AH1048" si="320">IF(T1028&gt;0,1,IF(T1028&lt;0,0,-1))</f>
        <v>1</v>
      </c>
      <c r="AI1028">
        <f t="shared" ref="AI1028:AI1048" si="321">IF(U1028&gt;0,1,IF(U1028&lt;0,0,-1))</f>
        <v>1</v>
      </c>
      <c r="AJ1028" s="9">
        <f t="shared" ref="AJ1028:AJ1038" si="322">IF(ISNUMBER(K1028),K1028,IF(OR(K1028="general",K1028="23;general"),"General",IF(OR(K1028="exemption",K1028="other (exemption)"),"Tax exemption/waiver/suspension","Other")))</f>
        <v>30</v>
      </c>
      <c r="AK1028" t="e">
        <f>IF(B1028&lt;&gt;#REF!,1,0)</f>
        <v>#REF!</v>
      </c>
      <c r="AL1028" s="9">
        <v>1</v>
      </c>
    </row>
    <row r="1029" spans="1:38" x14ac:dyDescent="0.35">
      <c r="A1029" s="9">
        <v>1</v>
      </c>
      <c r="B1029" s="9" t="s">
        <v>133</v>
      </c>
      <c r="C1029" s="53">
        <v>43888</v>
      </c>
      <c r="D1029" s="53">
        <v>43905</v>
      </c>
      <c r="E1029" s="53">
        <v>43983</v>
      </c>
      <c r="F1029" s="21">
        <f t="shared" si="311"/>
        <v>78</v>
      </c>
      <c r="G1029" s="53">
        <v>43905</v>
      </c>
      <c r="H1029" s="9">
        <v>2020</v>
      </c>
      <c r="I1029" s="9">
        <v>1</v>
      </c>
      <c r="J1029" s="9">
        <v>1</v>
      </c>
      <c r="K1029" s="9">
        <v>11</v>
      </c>
      <c r="L1029" s="50" t="s">
        <v>731</v>
      </c>
      <c r="M1029">
        <v>-2</v>
      </c>
      <c r="N1029">
        <v>2</v>
      </c>
      <c r="O1029">
        <v>-2</v>
      </c>
      <c r="P1029">
        <v>2</v>
      </c>
      <c r="Q1029">
        <v>-2</v>
      </c>
      <c r="R1029">
        <v>2</v>
      </c>
      <c r="S1029">
        <v>2</v>
      </c>
      <c r="T1029">
        <v>2</v>
      </c>
      <c r="U1029">
        <v>1</v>
      </c>
      <c r="V1029" t="s">
        <v>978</v>
      </c>
      <c r="W1029" t="s">
        <v>989</v>
      </c>
      <c r="X1029" t="s">
        <v>997</v>
      </c>
      <c r="Y1029" t="s">
        <v>1000</v>
      </c>
      <c r="Z1029">
        <v>1</v>
      </c>
      <c r="AA1029">
        <f t="shared" si="313"/>
        <v>0</v>
      </c>
      <c r="AB1029">
        <f t="shared" si="314"/>
        <v>1</v>
      </c>
      <c r="AC1029">
        <f t="shared" si="315"/>
        <v>0</v>
      </c>
      <c r="AD1029">
        <f t="shared" si="316"/>
        <v>1</v>
      </c>
      <c r="AE1029">
        <f t="shared" si="317"/>
        <v>0</v>
      </c>
      <c r="AF1029">
        <f t="shared" si="318"/>
        <v>1</v>
      </c>
      <c r="AG1029">
        <f t="shared" si="319"/>
        <v>1</v>
      </c>
      <c r="AH1029">
        <f t="shared" si="320"/>
        <v>1</v>
      </c>
      <c r="AI1029">
        <f t="shared" si="321"/>
        <v>1</v>
      </c>
      <c r="AJ1029" s="9">
        <f t="shared" si="322"/>
        <v>11</v>
      </c>
      <c r="AK1029">
        <f t="shared" ref="AK1029:AK1057" si="323">IF(B1029&lt;&gt;B1028,1,0)</f>
        <v>0</v>
      </c>
      <c r="AL1029" s="9">
        <v>1</v>
      </c>
    </row>
    <row r="1030" spans="1:38" x14ac:dyDescent="0.35">
      <c r="A1030" s="9">
        <v>1</v>
      </c>
      <c r="B1030" s="9" t="s">
        <v>133</v>
      </c>
      <c r="C1030" s="53">
        <v>43888</v>
      </c>
      <c r="D1030" s="53">
        <v>43905</v>
      </c>
      <c r="E1030" s="53">
        <v>43983</v>
      </c>
      <c r="F1030" s="21">
        <f t="shared" si="311"/>
        <v>78</v>
      </c>
      <c r="G1030" s="53">
        <v>43905</v>
      </c>
      <c r="H1030" s="9">
        <v>2020</v>
      </c>
      <c r="I1030" s="9">
        <v>1</v>
      </c>
      <c r="J1030" s="9">
        <v>2</v>
      </c>
      <c r="K1030" s="9" t="s">
        <v>206</v>
      </c>
      <c r="L1030" s="50" t="s">
        <v>725</v>
      </c>
      <c r="M1030">
        <v>-2</v>
      </c>
      <c r="N1030">
        <v>2</v>
      </c>
      <c r="O1030">
        <v>-2</v>
      </c>
      <c r="P1030">
        <v>-1</v>
      </c>
      <c r="Q1030">
        <v>-2</v>
      </c>
      <c r="S1030">
        <v>2</v>
      </c>
      <c r="U1030">
        <v>1</v>
      </c>
      <c r="V1030" t="s">
        <v>978</v>
      </c>
      <c r="W1030" t="s">
        <v>989</v>
      </c>
      <c r="X1030" t="s">
        <v>997</v>
      </c>
      <c r="Y1030" t="s">
        <v>1000</v>
      </c>
      <c r="Z1030">
        <v>1</v>
      </c>
      <c r="AA1030">
        <f t="shared" si="313"/>
        <v>0</v>
      </c>
      <c r="AB1030">
        <f t="shared" si="314"/>
        <v>1</v>
      </c>
      <c r="AC1030">
        <f t="shared" si="315"/>
        <v>0</v>
      </c>
      <c r="AD1030">
        <f t="shared" si="316"/>
        <v>0</v>
      </c>
      <c r="AE1030">
        <f t="shared" si="317"/>
        <v>0</v>
      </c>
      <c r="AF1030">
        <f t="shared" si="318"/>
        <v>-1</v>
      </c>
      <c r="AG1030">
        <f t="shared" si="319"/>
        <v>1</v>
      </c>
      <c r="AH1030">
        <f t="shared" si="320"/>
        <v>-1</v>
      </c>
      <c r="AI1030">
        <f t="shared" si="321"/>
        <v>1</v>
      </c>
      <c r="AJ1030" s="9" t="str">
        <f t="shared" si="322"/>
        <v>Tax exemption/waiver/suspension</v>
      </c>
      <c r="AK1030">
        <f t="shared" si="323"/>
        <v>0</v>
      </c>
      <c r="AL1030" s="9">
        <v>1</v>
      </c>
    </row>
    <row r="1031" spans="1:38" x14ac:dyDescent="0.35">
      <c r="A1031" s="9">
        <v>1</v>
      </c>
      <c r="B1031" s="9" t="s">
        <v>133</v>
      </c>
      <c r="C1031" s="53">
        <v>43888</v>
      </c>
      <c r="D1031" s="53">
        <v>43905</v>
      </c>
      <c r="E1031" s="53">
        <v>43983</v>
      </c>
      <c r="F1031" s="21">
        <f t="shared" si="311"/>
        <v>78</v>
      </c>
      <c r="G1031" s="53">
        <v>43905</v>
      </c>
      <c r="H1031" s="9">
        <v>2020</v>
      </c>
      <c r="I1031" s="9">
        <v>1</v>
      </c>
      <c r="J1031" s="9">
        <v>6</v>
      </c>
      <c r="K1031" s="9">
        <v>29</v>
      </c>
      <c r="L1031" s="50" t="s">
        <v>721</v>
      </c>
      <c r="M1031">
        <v>1</v>
      </c>
      <c r="N1031">
        <v>1</v>
      </c>
      <c r="O1031">
        <v>2</v>
      </c>
      <c r="P1031">
        <v>-1</v>
      </c>
      <c r="Q1031">
        <v>-2</v>
      </c>
      <c r="R1031">
        <v>2</v>
      </c>
      <c r="S1031">
        <v>1</v>
      </c>
      <c r="T1031">
        <v>-2</v>
      </c>
      <c r="U1031">
        <v>1</v>
      </c>
      <c r="V1031" t="s">
        <v>978</v>
      </c>
      <c r="W1031" t="s">
        <v>989</v>
      </c>
      <c r="X1031" t="s">
        <v>997</v>
      </c>
      <c r="Y1031" t="s">
        <v>1000</v>
      </c>
      <c r="Z1031">
        <v>1</v>
      </c>
      <c r="AA1031">
        <f t="shared" si="313"/>
        <v>1</v>
      </c>
      <c r="AB1031">
        <f t="shared" si="314"/>
        <v>1</v>
      </c>
      <c r="AC1031">
        <f t="shared" si="315"/>
        <v>1</v>
      </c>
      <c r="AD1031">
        <f t="shared" si="316"/>
        <v>0</v>
      </c>
      <c r="AE1031">
        <f t="shared" si="317"/>
        <v>0</v>
      </c>
      <c r="AF1031">
        <f t="shared" si="318"/>
        <v>1</v>
      </c>
      <c r="AG1031">
        <f t="shared" si="319"/>
        <v>1</v>
      </c>
      <c r="AH1031">
        <f t="shared" si="320"/>
        <v>0</v>
      </c>
      <c r="AI1031">
        <f t="shared" si="321"/>
        <v>1</v>
      </c>
      <c r="AJ1031" s="9">
        <f t="shared" si="322"/>
        <v>29</v>
      </c>
      <c r="AK1031">
        <f t="shared" si="323"/>
        <v>0</v>
      </c>
      <c r="AL1031" s="9">
        <v>1</v>
      </c>
    </row>
    <row r="1032" spans="1:38" x14ac:dyDescent="0.35">
      <c r="A1032" s="9">
        <v>1</v>
      </c>
      <c r="B1032" s="9" t="s">
        <v>133</v>
      </c>
      <c r="C1032" s="53">
        <v>43888</v>
      </c>
      <c r="D1032" s="53">
        <v>43905</v>
      </c>
      <c r="E1032" s="53">
        <v>43983</v>
      </c>
      <c r="F1032" s="21">
        <f t="shared" si="311"/>
        <v>78</v>
      </c>
      <c r="G1032" s="53">
        <v>43905</v>
      </c>
      <c r="H1032" s="9">
        <v>2020</v>
      </c>
      <c r="I1032" s="9">
        <v>1</v>
      </c>
      <c r="J1032" s="9">
        <v>1</v>
      </c>
      <c r="K1032" s="9" t="s">
        <v>201</v>
      </c>
      <c r="L1032" s="50" t="s">
        <v>727</v>
      </c>
      <c r="M1032">
        <v>-2</v>
      </c>
      <c r="N1032">
        <v>2</v>
      </c>
      <c r="O1032">
        <v>2</v>
      </c>
      <c r="P1032">
        <v>-1</v>
      </c>
      <c r="U1032">
        <v>1</v>
      </c>
      <c r="V1032" t="s">
        <v>978</v>
      </c>
      <c r="W1032" t="s">
        <v>989</v>
      </c>
      <c r="X1032" t="s">
        <v>997</v>
      </c>
      <c r="Y1032" t="s">
        <v>1000</v>
      </c>
      <c r="Z1032">
        <v>1</v>
      </c>
      <c r="AA1032">
        <f t="shared" si="313"/>
        <v>0</v>
      </c>
      <c r="AB1032">
        <f t="shared" si="314"/>
        <v>1</v>
      </c>
      <c r="AC1032">
        <f t="shared" si="315"/>
        <v>1</v>
      </c>
      <c r="AD1032">
        <f t="shared" si="316"/>
        <v>0</v>
      </c>
      <c r="AE1032">
        <f t="shared" si="317"/>
        <v>-1</v>
      </c>
      <c r="AF1032">
        <f t="shared" si="318"/>
        <v>-1</v>
      </c>
      <c r="AG1032">
        <f t="shared" si="319"/>
        <v>-1</v>
      </c>
      <c r="AH1032">
        <f t="shared" si="320"/>
        <v>-1</v>
      </c>
      <c r="AI1032">
        <f t="shared" si="321"/>
        <v>1</v>
      </c>
      <c r="AJ1032" s="9" t="str">
        <f t="shared" si="322"/>
        <v>Other</v>
      </c>
      <c r="AK1032">
        <f t="shared" si="323"/>
        <v>0</v>
      </c>
      <c r="AL1032" s="9">
        <v>1</v>
      </c>
    </row>
    <row r="1033" spans="1:38" x14ac:dyDescent="0.35">
      <c r="A1033" s="9">
        <v>1</v>
      </c>
      <c r="B1033" s="9" t="s">
        <v>133</v>
      </c>
      <c r="C1033" s="53">
        <v>43888</v>
      </c>
      <c r="D1033" s="53">
        <v>43905</v>
      </c>
      <c r="E1033" s="53">
        <v>43983</v>
      </c>
      <c r="F1033" s="21">
        <f t="shared" si="311"/>
        <v>78</v>
      </c>
      <c r="G1033" s="53">
        <v>43905</v>
      </c>
      <c r="H1033" s="9">
        <v>2020</v>
      </c>
      <c r="I1033" s="9">
        <v>1</v>
      </c>
      <c r="J1033" s="9">
        <v>2</v>
      </c>
      <c r="K1033" s="9" t="s">
        <v>206</v>
      </c>
      <c r="L1033" s="50" t="s">
        <v>731</v>
      </c>
      <c r="M1033">
        <v>-2</v>
      </c>
      <c r="N1033">
        <v>2</v>
      </c>
      <c r="O1033">
        <v>-2</v>
      </c>
      <c r="P1033">
        <v>2</v>
      </c>
      <c r="Q1033">
        <v>-2</v>
      </c>
      <c r="R1033">
        <v>2</v>
      </c>
      <c r="S1033">
        <v>2</v>
      </c>
      <c r="T1033">
        <v>2</v>
      </c>
      <c r="U1033">
        <v>1</v>
      </c>
      <c r="V1033" t="s">
        <v>978</v>
      </c>
      <c r="W1033" t="s">
        <v>989</v>
      </c>
      <c r="X1033" t="s">
        <v>997</v>
      </c>
      <c r="Y1033" t="s">
        <v>1000</v>
      </c>
      <c r="Z1033">
        <v>1</v>
      </c>
      <c r="AA1033">
        <f t="shared" si="313"/>
        <v>0</v>
      </c>
      <c r="AB1033">
        <f t="shared" si="314"/>
        <v>1</v>
      </c>
      <c r="AC1033">
        <f t="shared" si="315"/>
        <v>0</v>
      </c>
      <c r="AD1033">
        <f t="shared" si="316"/>
        <v>1</v>
      </c>
      <c r="AE1033">
        <f t="shared" si="317"/>
        <v>0</v>
      </c>
      <c r="AF1033">
        <f t="shared" si="318"/>
        <v>1</v>
      </c>
      <c r="AG1033">
        <f t="shared" si="319"/>
        <v>1</v>
      </c>
      <c r="AH1033">
        <f t="shared" si="320"/>
        <v>1</v>
      </c>
      <c r="AI1033">
        <f t="shared" si="321"/>
        <v>1</v>
      </c>
      <c r="AJ1033" s="9" t="str">
        <f t="shared" si="322"/>
        <v>Tax exemption/waiver/suspension</v>
      </c>
      <c r="AK1033">
        <f t="shared" si="323"/>
        <v>0</v>
      </c>
      <c r="AL1033" s="9">
        <v>1</v>
      </c>
    </row>
    <row r="1034" spans="1:38" x14ac:dyDescent="0.35">
      <c r="A1034" s="9">
        <v>1</v>
      </c>
      <c r="B1034" s="9" t="s">
        <v>133</v>
      </c>
      <c r="C1034" s="53">
        <v>43888</v>
      </c>
      <c r="D1034" s="53">
        <v>43905</v>
      </c>
      <c r="E1034" s="53">
        <v>43983</v>
      </c>
      <c r="F1034" s="21">
        <f t="shared" si="311"/>
        <v>78</v>
      </c>
      <c r="G1034" s="53">
        <v>43905</v>
      </c>
      <c r="H1034" s="9">
        <v>2020</v>
      </c>
      <c r="I1034" s="9">
        <v>1</v>
      </c>
      <c r="J1034" s="9">
        <v>6</v>
      </c>
      <c r="K1034" s="9">
        <v>28</v>
      </c>
      <c r="L1034" s="50" t="s">
        <v>720</v>
      </c>
      <c r="M1034">
        <v>1</v>
      </c>
      <c r="N1034">
        <v>1</v>
      </c>
      <c r="O1034">
        <v>-2</v>
      </c>
      <c r="P1034">
        <v>-1</v>
      </c>
      <c r="Q1034">
        <v>-2</v>
      </c>
      <c r="R1034">
        <v>2</v>
      </c>
      <c r="S1034">
        <v>1</v>
      </c>
      <c r="T1034">
        <v>2</v>
      </c>
      <c r="U1034">
        <v>1</v>
      </c>
      <c r="V1034" t="s">
        <v>978</v>
      </c>
      <c r="W1034" t="s">
        <v>989</v>
      </c>
      <c r="X1034" t="s">
        <v>997</v>
      </c>
      <c r="Y1034" t="s">
        <v>1000</v>
      </c>
      <c r="Z1034">
        <v>1</v>
      </c>
      <c r="AA1034">
        <f t="shared" si="313"/>
        <v>1</v>
      </c>
      <c r="AB1034">
        <f t="shared" si="314"/>
        <v>1</v>
      </c>
      <c r="AC1034">
        <f t="shared" si="315"/>
        <v>0</v>
      </c>
      <c r="AD1034">
        <f t="shared" si="316"/>
        <v>0</v>
      </c>
      <c r="AE1034">
        <f t="shared" si="317"/>
        <v>0</v>
      </c>
      <c r="AF1034">
        <f t="shared" si="318"/>
        <v>1</v>
      </c>
      <c r="AG1034">
        <f t="shared" si="319"/>
        <v>1</v>
      </c>
      <c r="AH1034">
        <f t="shared" si="320"/>
        <v>1</v>
      </c>
      <c r="AI1034">
        <f t="shared" si="321"/>
        <v>1</v>
      </c>
      <c r="AJ1034" s="9">
        <f t="shared" si="322"/>
        <v>28</v>
      </c>
      <c r="AK1034">
        <f t="shared" si="323"/>
        <v>0</v>
      </c>
      <c r="AL1034" s="9">
        <v>1</v>
      </c>
    </row>
    <row r="1035" spans="1:38" x14ac:dyDescent="0.35">
      <c r="A1035" s="9">
        <v>1</v>
      </c>
      <c r="B1035" s="9" t="s">
        <v>133</v>
      </c>
      <c r="C1035" s="53">
        <v>43888</v>
      </c>
      <c r="D1035" s="53">
        <v>43905</v>
      </c>
      <c r="E1035" s="53">
        <v>43983</v>
      </c>
      <c r="F1035" s="21">
        <f t="shared" si="311"/>
        <v>78</v>
      </c>
      <c r="G1035" s="53">
        <v>43905</v>
      </c>
      <c r="H1035" s="9">
        <v>2020</v>
      </c>
      <c r="I1035" s="9">
        <v>1</v>
      </c>
      <c r="J1035" s="9">
        <v>6</v>
      </c>
      <c r="K1035" s="9">
        <v>29</v>
      </c>
      <c r="L1035" s="50" t="s">
        <v>738</v>
      </c>
      <c r="M1035">
        <v>1</v>
      </c>
      <c r="N1035">
        <v>1</v>
      </c>
      <c r="O1035">
        <v>-2</v>
      </c>
      <c r="P1035">
        <v>-1</v>
      </c>
      <c r="Q1035">
        <v>-2</v>
      </c>
      <c r="R1035">
        <v>2</v>
      </c>
      <c r="S1035">
        <v>1</v>
      </c>
      <c r="T1035">
        <v>2</v>
      </c>
      <c r="U1035">
        <v>1</v>
      </c>
      <c r="V1035" t="s">
        <v>978</v>
      </c>
      <c r="W1035" t="s">
        <v>989</v>
      </c>
      <c r="X1035" t="s">
        <v>997</v>
      </c>
      <c r="Y1035" t="s">
        <v>1000</v>
      </c>
      <c r="Z1035">
        <v>1</v>
      </c>
      <c r="AA1035">
        <f t="shared" si="313"/>
        <v>1</v>
      </c>
      <c r="AB1035">
        <f t="shared" si="314"/>
        <v>1</v>
      </c>
      <c r="AC1035">
        <f t="shared" si="315"/>
        <v>0</v>
      </c>
      <c r="AD1035">
        <f t="shared" si="316"/>
        <v>0</v>
      </c>
      <c r="AE1035">
        <f t="shared" si="317"/>
        <v>0</v>
      </c>
      <c r="AF1035">
        <f t="shared" si="318"/>
        <v>1</v>
      </c>
      <c r="AG1035">
        <f t="shared" si="319"/>
        <v>1</v>
      </c>
      <c r="AH1035">
        <f t="shared" si="320"/>
        <v>1</v>
      </c>
      <c r="AI1035">
        <f t="shared" si="321"/>
        <v>1</v>
      </c>
      <c r="AJ1035" s="9">
        <f t="shared" si="322"/>
        <v>29</v>
      </c>
      <c r="AK1035">
        <f t="shared" si="323"/>
        <v>0</v>
      </c>
      <c r="AL1035" s="9">
        <v>1</v>
      </c>
    </row>
    <row r="1036" spans="1:38" x14ac:dyDescent="0.35">
      <c r="A1036" s="9">
        <v>1</v>
      </c>
      <c r="B1036" s="9" t="s">
        <v>133</v>
      </c>
      <c r="C1036" s="53">
        <v>43888</v>
      </c>
      <c r="D1036" s="53">
        <v>43905</v>
      </c>
      <c r="E1036" s="53">
        <v>43983</v>
      </c>
      <c r="F1036" s="21">
        <f t="shared" si="311"/>
        <v>78</v>
      </c>
      <c r="G1036" s="53">
        <v>43905</v>
      </c>
      <c r="H1036" s="9">
        <v>2020</v>
      </c>
      <c r="I1036" s="9">
        <v>1</v>
      </c>
      <c r="J1036" s="9">
        <v>7</v>
      </c>
      <c r="K1036" s="9">
        <v>31</v>
      </c>
      <c r="L1036" s="50" t="s">
        <v>733</v>
      </c>
      <c r="M1036">
        <v>1</v>
      </c>
      <c r="N1036">
        <v>1</v>
      </c>
      <c r="O1036">
        <v>-2</v>
      </c>
      <c r="P1036">
        <v>-1</v>
      </c>
      <c r="Q1036">
        <v>-2</v>
      </c>
      <c r="R1036">
        <v>2</v>
      </c>
      <c r="S1036">
        <v>1</v>
      </c>
      <c r="T1036">
        <v>2</v>
      </c>
      <c r="U1036">
        <v>1</v>
      </c>
      <c r="V1036" t="s">
        <v>978</v>
      </c>
      <c r="W1036" t="s">
        <v>989</v>
      </c>
      <c r="X1036" t="s">
        <v>997</v>
      </c>
      <c r="Y1036" t="s">
        <v>1000</v>
      </c>
      <c r="Z1036">
        <v>1</v>
      </c>
      <c r="AA1036">
        <f t="shared" si="313"/>
        <v>1</v>
      </c>
      <c r="AB1036">
        <f t="shared" si="314"/>
        <v>1</v>
      </c>
      <c r="AC1036">
        <f t="shared" si="315"/>
        <v>0</v>
      </c>
      <c r="AD1036">
        <f t="shared" si="316"/>
        <v>0</v>
      </c>
      <c r="AE1036">
        <f t="shared" si="317"/>
        <v>0</v>
      </c>
      <c r="AF1036">
        <f t="shared" si="318"/>
        <v>1</v>
      </c>
      <c r="AG1036">
        <f t="shared" si="319"/>
        <v>1</v>
      </c>
      <c r="AH1036">
        <f t="shared" si="320"/>
        <v>1</v>
      </c>
      <c r="AI1036">
        <f t="shared" si="321"/>
        <v>1</v>
      </c>
      <c r="AJ1036" s="9">
        <f t="shared" si="322"/>
        <v>31</v>
      </c>
      <c r="AK1036">
        <f t="shared" si="323"/>
        <v>0</v>
      </c>
      <c r="AL1036" s="9">
        <v>1</v>
      </c>
    </row>
    <row r="1037" spans="1:38" x14ac:dyDescent="0.35">
      <c r="A1037" s="9">
        <v>1</v>
      </c>
      <c r="B1037" s="9" t="s">
        <v>133</v>
      </c>
      <c r="C1037" s="53">
        <v>43888</v>
      </c>
      <c r="D1037" s="53">
        <v>43905</v>
      </c>
      <c r="E1037" s="53">
        <v>43983</v>
      </c>
      <c r="F1037" s="21">
        <f t="shared" si="311"/>
        <v>78</v>
      </c>
      <c r="G1037" s="53">
        <v>43905</v>
      </c>
      <c r="H1037" s="9">
        <v>2020</v>
      </c>
      <c r="I1037" s="9">
        <v>1</v>
      </c>
      <c r="J1037" s="9">
        <v>7</v>
      </c>
      <c r="K1037" s="9">
        <v>30</v>
      </c>
      <c r="L1037" s="50" t="s">
        <v>729</v>
      </c>
      <c r="M1037">
        <v>1</v>
      </c>
      <c r="N1037">
        <v>1</v>
      </c>
      <c r="O1037">
        <v>2</v>
      </c>
      <c r="P1037">
        <v>1</v>
      </c>
      <c r="Q1037">
        <v>2</v>
      </c>
      <c r="R1037">
        <v>2</v>
      </c>
      <c r="S1037">
        <v>1</v>
      </c>
      <c r="T1037">
        <v>-2</v>
      </c>
      <c r="U1037">
        <v>1</v>
      </c>
      <c r="V1037" t="s">
        <v>978</v>
      </c>
      <c r="W1037" t="s">
        <v>989</v>
      </c>
      <c r="X1037" t="s">
        <v>997</v>
      </c>
      <c r="Y1037" t="s">
        <v>1000</v>
      </c>
      <c r="Z1037">
        <v>1</v>
      </c>
      <c r="AA1037">
        <f t="shared" si="313"/>
        <v>1</v>
      </c>
      <c r="AB1037">
        <f t="shared" si="314"/>
        <v>1</v>
      </c>
      <c r="AC1037">
        <f t="shared" si="315"/>
        <v>1</v>
      </c>
      <c r="AD1037">
        <f t="shared" si="316"/>
        <v>1</v>
      </c>
      <c r="AE1037">
        <f t="shared" si="317"/>
        <v>1</v>
      </c>
      <c r="AF1037">
        <f t="shared" si="318"/>
        <v>1</v>
      </c>
      <c r="AG1037">
        <f t="shared" si="319"/>
        <v>1</v>
      </c>
      <c r="AH1037">
        <f t="shared" si="320"/>
        <v>0</v>
      </c>
      <c r="AI1037">
        <f t="shared" si="321"/>
        <v>1</v>
      </c>
      <c r="AJ1037" s="9">
        <f t="shared" si="322"/>
        <v>30</v>
      </c>
      <c r="AK1037">
        <f t="shared" si="323"/>
        <v>0</v>
      </c>
      <c r="AL1037" s="9">
        <v>1</v>
      </c>
    </row>
    <row r="1038" spans="1:38" x14ac:dyDescent="0.35">
      <c r="A1038" s="9">
        <v>1</v>
      </c>
      <c r="B1038" s="9" t="s">
        <v>133</v>
      </c>
      <c r="C1038" s="53">
        <v>43888</v>
      </c>
      <c r="D1038" s="53">
        <v>43905</v>
      </c>
      <c r="E1038" s="53">
        <v>43983</v>
      </c>
      <c r="F1038" s="21">
        <f t="shared" si="311"/>
        <v>78</v>
      </c>
      <c r="G1038" s="53">
        <v>43905</v>
      </c>
      <c r="H1038" s="9">
        <v>2020</v>
      </c>
      <c r="I1038" s="9">
        <v>1</v>
      </c>
      <c r="J1038" s="9">
        <v>1</v>
      </c>
      <c r="K1038" s="9">
        <v>6</v>
      </c>
      <c r="L1038" s="50" t="s">
        <v>732</v>
      </c>
      <c r="M1038">
        <v>-2</v>
      </c>
      <c r="N1038">
        <v>2</v>
      </c>
      <c r="O1038">
        <v>2</v>
      </c>
      <c r="P1038">
        <v>2</v>
      </c>
      <c r="Q1038">
        <v>2</v>
      </c>
      <c r="R1038">
        <v>2</v>
      </c>
      <c r="S1038">
        <v>1</v>
      </c>
      <c r="T1038">
        <v>2</v>
      </c>
      <c r="U1038">
        <v>1</v>
      </c>
      <c r="V1038" t="s">
        <v>978</v>
      </c>
      <c r="W1038" t="s">
        <v>989</v>
      </c>
      <c r="X1038" t="s">
        <v>997</v>
      </c>
      <c r="Y1038" t="s">
        <v>1000</v>
      </c>
      <c r="Z1038">
        <v>1</v>
      </c>
      <c r="AA1038">
        <f t="shared" si="313"/>
        <v>0</v>
      </c>
      <c r="AB1038">
        <f t="shared" si="314"/>
        <v>1</v>
      </c>
      <c r="AC1038">
        <f t="shared" si="315"/>
        <v>1</v>
      </c>
      <c r="AD1038">
        <f t="shared" si="316"/>
        <v>1</v>
      </c>
      <c r="AE1038">
        <f t="shared" si="317"/>
        <v>1</v>
      </c>
      <c r="AF1038">
        <f t="shared" si="318"/>
        <v>1</v>
      </c>
      <c r="AG1038">
        <f t="shared" si="319"/>
        <v>1</v>
      </c>
      <c r="AH1038">
        <f t="shared" si="320"/>
        <v>1</v>
      </c>
      <c r="AI1038">
        <f t="shared" si="321"/>
        <v>1</v>
      </c>
      <c r="AJ1038" s="9">
        <f t="shared" si="322"/>
        <v>6</v>
      </c>
      <c r="AK1038">
        <f t="shared" si="323"/>
        <v>0</v>
      </c>
      <c r="AL1038" s="9">
        <v>1</v>
      </c>
    </row>
    <row r="1039" spans="1:38" x14ac:dyDescent="0.35">
      <c r="A1039" s="9">
        <v>1</v>
      </c>
      <c r="B1039" s="9" t="s">
        <v>133</v>
      </c>
      <c r="C1039" s="53">
        <v>43888</v>
      </c>
      <c r="D1039" s="53">
        <v>43905</v>
      </c>
      <c r="E1039" s="53">
        <v>43983</v>
      </c>
      <c r="F1039" s="21">
        <f t="shared" si="311"/>
        <v>78</v>
      </c>
      <c r="G1039" s="53">
        <v>43905</v>
      </c>
      <c r="H1039" s="9">
        <v>2020</v>
      </c>
      <c r="I1039" s="9">
        <v>1</v>
      </c>
      <c r="J1039" s="9">
        <v>1</v>
      </c>
      <c r="K1039" s="9">
        <v>2</v>
      </c>
      <c r="L1039" s="50" t="s">
        <v>736</v>
      </c>
      <c r="M1039">
        <v>2</v>
      </c>
      <c r="N1039">
        <v>-1</v>
      </c>
      <c r="O1039">
        <v>-2</v>
      </c>
      <c r="P1039">
        <v>-1</v>
      </c>
      <c r="Q1039">
        <v>-2</v>
      </c>
      <c r="R1039">
        <v>2</v>
      </c>
      <c r="S1039">
        <v>2</v>
      </c>
      <c r="T1039">
        <v>2</v>
      </c>
      <c r="U1039">
        <v>1</v>
      </c>
      <c r="V1039" t="s">
        <v>978</v>
      </c>
      <c r="W1039" t="s">
        <v>989</v>
      </c>
      <c r="X1039" t="s">
        <v>997</v>
      </c>
      <c r="Y1039" t="s">
        <v>1000</v>
      </c>
      <c r="Z1039">
        <v>1</v>
      </c>
      <c r="AA1039">
        <f t="shared" si="313"/>
        <v>1</v>
      </c>
      <c r="AB1039">
        <f t="shared" si="314"/>
        <v>0</v>
      </c>
      <c r="AC1039">
        <f t="shared" si="315"/>
        <v>0</v>
      </c>
      <c r="AD1039">
        <f t="shared" si="316"/>
        <v>0</v>
      </c>
      <c r="AE1039">
        <f t="shared" si="317"/>
        <v>0</v>
      </c>
      <c r="AF1039">
        <f t="shared" si="318"/>
        <v>1</v>
      </c>
      <c r="AG1039">
        <f t="shared" si="319"/>
        <v>1</v>
      </c>
      <c r="AH1039">
        <f t="shared" si="320"/>
        <v>1</v>
      </c>
      <c r="AI1039">
        <f t="shared" si="321"/>
        <v>1</v>
      </c>
      <c r="AJ1039" s="9">
        <f t="shared" ref="AJ1039:AJ1105" si="324">IF(ISNUMBER(K1039),K1039,IF(OR(K1039="general",K1039="23;general"),"General",IF(OR(K1039="exemption",K1039="other (exemption)"),"Tax exemption/waiver/suspension","Other")))</f>
        <v>2</v>
      </c>
      <c r="AK1039">
        <f t="shared" si="323"/>
        <v>0</v>
      </c>
      <c r="AL1039" s="9">
        <v>1</v>
      </c>
    </row>
    <row r="1040" spans="1:38" x14ac:dyDescent="0.35">
      <c r="A1040" s="9">
        <v>1</v>
      </c>
      <c r="B1040" s="9" t="s">
        <v>133</v>
      </c>
      <c r="C1040" s="53">
        <v>43888</v>
      </c>
      <c r="D1040" s="53">
        <v>43905</v>
      </c>
      <c r="E1040" s="53">
        <v>43983</v>
      </c>
      <c r="F1040" s="21">
        <f t="shared" si="311"/>
        <v>78</v>
      </c>
      <c r="G1040" s="53">
        <v>43905</v>
      </c>
      <c r="H1040" s="9">
        <v>2020</v>
      </c>
      <c r="I1040" s="9">
        <v>1</v>
      </c>
      <c r="J1040" s="9">
        <v>3</v>
      </c>
      <c r="K1040" s="9" t="s">
        <v>206</v>
      </c>
      <c r="L1040" s="50" t="s">
        <v>730</v>
      </c>
      <c r="M1040">
        <v>2</v>
      </c>
      <c r="N1040">
        <v>2</v>
      </c>
      <c r="O1040">
        <v>-2</v>
      </c>
      <c r="P1040">
        <v>-1</v>
      </c>
      <c r="Q1040">
        <v>-2</v>
      </c>
      <c r="S1040">
        <v>-2</v>
      </c>
      <c r="U1040">
        <v>1</v>
      </c>
      <c r="V1040" t="s">
        <v>978</v>
      </c>
      <c r="W1040" t="s">
        <v>989</v>
      </c>
      <c r="X1040" t="s">
        <v>997</v>
      </c>
      <c r="Y1040" t="s">
        <v>1000</v>
      </c>
      <c r="Z1040">
        <v>1</v>
      </c>
      <c r="AA1040">
        <f t="shared" si="313"/>
        <v>1</v>
      </c>
      <c r="AB1040">
        <f t="shared" si="314"/>
        <v>1</v>
      </c>
      <c r="AC1040">
        <f t="shared" si="315"/>
        <v>0</v>
      </c>
      <c r="AD1040">
        <f t="shared" si="316"/>
        <v>0</v>
      </c>
      <c r="AE1040">
        <f t="shared" si="317"/>
        <v>0</v>
      </c>
      <c r="AF1040">
        <f t="shared" si="318"/>
        <v>-1</v>
      </c>
      <c r="AG1040">
        <f t="shared" si="319"/>
        <v>0</v>
      </c>
      <c r="AH1040">
        <f t="shared" si="320"/>
        <v>-1</v>
      </c>
      <c r="AI1040">
        <f t="shared" si="321"/>
        <v>1</v>
      </c>
      <c r="AJ1040" s="9" t="str">
        <f t="shared" si="324"/>
        <v>Tax exemption/waiver/suspension</v>
      </c>
      <c r="AK1040">
        <f t="shared" si="323"/>
        <v>0</v>
      </c>
      <c r="AL1040" s="9">
        <v>1</v>
      </c>
    </row>
    <row r="1041" spans="1:38" x14ac:dyDescent="0.35">
      <c r="A1041" s="9">
        <v>1</v>
      </c>
      <c r="B1041" s="9" t="s">
        <v>133</v>
      </c>
      <c r="C1041" s="53">
        <v>43888</v>
      </c>
      <c r="D1041" s="53">
        <v>43905</v>
      </c>
      <c r="E1041" s="53">
        <v>43983</v>
      </c>
      <c r="F1041" s="21">
        <f t="shared" si="311"/>
        <v>78</v>
      </c>
      <c r="G1041" s="53">
        <v>43905</v>
      </c>
      <c r="H1041" s="9">
        <v>2020</v>
      </c>
      <c r="I1041" s="9">
        <v>1</v>
      </c>
      <c r="J1041" s="9">
        <v>9</v>
      </c>
      <c r="K1041" s="9">
        <v>34</v>
      </c>
      <c r="L1041" s="50" t="s">
        <v>726</v>
      </c>
      <c r="M1041">
        <v>1</v>
      </c>
      <c r="N1041">
        <v>1</v>
      </c>
      <c r="O1041">
        <v>2</v>
      </c>
      <c r="P1041">
        <v>-1</v>
      </c>
      <c r="Q1041">
        <v>2</v>
      </c>
      <c r="R1041">
        <v>2</v>
      </c>
      <c r="S1041">
        <v>1</v>
      </c>
      <c r="T1041">
        <v>2</v>
      </c>
      <c r="U1041">
        <v>1</v>
      </c>
      <c r="V1041" t="s">
        <v>978</v>
      </c>
      <c r="W1041" t="s">
        <v>989</v>
      </c>
      <c r="X1041" t="s">
        <v>997</v>
      </c>
      <c r="Y1041" t="s">
        <v>1000</v>
      </c>
      <c r="Z1041">
        <v>1</v>
      </c>
      <c r="AA1041">
        <f t="shared" si="313"/>
        <v>1</v>
      </c>
      <c r="AB1041">
        <f t="shared" si="314"/>
        <v>1</v>
      </c>
      <c r="AC1041">
        <f t="shared" si="315"/>
        <v>1</v>
      </c>
      <c r="AD1041">
        <f t="shared" si="316"/>
        <v>0</v>
      </c>
      <c r="AE1041">
        <f t="shared" si="317"/>
        <v>1</v>
      </c>
      <c r="AF1041">
        <f t="shared" si="318"/>
        <v>1</v>
      </c>
      <c r="AG1041">
        <f t="shared" si="319"/>
        <v>1</v>
      </c>
      <c r="AH1041">
        <f t="shared" si="320"/>
        <v>1</v>
      </c>
      <c r="AI1041">
        <f t="shared" si="321"/>
        <v>1</v>
      </c>
      <c r="AJ1041" s="9">
        <f t="shared" si="324"/>
        <v>34</v>
      </c>
      <c r="AK1041">
        <f t="shared" si="323"/>
        <v>0</v>
      </c>
      <c r="AL1041" s="9">
        <v>1</v>
      </c>
    </row>
    <row r="1042" spans="1:38" x14ac:dyDescent="0.35">
      <c r="A1042" s="9">
        <v>1</v>
      </c>
      <c r="B1042" s="9" t="s">
        <v>133</v>
      </c>
      <c r="C1042" s="53">
        <v>43888</v>
      </c>
      <c r="D1042" s="53">
        <v>43905</v>
      </c>
      <c r="E1042" s="53">
        <v>43983</v>
      </c>
      <c r="F1042" s="21">
        <f t="shared" si="311"/>
        <v>78</v>
      </c>
      <c r="G1042" s="53">
        <v>43905</v>
      </c>
      <c r="H1042" s="9">
        <v>2020</v>
      </c>
      <c r="I1042" s="9">
        <v>1</v>
      </c>
      <c r="J1042" s="9">
        <v>1</v>
      </c>
      <c r="K1042" s="9">
        <v>8</v>
      </c>
      <c r="L1042" s="50" t="s">
        <v>400</v>
      </c>
      <c r="M1042">
        <v>-2</v>
      </c>
      <c r="N1042">
        <v>2</v>
      </c>
      <c r="O1042">
        <v>-2</v>
      </c>
      <c r="P1042">
        <v>-1</v>
      </c>
      <c r="Q1042">
        <v>-2</v>
      </c>
      <c r="R1042">
        <v>-2</v>
      </c>
      <c r="S1042">
        <v>-2</v>
      </c>
      <c r="T1042">
        <v>2</v>
      </c>
      <c r="U1042">
        <v>1</v>
      </c>
      <c r="V1042" t="s">
        <v>978</v>
      </c>
      <c r="W1042" t="s">
        <v>989</v>
      </c>
      <c r="X1042" t="s">
        <v>997</v>
      </c>
      <c r="Y1042" t="s">
        <v>1000</v>
      </c>
      <c r="Z1042">
        <v>1</v>
      </c>
      <c r="AA1042">
        <f t="shared" si="313"/>
        <v>0</v>
      </c>
      <c r="AB1042">
        <f t="shared" si="314"/>
        <v>1</v>
      </c>
      <c r="AC1042">
        <f t="shared" si="315"/>
        <v>0</v>
      </c>
      <c r="AD1042">
        <f t="shared" si="316"/>
        <v>0</v>
      </c>
      <c r="AE1042">
        <f t="shared" si="317"/>
        <v>0</v>
      </c>
      <c r="AF1042">
        <f t="shared" si="318"/>
        <v>0</v>
      </c>
      <c r="AG1042">
        <f t="shared" si="319"/>
        <v>0</v>
      </c>
      <c r="AH1042">
        <f t="shared" si="320"/>
        <v>1</v>
      </c>
      <c r="AI1042">
        <f t="shared" si="321"/>
        <v>1</v>
      </c>
      <c r="AJ1042" s="9">
        <f t="shared" si="324"/>
        <v>8</v>
      </c>
      <c r="AK1042">
        <f t="shared" si="323"/>
        <v>0</v>
      </c>
      <c r="AL1042" s="9">
        <v>1</v>
      </c>
    </row>
    <row r="1043" spans="1:38" x14ac:dyDescent="0.35">
      <c r="A1043" s="9">
        <v>1</v>
      </c>
      <c r="B1043" s="9" t="s">
        <v>133</v>
      </c>
      <c r="C1043" s="53">
        <v>43888</v>
      </c>
      <c r="D1043" s="53">
        <v>43905</v>
      </c>
      <c r="E1043" s="53">
        <v>43983</v>
      </c>
      <c r="F1043" s="21">
        <f t="shared" si="311"/>
        <v>78</v>
      </c>
      <c r="G1043" s="53">
        <v>43905</v>
      </c>
      <c r="H1043" s="9">
        <v>2020</v>
      </c>
      <c r="I1043" s="9">
        <v>1</v>
      </c>
      <c r="J1043" s="9">
        <v>1</v>
      </c>
      <c r="K1043" s="9">
        <v>6</v>
      </c>
      <c r="L1043" s="50" t="s">
        <v>723</v>
      </c>
      <c r="M1043">
        <v>2</v>
      </c>
      <c r="N1043">
        <v>2</v>
      </c>
      <c r="O1043">
        <v>2</v>
      </c>
      <c r="P1043">
        <v>2</v>
      </c>
      <c r="Q1043">
        <v>2</v>
      </c>
      <c r="R1043">
        <v>2</v>
      </c>
      <c r="S1043">
        <v>1</v>
      </c>
      <c r="T1043">
        <v>2</v>
      </c>
      <c r="U1043">
        <v>1</v>
      </c>
      <c r="V1043" t="s">
        <v>978</v>
      </c>
      <c r="W1043" t="s">
        <v>989</v>
      </c>
      <c r="X1043" t="s">
        <v>997</v>
      </c>
      <c r="Y1043" t="s">
        <v>1000</v>
      </c>
      <c r="Z1043">
        <v>1</v>
      </c>
      <c r="AA1043">
        <f t="shared" si="313"/>
        <v>1</v>
      </c>
      <c r="AB1043">
        <f t="shared" si="314"/>
        <v>1</v>
      </c>
      <c r="AC1043">
        <f t="shared" si="315"/>
        <v>1</v>
      </c>
      <c r="AD1043">
        <f t="shared" si="316"/>
        <v>1</v>
      </c>
      <c r="AE1043">
        <f t="shared" si="317"/>
        <v>1</v>
      </c>
      <c r="AF1043">
        <f t="shared" si="318"/>
        <v>1</v>
      </c>
      <c r="AG1043">
        <f t="shared" si="319"/>
        <v>1</v>
      </c>
      <c r="AH1043">
        <f t="shared" si="320"/>
        <v>1</v>
      </c>
      <c r="AI1043">
        <f t="shared" si="321"/>
        <v>1</v>
      </c>
      <c r="AJ1043" s="9">
        <f t="shared" si="324"/>
        <v>6</v>
      </c>
      <c r="AK1043">
        <f t="shared" si="323"/>
        <v>0</v>
      </c>
      <c r="AL1043" s="9">
        <v>1</v>
      </c>
    </row>
    <row r="1044" spans="1:38" x14ac:dyDescent="0.35">
      <c r="A1044" s="9">
        <v>1</v>
      </c>
      <c r="B1044" s="9" t="s">
        <v>133</v>
      </c>
      <c r="C1044" s="53">
        <v>43888</v>
      </c>
      <c r="D1044" s="53">
        <v>43905</v>
      </c>
      <c r="E1044" s="53">
        <v>43983</v>
      </c>
      <c r="F1044" s="21">
        <f t="shared" si="311"/>
        <v>78</v>
      </c>
      <c r="G1044" s="53">
        <v>43905</v>
      </c>
      <c r="H1044" s="9">
        <v>2020</v>
      </c>
      <c r="I1044" s="9">
        <v>1</v>
      </c>
      <c r="J1044" s="9">
        <v>4</v>
      </c>
      <c r="K1044" s="9">
        <v>20</v>
      </c>
      <c r="L1044" s="50" t="s">
        <v>724</v>
      </c>
      <c r="M1044">
        <v>-2</v>
      </c>
      <c r="N1044">
        <v>2</v>
      </c>
      <c r="O1044">
        <v>-2</v>
      </c>
      <c r="P1044">
        <v>-1</v>
      </c>
      <c r="Q1044">
        <v>-2</v>
      </c>
      <c r="R1044">
        <v>2</v>
      </c>
      <c r="S1044">
        <v>-2</v>
      </c>
      <c r="T1044">
        <v>2</v>
      </c>
      <c r="U1044">
        <v>1</v>
      </c>
      <c r="V1044" t="s">
        <v>978</v>
      </c>
      <c r="W1044" t="s">
        <v>989</v>
      </c>
      <c r="X1044" t="s">
        <v>997</v>
      </c>
      <c r="Y1044" t="s">
        <v>1000</v>
      </c>
      <c r="Z1044">
        <v>1</v>
      </c>
      <c r="AA1044">
        <f t="shared" si="313"/>
        <v>0</v>
      </c>
      <c r="AB1044">
        <f t="shared" si="314"/>
        <v>1</v>
      </c>
      <c r="AC1044">
        <f t="shared" si="315"/>
        <v>0</v>
      </c>
      <c r="AD1044">
        <f t="shared" si="316"/>
        <v>0</v>
      </c>
      <c r="AE1044">
        <f t="shared" si="317"/>
        <v>0</v>
      </c>
      <c r="AF1044">
        <f t="shared" si="318"/>
        <v>1</v>
      </c>
      <c r="AG1044">
        <f t="shared" si="319"/>
        <v>0</v>
      </c>
      <c r="AH1044">
        <f t="shared" si="320"/>
        <v>1</v>
      </c>
      <c r="AI1044">
        <f t="shared" si="321"/>
        <v>1</v>
      </c>
      <c r="AJ1044" s="9">
        <f t="shared" si="324"/>
        <v>20</v>
      </c>
      <c r="AK1044">
        <f t="shared" si="323"/>
        <v>0</v>
      </c>
      <c r="AL1044" s="9">
        <v>1</v>
      </c>
    </row>
    <row r="1045" spans="1:38" x14ac:dyDescent="0.35">
      <c r="A1045" s="9">
        <v>1</v>
      </c>
      <c r="B1045" s="9" t="s">
        <v>133</v>
      </c>
      <c r="C1045" s="53">
        <v>43888</v>
      </c>
      <c r="D1045" s="53">
        <v>43905</v>
      </c>
      <c r="E1045" s="53">
        <v>43983</v>
      </c>
      <c r="F1045" s="21">
        <f t="shared" si="311"/>
        <v>78</v>
      </c>
      <c r="G1045" s="53">
        <v>43905</v>
      </c>
      <c r="H1045" s="9">
        <v>2020</v>
      </c>
      <c r="I1045" s="9">
        <v>1</v>
      </c>
      <c r="J1045" s="9">
        <v>9</v>
      </c>
      <c r="K1045" s="9">
        <v>34</v>
      </c>
      <c r="L1045" s="50" t="s">
        <v>737</v>
      </c>
      <c r="M1045">
        <v>1</v>
      </c>
      <c r="N1045">
        <v>1</v>
      </c>
      <c r="O1045">
        <v>-2</v>
      </c>
      <c r="P1045">
        <v>-1</v>
      </c>
      <c r="Q1045">
        <v>-2</v>
      </c>
      <c r="R1045">
        <v>2</v>
      </c>
      <c r="S1045">
        <v>1</v>
      </c>
      <c r="T1045">
        <v>2</v>
      </c>
      <c r="U1045">
        <v>1</v>
      </c>
      <c r="V1045" t="s">
        <v>978</v>
      </c>
      <c r="W1045" t="s">
        <v>989</v>
      </c>
      <c r="X1045" t="s">
        <v>997</v>
      </c>
      <c r="Y1045" t="s">
        <v>1000</v>
      </c>
      <c r="Z1045">
        <v>1</v>
      </c>
      <c r="AA1045">
        <f t="shared" si="313"/>
        <v>1</v>
      </c>
      <c r="AB1045">
        <f t="shared" si="314"/>
        <v>1</v>
      </c>
      <c r="AC1045">
        <f t="shared" si="315"/>
        <v>0</v>
      </c>
      <c r="AD1045">
        <f t="shared" si="316"/>
        <v>0</v>
      </c>
      <c r="AE1045">
        <f t="shared" si="317"/>
        <v>0</v>
      </c>
      <c r="AF1045">
        <f t="shared" si="318"/>
        <v>1</v>
      </c>
      <c r="AG1045">
        <f t="shared" si="319"/>
        <v>1</v>
      </c>
      <c r="AH1045">
        <f t="shared" si="320"/>
        <v>1</v>
      </c>
      <c r="AI1045">
        <f t="shared" si="321"/>
        <v>1</v>
      </c>
      <c r="AJ1045" s="9">
        <f t="shared" si="324"/>
        <v>34</v>
      </c>
      <c r="AK1045">
        <f t="shared" si="323"/>
        <v>0</v>
      </c>
      <c r="AL1045" s="9">
        <v>1</v>
      </c>
    </row>
    <row r="1046" spans="1:38" x14ac:dyDescent="0.35">
      <c r="A1046" s="9">
        <v>1</v>
      </c>
      <c r="B1046" s="9" t="s">
        <v>133</v>
      </c>
      <c r="C1046" s="53">
        <v>43888</v>
      </c>
      <c r="D1046" s="53">
        <v>43905</v>
      </c>
      <c r="E1046" s="53">
        <v>43983</v>
      </c>
      <c r="F1046" s="21">
        <f t="shared" si="311"/>
        <v>78</v>
      </c>
      <c r="G1046" s="53">
        <v>43905</v>
      </c>
      <c r="H1046" s="9">
        <v>2020</v>
      </c>
      <c r="I1046" s="9">
        <v>1</v>
      </c>
      <c r="J1046" s="9">
        <v>9</v>
      </c>
      <c r="K1046" s="9">
        <v>34</v>
      </c>
      <c r="L1046" s="50" t="s">
        <v>722</v>
      </c>
      <c r="M1046">
        <v>1</v>
      </c>
      <c r="N1046">
        <v>1</v>
      </c>
      <c r="O1046">
        <v>-2</v>
      </c>
      <c r="P1046">
        <v>-1</v>
      </c>
      <c r="Q1046">
        <v>-2</v>
      </c>
      <c r="R1046">
        <v>2</v>
      </c>
      <c r="S1046">
        <v>1</v>
      </c>
      <c r="T1046">
        <v>2</v>
      </c>
      <c r="U1046">
        <v>1</v>
      </c>
      <c r="V1046" t="s">
        <v>978</v>
      </c>
      <c r="W1046" t="s">
        <v>989</v>
      </c>
      <c r="X1046" t="s">
        <v>997</v>
      </c>
      <c r="Y1046" t="s">
        <v>1000</v>
      </c>
      <c r="Z1046">
        <v>1</v>
      </c>
      <c r="AA1046">
        <f t="shared" si="313"/>
        <v>1</v>
      </c>
      <c r="AB1046">
        <f t="shared" si="314"/>
        <v>1</v>
      </c>
      <c r="AC1046">
        <f t="shared" si="315"/>
        <v>0</v>
      </c>
      <c r="AD1046">
        <f t="shared" si="316"/>
        <v>0</v>
      </c>
      <c r="AE1046">
        <f t="shared" si="317"/>
        <v>0</v>
      </c>
      <c r="AF1046">
        <f t="shared" si="318"/>
        <v>1</v>
      </c>
      <c r="AG1046">
        <f t="shared" si="319"/>
        <v>1</v>
      </c>
      <c r="AH1046">
        <f t="shared" si="320"/>
        <v>1</v>
      </c>
      <c r="AI1046">
        <f t="shared" si="321"/>
        <v>1</v>
      </c>
      <c r="AJ1046" s="9">
        <f t="shared" si="324"/>
        <v>34</v>
      </c>
      <c r="AK1046">
        <f t="shared" si="323"/>
        <v>0</v>
      </c>
      <c r="AL1046" s="9">
        <v>1</v>
      </c>
    </row>
    <row r="1047" spans="1:38" x14ac:dyDescent="0.35">
      <c r="A1047" s="9">
        <v>1</v>
      </c>
      <c r="B1047" s="9" t="s">
        <v>133</v>
      </c>
      <c r="C1047" s="53">
        <v>43888</v>
      </c>
      <c r="D1047" s="53">
        <v>43905</v>
      </c>
      <c r="E1047" s="53">
        <v>43983</v>
      </c>
      <c r="F1047" s="21">
        <f t="shared" si="311"/>
        <v>78</v>
      </c>
      <c r="G1047" s="53">
        <v>43905</v>
      </c>
      <c r="H1047" s="9">
        <v>2020</v>
      </c>
      <c r="I1047" s="9">
        <v>1</v>
      </c>
      <c r="J1047" s="9">
        <v>3</v>
      </c>
      <c r="K1047" s="9" t="s">
        <v>206</v>
      </c>
      <c r="L1047" s="50" t="s">
        <v>735</v>
      </c>
      <c r="M1047">
        <v>2</v>
      </c>
      <c r="N1047">
        <v>2</v>
      </c>
      <c r="O1047">
        <v>-2</v>
      </c>
      <c r="P1047">
        <v>-1</v>
      </c>
      <c r="Q1047">
        <v>-2</v>
      </c>
      <c r="S1047">
        <v>-2</v>
      </c>
      <c r="U1047">
        <v>1</v>
      </c>
      <c r="V1047" t="s">
        <v>978</v>
      </c>
      <c r="W1047" t="s">
        <v>989</v>
      </c>
      <c r="X1047" t="s">
        <v>997</v>
      </c>
      <c r="Y1047" t="s">
        <v>1000</v>
      </c>
      <c r="Z1047">
        <v>1</v>
      </c>
      <c r="AA1047">
        <f t="shared" si="313"/>
        <v>1</v>
      </c>
      <c r="AB1047">
        <f t="shared" si="314"/>
        <v>1</v>
      </c>
      <c r="AC1047">
        <f t="shared" si="315"/>
        <v>0</v>
      </c>
      <c r="AD1047">
        <f t="shared" si="316"/>
        <v>0</v>
      </c>
      <c r="AE1047">
        <f t="shared" si="317"/>
        <v>0</v>
      </c>
      <c r="AF1047">
        <f t="shared" si="318"/>
        <v>-1</v>
      </c>
      <c r="AG1047">
        <f t="shared" si="319"/>
        <v>0</v>
      </c>
      <c r="AH1047">
        <f t="shared" si="320"/>
        <v>-1</v>
      </c>
      <c r="AI1047">
        <f t="shared" si="321"/>
        <v>1</v>
      </c>
      <c r="AJ1047" s="9" t="str">
        <f t="shared" si="324"/>
        <v>Tax exemption/waiver/suspension</v>
      </c>
      <c r="AK1047">
        <f t="shared" si="323"/>
        <v>0</v>
      </c>
      <c r="AL1047" s="9">
        <v>0</v>
      </c>
    </row>
    <row r="1048" spans="1:38" x14ac:dyDescent="0.35">
      <c r="A1048" s="9">
        <v>1</v>
      </c>
      <c r="B1048" s="9" t="s">
        <v>133</v>
      </c>
      <c r="C1048" s="53">
        <v>43888</v>
      </c>
      <c r="D1048" s="53">
        <v>43905</v>
      </c>
      <c r="E1048" s="53">
        <v>43983</v>
      </c>
      <c r="F1048" s="21">
        <f t="shared" si="311"/>
        <v>78</v>
      </c>
      <c r="G1048" s="53">
        <v>43905</v>
      </c>
      <c r="H1048" s="9">
        <v>2020</v>
      </c>
      <c r="I1048" s="9">
        <v>1</v>
      </c>
      <c r="J1048" s="9">
        <v>1</v>
      </c>
      <c r="K1048" s="9">
        <v>10</v>
      </c>
      <c r="L1048" s="50" t="s">
        <v>728</v>
      </c>
      <c r="M1048">
        <v>2</v>
      </c>
      <c r="N1048">
        <v>2</v>
      </c>
      <c r="O1048">
        <v>2</v>
      </c>
      <c r="P1048">
        <v>2</v>
      </c>
      <c r="Q1048">
        <v>2</v>
      </c>
      <c r="R1048">
        <v>2</v>
      </c>
      <c r="S1048">
        <v>-2</v>
      </c>
      <c r="T1048">
        <v>2</v>
      </c>
      <c r="U1048">
        <v>1</v>
      </c>
      <c r="V1048" t="s">
        <v>978</v>
      </c>
      <c r="W1048" t="s">
        <v>989</v>
      </c>
      <c r="X1048" t="s">
        <v>997</v>
      </c>
      <c r="Y1048" t="s">
        <v>1000</v>
      </c>
      <c r="Z1048">
        <v>1</v>
      </c>
      <c r="AA1048">
        <f t="shared" si="313"/>
        <v>1</v>
      </c>
      <c r="AB1048">
        <f t="shared" si="314"/>
        <v>1</v>
      </c>
      <c r="AC1048">
        <f t="shared" si="315"/>
        <v>1</v>
      </c>
      <c r="AD1048">
        <f t="shared" si="316"/>
        <v>1</v>
      </c>
      <c r="AE1048">
        <f t="shared" si="317"/>
        <v>1</v>
      </c>
      <c r="AF1048">
        <f t="shared" si="318"/>
        <v>1</v>
      </c>
      <c r="AG1048">
        <f t="shared" si="319"/>
        <v>0</v>
      </c>
      <c r="AH1048">
        <f t="shared" si="320"/>
        <v>1</v>
      </c>
      <c r="AI1048">
        <f t="shared" si="321"/>
        <v>1</v>
      </c>
      <c r="AJ1048" s="9">
        <f t="shared" si="324"/>
        <v>10</v>
      </c>
      <c r="AK1048">
        <f t="shared" si="323"/>
        <v>0</v>
      </c>
      <c r="AL1048" s="9">
        <v>0</v>
      </c>
    </row>
    <row r="1049" spans="1:38" x14ac:dyDescent="0.35">
      <c r="A1049" s="9">
        <v>1</v>
      </c>
      <c r="B1049" s="50" t="s">
        <v>133</v>
      </c>
      <c r="C1049" s="53">
        <v>43888</v>
      </c>
      <c r="D1049" s="53">
        <v>43905</v>
      </c>
      <c r="E1049" s="53">
        <v>43983</v>
      </c>
      <c r="F1049" s="21">
        <f t="shared" si="311"/>
        <v>78</v>
      </c>
      <c r="G1049" s="53">
        <v>43905</v>
      </c>
      <c r="H1049" s="9">
        <v>2020</v>
      </c>
      <c r="I1049" s="9">
        <v>1</v>
      </c>
      <c r="J1049" s="50">
        <v>7</v>
      </c>
      <c r="K1049" s="50">
        <v>30</v>
      </c>
      <c r="L1049" s="24" t="s">
        <v>1501</v>
      </c>
      <c r="M1049" s="24"/>
      <c r="V1049" t="s">
        <v>978</v>
      </c>
      <c r="W1049" t="s">
        <v>989</v>
      </c>
      <c r="X1049" t="s">
        <v>997</v>
      </c>
      <c r="Y1049" t="s">
        <v>1000</v>
      </c>
      <c r="Z1049">
        <v>1</v>
      </c>
      <c r="AA1049">
        <v>-1</v>
      </c>
      <c r="AB1049">
        <v>-1</v>
      </c>
      <c r="AC1049">
        <v>-1</v>
      </c>
      <c r="AD1049">
        <v>-1</v>
      </c>
      <c r="AE1049">
        <v>-1</v>
      </c>
      <c r="AF1049">
        <v>-1</v>
      </c>
      <c r="AG1049">
        <v>-1</v>
      </c>
      <c r="AH1049">
        <v>-1</v>
      </c>
      <c r="AI1049">
        <v>-1</v>
      </c>
      <c r="AJ1049" s="9">
        <f t="shared" si="324"/>
        <v>30</v>
      </c>
      <c r="AK1049">
        <f t="shared" si="323"/>
        <v>0</v>
      </c>
      <c r="AL1049" s="9">
        <v>0</v>
      </c>
    </row>
    <row r="1050" spans="1:38" x14ac:dyDescent="0.35">
      <c r="A1050" s="9">
        <v>1</v>
      </c>
      <c r="B1050" s="50" t="s">
        <v>133</v>
      </c>
      <c r="C1050" s="53">
        <v>43888</v>
      </c>
      <c r="D1050" s="53">
        <v>43905</v>
      </c>
      <c r="E1050" s="53">
        <v>43983</v>
      </c>
      <c r="F1050" s="21">
        <f t="shared" si="311"/>
        <v>78</v>
      </c>
      <c r="G1050" s="53">
        <v>43905</v>
      </c>
      <c r="H1050" s="9">
        <v>2020</v>
      </c>
      <c r="I1050" s="9">
        <v>1</v>
      </c>
      <c r="J1050" s="50">
        <v>1</v>
      </c>
      <c r="K1050" s="50">
        <v>2</v>
      </c>
      <c r="L1050" s="24" t="s">
        <v>1502</v>
      </c>
      <c r="M1050" s="24"/>
      <c r="V1050" t="s">
        <v>978</v>
      </c>
      <c r="W1050" t="s">
        <v>989</v>
      </c>
      <c r="X1050" t="s">
        <v>997</v>
      </c>
      <c r="Y1050" t="s">
        <v>1000</v>
      </c>
      <c r="Z1050">
        <v>1</v>
      </c>
      <c r="AA1050">
        <v>-1</v>
      </c>
      <c r="AB1050">
        <v>-1</v>
      </c>
      <c r="AC1050">
        <v>-1</v>
      </c>
      <c r="AD1050">
        <v>-1</v>
      </c>
      <c r="AE1050">
        <v>-1</v>
      </c>
      <c r="AF1050">
        <v>-1</v>
      </c>
      <c r="AG1050">
        <v>-1</v>
      </c>
      <c r="AH1050">
        <v>-1</v>
      </c>
      <c r="AI1050">
        <v>-1</v>
      </c>
      <c r="AJ1050" s="9">
        <f t="shared" si="324"/>
        <v>2</v>
      </c>
      <c r="AK1050" t="e">
        <f>IF(B1050&lt;&gt;#REF!,1,0)</f>
        <v>#REF!</v>
      </c>
      <c r="AL1050" s="9">
        <v>0</v>
      </c>
    </row>
    <row r="1051" spans="1:38" x14ac:dyDescent="0.35">
      <c r="A1051" s="9">
        <v>1</v>
      </c>
      <c r="B1051" s="50" t="s">
        <v>133</v>
      </c>
      <c r="C1051" s="53">
        <v>43888</v>
      </c>
      <c r="D1051" s="53">
        <v>43905</v>
      </c>
      <c r="E1051" s="53">
        <v>43983</v>
      </c>
      <c r="F1051" s="21">
        <f t="shared" si="311"/>
        <v>78</v>
      </c>
      <c r="G1051" s="53">
        <v>43905</v>
      </c>
      <c r="H1051" s="9">
        <v>2020</v>
      </c>
      <c r="I1051" s="9">
        <v>1</v>
      </c>
      <c r="J1051" s="50">
        <v>3</v>
      </c>
      <c r="K1051" s="50">
        <v>19</v>
      </c>
      <c r="L1051" s="24" t="s">
        <v>1878</v>
      </c>
      <c r="M1051" s="24"/>
      <c r="V1051" t="s">
        <v>978</v>
      </c>
      <c r="W1051" t="s">
        <v>989</v>
      </c>
      <c r="X1051" t="s">
        <v>997</v>
      </c>
      <c r="Y1051" t="s">
        <v>1000</v>
      </c>
      <c r="Z1051">
        <v>1</v>
      </c>
      <c r="AA1051">
        <v>-1</v>
      </c>
      <c r="AB1051">
        <v>-1</v>
      </c>
      <c r="AC1051">
        <v>-1</v>
      </c>
      <c r="AD1051">
        <v>-1</v>
      </c>
      <c r="AE1051">
        <v>-1</v>
      </c>
      <c r="AF1051">
        <v>-1</v>
      </c>
      <c r="AG1051">
        <v>-1</v>
      </c>
      <c r="AH1051">
        <v>-1</v>
      </c>
      <c r="AI1051">
        <v>-1</v>
      </c>
      <c r="AJ1051" s="9">
        <f t="shared" si="324"/>
        <v>19</v>
      </c>
      <c r="AK1051" t="e">
        <f>IF(B1051&lt;&gt;#REF!,1,0)</f>
        <v>#REF!</v>
      </c>
      <c r="AL1051" s="9">
        <v>0</v>
      </c>
    </row>
    <row r="1052" spans="1:38" x14ac:dyDescent="0.35">
      <c r="A1052" s="9">
        <v>1</v>
      </c>
      <c r="B1052" s="50" t="s">
        <v>133</v>
      </c>
      <c r="C1052" s="53">
        <v>43888</v>
      </c>
      <c r="D1052" s="53">
        <v>43905</v>
      </c>
      <c r="E1052" s="53">
        <v>43983</v>
      </c>
      <c r="F1052" s="21">
        <f t="shared" si="311"/>
        <v>78</v>
      </c>
      <c r="G1052" s="53">
        <v>43905</v>
      </c>
      <c r="H1052" s="9">
        <v>2020</v>
      </c>
      <c r="I1052" s="9">
        <v>1</v>
      </c>
      <c r="J1052" s="50">
        <v>1</v>
      </c>
      <c r="K1052" s="50">
        <v>6</v>
      </c>
      <c r="L1052" s="24" t="s">
        <v>1503</v>
      </c>
      <c r="M1052" s="24"/>
      <c r="V1052" t="s">
        <v>978</v>
      </c>
      <c r="W1052" t="s">
        <v>989</v>
      </c>
      <c r="X1052" t="s">
        <v>997</v>
      </c>
      <c r="Y1052" t="s">
        <v>1000</v>
      </c>
      <c r="Z1052">
        <v>1</v>
      </c>
      <c r="AA1052">
        <v>-1</v>
      </c>
      <c r="AB1052">
        <v>-1</v>
      </c>
      <c r="AC1052">
        <v>-1</v>
      </c>
      <c r="AD1052">
        <v>-1</v>
      </c>
      <c r="AE1052">
        <v>-1</v>
      </c>
      <c r="AF1052">
        <v>-1</v>
      </c>
      <c r="AG1052">
        <v>-1</v>
      </c>
      <c r="AH1052">
        <v>-1</v>
      </c>
      <c r="AI1052">
        <v>-1</v>
      </c>
      <c r="AJ1052" s="9">
        <f t="shared" si="324"/>
        <v>6</v>
      </c>
      <c r="AK1052">
        <f t="shared" si="323"/>
        <v>0</v>
      </c>
      <c r="AL1052" s="9">
        <v>0</v>
      </c>
    </row>
    <row r="1053" spans="1:38" x14ac:dyDescent="0.35">
      <c r="A1053" s="9">
        <v>1</v>
      </c>
      <c r="B1053" s="50" t="s">
        <v>133</v>
      </c>
      <c r="C1053" s="53">
        <v>43888</v>
      </c>
      <c r="D1053" s="53">
        <v>43905</v>
      </c>
      <c r="E1053" s="53">
        <v>43983</v>
      </c>
      <c r="F1053" s="21">
        <f t="shared" si="311"/>
        <v>78</v>
      </c>
      <c r="G1053" s="53">
        <v>43905</v>
      </c>
      <c r="H1053" s="9">
        <v>2020</v>
      </c>
      <c r="I1053" s="9">
        <v>1</v>
      </c>
      <c r="J1053" s="50">
        <v>5</v>
      </c>
      <c r="K1053" s="50">
        <v>24</v>
      </c>
      <c r="L1053" s="24" t="s">
        <v>1504</v>
      </c>
      <c r="M1053" s="24"/>
      <c r="V1053" t="s">
        <v>978</v>
      </c>
      <c r="W1053" t="s">
        <v>989</v>
      </c>
      <c r="X1053" t="s">
        <v>997</v>
      </c>
      <c r="Y1053" t="s">
        <v>1000</v>
      </c>
      <c r="Z1053">
        <v>1</v>
      </c>
      <c r="AA1053">
        <v>-1</v>
      </c>
      <c r="AB1053">
        <v>-1</v>
      </c>
      <c r="AC1053">
        <v>-1</v>
      </c>
      <c r="AD1053">
        <v>-1</v>
      </c>
      <c r="AE1053">
        <v>-1</v>
      </c>
      <c r="AF1053">
        <v>-1</v>
      </c>
      <c r="AG1053">
        <v>-1</v>
      </c>
      <c r="AH1053">
        <v>-1</v>
      </c>
      <c r="AI1053">
        <v>-1</v>
      </c>
      <c r="AJ1053" s="9">
        <f t="shared" si="324"/>
        <v>24</v>
      </c>
      <c r="AK1053">
        <f t="shared" si="323"/>
        <v>0</v>
      </c>
      <c r="AL1053" s="9">
        <v>0</v>
      </c>
    </row>
    <row r="1054" spans="1:38" x14ac:dyDescent="0.35">
      <c r="A1054" s="9">
        <v>1</v>
      </c>
      <c r="B1054" s="50" t="s">
        <v>133</v>
      </c>
      <c r="C1054" s="53">
        <v>43888</v>
      </c>
      <c r="D1054" s="53">
        <v>43905</v>
      </c>
      <c r="E1054" s="53">
        <v>43983</v>
      </c>
      <c r="F1054" s="21">
        <f t="shared" si="311"/>
        <v>78</v>
      </c>
      <c r="G1054" s="53">
        <v>43905</v>
      </c>
      <c r="H1054" s="9">
        <v>2020</v>
      </c>
      <c r="I1054" s="9">
        <v>1</v>
      </c>
      <c r="J1054" s="50">
        <v>5</v>
      </c>
      <c r="K1054" s="50">
        <v>22</v>
      </c>
      <c r="L1054" s="24" t="s">
        <v>1505</v>
      </c>
      <c r="M1054" s="24"/>
      <c r="V1054" t="s">
        <v>978</v>
      </c>
      <c r="W1054" t="s">
        <v>989</v>
      </c>
      <c r="X1054" t="s">
        <v>997</v>
      </c>
      <c r="Y1054" t="s">
        <v>1000</v>
      </c>
      <c r="Z1054">
        <v>1</v>
      </c>
      <c r="AA1054">
        <v>-1</v>
      </c>
      <c r="AB1054">
        <v>-1</v>
      </c>
      <c r="AC1054">
        <v>-1</v>
      </c>
      <c r="AD1054">
        <v>-1</v>
      </c>
      <c r="AE1054">
        <v>-1</v>
      </c>
      <c r="AF1054">
        <v>-1</v>
      </c>
      <c r="AG1054">
        <v>-1</v>
      </c>
      <c r="AH1054">
        <v>-1</v>
      </c>
      <c r="AI1054">
        <v>-1</v>
      </c>
      <c r="AJ1054" s="9">
        <f t="shared" si="324"/>
        <v>22</v>
      </c>
      <c r="AK1054">
        <f t="shared" si="323"/>
        <v>0</v>
      </c>
      <c r="AL1054" s="9">
        <v>0</v>
      </c>
    </row>
    <row r="1055" spans="1:38" x14ac:dyDescent="0.35">
      <c r="A1055" s="9">
        <v>1</v>
      </c>
      <c r="B1055" s="50" t="s">
        <v>133</v>
      </c>
      <c r="C1055" s="53">
        <v>43888</v>
      </c>
      <c r="D1055" s="53">
        <v>43905</v>
      </c>
      <c r="E1055" s="53">
        <v>43983</v>
      </c>
      <c r="F1055" s="21">
        <f t="shared" si="311"/>
        <v>78</v>
      </c>
      <c r="G1055" s="53">
        <v>43905</v>
      </c>
      <c r="H1055" s="9">
        <v>2020</v>
      </c>
      <c r="I1055" s="9">
        <v>1</v>
      </c>
      <c r="J1055" s="50">
        <v>5</v>
      </c>
      <c r="K1055" s="50" t="s">
        <v>204</v>
      </c>
      <c r="L1055" s="24" t="s">
        <v>1506</v>
      </c>
      <c r="M1055" s="24"/>
      <c r="V1055" t="s">
        <v>978</v>
      </c>
      <c r="W1055" t="s">
        <v>989</v>
      </c>
      <c r="X1055" t="s">
        <v>997</v>
      </c>
      <c r="Y1055" t="s">
        <v>1000</v>
      </c>
      <c r="Z1055">
        <v>1</v>
      </c>
      <c r="AA1055">
        <v>-1</v>
      </c>
      <c r="AB1055">
        <v>-1</v>
      </c>
      <c r="AC1055">
        <v>-1</v>
      </c>
      <c r="AD1055">
        <v>-1</v>
      </c>
      <c r="AE1055">
        <v>-1</v>
      </c>
      <c r="AF1055">
        <v>-1</v>
      </c>
      <c r="AG1055">
        <v>-1</v>
      </c>
      <c r="AH1055">
        <v>-1</v>
      </c>
      <c r="AI1055">
        <v>-1</v>
      </c>
      <c r="AJ1055" s="9" t="str">
        <f t="shared" si="324"/>
        <v>General</v>
      </c>
      <c r="AK1055">
        <f t="shared" si="323"/>
        <v>0</v>
      </c>
      <c r="AL1055" s="9">
        <v>0</v>
      </c>
    </row>
    <row r="1056" spans="1:38" x14ac:dyDescent="0.35">
      <c r="A1056" s="9">
        <v>1</v>
      </c>
      <c r="B1056" s="50" t="s">
        <v>133</v>
      </c>
      <c r="C1056" s="53">
        <v>43888</v>
      </c>
      <c r="D1056" s="53">
        <v>43905</v>
      </c>
      <c r="E1056" s="53">
        <v>43983</v>
      </c>
      <c r="F1056" s="21">
        <f t="shared" si="311"/>
        <v>78</v>
      </c>
      <c r="G1056" s="53">
        <v>43905</v>
      </c>
      <c r="H1056" s="9">
        <v>2020</v>
      </c>
      <c r="I1056" s="9">
        <v>1</v>
      </c>
      <c r="J1056" s="50">
        <v>5</v>
      </c>
      <c r="K1056" s="50">
        <v>23</v>
      </c>
      <c r="L1056" s="24" t="s">
        <v>1507</v>
      </c>
      <c r="M1056" s="24"/>
      <c r="V1056" t="s">
        <v>978</v>
      </c>
      <c r="W1056" t="s">
        <v>989</v>
      </c>
      <c r="X1056" t="s">
        <v>997</v>
      </c>
      <c r="Y1056" t="s">
        <v>1000</v>
      </c>
      <c r="Z1056">
        <v>1</v>
      </c>
      <c r="AA1056">
        <v>-1</v>
      </c>
      <c r="AB1056">
        <v>-1</v>
      </c>
      <c r="AC1056">
        <v>-1</v>
      </c>
      <c r="AD1056">
        <v>-1</v>
      </c>
      <c r="AE1056">
        <v>-1</v>
      </c>
      <c r="AF1056">
        <v>-1</v>
      </c>
      <c r="AG1056">
        <v>-1</v>
      </c>
      <c r="AH1056">
        <v>-1</v>
      </c>
      <c r="AI1056">
        <v>-1</v>
      </c>
      <c r="AJ1056" s="9">
        <f t="shared" si="324"/>
        <v>23</v>
      </c>
      <c r="AK1056">
        <f t="shared" si="323"/>
        <v>0</v>
      </c>
      <c r="AL1056" s="9">
        <v>0</v>
      </c>
    </row>
    <row r="1057" spans="1:38" x14ac:dyDescent="0.35">
      <c r="A1057" s="9">
        <v>1</v>
      </c>
      <c r="B1057" s="50" t="s">
        <v>133</v>
      </c>
      <c r="C1057" s="53">
        <v>43888</v>
      </c>
      <c r="D1057" s="53">
        <v>43905</v>
      </c>
      <c r="E1057" s="53">
        <v>43983</v>
      </c>
      <c r="F1057" s="21">
        <f t="shared" si="311"/>
        <v>78</v>
      </c>
      <c r="G1057" s="53">
        <v>43905</v>
      </c>
      <c r="H1057" s="9">
        <v>2020</v>
      </c>
      <c r="I1057" s="9">
        <v>1</v>
      </c>
      <c r="J1057" s="50">
        <v>9</v>
      </c>
      <c r="K1057" s="50">
        <v>34</v>
      </c>
      <c r="L1057" s="24" t="s">
        <v>1508</v>
      </c>
      <c r="M1057" s="24"/>
      <c r="V1057" t="s">
        <v>978</v>
      </c>
      <c r="W1057" t="s">
        <v>989</v>
      </c>
      <c r="X1057" t="s">
        <v>997</v>
      </c>
      <c r="Y1057" t="s">
        <v>1000</v>
      </c>
      <c r="Z1057">
        <v>1</v>
      </c>
      <c r="AA1057">
        <v>-1</v>
      </c>
      <c r="AB1057">
        <v>-1</v>
      </c>
      <c r="AC1057">
        <v>-1</v>
      </c>
      <c r="AD1057">
        <v>-1</v>
      </c>
      <c r="AE1057">
        <v>-1</v>
      </c>
      <c r="AF1057">
        <v>-1</v>
      </c>
      <c r="AG1057">
        <v>-1</v>
      </c>
      <c r="AH1057">
        <v>-1</v>
      </c>
      <c r="AI1057">
        <v>-1</v>
      </c>
      <c r="AJ1057" s="9">
        <f t="shared" si="324"/>
        <v>34</v>
      </c>
      <c r="AK1057">
        <f t="shared" si="323"/>
        <v>0</v>
      </c>
      <c r="AL1057" s="9">
        <v>0</v>
      </c>
    </row>
    <row r="1058" spans="1:38" x14ac:dyDescent="0.35">
      <c r="A1058" s="9">
        <v>1</v>
      </c>
      <c r="B1058" s="9" t="s">
        <v>133</v>
      </c>
      <c r="C1058" s="53">
        <v>43888</v>
      </c>
      <c r="D1058" s="53">
        <v>43905</v>
      </c>
      <c r="E1058" s="53">
        <v>43983</v>
      </c>
      <c r="F1058" s="21">
        <f t="shared" si="311"/>
        <v>78</v>
      </c>
      <c r="G1058" s="53">
        <v>43905</v>
      </c>
      <c r="H1058" s="9">
        <v>2020</v>
      </c>
      <c r="I1058" s="9">
        <v>1</v>
      </c>
      <c r="J1058" s="50">
        <v>6</v>
      </c>
      <c r="K1058" s="50">
        <v>27</v>
      </c>
      <c r="L1058" s="24" t="s">
        <v>1877</v>
      </c>
      <c r="M1058" s="24"/>
      <c r="V1058" t="s">
        <v>978</v>
      </c>
      <c r="W1058" t="s">
        <v>989</v>
      </c>
      <c r="X1058" t="s">
        <v>997</v>
      </c>
      <c r="Y1058" t="s">
        <v>1000</v>
      </c>
      <c r="Z1058">
        <v>1</v>
      </c>
      <c r="AA1058">
        <v>-1</v>
      </c>
      <c r="AB1058">
        <v>-1</v>
      </c>
      <c r="AC1058">
        <v>-1</v>
      </c>
      <c r="AD1058">
        <v>-1</v>
      </c>
      <c r="AE1058">
        <v>-1</v>
      </c>
      <c r="AF1058">
        <v>-1</v>
      </c>
      <c r="AG1058">
        <v>-1</v>
      </c>
      <c r="AH1058">
        <v>-1</v>
      </c>
      <c r="AI1058">
        <v>-1</v>
      </c>
      <c r="AJ1058" s="9">
        <f t="shared" si="324"/>
        <v>27</v>
      </c>
      <c r="AK1058" t="e">
        <f>IF(B1058&lt;&gt;#REF!,1,0)</f>
        <v>#REF!</v>
      </c>
      <c r="AL1058" s="9">
        <v>0</v>
      </c>
    </row>
    <row r="1059" spans="1:38" x14ac:dyDescent="0.35">
      <c r="A1059" s="9">
        <v>2</v>
      </c>
      <c r="B1059" s="9" t="s">
        <v>133</v>
      </c>
      <c r="C1059" s="53">
        <v>43888</v>
      </c>
      <c r="D1059" s="53">
        <v>43905</v>
      </c>
      <c r="E1059" s="53">
        <v>43983</v>
      </c>
      <c r="F1059" s="21">
        <f t="shared" ref="F1059:F1069" si="325">DATEDIF(D1059,E1059,"D")</f>
        <v>78</v>
      </c>
      <c r="G1059" s="53">
        <v>43905</v>
      </c>
      <c r="H1059" s="9">
        <v>2021</v>
      </c>
      <c r="I1059" s="9">
        <v>1</v>
      </c>
      <c r="J1059" s="50">
        <v>6</v>
      </c>
      <c r="K1059" s="50">
        <v>29</v>
      </c>
      <c r="L1059" s="55" t="s">
        <v>2174</v>
      </c>
      <c r="M1059" s="24"/>
      <c r="AJ1059" s="9">
        <f t="shared" si="324"/>
        <v>29</v>
      </c>
      <c r="AL1059" s="9"/>
    </row>
    <row r="1060" spans="1:38" x14ac:dyDescent="0.35">
      <c r="A1060" s="9">
        <v>3</v>
      </c>
      <c r="B1060" s="9" t="s">
        <v>133</v>
      </c>
      <c r="C1060" s="53">
        <v>43888</v>
      </c>
      <c r="D1060" s="53">
        <v>43905</v>
      </c>
      <c r="E1060" s="53">
        <v>43983</v>
      </c>
      <c r="F1060" s="21">
        <f t="shared" si="325"/>
        <v>78</v>
      </c>
      <c r="G1060" s="53">
        <v>43905</v>
      </c>
      <c r="H1060" s="9">
        <v>2021</v>
      </c>
      <c r="I1060" s="9">
        <v>1</v>
      </c>
      <c r="J1060" s="50">
        <v>6</v>
      </c>
      <c r="K1060" s="50">
        <v>29</v>
      </c>
      <c r="L1060" s="48" t="s">
        <v>2039</v>
      </c>
      <c r="M1060" s="24"/>
      <c r="AJ1060" s="9">
        <f t="shared" si="324"/>
        <v>29</v>
      </c>
      <c r="AL1060" s="9"/>
    </row>
    <row r="1061" spans="1:38" x14ac:dyDescent="0.35">
      <c r="A1061" s="9">
        <v>4</v>
      </c>
      <c r="B1061" s="9" t="s">
        <v>133</v>
      </c>
      <c r="C1061" s="53">
        <v>43888</v>
      </c>
      <c r="D1061" s="53">
        <v>43905</v>
      </c>
      <c r="E1061" s="53">
        <v>43983</v>
      </c>
      <c r="F1061" s="21">
        <f t="shared" si="325"/>
        <v>78</v>
      </c>
      <c r="G1061" s="53">
        <v>43905</v>
      </c>
      <c r="H1061" s="9">
        <v>2021</v>
      </c>
      <c r="I1061" s="9">
        <v>1</v>
      </c>
      <c r="J1061" s="50">
        <v>9</v>
      </c>
      <c r="K1061" s="50">
        <v>34</v>
      </c>
      <c r="L1061" s="48" t="s">
        <v>2040</v>
      </c>
      <c r="M1061" s="24"/>
      <c r="AJ1061" s="9">
        <f t="shared" si="324"/>
        <v>34</v>
      </c>
      <c r="AL1061" s="9"/>
    </row>
    <row r="1062" spans="1:38" x14ac:dyDescent="0.35">
      <c r="A1062" s="9">
        <v>5</v>
      </c>
      <c r="B1062" s="9" t="s">
        <v>133</v>
      </c>
      <c r="C1062" s="53">
        <v>43888</v>
      </c>
      <c r="D1062" s="53">
        <v>43905</v>
      </c>
      <c r="E1062" s="53">
        <v>43983</v>
      </c>
      <c r="F1062" s="21">
        <f t="shared" si="325"/>
        <v>78</v>
      </c>
      <c r="G1062" s="53">
        <v>43905</v>
      </c>
      <c r="H1062" s="9">
        <v>2021</v>
      </c>
      <c r="I1062" s="9">
        <v>1</v>
      </c>
      <c r="J1062" s="50">
        <v>9</v>
      </c>
      <c r="K1062" s="50">
        <v>34</v>
      </c>
      <c r="L1062" s="48" t="s">
        <v>2041</v>
      </c>
      <c r="M1062" s="24"/>
      <c r="AJ1062" s="9">
        <f t="shared" si="324"/>
        <v>34</v>
      </c>
      <c r="AL1062" s="9"/>
    </row>
    <row r="1063" spans="1:38" x14ac:dyDescent="0.35">
      <c r="A1063" s="9">
        <v>6</v>
      </c>
      <c r="B1063" s="9" t="s">
        <v>133</v>
      </c>
      <c r="C1063" s="53">
        <v>43888</v>
      </c>
      <c r="D1063" s="53">
        <v>43905</v>
      </c>
      <c r="E1063" s="53">
        <v>43983</v>
      </c>
      <c r="F1063" s="21">
        <f t="shared" si="325"/>
        <v>78</v>
      </c>
      <c r="G1063" s="53">
        <v>43905</v>
      </c>
      <c r="H1063" s="9">
        <v>2021</v>
      </c>
      <c r="I1063" s="9">
        <v>1</v>
      </c>
      <c r="J1063" s="50">
        <v>6</v>
      </c>
      <c r="K1063" s="50">
        <v>25</v>
      </c>
      <c r="L1063" s="48" t="s">
        <v>2042</v>
      </c>
      <c r="M1063" s="24"/>
      <c r="AJ1063" s="9">
        <f t="shared" si="324"/>
        <v>25</v>
      </c>
      <c r="AL1063" s="9"/>
    </row>
    <row r="1064" spans="1:38" x14ac:dyDescent="0.35">
      <c r="A1064" s="9">
        <v>7</v>
      </c>
      <c r="B1064" s="9" t="s">
        <v>133</v>
      </c>
      <c r="C1064" s="53">
        <v>43888</v>
      </c>
      <c r="D1064" s="53">
        <v>43905</v>
      </c>
      <c r="E1064" s="53">
        <v>43983</v>
      </c>
      <c r="F1064" s="21">
        <f t="shared" si="325"/>
        <v>78</v>
      </c>
      <c r="G1064" s="53">
        <v>43905</v>
      </c>
      <c r="H1064" s="9">
        <v>2021</v>
      </c>
      <c r="I1064" s="9">
        <v>1</v>
      </c>
      <c r="J1064" s="50">
        <v>1</v>
      </c>
      <c r="K1064" s="50">
        <v>6</v>
      </c>
      <c r="L1064" s="48" t="s">
        <v>2043</v>
      </c>
      <c r="M1064" s="24"/>
      <c r="AJ1064" s="9">
        <f t="shared" si="324"/>
        <v>6</v>
      </c>
      <c r="AL1064" s="9"/>
    </row>
    <row r="1065" spans="1:38" x14ac:dyDescent="0.35">
      <c r="A1065" s="9">
        <v>8</v>
      </c>
      <c r="B1065" s="9" t="s">
        <v>133</v>
      </c>
      <c r="C1065" s="53">
        <v>43888</v>
      </c>
      <c r="D1065" s="53">
        <v>43905</v>
      </c>
      <c r="E1065" s="53">
        <v>43983</v>
      </c>
      <c r="F1065" s="21">
        <f t="shared" si="325"/>
        <v>78</v>
      </c>
      <c r="G1065" s="53">
        <v>43905</v>
      </c>
      <c r="H1065" s="9">
        <v>2021</v>
      </c>
      <c r="I1065" s="9">
        <v>1</v>
      </c>
      <c r="J1065" s="50">
        <v>3</v>
      </c>
      <c r="K1065" s="50" t="s">
        <v>206</v>
      </c>
      <c r="L1065" s="48" t="s">
        <v>2044</v>
      </c>
      <c r="M1065" s="24"/>
      <c r="AJ1065" s="9"/>
      <c r="AL1065" s="9"/>
    </row>
    <row r="1066" spans="1:38" x14ac:dyDescent="0.35">
      <c r="A1066" s="9">
        <v>9</v>
      </c>
      <c r="B1066" s="9" t="s">
        <v>133</v>
      </c>
      <c r="C1066" s="53">
        <v>43888</v>
      </c>
      <c r="D1066" s="53">
        <v>43905</v>
      </c>
      <c r="E1066" s="53">
        <v>43983</v>
      </c>
      <c r="F1066" s="21">
        <f t="shared" si="325"/>
        <v>78</v>
      </c>
      <c r="G1066" s="53">
        <v>43905</v>
      </c>
      <c r="H1066" s="9">
        <v>2021</v>
      </c>
      <c r="I1066" s="9">
        <v>1</v>
      </c>
      <c r="J1066" s="50">
        <v>1</v>
      </c>
      <c r="K1066" s="50" t="s">
        <v>201</v>
      </c>
      <c r="L1066" s="48" t="s">
        <v>2045</v>
      </c>
      <c r="M1066" s="24"/>
      <c r="AJ1066" s="9"/>
      <c r="AL1066" s="9"/>
    </row>
    <row r="1067" spans="1:38" x14ac:dyDescent="0.35">
      <c r="A1067" s="9">
        <v>10</v>
      </c>
      <c r="B1067" s="9" t="s">
        <v>133</v>
      </c>
      <c r="C1067" s="53">
        <v>43888</v>
      </c>
      <c r="D1067" s="53">
        <v>43905</v>
      </c>
      <c r="E1067" s="53">
        <v>43983</v>
      </c>
      <c r="F1067" s="21">
        <f t="shared" si="325"/>
        <v>78</v>
      </c>
      <c r="G1067" s="53">
        <v>43905</v>
      </c>
      <c r="H1067" s="9">
        <v>2021</v>
      </c>
      <c r="I1067" s="9">
        <v>1</v>
      </c>
      <c r="J1067" s="50">
        <v>7</v>
      </c>
      <c r="K1067" s="50">
        <v>30</v>
      </c>
      <c r="L1067" s="48" t="s">
        <v>2046</v>
      </c>
      <c r="M1067" s="24"/>
      <c r="AJ1067" s="9"/>
      <c r="AL1067" s="9"/>
    </row>
    <row r="1068" spans="1:38" x14ac:dyDescent="0.35">
      <c r="A1068" s="9">
        <v>11</v>
      </c>
      <c r="B1068" s="9" t="s">
        <v>133</v>
      </c>
      <c r="C1068" s="53">
        <v>43888</v>
      </c>
      <c r="D1068" s="53">
        <v>43905</v>
      </c>
      <c r="E1068" s="53">
        <v>43983</v>
      </c>
      <c r="F1068" s="21">
        <f t="shared" si="325"/>
        <v>78</v>
      </c>
      <c r="G1068" s="53">
        <v>43905</v>
      </c>
      <c r="H1068" s="9">
        <v>2021</v>
      </c>
      <c r="I1068" s="9">
        <v>1</v>
      </c>
      <c r="J1068" s="50">
        <v>9</v>
      </c>
      <c r="K1068" s="50">
        <v>34</v>
      </c>
      <c r="L1068" s="48" t="s">
        <v>2047</v>
      </c>
      <c r="M1068" s="24"/>
      <c r="AJ1068" s="9"/>
      <c r="AL1068" s="9"/>
    </row>
    <row r="1069" spans="1:38" x14ac:dyDescent="0.35">
      <c r="A1069" s="9">
        <v>12</v>
      </c>
      <c r="B1069" s="9" t="s">
        <v>133</v>
      </c>
      <c r="C1069" s="53">
        <v>43888</v>
      </c>
      <c r="D1069" s="53">
        <v>43905</v>
      </c>
      <c r="E1069" s="53">
        <v>43983</v>
      </c>
      <c r="F1069" s="21">
        <f t="shared" si="325"/>
        <v>78</v>
      </c>
      <c r="G1069" s="53">
        <v>43905</v>
      </c>
      <c r="H1069" s="9">
        <v>2021</v>
      </c>
      <c r="I1069" s="9">
        <v>1</v>
      </c>
      <c r="J1069" s="50">
        <v>9</v>
      </c>
      <c r="K1069" s="50">
        <v>34</v>
      </c>
      <c r="L1069" s="48" t="s">
        <v>2048</v>
      </c>
      <c r="M1069" s="24"/>
      <c r="AJ1069" s="9"/>
      <c r="AL1069" s="9"/>
    </row>
    <row r="1070" spans="1:38" x14ac:dyDescent="0.35">
      <c r="A1070" s="50">
        <v>0</v>
      </c>
      <c r="B1070" s="9" t="s">
        <v>137</v>
      </c>
      <c r="C1070" s="53">
        <v>43889</v>
      </c>
      <c r="D1070" s="53">
        <v>43915</v>
      </c>
      <c r="E1070" s="53">
        <v>43965</v>
      </c>
      <c r="F1070" s="21">
        <f t="shared" si="311"/>
        <v>50</v>
      </c>
      <c r="G1070" s="53">
        <v>43915</v>
      </c>
      <c r="H1070" s="9">
        <v>2020</v>
      </c>
      <c r="I1070" s="50">
        <v>0</v>
      </c>
      <c r="J1070" s="9">
        <v>6</v>
      </c>
      <c r="K1070" s="9">
        <v>28</v>
      </c>
      <c r="L1070" s="50" t="s">
        <v>765</v>
      </c>
      <c r="M1070">
        <v>2</v>
      </c>
      <c r="N1070">
        <v>1</v>
      </c>
      <c r="O1070">
        <v>2</v>
      </c>
      <c r="P1070">
        <v>-1</v>
      </c>
      <c r="Q1070">
        <v>2</v>
      </c>
      <c r="R1070">
        <v>2</v>
      </c>
      <c r="S1070">
        <v>1</v>
      </c>
      <c r="T1070">
        <v>2</v>
      </c>
      <c r="U1070">
        <v>1</v>
      </c>
      <c r="V1070" t="s">
        <v>980</v>
      </c>
      <c r="W1070" t="s">
        <v>994</v>
      </c>
      <c r="X1070" t="s">
        <v>997</v>
      </c>
      <c r="Y1070" t="s">
        <v>1000</v>
      </c>
      <c r="Z1070">
        <v>0</v>
      </c>
      <c r="AA1070">
        <f t="shared" ref="AA1070:AA1089" si="326">IF(M1070&gt;0,1,IF(M1070&lt;0,0,-1))</f>
        <v>1</v>
      </c>
      <c r="AB1070">
        <f t="shared" ref="AB1070:AB1089" si="327">IF(N1070&gt;0,1,IF(N1070&lt;0,0,-1))</f>
        <v>1</v>
      </c>
      <c r="AC1070">
        <f t="shared" ref="AC1070:AC1089" si="328">IF(O1070&gt;0,1,IF(O1070&lt;0,0,-1))</f>
        <v>1</v>
      </c>
      <c r="AD1070">
        <f t="shared" ref="AD1070:AD1089" si="329">IF(P1070&gt;0,1,IF(P1070&lt;0,0,-1))</f>
        <v>0</v>
      </c>
      <c r="AE1070">
        <f t="shared" ref="AE1070:AE1089" si="330">IF(Q1070&gt;0,1,IF(Q1070&lt;0,0,-1))</f>
        <v>1</v>
      </c>
      <c r="AF1070">
        <f t="shared" ref="AF1070:AF1089" si="331">IF(R1070&gt;0,1,IF(R1070&lt;0,0,-1))</f>
        <v>1</v>
      </c>
      <c r="AG1070">
        <f t="shared" ref="AG1070:AG1089" si="332">IF(S1070&gt;0,1,IF(S1070&lt;0,0,-1))</f>
        <v>1</v>
      </c>
      <c r="AH1070">
        <f t="shared" ref="AH1070:AH1089" si="333">IF(T1070&gt;0,1,IF(T1070&lt;0,0,-1))</f>
        <v>1</v>
      </c>
      <c r="AI1070">
        <f t="shared" ref="AI1070:AI1089" si="334">IF(U1070&gt;0,1,IF(U1070&lt;0,0,-1))</f>
        <v>1</v>
      </c>
      <c r="AJ1070" s="9">
        <f t="shared" si="324"/>
        <v>28</v>
      </c>
      <c r="AK1070" t="e">
        <f>IF(B1070&lt;&gt;#REF!,1,0)</f>
        <v>#REF!</v>
      </c>
      <c r="AL1070" s="9">
        <v>1</v>
      </c>
    </row>
    <row r="1071" spans="1:38" x14ac:dyDescent="0.35">
      <c r="A1071" s="50">
        <v>0</v>
      </c>
      <c r="B1071" s="9" t="s">
        <v>137</v>
      </c>
      <c r="C1071" s="53">
        <v>43889</v>
      </c>
      <c r="D1071" s="53">
        <v>43915</v>
      </c>
      <c r="E1071" s="53">
        <v>43965</v>
      </c>
      <c r="F1071" s="21">
        <f t="shared" si="311"/>
        <v>50</v>
      </c>
      <c r="G1071" s="53">
        <v>43915</v>
      </c>
      <c r="H1071" s="9">
        <v>2020</v>
      </c>
      <c r="I1071" s="50">
        <v>0</v>
      </c>
      <c r="J1071" s="9">
        <v>1</v>
      </c>
      <c r="K1071" s="9">
        <v>4</v>
      </c>
      <c r="L1071" s="50" t="s">
        <v>769</v>
      </c>
      <c r="M1071">
        <v>2</v>
      </c>
      <c r="N1071">
        <v>2</v>
      </c>
      <c r="O1071">
        <v>-2</v>
      </c>
      <c r="P1071">
        <v>-1</v>
      </c>
      <c r="Q1071">
        <v>-2</v>
      </c>
      <c r="R1071">
        <v>-2</v>
      </c>
      <c r="S1071">
        <v>-2</v>
      </c>
      <c r="T1071">
        <v>-2</v>
      </c>
      <c r="U1071">
        <v>1</v>
      </c>
      <c r="V1071" t="s">
        <v>980</v>
      </c>
      <c r="W1071" t="s">
        <v>994</v>
      </c>
      <c r="X1071" t="s">
        <v>997</v>
      </c>
      <c r="Y1071" t="s">
        <v>1000</v>
      </c>
      <c r="Z1071">
        <v>0</v>
      </c>
      <c r="AA1071">
        <f t="shared" si="326"/>
        <v>1</v>
      </c>
      <c r="AB1071">
        <f t="shared" si="327"/>
        <v>1</v>
      </c>
      <c r="AC1071">
        <f t="shared" si="328"/>
        <v>0</v>
      </c>
      <c r="AD1071">
        <f t="shared" si="329"/>
        <v>0</v>
      </c>
      <c r="AE1071">
        <f t="shared" si="330"/>
        <v>0</v>
      </c>
      <c r="AF1071">
        <f t="shared" si="331"/>
        <v>0</v>
      </c>
      <c r="AG1071">
        <f t="shared" si="332"/>
        <v>0</v>
      </c>
      <c r="AH1071">
        <f t="shared" si="333"/>
        <v>0</v>
      </c>
      <c r="AI1071">
        <f t="shared" si="334"/>
        <v>1</v>
      </c>
      <c r="AJ1071" s="9">
        <f t="shared" si="324"/>
        <v>4</v>
      </c>
      <c r="AK1071">
        <f t="shared" ref="AK1071:AK1099" si="335">IF(B1071&lt;&gt;B1070,1,0)</f>
        <v>0</v>
      </c>
      <c r="AL1071" s="9">
        <v>1</v>
      </c>
    </row>
    <row r="1072" spans="1:38" x14ac:dyDescent="0.35">
      <c r="A1072" s="50">
        <v>0</v>
      </c>
      <c r="B1072" s="9" t="s">
        <v>137</v>
      </c>
      <c r="C1072" s="53">
        <v>43889</v>
      </c>
      <c r="D1072" s="53">
        <v>43915</v>
      </c>
      <c r="E1072" s="53">
        <v>43965</v>
      </c>
      <c r="F1072" s="21">
        <f t="shared" si="311"/>
        <v>50</v>
      </c>
      <c r="G1072" s="53">
        <v>43915</v>
      </c>
      <c r="H1072" s="9">
        <v>2020</v>
      </c>
      <c r="I1072" s="50">
        <v>0</v>
      </c>
      <c r="J1072" s="9">
        <v>6</v>
      </c>
      <c r="K1072" s="9">
        <v>26</v>
      </c>
      <c r="L1072" s="50" t="s">
        <v>778</v>
      </c>
      <c r="M1072">
        <v>1</v>
      </c>
      <c r="N1072">
        <v>1</v>
      </c>
      <c r="O1072">
        <v>2</v>
      </c>
      <c r="P1072">
        <v>-1</v>
      </c>
      <c r="Q1072">
        <v>-2</v>
      </c>
      <c r="R1072">
        <v>2</v>
      </c>
      <c r="S1072">
        <v>-1</v>
      </c>
      <c r="T1072">
        <v>2</v>
      </c>
      <c r="U1072">
        <v>1</v>
      </c>
      <c r="V1072" t="s">
        <v>980</v>
      </c>
      <c r="W1072" t="s">
        <v>994</v>
      </c>
      <c r="X1072" t="s">
        <v>997</v>
      </c>
      <c r="Y1072" t="s">
        <v>1000</v>
      </c>
      <c r="Z1072">
        <v>0</v>
      </c>
      <c r="AA1072">
        <f t="shared" si="326"/>
        <v>1</v>
      </c>
      <c r="AB1072">
        <f t="shared" si="327"/>
        <v>1</v>
      </c>
      <c r="AC1072">
        <f t="shared" si="328"/>
        <v>1</v>
      </c>
      <c r="AD1072">
        <f t="shared" si="329"/>
        <v>0</v>
      </c>
      <c r="AE1072">
        <f t="shared" si="330"/>
        <v>0</v>
      </c>
      <c r="AF1072">
        <f t="shared" si="331"/>
        <v>1</v>
      </c>
      <c r="AG1072">
        <f t="shared" si="332"/>
        <v>0</v>
      </c>
      <c r="AH1072">
        <f t="shared" si="333"/>
        <v>1</v>
      </c>
      <c r="AI1072">
        <f t="shared" si="334"/>
        <v>1</v>
      </c>
      <c r="AJ1072" s="9">
        <f t="shared" si="324"/>
        <v>26</v>
      </c>
      <c r="AK1072">
        <f t="shared" si="335"/>
        <v>0</v>
      </c>
      <c r="AL1072" s="9">
        <v>1</v>
      </c>
    </row>
    <row r="1073" spans="1:38" x14ac:dyDescent="0.35">
      <c r="A1073" s="50">
        <v>0</v>
      </c>
      <c r="B1073" s="9" t="s">
        <v>137</v>
      </c>
      <c r="C1073" s="53">
        <v>43889</v>
      </c>
      <c r="D1073" s="53">
        <v>43915</v>
      </c>
      <c r="E1073" s="53">
        <v>43965</v>
      </c>
      <c r="F1073" s="21">
        <f t="shared" si="311"/>
        <v>50</v>
      </c>
      <c r="G1073" s="53">
        <v>43915</v>
      </c>
      <c r="H1073" s="9">
        <v>2020</v>
      </c>
      <c r="I1073" s="50">
        <v>0</v>
      </c>
      <c r="J1073" s="9">
        <v>5</v>
      </c>
      <c r="K1073" s="9" t="s">
        <v>204</v>
      </c>
      <c r="L1073" s="50" t="s">
        <v>761</v>
      </c>
      <c r="M1073">
        <v>1</v>
      </c>
      <c r="N1073">
        <v>-2</v>
      </c>
      <c r="O1073">
        <v>-2</v>
      </c>
      <c r="P1073">
        <v>-1</v>
      </c>
      <c r="Q1073">
        <v>-2</v>
      </c>
      <c r="R1073">
        <v>2</v>
      </c>
      <c r="S1073">
        <v>1</v>
      </c>
      <c r="T1073">
        <v>2</v>
      </c>
      <c r="U1073">
        <v>1</v>
      </c>
      <c r="V1073" t="s">
        <v>980</v>
      </c>
      <c r="W1073" t="s">
        <v>994</v>
      </c>
      <c r="X1073" t="s">
        <v>997</v>
      </c>
      <c r="Y1073" t="s">
        <v>1000</v>
      </c>
      <c r="Z1073">
        <v>0</v>
      </c>
      <c r="AA1073">
        <f t="shared" si="326"/>
        <v>1</v>
      </c>
      <c r="AB1073">
        <f t="shared" si="327"/>
        <v>0</v>
      </c>
      <c r="AC1073">
        <f t="shared" si="328"/>
        <v>0</v>
      </c>
      <c r="AD1073">
        <f t="shared" si="329"/>
        <v>0</v>
      </c>
      <c r="AE1073">
        <f t="shared" si="330"/>
        <v>0</v>
      </c>
      <c r="AF1073">
        <f t="shared" si="331"/>
        <v>1</v>
      </c>
      <c r="AG1073">
        <f t="shared" si="332"/>
        <v>1</v>
      </c>
      <c r="AH1073">
        <f t="shared" si="333"/>
        <v>1</v>
      </c>
      <c r="AI1073">
        <f t="shared" si="334"/>
        <v>1</v>
      </c>
      <c r="AJ1073" s="9" t="str">
        <f t="shared" si="324"/>
        <v>General</v>
      </c>
      <c r="AK1073">
        <f t="shared" si="335"/>
        <v>0</v>
      </c>
      <c r="AL1073" s="9">
        <v>1</v>
      </c>
    </row>
    <row r="1074" spans="1:38" x14ac:dyDescent="0.35">
      <c r="A1074" s="50">
        <v>0</v>
      </c>
      <c r="B1074" s="9" t="s">
        <v>137</v>
      </c>
      <c r="C1074" s="53">
        <v>43889</v>
      </c>
      <c r="D1074" s="53">
        <v>43915</v>
      </c>
      <c r="E1074" s="53">
        <v>43965</v>
      </c>
      <c r="F1074" s="21">
        <f t="shared" si="311"/>
        <v>50</v>
      </c>
      <c r="G1074" s="53">
        <v>43915</v>
      </c>
      <c r="H1074" s="9">
        <v>2020</v>
      </c>
      <c r="I1074" s="50">
        <v>0</v>
      </c>
      <c r="J1074" s="9">
        <v>6</v>
      </c>
      <c r="K1074" s="9">
        <v>25</v>
      </c>
      <c r="L1074" s="50" t="s">
        <v>771</v>
      </c>
      <c r="M1074">
        <v>1</v>
      </c>
      <c r="N1074">
        <v>1</v>
      </c>
      <c r="O1074">
        <v>2</v>
      </c>
      <c r="P1074">
        <v>-1</v>
      </c>
      <c r="Q1074">
        <v>2</v>
      </c>
      <c r="R1074">
        <v>-1</v>
      </c>
      <c r="S1074">
        <v>1</v>
      </c>
      <c r="T1074">
        <v>1</v>
      </c>
      <c r="U1074">
        <v>1</v>
      </c>
      <c r="V1074" t="s">
        <v>980</v>
      </c>
      <c r="W1074" t="s">
        <v>994</v>
      </c>
      <c r="X1074" t="s">
        <v>997</v>
      </c>
      <c r="Y1074" t="s">
        <v>1000</v>
      </c>
      <c r="Z1074">
        <v>0</v>
      </c>
      <c r="AA1074">
        <f t="shared" si="326"/>
        <v>1</v>
      </c>
      <c r="AB1074">
        <f t="shared" si="327"/>
        <v>1</v>
      </c>
      <c r="AC1074">
        <f t="shared" si="328"/>
        <v>1</v>
      </c>
      <c r="AD1074">
        <f t="shared" si="329"/>
        <v>0</v>
      </c>
      <c r="AE1074">
        <f t="shared" si="330"/>
        <v>1</v>
      </c>
      <c r="AF1074">
        <f t="shared" si="331"/>
        <v>0</v>
      </c>
      <c r="AG1074">
        <f t="shared" si="332"/>
        <v>1</v>
      </c>
      <c r="AH1074">
        <f t="shared" si="333"/>
        <v>1</v>
      </c>
      <c r="AI1074">
        <f t="shared" si="334"/>
        <v>1</v>
      </c>
      <c r="AJ1074" s="9">
        <f t="shared" si="324"/>
        <v>25</v>
      </c>
      <c r="AK1074">
        <f t="shared" si="335"/>
        <v>0</v>
      </c>
      <c r="AL1074" s="9">
        <v>1</v>
      </c>
    </row>
    <row r="1075" spans="1:38" x14ac:dyDescent="0.35">
      <c r="A1075" s="50">
        <v>0</v>
      </c>
      <c r="B1075" s="9" t="s">
        <v>137</v>
      </c>
      <c r="C1075" s="53">
        <v>43889</v>
      </c>
      <c r="D1075" s="53">
        <v>43915</v>
      </c>
      <c r="E1075" s="53">
        <v>43965</v>
      </c>
      <c r="F1075" s="21">
        <f t="shared" si="311"/>
        <v>50</v>
      </c>
      <c r="G1075" s="53">
        <v>43915</v>
      </c>
      <c r="H1075" s="9">
        <v>2020</v>
      </c>
      <c r="I1075" s="50">
        <v>0</v>
      </c>
      <c r="J1075" s="9">
        <v>3</v>
      </c>
      <c r="K1075" s="9" t="s">
        <v>206</v>
      </c>
      <c r="L1075" s="50" t="s">
        <v>772</v>
      </c>
      <c r="M1075">
        <v>2</v>
      </c>
      <c r="N1075">
        <v>2</v>
      </c>
      <c r="O1075">
        <v>-2</v>
      </c>
      <c r="P1075">
        <v>-1</v>
      </c>
      <c r="Q1075">
        <v>-2</v>
      </c>
      <c r="R1075">
        <v>2</v>
      </c>
      <c r="S1075">
        <v>-2</v>
      </c>
      <c r="U1075">
        <v>1</v>
      </c>
      <c r="V1075" t="s">
        <v>980</v>
      </c>
      <c r="W1075" t="s">
        <v>994</v>
      </c>
      <c r="X1075" t="s">
        <v>997</v>
      </c>
      <c r="Y1075" t="s">
        <v>1000</v>
      </c>
      <c r="Z1075">
        <v>0</v>
      </c>
      <c r="AA1075">
        <f t="shared" si="326"/>
        <v>1</v>
      </c>
      <c r="AB1075">
        <f t="shared" si="327"/>
        <v>1</v>
      </c>
      <c r="AC1075">
        <f t="shared" si="328"/>
        <v>0</v>
      </c>
      <c r="AD1075">
        <f t="shared" si="329"/>
        <v>0</v>
      </c>
      <c r="AE1075">
        <f t="shared" si="330"/>
        <v>0</v>
      </c>
      <c r="AF1075">
        <f t="shared" si="331"/>
        <v>1</v>
      </c>
      <c r="AG1075">
        <f t="shared" si="332"/>
        <v>0</v>
      </c>
      <c r="AH1075">
        <f t="shared" si="333"/>
        <v>-1</v>
      </c>
      <c r="AI1075">
        <f t="shared" si="334"/>
        <v>1</v>
      </c>
      <c r="AJ1075" s="9" t="str">
        <f t="shared" si="324"/>
        <v>Tax exemption/waiver/suspension</v>
      </c>
      <c r="AK1075">
        <f t="shared" si="335"/>
        <v>0</v>
      </c>
      <c r="AL1075" s="9">
        <v>1</v>
      </c>
    </row>
    <row r="1076" spans="1:38" x14ac:dyDescent="0.35">
      <c r="A1076" s="50">
        <v>0</v>
      </c>
      <c r="B1076" s="9" t="s">
        <v>137</v>
      </c>
      <c r="C1076" s="53">
        <v>43889</v>
      </c>
      <c r="D1076" s="53">
        <v>43915</v>
      </c>
      <c r="E1076" s="53">
        <v>43965</v>
      </c>
      <c r="F1076" s="21">
        <f t="shared" si="311"/>
        <v>50</v>
      </c>
      <c r="G1076" s="53">
        <v>43915</v>
      </c>
      <c r="H1076" s="9">
        <v>2020</v>
      </c>
      <c r="I1076" s="50">
        <v>0</v>
      </c>
      <c r="J1076" s="9">
        <v>9</v>
      </c>
      <c r="K1076" s="9">
        <v>34</v>
      </c>
      <c r="L1076" s="50" t="s">
        <v>760</v>
      </c>
      <c r="M1076">
        <v>1</v>
      </c>
      <c r="N1076">
        <v>1</v>
      </c>
      <c r="Q1076">
        <v>2</v>
      </c>
      <c r="R1076">
        <v>2</v>
      </c>
      <c r="S1076">
        <v>1</v>
      </c>
      <c r="U1076">
        <v>1</v>
      </c>
      <c r="V1076" t="s">
        <v>980</v>
      </c>
      <c r="W1076" t="s">
        <v>994</v>
      </c>
      <c r="X1076" t="s">
        <v>997</v>
      </c>
      <c r="Y1076" t="s">
        <v>1000</v>
      </c>
      <c r="Z1076">
        <v>0</v>
      </c>
      <c r="AA1076">
        <f t="shared" si="326"/>
        <v>1</v>
      </c>
      <c r="AB1076">
        <f t="shared" si="327"/>
        <v>1</v>
      </c>
      <c r="AC1076">
        <f t="shared" si="328"/>
        <v>-1</v>
      </c>
      <c r="AD1076">
        <f t="shared" si="329"/>
        <v>-1</v>
      </c>
      <c r="AE1076">
        <f t="shared" si="330"/>
        <v>1</v>
      </c>
      <c r="AF1076">
        <f t="shared" si="331"/>
        <v>1</v>
      </c>
      <c r="AG1076">
        <f t="shared" si="332"/>
        <v>1</v>
      </c>
      <c r="AH1076">
        <f t="shared" si="333"/>
        <v>-1</v>
      </c>
      <c r="AI1076">
        <f t="shared" si="334"/>
        <v>1</v>
      </c>
      <c r="AJ1076" s="9">
        <f t="shared" si="324"/>
        <v>34</v>
      </c>
      <c r="AK1076">
        <f t="shared" si="335"/>
        <v>0</v>
      </c>
      <c r="AL1076" s="9">
        <v>1</v>
      </c>
    </row>
    <row r="1077" spans="1:38" x14ac:dyDescent="0.35">
      <c r="A1077" s="50">
        <v>0</v>
      </c>
      <c r="B1077" s="9" t="s">
        <v>137</v>
      </c>
      <c r="C1077" s="53">
        <v>43889</v>
      </c>
      <c r="D1077" s="53">
        <v>43915</v>
      </c>
      <c r="E1077" s="53">
        <v>43965</v>
      </c>
      <c r="F1077" s="21">
        <f t="shared" si="311"/>
        <v>50</v>
      </c>
      <c r="G1077" s="53">
        <v>43915</v>
      </c>
      <c r="H1077" s="9">
        <v>2020</v>
      </c>
      <c r="I1077" s="50">
        <v>0</v>
      </c>
      <c r="J1077" s="9">
        <v>6</v>
      </c>
      <c r="K1077" s="9">
        <v>29</v>
      </c>
      <c r="L1077" s="50" t="s">
        <v>775</v>
      </c>
      <c r="M1077">
        <v>1</v>
      </c>
      <c r="N1077">
        <v>1</v>
      </c>
      <c r="O1077">
        <v>-2</v>
      </c>
      <c r="P1077">
        <v>-1</v>
      </c>
      <c r="Q1077">
        <v>-2</v>
      </c>
      <c r="R1077">
        <v>2</v>
      </c>
      <c r="S1077">
        <v>1</v>
      </c>
      <c r="T1077">
        <v>-2</v>
      </c>
      <c r="U1077">
        <v>1</v>
      </c>
      <c r="V1077" t="s">
        <v>980</v>
      </c>
      <c r="W1077" t="s">
        <v>994</v>
      </c>
      <c r="X1077" t="s">
        <v>997</v>
      </c>
      <c r="Y1077" t="s">
        <v>1000</v>
      </c>
      <c r="Z1077">
        <v>0</v>
      </c>
      <c r="AA1077">
        <f t="shared" si="326"/>
        <v>1</v>
      </c>
      <c r="AB1077">
        <f t="shared" si="327"/>
        <v>1</v>
      </c>
      <c r="AC1077">
        <f t="shared" si="328"/>
        <v>0</v>
      </c>
      <c r="AD1077">
        <f t="shared" si="329"/>
        <v>0</v>
      </c>
      <c r="AE1077">
        <f t="shared" si="330"/>
        <v>0</v>
      </c>
      <c r="AF1077">
        <f t="shared" si="331"/>
        <v>1</v>
      </c>
      <c r="AG1077">
        <f t="shared" si="332"/>
        <v>1</v>
      </c>
      <c r="AH1077">
        <f t="shared" si="333"/>
        <v>0</v>
      </c>
      <c r="AI1077">
        <f t="shared" si="334"/>
        <v>1</v>
      </c>
      <c r="AJ1077" s="9">
        <f t="shared" si="324"/>
        <v>29</v>
      </c>
      <c r="AK1077">
        <f t="shared" si="335"/>
        <v>0</v>
      </c>
      <c r="AL1077" s="9">
        <v>1</v>
      </c>
    </row>
    <row r="1078" spans="1:38" x14ac:dyDescent="0.35">
      <c r="A1078" s="50">
        <v>0</v>
      </c>
      <c r="B1078" s="9" t="s">
        <v>137</v>
      </c>
      <c r="C1078" s="53">
        <v>43889</v>
      </c>
      <c r="D1078" s="53">
        <v>43915</v>
      </c>
      <c r="E1078" s="53">
        <v>43965</v>
      </c>
      <c r="F1078" s="21">
        <f t="shared" si="311"/>
        <v>50</v>
      </c>
      <c r="G1078" s="53">
        <v>43915</v>
      </c>
      <c r="H1078" s="9">
        <v>2020</v>
      </c>
      <c r="I1078" s="50">
        <v>0</v>
      </c>
      <c r="J1078" s="9">
        <v>6</v>
      </c>
      <c r="K1078" s="9">
        <v>29</v>
      </c>
      <c r="L1078" s="50" t="s">
        <v>766</v>
      </c>
      <c r="M1078">
        <v>1</v>
      </c>
      <c r="N1078">
        <v>1</v>
      </c>
      <c r="O1078">
        <v>2</v>
      </c>
      <c r="P1078">
        <v>-1</v>
      </c>
      <c r="Q1078">
        <v>-2</v>
      </c>
      <c r="R1078">
        <v>2</v>
      </c>
      <c r="S1078">
        <v>1</v>
      </c>
      <c r="T1078">
        <v>2</v>
      </c>
      <c r="U1078">
        <v>1</v>
      </c>
      <c r="V1078" t="s">
        <v>980</v>
      </c>
      <c r="W1078" t="s">
        <v>994</v>
      </c>
      <c r="X1078" t="s">
        <v>997</v>
      </c>
      <c r="Y1078" t="s">
        <v>1000</v>
      </c>
      <c r="Z1078">
        <v>0</v>
      </c>
      <c r="AA1078">
        <f t="shared" si="326"/>
        <v>1</v>
      </c>
      <c r="AB1078">
        <f t="shared" si="327"/>
        <v>1</v>
      </c>
      <c r="AC1078">
        <f t="shared" si="328"/>
        <v>1</v>
      </c>
      <c r="AD1078">
        <f t="shared" si="329"/>
        <v>0</v>
      </c>
      <c r="AE1078">
        <f t="shared" si="330"/>
        <v>0</v>
      </c>
      <c r="AF1078">
        <f t="shared" si="331"/>
        <v>1</v>
      </c>
      <c r="AG1078">
        <f t="shared" si="332"/>
        <v>1</v>
      </c>
      <c r="AH1078">
        <f t="shared" si="333"/>
        <v>1</v>
      </c>
      <c r="AI1078">
        <f t="shared" si="334"/>
        <v>1</v>
      </c>
      <c r="AJ1078" s="9">
        <f t="shared" si="324"/>
        <v>29</v>
      </c>
      <c r="AK1078">
        <f t="shared" si="335"/>
        <v>0</v>
      </c>
      <c r="AL1078" s="9">
        <v>1</v>
      </c>
    </row>
    <row r="1079" spans="1:38" x14ac:dyDescent="0.35">
      <c r="A1079" s="50">
        <v>0</v>
      </c>
      <c r="B1079" s="9" t="s">
        <v>137</v>
      </c>
      <c r="C1079" s="53">
        <v>43889</v>
      </c>
      <c r="D1079" s="53">
        <v>43915</v>
      </c>
      <c r="E1079" s="53">
        <v>43965</v>
      </c>
      <c r="F1079" s="21">
        <f t="shared" si="311"/>
        <v>50</v>
      </c>
      <c r="G1079" s="53">
        <v>43915</v>
      </c>
      <c r="H1079" s="9">
        <v>2020</v>
      </c>
      <c r="I1079" s="50">
        <v>0</v>
      </c>
      <c r="J1079" s="9">
        <v>1</v>
      </c>
      <c r="K1079" s="9" t="s">
        <v>206</v>
      </c>
      <c r="L1079" s="50" t="s">
        <v>764</v>
      </c>
      <c r="M1079">
        <v>2</v>
      </c>
      <c r="N1079">
        <v>2</v>
      </c>
      <c r="O1079">
        <v>-2</v>
      </c>
      <c r="P1079">
        <v>-1</v>
      </c>
      <c r="Q1079">
        <v>-2</v>
      </c>
      <c r="R1079">
        <v>2</v>
      </c>
      <c r="S1079">
        <v>2</v>
      </c>
      <c r="T1079">
        <v>-2</v>
      </c>
      <c r="U1079">
        <v>1</v>
      </c>
      <c r="V1079" t="s">
        <v>980</v>
      </c>
      <c r="W1079" t="s">
        <v>994</v>
      </c>
      <c r="X1079" t="s">
        <v>997</v>
      </c>
      <c r="Y1079" t="s">
        <v>1000</v>
      </c>
      <c r="Z1079">
        <v>0</v>
      </c>
      <c r="AA1079">
        <f t="shared" si="326"/>
        <v>1</v>
      </c>
      <c r="AB1079">
        <f t="shared" si="327"/>
        <v>1</v>
      </c>
      <c r="AC1079">
        <f t="shared" si="328"/>
        <v>0</v>
      </c>
      <c r="AD1079">
        <f t="shared" si="329"/>
        <v>0</v>
      </c>
      <c r="AE1079">
        <f t="shared" si="330"/>
        <v>0</v>
      </c>
      <c r="AF1079">
        <f t="shared" si="331"/>
        <v>1</v>
      </c>
      <c r="AG1079">
        <f t="shared" si="332"/>
        <v>1</v>
      </c>
      <c r="AH1079">
        <f t="shared" si="333"/>
        <v>0</v>
      </c>
      <c r="AI1079">
        <f t="shared" si="334"/>
        <v>1</v>
      </c>
      <c r="AJ1079" s="9" t="str">
        <f t="shared" si="324"/>
        <v>Tax exemption/waiver/suspension</v>
      </c>
      <c r="AK1079">
        <f t="shared" si="335"/>
        <v>0</v>
      </c>
      <c r="AL1079" s="9">
        <v>1</v>
      </c>
    </row>
    <row r="1080" spans="1:38" x14ac:dyDescent="0.35">
      <c r="A1080" s="50">
        <v>0</v>
      </c>
      <c r="B1080" s="9" t="s">
        <v>137</v>
      </c>
      <c r="C1080" s="53">
        <v>43889</v>
      </c>
      <c r="D1080" s="53">
        <v>43915</v>
      </c>
      <c r="E1080" s="53">
        <v>43965</v>
      </c>
      <c r="F1080" s="21">
        <f t="shared" si="311"/>
        <v>50</v>
      </c>
      <c r="G1080" s="53">
        <v>43915</v>
      </c>
      <c r="H1080" s="9">
        <v>2020</v>
      </c>
      <c r="I1080" s="50">
        <v>0</v>
      </c>
      <c r="J1080" s="9">
        <v>6</v>
      </c>
      <c r="K1080" s="9">
        <v>27</v>
      </c>
      <c r="L1080" s="50" t="s">
        <v>774</v>
      </c>
      <c r="M1080">
        <v>1</v>
      </c>
      <c r="N1080">
        <v>1</v>
      </c>
      <c r="O1080">
        <v>2</v>
      </c>
      <c r="P1080">
        <v>-1</v>
      </c>
      <c r="Q1080">
        <v>-2</v>
      </c>
      <c r="R1080">
        <v>2</v>
      </c>
      <c r="S1080">
        <v>-1</v>
      </c>
      <c r="T1080">
        <v>2</v>
      </c>
      <c r="U1080">
        <v>1</v>
      </c>
      <c r="V1080" t="s">
        <v>980</v>
      </c>
      <c r="W1080" t="s">
        <v>994</v>
      </c>
      <c r="X1080" t="s">
        <v>997</v>
      </c>
      <c r="Y1080" t="s">
        <v>1000</v>
      </c>
      <c r="Z1080">
        <v>0</v>
      </c>
      <c r="AA1080">
        <f t="shared" si="326"/>
        <v>1</v>
      </c>
      <c r="AB1080">
        <f t="shared" si="327"/>
        <v>1</v>
      </c>
      <c r="AC1080">
        <f t="shared" si="328"/>
        <v>1</v>
      </c>
      <c r="AD1080">
        <f t="shared" si="329"/>
        <v>0</v>
      </c>
      <c r="AE1080">
        <f t="shared" si="330"/>
        <v>0</v>
      </c>
      <c r="AF1080">
        <f t="shared" si="331"/>
        <v>1</v>
      </c>
      <c r="AG1080">
        <f t="shared" si="332"/>
        <v>0</v>
      </c>
      <c r="AH1080">
        <f t="shared" si="333"/>
        <v>1</v>
      </c>
      <c r="AI1080">
        <f t="shared" si="334"/>
        <v>1</v>
      </c>
      <c r="AJ1080" s="9">
        <f t="shared" si="324"/>
        <v>27</v>
      </c>
      <c r="AK1080">
        <f t="shared" si="335"/>
        <v>0</v>
      </c>
      <c r="AL1080" s="9">
        <v>1</v>
      </c>
    </row>
    <row r="1081" spans="1:38" x14ac:dyDescent="0.35">
      <c r="A1081" s="50">
        <v>0</v>
      </c>
      <c r="B1081" s="9" t="s">
        <v>137</v>
      </c>
      <c r="C1081" s="53">
        <v>43889</v>
      </c>
      <c r="D1081" s="53">
        <v>43915</v>
      </c>
      <c r="E1081" s="53">
        <v>43965</v>
      </c>
      <c r="F1081" s="21">
        <f t="shared" si="311"/>
        <v>50</v>
      </c>
      <c r="G1081" s="53">
        <v>43915</v>
      </c>
      <c r="H1081" s="9">
        <v>2020</v>
      </c>
      <c r="I1081" s="50">
        <v>0</v>
      </c>
      <c r="J1081" s="9">
        <v>7</v>
      </c>
      <c r="K1081" s="9">
        <v>30</v>
      </c>
      <c r="L1081" s="50" t="s">
        <v>763</v>
      </c>
      <c r="M1081">
        <v>1</v>
      </c>
      <c r="N1081">
        <v>1</v>
      </c>
      <c r="O1081">
        <v>2</v>
      </c>
      <c r="P1081">
        <v>1</v>
      </c>
      <c r="Q1081">
        <v>2</v>
      </c>
      <c r="R1081">
        <v>2</v>
      </c>
      <c r="S1081">
        <v>1</v>
      </c>
      <c r="T1081">
        <v>-2</v>
      </c>
      <c r="U1081">
        <v>1</v>
      </c>
      <c r="V1081" t="s">
        <v>980</v>
      </c>
      <c r="W1081" t="s">
        <v>994</v>
      </c>
      <c r="X1081" t="s">
        <v>997</v>
      </c>
      <c r="Y1081" t="s">
        <v>1000</v>
      </c>
      <c r="Z1081">
        <v>0</v>
      </c>
      <c r="AA1081">
        <f t="shared" si="326"/>
        <v>1</v>
      </c>
      <c r="AB1081">
        <f t="shared" si="327"/>
        <v>1</v>
      </c>
      <c r="AC1081">
        <f t="shared" si="328"/>
        <v>1</v>
      </c>
      <c r="AD1081">
        <f t="shared" si="329"/>
        <v>1</v>
      </c>
      <c r="AE1081">
        <f t="shared" si="330"/>
        <v>1</v>
      </c>
      <c r="AF1081">
        <f t="shared" si="331"/>
        <v>1</v>
      </c>
      <c r="AG1081">
        <f t="shared" si="332"/>
        <v>1</v>
      </c>
      <c r="AH1081">
        <f t="shared" si="333"/>
        <v>0</v>
      </c>
      <c r="AI1081">
        <f t="shared" si="334"/>
        <v>1</v>
      </c>
      <c r="AJ1081" s="9">
        <f t="shared" si="324"/>
        <v>30</v>
      </c>
      <c r="AK1081">
        <f t="shared" si="335"/>
        <v>0</v>
      </c>
      <c r="AL1081" s="9">
        <v>1</v>
      </c>
    </row>
    <row r="1082" spans="1:38" x14ac:dyDescent="0.35">
      <c r="A1082" s="50">
        <v>0</v>
      </c>
      <c r="B1082" s="9" t="s">
        <v>137</v>
      </c>
      <c r="C1082" s="53">
        <v>43889</v>
      </c>
      <c r="D1082" s="53">
        <v>43915</v>
      </c>
      <c r="E1082" s="53">
        <v>43965</v>
      </c>
      <c r="F1082" s="21">
        <f t="shared" si="311"/>
        <v>50</v>
      </c>
      <c r="G1082" s="53">
        <v>43915</v>
      </c>
      <c r="H1082" s="9">
        <v>2020</v>
      </c>
      <c r="I1082" s="50">
        <v>0</v>
      </c>
      <c r="J1082" s="9">
        <v>1</v>
      </c>
      <c r="K1082" s="9">
        <v>6</v>
      </c>
      <c r="L1082" s="50" t="s">
        <v>762</v>
      </c>
      <c r="M1082">
        <v>2</v>
      </c>
      <c r="N1082">
        <v>2</v>
      </c>
      <c r="O1082">
        <v>2</v>
      </c>
      <c r="P1082">
        <v>2</v>
      </c>
      <c r="Q1082">
        <v>2</v>
      </c>
      <c r="R1082">
        <v>2</v>
      </c>
      <c r="S1082">
        <v>1</v>
      </c>
      <c r="T1082">
        <v>2</v>
      </c>
      <c r="U1082">
        <v>1</v>
      </c>
      <c r="V1082" t="s">
        <v>980</v>
      </c>
      <c r="W1082" t="s">
        <v>994</v>
      </c>
      <c r="X1082" t="s">
        <v>997</v>
      </c>
      <c r="Y1082" t="s">
        <v>1000</v>
      </c>
      <c r="Z1082">
        <v>0</v>
      </c>
      <c r="AA1082">
        <f t="shared" si="326"/>
        <v>1</v>
      </c>
      <c r="AB1082">
        <f t="shared" si="327"/>
        <v>1</v>
      </c>
      <c r="AC1082">
        <f t="shared" si="328"/>
        <v>1</v>
      </c>
      <c r="AD1082">
        <f t="shared" si="329"/>
        <v>1</v>
      </c>
      <c r="AE1082">
        <f t="shared" si="330"/>
        <v>1</v>
      </c>
      <c r="AF1082">
        <f t="shared" si="331"/>
        <v>1</v>
      </c>
      <c r="AG1082">
        <f t="shared" si="332"/>
        <v>1</v>
      </c>
      <c r="AH1082">
        <f t="shared" si="333"/>
        <v>1</v>
      </c>
      <c r="AI1082">
        <f t="shared" si="334"/>
        <v>1</v>
      </c>
      <c r="AJ1082" s="9">
        <f t="shared" si="324"/>
        <v>6</v>
      </c>
      <c r="AK1082">
        <f t="shared" si="335"/>
        <v>0</v>
      </c>
      <c r="AL1082" s="9">
        <v>1</v>
      </c>
    </row>
    <row r="1083" spans="1:38" x14ac:dyDescent="0.35">
      <c r="A1083" s="50">
        <v>0</v>
      </c>
      <c r="B1083" s="9" t="s">
        <v>137</v>
      </c>
      <c r="C1083" s="53">
        <v>43889</v>
      </c>
      <c r="D1083" s="53">
        <v>43915</v>
      </c>
      <c r="E1083" s="53">
        <v>43965</v>
      </c>
      <c r="F1083" s="21">
        <f t="shared" si="311"/>
        <v>50</v>
      </c>
      <c r="G1083" s="53">
        <v>43915</v>
      </c>
      <c r="H1083" s="9">
        <v>2020</v>
      </c>
      <c r="I1083" s="50">
        <v>0</v>
      </c>
      <c r="J1083" s="9">
        <v>1</v>
      </c>
      <c r="K1083" s="9">
        <v>3</v>
      </c>
      <c r="L1083" s="50" t="s">
        <v>767</v>
      </c>
      <c r="M1083">
        <v>-2</v>
      </c>
      <c r="N1083">
        <v>2</v>
      </c>
      <c r="O1083">
        <v>-2</v>
      </c>
      <c r="P1083">
        <v>-1</v>
      </c>
      <c r="Q1083">
        <v>2</v>
      </c>
      <c r="R1083">
        <v>-2</v>
      </c>
      <c r="S1083">
        <v>2</v>
      </c>
      <c r="T1083">
        <v>-2</v>
      </c>
      <c r="U1083">
        <v>1</v>
      </c>
      <c r="V1083" t="s">
        <v>980</v>
      </c>
      <c r="W1083" t="s">
        <v>994</v>
      </c>
      <c r="X1083" t="s">
        <v>997</v>
      </c>
      <c r="Y1083" t="s">
        <v>1000</v>
      </c>
      <c r="Z1083">
        <v>0</v>
      </c>
      <c r="AA1083">
        <f t="shared" si="326"/>
        <v>0</v>
      </c>
      <c r="AB1083">
        <f t="shared" si="327"/>
        <v>1</v>
      </c>
      <c r="AC1083">
        <f t="shared" si="328"/>
        <v>0</v>
      </c>
      <c r="AD1083">
        <f t="shared" si="329"/>
        <v>0</v>
      </c>
      <c r="AE1083">
        <f t="shared" si="330"/>
        <v>1</v>
      </c>
      <c r="AF1083">
        <f t="shared" si="331"/>
        <v>0</v>
      </c>
      <c r="AG1083">
        <f t="shared" si="332"/>
        <v>1</v>
      </c>
      <c r="AH1083">
        <f t="shared" si="333"/>
        <v>0</v>
      </c>
      <c r="AI1083">
        <f t="shared" si="334"/>
        <v>1</v>
      </c>
      <c r="AJ1083" s="9">
        <f t="shared" si="324"/>
        <v>3</v>
      </c>
      <c r="AK1083">
        <f t="shared" si="335"/>
        <v>0</v>
      </c>
      <c r="AL1083" s="9">
        <v>1</v>
      </c>
    </row>
    <row r="1084" spans="1:38" x14ac:dyDescent="0.35">
      <c r="A1084" s="50">
        <v>0</v>
      </c>
      <c r="B1084" s="9" t="s">
        <v>137</v>
      </c>
      <c r="C1084" s="53">
        <v>43889</v>
      </c>
      <c r="D1084" s="53">
        <v>43915</v>
      </c>
      <c r="E1084" s="53">
        <v>43965</v>
      </c>
      <c r="F1084" s="21">
        <f t="shared" ref="F1084:F1155" si="336">DATEDIF(D1084,E1084,"D")</f>
        <v>50</v>
      </c>
      <c r="G1084" s="53">
        <v>43915</v>
      </c>
      <c r="H1084" s="9">
        <v>2020</v>
      </c>
      <c r="I1084" s="50">
        <v>0</v>
      </c>
      <c r="J1084" s="9">
        <v>9</v>
      </c>
      <c r="K1084" s="9">
        <v>34</v>
      </c>
      <c r="L1084" s="50" t="s">
        <v>770</v>
      </c>
      <c r="M1084">
        <v>1</v>
      </c>
      <c r="N1084">
        <v>1</v>
      </c>
      <c r="O1084">
        <v>2</v>
      </c>
      <c r="P1084">
        <v>-1</v>
      </c>
      <c r="Q1084">
        <v>2</v>
      </c>
      <c r="R1084">
        <v>1</v>
      </c>
      <c r="S1084">
        <v>1</v>
      </c>
      <c r="T1084">
        <v>2</v>
      </c>
      <c r="U1084">
        <v>1</v>
      </c>
      <c r="V1084" t="s">
        <v>980</v>
      </c>
      <c r="W1084" t="s">
        <v>994</v>
      </c>
      <c r="X1084" t="s">
        <v>997</v>
      </c>
      <c r="Y1084" t="s">
        <v>1000</v>
      </c>
      <c r="Z1084">
        <v>0</v>
      </c>
      <c r="AA1084">
        <f t="shared" si="326"/>
        <v>1</v>
      </c>
      <c r="AB1084">
        <f t="shared" si="327"/>
        <v>1</v>
      </c>
      <c r="AC1084">
        <f t="shared" si="328"/>
        <v>1</v>
      </c>
      <c r="AD1084">
        <f t="shared" si="329"/>
        <v>0</v>
      </c>
      <c r="AE1084">
        <f t="shared" si="330"/>
        <v>1</v>
      </c>
      <c r="AF1084">
        <f t="shared" si="331"/>
        <v>1</v>
      </c>
      <c r="AG1084">
        <f t="shared" si="332"/>
        <v>1</v>
      </c>
      <c r="AH1084">
        <f t="shared" si="333"/>
        <v>1</v>
      </c>
      <c r="AI1084">
        <f t="shared" si="334"/>
        <v>1</v>
      </c>
      <c r="AJ1084" s="9">
        <f t="shared" si="324"/>
        <v>34</v>
      </c>
      <c r="AK1084">
        <f t="shared" si="335"/>
        <v>0</v>
      </c>
      <c r="AL1084" s="9">
        <v>1</v>
      </c>
    </row>
    <row r="1085" spans="1:38" x14ac:dyDescent="0.35">
      <c r="A1085" s="50">
        <v>0</v>
      </c>
      <c r="B1085" s="9" t="s">
        <v>137</v>
      </c>
      <c r="C1085" s="53">
        <v>43889</v>
      </c>
      <c r="D1085" s="53">
        <v>43915</v>
      </c>
      <c r="E1085" s="53">
        <v>43965</v>
      </c>
      <c r="F1085" s="21">
        <f t="shared" si="336"/>
        <v>50</v>
      </c>
      <c r="G1085" s="53">
        <v>43915</v>
      </c>
      <c r="H1085" s="9">
        <v>2020</v>
      </c>
      <c r="I1085" s="50">
        <v>0</v>
      </c>
      <c r="J1085" s="9">
        <v>1</v>
      </c>
      <c r="K1085" s="9">
        <v>3</v>
      </c>
      <c r="L1085" s="50" t="s">
        <v>776</v>
      </c>
      <c r="M1085">
        <v>-2</v>
      </c>
      <c r="N1085">
        <v>2</v>
      </c>
      <c r="O1085">
        <v>2</v>
      </c>
      <c r="P1085">
        <v>-1</v>
      </c>
      <c r="Q1085">
        <v>2</v>
      </c>
      <c r="R1085">
        <v>-2</v>
      </c>
      <c r="S1085">
        <v>2</v>
      </c>
      <c r="T1085">
        <v>2</v>
      </c>
      <c r="U1085">
        <v>1</v>
      </c>
      <c r="V1085" t="s">
        <v>980</v>
      </c>
      <c r="W1085" t="s">
        <v>994</v>
      </c>
      <c r="X1085" t="s">
        <v>997</v>
      </c>
      <c r="Y1085" t="s">
        <v>1000</v>
      </c>
      <c r="Z1085">
        <v>0</v>
      </c>
      <c r="AA1085">
        <f t="shared" si="326"/>
        <v>0</v>
      </c>
      <c r="AB1085">
        <f t="shared" si="327"/>
        <v>1</v>
      </c>
      <c r="AC1085">
        <f t="shared" si="328"/>
        <v>1</v>
      </c>
      <c r="AD1085">
        <f t="shared" si="329"/>
        <v>0</v>
      </c>
      <c r="AE1085">
        <f t="shared" si="330"/>
        <v>1</v>
      </c>
      <c r="AF1085">
        <f t="shared" si="331"/>
        <v>0</v>
      </c>
      <c r="AG1085">
        <f t="shared" si="332"/>
        <v>1</v>
      </c>
      <c r="AH1085">
        <f t="shared" si="333"/>
        <v>1</v>
      </c>
      <c r="AI1085">
        <f t="shared" si="334"/>
        <v>1</v>
      </c>
      <c r="AJ1085" s="9">
        <f t="shared" si="324"/>
        <v>3</v>
      </c>
      <c r="AK1085">
        <f t="shared" si="335"/>
        <v>0</v>
      </c>
      <c r="AL1085" s="9">
        <v>1</v>
      </c>
    </row>
    <row r="1086" spans="1:38" x14ac:dyDescent="0.35">
      <c r="A1086" s="50">
        <v>0</v>
      </c>
      <c r="B1086" s="9" t="s">
        <v>137</v>
      </c>
      <c r="C1086" s="53">
        <v>43889</v>
      </c>
      <c r="D1086" s="53">
        <v>43915</v>
      </c>
      <c r="E1086" s="53">
        <v>43965</v>
      </c>
      <c r="F1086" s="21">
        <f t="shared" si="336"/>
        <v>50</v>
      </c>
      <c r="G1086" s="53">
        <v>43915</v>
      </c>
      <c r="H1086" s="9">
        <v>2020</v>
      </c>
      <c r="I1086" s="50">
        <v>0</v>
      </c>
      <c r="J1086" s="9">
        <v>1</v>
      </c>
      <c r="K1086" s="9">
        <v>3</v>
      </c>
      <c r="L1086" s="50" t="s">
        <v>759</v>
      </c>
      <c r="M1086">
        <v>2</v>
      </c>
      <c r="N1086">
        <v>2</v>
      </c>
      <c r="O1086">
        <v>-2</v>
      </c>
      <c r="P1086">
        <v>-1</v>
      </c>
      <c r="Q1086">
        <v>-2</v>
      </c>
      <c r="R1086">
        <v>2</v>
      </c>
      <c r="S1086">
        <v>2</v>
      </c>
      <c r="T1086">
        <v>-2</v>
      </c>
      <c r="U1086">
        <v>1</v>
      </c>
      <c r="V1086" t="s">
        <v>980</v>
      </c>
      <c r="W1086" t="s">
        <v>994</v>
      </c>
      <c r="X1086" t="s">
        <v>997</v>
      </c>
      <c r="Y1086" t="s">
        <v>1000</v>
      </c>
      <c r="Z1086">
        <v>0</v>
      </c>
      <c r="AA1086">
        <f t="shared" si="326"/>
        <v>1</v>
      </c>
      <c r="AB1086">
        <f t="shared" si="327"/>
        <v>1</v>
      </c>
      <c r="AC1086">
        <f t="shared" si="328"/>
        <v>0</v>
      </c>
      <c r="AD1086">
        <f t="shared" si="329"/>
        <v>0</v>
      </c>
      <c r="AE1086">
        <f t="shared" si="330"/>
        <v>0</v>
      </c>
      <c r="AF1086">
        <f t="shared" si="331"/>
        <v>1</v>
      </c>
      <c r="AG1086">
        <f t="shared" si="332"/>
        <v>1</v>
      </c>
      <c r="AH1086">
        <f t="shared" si="333"/>
        <v>0</v>
      </c>
      <c r="AI1086">
        <f t="shared" si="334"/>
        <v>1</v>
      </c>
      <c r="AJ1086" s="9">
        <f t="shared" si="324"/>
        <v>3</v>
      </c>
      <c r="AK1086">
        <f t="shared" si="335"/>
        <v>0</v>
      </c>
      <c r="AL1086" s="9">
        <v>1</v>
      </c>
    </row>
    <row r="1087" spans="1:38" x14ac:dyDescent="0.35">
      <c r="A1087" s="50">
        <v>0</v>
      </c>
      <c r="B1087" s="9" t="s">
        <v>137</v>
      </c>
      <c r="C1087" s="53">
        <v>43889</v>
      </c>
      <c r="D1087" s="53">
        <v>43915</v>
      </c>
      <c r="E1087" s="53">
        <v>43965</v>
      </c>
      <c r="F1087" s="21">
        <f t="shared" si="336"/>
        <v>50</v>
      </c>
      <c r="G1087" s="53">
        <v>43915</v>
      </c>
      <c r="H1087" s="9">
        <v>2020</v>
      </c>
      <c r="I1087" s="50">
        <v>0</v>
      </c>
      <c r="J1087" s="9">
        <v>6</v>
      </c>
      <c r="K1087" s="9">
        <v>26</v>
      </c>
      <c r="L1087" s="50" t="s">
        <v>777</v>
      </c>
      <c r="M1087">
        <v>1</v>
      </c>
      <c r="N1087">
        <v>1</v>
      </c>
      <c r="O1087">
        <v>2</v>
      </c>
      <c r="P1087">
        <v>-1</v>
      </c>
      <c r="Q1087">
        <v>2</v>
      </c>
      <c r="R1087">
        <v>-1</v>
      </c>
      <c r="S1087">
        <v>1</v>
      </c>
      <c r="T1087">
        <v>2</v>
      </c>
      <c r="U1087">
        <v>1</v>
      </c>
      <c r="V1087" t="s">
        <v>980</v>
      </c>
      <c r="W1087" t="s">
        <v>994</v>
      </c>
      <c r="X1087" t="s">
        <v>997</v>
      </c>
      <c r="Y1087" t="s">
        <v>1000</v>
      </c>
      <c r="Z1087">
        <v>0</v>
      </c>
      <c r="AA1087">
        <f t="shared" si="326"/>
        <v>1</v>
      </c>
      <c r="AB1087">
        <f t="shared" si="327"/>
        <v>1</v>
      </c>
      <c r="AC1087">
        <f t="shared" si="328"/>
        <v>1</v>
      </c>
      <c r="AD1087">
        <f t="shared" si="329"/>
        <v>0</v>
      </c>
      <c r="AE1087">
        <f t="shared" si="330"/>
        <v>1</v>
      </c>
      <c r="AF1087">
        <f t="shared" si="331"/>
        <v>0</v>
      </c>
      <c r="AG1087">
        <f t="shared" si="332"/>
        <v>1</v>
      </c>
      <c r="AH1087">
        <f t="shared" si="333"/>
        <v>1</v>
      </c>
      <c r="AI1087">
        <f t="shared" si="334"/>
        <v>1</v>
      </c>
      <c r="AJ1087" s="9">
        <f t="shared" si="324"/>
        <v>26</v>
      </c>
      <c r="AK1087">
        <f t="shared" si="335"/>
        <v>0</v>
      </c>
      <c r="AL1087" s="9">
        <v>1</v>
      </c>
    </row>
    <row r="1088" spans="1:38" x14ac:dyDescent="0.35">
      <c r="A1088" s="50">
        <v>0</v>
      </c>
      <c r="B1088" s="9" t="s">
        <v>137</v>
      </c>
      <c r="C1088" s="53">
        <v>43889</v>
      </c>
      <c r="D1088" s="53">
        <v>43915</v>
      </c>
      <c r="E1088" s="53">
        <v>43965</v>
      </c>
      <c r="F1088" s="21">
        <f t="shared" si="336"/>
        <v>50</v>
      </c>
      <c r="G1088" s="53">
        <v>43915</v>
      </c>
      <c r="H1088" s="9">
        <v>2020</v>
      </c>
      <c r="I1088" s="50">
        <v>0</v>
      </c>
      <c r="J1088" s="9">
        <v>1</v>
      </c>
      <c r="K1088" s="9">
        <v>6</v>
      </c>
      <c r="L1088" s="50" t="s">
        <v>768</v>
      </c>
      <c r="M1088">
        <v>-2</v>
      </c>
      <c r="N1088">
        <v>2</v>
      </c>
      <c r="O1088">
        <v>-2</v>
      </c>
      <c r="P1088">
        <v>-1</v>
      </c>
      <c r="Q1088">
        <v>-2</v>
      </c>
      <c r="R1088">
        <v>-2</v>
      </c>
      <c r="S1088">
        <v>-2</v>
      </c>
      <c r="T1088">
        <v>2</v>
      </c>
      <c r="U1088">
        <v>1</v>
      </c>
      <c r="V1088" t="s">
        <v>980</v>
      </c>
      <c r="W1088" t="s">
        <v>994</v>
      </c>
      <c r="X1088" t="s">
        <v>997</v>
      </c>
      <c r="Y1088" t="s">
        <v>1000</v>
      </c>
      <c r="Z1088">
        <v>0</v>
      </c>
      <c r="AA1088">
        <f t="shared" si="326"/>
        <v>0</v>
      </c>
      <c r="AB1088">
        <f t="shared" si="327"/>
        <v>1</v>
      </c>
      <c r="AC1088">
        <f t="shared" si="328"/>
        <v>0</v>
      </c>
      <c r="AD1088">
        <f t="shared" si="329"/>
        <v>0</v>
      </c>
      <c r="AE1088">
        <f t="shared" si="330"/>
        <v>0</v>
      </c>
      <c r="AF1088">
        <f t="shared" si="331"/>
        <v>0</v>
      </c>
      <c r="AG1088">
        <f t="shared" si="332"/>
        <v>0</v>
      </c>
      <c r="AH1088">
        <f t="shared" si="333"/>
        <v>1</v>
      </c>
      <c r="AI1088">
        <f t="shared" si="334"/>
        <v>1</v>
      </c>
      <c r="AJ1088" s="9">
        <f t="shared" si="324"/>
        <v>6</v>
      </c>
      <c r="AK1088">
        <f t="shared" si="335"/>
        <v>0</v>
      </c>
      <c r="AL1088" s="9">
        <v>0</v>
      </c>
    </row>
    <row r="1089" spans="1:38" x14ac:dyDescent="0.35">
      <c r="A1089" s="50">
        <v>0</v>
      </c>
      <c r="B1089" s="9" t="s">
        <v>137</v>
      </c>
      <c r="C1089" s="53">
        <v>43889</v>
      </c>
      <c r="D1089" s="53">
        <v>43915</v>
      </c>
      <c r="E1089" s="53">
        <v>43965</v>
      </c>
      <c r="F1089" s="21">
        <f t="shared" si="336"/>
        <v>50</v>
      </c>
      <c r="G1089" s="53">
        <v>43915</v>
      </c>
      <c r="H1089" s="9">
        <v>2020</v>
      </c>
      <c r="I1089" s="50">
        <v>0</v>
      </c>
      <c r="J1089" s="9">
        <v>1</v>
      </c>
      <c r="K1089" s="9">
        <v>4</v>
      </c>
      <c r="L1089" s="50" t="s">
        <v>773</v>
      </c>
      <c r="M1089">
        <v>2</v>
      </c>
      <c r="N1089">
        <v>2</v>
      </c>
      <c r="O1089">
        <v>-2</v>
      </c>
      <c r="P1089">
        <v>-1</v>
      </c>
      <c r="Q1089">
        <v>2</v>
      </c>
      <c r="R1089">
        <v>2</v>
      </c>
      <c r="S1089">
        <v>2</v>
      </c>
      <c r="T1089">
        <v>2</v>
      </c>
      <c r="U1089">
        <v>1</v>
      </c>
      <c r="V1089" t="s">
        <v>980</v>
      </c>
      <c r="W1089" t="s">
        <v>994</v>
      </c>
      <c r="X1089" t="s">
        <v>997</v>
      </c>
      <c r="Y1089" t="s">
        <v>1000</v>
      </c>
      <c r="Z1089">
        <v>0</v>
      </c>
      <c r="AA1089">
        <f t="shared" si="326"/>
        <v>1</v>
      </c>
      <c r="AB1089">
        <f t="shared" si="327"/>
        <v>1</v>
      </c>
      <c r="AC1089">
        <f t="shared" si="328"/>
        <v>0</v>
      </c>
      <c r="AD1089">
        <f t="shared" si="329"/>
        <v>0</v>
      </c>
      <c r="AE1089">
        <f t="shared" si="330"/>
        <v>1</v>
      </c>
      <c r="AF1089">
        <f t="shared" si="331"/>
        <v>1</v>
      </c>
      <c r="AG1089">
        <f t="shared" si="332"/>
        <v>1</v>
      </c>
      <c r="AH1089">
        <f t="shared" si="333"/>
        <v>1</v>
      </c>
      <c r="AI1089">
        <f t="shared" si="334"/>
        <v>1</v>
      </c>
      <c r="AJ1089" s="9">
        <f t="shared" si="324"/>
        <v>4</v>
      </c>
      <c r="AK1089">
        <f t="shared" si="335"/>
        <v>0</v>
      </c>
      <c r="AL1089" s="9">
        <v>0</v>
      </c>
    </row>
    <row r="1090" spans="1:38" x14ac:dyDescent="0.35">
      <c r="A1090" s="50">
        <v>0</v>
      </c>
      <c r="B1090" s="50" t="s">
        <v>137</v>
      </c>
      <c r="C1090" s="53">
        <v>43889</v>
      </c>
      <c r="D1090" s="53">
        <v>43915</v>
      </c>
      <c r="E1090" s="53">
        <v>43965</v>
      </c>
      <c r="F1090" s="21">
        <f t="shared" si="336"/>
        <v>50</v>
      </c>
      <c r="G1090" s="53">
        <v>43915</v>
      </c>
      <c r="H1090" s="9">
        <v>2020</v>
      </c>
      <c r="I1090" s="50">
        <v>0</v>
      </c>
      <c r="J1090" s="50">
        <v>6</v>
      </c>
      <c r="K1090" s="50">
        <v>26</v>
      </c>
      <c r="L1090" s="24" t="s">
        <v>1821</v>
      </c>
      <c r="M1090" s="24"/>
      <c r="V1090" t="s">
        <v>980</v>
      </c>
      <c r="W1090" t="s">
        <v>994</v>
      </c>
      <c r="X1090" t="s">
        <v>997</v>
      </c>
      <c r="Y1090" t="s">
        <v>1000</v>
      </c>
      <c r="Z1090">
        <v>0</v>
      </c>
      <c r="AA1090">
        <v>-1</v>
      </c>
      <c r="AB1090">
        <v>-1</v>
      </c>
      <c r="AC1090">
        <v>-1</v>
      </c>
      <c r="AD1090">
        <v>-1</v>
      </c>
      <c r="AE1090">
        <v>-1</v>
      </c>
      <c r="AF1090">
        <v>-1</v>
      </c>
      <c r="AG1090">
        <v>-1</v>
      </c>
      <c r="AH1090">
        <v>-1</v>
      </c>
      <c r="AI1090">
        <v>-1</v>
      </c>
      <c r="AJ1090" s="9">
        <f t="shared" si="324"/>
        <v>26</v>
      </c>
      <c r="AK1090">
        <f t="shared" si="335"/>
        <v>0</v>
      </c>
      <c r="AL1090" s="9">
        <v>0</v>
      </c>
    </row>
    <row r="1091" spans="1:38" x14ac:dyDescent="0.35">
      <c r="A1091" s="50">
        <v>0</v>
      </c>
      <c r="B1091" s="50" t="s">
        <v>137</v>
      </c>
      <c r="C1091" s="53">
        <v>43889</v>
      </c>
      <c r="D1091" s="53">
        <v>43915</v>
      </c>
      <c r="E1091" s="53">
        <v>43965</v>
      </c>
      <c r="F1091" s="21">
        <f t="shared" si="336"/>
        <v>50</v>
      </c>
      <c r="G1091" s="53">
        <v>43915</v>
      </c>
      <c r="H1091" s="9">
        <v>2020</v>
      </c>
      <c r="I1091" s="50">
        <v>0</v>
      </c>
      <c r="J1091" s="50">
        <v>4</v>
      </c>
      <c r="K1091" s="50" t="s">
        <v>201</v>
      </c>
      <c r="L1091" s="24" t="s">
        <v>1509</v>
      </c>
      <c r="M1091" s="24"/>
      <c r="V1091" t="s">
        <v>980</v>
      </c>
      <c r="W1091" t="s">
        <v>994</v>
      </c>
      <c r="X1091" t="s">
        <v>997</v>
      </c>
      <c r="Y1091" t="s">
        <v>1000</v>
      </c>
      <c r="Z1091">
        <v>0</v>
      </c>
      <c r="AA1091">
        <v>-1</v>
      </c>
      <c r="AB1091">
        <v>-1</v>
      </c>
      <c r="AC1091">
        <v>-1</v>
      </c>
      <c r="AD1091">
        <v>-1</v>
      </c>
      <c r="AE1091">
        <v>-1</v>
      </c>
      <c r="AF1091">
        <v>-1</v>
      </c>
      <c r="AG1091">
        <v>-1</v>
      </c>
      <c r="AH1091">
        <v>-1</v>
      </c>
      <c r="AI1091">
        <v>-1</v>
      </c>
      <c r="AJ1091" s="9" t="str">
        <f t="shared" si="324"/>
        <v>Other</v>
      </c>
      <c r="AK1091">
        <f t="shared" si="335"/>
        <v>0</v>
      </c>
      <c r="AL1091" s="9">
        <v>0</v>
      </c>
    </row>
    <row r="1092" spans="1:38" x14ac:dyDescent="0.35">
      <c r="A1092" s="50">
        <v>0</v>
      </c>
      <c r="B1092" s="50" t="s">
        <v>137</v>
      </c>
      <c r="C1092" s="53">
        <v>43889</v>
      </c>
      <c r="D1092" s="53">
        <v>43915</v>
      </c>
      <c r="E1092" s="53">
        <v>43965</v>
      </c>
      <c r="F1092" s="21">
        <f t="shared" si="336"/>
        <v>50</v>
      </c>
      <c r="G1092" s="53">
        <v>43915</v>
      </c>
      <c r="H1092" s="9">
        <v>2020</v>
      </c>
      <c r="I1092" s="50">
        <v>0</v>
      </c>
      <c r="J1092" s="50">
        <v>9</v>
      </c>
      <c r="K1092" s="50">
        <v>34</v>
      </c>
      <c r="L1092" s="24" t="s">
        <v>1875</v>
      </c>
      <c r="M1092" s="24"/>
      <c r="V1092" t="s">
        <v>980</v>
      </c>
      <c r="W1092" t="s">
        <v>994</v>
      </c>
      <c r="X1092" t="s">
        <v>997</v>
      </c>
      <c r="Y1092" t="s">
        <v>1000</v>
      </c>
      <c r="Z1092">
        <v>0</v>
      </c>
      <c r="AA1092">
        <v>-1</v>
      </c>
      <c r="AB1092">
        <v>-1</v>
      </c>
      <c r="AC1092">
        <v>-1</v>
      </c>
      <c r="AD1092">
        <v>-1</v>
      </c>
      <c r="AE1092">
        <v>-1</v>
      </c>
      <c r="AF1092">
        <v>-1</v>
      </c>
      <c r="AG1092">
        <v>-1</v>
      </c>
      <c r="AH1092">
        <v>-1</v>
      </c>
      <c r="AI1092">
        <v>-1</v>
      </c>
      <c r="AJ1092" s="9">
        <f t="shared" si="324"/>
        <v>34</v>
      </c>
      <c r="AK1092">
        <f t="shared" si="335"/>
        <v>0</v>
      </c>
      <c r="AL1092" s="9">
        <v>0</v>
      </c>
    </row>
    <row r="1093" spans="1:38" x14ac:dyDescent="0.35">
      <c r="A1093" s="50">
        <v>0</v>
      </c>
      <c r="B1093" s="50" t="s">
        <v>137</v>
      </c>
      <c r="C1093" s="53">
        <v>43889</v>
      </c>
      <c r="D1093" s="53">
        <v>43915</v>
      </c>
      <c r="E1093" s="53">
        <v>43965</v>
      </c>
      <c r="F1093" s="21">
        <f t="shared" si="336"/>
        <v>50</v>
      </c>
      <c r="G1093" s="53">
        <v>43915</v>
      </c>
      <c r="H1093" s="9">
        <v>2020</v>
      </c>
      <c r="I1093" s="50">
        <v>0</v>
      </c>
      <c r="J1093" s="50">
        <v>6</v>
      </c>
      <c r="K1093" s="50">
        <v>28</v>
      </c>
      <c r="L1093" s="24" t="s">
        <v>1876</v>
      </c>
      <c r="M1093" s="24"/>
      <c r="V1093" t="s">
        <v>980</v>
      </c>
      <c r="W1093" t="s">
        <v>994</v>
      </c>
      <c r="X1093" t="s">
        <v>997</v>
      </c>
      <c r="Y1093" t="s">
        <v>1000</v>
      </c>
      <c r="Z1093">
        <v>0</v>
      </c>
      <c r="AA1093">
        <v>-1</v>
      </c>
      <c r="AB1093">
        <v>-1</v>
      </c>
      <c r="AC1093">
        <v>-1</v>
      </c>
      <c r="AD1093">
        <v>-1</v>
      </c>
      <c r="AE1093">
        <v>-1</v>
      </c>
      <c r="AF1093">
        <v>-1</v>
      </c>
      <c r="AG1093">
        <v>-1</v>
      </c>
      <c r="AH1093">
        <v>-1</v>
      </c>
      <c r="AI1093">
        <v>-1</v>
      </c>
      <c r="AJ1093" s="9">
        <f t="shared" si="324"/>
        <v>28</v>
      </c>
      <c r="AK1093">
        <f t="shared" si="335"/>
        <v>0</v>
      </c>
      <c r="AL1093" s="9">
        <v>0</v>
      </c>
    </row>
    <row r="1094" spans="1:38" x14ac:dyDescent="0.35">
      <c r="A1094" s="50">
        <v>0</v>
      </c>
      <c r="B1094" s="50" t="s">
        <v>137</v>
      </c>
      <c r="C1094" s="53">
        <v>43889</v>
      </c>
      <c r="D1094" s="53">
        <v>43915</v>
      </c>
      <c r="E1094" s="53">
        <v>43965</v>
      </c>
      <c r="F1094" s="21">
        <f t="shared" si="336"/>
        <v>50</v>
      </c>
      <c r="G1094" s="53">
        <v>43915</v>
      </c>
      <c r="H1094" s="9">
        <v>2020</v>
      </c>
      <c r="I1094" s="50">
        <v>0</v>
      </c>
      <c r="J1094" s="50">
        <v>4</v>
      </c>
      <c r="K1094" s="50" t="s">
        <v>201</v>
      </c>
      <c r="L1094" s="24" t="s">
        <v>1820</v>
      </c>
      <c r="M1094" s="24"/>
      <c r="V1094" t="s">
        <v>980</v>
      </c>
      <c r="W1094" t="s">
        <v>994</v>
      </c>
      <c r="X1094" t="s">
        <v>997</v>
      </c>
      <c r="Y1094" t="s">
        <v>1000</v>
      </c>
      <c r="Z1094">
        <v>0</v>
      </c>
      <c r="AA1094">
        <v>-1</v>
      </c>
      <c r="AB1094">
        <v>-1</v>
      </c>
      <c r="AC1094">
        <v>-1</v>
      </c>
      <c r="AD1094">
        <v>-1</v>
      </c>
      <c r="AE1094">
        <v>-1</v>
      </c>
      <c r="AF1094">
        <v>-1</v>
      </c>
      <c r="AG1094">
        <v>-1</v>
      </c>
      <c r="AH1094">
        <v>-1</v>
      </c>
      <c r="AI1094">
        <v>-1</v>
      </c>
      <c r="AJ1094" s="9" t="str">
        <f t="shared" si="324"/>
        <v>Other</v>
      </c>
      <c r="AK1094">
        <f t="shared" si="335"/>
        <v>0</v>
      </c>
      <c r="AL1094" s="9">
        <v>0</v>
      </c>
    </row>
    <row r="1095" spans="1:38" x14ac:dyDescent="0.35">
      <c r="A1095" s="50">
        <v>0</v>
      </c>
      <c r="B1095" s="50" t="s">
        <v>137</v>
      </c>
      <c r="C1095" s="53">
        <v>43889</v>
      </c>
      <c r="D1095" s="53">
        <v>43915</v>
      </c>
      <c r="E1095" s="53">
        <v>43965</v>
      </c>
      <c r="F1095" s="21">
        <f t="shared" si="336"/>
        <v>50</v>
      </c>
      <c r="G1095" s="53">
        <v>43915</v>
      </c>
      <c r="H1095" s="9">
        <v>2020</v>
      </c>
      <c r="I1095" s="50">
        <v>0</v>
      </c>
      <c r="J1095" s="50">
        <v>7</v>
      </c>
      <c r="K1095" s="50">
        <v>30</v>
      </c>
      <c r="L1095" s="24" t="s">
        <v>1510</v>
      </c>
      <c r="M1095" s="24"/>
      <c r="V1095" t="s">
        <v>980</v>
      </c>
      <c r="W1095" t="s">
        <v>994</v>
      </c>
      <c r="X1095" t="s">
        <v>997</v>
      </c>
      <c r="Y1095" t="s">
        <v>1000</v>
      </c>
      <c r="Z1095">
        <v>0</v>
      </c>
      <c r="AA1095">
        <v>-1</v>
      </c>
      <c r="AB1095">
        <v>-1</v>
      </c>
      <c r="AC1095">
        <v>-1</v>
      </c>
      <c r="AD1095">
        <v>-1</v>
      </c>
      <c r="AE1095">
        <v>-1</v>
      </c>
      <c r="AF1095">
        <v>-1</v>
      </c>
      <c r="AG1095">
        <v>-1</v>
      </c>
      <c r="AH1095">
        <v>-1</v>
      </c>
      <c r="AI1095">
        <v>-1</v>
      </c>
      <c r="AJ1095" s="9">
        <f t="shared" si="324"/>
        <v>30</v>
      </c>
      <c r="AK1095">
        <f t="shared" si="335"/>
        <v>0</v>
      </c>
      <c r="AL1095" s="9">
        <v>0</v>
      </c>
    </row>
    <row r="1096" spans="1:38" x14ac:dyDescent="0.35">
      <c r="A1096" s="50">
        <v>0</v>
      </c>
      <c r="B1096" s="50" t="s">
        <v>137</v>
      </c>
      <c r="C1096" s="53">
        <v>43889</v>
      </c>
      <c r="D1096" s="53">
        <v>43915</v>
      </c>
      <c r="E1096" s="53">
        <v>43965</v>
      </c>
      <c r="F1096" s="21">
        <f t="shared" si="336"/>
        <v>50</v>
      </c>
      <c r="G1096" s="53">
        <v>43915</v>
      </c>
      <c r="H1096" s="9">
        <v>2020</v>
      </c>
      <c r="I1096" s="50">
        <v>0</v>
      </c>
      <c r="J1096" s="50">
        <v>1</v>
      </c>
      <c r="K1096" s="50">
        <v>3</v>
      </c>
      <c r="L1096" s="24" t="s">
        <v>1511</v>
      </c>
      <c r="M1096" s="24"/>
      <c r="V1096" t="s">
        <v>980</v>
      </c>
      <c r="W1096" t="s">
        <v>994</v>
      </c>
      <c r="X1096" t="s">
        <v>997</v>
      </c>
      <c r="Y1096" t="s">
        <v>1000</v>
      </c>
      <c r="Z1096">
        <v>0</v>
      </c>
      <c r="AA1096">
        <v>-1</v>
      </c>
      <c r="AB1096">
        <v>-1</v>
      </c>
      <c r="AC1096">
        <v>-1</v>
      </c>
      <c r="AD1096">
        <v>-1</v>
      </c>
      <c r="AE1096">
        <v>-1</v>
      </c>
      <c r="AF1096">
        <v>-1</v>
      </c>
      <c r="AG1096">
        <v>-1</v>
      </c>
      <c r="AH1096">
        <v>-1</v>
      </c>
      <c r="AI1096">
        <v>-1</v>
      </c>
      <c r="AJ1096" s="9">
        <f t="shared" si="324"/>
        <v>3</v>
      </c>
      <c r="AK1096">
        <f t="shared" si="335"/>
        <v>0</v>
      </c>
      <c r="AL1096" s="9">
        <v>0</v>
      </c>
    </row>
    <row r="1097" spans="1:38" x14ac:dyDescent="0.35">
      <c r="A1097" s="50">
        <v>0</v>
      </c>
      <c r="B1097" s="50" t="s">
        <v>137</v>
      </c>
      <c r="C1097" s="53">
        <v>43889</v>
      </c>
      <c r="D1097" s="53">
        <v>43915</v>
      </c>
      <c r="E1097" s="53">
        <v>43965</v>
      </c>
      <c r="F1097" s="21">
        <f t="shared" si="336"/>
        <v>50</v>
      </c>
      <c r="G1097" s="53">
        <v>43915</v>
      </c>
      <c r="H1097" s="9">
        <v>2020</v>
      </c>
      <c r="I1097" s="50">
        <v>0</v>
      </c>
      <c r="J1097" s="50">
        <v>6</v>
      </c>
      <c r="K1097" s="50">
        <v>28</v>
      </c>
      <c r="L1097" s="24" t="s">
        <v>1512</v>
      </c>
      <c r="M1097" s="24"/>
      <c r="V1097" t="s">
        <v>980</v>
      </c>
      <c r="W1097" t="s">
        <v>994</v>
      </c>
      <c r="X1097" t="s">
        <v>997</v>
      </c>
      <c r="Y1097" t="s">
        <v>1000</v>
      </c>
      <c r="Z1097">
        <v>0</v>
      </c>
      <c r="AA1097">
        <v>-1</v>
      </c>
      <c r="AB1097">
        <v>-1</v>
      </c>
      <c r="AC1097">
        <v>-1</v>
      </c>
      <c r="AD1097">
        <v>-1</v>
      </c>
      <c r="AE1097">
        <v>-1</v>
      </c>
      <c r="AF1097">
        <v>-1</v>
      </c>
      <c r="AG1097">
        <v>-1</v>
      </c>
      <c r="AH1097">
        <v>-1</v>
      </c>
      <c r="AI1097">
        <v>-1</v>
      </c>
      <c r="AJ1097" s="9">
        <f t="shared" si="324"/>
        <v>28</v>
      </c>
      <c r="AK1097">
        <f t="shared" si="335"/>
        <v>0</v>
      </c>
      <c r="AL1097" s="9">
        <v>0</v>
      </c>
    </row>
    <row r="1098" spans="1:38" x14ac:dyDescent="0.35">
      <c r="A1098" s="50">
        <v>0</v>
      </c>
      <c r="B1098" s="50" t="s">
        <v>137</v>
      </c>
      <c r="C1098" s="53">
        <v>43889</v>
      </c>
      <c r="D1098" s="53">
        <v>43915</v>
      </c>
      <c r="E1098" s="53">
        <v>43965</v>
      </c>
      <c r="F1098" s="21">
        <f t="shared" si="336"/>
        <v>50</v>
      </c>
      <c r="G1098" s="53">
        <v>43915</v>
      </c>
      <c r="H1098" s="9">
        <v>2020</v>
      </c>
      <c r="I1098" s="50">
        <v>0</v>
      </c>
      <c r="J1098" s="50">
        <v>7</v>
      </c>
      <c r="K1098" s="50">
        <v>30</v>
      </c>
      <c r="L1098" s="24" t="s">
        <v>1513</v>
      </c>
      <c r="M1098" s="24"/>
      <c r="V1098" t="s">
        <v>980</v>
      </c>
      <c r="W1098" t="s">
        <v>994</v>
      </c>
      <c r="X1098" t="s">
        <v>997</v>
      </c>
      <c r="Y1098" t="s">
        <v>1000</v>
      </c>
      <c r="Z1098">
        <v>0</v>
      </c>
      <c r="AA1098">
        <v>-1</v>
      </c>
      <c r="AB1098">
        <v>-1</v>
      </c>
      <c r="AC1098">
        <v>-1</v>
      </c>
      <c r="AD1098">
        <v>-1</v>
      </c>
      <c r="AE1098">
        <v>-1</v>
      </c>
      <c r="AF1098">
        <v>-1</v>
      </c>
      <c r="AG1098">
        <v>-1</v>
      </c>
      <c r="AH1098">
        <v>-1</v>
      </c>
      <c r="AI1098">
        <v>-1</v>
      </c>
      <c r="AJ1098" s="9">
        <f t="shared" si="324"/>
        <v>30</v>
      </c>
      <c r="AK1098">
        <f t="shared" si="335"/>
        <v>0</v>
      </c>
      <c r="AL1098" s="9">
        <v>1</v>
      </c>
    </row>
    <row r="1099" spans="1:38" x14ac:dyDescent="0.35">
      <c r="A1099" s="50">
        <v>0</v>
      </c>
      <c r="B1099" s="50" t="s">
        <v>137</v>
      </c>
      <c r="C1099" s="53">
        <v>43889</v>
      </c>
      <c r="D1099" s="53">
        <v>43915</v>
      </c>
      <c r="E1099" s="53">
        <v>43965</v>
      </c>
      <c r="F1099" s="21">
        <f t="shared" si="336"/>
        <v>50</v>
      </c>
      <c r="G1099" s="53">
        <v>43915</v>
      </c>
      <c r="H1099" s="9">
        <v>2020</v>
      </c>
      <c r="I1099" s="50">
        <v>0</v>
      </c>
      <c r="J1099" s="50">
        <v>7</v>
      </c>
      <c r="K1099" s="50">
        <v>30</v>
      </c>
      <c r="L1099" s="24" t="s">
        <v>1514</v>
      </c>
      <c r="M1099" s="24"/>
      <c r="V1099" t="s">
        <v>980</v>
      </c>
      <c r="W1099" t="s">
        <v>994</v>
      </c>
      <c r="X1099" t="s">
        <v>997</v>
      </c>
      <c r="Y1099" t="s">
        <v>1000</v>
      </c>
      <c r="Z1099">
        <v>0</v>
      </c>
      <c r="AA1099">
        <v>-1</v>
      </c>
      <c r="AB1099">
        <v>-1</v>
      </c>
      <c r="AC1099">
        <v>-1</v>
      </c>
      <c r="AD1099">
        <v>-1</v>
      </c>
      <c r="AE1099">
        <v>-1</v>
      </c>
      <c r="AF1099">
        <v>-1</v>
      </c>
      <c r="AG1099">
        <v>-1</v>
      </c>
      <c r="AH1099">
        <v>-1</v>
      </c>
      <c r="AI1099">
        <v>-1</v>
      </c>
      <c r="AJ1099" s="9">
        <f t="shared" si="324"/>
        <v>30</v>
      </c>
      <c r="AK1099">
        <f t="shared" si="335"/>
        <v>0</v>
      </c>
      <c r="AL1099" s="9">
        <v>1</v>
      </c>
    </row>
    <row r="1100" spans="1:38" s="47" customFormat="1" x14ac:dyDescent="0.35">
      <c r="A1100" s="50">
        <v>1</v>
      </c>
      <c r="B1100" s="50" t="s">
        <v>137</v>
      </c>
      <c r="C1100" s="53">
        <v>43889</v>
      </c>
      <c r="D1100" s="53">
        <v>43915</v>
      </c>
      <c r="E1100" s="53">
        <v>43965</v>
      </c>
      <c r="F1100" s="21">
        <f t="shared" ref="F1100:F1105" si="337">DATEDIF(D1100,E1100,"D")</f>
        <v>50</v>
      </c>
      <c r="G1100" s="53">
        <v>43915</v>
      </c>
      <c r="H1100" s="9">
        <v>2021</v>
      </c>
      <c r="I1100" s="50">
        <v>0</v>
      </c>
      <c r="J1100" s="50">
        <v>9</v>
      </c>
      <c r="K1100" s="50">
        <v>34</v>
      </c>
      <c r="L1100" s="48" t="s">
        <v>2051</v>
      </c>
      <c r="M1100" s="48"/>
      <c r="V1100"/>
      <c r="AJ1100" s="47">
        <f t="shared" si="324"/>
        <v>34</v>
      </c>
    </row>
    <row r="1101" spans="1:38" s="47" customFormat="1" x14ac:dyDescent="0.35">
      <c r="A1101" s="50">
        <v>2</v>
      </c>
      <c r="B1101" s="50" t="s">
        <v>137</v>
      </c>
      <c r="C1101" s="53">
        <v>43889</v>
      </c>
      <c r="D1101" s="53">
        <v>43915</v>
      </c>
      <c r="E1101" s="53">
        <v>43965</v>
      </c>
      <c r="F1101" s="21">
        <f t="shared" si="337"/>
        <v>50</v>
      </c>
      <c r="G1101" s="53">
        <v>43915</v>
      </c>
      <c r="H1101" s="9">
        <v>2021</v>
      </c>
      <c r="I1101" s="50">
        <v>0</v>
      </c>
      <c r="J1101" s="50">
        <v>6</v>
      </c>
      <c r="K1101" s="50">
        <v>29</v>
      </c>
      <c r="L1101" s="48" t="s">
        <v>2049</v>
      </c>
      <c r="M1101" s="48"/>
      <c r="V1101"/>
      <c r="AJ1101" s="47">
        <f t="shared" si="324"/>
        <v>29</v>
      </c>
    </row>
    <row r="1102" spans="1:38" s="47" customFormat="1" x14ac:dyDescent="0.35">
      <c r="A1102" s="50">
        <v>3</v>
      </c>
      <c r="B1102" s="50" t="s">
        <v>137</v>
      </c>
      <c r="C1102" s="53">
        <v>43889</v>
      </c>
      <c r="D1102" s="53">
        <v>43915</v>
      </c>
      <c r="E1102" s="53">
        <v>43965</v>
      </c>
      <c r="F1102" s="21">
        <f t="shared" si="337"/>
        <v>50</v>
      </c>
      <c r="G1102" s="53">
        <v>43915</v>
      </c>
      <c r="H1102" s="9">
        <v>2021</v>
      </c>
      <c r="I1102" s="50">
        <v>0</v>
      </c>
      <c r="J1102" s="50">
        <v>6</v>
      </c>
      <c r="K1102" s="50">
        <v>29</v>
      </c>
      <c r="L1102" s="48" t="s">
        <v>2050</v>
      </c>
      <c r="M1102" s="48"/>
      <c r="V1102"/>
      <c r="AJ1102" s="47">
        <f t="shared" si="324"/>
        <v>29</v>
      </c>
    </row>
    <row r="1103" spans="1:38" s="47" customFormat="1" x14ac:dyDescent="0.35">
      <c r="A1103" s="50">
        <v>4</v>
      </c>
      <c r="B1103" s="50" t="s">
        <v>137</v>
      </c>
      <c r="C1103" s="53">
        <v>43889</v>
      </c>
      <c r="D1103" s="53">
        <v>43915</v>
      </c>
      <c r="E1103" s="53">
        <v>43965</v>
      </c>
      <c r="F1103" s="21">
        <f t="shared" si="337"/>
        <v>50</v>
      </c>
      <c r="G1103" s="53">
        <v>43915</v>
      </c>
      <c r="H1103" s="9">
        <v>2021</v>
      </c>
      <c r="I1103" s="50">
        <v>0</v>
      </c>
      <c r="J1103" s="50">
        <v>9</v>
      </c>
      <c r="K1103" s="50">
        <v>34</v>
      </c>
      <c r="L1103" s="48" t="s">
        <v>2052</v>
      </c>
      <c r="M1103" s="48"/>
      <c r="V1103"/>
      <c r="AJ1103" s="47">
        <f t="shared" si="324"/>
        <v>34</v>
      </c>
    </row>
    <row r="1104" spans="1:38" s="47" customFormat="1" x14ac:dyDescent="0.35">
      <c r="A1104" s="50">
        <v>5</v>
      </c>
      <c r="B1104" s="50" t="s">
        <v>137</v>
      </c>
      <c r="C1104" s="53">
        <v>43889</v>
      </c>
      <c r="D1104" s="53">
        <v>43915</v>
      </c>
      <c r="E1104" s="53">
        <v>43965</v>
      </c>
      <c r="F1104" s="21">
        <f t="shared" si="337"/>
        <v>50</v>
      </c>
      <c r="G1104" s="53">
        <v>43915</v>
      </c>
      <c r="H1104" s="9">
        <v>2021</v>
      </c>
      <c r="I1104" s="50">
        <v>0</v>
      </c>
      <c r="J1104" s="50">
        <v>7</v>
      </c>
      <c r="K1104" s="50">
        <v>31</v>
      </c>
      <c r="L1104" s="48" t="s">
        <v>2053</v>
      </c>
      <c r="M1104" s="48"/>
      <c r="V1104"/>
      <c r="AJ1104" s="47">
        <f t="shared" si="324"/>
        <v>31</v>
      </c>
    </row>
    <row r="1105" spans="1:38" s="47" customFormat="1" x14ac:dyDescent="0.35">
      <c r="A1105" s="50">
        <v>6</v>
      </c>
      <c r="B1105" s="50" t="s">
        <v>137</v>
      </c>
      <c r="C1105" s="53">
        <v>43889</v>
      </c>
      <c r="D1105" s="53">
        <v>43915</v>
      </c>
      <c r="E1105" s="53">
        <v>43965</v>
      </c>
      <c r="F1105" s="21">
        <f t="shared" si="337"/>
        <v>50</v>
      </c>
      <c r="G1105" s="53">
        <v>43915</v>
      </c>
      <c r="H1105" s="9">
        <v>2021</v>
      </c>
      <c r="I1105" s="50">
        <v>0</v>
      </c>
      <c r="J1105" s="50">
        <v>7</v>
      </c>
      <c r="K1105" s="50">
        <v>30</v>
      </c>
      <c r="L1105" s="48" t="s">
        <v>2054</v>
      </c>
      <c r="M1105" s="48"/>
      <c r="V1105"/>
      <c r="AJ1105" s="47">
        <f t="shared" si="324"/>
        <v>30</v>
      </c>
    </row>
    <row r="1106" spans="1:38" x14ac:dyDescent="0.35">
      <c r="A1106" s="50">
        <v>0</v>
      </c>
      <c r="B1106" s="9" t="s">
        <v>134</v>
      </c>
      <c r="C1106" s="53">
        <v>43887</v>
      </c>
      <c r="D1106" s="53">
        <v>43902</v>
      </c>
      <c r="E1106" s="53">
        <v>43966</v>
      </c>
      <c r="F1106" s="21">
        <f t="shared" si="336"/>
        <v>64</v>
      </c>
      <c r="G1106" s="53">
        <v>43902</v>
      </c>
      <c r="H1106" s="9">
        <v>2020</v>
      </c>
      <c r="I1106" s="50">
        <v>0</v>
      </c>
      <c r="J1106" s="9">
        <v>1</v>
      </c>
      <c r="K1106" s="9" t="s">
        <v>206</v>
      </c>
      <c r="L1106" s="50" t="s">
        <v>2231</v>
      </c>
      <c r="M1106">
        <v>2</v>
      </c>
      <c r="N1106">
        <v>2</v>
      </c>
      <c r="O1106">
        <v>-2</v>
      </c>
      <c r="P1106">
        <v>-1</v>
      </c>
      <c r="Q1106">
        <v>-2</v>
      </c>
      <c r="R1106">
        <v>2</v>
      </c>
      <c r="S1106">
        <v>2</v>
      </c>
      <c r="T1106">
        <v>-2</v>
      </c>
      <c r="U1106">
        <v>1</v>
      </c>
      <c r="V1106" t="s">
        <v>979</v>
      </c>
      <c r="W1106" t="s">
        <v>989</v>
      </c>
      <c r="X1106" t="s">
        <v>997</v>
      </c>
      <c r="Y1106" t="s">
        <v>1000</v>
      </c>
      <c r="Z1106">
        <v>0</v>
      </c>
      <c r="AA1106">
        <f t="shared" ref="AA1106:AA1126" si="338">IF(M1106&gt;0,1,IF(M1106&lt;0,0,-1))</f>
        <v>1</v>
      </c>
      <c r="AB1106">
        <f t="shared" ref="AB1106:AB1126" si="339">IF(N1106&gt;0,1,IF(N1106&lt;0,0,-1))</f>
        <v>1</v>
      </c>
      <c r="AC1106">
        <f t="shared" ref="AC1106:AC1126" si="340">IF(O1106&gt;0,1,IF(O1106&lt;0,0,-1))</f>
        <v>0</v>
      </c>
      <c r="AD1106">
        <f t="shared" ref="AD1106:AD1126" si="341">IF(P1106&gt;0,1,IF(P1106&lt;0,0,-1))</f>
        <v>0</v>
      </c>
      <c r="AE1106">
        <f t="shared" ref="AE1106:AE1126" si="342">IF(Q1106&gt;0,1,IF(Q1106&lt;0,0,-1))</f>
        <v>0</v>
      </c>
      <c r="AF1106">
        <f t="shared" ref="AF1106:AF1126" si="343">IF(R1106&gt;0,1,IF(R1106&lt;0,0,-1))</f>
        <v>1</v>
      </c>
      <c r="AG1106">
        <f t="shared" ref="AG1106:AG1126" si="344">IF(S1106&gt;0,1,IF(S1106&lt;0,0,-1))</f>
        <v>1</v>
      </c>
      <c r="AH1106">
        <f t="shared" ref="AH1106:AH1126" si="345">IF(T1106&gt;0,1,IF(T1106&lt;0,0,-1))</f>
        <v>0</v>
      </c>
      <c r="AI1106">
        <f t="shared" ref="AI1106:AI1126" si="346">IF(U1106&gt;0,1,IF(U1106&lt;0,0,-1))</f>
        <v>1</v>
      </c>
      <c r="AJ1106" s="9" t="str">
        <f t="shared" ref="AJ1106:AJ1120" si="347">IF(ISNUMBER(K1106),K1106,IF(OR(K1106="general",K1106="23;general"),"General",IF(OR(K1106="exemption",K1106="other (exemption)"),"Tax exemption/waiver/suspension","Other")))</f>
        <v>Tax exemption/waiver/suspension</v>
      </c>
      <c r="AK1106" t="e">
        <f>IF(B1106&lt;&gt;#REF!,1,0)</f>
        <v>#REF!</v>
      </c>
      <c r="AL1106" s="9">
        <v>1</v>
      </c>
    </row>
    <row r="1107" spans="1:38" x14ac:dyDescent="0.35">
      <c r="A1107" s="50">
        <v>0</v>
      </c>
      <c r="B1107" s="9" t="s">
        <v>134</v>
      </c>
      <c r="C1107" s="53">
        <v>43887</v>
      </c>
      <c r="D1107" s="53">
        <v>43902</v>
      </c>
      <c r="E1107" s="53">
        <v>43966</v>
      </c>
      <c r="F1107" s="21">
        <f t="shared" si="336"/>
        <v>64</v>
      </c>
      <c r="G1107" s="53">
        <v>43902</v>
      </c>
      <c r="H1107" s="9">
        <v>2020</v>
      </c>
      <c r="I1107" s="50">
        <v>0</v>
      </c>
      <c r="J1107" s="9">
        <v>1</v>
      </c>
      <c r="K1107" s="9">
        <v>6</v>
      </c>
      <c r="L1107" s="50" t="s">
        <v>753</v>
      </c>
      <c r="M1107">
        <v>-2</v>
      </c>
      <c r="N1107">
        <v>2</v>
      </c>
      <c r="O1107">
        <v>2</v>
      </c>
      <c r="P1107">
        <v>2</v>
      </c>
      <c r="Q1107">
        <v>2</v>
      </c>
      <c r="R1107">
        <v>2</v>
      </c>
      <c r="S1107">
        <v>1</v>
      </c>
      <c r="T1107">
        <v>2</v>
      </c>
      <c r="U1107">
        <v>1</v>
      </c>
      <c r="V1107" t="s">
        <v>979</v>
      </c>
      <c r="W1107" t="s">
        <v>989</v>
      </c>
      <c r="X1107" t="s">
        <v>997</v>
      </c>
      <c r="Y1107" t="s">
        <v>1000</v>
      </c>
      <c r="Z1107">
        <v>0</v>
      </c>
      <c r="AA1107">
        <f t="shared" si="338"/>
        <v>0</v>
      </c>
      <c r="AB1107">
        <f t="shared" si="339"/>
        <v>1</v>
      </c>
      <c r="AC1107">
        <f t="shared" si="340"/>
        <v>1</v>
      </c>
      <c r="AD1107">
        <f t="shared" si="341"/>
        <v>1</v>
      </c>
      <c r="AE1107">
        <f t="shared" si="342"/>
        <v>1</v>
      </c>
      <c r="AF1107">
        <f t="shared" si="343"/>
        <v>1</v>
      </c>
      <c r="AG1107">
        <f t="shared" si="344"/>
        <v>1</v>
      </c>
      <c r="AH1107">
        <f t="shared" si="345"/>
        <v>1</v>
      </c>
      <c r="AI1107">
        <f t="shared" si="346"/>
        <v>1</v>
      </c>
      <c r="AJ1107" s="9">
        <f t="shared" si="347"/>
        <v>6</v>
      </c>
      <c r="AK1107">
        <f t="shared" ref="AK1107:AK1141" si="348">IF(B1107&lt;&gt;B1106,1,0)</f>
        <v>0</v>
      </c>
      <c r="AL1107" s="9">
        <v>1</v>
      </c>
    </row>
    <row r="1108" spans="1:38" x14ac:dyDescent="0.35">
      <c r="A1108" s="50">
        <v>0</v>
      </c>
      <c r="B1108" s="9" t="s">
        <v>134</v>
      </c>
      <c r="C1108" s="53">
        <v>43887</v>
      </c>
      <c r="D1108" s="53">
        <v>43902</v>
      </c>
      <c r="E1108" s="53">
        <v>43966</v>
      </c>
      <c r="F1108" s="21">
        <f t="shared" si="336"/>
        <v>64</v>
      </c>
      <c r="G1108" s="53">
        <v>43902</v>
      </c>
      <c r="H1108" s="9">
        <v>2020</v>
      </c>
      <c r="I1108" s="50">
        <v>0</v>
      </c>
      <c r="J1108" s="9">
        <v>9</v>
      </c>
      <c r="K1108" s="9">
        <v>34</v>
      </c>
      <c r="L1108" s="50" t="s">
        <v>742</v>
      </c>
      <c r="M1108">
        <v>1</v>
      </c>
      <c r="N1108">
        <v>1</v>
      </c>
      <c r="O1108">
        <v>2</v>
      </c>
      <c r="P1108">
        <v>-1</v>
      </c>
      <c r="Q1108">
        <v>-2</v>
      </c>
      <c r="R1108">
        <v>2</v>
      </c>
      <c r="S1108">
        <v>1</v>
      </c>
      <c r="T1108">
        <v>-2</v>
      </c>
      <c r="U1108">
        <v>1</v>
      </c>
      <c r="V1108" t="s">
        <v>979</v>
      </c>
      <c r="W1108" t="s">
        <v>989</v>
      </c>
      <c r="X1108" t="s">
        <v>997</v>
      </c>
      <c r="Y1108" t="s">
        <v>1000</v>
      </c>
      <c r="Z1108">
        <v>0</v>
      </c>
      <c r="AA1108">
        <f t="shared" si="338"/>
        <v>1</v>
      </c>
      <c r="AB1108">
        <f t="shared" si="339"/>
        <v>1</v>
      </c>
      <c r="AC1108">
        <f t="shared" si="340"/>
        <v>1</v>
      </c>
      <c r="AD1108">
        <f t="shared" si="341"/>
        <v>0</v>
      </c>
      <c r="AE1108">
        <f t="shared" si="342"/>
        <v>0</v>
      </c>
      <c r="AF1108">
        <f t="shared" si="343"/>
        <v>1</v>
      </c>
      <c r="AG1108">
        <f t="shared" si="344"/>
        <v>1</v>
      </c>
      <c r="AH1108">
        <f t="shared" si="345"/>
        <v>0</v>
      </c>
      <c r="AI1108">
        <f t="shared" si="346"/>
        <v>1</v>
      </c>
      <c r="AJ1108" s="9">
        <f t="shared" si="347"/>
        <v>34</v>
      </c>
      <c r="AK1108">
        <f t="shared" si="348"/>
        <v>0</v>
      </c>
      <c r="AL1108" s="9">
        <v>1</v>
      </c>
    </row>
    <row r="1109" spans="1:38" x14ac:dyDescent="0.35">
      <c r="A1109" s="50">
        <v>0</v>
      </c>
      <c r="B1109" s="9" t="s">
        <v>134</v>
      </c>
      <c r="C1109" s="53">
        <v>43887</v>
      </c>
      <c r="D1109" s="53">
        <v>43902</v>
      </c>
      <c r="E1109" s="53">
        <v>43966</v>
      </c>
      <c r="F1109" s="21">
        <f t="shared" si="336"/>
        <v>64</v>
      </c>
      <c r="G1109" s="53">
        <v>43902</v>
      </c>
      <c r="H1109" s="9">
        <v>2020</v>
      </c>
      <c r="I1109" s="50">
        <v>0</v>
      </c>
      <c r="J1109" s="9">
        <v>4</v>
      </c>
      <c r="K1109" s="9">
        <v>20</v>
      </c>
      <c r="L1109" s="50" t="s">
        <v>741</v>
      </c>
      <c r="M1109">
        <v>2</v>
      </c>
      <c r="N1109">
        <v>2</v>
      </c>
      <c r="O1109">
        <v>-2</v>
      </c>
      <c r="P1109">
        <v>-1</v>
      </c>
      <c r="Q1109">
        <v>-2</v>
      </c>
      <c r="R1109">
        <v>-2</v>
      </c>
      <c r="S1109">
        <v>2</v>
      </c>
      <c r="T1109">
        <v>2</v>
      </c>
      <c r="U1109">
        <v>1</v>
      </c>
      <c r="V1109" t="s">
        <v>979</v>
      </c>
      <c r="W1109" t="s">
        <v>989</v>
      </c>
      <c r="X1109" t="s">
        <v>997</v>
      </c>
      <c r="Y1109" t="s">
        <v>1000</v>
      </c>
      <c r="Z1109">
        <v>0</v>
      </c>
      <c r="AA1109">
        <f t="shared" si="338"/>
        <v>1</v>
      </c>
      <c r="AB1109">
        <f t="shared" si="339"/>
        <v>1</v>
      </c>
      <c r="AC1109">
        <f t="shared" si="340"/>
        <v>0</v>
      </c>
      <c r="AD1109">
        <f t="shared" si="341"/>
        <v>0</v>
      </c>
      <c r="AE1109">
        <f t="shared" si="342"/>
        <v>0</v>
      </c>
      <c r="AF1109">
        <f t="shared" si="343"/>
        <v>0</v>
      </c>
      <c r="AG1109">
        <f t="shared" si="344"/>
        <v>1</v>
      </c>
      <c r="AH1109">
        <f t="shared" si="345"/>
        <v>1</v>
      </c>
      <c r="AI1109">
        <f t="shared" si="346"/>
        <v>1</v>
      </c>
      <c r="AJ1109" s="9">
        <f t="shared" si="347"/>
        <v>20</v>
      </c>
      <c r="AK1109">
        <f t="shared" si="348"/>
        <v>0</v>
      </c>
      <c r="AL1109" s="9">
        <v>1</v>
      </c>
    </row>
    <row r="1110" spans="1:38" x14ac:dyDescent="0.35">
      <c r="A1110" s="50">
        <v>0</v>
      </c>
      <c r="B1110" s="9" t="s">
        <v>134</v>
      </c>
      <c r="C1110" s="53">
        <v>43887</v>
      </c>
      <c r="D1110" s="53">
        <v>43902</v>
      </c>
      <c r="E1110" s="53">
        <v>43966</v>
      </c>
      <c r="F1110" s="21">
        <f t="shared" si="336"/>
        <v>64</v>
      </c>
      <c r="G1110" s="53">
        <v>43902</v>
      </c>
      <c r="H1110" s="9">
        <v>2020</v>
      </c>
      <c r="I1110" s="50">
        <v>0</v>
      </c>
      <c r="J1110" s="9">
        <v>1</v>
      </c>
      <c r="K1110" s="9">
        <v>7</v>
      </c>
      <c r="L1110" s="50" t="s">
        <v>755</v>
      </c>
      <c r="M1110">
        <v>-2</v>
      </c>
      <c r="N1110">
        <v>2</v>
      </c>
      <c r="O1110">
        <v>-2</v>
      </c>
      <c r="P1110">
        <v>-1</v>
      </c>
      <c r="Q1110">
        <v>-2</v>
      </c>
      <c r="R1110">
        <v>2</v>
      </c>
      <c r="S1110">
        <v>2</v>
      </c>
      <c r="T1110">
        <v>2</v>
      </c>
      <c r="U1110">
        <v>1</v>
      </c>
      <c r="V1110" t="s">
        <v>979</v>
      </c>
      <c r="W1110" t="s">
        <v>989</v>
      </c>
      <c r="X1110" t="s">
        <v>997</v>
      </c>
      <c r="Y1110" t="s">
        <v>1000</v>
      </c>
      <c r="Z1110">
        <v>0</v>
      </c>
      <c r="AA1110">
        <f t="shared" si="338"/>
        <v>0</v>
      </c>
      <c r="AB1110">
        <f t="shared" si="339"/>
        <v>1</v>
      </c>
      <c r="AC1110">
        <f t="shared" si="340"/>
        <v>0</v>
      </c>
      <c r="AD1110">
        <f t="shared" si="341"/>
        <v>0</v>
      </c>
      <c r="AE1110">
        <f t="shared" si="342"/>
        <v>0</v>
      </c>
      <c r="AF1110">
        <f t="shared" si="343"/>
        <v>1</v>
      </c>
      <c r="AG1110">
        <f t="shared" si="344"/>
        <v>1</v>
      </c>
      <c r="AH1110">
        <f t="shared" si="345"/>
        <v>1</v>
      </c>
      <c r="AI1110">
        <f t="shared" si="346"/>
        <v>1</v>
      </c>
      <c r="AJ1110" s="9">
        <f t="shared" si="347"/>
        <v>7</v>
      </c>
      <c r="AK1110">
        <f t="shared" si="348"/>
        <v>0</v>
      </c>
      <c r="AL1110" s="9">
        <v>1</v>
      </c>
    </row>
    <row r="1111" spans="1:38" x14ac:dyDescent="0.35">
      <c r="A1111" s="50">
        <v>0</v>
      </c>
      <c r="B1111" s="9" t="s">
        <v>134</v>
      </c>
      <c r="C1111" s="53">
        <v>43887</v>
      </c>
      <c r="D1111" s="53">
        <v>43902</v>
      </c>
      <c r="E1111" s="53">
        <v>43966</v>
      </c>
      <c r="F1111" s="21">
        <f t="shared" si="336"/>
        <v>64</v>
      </c>
      <c r="G1111" s="53">
        <v>43902</v>
      </c>
      <c r="H1111" s="9">
        <v>2020</v>
      </c>
      <c r="I1111" s="50">
        <v>0</v>
      </c>
      <c r="J1111" s="9">
        <v>6</v>
      </c>
      <c r="K1111" s="9">
        <v>29</v>
      </c>
      <c r="L1111" s="50" t="s">
        <v>739</v>
      </c>
      <c r="M1111">
        <v>1</v>
      </c>
      <c r="N1111">
        <v>1</v>
      </c>
      <c r="O1111">
        <v>2</v>
      </c>
      <c r="P1111">
        <v>-1</v>
      </c>
      <c r="S1111">
        <v>1</v>
      </c>
      <c r="U1111">
        <v>1</v>
      </c>
      <c r="V1111" t="s">
        <v>979</v>
      </c>
      <c r="W1111" t="s">
        <v>989</v>
      </c>
      <c r="X1111" t="s">
        <v>997</v>
      </c>
      <c r="Y1111" t="s">
        <v>1000</v>
      </c>
      <c r="Z1111">
        <v>0</v>
      </c>
      <c r="AA1111">
        <f t="shared" si="338"/>
        <v>1</v>
      </c>
      <c r="AB1111">
        <f t="shared" si="339"/>
        <v>1</v>
      </c>
      <c r="AC1111">
        <f t="shared" si="340"/>
        <v>1</v>
      </c>
      <c r="AD1111">
        <f t="shared" si="341"/>
        <v>0</v>
      </c>
      <c r="AE1111">
        <f t="shared" si="342"/>
        <v>-1</v>
      </c>
      <c r="AF1111">
        <f t="shared" si="343"/>
        <v>-1</v>
      </c>
      <c r="AG1111">
        <f t="shared" si="344"/>
        <v>1</v>
      </c>
      <c r="AH1111">
        <f t="shared" si="345"/>
        <v>-1</v>
      </c>
      <c r="AI1111">
        <f t="shared" si="346"/>
        <v>1</v>
      </c>
      <c r="AJ1111" s="9">
        <f t="shared" si="347"/>
        <v>29</v>
      </c>
      <c r="AK1111">
        <f t="shared" si="348"/>
        <v>0</v>
      </c>
      <c r="AL1111" s="9">
        <v>1</v>
      </c>
    </row>
    <row r="1112" spans="1:38" x14ac:dyDescent="0.35">
      <c r="A1112" s="50">
        <v>0</v>
      </c>
      <c r="B1112" s="9" t="s">
        <v>134</v>
      </c>
      <c r="C1112" s="53">
        <v>43887</v>
      </c>
      <c r="D1112" s="53">
        <v>43902</v>
      </c>
      <c r="E1112" s="53">
        <v>43966</v>
      </c>
      <c r="F1112" s="21">
        <f t="shared" si="336"/>
        <v>64</v>
      </c>
      <c r="G1112" s="53">
        <v>43902</v>
      </c>
      <c r="H1112" s="9">
        <v>2020</v>
      </c>
      <c r="I1112" s="50">
        <v>0</v>
      </c>
      <c r="J1112" s="9">
        <v>9</v>
      </c>
      <c r="K1112" s="9">
        <v>34</v>
      </c>
      <c r="L1112" s="50" t="s">
        <v>744</v>
      </c>
      <c r="M1112">
        <v>1</v>
      </c>
      <c r="N1112">
        <v>1</v>
      </c>
      <c r="O1112">
        <v>2</v>
      </c>
      <c r="P1112">
        <v>-1</v>
      </c>
      <c r="Q1112">
        <v>2</v>
      </c>
      <c r="R1112">
        <v>2</v>
      </c>
      <c r="S1112">
        <v>1</v>
      </c>
      <c r="T1112">
        <v>-2</v>
      </c>
      <c r="U1112">
        <v>1</v>
      </c>
      <c r="V1112" t="s">
        <v>979</v>
      </c>
      <c r="W1112" t="s">
        <v>989</v>
      </c>
      <c r="X1112" t="s">
        <v>997</v>
      </c>
      <c r="Y1112" t="s">
        <v>1000</v>
      </c>
      <c r="Z1112">
        <v>0</v>
      </c>
      <c r="AA1112">
        <f t="shared" si="338"/>
        <v>1</v>
      </c>
      <c r="AB1112">
        <f t="shared" si="339"/>
        <v>1</v>
      </c>
      <c r="AC1112">
        <f t="shared" si="340"/>
        <v>1</v>
      </c>
      <c r="AD1112">
        <f t="shared" si="341"/>
        <v>0</v>
      </c>
      <c r="AE1112">
        <f t="shared" si="342"/>
        <v>1</v>
      </c>
      <c r="AF1112">
        <f t="shared" si="343"/>
        <v>1</v>
      </c>
      <c r="AG1112">
        <f t="shared" si="344"/>
        <v>1</v>
      </c>
      <c r="AH1112">
        <f t="shared" si="345"/>
        <v>0</v>
      </c>
      <c r="AI1112">
        <f t="shared" si="346"/>
        <v>1</v>
      </c>
      <c r="AJ1112" s="9">
        <f t="shared" si="347"/>
        <v>34</v>
      </c>
      <c r="AK1112">
        <f t="shared" si="348"/>
        <v>0</v>
      </c>
      <c r="AL1112" s="9">
        <v>1</v>
      </c>
    </row>
    <row r="1113" spans="1:38" x14ac:dyDescent="0.35">
      <c r="A1113" s="50">
        <v>0</v>
      </c>
      <c r="B1113" s="9" t="s">
        <v>134</v>
      </c>
      <c r="C1113" s="53">
        <v>43887</v>
      </c>
      <c r="D1113" s="53">
        <v>43902</v>
      </c>
      <c r="E1113" s="53">
        <v>43966</v>
      </c>
      <c r="F1113" s="21">
        <f t="shared" si="336"/>
        <v>64</v>
      </c>
      <c r="G1113" s="53">
        <v>43902</v>
      </c>
      <c r="H1113" s="9">
        <v>2020</v>
      </c>
      <c r="I1113" s="50">
        <v>0</v>
      </c>
      <c r="J1113" s="9">
        <v>7</v>
      </c>
      <c r="K1113" s="9">
        <v>30</v>
      </c>
      <c r="L1113" s="50" t="s">
        <v>758</v>
      </c>
      <c r="M1113">
        <v>1</v>
      </c>
      <c r="N1113">
        <v>1</v>
      </c>
      <c r="O1113">
        <v>2</v>
      </c>
      <c r="P1113">
        <v>1</v>
      </c>
      <c r="Q1113">
        <v>2</v>
      </c>
      <c r="R1113">
        <v>2</v>
      </c>
      <c r="S1113">
        <v>1</v>
      </c>
      <c r="T1113">
        <v>-2</v>
      </c>
      <c r="U1113">
        <v>1</v>
      </c>
      <c r="V1113" t="s">
        <v>979</v>
      </c>
      <c r="W1113" t="s">
        <v>989</v>
      </c>
      <c r="X1113" t="s">
        <v>997</v>
      </c>
      <c r="Y1113" t="s">
        <v>1000</v>
      </c>
      <c r="Z1113">
        <v>0</v>
      </c>
      <c r="AA1113">
        <f t="shared" si="338"/>
        <v>1</v>
      </c>
      <c r="AB1113">
        <f t="shared" si="339"/>
        <v>1</v>
      </c>
      <c r="AC1113">
        <f t="shared" si="340"/>
        <v>1</v>
      </c>
      <c r="AD1113">
        <f t="shared" si="341"/>
        <v>1</v>
      </c>
      <c r="AE1113">
        <f t="shared" si="342"/>
        <v>1</v>
      </c>
      <c r="AF1113">
        <f t="shared" si="343"/>
        <v>1</v>
      </c>
      <c r="AG1113">
        <f t="shared" si="344"/>
        <v>1</v>
      </c>
      <c r="AH1113">
        <f t="shared" si="345"/>
        <v>0</v>
      </c>
      <c r="AI1113">
        <f t="shared" si="346"/>
        <v>1</v>
      </c>
      <c r="AJ1113" s="9">
        <f t="shared" si="347"/>
        <v>30</v>
      </c>
      <c r="AK1113">
        <f t="shared" si="348"/>
        <v>0</v>
      </c>
      <c r="AL1113" s="9">
        <v>1</v>
      </c>
    </row>
    <row r="1114" spans="1:38" x14ac:dyDescent="0.35">
      <c r="A1114" s="50">
        <v>0</v>
      </c>
      <c r="B1114" s="9" t="s">
        <v>134</v>
      </c>
      <c r="C1114" s="53">
        <v>43887</v>
      </c>
      <c r="D1114" s="53">
        <v>43902</v>
      </c>
      <c r="E1114" s="53">
        <v>43966</v>
      </c>
      <c r="F1114" s="21">
        <f t="shared" si="336"/>
        <v>64</v>
      </c>
      <c r="G1114" s="53">
        <v>43902</v>
      </c>
      <c r="H1114" s="9">
        <v>2020</v>
      </c>
      <c r="I1114" s="50">
        <v>0</v>
      </c>
      <c r="J1114" s="9">
        <v>1</v>
      </c>
      <c r="K1114" s="9">
        <v>3</v>
      </c>
      <c r="L1114" s="50" t="s">
        <v>752</v>
      </c>
      <c r="N1114">
        <v>2</v>
      </c>
      <c r="O1114">
        <v>-2</v>
      </c>
      <c r="P1114">
        <v>-1</v>
      </c>
      <c r="R1114">
        <v>2</v>
      </c>
      <c r="S1114">
        <v>2</v>
      </c>
      <c r="T1114">
        <v>-2</v>
      </c>
      <c r="U1114">
        <v>1</v>
      </c>
      <c r="V1114" t="s">
        <v>979</v>
      </c>
      <c r="W1114" t="s">
        <v>989</v>
      </c>
      <c r="X1114" t="s">
        <v>997</v>
      </c>
      <c r="Y1114" t="s">
        <v>1000</v>
      </c>
      <c r="Z1114">
        <v>0</v>
      </c>
      <c r="AA1114">
        <f t="shared" si="338"/>
        <v>-1</v>
      </c>
      <c r="AB1114">
        <f t="shared" si="339"/>
        <v>1</v>
      </c>
      <c r="AC1114">
        <f t="shared" si="340"/>
        <v>0</v>
      </c>
      <c r="AD1114">
        <f t="shared" si="341"/>
        <v>0</v>
      </c>
      <c r="AE1114">
        <f t="shared" si="342"/>
        <v>-1</v>
      </c>
      <c r="AF1114">
        <f t="shared" si="343"/>
        <v>1</v>
      </c>
      <c r="AG1114">
        <f t="shared" si="344"/>
        <v>1</v>
      </c>
      <c r="AH1114">
        <f t="shared" si="345"/>
        <v>0</v>
      </c>
      <c r="AI1114">
        <f t="shared" si="346"/>
        <v>1</v>
      </c>
      <c r="AJ1114" s="9">
        <f t="shared" si="347"/>
        <v>3</v>
      </c>
      <c r="AK1114" t="e">
        <f>IF(B1114&lt;&gt;#REF!,1,0)</f>
        <v>#REF!</v>
      </c>
      <c r="AL1114" s="9">
        <v>1</v>
      </c>
    </row>
    <row r="1115" spans="1:38" x14ac:dyDescent="0.35">
      <c r="A1115" s="50">
        <v>0</v>
      </c>
      <c r="B1115" s="9" t="s">
        <v>134</v>
      </c>
      <c r="C1115" s="53">
        <v>43887</v>
      </c>
      <c r="D1115" s="53">
        <v>43902</v>
      </c>
      <c r="E1115" s="53">
        <v>43966</v>
      </c>
      <c r="F1115" s="21">
        <f t="shared" si="336"/>
        <v>64</v>
      </c>
      <c r="G1115" s="53">
        <v>43902</v>
      </c>
      <c r="H1115" s="9">
        <v>2020</v>
      </c>
      <c r="I1115" s="50">
        <v>0</v>
      </c>
      <c r="J1115" s="9">
        <v>6</v>
      </c>
      <c r="K1115" s="9">
        <v>26</v>
      </c>
      <c r="L1115" s="50" t="s">
        <v>745</v>
      </c>
      <c r="M1115">
        <v>1</v>
      </c>
      <c r="N1115">
        <v>1</v>
      </c>
      <c r="O1115">
        <v>2</v>
      </c>
      <c r="P1115">
        <v>-1</v>
      </c>
      <c r="Q1115">
        <v>-2</v>
      </c>
      <c r="R1115">
        <v>2</v>
      </c>
      <c r="S1115">
        <v>1</v>
      </c>
      <c r="T1115">
        <v>2</v>
      </c>
      <c r="U1115">
        <v>1</v>
      </c>
      <c r="V1115" t="s">
        <v>979</v>
      </c>
      <c r="W1115" t="s">
        <v>989</v>
      </c>
      <c r="X1115" t="s">
        <v>997</v>
      </c>
      <c r="Y1115" t="s">
        <v>1000</v>
      </c>
      <c r="Z1115">
        <v>0</v>
      </c>
      <c r="AA1115">
        <f t="shared" si="338"/>
        <v>1</v>
      </c>
      <c r="AB1115">
        <f t="shared" si="339"/>
        <v>1</v>
      </c>
      <c r="AC1115">
        <f t="shared" si="340"/>
        <v>1</v>
      </c>
      <c r="AD1115">
        <f t="shared" si="341"/>
        <v>0</v>
      </c>
      <c r="AE1115">
        <f t="shared" si="342"/>
        <v>0</v>
      </c>
      <c r="AF1115">
        <f t="shared" si="343"/>
        <v>1</v>
      </c>
      <c r="AG1115">
        <f t="shared" si="344"/>
        <v>1</v>
      </c>
      <c r="AH1115">
        <f t="shared" si="345"/>
        <v>1</v>
      </c>
      <c r="AI1115">
        <f t="shared" si="346"/>
        <v>1</v>
      </c>
      <c r="AJ1115" s="9">
        <f t="shared" si="347"/>
        <v>26</v>
      </c>
      <c r="AK1115">
        <f t="shared" si="348"/>
        <v>0</v>
      </c>
      <c r="AL1115" s="9">
        <v>1</v>
      </c>
    </row>
    <row r="1116" spans="1:38" x14ac:dyDescent="0.35">
      <c r="A1116" s="50">
        <v>0</v>
      </c>
      <c r="B1116" s="9" t="s">
        <v>134</v>
      </c>
      <c r="C1116" s="53">
        <v>43887</v>
      </c>
      <c r="D1116" s="53">
        <v>43902</v>
      </c>
      <c r="E1116" s="53">
        <v>43966</v>
      </c>
      <c r="F1116" s="21">
        <f t="shared" si="336"/>
        <v>64</v>
      </c>
      <c r="G1116" s="53">
        <v>43902</v>
      </c>
      <c r="H1116" s="9">
        <v>2020</v>
      </c>
      <c r="I1116" s="50">
        <v>0</v>
      </c>
      <c r="J1116" s="9">
        <v>6</v>
      </c>
      <c r="K1116" s="9">
        <v>26</v>
      </c>
      <c r="L1116" s="50" t="s">
        <v>749</v>
      </c>
      <c r="M1116">
        <v>1</v>
      </c>
      <c r="N1116">
        <v>1</v>
      </c>
      <c r="O1116">
        <v>2</v>
      </c>
      <c r="P1116">
        <v>-1</v>
      </c>
      <c r="Q1116">
        <v>-2</v>
      </c>
      <c r="R1116">
        <v>2</v>
      </c>
      <c r="S1116">
        <v>-1</v>
      </c>
      <c r="T1116">
        <v>2</v>
      </c>
      <c r="U1116">
        <v>1</v>
      </c>
      <c r="V1116" t="s">
        <v>979</v>
      </c>
      <c r="W1116" t="s">
        <v>989</v>
      </c>
      <c r="X1116" t="s">
        <v>997</v>
      </c>
      <c r="Y1116" t="s">
        <v>1000</v>
      </c>
      <c r="Z1116">
        <v>0</v>
      </c>
      <c r="AA1116">
        <f t="shared" si="338"/>
        <v>1</v>
      </c>
      <c r="AB1116">
        <f t="shared" si="339"/>
        <v>1</v>
      </c>
      <c r="AC1116">
        <f t="shared" si="340"/>
        <v>1</v>
      </c>
      <c r="AD1116">
        <f t="shared" si="341"/>
        <v>0</v>
      </c>
      <c r="AE1116">
        <f t="shared" si="342"/>
        <v>0</v>
      </c>
      <c r="AF1116">
        <f t="shared" si="343"/>
        <v>1</v>
      </c>
      <c r="AG1116">
        <f t="shared" si="344"/>
        <v>0</v>
      </c>
      <c r="AH1116">
        <f t="shared" si="345"/>
        <v>1</v>
      </c>
      <c r="AI1116">
        <f t="shared" si="346"/>
        <v>1</v>
      </c>
      <c r="AJ1116" s="9">
        <f t="shared" si="347"/>
        <v>26</v>
      </c>
      <c r="AK1116">
        <f t="shared" si="348"/>
        <v>0</v>
      </c>
      <c r="AL1116" s="9">
        <v>1</v>
      </c>
    </row>
    <row r="1117" spans="1:38" x14ac:dyDescent="0.35">
      <c r="A1117" s="50">
        <v>0</v>
      </c>
      <c r="B1117" s="9" t="s">
        <v>134</v>
      </c>
      <c r="C1117" s="53">
        <v>43887</v>
      </c>
      <c r="D1117" s="53">
        <v>43902</v>
      </c>
      <c r="E1117" s="53">
        <v>43966</v>
      </c>
      <c r="F1117" s="21">
        <f t="shared" si="336"/>
        <v>64</v>
      </c>
      <c r="G1117" s="53">
        <v>43902</v>
      </c>
      <c r="H1117" s="9">
        <v>2020</v>
      </c>
      <c r="I1117" s="50">
        <v>0</v>
      </c>
      <c r="J1117" s="9">
        <v>1</v>
      </c>
      <c r="K1117" s="9">
        <v>6</v>
      </c>
      <c r="L1117" s="50" t="s">
        <v>747</v>
      </c>
      <c r="M1117">
        <v>2</v>
      </c>
      <c r="N1117">
        <v>2</v>
      </c>
      <c r="O1117">
        <v>2</v>
      </c>
      <c r="P1117">
        <v>2</v>
      </c>
      <c r="Q1117">
        <v>2</v>
      </c>
      <c r="R1117">
        <v>2</v>
      </c>
      <c r="S1117">
        <v>1</v>
      </c>
      <c r="T1117">
        <v>2</v>
      </c>
      <c r="U1117">
        <v>1</v>
      </c>
      <c r="V1117" t="s">
        <v>979</v>
      </c>
      <c r="W1117" t="s">
        <v>989</v>
      </c>
      <c r="X1117" t="s">
        <v>997</v>
      </c>
      <c r="Y1117" t="s">
        <v>1000</v>
      </c>
      <c r="Z1117">
        <v>0</v>
      </c>
      <c r="AA1117">
        <f t="shared" si="338"/>
        <v>1</v>
      </c>
      <c r="AB1117">
        <f t="shared" si="339"/>
        <v>1</v>
      </c>
      <c r="AC1117">
        <f t="shared" si="340"/>
        <v>1</v>
      </c>
      <c r="AD1117">
        <f t="shared" si="341"/>
        <v>1</v>
      </c>
      <c r="AE1117">
        <f t="shared" si="342"/>
        <v>1</v>
      </c>
      <c r="AF1117">
        <f t="shared" si="343"/>
        <v>1</v>
      </c>
      <c r="AG1117">
        <f t="shared" si="344"/>
        <v>1</v>
      </c>
      <c r="AH1117">
        <f t="shared" si="345"/>
        <v>1</v>
      </c>
      <c r="AI1117">
        <f t="shared" si="346"/>
        <v>1</v>
      </c>
      <c r="AJ1117" s="9">
        <f t="shared" si="347"/>
        <v>6</v>
      </c>
      <c r="AK1117">
        <f t="shared" si="348"/>
        <v>0</v>
      </c>
      <c r="AL1117" s="9">
        <v>1</v>
      </c>
    </row>
    <row r="1118" spans="1:38" x14ac:dyDescent="0.35">
      <c r="A1118" s="50">
        <v>0</v>
      </c>
      <c r="B1118" s="9" t="s">
        <v>134</v>
      </c>
      <c r="C1118" s="53">
        <v>43887</v>
      </c>
      <c r="D1118" s="53">
        <v>43902</v>
      </c>
      <c r="E1118" s="53">
        <v>43966</v>
      </c>
      <c r="F1118" s="21">
        <f t="shared" si="336"/>
        <v>64</v>
      </c>
      <c r="G1118" s="53">
        <v>43902</v>
      </c>
      <c r="H1118" s="9">
        <v>2020</v>
      </c>
      <c r="I1118" s="50">
        <v>0</v>
      </c>
      <c r="J1118" s="9">
        <v>1</v>
      </c>
      <c r="K1118" s="9">
        <v>6</v>
      </c>
      <c r="L1118" s="50" t="s">
        <v>740</v>
      </c>
      <c r="M1118">
        <v>2</v>
      </c>
      <c r="N1118">
        <v>2</v>
      </c>
      <c r="O1118">
        <v>2</v>
      </c>
      <c r="P1118">
        <v>2</v>
      </c>
      <c r="Q1118">
        <v>2</v>
      </c>
      <c r="R1118">
        <v>2</v>
      </c>
      <c r="S1118">
        <v>1</v>
      </c>
      <c r="T1118">
        <v>2</v>
      </c>
      <c r="U1118">
        <v>1</v>
      </c>
      <c r="V1118" t="s">
        <v>979</v>
      </c>
      <c r="W1118" t="s">
        <v>989</v>
      </c>
      <c r="X1118" t="s">
        <v>997</v>
      </c>
      <c r="Y1118" t="s">
        <v>1000</v>
      </c>
      <c r="Z1118">
        <v>0</v>
      </c>
      <c r="AA1118">
        <f t="shared" si="338"/>
        <v>1</v>
      </c>
      <c r="AB1118">
        <f t="shared" si="339"/>
        <v>1</v>
      </c>
      <c r="AC1118">
        <f t="shared" si="340"/>
        <v>1</v>
      </c>
      <c r="AD1118">
        <f t="shared" si="341"/>
        <v>1</v>
      </c>
      <c r="AE1118">
        <f t="shared" si="342"/>
        <v>1</v>
      </c>
      <c r="AF1118">
        <f t="shared" si="343"/>
        <v>1</v>
      </c>
      <c r="AG1118">
        <f t="shared" si="344"/>
        <v>1</v>
      </c>
      <c r="AH1118">
        <f t="shared" si="345"/>
        <v>1</v>
      </c>
      <c r="AI1118">
        <f t="shared" si="346"/>
        <v>1</v>
      </c>
      <c r="AJ1118" s="9">
        <f t="shared" si="347"/>
        <v>6</v>
      </c>
      <c r="AK1118">
        <f t="shared" si="348"/>
        <v>0</v>
      </c>
      <c r="AL1118" s="9">
        <v>1</v>
      </c>
    </row>
    <row r="1119" spans="1:38" x14ac:dyDescent="0.35">
      <c r="A1119" s="50">
        <v>0</v>
      </c>
      <c r="B1119" s="9" t="s">
        <v>134</v>
      </c>
      <c r="C1119" s="53">
        <v>43887</v>
      </c>
      <c r="D1119" s="53">
        <v>43902</v>
      </c>
      <c r="E1119" s="53">
        <v>43966</v>
      </c>
      <c r="F1119" s="21">
        <f t="shared" si="336"/>
        <v>64</v>
      </c>
      <c r="G1119" s="53">
        <v>43902</v>
      </c>
      <c r="H1119" s="9">
        <v>2020</v>
      </c>
      <c r="I1119" s="50">
        <v>0</v>
      </c>
      <c r="J1119" s="9">
        <v>4</v>
      </c>
      <c r="K1119" s="9">
        <v>20</v>
      </c>
      <c r="L1119" s="50" t="s">
        <v>746</v>
      </c>
      <c r="M1119">
        <v>-2</v>
      </c>
      <c r="N1119">
        <v>2</v>
      </c>
      <c r="O1119">
        <v>-2</v>
      </c>
      <c r="P1119">
        <v>-1</v>
      </c>
      <c r="Q1119">
        <v>-2</v>
      </c>
      <c r="R1119">
        <v>2</v>
      </c>
      <c r="S1119">
        <v>2</v>
      </c>
      <c r="T1119">
        <v>2</v>
      </c>
      <c r="U1119">
        <v>1</v>
      </c>
      <c r="V1119" t="s">
        <v>979</v>
      </c>
      <c r="W1119" t="s">
        <v>989</v>
      </c>
      <c r="X1119" t="s">
        <v>997</v>
      </c>
      <c r="Y1119" t="s">
        <v>1000</v>
      </c>
      <c r="Z1119">
        <v>0</v>
      </c>
      <c r="AA1119">
        <f t="shared" si="338"/>
        <v>0</v>
      </c>
      <c r="AB1119">
        <f t="shared" si="339"/>
        <v>1</v>
      </c>
      <c r="AC1119">
        <f t="shared" si="340"/>
        <v>0</v>
      </c>
      <c r="AD1119">
        <f t="shared" si="341"/>
        <v>0</v>
      </c>
      <c r="AE1119">
        <f t="shared" si="342"/>
        <v>0</v>
      </c>
      <c r="AF1119">
        <f t="shared" si="343"/>
        <v>1</v>
      </c>
      <c r="AG1119">
        <f t="shared" si="344"/>
        <v>1</v>
      </c>
      <c r="AH1119">
        <f t="shared" si="345"/>
        <v>1</v>
      </c>
      <c r="AI1119">
        <f t="shared" si="346"/>
        <v>1</v>
      </c>
      <c r="AJ1119" s="9">
        <f t="shared" si="347"/>
        <v>20</v>
      </c>
      <c r="AK1119">
        <f t="shared" si="348"/>
        <v>0</v>
      </c>
      <c r="AL1119" s="9">
        <v>1</v>
      </c>
    </row>
    <row r="1120" spans="1:38" x14ac:dyDescent="0.35">
      <c r="A1120" s="50">
        <v>0</v>
      </c>
      <c r="B1120" s="9" t="s">
        <v>134</v>
      </c>
      <c r="C1120" s="53">
        <v>43887</v>
      </c>
      <c r="D1120" s="53">
        <v>43902</v>
      </c>
      <c r="E1120" s="53">
        <v>43966</v>
      </c>
      <c r="F1120" s="21">
        <f t="shared" si="336"/>
        <v>64</v>
      </c>
      <c r="G1120" s="53">
        <v>43902</v>
      </c>
      <c r="H1120" s="9">
        <v>2020</v>
      </c>
      <c r="I1120" s="50">
        <v>0</v>
      </c>
      <c r="J1120" s="9">
        <v>1</v>
      </c>
      <c r="K1120" s="9">
        <v>6</v>
      </c>
      <c r="L1120" s="50" t="s">
        <v>751</v>
      </c>
      <c r="M1120">
        <v>-2</v>
      </c>
      <c r="N1120">
        <v>2</v>
      </c>
      <c r="O1120">
        <v>2</v>
      </c>
      <c r="P1120">
        <v>2</v>
      </c>
      <c r="Q1120">
        <v>2</v>
      </c>
      <c r="R1120">
        <v>2</v>
      </c>
      <c r="S1120">
        <v>1</v>
      </c>
      <c r="T1120">
        <v>2</v>
      </c>
      <c r="U1120">
        <v>1</v>
      </c>
      <c r="V1120" t="s">
        <v>979</v>
      </c>
      <c r="W1120" t="s">
        <v>989</v>
      </c>
      <c r="X1120" t="s">
        <v>997</v>
      </c>
      <c r="Y1120" t="s">
        <v>1000</v>
      </c>
      <c r="Z1120">
        <v>0</v>
      </c>
      <c r="AA1120">
        <f t="shared" si="338"/>
        <v>0</v>
      </c>
      <c r="AB1120">
        <f t="shared" si="339"/>
        <v>1</v>
      </c>
      <c r="AC1120">
        <f t="shared" si="340"/>
        <v>1</v>
      </c>
      <c r="AD1120">
        <f t="shared" si="341"/>
        <v>1</v>
      </c>
      <c r="AE1120">
        <f t="shared" si="342"/>
        <v>1</v>
      </c>
      <c r="AF1120">
        <f t="shared" si="343"/>
        <v>1</v>
      </c>
      <c r="AG1120">
        <f t="shared" si="344"/>
        <v>1</v>
      </c>
      <c r="AH1120">
        <f t="shared" si="345"/>
        <v>1</v>
      </c>
      <c r="AI1120">
        <f t="shared" si="346"/>
        <v>1</v>
      </c>
      <c r="AJ1120" s="9">
        <f t="shared" si="347"/>
        <v>6</v>
      </c>
      <c r="AK1120">
        <f t="shared" si="348"/>
        <v>0</v>
      </c>
      <c r="AL1120" s="9">
        <v>1</v>
      </c>
    </row>
    <row r="1121" spans="1:38" x14ac:dyDescent="0.35">
      <c r="A1121" s="50">
        <v>0</v>
      </c>
      <c r="B1121" s="9" t="s">
        <v>134</v>
      </c>
      <c r="C1121" s="53">
        <v>43887</v>
      </c>
      <c r="D1121" s="53">
        <v>43902</v>
      </c>
      <c r="E1121" s="53">
        <v>43966</v>
      </c>
      <c r="F1121" s="21">
        <f t="shared" si="336"/>
        <v>64</v>
      </c>
      <c r="G1121" s="53">
        <v>43902</v>
      </c>
      <c r="H1121" s="9">
        <v>2020</v>
      </c>
      <c r="I1121" s="50">
        <v>0</v>
      </c>
      <c r="J1121" s="9">
        <v>1</v>
      </c>
      <c r="K1121" s="9">
        <v>6</v>
      </c>
      <c r="L1121" s="50" t="s">
        <v>743</v>
      </c>
      <c r="M1121">
        <v>-2</v>
      </c>
      <c r="N1121">
        <v>2</v>
      </c>
      <c r="O1121">
        <v>2</v>
      </c>
      <c r="P1121">
        <v>2</v>
      </c>
      <c r="Q1121">
        <v>2</v>
      </c>
      <c r="R1121">
        <v>2</v>
      </c>
      <c r="S1121">
        <v>1</v>
      </c>
      <c r="T1121">
        <v>2</v>
      </c>
      <c r="U1121">
        <v>1</v>
      </c>
      <c r="V1121" t="s">
        <v>979</v>
      </c>
      <c r="W1121" t="s">
        <v>989</v>
      </c>
      <c r="X1121" t="s">
        <v>997</v>
      </c>
      <c r="Y1121" t="s">
        <v>1000</v>
      </c>
      <c r="Z1121">
        <v>0</v>
      </c>
      <c r="AA1121">
        <f t="shared" si="338"/>
        <v>0</v>
      </c>
      <c r="AB1121">
        <f t="shared" si="339"/>
        <v>1</v>
      </c>
      <c r="AC1121">
        <f t="shared" si="340"/>
        <v>1</v>
      </c>
      <c r="AD1121">
        <f t="shared" si="341"/>
        <v>1</v>
      </c>
      <c r="AE1121">
        <f t="shared" si="342"/>
        <v>1</v>
      </c>
      <c r="AF1121">
        <f t="shared" si="343"/>
        <v>1</v>
      </c>
      <c r="AG1121">
        <f t="shared" si="344"/>
        <v>1</v>
      </c>
      <c r="AH1121">
        <f t="shared" si="345"/>
        <v>1</v>
      </c>
      <c r="AI1121">
        <f t="shared" si="346"/>
        <v>1</v>
      </c>
      <c r="AJ1121" s="9">
        <f t="shared" ref="AJ1121:AJ1146" si="349">IF(ISNUMBER(K1121),K1121,IF(OR(K1121="general",K1121="23;general"),"General",IF(OR(K1121="exemption",K1121="other (exemption)"),"Tax exemption/waiver/suspension","Other")))</f>
        <v>6</v>
      </c>
      <c r="AK1121">
        <f t="shared" si="348"/>
        <v>0</v>
      </c>
      <c r="AL1121" s="9">
        <v>1</v>
      </c>
    </row>
    <row r="1122" spans="1:38" x14ac:dyDescent="0.35">
      <c r="A1122" s="50">
        <v>0</v>
      </c>
      <c r="B1122" s="9" t="s">
        <v>134</v>
      </c>
      <c r="C1122" s="53">
        <v>43887</v>
      </c>
      <c r="D1122" s="53">
        <v>43902</v>
      </c>
      <c r="E1122" s="53">
        <v>43966</v>
      </c>
      <c r="F1122" s="21">
        <f t="shared" si="336"/>
        <v>64</v>
      </c>
      <c r="G1122" s="53">
        <v>43902</v>
      </c>
      <c r="H1122" s="9">
        <v>2020</v>
      </c>
      <c r="I1122" s="50">
        <v>0</v>
      </c>
      <c r="J1122" s="9">
        <v>5</v>
      </c>
      <c r="K1122" s="9" t="s">
        <v>204</v>
      </c>
      <c r="L1122" s="50" t="s">
        <v>748</v>
      </c>
      <c r="M1122">
        <v>1</v>
      </c>
      <c r="N1122">
        <v>-2</v>
      </c>
      <c r="O1122">
        <v>-2</v>
      </c>
      <c r="P1122">
        <v>-1</v>
      </c>
      <c r="Q1122">
        <v>-2</v>
      </c>
      <c r="R1122">
        <v>2</v>
      </c>
      <c r="S1122">
        <v>1</v>
      </c>
      <c r="T1122">
        <v>2</v>
      </c>
      <c r="U1122">
        <v>1</v>
      </c>
      <c r="V1122" t="s">
        <v>979</v>
      </c>
      <c r="W1122" t="s">
        <v>989</v>
      </c>
      <c r="X1122" t="s">
        <v>997</v>
      </c>
      <c r="Y1122" t="s">
        <v>1000</v>
      </c>
      <c r="Z1122">
        <v>0</v>
      </c>
      <c r="AA1122">
        <f t="shared" si="338"/>
        <v>1</v>
      </c>
      <c r="AB1122">
        <f t="shared" si="339"/>
        <v>0</v>
      </c>
      <c r="AC1122">
        <f t="shared" si="340"/>
        <v>0</v>
      </c>
      <c r="AD1122">
        <f t="shared" si="341"/>
        <v>0</v>
      </c>
      <c r="AE1122">
        <f t="shared" si="342"/>
        <v>0</v>
      </c>
      <c r="AF1122">
        <f t="shared" si="343"/>
        <v>1</v>
      </c>
      <c r="AG1122">
        <f t="shared" si="344"/>
        <v>1</v>
      </c>
      <c r="AH1122">
        <f t="shared" si="345"/>
        <v>1</v>
      </c>
      <c r="AI1122">
        <f t="shared" si="346"/>
        <v>1</v>
      </c>
      <c r="AJ1122" s="9" t="str">
        <f t="shared" si="349"/>
        <v>General</v>
      </c>
      <c r="AK1122">
        <f t="shared" si="348"/>
        <v>0</v>
      </c>
      <c r="AL1122" s="9">
        <v>1</v>
      </c>
    </row>
    <row r="1123" spans="1:38" x14ac:dyDescent="0.35">
      <c r="A1123" s="50">
        <v>0</v>
      </c>
      <c r="B1123" s="9" t="s">
        <v>134</v>
      </c>
      <c r="C1123" s="53">
        <v>43887</v>
      </c>
      <c r="D1123" s="53">
        <v>43902</v>
      </c>
      <c r="E1123" s="53">
        <v>43966</v>
      </c>
      <c r="F1123" s="21">
        <f t="shared" si="336"/>
        <v>64</v>
      </c>
      <c r="G1123" s="53">
        <v>43902</v>
      </c>
      <c r="H1123" s="9">
        <v>2020</v>
      </c>
      <c r="I1123" s="50">
        <v>0</v>
      </c>
      <c r="J1123" s="9">
        <v>1</v>
      </c>
      <c r="K1123" s="9">
        <v>3</v>
      </c>
      <c r="L1123" s="50" t="s">
        <v>750</v>
      </c>
      <c r="M1123">
        <v>2</v>
      </c>
      <c r="N1123">
        <v>2</v>
      </c>
      <c r="O1123">
        <v>-2</v>
      </c>
      <c r="P1123">
        <v>-1</v>
      </c>
      <c r="Q1123">
        <v>2</v>
      </c>
      <c r="R1123">
        <v>-2</v>
      </c>
      <c r="S1123">
        <v>2</v>
      </c>
      <c r="T1123">
        <v>-2</v>
      </c>
      <c r="U1123">
        <v>1</v>
      </c>
      <c r="V1123" t="s">
        <v>979</v>
      </c>
      <c r="W1123" t="s">
        <v>989</v>
      </c>
      <c r="X1123" t="s">
        <v>997</v>
      </c>
      <c r="Y1123" t="s">
        <v>1000</v>
      </c>
      <c r="Z1123">
        <v>0</v>
      </c>
      <c r="AA1123">
        <f t="shared" si="338"/>
        <v>1</v>
      </c>
      <c r="AB1123">
        <f t="shared" si="339"/>
        <v>1</v>
      </c>
      <c r="AC1123">
        <f t="shared" si="340"/>
        <v>0</v>
      </c>
      <c r="AD1123">
        <f t="shared" si="341"/>
        <v>0</v>
      </c>
      <c r="AE1123">
        <f t="shared" si="342"/>
        <v>1</v>
      </c>
      <c r="AF1123">
        <f t="shared" si="343"/>
        <v>0</v>
      </c>
      <c r="AG1123">
        <f t="shared" si="344"/>
        <v>1</v>
      </c>
      <c r="AH1123">
        <f t="shared" si="345"/>
        <v>0</v>
      </c>
      <c r="AI1123">
        <f t="shared" si="346"/>
        <v>1</v>
      </c>
      <c r="AJ1123" s="9">
        <f t="shared" si="349"/>
        <v>3</v>
      </c>
      <c r="AK1123">
        <f t="shared" si="348"/>
        <v>0</v>
      </c>
      <c r="AL1123" s="9">
        <v>1</v>
      </c>
    </row>
    <row r="1124" spans="1:38" x14ac:dyDescent="0.35">
      <c r="A1124" s="50">
        <v>0</v>
      </c>
      <c r="B1124" s="9" t="s">
        <v>134</v>
      </c>
      <c r="C1124" s="53">
        <v>43887</v>
      </c>
      <c r="D1124" s="53">
        <v>43902</v>
      </c>
      <c r="E1124" s="53">
        <v>43966</v>
      </c>
      <c r="F1124" s="21">
        <f t="shared" si="336"/>
        <v>64</v>
      </c>
      <c r="G1124" s="53">
        <v>43902</v>
      </c>
      <c r="H1124" s="9">
        <v>2020</v>
      </c>
      <c r="I1124" s="50">
        <v>0</v>
      </c>
      <c r="J1124" s="9">
        <v>7</v>
      </c>
      <c r="K1124" s="9">
        <v>30</v>
      </c>
      <c r="L1124" s="50" t="s">
        <v>754</v>
      </c>
      <c r="M1124">
        <v>1</v>
      </c>
      <c r="N1124">
        <v>1</v>
      </c>
      <c r="O1124">
        <v>2</v>
      </c>
      <c r="P1124">
        <v>-1</v>
      </c>
      <c r="Q1124">
        <v>2</v>
      </c>
      <c r="R1124">
        <v>2</v>
      </c>
      <c r="S1124">
        <v>1</v>
      </c>
      <c r="T1124">
        <v>-2</v>
      </c>
      <c r="U1124">
        <v>1</v>
      </c>
      <c r="V1124" t="s">
        <v>979</v>
      </c>
      <c r="W1124" t="s">
        <v>989</v>
      </c>
      <c r="X1124" t="s">
        <v>997</v>
      </c>
      <c r="Y1124" t="s">
        <v>1000</v>
      </c>
      <c r="Z1124">
        <v>0</v>
      </c>
      <c r="AA1124">
        <f t="shared" si="338"/>
        <v>1</v>
      </c>
      <c r="AB1124">
        <f t="shared" si="339"/>
        <v>1</v>
      </c>
      <c r="AC1124">
        <f t="shared" si="340"/>
        <v>1</v>
      </c>
      <c r="AD1124">
        <f t="shared" si="341"/>
        <v>0</v>
      </c>
      <c r="AE1124">
        <f t="shared" si="342"/>
        <v>1</v>
      </c>
      <c r="AF1124">
        <f t="shared" si="343"/>
        <v>1</v>
      </c>
      <c r="AG1124">
        <f t="shared" si="344"/>
        <v>1</v>
      </c>
      <c r="AH1124">
        <f t="shared" si="345"/>
        <v>0</v>
      </c>
      <c r="AI1124">
        <f t="shared" si="346"/>
        <v>1</v>
      </c>
      <c r="AJ1124" s="9">
        <f t="shared" si="349"/>
        <v>30</v>
      </c>
      <c r="AK1124">
        <f t="shared" si="348"/>
        <v>0</v>
      </c>
      <c r="AL1124" s="9">
        <v>1</v>
      </c>
    </row>
    <row r="1125" spans="1:38" x14ac:dyDescent="0.35">
      <c r="A1125" s="50">
        <v>0</v>
      </c>
      <c r="B1125" s="9" t="s">
        <v>134</v>
      </c>
      <c r="C1125" s="53">
        <v>43887</v>
      </c>
      <c r="D1125" s="53">
        <v>43902</v>
      </c>
      <c r="E1125" s="53">
        <v>43966</v>
      </c>
      <c r="F1125" s="21">
        <f t="shared" si="336"/>
        <v>64</v>
      </c>
      <c r="G1125" s="53">
        <v>43902</v>
      </c>
      <c r="H1125" s="9">
        <v>2020</v>
      </c>
      <c r="I1125" s="50">
        <v>0</v>
      </c>
      <c r="J1125" s="9">
        <v>9</v>
      </c>
      <c r="K1125" s="9">
        <v>34</v>
      </c>
      <c r="L1125" s="50" t="s">
        <v>756</v>
      </c>
      <c r="M1125">
        <v>1</v>
      </c>
      <c r="N1125">
        <v>1</v>
      </c>
      <c r="O1125">
        <v>2</v>
      </c>
      <c r="P1125">
        <v>-1</v>
      </c>
      <c r="Q1125">
        <v>-2</v>
      </c>
      <c r="R1125">
        <v>2</v>
      </c>
      <c r="S1125">
        <v>1</v>
      </c>
      <c r="T1125">
        <v>2</v>
      </c>
      <c r="U1125">
        <v>1</v>
      </c>
      <c r="V1125" t="s">
        <v>979</v>
      </c>
      <c r="W1125" t="s">
        <v>989</v>
      </c>
      <c r="X1125" t="s">
        <v>997</v>
      </c>
      <c r="Y1125" t="s">
        <v>1000</v>
      </c>
      <c r="Z1125">
        <v>0</v>
      </c>
      <c r="AA1125">
        <f t="shared" si="338"/>
        <v>1</v>
      </c>
      <c r="AB1125">
        <f t="shared" si="339"/>
        <v>1</v>
      </c>
      <c r="AC1125">
        <f t="shared" si="340"/>
        <v>1</v>
      </c>
      <c r="AD1125">
        <f t="shared" si="341"/>
        <v>0</v>
      </c>
      <c r="AE1125">
        <f t="shared" si="342"/>
        <v>0</v>
      </c>
      <c r="AF1125">
        <f t="shared" si="343"/>
        <v>1</v>
      </c>
      <c r="AG1125">
        <f t="shared" si="344"/>
        <v>1</v>
      </c>
      <c r="AH1125">
        <f t="shared" si="345"/>
        <v>1</v>
      </c>
      <c r="AI1125">
        <f t="shared" si="346"/>
        <v>1</v>
      </c>
      <c r="AJ1125" s="9">
        <f t="shared" si="349"/>
        <v>34</v>
      </c>
      <c r="AK1125">
        <f t="shared" si="348"/>
        <v>0</v>
      </c>
      <c r="AL1125" s="9">
        <v>0</v>
      </c>
    </row>
    <row r="1126" spans="1:38" x14ac:dyDescent="0.35">
      <c r="A1126" s="50">
        <v>0</v>
      </c>
      <c r="B1126" s="9" t="s">
        <v>134</v>
      </c>
      <c r="C1126" s="53">
        <v>43887</v>
      </c>
      <c r="D1126" s="53">
        <v>43902</v>
      </c>
      <c r="E1126" s="53">
        <v>43966</v>
      </c>
      <c r="F1126" s="21">
        <f t="shared" si="336"/>
        <v>64</v>
      </c>
      <c r="G1126" s="53">
        <v>43902</v>
      </c>
      <c r="H1126" s="9">
        <v>2020</v>
      </c>
      <c r="I1126" s="50">
        <v>0</v>
      </c>
      <c r="J1126" s="9">
        <v>6</v>
      </c>
      <c r="K1126" s="9">
        <v>27</v>
      </c>
      <c r="L1126" s="50" t="s">
        <v>757</v>
      </c>
      <c r="M1126">
        <v>1</v>
      </c>
      <c r="N1126">
        <v>1</v>
      </c>
      <c r="O1126">
        <v>2</v>
      </c>
      <c r="P1126">
        <v>1</v>
      </c>
      <c r="Q1126">
        <v>2</v>
      </c>
      <c r="R1126">
        <v>2</v>
      </c>
      <c r="S1126">
        <v>-1</v>
      </c>
      <c r="T1126">
        <v>-2</v>
      </c>
      <c r="U1126">
        <v>1</v>
      </c>
      <c r="V1126" t="s">
        <v>979</v>
      </c>
      <c r="W1126" t="s">
        <v>989</v>
      </c>
      <c r="X1126" t="s">
        <v>997</v>
      </c>
      <c r="Y1126" t="s">
        <v>1000</v>
      </c>
      <c r="Z1126">
        <v>0</v>
      </c>
      <c r="AA1126">
        <f t="shared" si="338"/>
        <v>1</v>
      </c>
      <c r="AB1126">
        <f t="shared" si="339"/>
        <v>1</v>
      </c>
      <c r="AC1126">
        <f t="shared" si="340"/>
        <v>1</v>
      </c>
      <c r="AD1126">
        <f t="shared" si="341"/>
        <v>1</v>
      </c>
      <c r="AE1126">
        <f t="shared" si="342"/>
        <v>1</v>
      </c>
      <c r="AF1126">
        <f t="shared" si="343"/>
        <v>1</v>
      </c>
      <c r="AG1126">
        <f t="shared" si="344"/>
        <v>0</v>
      </c>
      <c r="AH1126">
        <f t="shared" si="345"/>
        <v>0</v>
      </c>
      <c r="AI1126">
        <f t="shared" si="346"/>
        <v>1</v>
      </c>
      <c r="AJ1126" s="9">
        <f t="shared" si="349"/>
        <v>27</v>
      </c>
      <c r="AK1126">
        <f t="shared" si="348"/>
        <v>0</v>
      </c>
      <c r="AL1126" s="9">
        <v>0</v>
      </c>
    </row>
    <row r="1127" spans="1:38" x14ac:dyDescent="0.35">
      <c r="A1127" s="50">
        <v>0</v>
      </c>
      <c r="B1127" s="50" t="s">
        <v>134</v>
      </c>
      <c r="C1127" s="53">
        <v>43887</v>
      </c>
      <c r="D1127" s="53">
        <v>43902</v>
      </c>
      <c r="E1127" s="53">
        <v>43966</v>
      </c>
      <c r="F1127" s="21">
        <f t="shared" si="336"/>
        <v>64</v>
      </c>
      <c r="G1127" s="53">
        <v>43902</v>
      </c>
      <c r="H1127" s="9">
        <v>2020</v>
      </c>
      <c r="I1127" s="50">
        <v>0</v>
      </c>
      <c r="J1127" s="50">
        <v>7</v>
      </c>
      <c r="K1127" s="50">
        <v>30</v>
      </c>
      <c r="L1127" s="24" t="s">
        <v>1868</v>
      </c>
      <c r="M1127" s="24"/>
      <c r="V1127" t="s">
        <v>979</v>
      </c>
      <c r="W1127" t="s">
        <v>989</v>
      </c>
      <c r="X1127" t="s">
        <v>997</v>
      </c>
      <c r="Y1127" t="s">
        <v>1000</v>
      </c>
      <c r="Z1127">
        <v>0</v>
      </c>
      <c r="AA1127">
        <v>-1</v>
      </c>
      <c r="AB1127">
        <v>-1</v>
      </c>
      <c r="AC1127">
        <v>-1</v>
      </c>
      <c r="AD1127">
        <v>-1</v>
      </c>
      <c r="AE1127">
        <v>-1</v>
      </c>
      <c r="AF1127">
        <v>-1</v>
      </c>
      <c r="AG1127">
        <v>-1</v>
      </c>
      <c r="AH1127">
        <v>-1</v>
      </c>
      <c r="AI1127">
        <v>-1</v>
      </c>
      <c r="AJ1127" s="9">
        <f t="shared" si="349"/>
        <v>30</v>
      </c>
      <c r="AK1127">
        <f t="shared" si="348"/>
        <v>0</v>
      </c>
      <c r="AL1127" s="9">
        <v>0</v>
      </c>
    </row>
    <row r="1128" spans="1:38" x14ac:dyDescent="0.35">
      <c r="A1128" s="50">
        <v>0</v>
      </c>
      <c r="B1128" s="50" t="s">
        <v>134</v>
      </c>
      <c r="C1128" s="53">
        <v>43887</v>
      </c>
      <c r="D1128" s="53">
        <v>43902</v>
      </c>
      <c r="E1128" s="53">
        <v>43966</v>
      </c>
      <c r="F1128" s="21">
        <f t="shared" si="336"/>
        <v>64</v>
      </c>
      <c r="G1128" s="53">
        <v>43902</v>
      </c>
      <c r="H1128" s="9">
        <v>2020</v>
      </c>
      <c r="I1128" s="50">
        <v>0</v>
      </c>
      <c r="J1128" s="50">
        <v>5</v>
      </c>
      <c r="K1128" s="50" t="s">
        <v>204</v>
      </c>
      <c r="L1128" s="24" t="s">
        <v>1867</v>
      </c>
      <c r="M1128" s="24"/>
      <c r="V1128" t="s">
        <v>979</v>
      </c>
      <c r="W1128" t="s">
        <v>989</v>
      </c>
      <c r="X1128" t="s">
        <v>997</v>
      </c>
      <c r="Y1128" t="s">
        <v>1000</v>
      </c>
      <c r="Z1128">
        <v>0</v>
      </c>
      <c r="AA1128">
        <v>-1</v>
      </c>
      <c r="AB1128">
        <v>-1</v>
      </c>
      <c r="AC1128">
        <v>-1</v>
      </c>
      <c r="AD1128">
        <v>-1</v>
      </c>
      <c r="AE1128">
        <v>-1</v>
      </c>
      <c r="AF1128">
        <v>-1</v>
      </c>
      <c r="AG1128">
        <v>-1</v>
      </c>
      <c r="AH1128">
        <v>-1</v>
      </c>
      <c r="AI1128">
        <v>-1</v>
      </c>
      <c r="AJ1128" s="9" t="str">
        <f t="shared" si="349"/>
        <v>General</v>
      </c>
      <c r="AK1128">
        <f t="shared" si="348"/>
        <v>0</v>
      </c>
      <c r="AL1128" s="9">
        <v>0</v>
      </c>
    </row>
    <row r="1129" spans="1:38" x14ac:dyDescent="0.35">
      <c r="A1129" s="50">
        <v>0</v>
      </c>
      <c r="B1129" s="50" t="s">
        <v>134</v>
      </c>
      <c r="C1129" s="53">
        <v>43887</v>
      </c>
      <c r="D1129" s="53">
        <v>43902</v>
      </c>
      <c r="E1129" s="53">
        <v>43966</v>
      </c>
      <c r="F1129" s="21">
        <f t="shared" si="336"/>
        <v>64</v>
      </c>
      <c r="G1129" s="53">
        <v>43902</v>
      </c>
      <c r="H1129" s="9">
        <v>2020</v>
      </c>
      <c r="I1129" s="50">
        <v>0</v>
      </c>
      <c r="J1129" s="50">
        <v>1</v>
      </c>
      <c r="K1129" s="50">
        <v>6</v>
      </c>
      <c r="L1129" s="24" t="s">
        <v>1866</v>
      </c>
      <c r="M1129" s="24"/>
      <c r="V1129" t="s">
        <v>979</v>
      </c>
      <c r="W1129" t="s">
        <v>989</v>
      </c>
      <c r="X1129" t="s">
        <v>997</v>
      </c>
      <c r="Y1129" t="s">
        <v>1000</v>
      </c>
      <c r="Z1129">
        <v>0</v>
      </c>
      <c r="AA1129">
        <v>-1</v>
      </c>
      <c r="AB1129">
        <v>-1</v>
      </c>
      <c r="AC1129">
        <v>-1</v>
      </c>
      <c r="AD1129">
        <v>-1</v>
      </c>
      <c r="AE1129">
        <v>-1</v>
      </c>
      <c r="AF1129">
        <v>-1</v>
      </c>
      <c r="AG1129">
        <v>-1</v>
      </c>
      <c r="AH1129">
        <v>-1</v>
      </c>
      <c r="AI1129">
        <v>-1</v>
      </c>
      <c r="AJ1129" s="9">
        <f t="shared" si="349"/>
        <v>6</v>
      </c>
      <c r="AK1129">
        <f t="shared" si="348"/>
        <v>0</v>
      </c>
      <c r="AL1129" s="9">
        <v>0</v>
      </c>
    </row>
    <row r="1130" spans="1:38" x14ac:dyDescent="0.35">
      <c r="A1130" s="50">
        <v>0</v>
      </c>
      <c r="B1130" s="50" t="s">
        <v>134</v>
      </c>
      <c r="C1130" s="53">
        <v>43887</v>
      </c>
      <c r="D1130" s="53">
        <v>43902</v>
      </c>
      <c r="E1130" s="53">
        <v>43966</v>
      </c>
      <c r="F1130" s="21">
        <f t="shared" si="336"/>
        <v>64</v>
      </c>
      <c r="G1130" s="53">
        <v>43902</v>
      </c>
      <c r="H1130" s="9">
        <v>2020</v>
      </c>
      <c r="I1130" s="50">
        <v>0</v>
      </c>
      <c r="J1130" s="50">
        <v>9</v>
      </c>
      <c r="K1130" s="50">
        <v>34</v>
      </c>
      <c r="L1130" s="24" t="s">
        <v>1869</v>
      </c>
      <c r="M1130" s="24"/>
      <c r="V1130" t="s">
        <v>979</v>
      </c>
      <c r="W1130" t="s">
        <v>989</v>
      </c>
      <c r="X1130" t="s">
        <v>997</v>
      </c>
      <c r="Y1130" t="s">
        <v>1000</v>
      </c>
      <c r="Z1130">
        <v>0</v>
      </c>
      <c r="AA1130">
        <v>-1</v>
      </c>
      <c r="AB1130">
        <v>-1</v>
      </c>
      <c r="AC1130">
        <v>-1</v>
      </c>
      <c r="AD1130">
        <v>-1</v>
      </c>
      <c r="AE1130">
        <v>-1</v>
      </c>
      <c r="AF1130">
        <v>-1</v>
      </c>
      <c r="AG1130">
        <v>-1</v>
      </c>
      <c r="AH1130">
        <v>-1</v>
      </c>
      <c r="AI1130">
        <v>-1</v>
      </c>
      <c r="AJ1130" s="9">
        <f t="shared" si="349"/>
        <v>34</v>
      </c>
      <c r="AK1130">
        <f t="shared" si="348"/>
        <v>0</v>
      </c>
      <c r="AL1130" s="9">
        <v>0</v>
      </c>
    </row>
    <row r="1131" spans="1:38" x14ac:dyDescent="0.35">
      <c r="A1131" s="50">
        <v>0</v>
      </c>
      <c r="B1131" s="50" t="s">
        <v>134</v>
      </c>
      <c r="C1131" s="53">
        <v>43887</v>
      </c>
      <c r="D1131" s="53">
        <v>43902</v>
      </c>
      <c r="E1131" s="53">
        <v>43966</v>
      </c>
      <c r="F1131" s="21">
        <f t="shared" si="336"/>
        <v>64</v>
      </c>
      <c r="G1131" s="53">
        <v>43902</v>
      </c>
      <c r="H1131" s="9">
        <v>2020</v>
      </c>
      <c r="I1131" s="50">
        <v>0</v>
      </c>
      <c r="J1131" s="50">
        <v>6</v>
      </c>
      <c r="K1131" s="50">
        <v>29</v>
      </c>
      <c r="L1131" s="24" t="s">
        <v>1870</v>
      </c>
      <c r="M1131" s="24"/>
      <c r="V1131" t="s">
        <v>979</v>
      </c>
      <c r="W1131" t="s">
        <v>989</v>
      </c>
      <c r="X1131" t="s">
        <v>997</v>
      </c>
      <c r="Y1131" t="s">
        <v>1000</v>
      </c>
      <c r="Z1131">
        <v>0</v>
      </c>
      <c r="AA1131">
        <v>-1</v>
      </c>
      <c r="AB1131">
        <v>-1</v>
      </c>
      <c r="AC1131">
        <v>-1</v>
      </c>
      <c r="AD1131">
        <v>-1</v>
      </c>
      <c r="AE1131">
        <v>-1</v>
      </c>
      <c r="AF1131">
        <v>-1</v>
      </c>
      <c r="AG1131">
        <v>-1</v>
      </c>
      <c r="AH1131">
        <v>-1</v>
      </c>
      <c r="AI1131">
        <v>-1</v>
      </c>
      <c r="AJ1131" s="9">
        <f t="shared" si="349"/>
        <v>29</v>
      </c>
      <c r="AK1131">
        <f t="shared" si="348"/>
        <v>0</v>
      </c>
      <c r="AL1131" s="9">
        <v>0</v>
      </c>
    </row>
    <row r="1132" spans="1:38" x14ac:dyDescent="0.35">
      <c r="A1132" s="50">
        <v>0</v>
      </c>
      <c r="B1132" s="50" t="s">
        <v>134</v>
      </c>
      <c r="C1132" s="53">
        <v>43887</v>
      </c>
      <c r="D1132" s="53">
        <v>43902</v>
      </c>
      <c r="E1132" s="53">
        <v>43966</v>
      </c>
      <c r="F1132" s="21">
        <f t="shared" si="336"/>
        <v>64</v>
      </c>
      <c r="G1132" s="53">
        <v>43902</v>
      </c>
      <c r="H1132" s="9">
        <v>2020</v>
      </c>
      <c r="I1132" s="50">
        <v>0</v>
      </c>
      <c r="J1132" s="50">
        <v>4</v>
      </c>
      <c r="K1132" s="50" t="s">
        <v>201</v>
      </c>
      <c r="L1132" s="24" t="s">
        <v>1871</v>
      </c>
      <c r="M1132" s="24"/>
      <c r="V1132" t="s">
        <v>979</v>
      </c>
      <c r="W1132" t="s">
        <v>989</v>
      </c>
      <c r="X1132" t="s">
        <v>997</v>
      </c>
      <c r="Y1132" t="s">
        <v>1000</v>
      </c>
      <c r="Z1132">
        <v>0</v>
      </c>
      <c r="AA1132">
        <v>-1</v>
      </c>
      <c r="AB1132">
        <v>-1</v>
      </c>
      <c r="AC1132">
        <v>-1</v>
      </c>
      <c r="AD1132">
        <v>-1</v>
      </c>
      <c r="AE1132">
        <v>-1</v>
      </c>
      <c r="AF1132">
        <v>-1</v>
      </c>
      <c r="AG1132">
        <v>-1</v>
      </c>
      <c r="AH1132">
        <v>-1</v>
      </c>
      <c r="AI1132">
        <v>-1</v>
      </c>
      <c r="AJ1132" s="9" t="str">
        <f t="shared" si="349"/>
        <v>Other</v>
      </c>
      <c r="AK1132">
        <f t="shared" si="348"/>
        <v>0</v>
      </c>
      <c r="AL1132" s="9">
        <v>0</v>
      </c>
    </row>
    <row r="1133" spans="1:38" x14ac:dyDescent="0.35">
      <c r="A1133" s="50">
        <v>0</v>
      </c>
      <c r="B1133" s="50" t="s">
        <v>134</v>
      </c>
      <c r="C1133" s="53">
        <v>43887</v>
      </c>
      <c r="D1133" s="53">
        <v>43902</v>
      </c>
      <c r="E1133" s="53">
        <v>43966</v>
      </c>
      <c r="F1133" s="21">
        <f t="shared" si="336"/>
        <v>64</v>
      </c>
      <c r="G1133" s="53">
        <v>43902</v>
      </c>
      <c r="H1133" s="9">
        <v>2020</v>
      </c>
      <c r="I1133" s="50">
        <v>0</v>
      </c>
      <c r="J1133" s="50">
        <v>9</v>
      </c>
      <c r="K1133" s="50">
        <v>34</v>
      </c>
      <c r="L1133" s="24" t="s">
        <v>1872</v>
      </c>
      <c r="M1133" s="24"/>
      <c r="V1133" t="s">
        <v>979</v>
      </c>
      <c r="W1133" t="s">
        <v>989</v>
      </c>
      <c r="X1133" t="s">
        <v>997</v>
      </c>
      <c r="Y1133" t="s">
        <v>1000</v>
      </c>
      <c r="Z1133">
        <v>0</v>
      </c>
      <c r="AA1133">
        <v>-1</v>
      </c>
      <c r="AB1133">
        <v>-1</v>
      </c>
      <c r="AC1133">
        <v>-1</v>
      </c>
      <c r="AD1133">
        <v>-1</v>
      </c>
      <c r="AE1133">
        <v>-1</v>
      </c>
      <c r="AF1133">
        <v>-1</v>
      </c>
      <c r="AG1133">
        <v>-1</v>
      </c>
      <c r="AH1133">
        <v>-1</v>
      </c>
      <c r="AI1133">
        <v>-1</v>
      </c>
      <c r="AJ1133" s="9">
        <f t="shared" si="349"/>
        <v>34</v>
      </c>
      <c r="AK1133">
        <f t="shared" si="348"/>
        <v>0</v>
      </c>
      <c r="AL1133" s="9">
        <v>0</v>
      </c>
    </row>
    <row r="1134" spans="1:38" x14ac:dyDescent="0.35">
      <c r="A1134" s="50">
        <v>0</v>
      </c>
      <c r="B1134" s="50" t="s">
        <v>134</v>
      </c>
      <c r="C1134" s="53">
        <v>43887</v>
      </c>
      <c r="D1134" s="53">
        <v>43902</v>
      </c>
      <c r="E1134" s="53">
        <v>43966</v>
      </c>
      <c r="F1134" s="21">
        <f t="shared" si="336"/>
        <v>64</v>
      </c>
      <c r="G1134" s="53">
        <v>43902</v>
      </c>
      <c r="H1134" s="9">
        <v>2020</v>
      </c>
      <c r="I1134" s="50">
        <v>0</v>
      </c>
      <c r="J1134" s="50">
        <v>6</v>
      </c>
      <c r="K1134" s="50">
        <v>25</v>
      </c>
      <c r="L1134" s="24" t="s">
        <v>1873</v>
      </c>
      <c r="M1134" s="24"/>
      <c r="V1134" t="s">
        <v>979</v>
      </c>
      <c r="W1134" t="s">
        <v>989</v>
      </c>
      <c r="X1134" t="s">
        <v>997</v>
      </c>
      <c r="Y1134" t="s">
        <v>1000</v>
      </c>
      <c r="Z1134">
        <v>0</v>
      </c>
      <c r="AA1134">
        <v>-1</v>
      </c>
      <c r="AB1134">
        <v>-1</v>
      </c>
      <c r="AC1134">
        <v>-1</v>
      </c>
      <c r="AD1134">
        <v>-1</v>
      </c>
      <c r="AE1134">
        <v>-1</v>
      </c>
      <c r="AF1134">
        <v>-1</v>
      </c>
      <c r="AG1134">
        <v>-1</v>
      </c>
      <c r="AH1134">
        <v>-1</v>
      </c>
      <c r="AI1134">
        <v>-1</v>
      </c>
      <c r="AJ1134" s="9">
        <f t="shared" si="349"/>
        <v>25</v>
      </c>
      <c r="AK1134">
        <f t="shared" si="348"/>
        <v>0</v>
      </c>
      <c r="AL1134" s="9">
        <v>0</v>
      </c>
    </row>
    <row r="1135" spans="1:38" x14ac:dyDescent="0.35">
      <c r="A1135" s="50">
        <v>0</v>
      </c>
      <c r="B1135" s="50" t="s">
        <v>134</v>
      </c>
      <c r="C1135" s="53">
        <v>43887</v>
      </c>
      <c r="D1135" s="53">
        <v>43902</v>
      </c>
      <c r="E1135" s="53">
        <v>43966</v>
      </c>
      <c r="F1135" s="21">
        <f t="shared" si="336"/>
        <v>64</v>
      </c>
      <c r="G1135" s="53">
        <v>43902</v>
      </c>
      <c r="H1135" s="9">
        <v>2020</v>
      </c>
      <c r="I1135" s="50">
        <v>0</v>
      </c>
      <c r="J1135" s="50">
        <v>6</v>
      </c>
      <c r="K1135" s="50">
        <v>28</v>
      </c>
      <c r="L1135" s="24" t="s">
        <v>1874</v>
      </c>
      <c r="M1135" s="24"/>
      <c r="V1135" t="s">
        <v>979</v>
      </c>
      <c r="W1135" t="s">
        <v>989</v>
      </c>
      <c r="X1135" t="s">
        <v>997</v>
      </c>
      <c r="Y1135" t="s">
        <v>1000</v>
      </c>
      <c r="Z1135">
        <v>0</v>
      </c>
      <c r="AA1135">
        <v>-1</v>
      </c>
      <c r="AB1135">
        <v>-1</v>
      </c>
      <c r="AC1135">
        <v>-1</v>
      </c>
      <c r="AD1135">
        <v>-1</v>
      </c>
      <c r="AE1135">
        <v>-1</v>
      </c>
      <c r="AF1135">
        <v>-1</v>
      </c>
      <c r="AG1135">
        <v>-1</v>
      </c>
      <c r="AH1135">
        <v>-1</v>
      </c>
      <c r="AI1135">
        <v>-1</v>
      </c>
      <c r="AJ1135" s="9">
        <f t="shared" si="349"/>
        <v>28</v>
      </c>
      <c r="AK1135">
        <f t="shared" si="348"/>
        <v>0</v>
      </c>
      <c r="AL1135" s="9">
        <v>0</v>
      </c>
    </row>
    <row r="1136" spans="1:38" x14ac:dyDescent="0.35">
      <c r="A1136" s="50">
        <v>0</v>
      </c>
      <c r="B1136" s="50" t="s">
        <v>134</v>
      </c>
      <c r="C1136" s="53">
        <v>43887</v>
      </c>
      <c r="D1136" s="53">
        <v>43902</v>
      </c>
      <c r="E1136" s="53">
        <v>43966</v>
      </c>
      <c r="F1136" s="21">
        <f t="shared" si="336"/>
        <v>64</v>
      </c>
      <c r="G1136" s="53">
        <v>43902</v>
      </c>
      <c r="H1136" s="9">
        <v>2020</v>
      </c>
      <c r="I1136" s="50">
        <v>0</v>
      </c>
      <c r="J1136" s="50">
        <v>1</v>
      </c>
      <c r="K1136" s="50">
        <v>1</v>
      </c>
      <c r="L1136" s="24" t="s">
        <v>1515</v>
      </c>
      <c r="M1136" s="24"/>
      <c r="V1136" t="s">
        <v>979</v>
      </c>
      <c r="W1136" t="s">
        <v>989</v>
      </c>
      <c r="X1136" t="s">
        <v>997</v>
      </c>
      <c r="Y1136" t="s">
        <v>1000</v>
      </c>
      <c r="Z1136">
        <v>0</v>
      </c>
      <c r="AA1136">
        <v>-1</v>
      </c>
      <c r="AB1136">
        <v>-1</v>
      </c>
      <c r="AC1136">
        <v>-1</v>
      </c>
      <c r="AD1136">
        <v>-1</v>
      </c>
      <c r="AE1136">
        <v>-1</v>
      </c>
      <c r="AF1136">
        <v>-1</v>
      </c>
      <c r="AG1136">
        <v>-1</v>
      </c>
      <c r="AH1136">
        <v>-1</v>
      </c>
      <c r="AI1136">
        <v>-1</v>
      </c>
      <c r="AJ1136" s="9">
        <f t="shared" si="349"/>
        <v>1</v>
      </c>
      <c r="AK1136">
        <f t="shared" si="348"/>
        <v>0</v>
      </c>
      <c r="AL1136" s="9">
        <v>0</v>
      </c>
    </row>
    <row r="1137" spans="1:38" x14ac:dyDescent="0.35">
      <c r="A1137" s="50">
        <v>0</v>
      </c>
      <c r="B1137" s="50" t="s">
        <v>134</v>
      </c>
      <c r="C1137" s="53">
        <v>43887</v>
      </c>
      <c r="D1137" s="53">
        <v>43902</v>
      </c>
      <c r="E1137" s="53">
        <v>43966</v>
      </c>
      <c r="F1137" s="21">
        <f t="shared" si="336"/>
        <v>64</v>
      </c>
      <c r="G1137" s="53">
        <v>43902</v>
      </c>
      <c r="H1137" s="9">
        <v>2020</v>
      </c>
      <c r="I1137" s="50">
        <v>0</v>
      </c>
      <c r="J1137" s="50">
        <v>1</v>
      </c>
      <c r="K1137" s="50">
        <v>1</v>
      </c>
      <c r="L1137" s="24" t="s">
        <v>1516</v>
      </c>
      <c r="M1137" s="24"/>
      <c r="V1137" t="s">
        <v>979</v>
      </c>
      <c r="W1137" t="s">
        <v>989</v>
      </c>
      <c r="X1137" t="s">
        <v>997</v>
      </c>
      <c r="Y1137" t="s">
        <v>1000</v>
      </c>
      <c r="Z1137">
        <v>0</v>
      </c>
      <c r="AA1137">
        <v>-1</v>
      </c>
      <c r="AB1137">
        <v>-1</v>
      </c>
      <c r="AC1137">
        <v>-1</v>
      </c>
      <c r="AD1137">
        <v>-1</v>
      </c>
      <c r="AE1137">
        <v>-1</v>
      </c>
      <c r="AF1137">
        <v>-1</v>
      </c>
      <c r="AG1137">
        <v>-1</v>
      </c>
      <c r="AH1137">
        <v>-1</v>
      </c>
      <c r="AI1137">
        <v>-1</v>
      </c>
      <c r="AJ1137" s="9">
        <f t="shared" si="349"/>
        <v>1</v>
      </c>
      <c r="AK1137">
        <f t="shared" si="348"/>
        <v>0</v>
      </c>
      <c r="AL1137" s="9">
        <v>0</v>
      </c>
    </row>
    <row r="1138" spans="1:38" x14ac:dyDescent="0.35">
      <c r="A1138" s="50">
        <v>0</v>
      </c>
      <c r="B1138" s="50" t="s">
        <v>134</v>
      </c>
      <c r="C1138" s="53">
        <v>43887</v>
      </c>
      <c r="D1138" s="53">
        <v>43902</v>
      </c>
      <c r="E1138" s="53">
        <v>43966</v>
      </c>
      <c r="F1138" s="21">
        <f t="shared" si="336"/>
        <v>64</v>
      </c>
      <c r="G1138" s="53">
        <v>43902</v>
      </c>
      <c r="H1138" s="9">
        <v>2020</v>
      </c>
      <c r="I1138" s="50">
        <v>0</v>
      </c>
      <c r="J1138" s="50">
        <v>2</v>
      </c>
      <c r="K1138" s="50">
        <v>15</v>
      </c>
      <c r="L1138" s="24" t="s">
        <v>1517</v>
      </c>
      <c r="M1138" s="24"/>
      <c r="V1138" t="s">
        <v>979</v>
      </c>
      <c r="W1138" t="s">
        <v>989</v>
      </c>
      <c r="X1138" t="s">
        <v>997</v>
      </c>
      <c r="Y1138" t="s">
        <v>1000</v>
      </c>
      <c r="Z1138">
        <v>0</v>
      </c>
      <c r="AA1138">
        <v>-1</v>
      </c>
      <c r="AB1138">
        <v>-1</v>
      </c>
      <c r="AC1138">
        <v>-1</v>
      </c>
      <c r="AD1138">
        <v>-1</v>
      </c>
      <c r="AE1138">
        <v>-1</v>
      </c>
      <c r="AF1138">
        <v>-1</v>
      </c>
      <c r="AG1138">
        <v>-1</v>
      </c>
      <c r="AH1138">
        <v>-1</v>
      </c>
      <c r="AI1138">
        <v>-1</v>
      </c>
      <c r="AJ1138" s="9">
        <f t="shared" si="349"/>
        <v>15</v>
      </c>
      <c r="AK1138">
        <f t="shared" si="348"/>
        <v>0</v>
      </c>
      <c r="AL1138" s="9">
        <v>0</v>
      </c>
    </row>
    <row r="1139" spans="1:38" x14ac:dyDescent="0.35">
      <c r="A1139" s="50">
        <v>0</v>
      </c>
      <c r="B1139" s="50" t="s">
        <v>134</v>
      </c>
      <c r="C1139" s="53">
        <v>43887</v>
      </c>
      <c r="D1139" s="53">
        <v>43902</v>
      </c>
      <c r="E1139" s="53">
        <v>43966</v>
      </c>
      <c r="F1139" s="21">
        <f t="shared" si="336"/>
        <v>64</v>
      </c>
      <c r="G1139" s="53">
        <v>43902</v>
      </c>
      <c r="H1139" s="9">
        <v>2020</v>
      </c>
      <c r="I1139" s="50">
        <v>0</v>
      </c>
      <c r="J1139" s="50">
        <v>1</v>
      </c>
      <c r="K1139" s="50">
        <v>8</v>
      </c>
      <c r="L1139" s="24" t="s">
        <v>1518</v>
      </c>
      <c r="M1139" s="24"/>
      <c r="V1139" t="s">
        <v>979</v>
      </c>
      <c r="W1139" t="s">
        <v>989</v>
      </c>
      <c r="X1139" t="s">
        <v>997</v>
      </c>
      <c r="Y1139" t="s">
        <v>1000</v>
      </c>
      <c r="Z1139">
        <v>0</v>
      </c>
      <c r="AA1139">
        <v>-1</v>
      </c>
      <c r="AB1139">
        <v>-1</v>
      </c>
      <c r="AC1139">
        <v>-1</v>
      </c>
      <c r="AD1139">
        <v>-1</v>
      </c>
      <c r="AE1139">
        <v>-1</v>
      </c>
      <c r="AF1139">
        <v>-1</v>
      </c>
      <c r="AG1139">
        <v>-1</v>
      </c>
      <c r="AH1139">
        <v>-1</v>
      </c>
      <c r="AI1139">
        <v>-1</v>
      </c>
      <c r="AJ1139" s="9">
        <f t="shared" si="349"/>
        <v>8</v>
      </c>
      <c r="AK1139">
        <f t="shared" si="348"/>
        <v>0</v>
      </c>
      <c r="AL1139" s="9">
        <v>0</v>
      </c>
    </row>
    <row r="1140" spans="1:38" x14ac:dyDescent="0.35">
      <c r="A1140" s="50">
        <v>0</v>
      </c>
      <c r="B1140" s="50" t="s">
        <v>134</v>
      </c>
      <c r="C1140" s="53">
        <v>43887</v>
      </c>
      <c r="D1140" s="53">
        <v>43902</v>
      </c>
      <c r="E1140" s="53">
        <v>43966</v>
      </c>
      <c r="F1140" s="21">
        <f t="shared" si="336"/>
        <v>64</v>
      </c>
      <c r="G1140" s="53">
        <v>43902</v>
      </c>
      <c r="H1140" s="9">
        <v>2020</v>
      </c>
      <c r="I1140" s="50">
        <v>0</v>
      </c>
      <c r="J1140" s="50">
        <v>6</v>
      </c>
      <c r="K1140" s="50">
        <v>29</v>
      </c>
      <c r="L1140" s="24" t="s">
        <v>1519</v>
      </c>
      <c r="M1140" s="24"/>
      <c r="V1140" t="s">
        <v>979</v>
      </c>
      <c r="W1140" t="s">
        <v>989</v>
      </c>
      <c r="X1140" t="s">
        <v>997</v>
      </c>
      <c r="Y1140" t="s">
        <v>1000</v>
      </c>
      <c r="Z1140">
        <v>0</v>
      </c>
      <c r="AA1140">
        <v>-1</v>
      </c>
      <c r="AB1140">
        <v>-1</v>
      </c>
      <c r="AC1140">
        <v>-1</v>
      </c>
      <c r="AD1140">
        <v>-1</v>
      </c>
      <c r="AE1140">
        <v>-1</v>
      </c>
      <c r="AF1140">
        <v>-1</v>
      </c>
      <c r="AG1140">
        <v>-1</v>
      </c>
      <c r="AH1140">
        <v>-1</v>
      </c>
      <c r="AI1140">
        <v>-1</v>
      </c>
      <c r="AJ1140" s="9">
        <f t="shared" si="349"/>
        <v>29</v>
      </c>
      <c r="AK1140">
        <f t="shared" si="348"/>
        <v>0</v>
      </c>
      <c r="AL1140" s="9">
        <v>1</v>
      </c>
    </row>
    <row r="1141" spans="1:38" x14ac:dyDescent="0.35">
      <c r="A1141" s="50">
        <v>0</v>
      </c>
      <c r="B1141" s="50" t="s">
        <v>134</v>
      </c>
      <c r="C1141" s="53">
        <v>43887</v>
      </c>
      <c r="D1141" s="53">
        <v>43902</v>
      </c>
      <c r="E1141" s="53">
        <v>43966</v>
      </c>
      <c r="F1141" s="21">
        <f t="shared" si="336"/>
        <v>64</v>
      </c>
      <c r="G1141" s="53">
        <v>43902</v>
      </c>
      <c r="H1141" s="9">
        <v>2020</v>
      </c>
      <c r="I1141" s="50">
        <v>0</v>
      </c>
      <c r="J1141" s="50">
        <v>7</v>
      </c>
      <c r="K1141" s="50">
        <v>30</v>
      </c>
      <c r="L1141" s="24" t="s">
        <v>1520</v>
      </c>
      <c r="M1141" s="24"/>
      <c r="V1141" t="s">
        <v>979</v>
      </c>
      <c r="W1141" t="s">
        <v>989</v>
      </c>
      <c r="X1141" t="s">
        <v>997</v>
      </c>
      <c r="Y1141" t="s">
        <v>1000</v>
      </c>
      <c r="Z1141">
        <v>0</v>
      </c>
      <c r="AA1141">
        <v>-1</v>
      </c>
      <c r="AB1141">
        <v>-1</v>
      </c>
      <c r="AC1141">
        <v>-1</v>
      </c>
      <c r="AD1141">
        <v>-1</v>
      </c>
      <c r="AE1141">
        <v>-1</v>
      </c>
      <c r="AF1141">
        <v>-1</v>
      </c>
      <c r="AG1141">
        <v>-1</v>
      </c>
      <c r="AH1141">
        <v>-1</v>
      </c>
      <c r="AI1141">
        <v>-1</v>
      </c>
      <c r="AJ1141" s="9">
        <f t="shared" si="349"/>
        <v>30</v>
      </c>
      <c r="AK1141">
        <f t="shared" si="348"/>
        <v>0</v>
      </c>
      <c r="AL1141" s="9">
        <v>1</v>
      </c>
    </row>
    <row r="1142" spans="1:38" s="47" customFormat="1" x14ac:dyDescent="0.35">
      <c r="A1142" s="50">
        <v>0</v>
      </c>
      <c r="B1142" s="50" t="s">
        <v>134</v>
      </c>
      <c r="C1142" s="53">
        <v>43887</v>
      </c>
      <c r="D1142" s="53">
        <v>43902</v>
      </c>
      <c r="E1142" s="53">
        <v>43966</v>
      </c>
      <c r="F1142" s="21">
        <f t="shared" si="336"/>
        <v>64</v>
      </c>
      <c r="G1142" s="53">
        <v>43902</v>
      </c>
      <c r="H1142" s="9">
        <v>2021</v>
      </c>
      <c r="I1142" s="50">
        <v>0</v>
      </c>
      <c r="J1142" s="50">
        <v>7</v>
      </c>
      <c r="K1142" s="50">
        <v>31</v>
      </c>
      <c r="L1142" s="48" t="s">
        <v>1714</v>
      </c>
      <c r="M1142" s="48"/>
      <c r="V1142" t="s">
        <v>979</v>
      </c>
      <c r="AJ1142" s="47">
        <f t="shared" si="349"/>
        <v>31</v>
      </c>
    </row>
    <row r="1143" spans="1:38" s="47" customFormat="1" x14ac:dyDescent="0.35">
      <c r="A1143" s="50">
        <v>0</v>
      </c>
      <c r="B1143" s="50" t="s">
        <v>134</v>
      </c>
      <c r="C1143" s="53">
        <v>43887</v>
      </c>
      <c r="D1143" s="53">
        <v>43902</v>
      </c>
      <c r="E1143" s="53">
        <v>43966</v>
      </c>
      <c r="F1143" s="21">
        <f t="shared" si="336"/>
        <v>64</v>
      </c>
      <c r="G1143" s="53">
        <v>43902</v>
      </c>
      <c r="H1143" s="9">
        <v>2021</v>
      </c>
      <c r="I1143" s="50">
        <v>0</v>
      </c>
      <c r="J1143" s="50">
        <v>9</v>
      </c>
      <c r="K1143" s="50">
        <v>34</v>
      </c>
      <c r="L1143" s="48" t="s">
        <v>1715</v>
      </c>
      <c r="M1143" s="48"/>
      <c r="V1143" t="s">
        <v>979</v>
      </c>
      <c r="AJ1143" s="47">
        <f t="shared" si="349"/>
        <v>34</v>
      </c>
    </row>
    <row r="1144" spans="1:38" s="47" customFormat="1" x14ac:dyDescent="0.35">
      <c r="A1144" s="50">
        <v>1</v>
      </c>
      <c r="B1144" s="50" t="s">
        <v>134</v>
      </c>
      <c r="C1144" s="53">
        <v>43887</v>
      </c>
      <c r="D1144" s="53">
        <v>43902</v>
      </c>
      <c r="E1144" s="53">
        <v>43966</v>
      </c>
      <c r="F1144" s="21">
        <f t="shared" ref="F1144:F1149" si="350">DATEDIF(D1144,E1144,"D")</f>
        <v>64</v>
      </c>
      <c r="G1144" s="53">
        <v>43902</v>
      </c>
      <c r="H1144" s="9">
        <v>2021</v>
      </c>
      <c r="I1144" s="50">
        <v>0</v>
      </c>
      <c r="J1144" s="50">
        <v>9</v>
      </c>
      <c r="K1144" s="50">
        <v>34</v>
      </c>
      <c r="L1144" s="48" t="s">
        <v>2055</v>
      </c>
      <c r="M1144" s="48"/>
      <c r="V1144"/>
      <c r="AJ1144" s="47">
        <f t="shared" si="349"/>
        <v>34</v>
      </c>
    </row>
    <row r="1145" spans="1:38" s="47" customFormat="1" x14ac:dyDescent="0.35">
      <c r="A1145" s="50">
        <v>2</v>
      </c>
      <c r="B1145" s="50" t="s">
        <v>134</v>
      </c>
      <c r="C1145" s="53">
        <v>43887</v>
      </c>
      <c r="D1145" s="53">
        <v>43902</v>
      </c>
      <c r="E1145" s="53">
        <v>43966</v>
      </c>
      <c r="F1145" s="21">
        <f t="shared" si="350"/>
        <v>64</v>
      </c>
      <c r="G1145" s="53">
        <v>43902</v>
      </c>
      <c r="H1145" s="9">
        <v>2021</v>
      </c>
      <c r="I1145" s="50">
        <v>0</v>
      </c>
      <c r="J1145" s="50">
        <v>6</v>
      </c>
      <c r="K1145" s="50">
        <v>29</v>
      </c>
      <c r="L1145" s="48" t="s">
        <v>2056</v>
      </c>
      <c r="M1145" s="48"/>
      <c r="V1145"/>
      <c r="AJ1145" s="47">
        <f t="shared" si="349"/>
        <v>29</v>
      </c>
    </row>
    <row r="1146" spans="1:38" s="47" customFormat="1" x14ac:dyDescent="0.35">
      <c r="A1146" s="50">
        <v>3</v>
      </c>
      <c r="B1146" s="50" t="s">
        <v>134</v>
      </c>
      <c r="C1146" s="53">
        <v>43887</v>
      </c>
      <c r="D1146" s="53">
        <v>43902</v>
      </c>
      <c r="E1146" s="53">
        <v>43966</v>
      </c>
      <c r="F1146" s="21">
        <f t="shared" si="350"/>
        <v>64</v>
      </c>
      <c r="G1146" s="53">
        <v>43902</v>
      </c>
      <c r="H1146" s="9">
        <v>2021</v>
      </c>
      <c r="I1146" s="50">
        <v>0</v>
      </c>
      <c r="J1146" s="50">
        <v>1</v>
      </c>
      <c r="K1146" s="50">
        <v>6</v>
      </c>
      <c r="L1146" s="48" t="s">
        <v>2057</v>
      </c>
      <c r="M1146" s="48"/>
      <c r="V1146"/>
      <c r="AJ1146" s="47">
        <f t="shared" si="349"/>
        <v>6</v>
      </c>
    </row>
    <row r="1147" spans="1:38" s="47" customFormat="1" x14ac:dyDescent="0.35">
      <c r="A1147" s="50">
        <v>5</v>
      </c>
      <c r="B1147" s="50" t="s">
        <v>134</v>
      </c>
      <c r="C1147" s="53">
        <v>43887</v>
      </c>
      <c r="D1147" s="53">
        <v>43902</v>
      </c>
      <c r="E1147" s="53">
        <v>43966</v>
      </c>
      <c r="F1147" s="21">
        <f t="shared" si="350"/>
        <v>64</v>
      </c>
      <c r="G1147" s="53">
        <v>43902</v>
      </c>
      <c r="H1147" s="9">
        <v>2021</v>
      </c>
      <c r="I1147" s="50">
        <v>0</v>
      </c>
      <c r="J1147" s="50">
        <v>1</v>
      </c>
      <c r="K1147" s="50">
        <v>7</v>
      </c>
      <c r="L1147" s="48" t="s">
        <v>2058</v>
      </c>
      <c r="M1147" s="48"/>
      <c r="V1147"/>
    </row>
    <row r="1148" spans="1:38" s="47" customFormat="1" x14ac:dyDescent="0.35">
      <c r="A1148" s="50">
        <v>6</v>
      </c>
      <c r="B1148" s="50" t="s">
        <v>134</v>
      </c>
      <c r="C1148" s="53">
        <v>43887</v>
      </c>
      <c r="D1148" s="53">
        <v>43902</v>
      </c>
      <c r="E1148" s="53">
        <v>43966</v>
      </c>
      <c r="F1148" s="21">
        <f t="shared" si="350"/>
        <v>64</v>
      </c>
      <c r="G1148" s="53">
        <v>43902</v>
      </c>
      <c r="H1148" s="9">
        <v>2021</v>
      </c>
      <c r="I1148" s="50">
        <v>0</v>
      </c>
      <c r="J1148" s="50">
        <v>7</v>
      </c>
      <c r="K1148" s="50">
        <v>30</v>
      </c>
      <c r="L1148" s="48" t="s">
        <v>2059</v>
      </c>
      <c r="M1148" s="48"/>
      <c r="V1148"/>
    </row>
    <row r="1149" spans="1:38" s="47" customFormat="1" x14ac:dyDescent="0.35">
      <c r="A1149" s="50">
        <v>7</v>
      </c>
      <c r="B1149" s="50" t="s">
        <v>134</v>
      </c>
      <c r="C1149" s="53">
        <v>43887</v>
      </c>
      <c r="D1149" s="53">
        <v>43902</v>
      </c>
      <c r="E1149" s="53">
        <v>43966</v>
      </c>
      <c r="F1149" s="21">
        <f t="shared" si="350"/>
        <v>64</v>
      </c>
      <c r="G1149" s="53">
        <v>43902</v>
      </c>
      <c r="H1149" s="9">
        <v>2021</v>
      </c>
      <c r="I1149" s="50">
        <v>0</v>
      </c>
      <c r="J1149" s="50">
        <v>1</v>
      </c>
      <c r="K1149" s="50">
        <v>5</v>
      </c>
      <c r="L1149" s="48" t="s">
        <v>2060</v>
      </c>
      <c r="M1149" s="48"/>
      <c r="V1149"/>
    </row>
    <row r="1150" spans="1:38" x14ac:dyDescent="0.35">
      <c r="A1150" s="50">
        <v>0</v>
      </c>
      <c r="B1150" s="9" t="s">
        <v>145</v>
      </c>
      <c r="C1150" s="53">
        <v>43894</v>
      </c>
      <c r="D1150" s="53">
        <v>43904</v>
      </c>
      <c r="E1150" s="53">
        <v>43969</v>
      </c>
      <c r="F1150" s="21">
        <f t="shared" si="336"/>
        <v>65</v>
      </c>
      <c r="G1150" s="53">
        <v>43904</v>
      </c>
      <c r="H1150" s="9">
        <v>2020</v>
      </c>
      <c r="I1150" s="50">
        <v>0</v>
      </c>
      <c r="J1150" s="9">
        <v>6</v>
      </c>
      <c r="K1150" s="9">
        <v>25</v>
      </c>
      <c r="L1150" s="50" t="s">
        <v>794</v>
      </c>
      <c r="M1150">
        <v>2</v>
      </c>
      <c r="N1150">
        <v>1</v>
      </c>
      <c r="O1150">
        <v>2</v>
      </c>
      <c r="P1150">
        <v>-1</v>
      </c>
      <c r="Q1150">
        <v>2</v>
      </c>
      <c r="R1150">
        <v>1</v>
      </c>
      <c r="S1150">
        <v>1</v>
      </c>
      <c r="T1150">
        <v>-2</v>
      </c>
      <c r="U1150">
        <v>1</v>
      </c>
      <c r="V1150" t="s">
        <v>981</v>
      </c>
      <c r="W1150" t="s">
        <v>989</v>
      </c>
      <c r="X1150" t="s">
        <v>998</v>
      </c>
      <c r="Y1150" t="s">
        <v>1000</v>
      </c>
      <c r="Z1150">
        <v>0</v>
      </c>
      <c r="AA1150">
        <f t="shared" ref="AA1150:AA1179" si="351">IF(M1150&gt;0,1,IF(M1150&lt;0,0,-1))</f>
        <v>1</v>
      </c>
      <c r="AB1150">
        <f t="shared" ref="AB1150:AB1179" si="352">IF(N1150&gt;0,1,IF(N1150&lt;0,0,-1))</f>
        <v>1</v>
      </c>
      <c r="AC1150">
        <f t="shared" ref="AC1150:AC1179" si="353">IF(O1150&gt;0,1,IF(O1150&lt;0,0,-1))</f>
        <v>1</v>
      </c>
      <c r="AD1150">
        <f t="shared" ref="AD1150:AD1179" si="354">IF(P1150&gt;0,1,IF(P1150&lt;0,0,-1))</f>
        <v>0</v>
      </c>
      <c r="AE1150">
        <f t="shared" ref="AE1150:AE1179" si="355">IF(Q1150&gt;0,1,IF(Q1150&lt;0,0,-1))</f>
        <v>1</v>
      </c>
      <c r="AF1150">
        <f t="shared" ref="AF1150:AF1179" si="356">IF(R1150&gt;0,1,IF(R1150&lt;0,0,-1))</f>
        <v>1</v>
      </c>
      <c r="AG1150">
        <f t="shared" ref="AG1150:AG1179" si="357">IF(S1150&gt;0,1,IF(S1150&lt;0,0,-1))</f>
        <v>1</v>
      </c>
      <c r="AH1150">
        <f t="shared" ref="AH1150:AH1179" si="358">IF(T1150&gt;0,1,IF(T1150&lt;0,0,-1))</f>
        <v>0</v>
      </c>
      <c r="AI1150">
        <f t="shared" ref="AI1150:AI1179" si="359">IF(U1150&gt;0,1,IF(U1150&lt;0,0,-1))</f>
        <v>1</v>
      </c>
      <c r="AJ1150" s="9">
        <f t="shared" ref="AJ1150:AJ1152" si="360">IF(ISNUMBER(K1150),K1150,IF(OR(K1150="general",K1150="23;general"),"General",IF(OR(K1150="exemption",K1150="other (exemption)"),"Tax exemption/waiver/suspension","Other")))</f>
        <v>25</v>
      </c>
      <c r="AK1150" t="e">
        <f>IF(B1150&lt;&gt;#REF!,1,0)</f>
        <v>#REF!</v>
      </c>
      <c r="AL1150" s="9">
        <v>1</v>
      </c>
    </row>
    <row r="1151" spans="1:38" x14ac:dyDescent="0.35">
      <c r="A1151" s="50">
        <v>0</v>
      </c>
      <c r="B1151" s="9" t="s">
        <v>145</v>
      </c>
      <c r="C1151" s="53">
        <v>43894</v>
      </c>
      <c r="D1151" s="53">
        <v>43904</v>
      </c>
      <c r="E1151" s="53">
        <v>43969</v>
      </c>
      <c r="F1151" s="21">
        <f t="shared" si="336"/>
        <v>65</v>
      </c>
      <c r="G1151" s="53">
        <v>43904</v>
      </c>
      <c r="H1151" s="9">
        <v>2020</v>
      </c>
      <c r="I1151" s="50">
        <v>0</v>
      </c>
      <c r="J1151" s="9">
        <v>1</v>
      </c>
      <c r="K1151" s="9">
        <v>5</v>
      </c>
      <c r="L1151" s="50" t="s">
        <v>804</v>
      </c>
      <c r="M1151">
        <v>-2</v>
      </c>
      <c r="N1151">
        <v>2</v>
      </c>
      <c r="P1151">
        <v>-2</v>
      </c>
      <c r="Q1151">
        <v>2</v>
      </c>
      <c r="R1151">
        <v>2</v>
      </c>
      <c r="S1151">
        <v>2</v>
      </c>
      <c r="T1151">
        <v>2</v>
      </c>
      <c r="U1151">
        <v>1</v>
      </c>
      <c r="V1151" t="s">
        <v>981</v>
      </c>
      <c r="W1151" t="s">
        <v>989</v>
      </c>
      <c r="X1151" t="s">
        <v>998</v>
      </c>
      <c r="Y1151" t="s">
        <v>1000</v>
      </c>
      <c r="Z1151">
        <v>0</v>
      </c>
      <c r="AA1151">
        <f t="shared" si="351"/>
        <v>0</v>
      </c>
      <c r="AB1151">
        <f t="shared" si="352"/>
        <v>1</v>
      </c>
      <c r="AC1151">
        <f t="shared" si="353"/>
        <v>-1</v>
      </c>
      <c r="AD1151">
        <f t="shared" si="354"/>
        <v>0</v>
      </c>
      <c r="AE1151">
        <f t="shared" si="355"/>
        <v>1</v>
      </c>
      <c r="AF1151">
        <f t="shared" si="356"/>
        <v>1</v>
      </c>
      <c r="AG1151">
        <f t="shared" si="357"/>
        <v>1</v>
      </c>
      <c r="AH1151">
        <f t="shared" si="358"/>
        <v>1</v>
      </c>
      <c r="AI1151">
        <f t="shared" si="359"/>
        <v>1</v>
      </c>
      <c r="AJ1151" s="9">
        <f t="shared" si="360"/>
        <v>5</v>
      </c>
      <c r="AK1151">
        <f>IF(B1151&lt;&gt;B1150,1,0)</f>
        <v>0</v>
      </c>
      <c r="AL1151" s="9">
        <v>1</v>
      </c>
    </row>
    <row r="1152" spans="1:38" x14ac:dyDescent="0.35">
      <c r="A1152" s="50">
        <v>0</v>
      </c>
      <c r="B1152" s="9" t="s">
        <v>145</v>
      </c>
      <c r="C1152" s="53">
        <v>43894</v>
      </c>
      <c r="D1152" s="53">
        <v>43904</v>
      </c>
      <c r="E1152" s="53">
        <v>43969</v>
      </c>
      <c r="F1152" s="21">
        <f t="shared" si="336"/>
        <v>65</v>
      </c>
      <c r="G1152" s="53">
        <v>43904</v>
      </c>
      <c r="H1152" s="9">
        <v>2020</v>
      </c>
      <c r="I1152" s="50">
        <v>0</v>
      </c>
      <c r="J1152" s="9">
        <v>7</v>
      </c>
      <c r="K1152" s="9">
        <v>30</v>
      </c>
      <c r="L1152" s="50" t="s">
        <v>1790</v>
      </c>
      <c r="M1152">
        <v>1</v>
      </c>
      <c r="N1152">
        <v>1</v>
      </c>
      <c r="O1152">
        <v>2</v>
      </c>
      <c r="P1152">
        <v>1</v>
      </c>
      <c r="Q1152">
        <v>2</v>
      </c>
      <c r="R1152">
        <v>2</v>
      </c>
      <c r="S1152">
        <v>1</v>
      </c>
      <c r="T1152">
        <v>-2</v>
      </c>
      <c r="U1152">
        <v>1</v>
      </c>
      <c r="V1152" t="s">
        <v>981</v>
      </c>
      <c r="W1152" t="s">
        <v>989</v>
      </c>
      <c r="X1152" t="s">
        <v>998</v>
      </c>
      <c r="Y1152" t="s">
        <v>1000</v>
      </c>
      <c r="Z1152">
        <v>0</v>
      </c>
      <c r="AA1152">
        <f t="shared" si="351"/>
        <v>1</v>
      </c>
      <c r="AB1152">
        <f t="shared" si="352"/>
        <v>1</v>
      </c>
      <c r="AC1152">
        <f t="shared" si="353"/>
        <v>1</v>
      </c>
      <c r="AD1152">
        <f t="shared" si="354"/>
        <v>1</v>
      </c>
      <c r="AE1152">
        <f t="shared" si="355"/>
        <v>1</v>
      </c>
      <c r="AF1152">
        <f t="shared" si="356"/>
        <v>1</v>
      </c>
      <c r="AG1152">
        <f t="shared" si="357"/>
        <v>1</v>
      </c>
      <c r="AH1152">
        <f t="shared" si="358"/>
        <v>0</v>
      </c>
      <c r="AI1152">
        <f t="shared" si="359"/>
        <v>1</v>
      </c>
      <c r="AJ1152" s="9">
        <f t="shared" si="360"/>
        <v>30</v>
      </c>
      <c r="AK1152">
        <f>IF(B1152&lt;&gt;B1151,1,0)</f>
        <v>0</v>
      </c>
      <c r="AL1152" s="9">
        <v>1</v>
      </c>
    </row>
    <row r="1153" spans="1:38" x14ac:dyDescent="0.35">
      <c r="A1153" s="50">
        <v>0</v>
      </c>
      <c r="B1153" s="9" t="s">
        <v>145</v>
      </c>
      <c r="C1153" s="53">
        <v>43894</v>
      </c>
      <c r="D1153" s="53">
        <v>43904</v>
      </c>
      <c r="E1153" s="53">
        <v>43969</v>
      </c>
      <c r="F1153" s="21">
        <f t="shared" si="336"/>
        <v>65</v>
      </c>
      <c r="G1153" s="53">
        <v>43904</v>
      </c>
      <c r="H1153" s="9">
        <v>2020</v>
      </c>
      <c r="I1153" s="50">
        <v>0</v>
      </c>
      <c r="J1153" s="9">
        <v>2</v>
      </c>
      <c r="K1153" s="9">
        <v>14</v>
      </c>
      <c r="L1153" s="50" t="s">
        <v>798</v>
      </c>
      <c r="M1153">
        <v>-2</v>
      </c>
      <c r="N1153">
        <v>2</v>
      </c>
      <c r="O1153">
        <v>2</v>
      </c>
      <c r="P1153">
        <v>2</v>
      </c>
      <c r="Q1153">
        <v>2</v>
      </c>
      <c r="R1153">
        <v>2</v>
      </c>
      <c r="S1153">
        <v>1</v>
      </c>
      <c r="T1153">
        <v>2</v>
      </c>
      <c r="U1153">
        <v>1</v>
      </c>
      <c r="V1153" t="s">
        <v>981</v>
      </c>
      <c r="W1153" t="s">
        <v>989</v>
      </c>
      <c r="X1153" t="s">
        <v>998</v>
      </c>
      <c r="Y1153" t="s">
        <v>1000</v>
      </c>
      <c r="Z1153">
        <v>0</v>
      </c>
      <c r="AA1153">
        <f t="shared" si="351"/>
        <v>0</v>
      </c>
      <c r="AB1153">
        <f t="shared" si="352"/>
        <v>1</v>
      </c>
      <c r="AC1153">
        <f t="shared" si="353"/>
        <v>1</v>
      </c>
      <c r="AD1153">
        <f t="shared" si="354"/>
        <v>1</v>
      </c>
      <c r="AE1153">
        <f t="shared" si="355"/>
        <v>1</v>
      </c>
      <c r="AF1153">
        <f t="shared" si="356"/>
        <v>1</v>
      </c>
      <c r="AG1153">
        <f t="shared" si="357"/>
        <v>1</v>
      </c>
      <c r="AH1153">
        <f t="shared" si="358"/>
        <v>1</v>
      </c>
      <c r="AI1153">
        <f t="shared" si="359"/>
        <v>1</v>
      </c>
      <c r="AJ1153" s="9">
        <f t="shared" ref="AJ1153:AJ1222" si="361">IF(ISNUMBER(K1153),K1153,IF(OR(K1153="general",K1153="23;general"),"General",IF(OR(K1153="exemption",K1153="other (exemption)"),"Tax exemption/waiver/suspension","Other")))</f>
        <v>14</v>
      </c>
      <c r="AK1153">
        <f t="shared" ref="AK1153:AK1222" si="362">IF(B1153&lt;&gt;B1152,1,0)</f>
        <v>0</v>
      </c>
      <c r="AL1153" s="9">
        <v>1</v>
      </c>
    </row>
    <row r="1154" spans="1:38" x14ac:dyDescent="0.35">
      <c r="A1154" s="50">
        <v>0</v>
      </c>
      <c r="B1154" s="9" t="s">
        <v>145</v>
      </c>
      <c r="C1154" s="53">
        <v>43894</v>
      </c>
      <c r="D1154" s="53">
        <v>43904</v>
      </c>
      <c r="E1154" s="53">
        <v>43969</v>
      </c>
      <c r="F1154" s="21">
        <f t="shared" si="336"/>
        <v>65</v>
      </c>
      <c r="G1154" s="53">
        <v>43904</v>
      </c>
      <c r="H1154" s="9">
        <v>2020</v>
      </c>
      <c r="I1154" s="50">
        <v>0</v>
      </c>
      <c r="J1154" s="9">
        <v>1</v>
      </c>
      <c r="K1154" s="9">
        <v>8</v>
      </c>
      <c r="L1154" s="50" t="s">
        <v>779</v>
      </c>
      <c r="M1154">
        <v>-2</v>
      </c>
      <c r="N1154">
        <v>2</v>
      </c>
      <c r="O1154">
        <v>-2</v>
      </c>
      <c r="P1154">
        <v>-2</v>
      </c>
      <c r="Q1154">
        <v>-2</v>
      </c>
      <c r="R1154">
        <v>-2</v>
      </c>
      <c r="S1154">
        <v>-2</v>
      </c>
      <c r="T1154">
        <v>2</v>
      </c>
      <c r="U1154">
        <v>1</v>
      </c>
      <c r="V1154" t="s">
        <v>981</v>
      </c>
      <c r="W1154" t="s">
        <v>989</v>
      </c>
      <c r="X1154" t="s">
        <v>998</v>
      </c>
      <c r="Y1154" t="s">
        <v>1000</v>
      </c>
      <c r="Z1154">
        <v>0</v>
      </c>
      <c r="AA1154">
        <f t="shared" si="351"/>
        <v>0</v>
      </c>
      <c r="AB1154">
        <f t="shared" si="352"/>
        <v>1</v>
      </c>
      <c r="AC1154">
        <f t="shared" si="353"/>
        <v>0</v>
      </c>
      <c r="AD1154">
        <f t="shared" si="354"/>
        <v>0</v>
      </c>
      <c r="AE1154">
        <f t="shared" si="355"/>
        <v>0</v>
      </c>
      <c r="AF1154">
        <f t="shared" si="356"/>
        <v>0</v>
      </c>
      <c r="AG1154">
        <f t="shared" si="357"/>
        <v>0</v>
      </c>
      <c r="AH1154">
        <f t="shared" si="358"/>
        <v>1</v>
      </c>
      <c r="AI1154">
        <f t="shared" si="359"/>
        <v>1</v>
      </c>
      <c r="AJ1154" s="9">
        <f t="shared" si="361"/>
        <v>8</v>
      </c>
      <c r="AK1154">
        <f t="shared" si="362"/>
        <v>0</v>
      </c>
      <c r="AL1154" s="9">
        <v>1</v>
      </c>
    </row>
    <row r="1155" spans="1:38" x14ac:dyDescent="0.35">
      <c r="A1155" s="50">
        <v>0</v>
      </c>
      <c r="B1155" s="9" t="s">
        <v>145</v>
      </c>
      <c r="C1155" s="53">
        <v>43894</v>
      </c>
      <c r="D1155" s="53">
        <v>43904</v>
      </c>
      <c r="E1155" s="53">
        <v>43969</v>
      </c>
      <c r="F1155" s="21">
        <f t="shared" si="336"/>
        <v>65</v>
      </c>
      <c r="G1155" s="53">
        <v>43904</v>
      </c>
      <c r="H1155" s="9">
        <v>2020</v>
      </c>
      <c r="I1155" s="50">
        <v>0</v>
      </c>
      <c r="J1155" s="9">
        <v>7</v>
      </c>
      <c r="K1155" s="9">
        <v>30</v>
      </c>
      <c r="L1155" s="50" t="s">
        <v>805</v>
      </c>
      <c r="M1155">
        <v>1</v>
      </c>
      <c r="N1155">
        <v>1</v>
      </c>
      <c r="O1155">
        <v>2</v>
      </c>
      <c r="P1155">
        <v>1</v>
      </c>
      <c r="Q1155">
        <v>2</v>
      </c>
      <c r="R1155">
        <v>2</v>
      </c>
      <c r="S1155">
        <v>1</v>
      </c>
      <c r="T1155">
        <v>2</v>
      </c>
      <c r="U1155">
        <v>1</v>
      </c>
      <c r="V1155" t="s">
        <v>981</v>
      </c>
      <c r="W1155" t="s">
        <v>989</v>
      </c>
      <c r="X1155" t="s">
        <v>998</v>
      </c>
      <c r="Y1155" t="s">
        <v>1000</v>
      </c>
      <c r="Z1155">
        <v>0</v>
      </c>
      <c r="AA1155">
        <f t="shared" si="351"/>
        <v>1</v>
      </c>
      <c r="AB1155">
        <f t="shared" si="352"/>
        <v>1</v>
      </c>
      <c r="AC1155">
        <f t="shared" si="353"/>
        <v>1</v>
      </c>
      <c r="AD1155">
        <f t="shared" si="354"/>
        <v>1</v>
      </c>
      <c r="AE1155">
        <f t="shared" si="355"/>
        <v>1</v>
      </c>
      <c r="AF1155">
        <f t="shared" si="356"/>
        <v>1</v>
      </c>
      <c r="AG1155">
        <f t="shared" si="357"/>
        <v>1</v>
      </c>
      <c r="AH1155">
        <f t="shared" si="358"/>
        <v>1</v>
      </c>
      <c r="AI1155">
        <f t="shared" si="359"/>
        <v>1</v>
      </c>
      <c r="AJ1155" s="9">
        <f t="shared" si="361"/>
        <v>30</v>
      </c>
      <c r="AK1155">
        <f t="shared" si="362"/>
        <v>0</v>
      </c>
      <c r="AL1155" s="9">
        <v>1</v>
      </c>
    </row>
    <row r="1156" spans="1:38" x14ac:dyDescent="0.35">
      <c r="A1156" s="50">
        <v>0</v>
      </c>
      <c r="B1156" s="9" t="s">
        <v>145</v>
      </c>
      <c r="C1156" s="53">
        <v>43894</v>
      </c>
      <c r="D1156" s="53">
        <v>43904</v>
      </c>
      <c r="E1156" s="53">
        <v>43969</v>
      </c>
      <c r="F1156" s="21">
        <f t="shared" ref="F1156:F1225" si="363">DATEDIF(D1156,E1156,"D")</f>
        <v>65</v>
      </c>
      <c r="G1156" s="53">
        <v>43904</v>
      </c>
      <c r="H1156" s="9">
        <v>2020</v>
      </c>
      <c r="I1156" s="50">
        <v>0</v>
      </c>
      <c r="J1156" s="9">
        <v>1</v>
      </c>
      <c r="K1156" s="9">
        <v>6</v>
      </c>
      <c r="L1156" s="50" t="s">
        <v>801</v>
      </c>
      <c r="M1156">
        <v>-2</v>
      </c>
      <c r="N1156">
        <v>2</v>
      </c>
      <c r="O1156">
        <v>2</v>
      </c>
      <c r="P1156">
        <v>2</v>
      </c>
      <c r="Q1156">
        <v>2</v>
      </c>
      <c r="R1156">
        <v>2</v>
      </c>
      <c r="S1156">
        <v>1</v>
      </c>
      <c r="T1156">
        <v>2</v>
      </c>
      <c r="U1156">
        <v>1</v>
      </c>
      <c r="V1156" t="s">
        <v>981</v>
      </c>
      <c r="W1156" t="s">
        <v>989</v>
      </c>
      <c r="X1156" t="s">
        <v>998</v>
      </c>
      <c r="Y1156" t="s">
        <v>1000</v>
      </c>
      <c r="Z1156">
        <v>0</v>
      </c>
      <c r="AA1156">
        <f t="shared" si="351"/>
        <v>0</v>
      </c>
      <c r="AB1156">
        <f t="shared" si="352"/>
        <v>1</v>
      </c>
      <c r="AC1156">
        <f t="shared" si="353"/>
        <v>1</v>
      </c>
      <c r="AD1156">
        <f t="shared" si="354"/>
        <v>1</v>
      </c>
      <c r="AE1156">
        <f t="shared" si="355"/>
        <v>1</v>
      </c>
      <c r="AF1156">
        <f t="shared" si="356"/>
        <v>1</v>
      </c>
      <c r="AG1156">
        <f t="shared" si="357"/>
        <v>1</v>
      </c>
      <c r="AH1156">
        <f t="shared" si="358"/>
        <v>1</v>
      </c>
      <c r="AI1156">
        <f t="shared" si="359"/>
        <v>1</v>
      </c>
      <c r="AJ1156" s="9">
        <f t="shared" si="361"/>
        <v>6</v>
      </c>
      <c r="AK1156">
        <f t="shared" si="362"/>
        <v>0</v>
      </c>
      <c r="AL1156" s="9">
        <v>1</v>
      </c>
    </row>
    <row r="1157" spans="1:38" x14ac:dyDescent="0.35">
      <c r="A1157" s="50">
        <v>0</v>
      </c>
      <c r="B1157" s="9" t="s">
        <v>145</v>
      </c>
      <c r="C1157" s="53">
        <v>43894</v>
      </c>
      <c r="D1157" s="53">
        <v>43904</v>
      </c>
      <c r="E1157" s="53">
        <v>43969</v>
      </c>
      <c r="F1157" s="21">
        <f t="shared" si="363"/>
        <v>65</v>
      </c>
      <c r="G1157" s="53">
        <v>43904</v>
      </c>
      <c r="H1157" s="9">
        <v>2020</v>
      </c>
      <c r="I1157" s="50">
        <v>0</v>
      </c>
      <c r="J1157" s="9">
        <v>2</v>
      </c>
      <c r="K1157" s="9">
        <v>13</v>
      </c>
      <c r="L1157" s="50" t="s">
        <v>780</v>
      </c>
      <c r="M1157">
        <v>-2</v>
      </c>
      <c r="N1157">
        <v>2</v>
      </c>
      <c r="O1157">
        <v>2</v>
      </c>
      <c r="P1157">
        <v>2</v>
      </c>
      <c r="Q1157">
        <v>2</v>
      </c>
      <c r="R1157">
        <v>2</v>
      </c>
      <c r="S1157">
        <v>1</v>
      </c>
      <c r="T1157">
        <v>2</v>
      </c>
      <c r="U1157">
        <v>1</v>
      </c>
      <c r="V1157" t="s">
        <v>981</v>
      </c>
      <c r="W1157" t="s">
        <v>989</v>
      </c>
      <c r="X1157" t="s">
        <v>998</v>
      </c>
      <c r="Y1157" t="s">
        <v>1000</v>
      </c>
      <c r="Z1157">
        <v>0</v>
      </c>
      <c r="AA1157">
        <f t="shared" si="351"/>
        <v>0</v>
      </c>
      <c r="AB1157">
        <f t="shared" si="352"/>
        <v>1</v>
      </c>
      <c r="AC1157">
        <f t="shared" si="353"/>
        <v>1</v>
      </c>
      <c r="AD1157">
        <f t="shared" si="354"/>
        <v>1</v>
      </c>
      <c r="AE1157">
        <f t="shared" si="355"/>
        <v>1</v>
      </c>
      <c r="AF1157">
        <f t="shared" si="356"/>
        <v>1</v>
      </c>
      <c r="AG1157">
        <f t="shared" si="357"/>
        <v>1</v>
      </c>
      <c r="AH1157">
        <f t="shared" si="358"/>
        <v>1</v>
      </c>
      <c r="AI1157">
        <f t="shared" si="359"/>
        <v>1</v>
      </c>
      <c r="AJ1157" s="9">
        <f t="shared" si="361"/>
        <v>13</v>
      </c>
      <c r="AK1157">
        <f t="shared" si="362"/>
        <v>0</v>
      </c>
      <c r="AL1157" s="9">
        <v>1</v>
      </c>
    </row>
    <row r="1158" spans="1:38" x14ac:dyDescent="0.35">
      <c r="A1158" s="50">
        <v>0</v>
      </c>
      <c r="B1158" s="9" t="s">
        <v>145</v>
      </c>
      <c r="C1158" s="53">
        <v>43894</v>
      </c>
      <c r="D1158" s="53">
        <v>43904</v>
      </c>
      <c r="E1158" s="53">
        <v>43969</v>
      </c>
      <c r="F1158" s="21">
        <f t="shared" si="363"/>
        <v>65</v>
      </c>
      <c r="G1158" s="53">
        <v>43904</v>
      </c>
      <c r="H1158" s="9">
        <v>2020</v>
      </c>
      <c r="I1158" s="50">
        <v>0</v>
      </c>
      <c r="J1158" s="9">
        <v>3</v>
      </c>
      <c r="K1158" s="9" t="s">
        <v>206</v>
      </c>
      <c r="L1158" s="50" t="s">
        <v>791</v>
      </c>
      <c r="M1158">
        <v>2</v>
      </c>
      <c r="N1158">
        <v>2</v>
      </c>
      <c r="O1158">
        <v>-2</v>
      </c>
      <c r="P1158">
        <v>-1</v>
      </c>
      <c r="Q1158">
        <v>2</v>
      </c>
      <c r="R1158">
        <v>2</v>
      </c>
      <c r="S1158">
        <v>-2</v>
      </c>
      <c r="T1158">
        <v>-2</v>
      </c>
      <c r="U1158">
        <v>1</v>
      </c>
      <c r="V1158" t="s">
        <v>981</v>
      </c>
      <c r="W1158" t="s">
        <v>989</v>
      </c>
      <c r="X1158" t="s">
        <v>998</v>
      </c>
      <c r="Y1158" t="s">
        <v>1000</v>
      </c>
      <c r="Z1158">
        <v>0</v>
      </c>
      <c r="AA1158">
        <f t="shared" si="351"/>
        <v>1</v>
      </c>
      <c r="AB1158">
        <f t="shared" si="352"/>
        <v>1</v>
      </c>
      <c r="AC1158">
        <f t="shared" si="353"/>
        <v>0</v>
      </c>
      <c r="AD1158">
        <f t="shared" si="354"/>
        <v>0</v>
      </c>
      <c r="AE1158">
        <f t="shared" si="355"/>
        <v>1</v>
      </c>
      <c r="AF1158">
        <f t="shared" si="356"/>
        <v>1</v>
      </c>
      <c r="AG1158">
        <f t="shared" si="357"/>
        <v>0</v>
      </c>
      <c r="AH1158">
        <f t="shared" si="358"/>
        <v>0</v>
      </c>
      <c r="AI1158">
        <f t="shared" si="359"/>
        <v>1</v>
      </c>
      <c r="AJ1158" s="9" t="str">
        <f t="shared" si="361"/>
        <v>Tax exemption/waiver/suspension</v>
      </c>
      <c r="AK1158">
        <f t="shared" si="362"/>
        <v>0</v>
      </c>
      <c r="AL1158" s="9">
        <v>1</v>
      </c>
    </row>
    <row r="1159" spans="1:38" x14ac:dyDescent="0.35">
      <c r="A1159" s="50">
        <v>0</v>
      </c>
      <c r="B1159" s="9" t="s">
        <v>145</v>
      </c>
      <c r="C1159" s="53">
        <v>43894</v>
      </c>
      <c r="D1159" s="53">
        <v>43904</v>
      </c>
      <c r="E1159" s="53">
        <v>43969</v>
      </c>
      <c r="F1159" s="21">
        <f t="shared" si="363"/>
        <v>65</v>
      </c>
      <c r="G1159" s="53">
        <v>43904</v>
      </c>
      <c r="H1159" s="9">
        <v>2020</v>
      </c>
      <c r="I1159" s="50">
        <v>0</v>
      </c>
      <c r="J1159" s="9">
        <v>3</v>
      </c>
      <c r="K1159" s="9" t="s">
        <v>206</v>
      </c>
      <c r="L1159" s="50" t="s">
        <v>781</v>
      </c>
      <c r="M1159">
        <v>2</v>
      </c>
      <c r="N1159">
        <v>2</v>
      </c>
      <c r="O1159">
        <v>-2</v>
      </c>
      <c r="P1159">
        <v>-1</v>
      </c>
      <c r="Q1159">
        <v>-2</v>
      </c>
      <c r="R1159">
        <v>2</v>
      </c>
      <c r="S1159">
        <v>-2</v>
      </c>
      <c r="T1159">
        <v>-2</v>
      </c>
      <c r="U1159">
        <v>1</v>
      </c>
      <c r="V1159" t="s">
        <v>981</v>
      </c>
      <c r="W1159" t="s">
        <v>989</v>
      </c>
      <c r="X1159" t="s">
        <v>998</v>
      </c>
      <c r="Y1159" t="s">
        <v>1000</v>
      </c>
      <c r="Z1159">
        <v>0</v>
      </c>
      <c r="AA1159">
        <f t="shared" si="351"/>
        <v>1</v>
      </c>
      <c r="AB1159">
        <f t="shared" si="352"/>
        <v>1</v>
      </c>
      <c r="AC1159">
        <f t="shared" si="353"/>
        <v>0</v>
      </c>
      <c r="AD1159">
        <f t="shared" si="354"/>
        <v>0</v>
      </c>
      <c r="AE1159">
        <f t="shared" si="355"/>
        <v>0</v>
      </c>
      <c r="AF1159">
        <f t="shared" si="356"/>
        <v>1</v>
      </c>
      <c r="AG1159">
        <f t="shared" si="357"/>
        <v>0</v>
      </c>
      <c r="AH1159">
        <f t="shared" si="358"/>
        <v>0</v>
      </c>
      <c r="AI1159">
        <f t="shared" si="359"/>
        <v>1</v>
      </c>
      <c r="AJ1159" s="9" t="str">
        <f t="shared" si="361"/>
        <v>Tax exemption/waiver/suspension</v>
      </c>
      <c r="AK1159">
        <f t="shared" si="362"/>
        <v>0</v>
      </c>
      <c r="AL1159" s="9">
        <v>1</v>
      </c>
    </row>
    <row r="1160" spans="1:38" x14ac:dyDescent="0.35">
      <c r="A1160" s="50">
        <v>0</v>
      </c>
      <c r="B1160" s="9" t="s">
        <v>145</v>
      </c>
      <c r="C1160" s="53">
        <v>43894</v>
      </c>
      <c r="D1160" s="53">
        <v>43904</v>
      </c>
      <c r="E1160" s="53">
        <v>43969</v>
      </c>
      <c r="F1160" s="21">
        <f t="shared" si="363"/>
        <v>65</v>
      </c>
      <c r="G1160" s="53">
        <v>43904</v>
      </c>
      <c r="H1160" s="9">
        <v>2020</v>
      </c>
      <c r="I1160" s="50">
        <v>0</v>
      </c>
      <c r="J1160" s="9">
        <v>6</v>
      </c>
      <c r="K1160" s="9">
        <v>29</v>
      </c>
      <c r="L1160" s="50" t="s">
        <v>788</v>
      </c>
      <c r="M1160">
        <v>1</v>
      </c>
      <c r="N1160">
        <v>1</v>
      </c>
      <c r="O1160">
        <v>2</v>
      </c>
      <c r="P1160">
        <v>-1</v>
      </c>
      <c r="Q1160">
        <v>-2</v>
      </c>
      <c r="R1160">
        <v>2</v>
      </c>
      <c r="S1160">
        <v>1</v>
      </c>
      <c r="T1160">
        <v>-2</v>
      </c>
      <c r="U1160">
        <v>1</v>
      </c>
      <c r="V1160" t="s">
        <v>981</v>
      </c>
      <c r="W1160" t="s">
        <v>989</v>
      </c>
      <c r="X1160" t="s">
        <v>998</v>
      </c>
      <c r="Y1160" t="s">
        <v>1000</v>
      </c>
      <c r="Z1160">
        <v>0</v>
      </c>
      <c r="AA1160">
        <f t="shared" si="351"/>
        <v>1</v>
      </c>
      <c r="AB1160">
        <f t="shared" si="352"/>
        <v>1</v>
      </c>
      <c r="AC1160">
        <f t="shared" si="353"/>
        <v>1</v>
      </c>
      <c r="AD1160">
        <f t="shared" si="354"/>
        <v>0</v>
      </c>
      <c r="AE1160">
        <f t="shared" si="355"/>
        <v>0</v>
      </c>
      <c r="AF1160">
        <f t="shared" si="356"/>
        <v>1</v>
      </c>
      <c r="AG1160">
        <f t="shared" si="357"/>
        <v>1</v>
      </c>
      <c r="AH1160">
        <f t="shared" si="358"/>
        <v>0</v>
      </c>
      <c r="AI1160">
        <f t="shared" si="359"/>
        <v>1</v>
      </c>
      <c r="AJ1160" s="9">
        <f t="shared" si="361"/>
        <v>29</v>
      </c>
      <c r="AK1160">
        <f t="shared" si="362"/>
        <v>0</v>
      </c>
      <c r="AL1160" s="9">
        <v>1</v>
      </c>
    </row>
    <row r="1161" spans="1:38" x14ac:dyDescent="0.35">
      <c r="A1161" s="50">
        <v>0</v>
      </c>
      <c r="B1161" s="9" t="s">
        <v>145</v>
      </c>
      <c r="C1161" s="53">
        <v>43894</v>
      </c>
      <c r="D1161" s="53">
        <v>43904</v>
      </c>
      <c r="E1161" s="53">
        <v>43969</v>
      </c>
      <c r="F1161" s="21">
        <f t="shared" si="363"/>
        <v>65</v>
      </c>
      <c r="G1161" s="53">
        <v>43904</v>
      </c>
      <c r="H1161" s="9">
        <v>2020</v>
      </c>
      <c r="I1161" s="50">
        <v>0</v>
      </c>
      <c r="J1161" s="9">
        <v>6</v>
      </c>
      <c r="K1161" s="9">
        <v>29</v>
      </c>
      <c r="L1161" s="50" t="s">
        <v>793</v>
      </c>
      <c r="M1161">
        <v>1</v>
      </c>
      <c r="N1161">
        <v>1</v>
      </c>
      <c r="O1161">
        <v>2</v>
      </c>
      <c r="P1161">
        <v>-1</v>
      </c>
      <c r="Q1161">
        <v>2</v>
      </c>
      <c r="R1161">
        <v>2</v>
      </c>
      <c r="S1161">
        <v>1</v>
      </c>
      <c r="T1161">
        <v>2</v>
      </c>
      <c r="U1161">
        <v>1</v>
      </c>
      <c r="V1161" t="s">
        <v>981</v>
      </c>
      <c r="W1161" t="s">
        <v>989</v>
      </c>
      <c r="X1161" t="s">
        <v>998</v>
      </c>
      <c r="Y1161" t="s">
        <v>1000</v>
      </c>
      <c r="Z1161">
        <v>0</v>
      </c>
      <c r="AA1161">
        <f t="shared" si="351"/>
        <v>1</v>
      </c>
      <c r="AB1161">
        <f t="shared" si="352"/>
        <v>1</v>
      </c>
      <c r="AC1161">
        <f t="shared" si="353"/>
        <v>1</v>
      </c>
      <c r="AD1161">
        <f t="shared" si="354"/>
        <v>0</v>
      </c>
      <c r="AE1161">
        <f t="shared" si="355"/>
        <v>1</v>
      </c>
      <c r="AF1161">
        <f t="shared" si="356"/>
        <v>1</v>
      </c>
      <c r="AG1161">
        <f t="shared" si="357"/>
        <v>1</v>
      </c>
      <c r="AH1161">
        <f t="shared" si="358"/>
        <v>1</v>
      </c>
      <c r="AI1161">
        <f t="shared" si="359"/>
        <v>1</v>
      </c>
      <c r="AJ1161" s="9">
        <f t="shared" si="361"/>
        <v>29</v>
      </c>
      <c r="AK1161">
        <f t="shared" si="362"/>
        <v>0</v>
      </c>
      <c r="AL1161" s="9">
        <v>1</v>
      </c>
    </row>
    <row r="1162" spans="1:38" x14ac:dyDescent="0.35">
      <c r="A1162" s="50">
        <v>0</v>
      </c>
      <c r="B1162" s="9" t="s">
        <v>145</v>
      </c>
      <c r="C1162" s="53">
        <v>43894</v>
      </c>
      <c r="D1162" s="53">
        <v>43904</v>
      </c>
      <c r="E1162" s="53">
        <v>43969</v>
      </c>
      <c r="F1162" s="21">
        <f t="shared" si="363"/>
        <v>65</v>
      </c>
      <c r="G1162" s="53">
        <v>43904</v>
      </c>
      <c r="H1162" s="9">
        <v>2020</v>
      </c>
      <c r="I1162" s="50">
        <v>0</v>
      </c>
      <c r="J1162" s="9">
        <v>1</v>
      </c>
      <c r="K1162" s="9">
        <v>5</v>
      </c>
      <c r="L1162" s="50" t="s">
        <v>789</v>
      </c>
      <c r="M1162">
        <v>-2</v>
      </c>
      <c r="N1162">
        <v>2</v>
      </c>
      <c r="O1162">
        <v>2</v>
      </c>
      <c r="P1162">
        <v>2</v>
      </c>
      <c r="Q1162">
        <v>2</v>
      </c>
      <c r="R1162">
        <v>2</v>
      </c>
      <c r="S1162">
        <v>1</v>
      </c>
      <c r="T1162">
        <v>2</v>
      </c>
      <c r="U1162">
        <v>1</v>
      </c>
      <c r="V1162" t="s">
        <v>981</v>
      </c>
      <c r="W1162" t="s">
        <v>989</v>
      </c>
      <c r="X1162" t="s">
        <v>998</v>
      </c>
      <c r="Y1162" t="s">
        <v>1000</v>
      </c>
      <c r="Z1162">
        <v>0</v>
      </c>
      <c r="AA1162">
        <f t="shared" si="351"/>
        <v>0</v>
      </c>
      <c r="AB1162">
        <f t="shared" si="352"/>
        <v>1</v>
      </c>
      <c r="AC1162">
        <f t="shared" si="353"/>
        <v>1</v>
      </c>
      <c r="AD1162">
        <f t="shared" si="354"/>
        <v>1</v>
      </c>
      <c r="AE1162">
        <f t="shared" si="355"/>
        <v>1</v>
      </c>
      <c r="AF1162">
        <f t="shared" si="356"/>
        <v>1</v>
      </c>
      <c r="AG1162">
        <f t="shared" si="357"/>
        <v>1</v>
      </c>
      <c r="AH1162">
        <f t="shared" si="358"/>
        <v>1</v>
      </c>
      <c r="AI1162">
        <f t="shared" si="359"/>
        <v>1</v>
      </c>
      <c r="AJ1162" s="9">
        <f t="shared" si="361"/>
        <v>5</v>
      </c>
      <c r="AK1162">
        <f t="shared" si="362"/>
        <v>0</v>
      </c>
      <c r="AL1162" s="9">
        <v>1</v>
      </c>
    </row>
    <row r="1163" spans="1:38" x14ac:dyDescent="0.35">
      <c r="A1163" s="50">
        <v>0</v>
      </c>
      <c r="B1163" s="9" t="s">
        <v>145</v>
      </c>
      <c r="C1163" s="53">
        <v>43894</v>
      </c>
      <c r="D1163" s="53">
        <v>43904</v>
      </c>
      <c r="E1163" s="53">
        <v>43969</v>
      </c>
      <c r="F1163" s="21">
        <f t="shared" si="363"/>
        <v>65</v>
      </c>
      <c r="G1163" s="53">
        <v>43904</v>
      </c>
      <c r="H1163" s="9">
        <v>2020</v>
      </c>
      <c r="I1163" s="50">
        <v>0</v>
      </c>
      <c r="J1163" s="9">
        <v>7</v>
      </c>
      <c r="K1163" s="9">
        <v>30</v>
      </c>
      <c r="L1163" s="50" t="s">
        <v>803</v>
      </c>
      <c r="M1163">
        <v>1</v>
      </c>
      <c r="N1163">
        <v>1</v>
      </c>
      <c r="O1163">
        <v>2</v>
      </c>
      <c r="P1163">
        <v>1</v>
      </c>
      <c r="Q1163">
        <v>2</v>
      </c>
      <c r="R1163">
        <v>2</v>
      </c>
      <c r="S1163">
        <v>1</v>
      </c>
      <c r="T1163">
        <v>-2</v>
      </c>
      <c r="U1163">
        <v>1</v>
      </c>
      <c r="V1163" t="s">
        <v>981</v>
      </c>
      <c r="W1163" t="s">
        <v>989</v>
      </c>
      <c r="X1163" t="s">
        <v>998</v>
      </c>
      <c r="Y1163" t="s">
        <v>1000</v>
      </c>
      <c r="Z1163">
        <v>0</v>
      </c>
      <c r="AA1163">
        <f t="shared" si="351"/>
        <v>1</v>
      </c>
      <c r="AB1163">
        <f t="shared" si="352"/>
        <v>1</v>
      </c>
      <c r="AC1163">
        <f t="shared" si="353"/>
        <v>1</v>
      </c>
      <c r="AD1163">
        <f t="shared" si="354"/>
        <v>1</v>
      </c>
      <c r="AE1163">
        <f t="shared" si="355"/>
        <v>1</v>
      </c>
      <c r="AF1163">
        <f t="shared" si="356"/>
        <v>1</v>
      </c>
      <c r="AG1163">
        <f t="shared" si="357"/>
        <v>1</v>
      </c>
      <c r="AH1163">
        <f t="shared" si="358"/>
        <v>0</v>
      </c>
      <c r="AI1163">
        <f t="shared" si="359"/>
        <v>1</v>
      </c>
      <c r="AJ1163" s="9">
        <f t="shared" si="361"/>
        <v>30</v>
      </c>
      <c r="AK1163">
        <f t="shared" si="362"/>
        <v>0</v>
      </c>
      <c r="AL1163" s="9">
        <v>1</v>
      </c>
    </row>
    <row r="1164" spans="1:38" x14ac:dyDescent="0.35">
      <c r="A1164" s="50">
        <v>0</v>
      </c>
      <c r="B1164" s="9" t="s">
        <v>145</v>
      </c>
      <c r="C1164" s="53">
        <v>43894</v>
      </c>
      <c r="D1164" s="53">
        <v>43904</v>
      </c>
      <c r="E1164" s="53">
        <v>43969</v>
      </c>
      <c r="F1164" s="21">
        <f t="shared" si="363"/>
        <v>65</v>
      </c>
      <c r="G1164" s="53">
        <v>43904</v>
      </c>
      <c r="H1164" s="9">
        <v>2020</v>
      </c>
      <c r="I1164" s="50">
        <v>0</v>
      </c>
      <c r="J1164" s="9">
        <v>2</v>
      </c>
      <c r="K1164" s="9">
        <v>14</v>
      </c>
      <c r="L1164" s="50" t="s">
        <v>792</v>
      </c>
      <c r="M1164">
        <v>2</v>
      </c>
      <c r="N1164">
        <v>2</v>
      </c>
      <c r="O1164">
        <v>2</v>
      </c>
      <c r="P1164">
        <v>2</v>
      </c>
      <c r="Q1164">
        <v>2</v>
      </c>
      <c r="R1164">
        <v>2</v>
      </c>
      <c r="S1164">
        <v>-2</v>
      </c>
      <c r="T1164">
        <v>2</v>
      </c>
      <c r="U1164">
        <v>1</v>
      </c>
      <c r="V1164" t="s">
        <v>981</v>
      </c>
      <c r="W1164" t="s">
        <v>989</v>
      </c>
      <c r="X1164" t="s">
        <v>998</v>
      </c>
      <c r="Y1164" t="s">
        <v>1000</v>
      </c>
      <c r="Z1164">
        <v>0</v>
      </c>
      <c r="AA1164">
        <f t="shared" si="351"/>
        <v>1</v>
      </c>
      <c r="AB1164">
        <f t="shared" si="352"/>
        <v>1</v>
      </c>
      <c r="AC1164">
        <f t="shared" si="353"/>
        <v>1</v>
      </c>
      <c r="AD1164">
        <f t="shared" si="354"/>
        <v>1</v>
      </c>
      <c r="AE1164">
        <f t="shared" si="355"/>
        <v>1</v>
      </c>
      <c r="AF1164">
        <f t="shared" si="356"/>
        <v>1</v>
      </c>
      <c r="AG1164">
        <f t="shared" si="357"/>
        <v>0</v>
      </c>
      <c r="AH1164">
        <f t="shared" si="358"/>
        <v>1</v>
      </c>
      <c r="AI1164">
        <f t="shared" si="359"/>
        <v>1</v>
      </c>
      <c r="AJ1164" s="9">
        <f t="shared" si="361"/>
        <v>14</v>
      </c>
      <c r="AK1164">
        <f t="shared" si="362"/>
        <v>0</v>
      </c>
      <c r="AL1164" s="9">
        <v>1</v>
      </c>
    </row>
    <row r="1165" spans="1:38" x14ac:dyDescent="0.35">
      <c r="A1165" s="50">
        <v>0</v>
      </c>
      <c r="B1165" s="9" t="s">
        <v>145</v>
      </c>
      <c r="C1165" s="53">
        <v>43894</v>
      </c>
      <c r="D1165" s="53">
        <v>43904</v>
      </c>
      <c r="E1165" s="53">
        <v>43969</v>
      </c>
      <c r="F1165" s="21">
        <f t="shared" si="363"/>
        <v>65</v>
      </c>
      <c r="G1165" s="53">
        <v>43904</v>
      </c>
      <c r="H1165" s="9">
        <v>2020</v>
      </c>
      <c r="I1165" s="50">
        <v>0</v>
      </c>
      <c r="J1165" s="9">
        <v>1</v>
      </c>
      <c r="K1165" s="9" t="s">
        <v>206</v>
      </c>
      <c r="L1165" s="50" t="s">
        <v>795</v>
      </c>
      <c r="M1165">
        <v>2</v>
      </c>
      <c r="N1165">
        <v>2</v>
      </c>
      <c r="O1165">
        <v>-2</v>
      </c>
      <c r="P1165">
        <v>-1</v>
      </c>
      <c r="Q1165">
        <v>-2</v>
      </c>
      <c r="R1165">
        <v>2</v>
      </c>
      <c r="S1165">
        <v>2</v>
      </c>
      <c r="T1165">
        <v>-2</v>
      </c>
      <c r="U1165">
        <v>1</v>
      </c>
      <c r="V1165" t="s">
        <v>981</v>
      </c>
      <c r="W1165" t="s">
        <v>989</v>
      </c>
      <c r="X1165" t="s">
        <v>998</v>
      </c>
      <c r="Y1165" t="s">
        <v>1000</v>
      </c>
      <c r="Z1165">
        <v>0</v>
      </c>
      <c r="AA1165">
        <f t="shared" si="351"/>
        <v>1</v>
      </c>
      <c r="AB1165">
        <f t="shared" si="352"/>
        <v>1</v>
      </c>
      <c r="AC1165">
        <f t="shared" si="353"/>
        <v>0</v>
      </c>
      <c r="AD1165">
        <f t="shared" si="354"/>
        <v>0</v>
      </c>
      <c r="AE1165">
        <f t="shared" si="355"/>
        <v>0</v>
      </c>
      <c r="AF1165">
        <f t="shared" si="356"/>
        <v>1</v>
      </c>
      <c r="AG1165">
        <f t="shared" si="357"/>
        <v>1</v>
      </c>
      <c r="AH1165">
        <f t="shared" si="358"/>
        <v>0</v>
      </c>
      <c r="AI1165">
        <f t="shared" si="359"/>
        <v>1</v>
      </c>
      <c r="AJ1165" s="9" t="str">
        <f t="shared" si="361"/>
        <v>Tax exemption/waiver/suspension</v>
      </c>
      <c r="AK1165">
        <f t="shared" si="362"/>
        <v>0</v>
      </c>
      <c r="AL1165" s="9">
        <v>1</v>
      </c>
    </row>
    <row r="1166" spans="1:38" x14ac:dyDescent="0.35">
      <c r="A1166" s="50">
        <v>0</v>
      </c>
      <c r="B1166" s="9" t="s">
        <v>145</v>
      </c>
      <c r="C1166" s="53">
        <v>43894</v>
      </c>
      <c r="D1166" s="53">
        <v>43904</v>
      </c>
      <c r="E1166" s="53">
        <v>43969</v>
      </c>
      <c r="F1166" s="21">
        <f t="shared" si="363"/>
        <v>65</v>
      </c>
      <c r="G1166" s="53">
        <v>43904</v>
      </c>
      <c r="H1166" s="9">
        <v>2020</v>
      </c>
      <c r="I1166" s="50">
        <v>0</v>
      </c>
      <c r="J1166" s="9">
        <v>5</v>
      </c>
      <c r="K1166" s="9" t="s">
        <v>204</v>
      </c>
      <c r="L1166" s="50" t="s">
        <v>787</v>
      </c>
      <c r="M1166">
        <v>1</v>
      </c>
      <c r="N1166">
        <v>-2</v>
      </c>
      <c r="O1166">
        <v>-2</v>
      </c>
      <c r="P1166">
        <v>-1</v>
      </c>
      <c r="Q1166">
        <v>-2</v>
      </c>
      <c r="R1166">
        <v>2</v>
      </c>
      <c r="S1166">
        <v>1</v>
      </c>
      <c r="T1166">
        <v>2</v>
      </c>
      <c r="U1166">
        <v>1</v>
      </c>
      <c r="V1166" t="s">
        <v>981</v>
      </c>
      <c r="W1166" t="s">
        <v>989</v>
      </c>
      <c r="X1166" t="s">
        <v>998</v>
      </c>
      <c r="Y1166" t="s">
        <v>1000</v>
      </c>
      <c r="Z1166">
        <v>0</v>
      </c>
      <c r="AA1166">
        <f t="shared" si="351"/>
        <v>1</v>
      </c>
      <c r="AB1166">
        <f t="shared" si="352"/>
        <v>0</v>
      </c>
      <c r="AC1166">
        <f t="shared" si="353"/>
        <v>0</v>
      </c>
      <c r="AD1166">
        <f t="shared" si="354"/>
        <v>0</v>
      </c>
      <c r="AE1166">
        <f t="shared" si="355"/>
        <v>0</v>
      </c>
      <c r="AF1166">
        <f t="shared" si="356"/>
        <v>1</v>
      </c>
      <c r="AG1166">
        <f t="shared" si="357"/>
        <v>1</v>
      </c>
      <c r="AH1166">
        <f t="shared" si="358"/>
        <v>1</v>
      </c>
      <c r="AI1166">
        <f t="shared" si="359"/>
        <v>1</v>
      </c>
      <c r="AJ1166" s="9" t="str">
        <f t="shared" si="361"/>
        <v>General</v>
      </c>
      <c r="AK1166" t="e">
        <f>IF(B1166&lt;&gt;#REF!,1,0)</f>
        <v>#REF!</v>
      </c>
      <c r="AL1166" s="9">
        <v>1</v>
      </c>
    </row>
    <row r="1167" spans="1:38" x14ac:dyDescent="0.35">
      <c r="A1167" s="50">
        <v>0</v>
      </c>
      <c r="B1167" s="9" t="s">
        <v>145</v>
      </c>
      <c r="C1167" s="53">
        <v>43894</v>
      </c>
      <c r="D1167" s="53">
        <v>43904</v>
      </c>
      <c r="E1167" s="53">
        <v>43969</v>
      </c>
      <c r="F1167" s="21">
        <f t="shared" si="363"/>
        <v>65</v>
      </c>
      <c r="G1167" s="53">
        <v>43904</v>
      </c>
      <c r="H1167" s="9">
        <v>2020</v>
      </c>
      <c r="I1167" s="50">
        <v>0</v>
      </c>
      <c r="J1167" s="9">
        <v>1</v>
      </c>
      <c r="K1167" s="9">
        <v>3</v>
      </c>
      <c r="L1167" s="50" t="s">
        <v>785</v>
      </c>
      <c r="M1167">
        <v>2</v>
      </c>
      <c r="N1167">
        <v>2</v>
      </c>
      <c r="O1167">
        <v>-2</v>
      </c>
      <c r="P1167">
        <v>-1</v>
      </c>
      <c r="Q1167">
        <v>-2</v>
      </c>
      <c r="R1167">
        <v>2</v>
      </c>
      <c r="S1167">
        <v>2</v>
      </c>
      <c r="T1167">
        <v>-2</v>
      </c>
      <c r="U1167">
        <v>1</v>
      </c>
      <c r="V1167" t="s">
        <v>981</v>
      </c>
      <c r="W1167" t="s">
        <v>989</v>
      </c>
      <c r="X1167" t="s">
        <v>998</v>
      </c>
      <c r="Y1167" t="s">
        <v>1000</v>
      </c>
      <c r="Z1167">
        <v>0</v>
      </c>
      <c r="AA1167">
        <f t="shared" si="351"/>
        <v>1</v>
      </c>
      <c r="AB1167">
        <f t="shared" si="352"/>
        <v>1</v>
      </c>
      <c r="AC1167">
        <f t="shared" si="353"/>
        <v>0</v>
      </c>
      <c r="AD1167">
        <f t="shared" si="354"/>
        <v>0</v>
      </c>
      <c r="AE1167">
        <f t="shared" si="355"/>
        <v>0</v>
      </c>
      <c r="AF1167">
        <f t="shared" si="356"/>
        <v>1</v>
      </c>
      <c r="AG1167">
        <f t="shared" si="357"/>
        <v>1</v>
      </c>
      <c r="AH1167">
        <f t="shared" si="358"/>
        <v>0</v>
      </c>
      <c r="AI1167">
        <f t="shared" si="359"/>
        <v>1</v>
      </c>
      <c r="AJ1167" s="9">
        <f t="shared" si="361"/>
        <v>3</v>
      </c>
      <c r="AK1167">
        <f t="shared" si="362"/>
        <v>0</v>
      </c>
      <c r="AL1167" s="9">
        <v>1</v>
      </c>
    </row>
    <row r="1168" spans="1:38" x14ac:dyDescent="0.35">
      <c r="A1168" s="50">
        <v>0</v>
      </c>
      <c r="B1168" s="9" t="s">
        <v>145</v>
      </c>
      <c r="C1168" s="53">
        <v>43894</v>
      </c>
      <c r="D1168" s="53">
        <v>43904</v>
      </c>
      <c r="E1168" s="53">
        <v>43969</v>
      </c>
      <c r="F1168" s="21">
        <f t="shared" si="363"/>
        <v>65</v>
      </c>
      <c r="G1168" s="53">
        <v>43904</v>
      </c>
      <c r="H1168" s="9">
        <v>2020</v>
      </c>
      <c r="I1168" s="50">
        <v>0</v>
      </c>
      <c r="J1168" s="9">
        <v>6</v>
      </c>
      <c r="K1168" s="9">
        <v>29</v>
      </c>
      <c r="L1168" s="50" t="s">
        <v>806</v>
      </c>
      <c r="M1168">
        <v>1</v>
      </c>
      <c r="N1168">
        <v>1</v>
      </c>
      <c r="O1168">
        <v>2</v>
      </c>
      <c r="P1168">
        <v>-1</v>
      </c>
      <c r="Q1168">
        <v>-2</v>
      </c>
      <c r="R1168">
        <v>2</v>
      </c>
      <c r="S1168">
        <v>1</v>
      </c>
      <c r="T1168">
        <v>-2</v>
      </c>
      <c r="U1168">
        <v>1</v>
      </c>
      <c r="V1168" t="s">
        <v>981</v>
      </c>
      <c r="W1168" t="s">
        <v>989</v>
      </c>
      <c r="X1168" t="s">
        <v>998</v>
      </c>
      <c r="Y1168" t="s">
        <v>1000</v>
      </c>
      <c r="Z1168">
        <v>0</v>
      </c>
      <c r="AA1168">
        <f t="shared" si="351"/>
        <v>1</v>
      </c>
      <c r="AB1168">
        <f t="shared" si="352"/>
        <v>1</v>
      </c>
      <c r="AC1168">
        <f t="shared" si="353"/>
        <v>1</v>
      </c>
      <c r="AD1168">
        <f t="shared" si="354"/>
        <v>0</v>
      </c>
      <c r="AE1168">
        <f t="shared" si="355"/>
        <v>0</v>
      </c>
      <c r="AF1168">
        <f t="shared" si="356"/>
        <v>1</v>
      </c>
      <c r="AG1168">
        <f t="shared" si="357"/>
        <v>1</v>
      </c>
      <c r="AH1168">
        <f t="shared" si="358"/>
        <v>0</v>
      </c>
      <c r="AI1168">
        <f t="shared" si="359"/>
        <v>1</v>
      </c>
      <c r="AJ1168" s="9">
        <f t="shared" si="361"/>
        <v>29</v>
      </c>
      <c r="AK1168">
        <f t="shared" si="362"/>
        <v>0</v>
      </c>
      <c r="AL1168" s="9">
        <v>1</v>
      </c>
    </row>
    <row r="1169" spans="1:38" x14ac:dyDescent="0.35">
      <c r="A1169" s="50">
        <v>0</v>
      </c>
      <c r="B1169" s="9" t="s">
        <v>145</v>
      </c>
      <c r="C1169" s="53">
        <v>43894</v>
      </c>
      <c r="D1169" s="53">
        <v>43904</v>
      </c>
      <c r="E1169" s="53">
        <v>43969</v>
      </c>
      <c r="F1169" s="21">
        <f t="shared" si="363"/>
        <v>65</v>
      </c>
      <c r="G1169" s="53">
        <v>43904</v>
      </c>
      <c r="H1169" s="9">
        <v>2020</v>
      </c>
      <c r="I1169" s="50">
        <v>0</v>
      </c>
      <c r="J1169" s="9">
        <v>1</v>
      </c>
      <c r="K1169" s="9">
        <v>6</v>
      </c>
      <c r="L1169" s="50" t="s">
        <v>782</v>
      </c>
      <c r="M1169">
        <v>-2</v>
      </c>
      <c r="N1169">
        <v>2</v>
      </c>
      <c r="O1169">
        <v>2</v>
      </c>
      <c r="P1169">
        <v>2</v>
      </c>
      <c r="Q1169">
        <v>2</v>
      </c>
      <c r="R1169">
        <v>2</v>
      </c>
      <c r="S1169">
        <v>1</v>
      </c>
      <c r="T1169">
        <v>2</v>
      </c>
      <c r="U1169">
        <v>1</v>
      </c>
      <c r="V1169" t="s">
        <v>981</v>
      </c>
      <c r="W1169" t="s">
        <v>989</v>
      </c>
      <c r="X1169" t="s">
        <v>998</v>
      </c>
      <c r="Y1169" t="s">
        <v>1000</v>
      </c>
      <c r="Z1169">
        <v>0</v>
      </c>
      <c r="AA1169">
        <f t="shared" si="351"/>
        <v>0</v>
      </c>
      <c r="AB1169">
        <f t="shared" si="352"/>
        <v>1</v>
      </c>
      <c r="AC1169">
        <f t="shared" si="353"/>
        <v>1</v>
      </c>
      <c r="AD1169">
        <f t="shared" si="354"/>
        <v>1</v>
      </c>
      <c r="AE1169">
        <f t="shared" si="355"/>
        <v>1</v>
      </c>
      <c r="AF1169">
        <f t="shared" si="356"/>
        <v>1</v>
      </c>
      <c r="AG1169">
        <f t="shared" si="357"/>
        <v>1</v>
      </c>
      <c r="AH1169">
        <f t="shared" si="358"/>
        <v>1</v>
      </c>
      <c r="AI1169">
        <f t="shared" si="359"/>
        <v>1</v>
      </c>
      <c r="AJ1169" s="9">
        <f t="shared" si="361"/>
        <v>6</v>
      </c>
      <c r="AK1169">
        <f t="shared" si="362"/>
        <v>0</v>
      </c>
      <c r="AL1169" s="9">
        <v>1</v>
      </c>
    </row>
    <row r="1170" spans="1:38" x14ac:dyDescent="0.35">
      <c r="A1170" s="50">
        <v>0</v>
      </c>
      <c r="B1170" s="9" t="s">
        <v>145</v>
      </c>
      <c r="C1170" s="53">
        <v>43894</v>
      </c>
      <c r="D1170" s="53">
        <v>43904</v>
      </c>
      <c r="E1170" s="53">
        <v>43969</v>
      </c>
      <c r="F1170" s="21">
        <f t="shared" si="363"/>
        <v>65</v>
      </c>
      <c r="G1170" s="53">
        <v>43904</v>
      </c>
      <c r="H1170" s="9">
        <v>2020</v>
      </c>
      <c r="I1170" s="50">
        <v>0</v>
      </c>
      <c r="J1170" s="9">
        <v>7</v>
      </c>
      <c r="K1170" s="9">
        <v>30</v>
      </c>
      <c r="L1170" s="50" t="s">
        <v>786</v>
      </c>
      <c r="M1170">
        <v>1</v>
      </c>
      <c r="N1170">
        <v>1</v>
      </c>
      <c r="O1170">
        <v>2</v>
      </c>
      <c r="P1170">
        <v>1</v>
      </c>
      <c r="Q1170">
        <v>2</v>
      </c>
      <c r="R1170">
        <v>2</v>
      </c>
      <c r="S1170">
        <v>1</v>
      </c>
      <c r="T1170">
        <v>-2</v>
      </c>
      <c r="U1170">
        <v>1</v>
      </c>
      <c r="V1170" t="s">
        <v>981</v>
      </c>
      <c r="W1170" t="s">
        <v>989</v>
      </c>
      <c r="X1170" t="s">
        <v>998</v>
      </c>
      <c r="Y1170" t="s">
        <v>1000</v>
      </c>
      <c r="Z1170">
        <v>0</v>
      </c>
      <c r="AA1170">
        <f t="shared" si="351"/>
        <v>1</v>
      </c>
      <c r="AB1170">
        <f t="shared" si="352"/>
        <v>1</v>
      </c>
      <c r="AC1170">
        <f t="shared" si="353"/>
        <v>1</v>
      </c>
      <c r="AD1170">
        <f t="shared" si="354"/>
        <v>1</v>
      </c>
      <c r="AE1170">
        <f t="shared" si="355"/>
        <v>1</v>
      </c>
      <c r="AF1170">
        <f t="shared" si="356"/>
        <v>1</v>
      </c>
      <c r="AG1170">
        <f t="shared" si="357"/>
        <v>1</v>
      </c>
      <c r="AH1170">
        <f t="shared" si="358"/>
        <v>0</v>
      </c>
      <c r="AI1170">
        <f t="shared" si="359"/>
        <v>1</v>
      </c>
      <c r="AJ1170" s="9">
        <f t="shared" si="361"/>
        <v>30</v>
      </c>
      <c r="AK1170">
        <f t="shared" si="362"/>
        <v>0</v>
      </c>
      <c r="AL1170" s="9">
        <v>1</v>
      </c>
    </row>
    <row r="1171" spans="1:38" x14ac:dyDescent="0.35">
      <c r="A1171" s="50">
        <v>0</v>
      </c>
      <c r="B1171" s="9" t="s">
        <v>145</v>
      </c>
      <c r="C1171" s="53">
        <v>43894</v>
      </c>
      <c r="D1171" s="53">
        <v>43904</v>
      </c>
      <c r="E1171" s="53">
        <v>43969</v>
      </c>
      <c r="F1171" s="21">
        <f t="shared" si="363"/>
        <v>65</v>
      </c>
      <c r="G1171" s="53">
        <v>43904</v>
      </c>
      <c r="H1171" s="9">
        <v>2020</v>
      </c>
      <c r="I1171" s="50">
        <v>0</v>
      </c>
      <c r="J1171" s="9">
        <v>3</v>
      </c>
      <c r="K1171" s="9" t="s">
        <v>206</v>
      </c>
      <c r="L1171" s="50" t="s">
        <v>799</v>
      </c>
      <c r="M1171">
        <v>2</v>
      </c>
      <c r="N1171">
        <v>2</v>
      </c>
      <c r="O1171">
        <v>-2</v>
      </c>
      <c r="P1171">
        <v>-1</v>
      </c>
      <c r="Q1171">
        <v>-2</v>
      </c>
      <c r="R1171">
        <v>2</v>
      </c>
      <c r="S1171">
        <v>-2</v>
      </c>
      <c r="U1171">
        <v>1</v>
      </c>
      <c r="V1171" t="s">
        <v>981</v>
      </c>
      <c r="W1171" t="s">
        <v>989</v>
      </c>
      <c r="X1171" t="s">
        <v>998</v>
      </c>
      <c r="Y1171" t="s">
        <v>1000</v>
      </c>
      <c r="Z1171">
        <v>0</v>
      </c>
      <c r="AA1171">
        <f t="shared" si="351"/>
        <v>1</v>
      </c>
      <c r="AB1171">
        <f t="shared" si="352"/>
        <v>1</v>
      </c>
      <c r="AC1171">
        <f t="shared" si="353"/>
        <v>0</v>
      </c>
      <c r="AD1171">
        <f t="shared" si="354"/>
        <v>0</v>
      </c>
      <c r="AE1171">
        <f t="shared" si="355"/>
        <v>0</v>
      </c>
      <c r="AF1171">
        <f t="shared" si="356"/>
        <v>1</v>
      </c>
      <c r="AG1171">
        <f t="shared" si="357"/>
        <v>0</v>
      </c>
      <c r="AH1171">
        <f t="shared" si="358"/>
        <v>-1</v>
      </c>
      <c r="AI1171">
        <f t="shared" si="359"/>
        <v>1</v>
      </c>
      <c r="AJ1171" s="9" t="str">
        <f t="shared" si="361"/>
        <v>Tax exemption/waiver/suspension</v>
      </c>
      <c r="AK1171">
        <f t="shared" si="362"/>
        <v>0</v>
      </c>
      <c r="AL1171" s="9">
        <v>1</v>
      </c>
    </row>
    <row r="1172" spans="1:38" x14ac:dyDescent="0.35">
      <c r="A1172" s="50">
        <v>0</v>
      </c>
      <c r="B1172" s="9" t="s">
        <v>145</v>
      </c>
      <c r="C1172" s="53">
        <v>43894</v>
      </c>
      <c r="D1172" s="53">
        <v>43904</v>
      </c>
      <c r="E1172" s="53">
        <v>43969</v>
      </c>
      <c r="F1172" s="21">
        <f t="shared" si="363"/>
        <v>65</v>
      </c>
      <c r="G1172" s="53">
        <v>43904</v>
      </c>
      <c r="H1172" s="9">
        <v>2020</v>
      </c>
      <c r="I1172" s="50">
        <v>0</v>
      </c>
      <c r="J1172" s="9">
        <v>1</v>
      </c>
      <c r="K1172" s="9">
        <v>10</v>
      </c>
      <c r="L1172" s="50" t="s">
        <v>800</v>
      </c>
      <c r="M1172">
        <v>-2</v>
      </c>
      <c r="N1172">
        <v>2</v>
      </c>
      <c r="O1172">
        <v>2</v>
      </c>
      <c r="P1172">
        <v>2</v>
      </c>
      <c r="Q1172">
        <v>2</v>
      </c>
      <c r="R1172">
        <v>2</v>
      </c>
      <c r="S1172">
        <v>-2</v>
      </c>
      <c r="T1172">
        <v>2</v>
      </c>
      <c r="U1172">
        <v>1</v>
      </c>
      <c r="V1172" t="s">
        <v>981</v>
      </c>
      <c r="W1172" t="s">
        <v>989</v>
      </c>
      <c r="X1172" t="s">
        <v>998</v>
      </c>
      <c r="Y1172" t="s">
        <v>1000</v>
      </c>
      <c r="Z1172">
        <v>0</v>
      </c>
      <c r="AA1172">
        <f t="shared" si="351"/>
        <v>0</v>
      </c>
      <c r="AB1172">
        <f t="shared" si="352"/>
        <v>1</v>
      </c>
      <c r="AC1172">
        <f t="shared" si="353"/>
        <v>1</v>
      </c>
      <c r="AD1172">
        <f t="shared" si="354"/>
        <v>1</v>
      </c>
      <c r="AE1172">
        <f t="shared" si="355"/>
        <v>1</v>
      </c>
      <c r="AF1172">
        <f t="shared" si="356"/>
        <v>1</v>
      </c>
      <c r="AG1172">
        <f t="shared" si="357"/>
        <v>0</v>
      </c>
      <c r="AH1172">
        <f t="shared" si="358"/>
        <v>1</v>
      </c>
      <c r="AI1172">
        <f t="shared" si="359"/>
        <v>1</v>
      </c>
      <c r="AJ1172" s="9">
        <f t="shared" si="361"/>
        <v>10</v>
      </c>
      <c r="AK1172">
        <f t="shared" si="362"/>
        <v>0</v>
      </c>
      <c r="AL1172" s="9">
        <v>1</v>
      </c>
    </row>
    <row r="1173" spans="1:38" x14ac:dyDescent="0.35">
      <c r="A1173" s="50">
        <v>0</v>
      </c>
      <c r="B1173" s="9" t="s">
        <v>145</v>
      </c>
      <c r="C1173" s="53">
        <v>43894</v>
      </c>
      <c r="D1173" s="53">
        <v>43904</v>
      </c>
      <c r="E1173" s="53">
        <v>43969</v>
      </c>
      <c r="F1173" s="21">
        <f t="shared" si="363"/>
        <v>65</v>
      </c>
      <c r="G1173" s="53">
        <v>43904</v>
      </c>
      <c r="H1173" s="9">
        <v>2020</v>
      </c>
      <c r="I1173" s="50">
        <v>0</v>
      </c>
      <c r="J1173" s="9">
        <v>2</v>
      </c>
      <c r="K1173" s="9">
        <v>14</v>
      </c>
      <c r="L1173" s="50" t="s">
        <v>784</v>
      </c>
      <c r="M1173">
        <v>-2</v>
      </c>
      <c r="N1173">
        <v>2</v>
      </c>
      <c r="O1173">
        <v>2</v>
      </c>
      <c r="P1173">
        <v>2</v>
      </c>
      <c r="Q1173">
        <v>2</v>
      </c>
      <c r="R1173">
        <v>2</v>
      </c>
      <c r="S1173">
        <v>1</v>
      </c>
      <c r="T1173">
        <v>2</v>
      </c>
      <c r="U1173">
        <v>1</v>
      </c>
      <c r="V1173" t="s">
        <v>981</v>
      </c>
      <c r="W1173" t="s">
        <v>989</v>
      </c>
      <c r="X1173" t="s">
        <v>998</v>
      </c>
      <c r="Y1173" t="s">
        <v>1000</v>
      </c>
      <c r="Z1173">
        <v>0</v>
      </c>
      <c r="AA1173">
        <f t="shared" si="351"/>
        <v>0</v>
      </c>
      <c r="AB1173">
        <f t="shared" si="352"/>
        <v>1</v>
      </c>
      <c r="AC1173">
        <f t="shared" si="353"/>
        <v>1</v>
      </c>
      <c r="AD1173">
        <f t="shared" si="354"/>
        <v>1</v>
      </c>
      <c r="AE1173">
        <f t="shared" si="355"/>
        <v>1</v>
      </c>
      <c r="AF1173">
        <f t="shared" si="356"/>
        <v>1</v>
      </c>
      <c r="AG1173">
        <f t="shared" si="357"/>
        <v>1</v>
      </c>
      <c r="AH1173">
        <f t="shared" si="358"/>
        <v>1</v>
      </c>
      <c r="AI1173">
        <f t="shared" si="359"/>
        <v>1</v>
      </c>
      <c r="AJ1173" s="9">
        <f t="shared" si="361"/>
        <v>14</v>
      </c>
      <c r="AK1173">
        <f t="shared" si="362"/>
        <v>0</v>
      </c>
      <c r="AL1173" s="9">
        <v>1</v>
      </c>
    </row>
    <row r="1174" spans="1:38" x14ac:dyDescent="0.35">
      <c r="A1174" s="50">
        <v>0</v>
      </c>
      <c r="B1174" s="9" t="s">
        <v>145</v>
      </c>
      <c r="C1174" s="53">
        <v>43894</v>
      </c>
      <c r="D1174" s="53">
        <v>43904</v>
      </c>
      <c r="E1174" s="53">
        <v>43969</v>
      </c>
      <c r="F1174" s="21">
        <f t="shared" si="363"/>
        <v>65</v>
      </c>
      <c r="G1174" s="53">
        <v>43904</v>
      </c>
      <c r="H1174" s="9">
        <v>2020</v>
      </c>
      <c r="I1174" s="50">
        <v>0</v>
      </c>
      <c r="J1174" s="9">
        <v>6</v>
      </c>
      <c r="K1174" s="9">
        <v>25</v>
      </c>
      <c r="L1174" s="50" t="s">
        <v>802</v>
      </c>
      <c r="M1174">
        <v>2</v>
      </c>
      <c r="N1174">
        <v>1</v>
      </c>
      <c r="O1174">
        <v>2</v>
      </c>
      <c r="P1174">
        <v>-1</v>
      </c>
      <c r="Q1174">
        <v>2</v>
      </c>
      <c r="R1174">
        <v>2</v>
      </c>
      <c r="S1174">
        <v>1</v>
      </c>
      <c r="T1174">
        <v>-2</v>
      </c>
      <c r="U1174">
        <v>1</v>
      </c>
      <c r="V1174" t="s">
        <v>981</v>
      </c>
      <c r="W1174" t="s">
        <v>989</v>
      </c>
      <c r="X1174" t="s">
        <v>998</v>
      </c>
      <c r="Y1174" t="s">
        <v>1000</v>
      </c>
      <c r="Z1174">
        <v>0</v>
      </c>
      <c r="AA1174">
        <f t="shared" si="351"/>
        <v>1</v>
      </c>
      <c r="AB1174">
        <f t="shared" si="352"/>
        <v>1</v>
      </c>
      <c r="AC1174">
        <f t="shared" si="353"/>
        <v>1</v>
      </c>
      <c r="AD1174">
        <f t="shared" si="354"/>
        <v>0</v>
      </c>
      <c r="AE1174">
        <f t="shared" si="355"/>
        <v>1</v>
      </c>
      <c r="AF1174">
        <f t="shared" si="356"/>
        <v>1</v>
      </c>
      <c r="AG1174">
        <f t="shared" si="357"/>
        <v>1</v>
      </c>
      <c r="AH1174">
        <f t="shared" si="358"/>
        <v>0</v>
      </c>
      <c r="AI1174">
        <f t="shared" si="359"/>
        <v>1</v>
      </c>
      <c r="AJ1174" s="9">
        <f t="shared" si="361"/>
        <v>25</v>
      </c>
      <c r="AK1174">
        <f t="shared" si="362"/>
        <v>0</v>
      </c>
      <c r="AL1174" s="9">
        <v>1</v>
      </c>
    </row>
    <row r="1175" spans="1:38" x14ac:dyDescent="0.35">
      <c r="A1175" s="50">
        <v>0</v>
      </c>
      <c r="B1175" s="9" t="s">
        <v>145</v>
      </c>
      <c r="C1175" s="53">
        <v>43894</v>
      </c>
      <c r="D1175" s="53">
        <v>43904</v>
      </c>
      <c r="E1175" s="53">
        <v>43969</v>
      </c>
      <c r="F1175" s="21">
        <f t="shared" si="363"/>
        <v>65</v>
      </c>
      <c r="G1175" s="53">
        <v>43904</v>
      </c>
      <c r="H1175" s="9">
        <v>2020</v>
      </c>
      <c r="I1175" s="50">
        <v>0</v>
      </c>
      <c r="J1175" s="9">
        <v>1</v>
      </c>
      <c r="K1175" s="9" t="s">
        <v>206</v>
      </c>
      <c r="L1175" s="50" t="s">
        <v>2232</v>
      </c>
      <c r="M1175">
        <v>2</v>
      </c>
      <c r="N1175">
        <v>2</v>
      </c>
      <c r="O1175">
        <v>-2</v>
      </c>
      <c r="P1175">
        <v>-1</v>
      </c>
      <c r="Q1175">
        <v>-2</v>
      </c>
      <c r="R1175">
        <v>2</v>
      </c>
      <c r="S1175">
        <v>2</v>
      </c>
      <c r="U1175">
        <v>1</v>
      </c>
      <c r="V1175" t="s">
        <v>981</v>
      </c>
      <c r="W1175" t="s">
        <v>989</v>
      </c>
      <c r="X1175" t="s">
        <v>998</v>
      </c>
      <c r="Y1175" t="s">
        <v>1000</v>
      </c>
      <c r="Z1175">
        <v>0</v>
      </c>
      <c r="AA1175">
        <f t="shared" si="351"/>
        <v>1</v>
      </c>
      <c r="AB1175">
        <f t="shared" si="352"/>
        <v>1</v>
      </c>
      <c r="AC1175">
        <f t="shared" si="353"/>
        <v>0</v>
      </c>
      <c r="AD1175">
        <f t="shared" si="354"/>
        <v>0</v>
      </c>
      <c r="AE1175">
        <f t="shared" si="355"/>
        <v>0</v>
      </c>
      <c r="AF1175">
        <f t="shared" si="356"/>
        <v>1</v>
      </c>
      <c r="AG1175">
        <f t="shared" si="357"/>
        <v>1</v>
      </c>
      <c r="AH1175">
        <f t="shared" si="358"/>
        <v>-1</v>
      </c>
      <c r="AI1175">
        <f t="shared" si="359"/>
        <v>1</v>
      </c>
      <c r="AJ1175" s="9" t="str">
        <f t="shared" si="361"/>
        <v>Tax exemption/waiver/suspension</v>
      </c>
      <c r="AK1175">
        <f t="shared" si="362"/>
        <v>0</v>
      </c>
      <c r="AL1175" s="9">
        <v>1</v>
      </c>
    </row>
    <row r="1176" spans="1:38" x14ac:dyDescent="0.35">
      <c r="A1176" s="50">
        <v>0</v>
      </c>
      <c r="B1176" s="9" t="s">
        <v>145</v>
      </c>
      <c r="C1176" s="53">
        <v>43894</v>
      </c>
      <c r="D1176" s="53">
        <v>43904</v>
      </c>
      <c r="E1176" s="53">
        <v>43969</v>
      </c>
      <c r="F1176" s="21">
        <f t="shared" si="363"/>
        <v>65</v>
      </c>
      <c r="G1176" s="53">
        <v>43904</v>
      </c>
      <c r="H1176" s="9">
        <v>2020</v>
      </c>
      <c r="I1176" s="50">
        <v>0</v>
      </c>
      <c r="J1176" s="9">
        <v>7</v>
      </c>
      <c r="K1176" s="9" t="s">
        <v>201</v>
      </c>
      <c r="L1176" s="50" t="s">
        <v>790</v>
      </c>
      <c r="M1176">
        <v>1</v>
      </c>
      <c r="N1176">
        <v>1</v>
      </c>
      <c r="O1176">
        <v>2</v>
      </c>
      <c r="P1176">
        <v>1</v>
      </c>
      <c r="Q1176">
        <v>2</v>
      </c>
      <c r="R1176">
        <v>2</v>
      </c>
      <c r="S1176">
        <v>1</v>
      </c>
      <c r="T1176">
        <v>2</v>
      </c>
      <c r="U1176">
        <v>1</v>
      </c>
      <c r="V1176" t="s">
        <v>981</v>
      </c>
      <c r="W1176" t="s">
        <v>989</v>
      </c>
      <c r="X1176" t="s">
        <v>998</v>
      </c>
      <c r="Y1176" t="s">
        <v>1000</v>
      </c>
      <c r="Z1176">
        <v>0</v>
      </c>
      <c r="AA1176">
        <f t="shared" si="351"/>
        <v>1</v>
      </c>
      <c r="AB1176">
        <f t="shared" si="352"/>
        <v>1</v>
      </c>
      <c r="AC1176">
        <f t="shared" si="353"/>
        <v>1</v>
      </c>
      <c r="AD1176">
        <f t="shared" si="354"/>
        <v>1</v>
      </c>
      <c r="AE1176">
        <f t="shared" si="355"/>
        <v>1</v>
      </c>
      <c r="AF1176">
        <f t="shared" si="356"/>
        <v>1</v>
      </c>
      <c r="AG1176">
        <f t="shared" si="357"/>
        <v>1</v>
      </c>
      <c r="AH1176">
        <f t="shared" si="358"/>
        <v>1</v>
      </c>
      <c r="AI1176">
        <f t="shared" si="359"/>
        <v>1</v>
      </c>
      <c r="AJ1176" s="9" t="str">
        <f t="shared" si="361"/>
        <v>Other</v>
      </c>
      <c r="AK1176">
        <f t="shared" si="362"/>
        <v>0</v>
      </c>
      <c r="AL1176" s="9">
        <v>1</v>
      </c>
    </row>
    <row r="1177" spans="1:38" x14ac:dyDescent="0.35">
      <c r="A1177" s="50">
        <v>0</v>
      </c>
      <c r="B1177" s="9" t="s">
        <v>145</v>
      </c>
      <c r="C1177" s="53">
        <v>43894</v>
      </c>
      <c r="D1177" s="53">
        <v>43904</v>
      </c>
      <c r="E1177" s="53">
        <v>43969</v>
      </c>
      <c r="F1177" s="21">
        <f t="shared" si="363"/>
        <v>65</v>
      </c>
      <c r="G1177" s="53">
        <v>43904</v>
      </c>
      <c r="H1177" s="9">
        <v>2020</v>
      </c>
      <c r="I1177" s="50">
        <v>0</v>
      </c>
      <c r="J1177" s="9">
        <v>4</v>
      </c>
      <c r="K1177" s="9">
        <v>20</v>
      </c>
      <c r="L1177" s="50" t="s">
        <v>797</v>
      </c>
      <c r="N1177">
        <v>2</v>
      </c>
      <c r="O1177">
        <v>-2</v>
      </c>
      <c r="P1177">
        <v>-1</v>
      </c>
      <c r="R1177">
        <v>-2</v>
      </c>
      <c r="S1177">
        <v>-2</v>
      </c>
      <c r="U1177">
        <v>1</v>
      </c>
      <c r="V1177" t="s">
        <v>981</v>
      </c>
      <c r="W1177" t="s">
        <v>989</v>
      </c>
      <c r="X1177" t="s">
        <v>998</v>
      </c>
      <c r="Y1177" t="s">
        <v>1000</v>
      </c>
      <c r="Z1177">
        <v>0</v>
      </c>
      <c r="AA1177">
        <f t="shared" si="351"/>
        <v>-1</v>
      </c>
      <c r="AB1177">
        <f t="shared" si="352"/>
        <v>1</v>
      </c>
      <c r="AC1177">
        <f t="shared" si="353"/>
        <v>0</v>
      </c>
      <c r="AD1177">
        <f t="shared" si="354"/>
        <v>0</v>
      </c>
      <c r="AE1177">
        <f t="shared" si="355"/>
        <v>-1</v>
      </c>
      <c r="AF1177">
        <f t="shared" si="356"/>
        <v>0</v>
      </c>
      <c r="AG1177">
        <f t="shared" si="357"/>
        <v>0</v>
      </c>
      <c r="AH1177">
        <f t="shared" si="358"/>
        <v>-1</v>
      </c>
      <c r="AI1177">
        <f t="shared" si="359"/>
        <v>1</v>
      </c>
      <c r="AJ1177" s="9">
        <f t="shared" si="361"/>
        <v>20</v>
      </c>
      <c r="AK1177">
        <f t="shared" si="362"/>
        <v>0</v>
      </c>
      <c r="AL1177" s="9">
        <v>1</v>
      </c>
    </row>
    <row r="1178" spans="1:38" x14ac:dyDescent="0.35">
      <c r="A1178" s="50">
        <v>0</v>
      </c>
      <c r="B1178" s="9" t="s">
        <v>145</v>
      </c>
      <c r="C1178" s="53">
        <v>43894</v>
      </c>
      <c r="D1178" s="53">
        <v>43904</v>
      </c>
      <c r="E1178" s="53">
        <v>43969</v>
      </c>
      <c r="F1178" s="21">
        <f t="shared" si="363"/>
        <v>65</v>
      </c>
      <c r="G1178" s="53">
        <v>43904</v>
      </c>
      <c r="H1178" s="9">
        <v>2020</v>
      </c>
      <c r="I1178" s="50">
        <v>0</v>
      </c>
      <c r="J1178" s="9">
        <v>1</v>
      </c>
      <c r="K1178" s="9">
        <v>10</v>
      </c>
      <c r="L1178" s="50" t="s">
        <v>783</v>
      </c>
      <c r="M1178">
        <v>2</v>
      </c>
      <c r="N1178">
        <v>2</v>
      </c>
      <c r="O1178">
        <v>2</v>
      </c>
      <c r="P1178">
        <v>2</v>
      </c>
      <c r="Q1178">
        <v>2</v>
      </c>
      <c r="R1178">
        <v>2</v>
      </c>
      <c r="S1178">
        <v>-2</v>
      </c>
      <c r="T1178">
        <v>2</v>
      </c>
      <c r="U1178">
        <v>1</v>
      </c>
      <c r="V1178" t="s">
        <v>981</v>
      </c>
      <c r="W1178" t="s">
        <v>989</v>
      </c>
      <c r="X1178" t="s">
        <v>998</v>
      </c>
      <c r="Y1178" t="s">
        <v>1000</v>
      </c>
      <c r="Z1178">
        <v>0</v>
      </c>
      <c r="AA1178">
        <f t="shared" si="351"/>
        <v>1</v>
      </c>
      <c r="AB1178">
        <f t="shared" si="352"/>
        <v>1</v>
      </c>
      <c r="AC1178">
        <f t="shared" si="353"/>
        <v>1</v>
      </c>
      <c r="AD1178">
        <f t="shared" si="354"/>
        <v>1</v>
      </c>
      <c r="AE1178">
        <f t="shared" si="355"/>
        <v>1</v>
      </c>
      <c r="AF1178">
        <f t="shared" si="356"/>
        <v>1</v>
      </c>
      <c r="AG1178">
        <f t="shared" si="357"/>
        <v>0</v>
      </c>
      <c r="AH1178">
        <f t="shared" si="358"/>
        <v>1</v>
      </c>
      <c r="AI1178">
        <f t="shared" si="359"/>
        <v>1</v>
      </c>
      <c r="AJ1178" s="9">
        <f t="shared" si="361"/>
        <v>10</v>
      </c>
      <c r="AK1178">
        <f t="shared" si="362"/>
        <v>0</v>
      </c>
      <c r="AL1178" s="9">
        <v>0</v>
      </c>
    </row>
    <row r="1179" spans="1:38" x14ac:dyDescent="0.35">
      <c r="A1179" s="50">
        <v>0</v>
      </c>
      <c r="B1179" s="9" t="s">
        <v>145</v>
      </c>
      <c r="C1179" s="53">
        <v>43894</v>
      </c>
      <c r="D1179" s="53">
        <v>43904</v>
      </c>
      <c r="E1179" s="53">
        <v>43969</v>
      </c>
      <c r="F1179" s="21">
        <f t="shared" si="363"/>
        <v>65</v>
      </c>
      <c r="G1179" s="53">
        <v>43904</v>
      </c>
      <c r="H1179" s="9">
        <v>2020</v>
      </c>
      <c r="I1179" s="50">
        <v>0</v>
      </c>
      <c r="J1179" s="9">
        <v>1</v>
      </c>
      <c r="K1179" s="9">
        <v>10</v>
      </c>
      <c r="L1179" s="50" t="s">
        <v>796</v>
      </c>
      <c r="M1179">
        <v>2</v>
      </c>
      <c r="N1179">
        <v>2</v>
      </c>
      <c r="O1179">
        <v>2</v>
      </c>
      <c r="P1179">
        <v>2</v>
      </c>
      <c r="Q1179">
        <v>2</v>
      </c>
      <c r="R1179">
        <v>2</v>
      </c>
      <c r="S1179">
        <v>2</v>
      </c>
      <c r="T1179">
        <v>2</v>
      </c>
      <c r="U1179">
        <v>1</v>
      </c>
      <c r="V1179" t="s">
        <v>981</v>
      </c>
      <c r="W1179" t="s">
        <v>989</v>
      </c>
      <c r="X1179" t="s">
        <v>998</v>
      </c>
      <c r="Y1179" t="s">
        <v>1000</v>
      </c>
      <c r="Z1179">
        <v>0</v>
      </c>
      <c r="AA1179">
        <f t="shared" si="351"/>
        <v>1</v>
      </c>
      <c r="AB1179">
        <f t="shared" si="352"/>
        <v>1</v>
      </c>
      <c r="AC1179">
        <f t="shared" si="353"/>
        <v>1</v>
      </c>
      <c r="AD1179">
        <f t="shared" si="354"/>
        <v>1</v>
      </c>
      <c r="AE1179">
        <f t="shared" si="355"/>
        <v>1</v>
      </c>
      <c r="AF1179">
        <f t="shared" si="356"/>
        <v>1</v>
      </c>
      <c r="AG1179">
        <f t="shared" si="357"/>
        <v>1</v>
      </c>
      <c r="AH1179">
        <f t="shared" si="358"/>
        <v>1</v>
      </c>
      <c r="AI1179">
        <f t="shared" si="359"/>
        <v>1</v>
      </c>
      <c r="AJ1179" s="9">
        <f t="shared" si="361"/>
        <v>10</v>
      </c>
      <c r="AK1179">
        <f t="shared" si="362"/>
        <v>0</v>
      </c>
      <c r="AL1179" s="9">
        <v>0</v>
      </c>
    </row>
    <row r="1180" spans="1:38" x14ac:dyDescent="0.35">
      <c r="A1180" s="50">
        <v>0</v>
      </c>
      <c r="B1180" s="50" t="s">
        <v>145</v>
      </c>
      <c r="C1180" s="53">
        <v>43894</v>
      </c>
      <c r="D1180" s="53">
        <v>43904</v>
      </c>
      <c r="E1180" s="53">
        <v>43969</v>
      </c>
      <c r="F1180" s="21">
        <f t="shared" si="363"/>
        <v>65</v>
      </c>
      <c r="G1180" s="53">
        <v>43904</v>
      </c>
      <c r="H1180" s="9">
        <v>2020</v>
      </c>
      <c r="I1180" s="50">
        <v>0</v>
      </c>
      <c r="J1180" s="50">
        <v>6</v>
      </c>
      <c r="K1180" s="50">
        <v>25</v>
      </c>
      <c r="L1180" s="24" t="s">
        <v>1521</v>
      </c>
      <c r="M1180" s="24"/>
      <c r="V1180" t="s">
        <v>981</v>
      </c>
      <c r="W1180" t="s">
        <v>989</v>
      </c>
      <c r="X1180" t="s">
        <v>998</v>
      </c>
      <c r="Y1180" t="s">
        <v>1000</v>
      </c>
      <c r="Z1180">
        <v>0</v>
      </c>
      <c r="AA1180">
        <v>-1</v>
      </c>
      <c r="AB1180">
        <v>-1</v>
      </c>
      <c r="AC1180">
        <v>-1</v>
      </c>
      <c r="AD1180">
        <v>-1</v>
      </c>
      <c r="AE1180">
        <v>-1</v>
      </c>
      <c r="AF1180">
        <v>-1</v>
      </c>
      <c r="AG1180">
        <v>-1</v>
      </c>
      <c r="AH1180">
        <v>-1</v>
      </c>
      <c r="AI1180">
        <v>-1</v>
      </c>
      <c r="AJ1180" s="9">
        <f t="shared" si="361"/>
        <v>25</v>
      </c>
      <c r="AK1180">
        <f t="shared" si="362"/>
        <v>0</v>
      </c>
      <c r="AL1180" s="9">
        <v>0</v>
      </c>
    </row>
    <row r="1181" spans="1:38" x14ac:dyDescent="0.35">
      <c r="A1181" s="50">
        <v>0</v>
      </c>
      <c r="B1181" s="50" t="s">
        <v>145</v>
      </c>
      <c r="C1181" s="53">
        <v>43894</v>
      </c>
      <c r="D1181" s="53">
        <v>43904</v>
      </c>
      <c r="E1181" s="53">
        <v>43969</v>
      </c>
      <c r="F1181" s="21">
        <f t="shared" si="363"/>
        <v>65</v>
      </c>
      <c r="G1181" s="53">
        <v>43904</v>
      </c>
      <c r="H1181" s="9">
        <v>2020</v>
      </c>
      <c r="I1181" s="50">
        <v>0</v>
      </c>
      <c r="J1181" s="50">
        <v>6</v>
      </c>
      <c r="K1181" s="50">
        <v>26</v>
      </c>
      <c r="L1181" s="24" t="s">
        <v>1522</v>
      </c>
      <c r="M1181" s="24"/>
      <c r="V1181" t="s">
        <v>981</v>
      </c>
      <c r="W1181" t="s">
        <v>989</v>
      </c>
      <c r="X1181" t="s">
        <v>998</v>
      </c>
      <c r="Y1181" t="s">
        <v>1000</v>
      </c>
      <c r="Z1181">
        <v>0</v>
      </c>
      <c r="AA1181">
        <v>-1</v>
      </c>
      <c r="AB1181">
        <v>-1</v>
      </c>
      <c r="AC1181">
        <v>-1</v>
      </c>
      <c r="AD1181">
        <v>-1</v>
      </c>
      <c r="AE1181">
        <v>-1</v>
      </c>
      <c r="AF1181">
        <v>-1</v>
      </c>
      <c r="AG1181">
        <v>-1</v>
      </c>
      <c r="AH1181">
        <v>-1</v>
      </c>
      <c r="AI1181">
        <v>-1</v>
      </c>
      <c r="AJ1181" s="9">
        <f t="shared" si="361"/>
        <v>26</v>
      </c>
      <c r="AK1181">
        <f t="shared" si="362"/>
        <v>0</v>
      </c>
      <c r="AL1181" s="9">
        <v>0</v>
      </c>
    </row>
    <row r="1182" spans="1:38" x14ac:dyDescent="0.35">
      <c r="A1182" s="50">
        <v>0</v>
      </c>
      <c r="B1182" s="50" t="s">
        <v>145</v>
      </c>
      <c r="C1182" s="53">
        <v>43894</v>
      </c>
      <c r="D1182" s="53">
        <v>43904</v>
      </c>
      <c r="E1182" s="53">
        <v>43969</v>
      </c>
      <c r="F1182" s="21">
        <f t="shared" si="363"/>
        <v>65</v>
      </c>
      <c r="G1182" s="53">
        <v>43904</v>
      </c>
      <c r="H1182" s="9">
        <v>2020</v>
      </c>
      <c r="I1182" s="50">
        <v>0</v>
      </c>
      <c r="J1182" s="50">
        <v>6</v>
      </c>
      <c r="K1182" s="50">
        <v>28</v>
      </c>
      <c r="L1182" s="24" t="s">
        <v>1523</v>
      </c>
      <c r="M1182" s="24"/>
      <c r="V1182" t="s">
        <v>981</v>
      </c>
      <c r="W1182" t="s">
        <v>989</v>
      </c>
      <c r="X1182" t="s">
        <v>998</v>
      </c>
      <c r="Y1182" t="s">
        <v>1000</v>
      </c>
      <c r="Z1182">
        <v>0</v>
      </c>
      <c r="AA1182">
        <v>-1</v>
      </c>
      <c r="AB1182">
        <v>-1</v>
      </c>
      <c r="AC1182">
        <v>-1</v>
      </c>
      <c r="AD1182">
        <v>-1</v>
      </c>
      <c r="AE1182">
        <v>-1</v>
      </c>
      <c r="AF1182">
        <v>-1</v>
      </c>
      <c r="AG1182">
        <v>-1</v>
      </c>
      <c r="AH1182">
        <v>-1</v>
      </c>
      <c r="AI1182">
        <v>-1</v>
      </c>
      <c r="AJ1182" s="9">
        <f t="shared" si="361"/>
        <v>28</v>
      </c>
      <c r="AK1182">
        <f t="shared" si="362"/>
        <v>0</v>
      </c>
      <c r="AL1182" s="9">
        <v>0</v>
      </c>
    </row>
    <row r="1183" spans="1:38" x14ac:dyDescent="0.35">
      <c r="A1183" s="50">
        <v>0</v>
      </c>
      <c r="B1183" s="50" t="s">
        <v>145</v>
      </c>
      <c r="C1183" s="53">
        <v>43894</v>
      </c>
      <c r="D1183" s="53">
        <v>43904</v>
      </c>
      <c r="E1183" s="53">
        <v>43969</v>
      </c>
      <c r="F1183" s="21">
        <f t="shared" si="363"/>
        <v>65</v>
      </c>
      <c r="G1183" s="53">
        <v>43904</v>
      </c>
      <c r="H1183" s="9">
        <v>2020</v>
      </c>
      <c r="I1183" s="50">
        <v>0</v>
      </c>
      <c r="J1183" s="50">
        <v>7</v>
      </c>
      <c r="K1183" s="50" t="s">
        <v>201</v>
      </c>
      <c r="L1183" s="24" t="s">
        <v>1524</v>
      </c>
      <c r="M1183" s="24"/>
      <c r="V1183" t="s">
        <v>981</v>
      </c>
      <c r="W1183" t="s">
        <v>989</v>
      </c>
      <c r="X1183" t="s">
        <v>998</v>
      </c>
      <c r="Y1183" t="s">
        <v>1000</v>
      </c>
      <c r="Z1183">
        <v>0</v>
      </c>
      <c r="AA1183">
        <v>-1</v>
      </c>
      <c r="AB1183">
        <v>-1</v>
      </c>
      <c r="AC1183">
        <v>-1</v>
      </c>
      <c r="AD1183">
        <v>-1</v>
      </c>
      <c r="AE1183">
        <v>-1</v>
      </c>
      <c r="AF1183">
        <v>-1</v>
      </c>
      <c r="AG1183">
        <v>-1</v>
      </c>
      <c r="AH1183">
        <v>-1</v>
      </c>
      <c r="AI1183">
        <v>-1</v>
      </c>
      <c r="AJ1183" s="9" t="str">
        <f t="shared" si="361"/>
        <v>Other</v>
      </c>
      <c r="AK1183">
        <f t="shared" si="362"/>
        <v>0</v>
      </c>
      <c r="AL1183" s="9">
        <v>0</v>
      </c>
    </row>
    <row r="1184" spans="1:38" x14ac:dyDescent="0.35">
      <c r="A1184" s="50">
        <v>0</v>
      </c>
      <c r="B1184" s="50" t="s">
        <v>145</v>
      </c>
      <c r="C1184" s="53">
        <v>43894</v>
      </c>
      <c r="D1184" s="53">
        <v>43904</v>
      </c>
      <c r="E1184" s="53">
        <v>43969</v>
      </c>
      <c r="F1184" s="21">
        <f t="shared" si="363"/>
        <v>65</v>
      </c>
      <c r="G1184" s="53">
        <v>43904</v>
      </c>
      <c r="H1184" s="9">
        <v>2020</v>
      </c>
      <c r="I1184" s="50">
        <v>0</v>
      </c>
      <c r="J1184" s="50">
        <v>7</v>
      </c>
      <c r="K1184" s="50">
        <v>30</v>
      </c>
      <c r="L1184" s="24" t="s">
        <v>1525</v>
      </c>
      <c r="M1184" s="24"/>
      <c r="V1184" t="s">
        <v>981</v>
      </c>
      <c r="W1184" t="s">
        <v>989</v>
      </c>
      <c r="X1184" t="s">
        <v>998</v>
      </c>
      <c r="Y1184" t="s">
        <v>1000</v>
      </c>
      <c r="Z1184">
        <v>0</v>
      </c>
      <c r="AA1184">
        <v>-1</v>
      </c>
      <c r="AB1184">
        <v>-1</v>
      </c>
      <c r="AC1184">
        <v>-1</v>
      </c>
      <c r="AD1184">
        <v>-1</v>
      </c>
      <c r="AE1184">
        <v>-1</v>
      </c>
      <c r="AF1184">
        <v>-1</v>
      </c>
      <c r="AG1184">
        <v>-1</v>
      </c>
      <c r="AH1184">
        <v>-1</v>
      </c>
      <c r="AI1184">
        <v>-1</v>
      </c>
      <c r="AJ1184" s="9">
        <f t="shared" si="361"/>
        <v>30</v>
      </c>
      <c r="AK1184">
        <f t="shared" si="362"/>
        <v>0</v>
      </c>
      <c r="AL1184" s="9">
        <v>0</v>
      </c>
    </row>
    <row r="1185" spans="1:38" x14ac:dyDescent="0.35">
      <c r="A1185" s="50">
        <v>0</v>
      </c>
      <c r="B1185" s="50" t="s">
        <v>145</v>
      </c>
      <c r="C1185" s="53">
        <v>43894</v>
      </c>
      <c r="D1185" s="53">
        <v>43904</v>
      </c>
      <c r="E1185" s="53">
        <v>43969</v>
      </c>
      <c r="F1185" s="21">
        <f t="shared" si="363"/>
        <v>65</v>
      </c>
      <c r="G1185" s="53">
        <v>43904</v>
      </c>
      <c r="H1185" s="9">
        <v>2020</v>
      </c>
      <c r="I1185" s="50">
        <v>0</v>
      </c>
      <c r="J1185" s="50">
        <v>1</v>
      </c>
      <c r="K1185" s="50">
        <v>8</v>
      </c>
      <c r="L1185" s="24" t="s">
        <v>1526</v>
      </c>
      <c r="M1185" s="24"/>
      <c r="V1185" t="s">
        <v>981</v>
      </c>
      <c r="W1185" t="s">
        <v>989</v>
      </c>
      <c r="X1185" t="s">
        <v>998</v>
      </c>
      <c r="Y1185" t="s">
        <v>1000</v>
      </c>
      <c r="Z1185">
        <v>0</v>
      </c>
      <c r="AA1185">
        <v>-1</v>
      </c>
      <c r="AB1185">
        <v>-1</v>
      </c>
      <c r="AC1185">
        <v>-1</v>
      </c>
      <c r="AD1185">
        <v>-1</v>
      </c>
      <c r="AE1185">
        <v>-1</v>
      </c>
      <c r="AF1185">
        <v>-1</v>
      </c>
      <c r="AG1185">
        <v>-1</v>
      </c>
      <c r="AH1185">
        <v>-1</v>
      </c>
      <c r="AI1185">
        <v>-1</v>
      </c>
      <c r="AJ1185" s="9">
        <f t="shared" si="361"/>
        <v>8</v>
      </c>
      <c r="AK1185" t="e">
        <f>IF(B1185&lt;&gt;#REF!,1,0)</f>
        <v>#REF!</v>
      </c>
      <c r="AL1185" s="9">
        <v>0</v>
      </c>
    </row>
    <row r="1186" spans="1:38" x14ac:dyDescent="0.35">
      <c r="A1186" s="50">
        <v>0</v>
      </c>
      <c r="B1186" s="50" t="s">
        <v>145</v>
      </c>
      <c r="C1186" s="53">
        <v>43894</v>
      </c>
      <c r="D1186" s="53">
        <v>43904</v>
      </c>
      <c r="E1186" s="53">
        <v>43969</v>
      </c>
      <c r="F1186" s="21">
        <f t="shared" si="363"/>
        <v>65</v>
      </c>
      <c r="G1186" s="53">
        <v>43904</v>
      </c>
      <c r="H1186" s="9">
        <v>2020</v>
      </c>
      <c r="I1186" s="50">
        <v>0</v>
      </c>
      <c r="J1186" s="50">
        <v>3</v>
      </c>
      <c r="K1186" s="50">
        <v>19</v>
      </c>
      <c r="L1186" s="24" t="s">
        <v>1527</v>
      </c>
      <c r="M1186" s="24"/>
      <c r="V1186" t="s">
        <v>981</v>
      </c>
      <c r="W1186" t="s">
        <v>989</v>
      </c>
      <c r="X1186" t="s">
        <v>998</v>
      </c>
      <c r="Y1186" t="s">
        <v>1000</v>
      </c>
      <c r="Z1186">
        <v>0</v>
      </c>
      <c r="AA1186">
        <v>-1</v>
      </c>
      <c r="AB1186">
        <v>-1</v>
      </c>
      <c r="AC1186">
        <v>-1</v>
      </c>
      <c r="AD1186">
        <v>-1</v>
      </c>
      <c r="AE1186">
        <v>-1</v>
      </c>
      <c r="AF1186">
        <v>-1</v>
      </c>
      <c r="AG1186">
        <v>-1</v>
      </c>
      <c r="AH1186">
        <v>-1</v>
      </c>
      <c r="AI1186">
        <v>-1</v>
      </c>
      <c r="AJ1186" s="9">
        <f t="shared" si="361"/>
        <v>19</v>
      </c>
      <c r="AK1186">
        <f t="shared" si="362"/>
        <v>0</v>
      </c>
      <c r="AL1186" s="9">
        <v>0</v>
      </c>
    </row>
    <row r="1187" spans="1:38" x14ac:dyDescent="0.35">
      <c r="A1187" s="50">
        <v>0</v>
      </c>
      <c r="B1187" s="50" t="s">
        <v>145</v>
      </c>
      <c r="C1187" s="53">
        <v>43894</v>
      </c>
      <c r="D1187" s="53">
        <v>43904</v>
      </c>
      <c r="E1187" s="53">
        <v>43969</v>
      </c>
      <c r="F1187" s="21">
        <f t="shared" si="363"/>
        <v>65</v>
      </c>
      <c r="G1187" s="53">
        <v>43904</v>
      </c>
      <c r="H1187" s="9">
        <v>2020</v>
      </c>
      <c r="I1187" s="50">
        <v>0</v>
      </c>
      <c r="J1187" s="50">
        <v>2</v>
      </c>
      <c r="K1187" s="50">
        <v>17</v>
      </c>
      <c r="L1187" s="24" t="s">
        <v>1528</v>
      </c>
      <c r="M1187" s="24"/>
      <c r="V1187" t="s">
        <v>981</v>
      </c>
      <c r="W1187" t="s">
        <v>989</v>
      </c>
      <c r="X1187" t="s">
        <v>998</v>
      </c>
      <c r="Y1187" t="s">
        <v>1000</v>
      </c>
      <c r="Z1187">
        <v>0</v>
      </c>
      <c r="AA1187">
        <v>-1</v>
      </c>
      <c r="AB1187">
        <v>-1</v>
      </c>
      <c r="AC1187">
        <v>-1</v>
      </c>
      <c r="AD1187">
        <v>-1</v>
      </c>
      <c r="AE1187">
        <v>-1</v>
      </c>
      <c r="AF1187">
        <v>-1</v>
      </c>
      <c r="AG1187">
        <v>-1</v>
      </c>
      <c r="AH1187">
        <v>-1</v>
      </c>
      <c r="AI1187">
        <v>-1</v>
      </c>
      <c r="AJ1187" s="9">
        <f t="shared" si="361"/>
        <v>17</v>
      </c>
      <c r="AK1187">
        <f t="shared" si="362"/>
        <v>0</v>
      </c>
      <c r="AL1187" s="9">
        <v>0</v>
      </c>
    </row>
    <row r="1188" spans="1:38" x14ac:dyDescent="0.35">
      <c r="A1188" s="50">
        <v>0</v>
      </c>
      <c r="B1188" s="50" t="s">
        <v>145</v>
      </c>
      <c r="C1188" s="53">
        <v>43894</v>
      </c>
      <c r="D1188" s="53">
        <v>43904</v>
      </c>
      <c r="E1188" s="53">
        <v>43969</v>
      </c>
      <c r="F1188" s="21">
        <f t="shared" si="363"/>
        <v>65</v>
      </c>
      <c r="G1188" s="53">
        <v>43904</v>
      </c>
      <c r="H1188" s="9">
        <v>2020</v>
      </c>
      <c r="I1188" s="50">
        <v>0</v>
      </c>
      <c r="J1188" s="50">
        <v>2</v>
      </c>
      <c r="K1188" s="50" t="s">
        <v>206</v>
      </c>
      <c r="L1188" s="24" t="s">
        <v>1529</v>
      </c>
      <c r="M1188" s="24"/>
      <c r="V1188" t="s">
        <v>981</v>
      </c>
      <c r="W1188" t="s">
        <v>989</v>
      </c>
      <c r="X1188" t="s">
        <v>998</v>
      </c>
      <c r="Y1188" t="s">
        <v>1000</v>
      </c>
      <c r="Z1188">
        <v>0</v>
      </c>
      <c r="AA1188">
        <v>-1</v>
      </c>
      <c r="AB1188">
        <v>-1</v>
      </c>
      <c r="AC1188">
        <v>-1</v>
      </c>
      <c r="AD1188">
        <v>-1</v>
      </c>
      <c r="AE1188">
        <v>-1</v>
      </c>
      <c r="AF1188">
        <v>-1</v>
      </c>
      <c r="AG1188">
        <v>-1</v>
      </c>
      <c r="AH1188">
        <v>-1</v>
      </c>
      <c r="AI1188">
        <v>-1</v>
      </c>
      <c r="AJ1188" s="9" t="str">
        <f t="shared" si="361"/>
        <v>Tax exemption/waiver/suspension</v>
      </c>
      <c r="AK1188">
        <f t="shared" si="362"/>
        <v>0</v>
      </c>
      <c r="AL1188" s="9">
        <v>0</v>
      </c>
    </row>
    <row r="1189" spans="1:38" x14ac:dyDescent="0.35">
      <c r="A1189" s="50">
        <v>0</v>
      </c>
      <c r="B1189" s="50" t="s">
        <v>145</v>
      </c>
      <c r="C1189" s="53">
        <v>43894</v>
      </c>
      <c r="D1189" s="53">
        <v>43904</v>
      </c>
      <c r="E1189" s="53">
        <v>43969</v>
      </c>
      <c r="F1189" s="21">
        <f t="shared" si="363"/>
        <v>65</v>
      </c>
      <c r="G1189" s="53">
        <v>43904</v>
      </c>
      <c r="H1189" s="9">
        <v>2020</v>
      </c>
      <c r="I1189" s="50">
        <v>0</v>
      </c>
      <c r="J1189" s="50">
        <v>2</v>
      </c>
      <c r="K1189" s="50" t="s">
        <v>206</v>
      </c>
      <c r="L1189" s="24" t="s">
        <v>1530</v>
      </c>
      <c r="M1189" s="24"/>
      <c r="V1189" t="s">
        <v>981</v>
      </c>
      <c r="W1189" t="s">
        <v>989</v>
      </c>
      <c r="X1189" t="s">
        <v>998</v>
      </c>
      <c r="Y1189" t="s">
        <v>1000</v>
      </c>
      <c r="Z1189">
        <v>0</v>
      </c>
      <c r="AA1189">
        <v>-1</v>
      </c>
      <c r="AB1189">
        <v>-1</v>
      </c>
      <c r="AC1189">
        <v>-1</v>
      </c>
      <c r="AD1189">
        <v>-1</v>
      </c>
      <c r="AE1189">
        <v>-1</v>
      </c>
      <c r="AF1189">
        <v>-1</v>
      </c>
      <c r="AG1189">
        <v>-1</v>
      </c>
      <c r="AH1189">
        <v>-1</v>
      </c>
      <c r="AI1189">
        <v>-1</v>
      </c>
      <c r="AJ1189" s="9" t="str">
        <f t="shared" si="361"/>
        <v>Tax exemption/waiver/suspension</v>
      </c>
      <c r="AK1189">
        <f t="shared" si="362"/>
        <v>0</v>
      </c>
      <c r="AL1189" s="9">
        <v>0</v>
      </c>
    </row>
    <row r="1190" spans="1:38" x14ac:dyDescent="0.35">
      <c r="A1190" s="50">
        <v>0</v>
      </c>
      <c r="B1190" s="50" t="s">
        <v>145</v>
      </c>
      <c r="C1190" s="53">
        <v>43894</v>
      </c>
      <c r="D1190" s="53">
        <v>43904</v>
      </c>
      <c r="E1190" s="53">
        <v>43969</v>
      </c>
      <c r="F1190" s="21">
        <f t="shared" si="363"/>
        <v>65</v>
      </c>
      <c r="G1190" s="53">
        <v>43904</v>
      </c>
      <c r="H1190" s="9">
        <v>2020</v>
      </c>
      <c r="I1190" s="50">
        <v>0</v>
      </c>
      <c r="J1190" s="50">
        <v>2</v>
      </c>
      <c r="K1190" s="50">
        <v>14</v>
      </c>
      <c r="L1190" s="24" t="s">
        <v>1531</v>
      </c>
      <c r="M1190" s="24"/>
      <c r="V1190" t="s">
        <v>981</v>
      </c>
      <c r="W1190" t="s">
        <v>989</v>
      </c>
      <c r="X1190" t="s">
        <v>998</v>
      </c>
      <c r="Y1190" t="s">
        <v>1000</v>
      </c>
      <c r="Z1190">
        <v>0</v>
      </c>
      <c r="AA1190">
        <v>-1</v>
      </c>
      <c r="AB1190">
        <v>-1</v>
      </c>
      <c r="AC1190">
        <v>-1</v>
      </c>
      <c r="AD1190">
        <v>-1</v>
      </c>
      <c r="AE1190">
        <v>-1</v>
      </c>
      <c r="AF1190">
        <v>-1</v>
      </c>
      <c r="AG1190">
        <v>-1</v>
      </c>
      <c r="AH1190">
        <v>-1</v>
      </c>
      <c r="AI1190">
        <v>-1</v>
      </c>
      <c r="AJ1190" s="9">
        <f t="shared" si="361"/>
        <v>14</v>
      </c>
      <c r="AK1190">
        <f t="shared" si="362"/>
        <v>0</v>
      </c>
      <c r="AL1190" s="9">
        <v>0</v>
      </c>
    </row>
    <row r="1191" spans="1:38" x14ac:dyDescent="0.35">
      <c r="A1191" s="50">
        <v>0</v>
      </c>
      <c r="B1191" s="50" t="s">
        <v>145</v>
      </c>
      <c r="C1191" s="53">
        <v>43894</v>
      </c>
      <c r="D1191" s="53">
        <v>43904</v>
      </c>
      <c r="E1191" s="53">
        <v>43969</v>
      </c>
      <c r="F1191" s="21">
        <f t="shared" si="363"/>
        <v>65</v>
      </c>
      <c r="G1191" s="53">
        <v>43904</v>
      </c>
      <c r="H1191" s="9">
        <v>2020</v>
      </c>
      <c r="I1191" s="50">
        <v>0</v>
      </c>
      <c r="J1191" s="50">
        <v>1</v>
      </c>
      <c r="K1191" s="50">
        <v>5</v>
      </c>
      <c r="L1191" s="24" t="s">
        <v>1532</v>
      </c>
      <c r="M1191" s="24"/>
      <c r="V1191" t="s">
        <v>981</v>
      </c>
      <c r="W1191" t="s">
        <v>989</v>
      </c>
      <c r="X1191" t="s">
        <v>998</v>
      </c>
      <c r="Y1191" t="s">
        <v>1000</v>
      </c>
      <c r="Z1191">
        <v>0</v>
      </c>
      <c r="AA1191">
        <v>-1</v>
      </c>
      <c r="AB1191">
        <v>-1</v>
      </c>
      <c r="AC1191">
        <v>-1</v>
      </c>
      <c r="AD1191">
        <v>-1</v>
      </c>
      <c r="AE1191">
        <v>-1</v>
      </c>
      <c r="AF1191">
        <v>-1</v>
      </c>
      <c r="AG1191">
        <v>-1</v>
      </c>
      <c r="AH1191">
        <v>-1</v>
      </c>
      <c r="AI1191">
        <v>-1</v>
      </c>
      <c r="AJ1191" s="9">
        <f t="shared" si="361"/>
        <v>5</v>
      </c>
      <c r="AK1191">
        <f t="shared" si="362"/>
        <v>0</v>
      </c>
      <c r="AL1191" s="9">
        <v>0</v>
      </c>
    </row>
    <row r="1192" spans="1:38" x14ac:dyDescent="0.35">
      <c r="A1192" s="50">
        <v>0</v>
      </c>
      <c r="B1192" s="50" t="s">
        <v>145</v>
      </c>
      <c r="C1192" s="53">
        <v>43894</v>
      </c>
      <c r="D1192" s="53">
        <v>43904</v>
      </c>
      <c r="E1192" s="53">
        <v>43969</v>
      </c>
      <c r="F1192" s="21">
        <f t="shared" si="363"/>
        <v>65</v>
      </c>
      <c r="G1192" s="53">
        <v>43904</v>
      </c>
      <c r="H1192" s="9">
        <v>2020</v>
      </c>
      <c r="I1192" s="50">
        <v>0</v>
      </c>
      <c r="J1192" s="50">
        <v>1</v>
      </c>
      <c r="K1192" s="50">
        <v>3</v>
      </c>
      <c r="L1192" s="24" t="s">
        <v>1533</v>
      </c>
      <c r="M1192" s="24"/>
      <c r="V1192" t="s">
        <v>981</v>
      </c>
      <c r="W1192" t="s">
        <v>989</v>
      </c>
      <c r="X1192" t="s">
        <v>998</v>
      </c>
      <c r="Y1192" t="s">
        <v>1000</v>
      </c>
      <c r="Z1192">
        <v>0</v>
      </c>
      <c r="AA1192">
        <v>-1</v>
      </c>
      <c r="AB1192">
        <v>-1</v>
      </c>
      <c r="AC1192">
        <v>-1</v>
      </c>
      <c r="AD1192">
        <v>-1</v>
      </c>
      <c r="AE1192">
        <v>-1</v>
      </c>
      <c r="AF1192">
        <v>-1</v>
      </c>
      <c r="AG1192">
        <v>-1</v>
      </c>
      <c r="AH1192">
        <v>-1</v>
      </c>
      <c r="AI1192">
        <v>-1</v>
      </c>
      <c r="AJ1192" s="9">
        <f t="shared" si="361"/>
        <v>3</v>
      </c>
      <c r="AK1192">
        <f t="shared" si="362"/>
        <v>0</v>
      </c>
      <c r="AL1192" s="9">
        <v>0</v>
      </c>
    </row>
    <row r="1193" spans="1:38" x14ac:dyDescent="0.35">
      <c r="A1193" s="50">
        <v>0</v>
      </c>
      <c r="B1193" s="50" t="s">
        <v>145</v>
      </c>
      <c r="C1193" s="53">
        <v>43894</v>
      </c>
      <c r="D1193" s="53">
        <v>43904</v>
      </c>
      <c r="E1193" s="53">
        <v>43969</v>
      </c>
      <c r="F1193" s="21">
        <f t="shared" si="363"/>
        <v>65</v>
      </c>
      <c r="G1193" s="53">
        <v>43904</v>
      </c>
      <c r="H1193" s="9">
        <v>2020</v>
      </c>
      <c r="I1193" s="50">
        <v>0</v>
      </c>
      <c r="J1193" s="50">
        <v>2</v>
      </c>
      <c r="K1193" s="50">
        <v>17</v>
      </c>
      <c r="L1193" s="24" t="s">
        <v>1534</v>
      </c>
      <c r="M1193" s="24"/>
      <c r="V1193" t="s">
        <v>981</v>
      </c>
      <c r="W1193" t="s">
        <v>989</v>
      </c>
      <c r="X1193" t="s">
        <v>998</v>
      </c>
      <c r="Y1193" t="s">
        <v>1000</v>
      </c>
      <c r="Z1193">
        <v>0</v>
      </c>
      <c r="AA1193">
        <v>-1</v>
      </c>
      <c r="AB1193">
        <v>-1</v>
      </c>
      <c r="AC1193">
        <v>-1</v>
      </c>
      <c r="AD1193">
        <v>-1</v>
      </c>
      <c r="AE1193">
        <v>-1</v>
      </c>
      <c r="AF1193">
        <v>-1</v>
      </c>
      <c r="AG1193">
        <v>-1</v>
      </c>
      <c r="AH1193">
        <v>-1</v>
      </c>
      <c r="AI1193">
        <v>-1</v>
      </c>
      <c r="AJ1193" s="9">
        <f t="shared" si="361"/>
        <v>17</v>
      </c>
      <c r="AK1193">
        <f t="shared" si="362"/>
        <v>0</v>
      </c>
      <c r="AL1193" s="9">
        <v>0</v>
      </c>
    </row>
    <row r="1194" spans="1:38" x14ac:dyDescent="0.35">
      <c r="A1194" s="50">
        <v>0</v>
      </c>
      <c r="B1194" s="50" t="s">
        <v>145</v>
      </c>
      <c r="C1194" s="53">
        <v>43894</v>
      </c>
      <c r="D1194" s="53">
        <v>43904</v>
      </c>
      <c r="E1194" s="53">
        <v>43969</v>
      </c>
      <c r="F1194" s="21">
        <f t="shared" si="363"/>
        <v>65</v>
      </c>
      <c r="G1194" s="53">
        <v>43904</v>
      </c>
      <c r="H1194" s="9">
        <v>2020</v>
      </c>
      <c r="I1194" s="50">
        <v>0</v>
      </c>
      <c r="J1194" s="50">
        <v>1</v>
      </c>
      <c r="K1194" s="50">
        <v>8</v>
      </c>
      <c r="L1194" s="24" t="s">
        <v>1535</v>
      </c>
      <c r="M1194" s="24"/>
      <c r="V1194" t="s">
        <v>981</v>
      </c>
      <c r="W1194" t="s">
        <v>989</v>
      </c>
      <c r="X1194" t="s">
        <v>998</v>
      </c>
      <c r="Y1194" t="s">
        <v>1000</v>
      </c>
      <c r="Z1194">
        <v>0</v>
      </c>
      <c r="AA1194">
        <v>-1</v>
      </c>
      <c r="AB1194">
        <v>-1</v>
      </c>
      <c r="AC1194">
        <v>-1</v>
      </c>
      <c r="AD1194">
        <v>-1</v>
      </c>
      <c r="AE1194">
        <v>-1</v>
      </c>
      <c r="AF1194">
        <v>-1</v>
      </c>
      <c r="AG1194">
        <v>-1</v>
      </c>
      <c r="AH1194">
        <v>-1</v>
      </c>
      <c r="AI1194">
        <v>-1</v>
      </c>
      <c r="AJ1194" s="9">
        <f t="shared" si="361"/>
        <v>8</v>
      </c>
      <c r="AK1194">
        <f t="shared" si="362"/>
        <v>0</v>
      </c>
      <c r="AL1194" s="9">
        <v>0</v>
      </c>
    </row>
    <row r="1195" spans="1:38" x14ac:dyDescent="0.35">
      <c r="A1195" s="50">
        <v>0</v>
      </c>
      <c r="B1195" s="50" t="s">
        <v>145</v>
      </c>
      <c r="C1195" s="53">
        <v>43894</v>
      </c>
      <c r="D1195" s="53">
        <v>43904</v>
      </c>
      <c r="E1195" s="53">
        <v>43969</v>
      </c>
      <c r="F1195" s="21">
        <f t="shared" si="363"/>
        <v>65</v>
      </c>
      <c r="G1195" s="53">
        <v>43904</v>
      </c>
      <c r="H1195" s="9">
        <v>2020</v>
      </c>
      <c r="I1195" s="50">
        <v>0</v>
      </c>
      <c r="J1195" s="50">
        <v>1</v>
      </c>
      <c r="K1195" s="50">
        <v>5</v>
      </c>
      <c r="L1195" s="24" t="s">
        <v>1536</v>
      </c>
      <c r="M1195" s="24"/>
      <c r="V1195" t="s">
        <v>981</v>
      </c>
      <c r="W1195" t="s">
        <v>989</v>
      </c>
      <c r="X1195" t="s">
        <v>998</v>
      </c>
      <c r="Y1195" t="s">
        <v>1000</v>
      </c>
      <c r="Z1195">
        <v>0</v>
      </c>
      <c r="AA1195">
        <v>-1</v>
      </c>
      <c r="AB1195">
        <v>-1</v>
      </c>
      <c r="AC1195">
        <v>-1</v>
      </c>
      <c r="AD1195">
        <v>-1</v>
      </c>
      <c r="AE1195">
        <v>-1</v>
      </c>
      <c r="AF1195">
        <v>-1</v>
      </c>
      <c r="AG1195">
        <v>-1</v>
      </c>
      <c r="AH1195">
        <v>-1</v>
      </c>
      <c r="AI1195">
        <v>-1</v>
      </c>
      <c r="AJ1195" s="9">
        <f t="shared" si="361"/>
        <v>5</v>
      </c>
      <c r="AK1195">
        <f t="shared" si="362"/>
        <v>0</v>
      </c>
      <c r="AL1195" s="9">
        <v>0</v>
      </c>
    </row>
    <row r="1196" spans="1:38" x14ac:dyDescent="0.35">
      <c r="A1196" s="50">
        <v>0</v>
      </c>
      <c r="B1196" s="50" t="s">
        <v>145</v>
      </c>
      <c r="C1196" s="53">
        <v>43894</v>
      </c>
      <c r="D1196" s="53">
        <v>43904</v>
      </c>
      <c r="E1196" s="53">
        <v>43969</v>
      </c>
      <c r="F1196" s="21">
        <f t="shared" si="363"/>
        <v>65</v>
      </c>
      <c r="G1196" s="53">
        <v>43904</v>
      </c>
      <c r="H1196" s="9">
        <v>2020</v>
      </c>
      <c r="I1196" s="50">
        <v>0</v>
      </c>
      <c r="J1196" s="50">
        <v>1</v>
      </c>
      <c r="K1196" s="50" t="s">
        <v>206</v>
      </c>
      <c r="L1196" s="24" t="s">
        <v>1537</v>
      </c>
      <c r="M1196" s="24"/>
      <c r="V1196" t="s">
        <v>981</v>
      </c>
      <c r="W1196" t="s">
        <v>989</v>
      </c>
      <c r="X1196" t="s">
        <v>998</v>
      </c>
      <c r="Y1196" t="s">
        <v>1000</v>
      </c>
      <c r="Z1196">
        <v>0</v>
      </c>
      <c r="AA1196">
        <v>-1</v>
      </c>
      <c r="AB1196">
        <v>-1</v>
      </c>
      <c r="AC1196">
        <v>-1</v>
      </c>
      <c r="AD1196">
        <v>-1</v>
      </c>
      <c r="AE1196">
        <v>-1</v>
      </c>
      <c r="AF1196">
        <v>-1</v>
      </c>
      <c r="AG1196">
        <v>-1</v>
      </c>
      <c r="AH1196">
        <v>-1</v>
      </c>
      <c r="AI1196">
        <v>-1</v>
      </c>
      <c r="AJ1196" s="9" t="str">
        <f t="shared" si="361"/>
        <v>Tax exemption/waiver/suspension</v>
      </c>
      <c r="AK1196" t="e">
        <f>IF(B1196&lt;&gt;#REF!,1,0)</f>
        <v>#REF!</v>
      </c>
      <c r="AL1196" s="9">
        <v>0</v>
      </c>
    </row>
    <row r="1197" spans="1:38" x14ac:dyDescent="0.35">
      <c r="A1197" s="50">
        <v>0</v>
      </c>
      <c r="B1197" s="50" t="s">
        <v>145</v>
      </c>
      <c r="C1197" s="53">
        <v>43894</v>
      </c>
      <c r="D1197" s="53">
        <v>43904</v>
      </c>
      <c r="E1197" s="53">
        <v>43969</v>
      </c>
      <c r="F1197" s="21">
        <f t="shared" si="363"/>
        <v>65</v>
      </c>
      <c r="G1197" s="53">
        <v>43904</v>
      </c>
      <c r="H1197" s="9">
        <v>2020</v>
      </c>
      <c r="I1197" s="50">
        <v>0</v>
      </c>
      <c r="J1197" s="50">
        <v>1</v>
      </c>
      <c r="K1197" s="50" t="s">
        <v>206</v>
      </c>
      <c r="L1197" s="24" t="s">
        <v>1538</v>
      </c>
      <c r="M1197" s="24"/>
      <c r="V1197" t="s">
        <v>981</v>
      </c>
      <c r="W1197" t="s">
        <v>989</v>
      </c>
      <c r="X1197" t="s">
        <v>998</v>
      </c>
      <c r="Y1197" t="s">
        <v>1000</v>
      </c>
      <c r="Z1197">
        <v>0</v>
      </c>
      <c r="AA1197">
        <v>-1</v>
      </c>
      <c r="AB1197">
        <v>-1</v>
      </c>
      <c r="AC1197">
        <v>-1</v>
      </c>
      <c r="AD1197">
        <v>-1</v>
      </c>
      <c r="AE1197">
        <v>-1</v>
      </c>
      <c r="AF1197">
        <v>-1</v>
      </c>
      <c r="AG1197">
        <v>-1</v>
      </c>
      <c r="AH1197">
        <v>-1</v>
      </c>
      <c r="AI1197">
        <v>-1</v>
      </c>
      <c r="AJ1197" s="9" t="str">
        <f t="shared" si="361"/>
        <v>Tax exemption/waiver/suspension</v>
      </c>
      <c r="AK1197">
        <f t="shared" si="362"/>
        <v>0</v>
      </c>
      <c r="AL1197" s="9">
        <v>0</v>
      </c>
    </row>
    <row r="1198" spans="1:38" x14ac:dyDescent="0.35">
      <c r="A1198" s="50">
        <v>0</v>
      </c>
      <c r="B1198" s="50" t="s">
        <v>145</v>
      </c>
      <c r="C1198" s="53">
        <v>43894</v>
      </c>
      <c r="D1198" s="53">
        <v>43904</v>
      </c>
      <c r="E1198" s="53">
        <v>43969</v>
      </c>
      <c r="F1198" s="21">
        <f t="shared" si="363"/>
        <v>65</v>
      </c>
      <c r="G1198" s="53">
        <v>43904</v>
      </c>
      <c r="H1198" s="9">
        <v>2020</v>
      </c>
      <c r="I1198" s="50">
        <v>0</v>
      </c>
      <c r="J1198" s="50">
        <v>2</v>
      </c>
      <c r="K1198" s="50" t="s">
        <v>206</v>
      </c>
      <c r="L1198" s="24" t="s">
        <v>1539</v>
      </c>
      <c r="M1198" s="24"/>
      <c r="V1198" t="s">
        <v>981</v>
      </c>
      <c r="W1198" t="s">
        <v>989</v>
      </c>
      <c r="X1198" t="s">
        <v>998</v>
      </c>
      <c r="Y1198" t="s">
        <v>1000</v>
      </c>
      <c r="Z1198">
        <v>0</v>
      </c>
      <c r="AA1198">
        <v>-1</v>
      </c>
      <c r="AB1198">
        <v>-1</v>
      </c>
      <c r="AC1198">
        <v>-1</v>
      </c>
      <c r="AD1198">
        <v>-1</v>
      </c>
      <c r="AE1198">
        <v>-1</v>
      </c>
      <c r="AF1198">
        <v>-1</v>
      </c>
      <c r="AG1198">
        <v>-1</v>
      </c>
      <c r="AH1198">
        <v>-1</v>
      </c>
      <c r="AI1198">
        <v>-1</v>
      </c>
      <c r="AJ1198" s="9" t="str">
        <f t="shared" si="361"/>
        <v>Tax exemption/waiver/suspension</v>
      </c>
      <c r="AK1198">
        <f t="shared" si="362"/>
        <v>0</v>
      </c>
      <c r="AL1198" s="9">
        <v>0</v>
      </c>
    </row>
    <row r="1199" spans="1:38" x14ac:dyDescent="0.35">
      <c r="A1199" s="50">
        <v>0</v>
      </c>
      <c r="B1199" s="50" t="s">
        <v>145</v>
      </c>
      <c r="C1199" s="53">
        <v>43894</v>
      </c>
      <c r="D1199" s="53">
        <v>43904</v>
      </c>
      <c r="E1199" s="53">
        <v>43969</v>
      </c>
      <c r="F1199" s="21">
        <f t="shared" si="363"/>
        <v>65</v>
      </c>
      <c r="G1199" s="53">
        <v>43904</v>
      </c>
      <c r="H1199" s="9">
        <v>2020</v>
      </c>
      <c r="I1199" s="50">
        <v>0</v>
      </c>
      <c r="J1199" s="50">
        <v>1</v>
      </c>
      <c r="K1199" s="50" t="s">
        <v>206</v>
      </c>
      <c r="L1199" s="24" t="s">
        <v>1540</v>
      </c>
      <c r="M1199" s="24"/>
      <c r="V1199" t="s">
        <v>981</v>
      </c>
      <c r="W1199" t="s">
        <v>989</v>
      </c>
      <c r="X1199" t="s">
        <v>998</v>
      </c>
      <c r="Y1199" t="s">
        <v>1000</v>
      </c>
      <c r="Z1199">
        <v>0</v>
      </c>
      <c r="AA1199">
        <v>-1</v>
      </c>
      <c r="AB1199">
        <v>-1</v>
      </c>
      <c r="AC1199">
        <v>-1</v>
      </c>
      <c r="AD1199">
        <v>-1</v>
      </c>
      <c r="AE1199">
        <v>-1</v>
      </c>
      <c r="AF1199">
        <v>-1</v>
      </c>
      <c r="AG1199">
        <v>-1</v>
      </c>
      <c r="AH1199">
        <v>-1</v>
      </c>
      <c r="AI1199">
        <v>-1</v>
      </c>
      <c r="AJ1199" s="9" t="str">
        <f t="shared" si="361"/>
        <v>Tax exemption/waiver/suspension</v>
      </c>
      <c r="AK1199">
        <f t="shared" si="362"/>
        <v>0</v>
      </c>
      <c r="AL1199" s="9">
        <v>1</v>
      </c>
    </row>
    <row r="1200" spans="1:38" x14ac:dyDescent="0.35">
      <c r="A1200" s="50">
        <v>0</v>
      </c>
      <c r="B1200" s="50" t="s">
        <v>145</v>
      </c>
      <c r="C1200" s="53">
        <v>43894</v>
      </c>
      <c r="D1200" s="53">
        <v>43904</v>
      </c>
      <c r="E1200" s="53">
        <v>43969</v>
      </c>
      <c r="F1200" s="21">
        <f t="shared" si="363"/>
        <v>65</v>
      </c>
      <c r="G1200" s="53">
        <v>43904</v>
      </c>
      <c r="H1200" s="9">
        <v>2020</v>
      </c>
      <c r="I1200" s="50">
        <v>0</v>
      </c>
      <c r="J1200" s="50">
        <v>1</v>
      </c>
      <c r="K1200" s="50">
        <v>11</v>
      </c>
      <c r="L1200" s="24" t="s">
        <v>1541</v>
      </c>
      <c r="M1200" s="24"/>
      <c r="V1200" t="s">
        <v>981</v>
      </c>
      <c r="W1200" t="s">
        <v>989</v>
      </c>
      <c r="X1200" t="s">
        <v>998</v>
      </c>
      <c r="Y1200" t="s">
        <v>1000</v>
      </c>
      <c r="Z1200">
        <v>0</v>
      </c>
      <c r="AA1200">
        <v>-1</v>
      </c>
      <c r="AB1200">
        <v>-1</v>
      </c>
      <c r="AC1200">
        <v>-1</v>
      </c>
      <c r="AD1200">
        <v>-1</v>
      </c>
      <c r="AE1200">
        <v>-1</v>
      </c>
      <c r="AF1200">
        <v>-1</v>
      </c>
      <c r="AG1200">
        <v>-1</v>
      </c>
      <c r="AH1200">
        <v>-1</v>
      </c>
      <c r="AI1200">
        <v>-1</v>
      </c>
      <c r="AJ1200" s="9">
        <f t="shared" si="361"/>
        <v>11</v>
      </c>
      <c r="AK1200">
        <f t="shared" si="362"/>
        <v>0</v>
      </c>
      <c r="AL1200" s="9">
        <v>1</v>
      </c>
    </row>
    <row r="1201" spans="1:38" s="52" customFormat="1" x14ac:dyDescent="0.35">
      <c r="A1201" s="50">
        <v>0</v>
      </c>
      <c r="B1201" s="50" t="s">
        <v>145</v>
      </c>
      <c r="C1201" s="53">
        <v>43894</v>
      </c>
      <c r="D1201" s="53">
        <v>43904</v>
      </c>
      <c r="E1201" s="53">
        <v>43969</v>
      </c>
      <c r="F1201" s="21">
        <f t="shared" ref="F1201" si="364">DATEDIF(D1201,E1201,"D")</f>
        <v>65</v>
      </c>
      <c r="G1201" s="53">
        <v>43904</v>
      </c>
      <c r="H1201" s="9">
        <v>2021</v>
      </c>
      <c r="I1201" s="50">
        <v>0</v>
      </c>
      <c r="J1201" s="50">
        <v>1</v>
      </c>
      <c r="K1201" s="50">
        <v>6</v>
      </c>
      <c r="L1201" s="51" t="s">
        <v>1791</v>
      </c>
      <c r="M1201" s="51"/>
      <c r="AJ1201" s="52">
        <f t="shared" si="361"/>
        <v>6</v>
      </c>
    </row>
    <row r="1202" spans="1:38" s="52" customFormat="1" x14ac:dyDescent="0.35">
      <c r="A1202" s="50">
        <v>0</v>
      </c>
      <c r="B1202" s="50" t="s">
        <v>145</v>
      </c>
      <c r="C1202" s="53">
        <v>43894</v>
      </c>
      <c r="D1202" s="53">
        <v>43904</v>
      </c>
      <c r="E1202" s="53">
        <v>43969</v>
      </c>
      <c r="F1202" s="21">
        <f t="shared" ref="F1202" si="365">DATEDIF(D1202,E1202,"D")</f>
        <v>65</v>
      </c>
      <c r="G1202" s="53">
        <v>43904</v>
      </c>
      <c r="H1202" s="9">
        <v>2021</v>
      </c>
      <c r="I1202" s="50">
        <v>0</v>
      </c>
      <c r="J1202" s="50">
        <v>7</v>
      </c>
      <c r="K1202" s="50">
        <v>30</v>
      </c>
      <c r="L1202" s="51" t="s">
        <v>1792</v>
      </c>
      <c r="M1202" s="51"/>
      <c r="AJ1202" s="52">
        <f t="shared" si="361"/>
        <v>30</v>
      </c>
    </row>
    <row r="1203" spans="1:38" s="52" customFormat="1" x14ac:dyDescent="0.35">
      <c r="A1203" s="50">
        <v>0</v>
      </c>
      <c r="B1203" s="50" t="s">
        <v>145</v>
      </c>
      <c r="C1203" s="53">
        <v>43894</v>
      </c>
      <c r="D1203" s="53">
        <v>43904</v>
      </c>
      <c r="E1203" s="53">
        <v>43969</v>
      </c>
      <c r="F1203" s="21">
        <f t="shared" ref="F1203:F1209" si="366">DATEDIF(D1203,E1203,"D")</f>
        <v>65</v>
      </c>
      <c r="G1203" s="53">
        <v>43904</v>
      </c>
      <c r="H1203" s="9">
        <v>2021</v>
      </c>
      <c r="I1203" s="50">
        <v>0</v>
      </c>
      <c r="J1203" s="50">
        <v>1</v>
      </c>
      <c r="K1203" s="50" t="s">
        <v>206</v>
      </c>
      <c r="L1203" s="51" t="s">
        <v>2233</v>
      </c>
      <c r="M1203" s="51"/>
      <c r="AJ1203" s="52" t="str">
        <f t="shared" si="361"/>
        <v>Tax exemption/waiver/suspension</v>
      </c>
    </row>
    <row r="1204" spans="1:38" s="52" customFormat="1" x14ac:dyDescent="0.35">
      <c r="A1204" s="50">
        <v>0</v>
      </c>
      <c r="B1204" s="50" t="s">
        <v>145</v>
      </c>
      <c r="C1204" s="53">
        <v>43894</v>
      </c>
      <c r="D1204" s="53">
        <v>43904</v>
      </c>
      <c r="E1204" s="53">
        <v>43969</v>
      </c>
      <c r="F1204" s="21">
        <f t="shared" si="366"/>
        <v>65</v>
      </c>
      <c r="G1204" s="53">
        <v>43904</v>
      </c>
      <c r="H1204" s="9">
        <v>2021</v>
      </c>
      <c r="I1204" s="50">
        <v>0</v>
      </c>
      <c r="J1204" s="50">
        <v>7</v>
      </c>
      <c r="K1204" s="50">
        <v>30</v>
      </c>
      <c r="L1204" s="51" t="s">
        <v>2061</v>
      </c>
      <c r="M1204" s="51"/>
    </row>
    <row r="1205" spans="1:38" s="52" customFormat="1" x14ac:dyDescent="0.35">
      <c r="A1205" s="50">
        <v>0</v>
      </c>
      <c r="B1205" s="50" t="s">
        <v>145</v>
      </c>
      <c r="C1205" s="53">
        <v>43894</v>
      </c>
      <c r="D1205" s="53">
        <v>43904</v>
      </c>
      <c r="E1205" s="53">
        <v>43969</v>
      </c>
      <c r="F1205" s="21">
        <f t="shared" si="366"/>
        <v>65</v>
      </c>
      <c r="G1205" s="53">
        <v>43904</v>
      </c>
      <c r="H1205" s="9">
        <v>2021</v>
      </c>
      <c r="I1205" s="50">
        <v>0</v>
      </c>
      <c r="J1205" s="50">
        <v>9</v>
      </c>
      <c r="K1205" s="50">
        <v>34</v>
      </c>
      <c r="L1205" s="51" t="s">
        <v>2062</v>
      </c>
      <c r="M1205" s="51"/>
    </row>
    <row r="1206" spans="1:38" s="52" customFormat="1" x14ac:dyDescent="0.35">
      <c r="A1206" s="50">
        <v>0</v>
      </c>
      <c r="B1206" s="50" t="s">
        <v>145</v>
      </c>
      <c r="C1206" s="53">
        <v>43894</v>
      </c>
      <c r="D1206" s="53">
        <v>43904</v>
      </c>
      <c r="E1206" s="53">
        <v>43969</v>
      </c>
      <c r="F1206" s="21">
        <f t="shared" si="366"/>
        <v>65</v>
      </c>
      <c r="G1206" s="53">
        <v>43904</v>
      </c>
      <c r="H1206" s="9">
        <v>2021</v>
      </c>
      <c r="I1206" s="50">
        <v>0</v>
      </c>
      <c r="J1206" s="50">
        <v>9</v>
      </c>
      <c r="K1206" s="50">
        <v>34</v>
      </c>
      <c r="L1206" s="51" t="s">
        <v>2063</v>
      </c>
      <c r="M1206" s="51"/>
    </row>
    <row r="1207" spans="1:38" s="52" customFormat="1" x14ac:dyDescent="0.35">
      <c r="A1207" s="50">
        <v>0</v>
      </c>
      <c r="B1207" s="50" t="s">
        <v>145</v>
      </c>
      <c r="C1207" s="53">
        <v>43894</v>
      </c>
      <c r="D1207" s="53">
        <v>43904</v>
      </c>
      <c r="E1207" s="53">
        <v>43969</v>
      </c>
      <c r="F1207" s="21">
        <f t="shared" si="366"/>
        <v>65</v>
      </c>
      <c r="G1207" s="53">
        <v>43904</v>
      </c>
      <c r="H1207" s="9">
        <v>2021</v>
      </c>
      <c r="I1207" s="50">
        <v>0</v>
      </c>
      <c r="J1207" s="50">
        <v>3</v>
      </c>
      <c r="K1207" s="50" t="s">
        <v>206</v>
      </c>
      <c r="L1207" s="51" t="s">
        <v>2064</v>
      </c>
      <c r="M1207" s="51"/>
    </row>
    <row r="1208" spans="1:38" s="52" customFormat="1" x14ac:dyDescent="0.35">
      <c r="A1208" s="50">
        <v>0</v>
      </c>
      <c r="B1208" s="50" t="s">
        <v>145</v>
      </c>
      <c r="C1208" s="53">
        <v>43894</v>
      </c>
      <c r="D1208" s="53">
        <v>43904</v>
      </c>
      <c r="E1208" s="53">
        <v>43969</v>
      </c>
      <c r="F1208" s="21">
        <f t="shared" si="366"/>
        <v>65</v>
      </c>
      <c r="G1208" s="53">
        <v>43904</v>
      </c>
      <c r="H1208" s="9">
        <v>2021</v>
      </c>
      <c r="I1208" s="50">
        <v>0</v>
      </c>
      <c r="J1208" s="50">
        <v>9</v>
      </c>
      <c r="K1208" s="50">
        <v>34</v>
      </c>
      <c r="L1208" s="51" t="s">
        <v>2065</v>
      </c>
      <c r="M1208" s="51"/>
    </row>
    <row r="1209" spans="1:38" s="52" customFormat="1" x14ac:dyDescent="0.35">
      <c r="A1209" s="50">
        <v>0</v>
      </c>
      <c r="B1209" s="50" t="s">
        <v>145</v>
      </c>
      <c r="C1209" s="53">
        <v>43894</v>
      </c>
      <c r="D1209" s="53">
        <v>43904</v>
      </c>
      <c r="E1209" s="53">
        <v>43969</v>
      </c>
      <c r="F1209" s="21">
        <f t="shared" si="366"/>
        <v>65</v>
      </c>
      <c r="G1209" s="53">
        <v>43904</v>
      </c>
      <c r="H1209" s="9">
        <v>2021</v>
      </c>
      <c r="I1209" s="50">
        <v>0</v>
      </c>
      <c r="J1209" s="50">
        <v>9</v>
      </c>
      <c r="K1209" s="50">
        <v>34</v>
      </c>
      <c r="L1209" s="51" t="s">
        <v>2066</v>
      </c>
      <c r="M1209" s="51"/>
    </row>
    <row r="1210" spans="1:38" x14ac:dyDescent="0.35">
      <c r="A1210" s="9">
        <v>1</v>
      </c>
      <c r="B1210" s="9" t="s">
        <v>147</v>
      </c>
      <c r="C1210" s="53">
        <v>43892</v>
      </c>
      <c r="D1210" s="53">
        <v>43909</v>
      </c>
      <c r="E1210" s="53">
        <v>43969</v>
      </c>
      <c r="F1210" s="21">
        <f t="shared" si="363"/>
        <v>60</v>
      </c>
      <c r="G1210" s="53">
        <v>43909</v>
      </c>
      <c r="H1210" s="9">
        <v>2020</v>
      </c>
      <c r="I1210" s="9">
        <v>1</v>
      </c>
      <c r="J1210" s="9">
        <v>1</v>
      </c>
      <c r="K1210" s="9">
        <v>6</v>
      </c>
      <c r="L1210" s="50" t="s">
        <v>826</v>
      </c>
      <c r="M1210">
        <v>-2</v>
      </c>
      <c r="N1210">
        <v>2</v>
      </c>
      <c r="O1210">
        <v>2</v>
      </c>
      <c r="P1210">
        <v>2</v>
      </c>
      <c r="Q1210">
        <v>2</v>
      </c>
      <c r="R1210">
        <v>2</v>
      </c>
      <c r="S1210">
        <v>1</v>
      </c>
      <c r="T1210">
        <v>2</v>
      </c>
      <c r="U1210">
        <v>1</v>
      </c>
      <c r="V1210" t="s">
        <v>982</v>
      </c>
      <c r="W1210" t="s">
        <v>989</v>
      </c>
      <c r="X1210" t="s">
        <v>997</v>
      </c>
      <c r="Y1210" t="s">
        <v>1000</v>
      </c>
      <c r="Z1210">
        <v>1</v>
      </c>
      <c r="AA1210">
        <f t="shared" ref="AA1210:AA1235" si="367">IF(M1210&gt;0,1,IF(M1210&lt;0,0,-1))</f>
        <v>0</v>
      </c>
      <c r="AB1210">
        <f t="shared" ref="AB1210:AB1235" si="368">IF(N1210&gt;0,1,IF(N1210&lt;0,0,-1))</f>
        <v>1</v>
      </c>
      <c r="AC1210">
        <f t="shared" ref="AC1210:AC1235" si="369">IF(O1210&gt;0,1,IF(O1210&lt;0,0,-1))</f>
        <v>1</v>
      </c>
      <c r="AD1210">
        <f t="shared" ref="AD1210:AD1235" si="370">IF(P1210&gt;0,1,IF(P1210&lt;0,0,-1))</f>
        <v>1</v>
      </c>
      <c r="AE1210">
        <f t="shared" ref="AE1210:AE1235" si="371">IF(Q1210&gt;0,1,IF(Q1210&lt;0,0,-1))</f>
        <v>1</v>
      </c>
      <c r="AF1210">
        <f t="shared" ref="AF1210:AF1235" si="372">IF(R1210&gt;0,1,IF(R1210&lt;0,0,-1))</f>
        <v>1</v>
      </c>
      <c r="AG1210">
        <f t="shared" ref="AG1210:AG1235" si="373">IF(S1210&gt;0,1,IF(S1210&lt;0,0,-1))</f>
        <v>1</v>
      </c>
      <c r="AH1210">
        <f t="shared" ref="AH1210:AH1235" si="374">IF(T1210&gt;0,1,IF(T1210&lt;0,0,-1))</f>
        <v>1</v>
      </c>
      <c r="AI1210">
        <f t="shared" ref="AI1210:AI1235" si="375">IF(U1210&gt;0,1,IF(U1210&lt;0,0,-1))</f>
        <v>1</v>
      </c>
      <c r="AJ1210" s="9">
        <f t="shared" si="361"/>
        <v>6</v>
      </c>
      <c r="AK1210">
        <f>IF(B1210&lt;&gt;B1200,1,0)</f>
        <v>1</v>
      </c>
      <c r="AL1210" s="9">
        <v>1</v>
      </c>
    </row>
    <row r="1211" spans="1:38" x14ac:dyDescent="0.35">
      <c r="A1211" s="9">
        <v>1</v>
      </c>
      <c r="B1211" s="9" t="s">
        <v>147</v>
      </c>
      <c r="C1211" s="53">
        <v>43892</v>
      </c>
      <c r="D1211" s="53">
        <v>43909</v>
      </c>
      <c r="E1211" s="53">
        <v>43969</v>
      </c>
      <c r="F1211" s="21">
        <f t="shared" si="363"/>
        <v>60</v>
      </c>
      <c r="G1211" s="53">
        <v>43909</v>
      </c>
      <c r="H1211" s="9">
        <v>2020</v>
      </c>
      <c r="I1211" s="9">
        <v>1</v>
      </c>
      <c r="J1211" s="9">
        <v>1</v>
      </c>
      <c r="K1211" s="9">
        <v>6</v>
      </c>
      <c r="L1211" s="50" t="s">
        <v>822</v>
      </c>
      <c r="M1211">
        <v>2</v>
      </c>
      <c r="N1211">
        <v>2</v>
      </c>
      <c r="O1211">
        <v>2</v>
      </c>
      <c r="P1211">
        <v>2</v>
      </c>
      <c r="Q1211">
        <v>2</v>
      </c>
      <c r="R1211">
        <v>2</v>
      </c>
      <c r="S1211">
        <v>1</v>
      </c>
      <c r="T1211">
        <v>2</v>
      </c>
      <c r="U1211">
        <v>1</v>
      </c>
      <c r="V1211" t="s">
        <v>982</v>
      </c>
      <c r="W1211" t="s">
        <v>989</v>
      </c>
      <c r="X1211" t="s">
        <v>997</v>
      </c>
      <c r="Y1211" t="s">
        <v>1000</v>
      </c>
      <c r="Z1211">
        <v>1</v>
      </c>
      <c r="AA1211">
        <f t="shared" si="367"/>
        <v>1</v>
      </c>
      <c r="AB1211">
        <f t="shared" si="368"/>
        <v>1</v>
      </c>
      <c r="AC1211">
        <f t="shared" si="369"/>
        <v>1</v>
      </c>
      <c r="AD1211">
        <f t="shared" si="370"/>
        <v>1</v>
      </c>
      <c r="AE1211">
        <f t="shared" si="371"/>
        <v>1</v>
      </c>
      <c r="AF1211">
        <f t="shared" si="372"/>
        <v>1</v>
      </c>
      <c r="AG1211">
        <f t="shared" si="373"/>
        <v>1</v>
      </c>
      <c r="AH1211">
        <f t="shared" si="374"/>
        <v>1</v>
      </c>
      <c r="AI1211">
        <f t="shared" si="375"/>
        <v>1</v>
      </c>
      <c r="AJ1211" s="9">
        <f t="shared" si="361"/>
        <v>6</v>
      </c>
      <c r="AK1211">
        <f t="shared" si="362"/>
        <v>0</v>
      </c>
      <c r="AL1211" s="9">
        <v>1</v>
      </c>
    </row>
    <row r="1212" spans="1:38" x14ac:dyDescent="0.35">
      <c r="A1212" s="9">
        <v>1</v>
      </c>
      <c r="B1212" s="9" t="s">
        <v>147</v>
      </c>
      <c r="C1212" s="53">
        <v>43892</v>
      </c>
      <c r="D1212" s="53">
        <v>43909</v>
      </c>
      <c r="E1212" s="53">
        <v>43969</v>
      </c>
      <c r="F1212" s="21">
        <f t="shared" si="363"/>
        <v>60</v>
      </c>
      <c r="G1212" s="53">
        <v>43909</v>
      </c>
      <c r="H1212" s="9">
        <v>2020</v>
      </c>
      <c r="I1212" s="9">
        <v>1</v>
      </c>
      <c r="J1212" s="9">
        <v>6</v>
      </c>
      <c r="K1212" s="9">
        <v>29</v>
      </c>
      <c r="L1212" s="50" t="s">
        <v>825</v>
      </c>
      <c r="M1212">
        <v>1</v>
      </c>
      <c r="N1212">
        <v>1</v>
      </c>
      <c r="O1212">
        <v>2</v>
      </c>
      <c r="P1212">
        <v>-2</v>
      </c>
      <c r="Q1212">
        <v>-2</v>
      </c>
      <c r="R1212">
        <v>2</v>
      </c>
      <c r="S1212">
        <v>1</v>
      </c>
      <c r="T1212">
        <v>-2</v>
      </c>
      <c r="U1212">
        <v>1</v>
      </c>
      <c r="V1212" t="s">
        <v>982</v>
      </c>
      <c r="W1212" t="s">
        <v>989</v>
      </c>
      <c r="X1212" t="s">
        <v>997</v>
      </c>
      <c r="Y1212" t="s">
        <v>1000</v>
      </c>
      <c r="Z1212">
        <v>1</v>
      </c>
      <c r="AA1212">
        <f t="shared" si="367"/>
        <v>1</v>
      </c>
      <c r="AB1212">
        <f t="shared" si="368"/>
        <v>1</v>
      </c>
      <c r="AC1212">
        <f t="shared" si="369"/>
        <v>1</v>
      </c>
      <c r="AD1212">
        <f t="shared" si="370"/>
        <v>0</v>
      </c>
      <c r="AE1212">
        <f t="shared" si="371"/>
        <v>0</v>
      </c>
      <c r="AF1212">
        <f t="shared" si="372"/>
        <v>1</v>
      </c>
      <c r="AG1212">
        <f t="shared" si="373"/>
        <v>1</v>
      </c>
      <c r="AH1212">
        <f t="shared" si="374"/>
        <v>0</v>
      </c>
      <c r="AI1212">
        <f t="shared" si="375"/>
        <v>1</v>
      </c>
      <c r="AJ1212" s="9">
        <f t="shared" si="361"/>
        <v>29</v>
      </c>
      <c r="AK1212">
        <f t="shared" si="362"/>
        <v>0</v>
      </c>
      <c r="AL1212" s="9">
        <v>1</v>
      </c>
    </row>
    <row r="1213" spans="1:38" x14ac:dyDescent="0.35">
      <c r="A1213" s="9">
        <v>1</v>
      </c>
      <c r="B1213" s="9" t="s">
        <v>147</v>
      </c>
      <c r="C1213" s="53">
        <v>43892</v>
      </c>
      <c r="D1213" s="53">
        <v>43909</v>
      </c>
      <c r="E1213" s="53">
        <v>43969</v>
      </c>
      <c r="F1213" s="21">
        <f t="shared" si="363"/>
        <v>60</v>
      </c>
      <c r="G1213" s="53">
        <v>43909</v>
      </c>
      <c r="H1213" s="9">
        <v>2020</v>
      </c>
      <c r="I1213" s="9">
        <v>1</v>
      </c>
      <c r="J1213" s="9">
        <v>3</v>
      </c>
      <c r="K1213" s="9" t="s">
        <v>206</v>
      </c>
      <c r="L1213" s="50" t="s">
        <v>824</v>
      </c>
      <c r="M1213">
        <v>2</v>
      </c>
      <c r="N1213">
        <v>2</v>
      </c>
      <c r="O1213">
        <v>-2</v>
      </c>
      <c r="P1213">
        <v>-1</v>
      </c>
      <c r="Q1213">
        <v>-2</v>
      </c>
      <c r="R1213">
        <v>-2</v>
      </c>
      <c r="S1213">
        <v>-2</v>
      </c>
      <c r="U1213">
        <v>1</v>
      </c>
      <c r="V1213" t="s">
        <v>982</v>
      </c>
      <c r="W1213" t="s">
        <v>989</v>
      </c>
      <c r="X1213" t="s">
        <v>997</v>
      </c>
      <c r="Y1213" t="s">
        <v>1000</v>
      </c>
      <c r="Z1213">
        <v>1</v>
      </c>
      <c r="AA1213">
        <f t="shared" si="367"/>
        <v>1</v>
      </c>
      <c r="AB1213">
        <f t="shared" si="368"/>
        <v>1</v>
      </c>
      <c r="AC1213">
        <f t="shared" si="369"/>
        <v>0</v>
      </c>
      <c r="AD1213">
        <f t="shared" si="370"/>
        <v>0</v>
      </c>
      <c r="AE1213">
        <f t="shared" si="371"/>
        <v>0</v>
      </c>
      <c r="AF1213">
        <f t="shared" si="372"/>
        <v>0</v>
      </c>
      <c r="AG1213">
        <f t="shared" si="373"/>
        <v>0</v>
      </c>
      <c r="AH1213">
        <f t="shared" si="374"/>
        <v>-1</v>
      </c>
      <c r="AI1213">
        <f t="shared" si="375"/>
        <v>1</v>
      </c>
      <c r="AJ1213" s="9" t="str">
        <f t="shared" si="361"/>
        <v>Tax exemption/waiver/suspension</v>
      </c>
      <c r="AK1213">
        <f t="shared" si="362"/>
        <v>0</v>
      </c>
      <c r="AL1213" s="9">
        <v>1</v>
      </c>
    </row>
    <row r="1214" spans="1:38" x14ac:dyDescent="0.35">
      <c r="A1214" s="9">
        <v>1</v>
      </c>
      <c r="B1214" s="9" t="s">
        <v>147</v>
      </c>
      <c r="C1214" s="53">
        <v>43892</v>
      </c>
      <c r="D1214" s="53">
        <v>43909</v>
      </c>
      <c r="E1214" s="53">
        <v>43969</v>
      </c>
      <c r="F1214" s="21">
        <f t="shared" si="363"/>
        <v>60</v>
      </c>
      <c r="G1214" s="53">
        <v>43909</v>
      </c>
      <c r="H1214" s="9">
        <v>2020</v>
      </c>
      <c r="I1214" s="9">
        <v>1</v>
      </c>
      <c r="J1214" s="9">
        <v>1</v>
      </c>
      <c r="K1214" s="9">
        <v>12</v>
      </c>
      <c r="L1214" s="50" t="s">
        <v>813</v>
      </c>
      <c r="M1214">
        <v>-2</v>
      </c>
      <c r="N1214">
        <v>2</v>
      </c>
      <c r="O1214">
        <v>-2</v>
      </c>
      <c r="Q1214">
        <v>-2</v>
      </c>
      <c r="R1214">
        <v>2</v>
      </c>
      <c r="S1214">
        <v>2</v>
      </c>
      <c r="T1214">
        <v>2</v>
      </c>
      <c r="U1214">
        <v>1</v>
      </c>
      <c r="V1214" t="s">
        <v>982</v>
      </c>
      <c r="W1214" t="s">
        <v>989</v>
      </c>
      <c r="X1214" t="s">
        <v>997</v>
      </c>
      <c r="Y1214" t="s">
        <v>1000</v>
      </c>
      <c r="Z1214">
        <v>1</v>
      </c>
      <c r="AA1214">
        <f t="shared" si="367"/>
        <v>0</v>
      </c>
      <c r="AB1214">
        <f t="shared" si="368"/>
        <v>1</v>
      </c>
      <c r="AC1214">
        <f t="shared" si="369"/>
        <v>0</v>
      </c>
      <c r="AD1214">
        <f t="shared" si="370"/>
        <v>-1</v>
      </c>
      <c r="AE1214">
        <f t="shared" si="371"/>
        <v>0</v>
      </c>
      <c r="AF1214">
        <f t="shared" si="372"/>
        <v>1</v>
      </c>
      <c r="AG1214">
        <f t="shared" si="373"/>
        <v>1</v>
      </c>
      <c r="AH1214">
        <f t="shared" si="374"/>
        <v>1</v>
      </c>
      <c r="AI1214">
        <f t="shared" si="375"/>
        <v>1</v>
      </c>
      <c r="AJ1214" s="9">
        <f t="shared" si="361"/>
        <v>12</v>
      </c>
      <c r="AK1214">
        <f t="shared" si="362"/>
        <v>0</v>
      </c>
      <c r="AL1214" s="9">
        <v>1</v>
      </c>
    </row>
    <row r="1215" spans="1:38" x14ac:dyDescent="0.35">
      <c r="A1215" s="9">
        <v>1</v>
      </c>
      <c r="B1215" s="9" t="s">
        <v>147</v>
      </c>
      <c r="C1215" s="53">
        <v>43892</v>
      </c>
      <c r="D1215" s="53">
        <v>43909</v>
      </c>
      <c r="E1215" s="53">
        <v>43969</v>
      </c>
      <c r="F1215" s="21">
        <f t="shared" si="363"/>
        <v>60</v>
      </c>
      <c r="G1215" s="53">
        <v>43909</v>
      </c>
      <c r="H1215" s="9">
        <v>2020</v>
      </c>
      <c r="I1215" s="9">
        <v>1</v>
      </c>
      <c r="J1215" s="9">
        <v>1</v>
      </c>
      <c r="K1215" s="9">
        <v>5</v>
      </c>
      <c r="L1215" s="50" t="s">
        <v>827</v>
      </c>
      <c r="M1215">
        <v>-2</v>
      </c>
      <c r="N1215">
        <v>2</v>
      </c>
      <c r="O1215">
        <v>2</v>
      </c>
      <c r="P1215">
        <v>2</v>
      </c>
      <c r="Q1215">
        <v>2</v>
      </c>
      <c r="R1215">
        <v>2</v>
      </c>
      <c r="S1215">
        <v>1</v>
      </c>
      <c r="T1215">
        <v>2</v>
      </c>
      <c r="U1215">
        <v>1</v>
      </c>
      <c r="V1215" t="s">
        <v>982</v>
      </c>
      <c r="W1215" t="s">
        <v>989</v>
      </c>
      <c r="X1215" t="s">
        <v>997</v>
      </c>
      <c r="Y1215" t="s">
        <v>1000</v>
      </c>
      <c r="Z1215">
        <v>1</v>
      </c>
      <c r="AA1215">
        <f t="shared" si="367"/>
        <v>0</v>
      </c>
      <c r="AB1215">
        <f t="shared" si="368"/>
        <v>1</v>
      </c>
      <c r="AC1215">
        <f t="shared" si="369"/>
        <v>1</v>
      </c>
      <c r="AD1215">
        <f t="shared" si="370"/>
        <v>1</v>
      </c>
      <c r="AE1215">
        <f t="shared" si="371"/>
        <v>1</v>
      </c>
      <c r="AF1215">
        <f t="shared" si="372"/>
        <v>1</v>
      </c>
      <c r="AG1215">
        <f t="shared" si="373"/>
        <v>1</v>
      </c>
      <c r="AH1215">
        <f t="shared" si="374"/>
        <v>1</v>
      </c>
      <c r="AI1215">
        <f t="shared" si="375"/>
        <v>1</v>
      </c>
      <c r="AJ1215" s="9">
        <f t="shared" si="361"/>
        <v>5</v>
      </c>
      <c r="AK1215">
        <f t="shared" si="362"/>
        <v>0</v>
      </c>
      <c r="AL1215" s="9">
        <v>1</v>
      </c>
    </row>
    <row r="1216" spans="1:38" x14ac:dyDescent="0.35">
      <c r="A1216" s="9">
        <v>1</v>
      </c>
      <c r="B1216" s="9" t="s">
        <v>147</v>
      </c>
      <c r="C1216" s="53">
        <v>43892</v>
      </c>
      <c r="D1216" s="53">
        <v>43909</v>
      </c>
      <c r="E1216" s="53">
        <v>43969</v>
      </c>
      <c r="F1216" s="21">
        <f t="shared" si="363"/>
        <v>60</v>
      </c>
      <c r="G1216" s="53">
        <v>43909</v>
      </c>
      <c r="H1216" s="9">
        <v>2020</v>
      </c>
      <c r="I1216" s="9">
        <v>1</v>
      </c>
      <c r="J1216" s="9">
        <v>6</v>
      </c>
      <c r="K1216" s="9">
        <v>26</v>
      </c>
      <c r="L1216" s="50" t="s">
        <v>820</v>
      </c>
      <c r="M1216">
        <v>1</v>
      </c>
      <c r="N1216">
        <v>1</v>
      </c>
      <c r="O1216">
        <v>2</v>
      </c>
      <c r="P1216">
        <v>-1</v>
      </c>
      <c r="Q1216">
        <v>2</v>
      </c>
      <c r="R1216">
        <v>2</v>
      </c>
      <c r="S1216">
        <v>-1</v>
      </c>
      <c r="T1216">
        <v>2</v>
      </c>
      <c r="U1216">
        <v>1</v>
      </c>
      <c r="V1216" t="s">
        <v>982</v>
      </c>
      <c r="W1216" t="s">
        <v>989</v>
      </c>
      <c r="X1216" t="s">
        <v>997</v>
      </c>
      <c r="Y1216" t="s">
        <v>1000</v>
      </c>
      <c r="Z1216">
        <v>1</v>
      </c>
      <c r="AA1216">
        <f t="shared" si="367"/>
        <v>1</v>
      </c>
      <c r="AB1216">
        <f t="shared" si="368"/>
        <v>1</v>
      </c>
      <c r="AC1216">
        <f t="shared" si="369"/>
        <v>1</v>
      </c>
      <c r="AD1216">
        <f t="shared" si="370"/>
        <v>0</v>
      </c>
      <c r="AE1216">
        <f t="shared" si="371"/>
        <v>1</v>
      </c>
      <c r="AF1216">
        <f t="shared" si="372"/>
        <v>1</v>
      </c>
      <c r="AG1216">
        <f t="shared" si="373"/>
        <v>0</v>
      </c>
      <c r="AH1216">
        <f t="shared" si="374"/>
        <v>1</v>
      </c>
      <c r="AI1216">
        <f t="shared" si="375"/>
        <v>1</v>
      </c>
      <c r="AJ1216" s="9">
        <f t="shared" si="361"/>
        <v>26</v>
      </c>
      <c r="AK1216">
        <f t="shared" si="362"/>
        <v>0</v>
      </c>
      <c r="AL1216" s="9">
        <v>1</v>
      </c>
    </row>
    <row r="1217" spans="1:38" x14ac:dyDescent="0.35">
      <c r="A1217" s="9">
        <v>1</v>
      </c>
      <c r="B1217" s="9" t="s">
        <v>147</v>
      </c>
      <c r="C1217" s="53">
        <v>43892</v>
      </c>
      <c r="D1217" s="53">
        <v>43909</v>
      </c>
      <c r="E1217" s="53">
        <v>43969</v>
      </c>
      <c r="F1217" s="21">
        <f t="shared" si="363"/>
        <v>60</v>
      </c>
      <c r="G1217" s="53">
        <v>43909</v>
      </c>
      <c r="H1217" s="9">
        <v>2020</v>
      </c>
      <c r="I1217" s="9">
        <v>1</v>
      </c>
      <c r="J1217" s="9">
        <v>7</v>
      </c>
      <c r="K1217" s="9">
        <v>30</v>
      </c>
      <c r="L1217" s="50" t="s">
        <v>812</v>
      </c>
      <c r="M1217">
        <v>1</v>
      </c>
      <c r="N1217">
        <v>1</v>
      </c>
      <c r="O1217">
        <v>2</v>
      </c>
      <c r="P1217">
        <v>1</v>
      </c>
      <c r="Q1217">
        <v>2</v>
      </c>
      <c r="R1217">
        <v>2</v>
      </c>
      <c r="S1217">
        <v>1</v>
      </c>
      <c r="T1217">
        <v>2</v>
      </c>
      <c r="U1217">
        <v>1</v>
      </c>
      <c r="V1217" t="s">
        <v>982</v>
      </c>
      <c r="W1217" t="s">
        <v>989</v>
      </c>
      <c r="X1217" t="s">
        <v>997</v>
      </c>
      <c r="Y1217" t="s">
        <v>1000</v>
      </c>
      <c r="Z1217">
        <v>1</v>
      </c>
      <c r="AA1217">
        <f t="shared" si="367"/>
        <v>1</v>
      </c>
      <c r="AB1217">
        <f t="shared" si="368"/>
        <v>1</v>
      </c>
      <c r="AC1217">
        <f t="shared" si="369"/>
        <v>1</v>
      </c>
      <c r="AD1217">
        <f t="shared" si="370"/>
        <v>1</v>
      </c>
      <c r="AE1217">
        <f t="shared" si="371"/>
        <v>1</v>
      </c>
      <c r="AF1217">
        <f t="shared" si="372"/>
        <v>1</v>
      </c>
      <c r="AG1217">
        <f t="shared" si="373"/>
        <v>1</v>
      </c>
      <c r="AH1217">
        <f t="shared" si="374"/>
        <v>1</v>
      </c>
      <c r="AI1217">
        <f t="shared" si="375"/>
        <v>1</v>
      </c>
      <c r="AJ1217" s="9">
        <f t="shared" si="361"/>
        <v>30</v>
      </c>
      <c r="AK1217">
        <f t="shared" si="362"/>
        <v>0</v>
      </c>
      <c r="AL1217" s="9">
        <v>1</v>
      </c>
    </row>
    <row r="1218" spans="1:38" x14ac:dyDescent="0.35">
      <c r="A1218" s="9">
        <v>1</v>
      </c>
      <c r="B1218" s="9" t="s">
        <v>147</v>
      </c>
      <c r="C1218" s="53">
        <v>43892</v>
      </c>
      <c r="D1218" s="53">
        <v>43909</v>
      </c>
      <c r="E1218" s="53">
        <v>43969</v>
      </c>
      <c r="F1218" s="21">
        <f t="shared" si="363"/>
        <v>60</v>
      </c>
      <c r="G1218" s="53">
        <v>43909</v>
      </c>
      <c r="H1218" s="9">
        <v>2020</v>
      </c>
      <c r="I1218" s="9">
        <v>1</v>
      </c>
      <c r="J1218" s="9">
        <v>5</v>
      </c>
      <c r="K1218" s="9">
        <v>24</v>
      </c>
      <c r="L1218" s="50" t="s">
        <v>811</v>
      </c>
      <c r="M1218">
        <v>2</v>
      </c>
      <c r="N1218">
        <v>1</v>
      </c>
      <c r="O1218">
        <v>-2</v>
      </c>
      <c r="P1218">
        <v>2</v>
      </c>
      <c r="R1218">
        <v>2</v>
      </c>
      <c r="S1218">
        <v>2</v>
      </c>
      <c r="T1218">
        <v>2</v>
      </c>
      <c r="U1218">
        <v>1</v>
      </c>
      <c r="V1218" t="s">
        <v>982</v>
      </c>
      <c r="W1218" t="s">
        <v>989</v>
      </c>
      <c r="X1218" t="s">
        <v>997</v>
      </c>
      <c r="Y1218" t="s">
        <v>1000</v>
      </c>
      <c r="Z1218">
        <v>1</v>
      </c>
      <c r="AA1218">
        <f t="shared" si="367"/>
        <v>1</v>
      </c>
      <c r="AB1218">
        <f t="shared" si="368"/>
        <v>1</v>
      </c>
      <c r="AC1218">
        <f t="shared" si="369"/>
        <v>0</v>
      </c>
      <c r="AD1218">
        <f t="shared" si="370"/>
        <v>1</v>
      </c>
      <c r="AE1218">
        <f t="shared" si="371"/>
        <v>-1</v>
      </c>
      <c r="AF1218">
        <f t="shared" si="372"/>
        <v>1</v>
      </c>
      <c r="AG1218">
        <f t="shared" si="373"/>
        <v>1</v>
      </c>
      <c r="AH1218">
        <f t="shared" si="374"/>
        <v>1</v>
      </c>
      <c r="AI1218">
        <f t="shared" si="375"/>
        <v>1</v>
      </c>
      <c r="AJ1218" s="9">
        <f t="shared" si="361"/>
        <v>24</v>
      </c>
      <c r="AK1218">
        <f t="shared" si="362"/>
        <v>0</v>
      </c>
      <c r="AL1218" s="9">
        <v>1</v>
      </c>
    </row>
    <row r="1219" spans="1:38" x14ac:dyDescent="0.35">
      <c r="A1219" s="9">
        <v>1</v>
      </c>
      <c r="B1219" s="9" t="s">
        <v>147</v>
      </c>
      <c r="C1219" s="53">
        <v>43892</v>
      </c>
      <c r="D1219" s="53">
        <v>43909</v>
      </c>
      <c r="E1219" s="53">
        <v>43969</v>
      </c>
      <c r="F1219" s="21">
        <f t="shared" si="363"/>
        <v>60</v>
      </c>
      <c r="G1219" s="53">
        <v>43909</v>
      </c>
      <c r="H1219" s="9">
        <v>2020</v>
      </c>
      <c r="I1219" s="9">
        <v>1</v>
      </c>
      <c r="J1219" s="9">
        <v>2</v>
      </c>
      <c r="K1219" s="9">
        <v>14</v>
      </c>
      <c r="L1219" s="50" t="s">
        <v>815</v>
      </c>
      <c r="M1219">
        <v>-2</v>
      </c>
      <c r="N1219">
        <v>2</v>
      </c>
      <c r="O1219">
        <v>2</v>
      </c>
      <c r="P1219">
        <v>2</v>
      </c>
      <c r="Q1219">
        <v>2</v>
      </c>
      <c r="R1219">
        <v>2</v>
      </c>
      <c r="S1219">
        <v>1</v>
      </c>
      <c r="T1219">
        <v>2</v>
      </c>
      <c r="U1219">
        <v>1</v>
      </c>
      <c r="V1219" t="s">
        <v>982</v>
      </c>
      <c r="W1219" t="s">
        <v>989</v>
      </c>
      <c r="X1219" t="s">
        <v>997</v>
      </c>
      <c r="Y1219" t="s">
        <v>1000</v>
      </c>
      <c r="Z1219">
        <v>1</v>
      </c>
      <c r="AA1219">
        <f t="shared" si="367"/>
        <v>0</v>
      </c>
      <c r="AB1219">
        <f t="shared" si="368"/>
        <v>1</v>
      </c>
      <c r="AC1219">
        <f t="shared" si="369"/>
        <v>1</v>
      </c>
      <c r="AD1219">
        <f t="shared" si="370"/>
        <v>1</v>
      </c>
      <c r="AE1219">
        <f t="shared" si="371"/>
        <v>1</v>
      </c>
      <c r="AF1219">
        <f t="shared" si="372"/>
        <v>1</v>
      </c>
      <c r="AG1219">
        <f t="shared" si="373"/>
        <v>1</v>
      </c>
      <c r="AH1219">
        <f t="shared" si="374"/>
        <v>1</v>
      </c>
      <c r="AI1219">
        <f t="shared" si="375"/>
        <v>1</v>
      </c>
      <c r="AJ1219" s="9">
        <f t="shared" si="361"/>
        <v>14</v>
      </c>
      <c r="AK1219">
        <f t="shared" si="362"/>
        <v>0</v>
      </c>
      <c r="AL1219" s="9">
        <v>1</v>
      </c>
    </row>
    <row r="1220" spans="1:38" x14ac:dyDescent="0.35">
      <c r="A1220" s="9">
        <v>1</v>
      </c>
      <c r="B1220" s="9" t="s">
        <v>147</v>
      </c>
      <c r="C1220" s="53">
        <v>43892</v>
      </c>
      <c r="D1220" s="53">
        <v>43909</v>
      </c>
      <c r="E1220" s="53">
        <v>43969</v>
      </c>
      <c r="F1220" s="21">
        <f t="shared" si="363"/>
        <v>60</v>
      </c>
      <c r="G1220" s="53">
        <v>43909</v>
      </c>
      <c r="H1220" s="9">
        <v>2020</v>
      </c>
      <c r="I1220" s="9">
        <v>1</v>
      </c>
      <c r="J1220" s="9">
        <v>7</v>
      </c>
      <c r="K1220" s="9">
        <v>30</v>
      </c>
      <c r="L1220" s="50" t="s">
        <v>809</v>
      </c>
      <c r="M1220">
        <v>1</v>
      </c>
      <c r="N1220">
        <v>1</v>
      </c>
      <c r="O1220">
        <v>2</v>
      </c>
      <c r="P1220">
        <v>1</v>
      </c>
      <c r="Q1220">
        <v>2</v>
      </c>
      <c r="R1220">
        <v>2</v>
      </c>
      <c r="S1220">
        <v>1</v>
      </c>
      <c r="T1220">
        <v>-2</v>
      </c>
      <c r="U1220">
        <v>1</v>
      </c>
      <c r="V1220" t="s">
        <v>982</v>
      </c>
      <c r="W1220" t="s">
        <v>989</v>
      </c>
      <c r="X1220" t="s">
        <v>997</v>
      </c>
      <c r="Y1220" t="s">
        <v>1000</v>
      </c>
      <c r="Z1220">
        <v>1</v>
      </c>
      <c r="AA1220">
        <f t="shared" si="367"/>
        <v>1</v>
      </c>
      <c r="AB1220">
        <f t="shared" si="368"/>
        <v>1</v>
      </c>
      <c r="AC1220">
        <f t="shared" si="369"/>
        <v>1</v>
      </c>
      <c r="AD1220">
        <f t="shared" si="370"/>
        <v>1</v>
      </c>
      <c r="AE1220">
        <f t="shared" si="371"/>
        <v>1</v>
      </c>
      <c r="AF1220">
        <f t="shared" si="372"/>
        <v>1</v>
      </c>
      <c r="AG1220">
        <f t="shared" si="373"/>
        <v>1</v>
      </c>
      <c r="AH1220">
        <f t="shared" si="374"/>
        <v>0</v>
      </c>
      <c r="AI1220">
        <f t="shared" si="375"/>
        <v>1</v>
      </c>
      <c r="AJ1220" s="9">
        <f t="shared" si="361"/>
        <v>30</v>
      </c>
      <c r="AK1220">
        <f t="shared" si="362"/>
        <v>0</v>
      </c>
      <c r="AL1220" s="9">
        <v>1</v>
      </c>
    </row>
    <row r="1221" spans="1:38" x14ac:dyDescent="0.35">
      <c r="A1221" s="9">
        <v>1</v>
      </c>
      <c r="B1221" s="9" t="s">
        <v>147</v>
      </c>
      <c r="C1221" s="53">
        <v>43892</v>
      </c>
      <c r="D1221" s="53">
        <v>43909</v>
      </c>
      <c r="E1221" s="53">
        <v>43969</v>
      </c>
      <c r="F1221" s="21">
        <f t="shared" si="363"/>
        <v>60</v>
      </c>
      <c r="G1221" s="53">
        <v>43909</v>
      </c>
      <c r="H1221" s="9">
        <v>2020</v>
      </c>
      <c r="I1221" s="9">
        <v>1</v>
      </c>
      <c r="J1221" s="9">
        <v>1</v>
      </c>
      <c r="K1221" s="9">
        <v>6</v>
      </c>
      <c r="L1221" s="50" t="s">
        <v>821</v>
      </c>
      <c r="M1221">
        <v>-2</v>
      </c>
      <c r="N1221">
        <v>2</v>
      </c>
      <c r="O1221">
        <v>2</v>
      </c>
      <c r="P1221">
        <v>2</v>
      </c>
      <c r="Q1221">
        <v>2</v>
      </c>
      <c r="R1221">
        <v>2</v>
      </c>
      <c r="S1221">
        <v>1</v>
      </c>
      <c r="T1221">
        <v>2</v>
      </c>
      <c r="U1221">
        <v>1</v>
      </c>
      <c r="V1221" t="s">
        <v>982</v>
      </c>
      <c r="W1221" t="s">
        <v>989</v>
      </c>
      <c r="X1221" t="s">
        <v>997</v>
      </c>
      <c r="Y1221" t="s">
        <v>1000</v>
      </c>
      <c r="Z1221">
        <v>1</v>
      </c>
      <c r="AA1221">
        <f t="shared" si="367"/>
        <v>0</v>
      </c>
      <c r="AB1221">
        <f t="shared" si="368"/>
        <v>1</v>
      </c>
      <c r="AC1221">
        <f t="shared" si="369"/>
        <v>1</v>
      </c>
      <c r="AD1221">
        <f t="shared" si="370"/>
        <v>1</v>
      </c>
      <c r="AE1221">
        <f t="shared" si="371"/>
        <v>1</v>
      </c>
      <c r="AF1221">
        <f t="shared" si="372"/>
        <v>1</v>
      </c>
      <c r="AG1221">
        <f t="shared" si="373"/>
        <v>1</v>
      </c>
      <c r="AH1221">
        <f t="shared" si="374"/>
        <v>1</v>
      </c>
      <c r="AI1221">
        <f t="shared" si="375"/>
        <v>1</v>
      </c>
      <c r="AJ1221" s="9">
        <f t="shared" si="361"/>
        <v>6</v>
      </c>
      <c r="AK1221">
        <f t="shared" si="362"/>
        <v>0</v>
      </c>
      <c r="AL1221" s="9">
        <v>1</v>
      </c>
    </row>
    <row r="1222" spans="1:38" x14ac:dyDescent="0.35">
      <c r="A1222" s="9">
        <v>1</v>
      </c>
      <c r="B1222" s="9" t="s">
        <v>147</v>
      </c>
      <c r="C1222" s="53">
        <v>43892</v>
      </c>
      <c r="D1222" s="53">
        <v>43909</v>
      </c>
      <c r="E1222" s="53">
        <v>43969</v>
      </c>
      <c r="F1222" s="21">
        <f t="shared" si="363"/>
        <v>60</v>
      </c>
      <c r="G1222" s="53">
        <v>43909</v>
      </c>
      <c r="H1222" s="9">
        <v>2020</v>
      </c>
      <c r="I1222" s="9">
        <v>1</v>
      </c>
      <c r="J1222" s="9">
        <v>6</v>
      </c>
      <c r="K1222" s="9">
        <v>26</v>
      </c>
      <c r="L1222" s="50" t="s">
        <v>814</v>
      </c>
      <c r="M1222">
        <v>1</v>
      </c>
      <c r="N1222">
        <v>1</v>
      </c>
      <c r="O1222">
        <v>2</v>
      </c>
      <c r="P1222">
        <v>-1</v>
      </c>
      <c r="Q1222">
        <v>-2</v>
      </c>
      <c r="R1222">
        <v>2</v>
      </c>
      <c r="S1222">
        <v>1</v>
      </c>
      <c r="T1222">
        <v>2</v>
      </c>
      <c r="U1222">
        <v>1</v>
      </c>
      <c r="V1222" t="s">
        <v>982</v>
      </c>
      <c r="W1222" t="s">
        <v>989</v>
      </c>
      <c r="X1222" t="s">
        <v>997</v>
      </c>
      <c r="Y1222" t="s">
        <v>1000</v>
      </c>
      <c r="Z1222">
        <v>1</v>
      </c>
      <c r="AA1222">
        <f t="shared" si="367"/>
        <v>1</v>
      </c>
      <c r="AB1222">
        <f t="shared" si="368"/>
        <v>1</v>
      </c>
      <c r="AC1222">
        <f t="shared" si="369"/>
        <v>1</v>
      </c>
      <c r="AD1222">
        <f t="shared" si="370"/>
        <v>0</v>
      </c>
      <c r="AE1222">
        <f t="shared" si="371"/>
        <v>0</v>
      </c>
      <c r="AF1222">
        <f t="shared" si="372"/>
        <v>1</v>
      </c>
      <c r="AG1222">
        <f t="shared" si="373"/>
        <v>1</v>
      </c>
      <c r="AH1222">
        <f t="shared" si="374"/>
        <v>1</v>
      </c>
      <c r="AI1222">
        <f t="shared" si="375"/>
        <v>1</v>
      </c>
      <c r="AJ1222" s="9">
        <f t="shared" si="361"/>
        <v>26</v>
      </c>
      <c r="AK1222">
        <f t="shared" si="362"/>
        <v>0</v>
      </c>
      <c r="AL1222" s="9">
        <v>1</v>
      </c>
    </row>
    <row r="1223" spans="1:38" x14ac:dyDescent="0.35">
      <c r="A1223" s="9">
        <v>1</v>
      </c>
      <c r="B1223" s="9" t="s">
        <v>147</v>
      </c>
      <c r="C1223" s="53">
        <v>43892</v>
      </c>
      <c r="D1223" s="53">
        <v>43909</v>
      </c>
      <c r="E1223" s="53">
        <v>43969</v>
      </c>
      <c r="F1223" s="21">
        <f t="shared" si="363"/>
        <v>60</v>
      </c>
      <c r="G1223" s="53">
        <v>43909</v>
      </c>
      <c r="H1223" s="9">
        <v>2020</v>
      </c>
      <c r="I1223" s="9">
        <v>1</v>
      </c>
      <c r="J1223" s="9">
        <v>2</v>
      </c>
      <c r="K1223" s="9">
        <v>14</v>
      </c>
      <c r="L1223" s="50" t="s">
        <v>832</v>
      </c>
      <c r="M1223">
        <v>-2</v>
      </c>
      <c r="N1223">
        <v>2</v>
      </c>
      <c r="O1223">
        <v>2</v>
      </c>
      <c r="P1223">
        <v>2</v>
      </c>
      <c r="Q1223">
        <v>2</v>
      </c>
      <c r="R1223">
        <v>2</v>
      </c>
      <c r="S1223">
        <v>1</v>
      </c>
      <c r="T1223">
        <v>2</v>
      </c>
      <c r="U1223">
        <v>1</v>
      </c>
      <c r="V1223" t="s">
        <v>982</v>
      </c>
      <c r="W1223" t="s">
        <v>989</v>
      </c>
      <c r="X1223" t="s">
        <v>997</v>
      </c>
      <c r="Y1223" t="s">
        <v>1000</v>
      </c>
      <c r="Z1223">
        <v>1</v>
      </c>
      <c r="AA1223">
        <f t="shared" si="367"/>
        <v>0</v>
      </c>
      <c r="AB1223">
        <f t="shared" si="368"/>
        <v>1</v>
      </c>
      <c r="AC1223">
        <f t="shared" si="369"/>
        <v>1</v>
      </c>
      <c r="AD1223">
        <f t="shared" si="370"/>
        <v>1</v>
      </c>
      <c r="AE1223">
        <f t="shared" si="371"/>
        <v>1</v>
      </c>
      <c r="AF1223">
        <f t="shared" si="372"/>
        <v>1</v>
      </c>
      <c r="AG1223">
        <f t="shared" si="373"/>
        <v>1</v>
      </c>
      <c r="AH1223">
        <f t="shared" si="374"/>
        <v>1</v>
      </c>
      <c r="AI1223">
        <f t="shared" si="375"/>
        <v>1</v>
      </c>
      <c r="AJ1223" s="9">
        <f t="shared" ref="AJ1223:AJ1248" si="376">IF(ISNUMBER(K1223),K1223,IF(OR(K1223="general",K1223="23;general"),"General",IF(OR(K1223="exemption",K1223="other (exemption)"),"Tax exemption/waiver/suspension","Other")))</f>
        <v>14</v>
      </c>
      <c r="AK1223">
        <f t="shared" ref="AK1223:AK1241" si="377">IF(B1223&lt;&gt;B1222,1,0)</f>
        <v>0</v>
      </c>
      <c r="AL1223" s="9">
        <v>1</v>
      </c>
    </row>
    <row r="1224" spans="1:38" x14ac:dyDescent="0.35">
      <c r="A1224" s="9">
        <v>1</v>
      </c>
      <c r="B1224" s="9" t="s">
        <v>147</v>
      </c>
      <c r="C1224" s="53">
        <v>43892</v>
      </c>
      <c r="D1224" s="53">
        <v>43909</v>
      </c>
      <c r="E1224" s="53">
        <v>43969</v>
      </c>
      <c r="F1224" s="21">
        <f t="shared" si="363"/>
        <v>60</v>
      </c>
      <c r="G1224" s="53">
        <v>43909</v>
      </c>
      <c r="H1224" s="9">
        <v>2020</v>
      </c>
      <c r="I1224" s="9">
        <v>1</v>
      </c>
      <c r="J1224" s="9">
        <v>6</v>
      </c>
      <c r="K1224" s="9">
        <v>29</v>
      </c>
      <c r="L1224" s="50" t="s">
        <v>816</v>
      </c>
      <c r="M1224">
        <v>1</v>
      </c>
      <c r="N1224">
        <v>1</v>
      </c>
      <c r="O1224">
        <v>2</v>
      </c>
      <c r="P1224">
        <v>-2</v>
      </c>
      <c r="Q1224">
        <v>-2</v>
      </c>
      <c r="R1224">
        <v>2</v>
      </c>
      <c r="S1224">
        <v>1</v>
      </c>
      <c r="T1224">
        <v>-2</v>
      </c>
      <c r="U1224">
        <v>1</v>
      </c>
      <c r="V1224" t="s">
        <v>982</v>
      </c>
      <c r="W1224" t="s">
        <v>989</v>
      </c>
      <c r="X1224" t="s">
        <v>997</v>
      </c>
      <c r="Y1224" t="s">
        <v>1000</v>
      </c>
      <c r="Z1224">
        <v>1</v>
      </c>
      <c r="AA1224">
        <f t="shared" si="367"/>
        <v>1</v>
      </c>
      <c r="AB1224">
        <f t="shared" si="368"/>
        <v>1</v>
      </c>
      <c r="AC1224">
        <f t="shared" si="369"/>
        <v>1</v>
      </c>
      <c r="AD1224">
        <f t="shared" si="370"/>
        <v>0</v>
      </c>
      <c r="AE1224">
        <f t="shared" si="371"/>
        <v>0</v>
      </c>
      <c r="AF1224">
        <f t="shared" si="372"/>
        <v>1</v>
      </c>
      <c r="AG1224">
        <f t="shared" si="373"/>
        <v>1</v>
      </c>
      <c r="AH1224">
        <f t="shared" si="374"/>
        <v>0</v>
      </c>
      <c r="AI1224">
        <f t="shared" si="375"/>
        <v>1</v>
      </c>
      <c r="AJ1224" s="9">
        <f t="shared" si="376"/>
        <v>29</v>
      </c>
      <c r="AK1224">
        <f t="shared" si="377"/>
        <v>0</v>
      </c>
      <c r="AL1224" s="9">
        <v>1</v>
      </c>
    </row>
    <row r="1225" spans="1:38" x14ac:dyDescent="0.35">
      <c r="A1225" s="9">
        <v>1</v>
      </c>
      <c r="B1225" s="9" t="s">
        <v>147</v>
      </c>
      <c r="C1225" s="53">
        <v>43892</v>
      </c>
      <c r="D1225" s="53">
        <v>43909</v>
      </c>
      <c r="E1225" s="53">
        <v>43969</v>
      </c>
      <c r="F1225" s="21">
        <f t="shared" si="363"/>
        <v>60</v>
      </c>
      <c r="G1225" s="53">
        <v>43909</v>
      </c>
      <c r="H1225" s="9">
        <v>2020</v>
      </c>
      <c r="I1225" s="9">
        <v>1</v>
      </c>
      <c r="J1225" s="9">
        <v>7</v>
      </c>
      <c r="K1225" s="9">
        <v>30</v>
      </c>
      <c r="L1225" s="50" t="s">
        <v>810</v>
      </c>
      <c r="M1225">
        <v>1</v>
      </c>
      <c r="N1225">
        <v>1</v>
      </c>
      <c r="O1225">
        <v>2</v>
      </c>
      <c r="P1225">
        <v>1</v>
      </c>
      <c r="Q1225">
        <v>2</v>
      </c>
      <c r="R1225">
        <v>2</v>
      </c>
      <c r="S1225">
        <v>1</v>
      </c>
      <c r="T1225">
        <v>2</v>
      </c>
      <c r="U1225">
        <v>1</v>
      </c>
      <c r="V1225" t="s">
        <v>982</v>
      </c>
      <c r="W1225" t="s">
        <v>989</v>
      </c>
      <c r="X1225" t="s">
        <v>997</v>
      </c>
      <c r="Y1225" t="s">
        <v>1000</v>
      </c>
      <c r="Z1225">
        <v>1</v>
      </c>
      <c r="AA1225">
        <f t="shared" si="367"/>
        <v>1</v>
      </c>
      <c r="AB1225">
        <f t="shared" si="368"/>
        <v>1</v>
      </c>
      <c r="AC1225">
        <f t="shared" si="369"/>
        <v>1</v>
      </c>
      <c r="AD1225">
        <f t="shared" si="370"/>
        <v>1</v>
      </c>
      <c r="AE1225">
        <f t="shared" si="371"/>
        <v>1</v>
      </c>
      <c r="AF1225">
        <f t="shared" si="372"/>
        <v>1</v>
      </c>
      <c r="AG1225">
        <f t="shared" si="373"/>
        <v>1</v>
      </c>
      <c r="AH1225">
        <f t="shared" si="374"/>
        <v>1</v>
      </c>
      <c r="AI1225">
        <f t="shared" si="375"/>
        <v>1</v>
      </c>
      <c r="AJ1225" s="9">
        <f t="shared" si="376"/>
        <v>30</v>
      </c>
      <c r="AK1225">
        <f t="shared" si="377"/>
        <v>0</v>
      </c>
      <c r="AL1225" s="9">
        <v>1</v>
      </c>
    </row>
    <row r="1226" spans="1:38" x14ac:dyDescent="0.35">
      <c r="A1226" s="9">
        <v>1</v>
      </c>
      <c r="B1226" s="9" t="s">
        <v>147</v>
      </c>
      <c r="C1226" s="53">
        <v>43892</v>
      </c>
      <c r="D1226" s="53">
        <v>43909</v>
      </c>
      <c r="E1226" s="53">
        <v>43969</v>
      </c>
      <c r="F1226" s="21">
        <f t="shared" ref="F1226:F1305" si="378">DATEDIF(D1226,E1226,"D")</f>
        <v>60</v>
      </c>
      <c r="G1226" s="53">
        <v>43909</v>
      </c>
      <c r="H1226" s="9">
        <v>2020</v>
      </c>
      <c r="I1226" s="9">
        <v>1</v>
      </c>
      <c r="J1226" s="9">
        <v>7</v>
      </c>
      <c r="K1226" s="9">
        <v>30</v>
      </c>
      <c r="L1226" s="50" t="s">
        <v>817</v>
      </c>
      <c r="M1226">
        <v>1</v>
      </c>
      <c r="N1226">
        <v>1</v>
      </c>
      <c r="O1226">
        <v>2</v>
      </c>
      <c r="P1226">
        <v>1</v>
      </c>
      <c r="Q1226">
        <v>2</v>
      </c>
      <c r="R1226">
        <v>2</v>
      </c>
      <c r="S1226">
        <v>1</v>
      </c>
      <c r="T1226">
        <v>2</v>
      </c>
      <c r="U1226">
        <v>1</v>
      </c>
      <c r="V1226" t="s">
        <v>982</v>
      </c>
      <c r="W1226" t="s">
        <v>989</v>
      </c>
      <c r="X1226" t="s">
        <v>997</v>
      </c>
      <c r="Y1226" t="s">
        <v>1000</v>
      </c>
      <c r="Z1226">
        <v>1</v>
      </c>
      <c r="AA1226">
        <f t="shared" si="367"/>
        <v>1</v>
      </c>
      <c r="AB1226">
        <f t="shared" si="368"/>
        <v>1</v>
      </c>
      <c r="AC1226">
        <f t="shared" si="369"/>
        <v>1</v>
      </c>
      <c r="AD1226">
        <f t="shared" si="370"/>
        <v>1</v>
      </c>
      <c r="AE1226">
        <f t="shared" si="371"/>
        <v>1</v>
      </c>
      <c r="AF1226">
        <f t="shared" si="372"/>
        <v>1</v>
      </c>
      <c r="AG1226">
        <f t="shared" si="373"/>
        <v>1</v>
      </c>
      <c r="AH1226">
        <f t="shared" si="374"/>
        <v>1</v>
      </c>
      <c r="AI1226">
        <f t="shared" si="375"/>
        <v>1</v>
      </c>
      <c r="AJ1226" s="9">
        <f t="shared" si="376"/>
        <v>30</v>
      </c>
      <c r="AK1226">
        <f t="shared" si="377"/>
        <v>0</v>
      </c>
      <c r="AL1226" s="9">
        <v>1</v>
      </c>
    </row>
    <row r="1227" spans="1:38" x14ac:dyDescent="0.35">
      <c r="A1227" s="9">
        <v>1</v>
      </c>
      <c r="B1227" s="9" t="s">
        <v>147</v>
      </c>
      <c r="C1227" s="53">
        <v>43892</v>
      </c>
      <c r="D1227" s="53">
        <v>43909</v>
      </c>
      <c r="E1227" s="53">
        <v>43969</v>
      </c>
      <c r="F1227" s="21">
        <f t="shared" si="378"/>
        <v>60</v>
      </c>
      <c r="G1227" s="53">
        <v>43909</v>
      </c>
      <c r="H1227" s="9">
        <v>2020</v>
      </c>
      <c r="I1227" s="9">
        <v>1</v>
      </c>
      <c r="J1227" s="9">
        <v>1</v>
      </c>
      <c r="K1227" s="9">
        <v>6</v>
      </c>
      <c r="L1227" s="50" t="s">
        <v>818</v>
      </c>
      <c r="M1227">
        <v>-2</v>
      </c>
      <c r="N1227">
        <v>2</v>
      </c>
      <c r="O1227">
        <v>2</v>
      </c>
      <c r="P1227">
        <v>2</v>
      </c>
      <c r="Q1227">
        <v>2</v>
      </c>
      <c r="R1227">
        <v>2</v>
      </c>
      <c r="S1227">
        <v>1</v>
      </c>
      <c r="T1227">
        <v>2</v>
      </c>
      <c r="U1227">
        <v>1</v>
      </c>
      <c r="V1227" t="s">
        <v>982</v>
      </c>
      <c r="W1227" t="s">
        <v>989</v>
      </c>
      <c r="X1227" t="s">
        <v>997</v>
      </c>
      <c r="Y1227" t="s">
        <v>1000</v>
      </c>
      <c r="Z1227">
        <v>1</v>
      </c>
      <c r="AA1227">
        <f t="shared" si="367"/>
        <v>0</v>
      </c>
      <c r="AB1227">
        <f t="shared" si="368"/>
        <v>1</v>
      </c>
      <c r="AC1227">
        <f t="shared" si="369"/>
        <v>1</v>
      </c>
      <c r="AD1227">
        <f t="shared" si="370"/>
        <v>1</v>
      </c>
      <c r="AE1227">
        <f t="shared" si="371"/>
        <v>1</v>
      </c>
      <c r="AF1227">
        <f t="shared" si="372"/>
        <v>1</v>
      </c>
      <c r="AG1227">
        <f t="shared" si="373"/>
        <v>1</v>
      </c>
      <c r="AH1227">
        <f t="shared" si="374"/>
        <v>1</v>
      </c>
      <c r="AI1227">
        <f t="shared" si="375"/>
        <v>1</v>
      </c>
      <c r="AJ1227" s="9">
        <f t="shared" si="376"/>
        <v>6</v>
      </c>
      <c r="AK1227">
        <f t="shared" si="377"/>
        <v>0</v>
      </c>
      <c r="AL1227" s="9">
        <v>1</v>
      </c>
    </row>
    <row r="1228" spans="1:38" x14ac:dyDescent="0.35">
      <c r="A1228" s="9">
        <v>1</v>
      </c>
      <c r="B1228" s="9" t="s">
        <v>147</v>
      </c>
      <c r="C1228" s="53">
        <v>43892</v>
      </c>
      <c r="D1228" s="53">
        <v>43909</v>
      </c>
      <c r="E1228" s="53">
        <v>43969</v>
      </c>
      <c r="F1228" s="21">
        <f t="shared" si="378"/>
        <v>60</v>
      </c>
      <c r="G1228" s="53">
        <v>43909</v>
      </c>
      <c r="H1228" s="9">
        <v>2020</v>
      </c>
      <c r="I1228" s="9">
        <v>1</v>
      </c>
      <c r="J1228" s="9">
        <v>1</v>
      </c>
      <c r="K1228" s="9">
        <v>6</v>
      </c>
      <c r="L1228" s="50" t="s">
        <v>830</v>
      </c>
      <c r="M1228">
        <v>2</v>
      </c>
      <c r="N1228">
        <v>2</v>
      </c>
      <c r="O1228">
        <v>2</v>
      </c>
      <c r="P1228">
        <v>2</v>
      </c>
      <c r="Q1228">
        <v>2</v>
      </c>
      <c r="R1228">
        <v>2</v>
      </c>
      <c r="S1228">
        <v>1</v>
      </c>
      <c r="T1228">
        <v>2</v>
      </c>
      <c r="U1228">
        <v>1</v>
      </c>
      <c r="V1228" t="s">
        <v>982</v>
      </c>
      <c r="W1228" t="s">
        <v>989</v>
      </c>
      <c r="X1228" t="s">
        <v>997</v>
      </c>
      <c r="Y1228" t="s">
        <v>1000</v>
      </c>
      <c r="Z1228">
        <v>1</v>
      </c>
      <c r="AA1228">
        <f t="shared" si="367"/>
        <v>1</v>
      </c>
      <c r="AB1228">
        <f t="shared" si="368"/>
        <v>1</v>
      </c>
      <c r="AC1228">
        <f t="shared" si="369"/>
        <v>1</v>
      </c>
      <c r="AD1228">
        <f t="shared" si="370"/>
        <v>1</v>
      </c>
      <c r="AE1228">
        <f t="shared" si="371"/>
        <v>1</v>
      </c>
      <c r="AF1228">
        <f t="shared" si="372"/>
        <v>1</v>
      </c>
      <c r="AG1228">
        <f t="shared" si="373"/>
        <v>1</v>
      </c>
      <c r="AH1228">
        <f t="shared" si="374"/>
        <v>1</v>
      </c>
      <c r="AI1228">
        <f t="shared" si="375"/>
        <v>1</v>
      </c>
      <c r="AJ1228" s="9">
        <f t="shared" si="376"/>
        <v>6</v>
      </c>
      <c r="AK1228">
        <f t="shared" si="377"/>
        <v>0</v>
      </c>
      <c r="AL1228" s="9">
        <v>1</v>
      </c>
    </row>
    <row r="1229" spans="1:38" x14ac:dyDescent="0.35">
      <c r="A1229" s="9">
        <v>1</v>
      </c>
      <c r="B1229" s="9" t="s">
        <v>147</v>
      </c>
      <c r="C1229" s="53">
        <v>43892</v>
      </c>
      <c r="D1229" s="53">
        <v>43909</v>
      </c>
      <c r="E1229" s="53">
        <v>43969</v>
      </c>
      <c r="F1229" s="21">
        <f t="shared" si="378"/>
        <v>60</v>
      </c>
      <c r="G1229" s="53">
        <v>43909</v>
      </c>
      <c r="H1229" s="9">
        <v>2020</v>
      </c>
      <c r="I1229" s="9">
        <v>1</v>
      </c>
      <c r="J1229" s="9">
        <v>1</v>
      </c>
      <c r="K1229" s="9">
        <v>6</v>
      </c>
      <c r="L1229" s="50" t="s">
        <v>808</v>
      </c>
      <c r="M1229">
        <v>-2</v>
      </c>
      <c r="N1229">
        <v>2</v>
      </c>
      <c r="O1229">
        <v>2</v>
      </c>
      <c r="P1229">
        <v>2</v>
      </c>
      <c r="Q1229">
        <v>2</v>
      </c>
      <c r="R1229">
        <v>2</v>
      </c>
      <c r="S1229">
        <v>1</v>
      </c>
      <c r="T1229">
        <v>2</v>
      </c>
      <c r="U1229">
        <v>1</v>
      </c>
      <c r="V1229" t="s">
        <v>982</v>
      </c>
      <c r="W1229" t="s">
        <v>989</v>
      </c>
      <c r="X1229" t="s">
        <v>997</v>
      </c>
      <c r="Y1229" t="s">
        <v>1000</v>
      </c>
      <c r="Z1229">
        <v>1</v>
      </c>
      <c r="AA1229">
        <f t="shared" si="367"/>
        <v>0</v>
      </c>
      <c r="AB1229">
        <f t="shared" si="368"/>
        <v>1</v>
      </c>
      <c r="AC1229">
        <f t="shared" si="369"/>
        <v>1</v>
      </c>
      <c r="AD1229">
        <f t="shared" si="370"/>
        <v>1</v>
      </c>
      <c r="AE1229">
        <f t="shared" si="371"/>
        <v>1</v>
      </c>
      <c r="AF1229">
        <f t="shared" si="372"/>
        <v>1</v>
      </c>
      <c r="AG1229">
        <f t="shared" si="373"/>
        <v>1</v>
      </c>
      <c r="AH1229">
        <f t="shared" si="374"/>
        <v>1</v>
      </c>
      <c r="AI1229">
        <f t="shared" si="375"/>
        <v>1</v>
      </c>
      <c r="AJ1229" s="9">
        <f t="shared" si="376"/>
        <v>6</v>
      </c>
      <c r="AK1229">
        <f t="shared" si="377"/>
        <v>0</v>
      </c>
      <c r="AL1229" s="9">
        <v>1</v>
      </c>
    </row>
    <row r="1230" spans="1:38" x14ac:dyDescent="0.35">
      <c r="A1230" s="9">
        <v>1</v>
      </c>
      <c r="B1230" s="9" t="s">
        <v>147</v>
      </c>
      <c r="C1230" s="53">
        <v>43892</v>
      </c>
      <c r="D1230" s="53">
        <v>43909</v>
      </c>
      <c r="E1230" s="53">
        <v>43969</v>
      </c>
      <c r="F1230" s="21">
        <f t="shared" si="378"/>
        <v>60</v>
      </c>
      <c r="G1230" s="53">
        <v>43909</v>
      </c>
      <c r="H1230" s="9">
        <v>2020</v>
      </c>
      <c r="I1230" s="9">
        <v>1</v>
      </c>
      <c r="J1230" s="9">
        <v>5</v>
      </c>
      <c r="K1230" s="9" t="s">
        <v>204</v>
      </c>
      <c r="L1230" s="50" t="s">
        <v>807</v>
      </c>
      <c r="M1230">
        <v>1</v>
      </c>
      <c r="N1230">
        <v>-2</v>
      </c>
      <c r="O1230">
        <v>-2</v>
      </c>
      <c r="P1230">
        <v>-1</v>
      </c>
      <c r="Q1230">
        <v>-2</v>
      </c>
      <c r="R1230">
        <v>2</v>
      </c>
      <c r="S1230">
        <v>1</v>
      </c>
      <c r="T1230">
        <v>2</v>
      </c>
      <c r="U1230">
        <v>1</v>
      </c>
      <c r="V1230" t="s">
        <v>982</v>
      </c>
      <c r="W1230" t="s">
        <v>989</v>
      </c>
      <c r="X1230" t="s">
        <v>997</v>
      </c>
      <c r="Y1230" t="s">
        <v>1000</v>
      </c>
      <c r="Z1230">
        <v>1</v>
      </c>
      <c r="AA1230">
        <f t="shared" si="367"/>
        <v>1</v>
      </c>
      <c r="AB1230">
        <f t="shared" si="368"/>
        <v>0</v>
      </c>
      <c r="AC1230">
        <f t="shared" si="369"/>
        <v>0</v>
      </c>
      <c r="AD1230">
        <f t="shared" si="370"/>
        <v>0</v>
      </c>
      <c r="AE1230">
        <f t="shared" si="371"/>
        <v>0</v>
      </c>
      <c r="AF1230">
        <f t="shared" si="372"/>
        <v>1</v>
      </c>
      <c r="AG1230">
        <f t="shared" si="373"/>
        <v>1</v>
      </c>
      <c r="AH1230">
        <f t="shared" si="374"/>
        <v>1</v>
      </c>
      <c r="AI1230">
        <f t="shared" si="375"/>
        <v>1</v>
      </c>
      <c r="AJ1230" s="9" t="str">
        <f t="shared" si="376"/>
        <v>General</v>
      </c>
      <c r="AK1230">
        <f t="shared" si="377"/>
        <v>0</v>
      </c>
      <c r="AL1230" s="9">
        <v>1</v>
      </c>
    </row>
    <row r="1231" spans="1:38" x14ac:dyDescent="0.35">
      <c r="A1231" s="9">
        <v>1</v>
      </c>
      <c r="B1231" s="9" t="s">
        <v>147</v>
      </c>
      <c r="C1231" s="53">
        <v>43892</v>
      </c>
      <c r="D1231" s="53">
        <v>43909</v>
      </c>
      <c r="E1231" s="53">
        <v>43969</v>
      </c>
      <c r="F1231" s="21">
        <f t="shared" si="378"/>
        <v>60</v>
      </c>
      <c r="G1231" s="53">
        <v>43909</v>
      </c>
      <c r="H1231" s="9">
        <v>2020</v>
      </c>
      <c r="I1231" s="9">
        <v>1</v>
      </c>
      <c r="J1231" s="9">
        <v>6</v>
      </c>
      <c r="K1231" s="9">
        <v>25</v>
      </c>
      <c r="L1231" s="50" t="s">
        <v>829</v>
      </c>
      <c r="M1231">
        <v>1</v>
      </c>
      <c r="N1231">
        <v>1</v>
      </c>
      <c r="O1231">
        <v>2</v>
      </c>
      <c r="P1231">
        <v>-1</v>
      </c>
      <c r="Q1231">
        <v>2</v>
      </c>
      <c r="R1231">
        <v>2</v>
      </c>
      <c r="S1231">
        <v>1</v>
      </c>
      <c r="T1231">
        <v>-2</v>
      </c>
      <c r="U1231">
        <v>1</v>
      </c>
      <c r="V1231" t="s">
        <v>982</v>
      </c>
      <c r="W1231" t="s">
        <v>989</v>
      </c>
      <c r="X1231" t="s">
        <v>997</v>
      </c>
      <c r="Y1231" t="s">
        <v>1000</v>
      </c>
      <c r="Z1231">
        <v>1</v>
      </c>
      <c r="AA1231">
        <f t="shared" si="367"/>
        <v>1</v>
      </c>
      <c r="AB1231">
        <f t="shared" si="368"/>
        <v>1</v>
      </c>
      <c r="AC1231">
        <f t="shared" si="369"/>
        <v>1</v>
      </c>
      <c r="AD1231">
        <f t="shared" si="370"/>
        <v>0</v>
      </c>
      <c r="AE1231">
        <f t="shared" si="371"/>
        <v>1</v>
      </c>
      <c r="AF1231">
        <f t="shared" si="372"/>
        <v>1</v>
      </c>
      <c r="AG1231">
        <f t="shared" si="373"/>
        <v>1</v>
      </c>
      <c r="AH1231">
        <f t="shared" si="374"/>
        <v>0</v>
      </c>
      <c r="AI1231">
        <f t="shared" si="375"/>
        <v>1</v>
      </c>
      <c r="AJ1231" s="9">
        <f t="shared" si="376"/>
        <v>25</v>
      </c>
      <c r="AK1231">
        <f t="shared" si="377"/>
        <v>0</v>
      </c>
      <c r="AL1231" s="9">
        <v>1</v>
      </c>
    </row>
    <row r="1232" spans="1:38" x14ac:dyDescent="0.35">
      <c r="A1232" s="9">
        <v>1</v>
      </c>
      <c r="B1232" s="9" t="s">
        <v>147</v>
      </c>
      <c r="C1232" s="53">
        <v>43892</v>
      </c>
      <c r="D1232" s="53">
        <v>43909</v>
      </c>
      <c r="E1232" s="53">
        <v>43969</v>
      </c>
      <c r="F1232" s="21">
        <f t="shared" si="378"/>
        <v>60</v>
      </c>
      <c r="G1232" s="53">
        <v>43909</v>
      </c>
      <c r="H1232" s="9">
        <v>2020</v>
      </c>
      <c r="I1232" s="9">
        <v>1</v>
      </c>
      <c r="J1232" s="9">
        <v>6</v>
      </c>
      <c r="K1232" s="9">
        <v>29</v>
      </c>
      <c r="L1232" s="50" t="s">
        <v>828</v>
      </c>
      <c r="M1232">
        <v>1</v>
      </c>
      <c r="N1232">
        <v>1</v>
      </c>
      <c r="O1232">
        <v>-2</v>
      </c>
      <c r="P1232">
        <v>-1</v>
      </c>
      <c r="Q1232">
        <v>-2</v>
      </c>
      <c r="R1232">
        <v>2</v>
      </c>
      <c r="S1232">
        <v>1</v>
      </c>
      <c r="T1232">
        <v>2</v>
      </c>
      <c r="U1232">
        <v>1</v>
      </c>
      <c r="V1232" t="s">
        <v>982</v>
      </c>
      <c r="W1232" t="s">
        <v>989</v>
      </c>
      <c r="X1232" t="s">
        <v>997</v>
      </c>
      <c r="Y1232" t="s">
        <v>1000</v>
      </c>
      <c r="Z1232">
        <v>1</v>
      </c>
      <c r="AA1232">
        <f t="shared" si="367"/>
        <v>1</v>
      </c>
      <c r="AB1232">
        <f t="shared" si="368"/>
        <v>1</v>
      </c>
      <c r="AC1232">
        <f t="shared" si="369"/>
        <v>0</v>
      </c>
      <c r="AD1232">
        <f t="shared" si="370"/>
        <v>0</v>
      </c>
      <c r="AE1232">
        <f t="shared" si="371"/>
        <v>0</v>
      </c>
      <c r="AF1232">
        <f t="shared" si="372"/>
        <v>1</v>
      </c>
      <c r="AG1232">
        <f t="shared" si="373"/>
        <v>1</v>
      </c>
      <c r="AH1232">
        <f t="shared" si="374"/>
        <v>1</v>
      </c>
      <c r="AI1232">
        <f t="shared" si="375"/>
        <v>1</v>
      </c>
      <c r="AJ1232" s="9">
        <f t="shared" si="376"/>
        <v>29</v>
      </c>
      <c r="AK1232">
        <f t="shared" si="377"/>
        <v>0</v>
      </c>
      <c r="AL1232" s="9">
        <v>1</v>
      </c>
    </row>
    <row r="1233" spans="1:38" x14ac:dyDescent="0.35">
      <c r="A1233" s="9">
        <v>1</v>
      </c>
      <c r="B1233" s="9" t="s">
        <v>147</v>
      </c>
      <c r="C1233" s="53">
        <v>43892</v>
      </c>
      <c r="D1233" s="53">
        <v>43909</v>
      </c>
      <c r="E1233" s="53">
        <v>43969</v>
      </c>
      <c r="F1233" s="21">
        <f t="shared" si="378"/>
        <v>60</v>
      </c>
      <c r="G1233" s="53">
        <v>43909</v>
      </c>
      <c r="H1233" s="9">
        <v>2020</v>
      </c>
      <c r="I1233" s="9">
        <v>1</v>
      </c>
      <c r="J1233" s="9">
        <v>6</v>
      </c>
      <c r="K1233" s="9">
        <v>28</v>
      </c>
      <c r="L1233" s="50" t="s">
        <v>819</v>
      </c>
      <c r="M1233">
        <v>1</v>
      </c>
      <c r="N1233">
        <v>1</v>
      </c>
      <c r="O1233">
        <v>2</v>
      </c>
      <c r="P1233">
        <v>-1</v>
      </c>
      <c r="Q1233">
        <v>-2</v>
      </c>
      <c r="R1233">
        <v>2</v>
      </c>
      <c r="S1233">
        <v>1</v>
      </c>
      <c r="T1233">
        <v>-2</v>
      </c>
      <c r="U1233">
        <v>1</v>
      </c>
      <c r="V1233" t="s">
        <v>982</v>
      </c>
      <c r="W1233" t="s">
        <v>989</v>
      </c>
      <c r="X1233" t="s">
        <v>997</v>
      </c>
      <c r="Y1233" t="s">
        <v>1000</v>
      </c>
      <c r="Z1233">
        <v>1</v>
      </c>
      <c r="AA1233">
        <f t="shared" si="367"/>
        <v>1</v>
      </c>
      <c r="AB1233">
        <f t="shared" si="368"/>
        <v>1</v>
      </c>
      <c r="AC1233">
        <f t="shared" si="369"/>
        <v>1</v>
      </c>
      <c r="AD1233">
        <f t="shared" si="370"/>
        <v>0</v>
      </c>
      <c r="AE1233">
        <f t="shared" si="371"/>
        <v>0</v>
      </c>
      <c r="AF1233">
        <f t="shared" si="372"/>
        <v>1</v>
      </c>
      <c r="AG1233">
        <f t="shared" si="373"/>
        <v>1</v>
      </c>
      <c r="AH1233">
        <f t="shared" si="374"/>
        <v>0</v>
      </c>
      <c r="AI1233">
        <f t="shared" si="375"/>
        <v>1</v>
      </c>
      <c r="AJ1233" s="9">
        <f t="shared" si="376"/>
        <v>28</v>
      </c>
      <c r="AK1233">
        <f t="shared" si="377"/>
        <v>0</v>
      </c>
      <c r="AL1233" s="9">
        <v>1</v>
      </c>
    </row>
    <row r="1234" spans="1:38" x14ac:dyDescent="0.35">
      <c r="A1234" s="9">
        <v>1</v>
      </c>
      <c r="B1234" s="9" t="s">
        <v>147</v>
      </c>
      <c r="C1234" s="53">
        <v>43892</v>
      </c>
      <c r="D1234" s="53">
        <v>43909</v>
      </c>
      <c r="E1234" s="53">
        <v>43969</v>
      </c>
      <c r="F1234" s="21">
        <f t="shared" si="378"/>
        <v>60</v>
      </c>
      <c r="G1234" s="53">
        <v>43909</v>
      </c>
      <c r="H1234" s="9">
        <v>2020</v>
      </c>
      <c r="I1234" s="9">
        <v>1</v>
      </c>
      <c r="J1234" s="9">
        <v>7</v>
      </c>
      <c r="K1234" s="9">
        <v>30</v>
      </c>
      <c r="L1234" s="50" t="s">
        <v>831</v>
      </c>
      <c r="M1234">
        <v>1</v>
      </c>
      <c r="N1234">
        <v>1</v>
      </c>
      <c r="O1234">
        <v>2</v>
      </c>
      <c r="P1234">
        <v>1</v>
      </c>
      <c r="Q1234">
        <v>2</v>
      </c>
      <c r="R1234">
        <v>2</v>
      </c>
      <c r="S1234">
        <v>1</v>
      </c>
      <c r="T1234">
        <v>-2</v>
      </c>
      <c r="U1234">
        <v>1</v>
      </c>
      <c r="V1234" t="s">
        <v>982</v>
      </c>
      <c r="W1234" t="s">
        <v>989</v>
      </c>
      <c r="X1234" t="s">
        <v>997</v>
      </c>
      <c r="Y1234" t="s">
        <v>1000</v>
      </c>
      <c r="Z1234">
        <v>1</v>
      </c>
      <c r="AA1234">
        <f t="shared" si="367"/>
        <v>1</v>
      </c>
      <c r="AB1234">
        <f t="shared" si="368"/>
        <v>1</v>
      </c>
      <c r="AC1234">
        <f t="shared" si="369"/>
        <v>1</v>
      </c>
      <c r="AD1234">
        <f t="shared" si="370"/>
        <v>1</v>
      </c>
      <c r="AE1234">
        <f t="shared" si="371"/>
        <v>1</v>
      </c>
      <c r="AF1234">
        <f t="shared" si="372"/>
        <v>1</v>
      </c>
      <c r="AG1234">
        <f t="shared" si="373"/>
        <v>1</v>
      </c>
      <c r="AH1234">
        <f t="shared" si="374"/>
        <v>0</v>
      </c>
      <c r="AI1234">
        <f t="shared" si="375"/>
        <v>1</v>
      </c>
      <c r="AJ1234" s="9">
        <f t="shared" si="376"/>
        <v>30</v>
      </c>
      <c r="AK1234">
        <f t="shared" si="377"/>
        <v>0</v>
      </c>
      <c r="AL1234" s="9">
        <v>0</v>
      </c>
    </row>
    <row r="1235" spans="1:38" x14ac:dyDescent="0.35">
      <c r="A1235" s="9">
        <v>1</v>
      </c>
      <c r="B1235" s="9" t="s">
        <v>147</v>
      </c>
      <c r="C1235" s="53">
        <v>43892</v>
      </c>
      <c r="D1235" s="53">
        <v>43909</v>
      </c>
      <c r="E1235" s="53">
        <v>43969</v>
      </c>
      <c r="F1235" s="21">
        <f t="shared" si="378"/>
        <v>60</v>
      </c>
      <c r="G1235" s="53">
        <v>43909</v>
      </c>
      <c r="H1235" s="9">
        <v>2020</v>
      </c>
      <c r="I1235" s="9">
        <v>1</v>
      </c>
      <c r="J1235" s="9">
        <v>1</v>
      </c>
      <c r="K1235" s="9">
        <v>6</v>
      </c>
      <c r="L1235" s="50" t="s">
        <v>823</v>
      </c>
      <c r="M1235">
        <v>-2</v>
      </c>
      <c r="N1235">
        <v>2</v>
      </c>
      <c r="O1235">
        <v>2</v>
      </c>
      <c r="P1235">
        <v>2</v>
      </c>
      <c r="Q1235">
        <v>2</v>
      </c>
      <c r="R1235">
        <v>2</v>
      </c>
      <c r="S1235">
        <v>1</v>
      </c>
      <c r="T1235">
        <v>2</v>
      </c>
      <c r="U1235">
        <v>1</v>
      </c>
      <c r="V1235" t="s">
        <v>982</v>
      </c>
      <c r="W1235" t="s">
        <v>989</v>
      </c>
      <c r="X1235" t="s">
        <v>997</v>
      </c>
      <c r="Y1235" t="s">
        <v>1000</v>
      </c>
      <c r="Z1235">
        <v>1</v>
      </c>
      <c r="AA1235">
        <f t="shared" si="367"/>
        <v>0</v>
      </c>
      <c r="AB1235">
        <f t="shared" si="368"/>
        <v>1</v>
      </c>
      <c r="AC1235">
        <f t="shared" si="369"/>
        <v>1</v>
      </c>
      <c r="AD1235">
        <f t="shared" si="370"/>
        <v>1</v>
      </c>
      <c r="AE1235">
        <f t="shared" si="371"/>
        <v>1</v>
      </c>
      <c r="AF1235">
        <f t="shared" si="372"/>
        <v>1</v>
      </c>
      <c r="AG1235">
        <f t="shared" si="373"/>
        <v>1</v>
      </c>
      <c r="AH1235">
        <f t="shared" si="374"/>
        <v>1</v>
      </c>
      <c r="AI1235">
        <f t="shared" si="375"/>
        <v>1</v>
      </c>
      <c r="AJ1235" s="9">
        <f t="shared" si="376"/>
        <v>6</v>
      </c>
      <c r="AK1235">
        <f t="shared" si="377"/>
        <v>0</v>
      </c>
      <c r="AL1235" s="9">
        <v>0</v>
      </c>
    </row>
    <row r="1236" spans="1:38" x14ac:dyDescent="0.35">
      <c r="A1236" s="9">
        <v>1</v>
      </c>
      <c r="B1236" s="50" t="s">
        <v>147</v>
      </c>
      <c r="C1236" s="53">
        <v>43892</v>
      </c>
      <c r="D1236" s="53">
        <v>43909</v>
      </c>
      <c r="E1236" s="53">
        <v>43969</v>
      </c>
      <c r="F1236" s="21">
        <f t="shared" si="378"/>
        <v>60</v>
      </c>
      <c r="G1236" s="53">
        <v>43909</v>
      </c>
      <c r="H1236" s="9">
        <v>2020</v>
      </c>
      <c r="I1236" s="9">
        <v>1</v>
      </c>
      <c r="J1236" s="50">
        <v>3</v>
      </c>
      <c r="K1236" s="50">
        <v>19</v>
      </c>
      <c r="L1236" s="24" t="s">
        <v>1542</v>
      </c>
      <c r="M1236" s="24"/>
      <c r="V1236" t="s">
        <v>982</v>
      </c>
      <c r="W1236" t="s">
        <v>989</v>
      </c>
      <c r="X1236" t="s">
        <v>997</v>
      </c>
      <c r="Y1236" t="s">
        <v>1000</v>
      </c>
      <c r="Z1236">
        <v>1</v>
      </c>
      <c r="AA1236">
        <v>-1</v>
      </c>
      <c r="AB1236">
        <v>-1</v>
      </c>
      <c r="AC1236">
        <v>-1</v>
      </c>
      <c r="AD1236">
        <v>-1</v>
      </c>
      <c r="AE1236">
        <v>-1</v>
      </c>
      <c r="AF1236">
        <v>-1</v>
      </c>
      <c r="AG1236">
        <v>-1</v>
      </c>
      <c r="AH1236">
        <v>-1</v>
      </c>
      <c r="AI1236">
        <v>-1</v>
      </c>
      <c r="AJ1236" s="9">
        <f t="shared" si="376"/>
        <v>19</v>
      </c>
      <c r="AK1236">
        <f t="shared" si="377"/>
        <v>0</v>
      </c>
      <c r="AL1236" s="9">
        <v>0</v>
      </c>
    </row>
    <row r="1237" spans="1:38" x14ac:dyDescent="0.35">
      <c r="A1237" s="9">
        <v>1</v>
      </c>
      <c r="B1237" s="50" t="s">
        <v>147</v>
      </c>
      <c r="C1237" s="53">
        <v>43892</v>
      </c>
      <c r="D1237" s="53">
        <v>43909</v>
      </c>
      <c r="E1237" s="53">
        <v>43969</v>
      </c>
      <c r="F1237" s="21">
        <f t="shared" si="378"/>
        <v>60</v>
      </c>
      <c r="G1237" s="53">
        <v>43909</v>
      </c>
      <c r="H1237" s="9">
        <v>2020</v>
      </c>
      <c r="I1237" s="9">
        <v>1</v>
      </c>
      <c r="J1237" s="50">
        <v>1</v>
      </c>
      <c r="K1237" s="50">
        <v>3</v>
      </c>
      <c r="L1237" s="24" t="s">
        <v>1543</v>
      </c>
      <c r="M1237" s="24"/>
      <c r="V1237" t="s">
        <v>982</v>
      </c>
      <c r="W1237" t="s">
        <v>989</v>
      </c>
      <c r="X1237" t="s">
        <v>997</v>
      </c>
      <c r="Y1237" t="s">
        <v>1000</v>
      </c>
      <c r="Z1237">
        <v>1</v>
      </c>
      <c r="AA1237">
        <v>-1</v>
      </c>
      <c r="AB1237">
        <v>-1</v>
      </c>
      <c r="AC1237">
        <v>-1</v>
      </c>
      <c r="AD1237">
        <v>-1</v>
      </c>
      <c r="AE1237">
        <v>-1</v>
      </c>
      <c r="AF1237">
        <v>-1</v>
      </c>
      <c r="AG1237">
        <v>-1</v>
      </c>
      <c r="AH1237">
        <v>-1</v>
      </c>
      <c r="AI1237">
        <v>-1</v>
      </c>
      <c r="AJ1237" s="9">
        <f t="shared" si="376"/>
        <v>3</v>
      </c>
      <c r="AK1237">
        <f t="shared" si="377"/>
        <v>0</v>
      </c>
      <c r="AL1237" s="9">
        <v>0</v>
      </c>
    </row>
    <row r="1238" spans="1:38" x14ac:dyDescent="0.35">
      <c r="A1238" s="9">
        <v>1</v>
      </c>
      <c r="B1238" s="50" t="s">
        <v>147</v>
      </c>
      <c r="C1238" s="53">
        <v>43892</v>
      </c>
      <c r="D1238" s="53">
        <v>43909</v>
      </c>
      <c r="E1238" s="53">
        <v>43969</v>
      </c>
      <c r="F1238" s="21">
        <f t="shared" si="378"/>
        <v>60</v>
      </c>
      <c r="G1238" s="53">
        <v>43909</v>
      </c>
      <c r="H1238" s="9">
        <v>2020</v>
      </c>
      <c r="I1238" s="9">
        <v>1</v>
      </c>
      <c r="J1238" s="50">
        <v>1</v>
      </c>
      <c r="K1238" s="50" t="s">
        <v>206</v>
      </c>
      <c r="L1238" s="24" t="s">
        <v>1544</v>
      </c>
      <c r="M1238" s="24"/>
      <c r="V1238" t="s">
        <v>982</v>
      </c>
      <c r="W1238" t="s">
        <v>989</v>
      </c>
      <c r="X1238" t="s">
        <v>997</v>
      </c>
      <c r="Y1238" t="s">
        <v>1000</v>
      </c>
      <c r="Z1238">
        <v>1</v>
      </c>
      <c r="AA1238">
        <v>-1</v>
      </c>
      <c r="AB1238">
        <v>-1</v>
      </c>
      <c r="AC1238">
        <v>-1</v>
      </c>
      <c r="AD1238">
        <v>-1</v>
      </c>
      <c r="AE1238">
        <v>-1</v>
      </c>
      <c r="AF1238">
        <v>-1</v>
      </c>
      <c r="AG1238">
        <v>-1</v>
      </c>
      <c r="AH1238">
        <v>-1</v>
      </c>
      <c r="AI1238">
        <v>-1</v>
      </c>
      <c r="AJ1238" s="9" t="str">
        <f t="shared" si="376"/>
        <v>Tax exemption/waiver/suspension</v>
      </c>
      <c r="AK1238">
        <f t="shared" si="377"/>
        <v>0</v>
      </c>
      <c r="AL1238" s="9">
        <v>0</v>
      </c>
    </row>
    <row r="1239" spans="1:38" x14ac:dyDescent="0.35">
      <c r="A1239" s="9">
        <v>1</v>
      </c>
      <c r="B1239" s="50" t="s">
        <v>147</v>
      </c>
      <c r="C1239" s="53">
        <v>43892</v>
      </c>
      <c r="D1239" s="53">
        <v>43909</v>
      </c>
      <c r="E1239" s="53">
        <v>43969</v>
      </c>
      <c r="F1239" s="21">
        <f t="shared" si="378"/>
        <v>60</v>
      </c>
      <c r="G1239" s="53">
        <v>43909</v>
      </c>
      <c r="H1239" s="9">
        <v>2020</v>
      </c>
      <c r="I1239" s="9">
        <v>1</v>
      </c>
      <c r="J1239" s="50">
        <v>6</v>
      </c>
      <c r="K1239" s="50">
        <v>28</v>
      </c>
      <c r="L1239" s="24" t="s">
        <v>1545</v>
      </c>
      <c r="M1239" s="24"/>
      <c r="V1239" t="s">
        <v>982</v>
      </c>
      <c r="W1239" t="s">
        <v>989</v>
      </c>
      <c r="X1239" t="s">
        <v>997</v>
      </c>
      <c r="Y1239" t="s">
        <v>1000</v>
      </c>
      <c r="Z1239">
        <v>1</v>
      </c>
      <c r="AA1239">
        <v>-1</v>
      </c>
      <c r="AB1239">
        <v>-1</v>
      </c>
      <c r="AC1239">
        <v>-1</v>
      </c>
      <c r="AD1239">
        <v>-1</v>
      </c>
      <c r="AE1239">
        <v>-1</v>
      </c>
      <c r="AF1239">
        <v>-1</v>
      </c>
      <c r="AG1239">
        <v>-1</v>
      </c>
      <c r="AH1239">
        <v>-1</v>
      </c>
      <c r="AI1239">
        <v>-1</v>
      </c>
      <c r="AJ1239" s="9">
        <f t="shared" si="376"/>
        <v>28</v>
      </c>
      <c r="AK1239">
        <f t="shared" si="377"/>
        <v>0</v>
      </c>
      <c r="AL1239" s="9">
        <v>0</v>
      </c>
    </row>
    <row r="1240" spans="1:38" x14ac:dyDescent="0.35">
      <c r="A1240" s="9">
        <v>1</v>
      </c>
      <c r="B1240" s="50" t="s">
        <v>147</v>
      </c>
      <c r="C1240" s="53">
        <v>43892</v>
      </c>
      <c r="D1240" s="53">
        <v>43909</v>
      </c>
      <c r="E1240" s="53">
        <v>43969</v>
      </c>
      <c r="F1240" s="21">
        <f t="shared" si="378"/>
        <v>60</v>
      </c>
      <c r="G1240" s="53">
        <v>43909</v>
      </c>
      <c r="H1240" s="9">
        <v>2020</v>
      </c>
      <c r="I1240" s="9">
        <v>1</v>
      </c>
      <c r="J1240" s="50">
        <v>6</v>
      </c>
      <c r="K1240" s="50">
        <v>28</v>
      </c>
      <c r="L1240" s="24" t="s">
        <v>1546</v>
      </c>
      <c r="M1240" s="24"/>
      <c r="V1240" t="s">
        <v>982</v>
      </c>
      <c r="W1240" t="s">
        <v>989</v>
      </c>
      <c r="X1240" t="s">
        <v>997</v>
      </c>
      <c r="Y1240" t="s">
        <v>1000</v>
      </c>
      <c r="Z1240">
        <v>1</v>
      </c>
      <c r="AA1240">
        <v>-1</v>
      </c>
      <c r="AB1240">
        <v>-1</v>
      </c>
      <c r="AC1240">
        <v>-1</v>
      </c>
      <c r="AD1240">
        <v>-1</v>
      </c>
      <c r="AE1240">
        <v>-1</v>
      </c>
      <c r="AF1240">
        <v>-1</v>
      </c>
      <c r="AG1240">
        <v>-1</v>
      </c>
      <c r="AH1240">
        <v>-1</v>
      </c>
      <c r="AI1240">
        <v>-1</v>
      </c>
      <c r="AJ1240" s="9">
        <f t="shared" si="376"/>
        <v>28</v>
      </c>
      <c r="AK1240">
        <f t="shared" si="377"/>
        <v>0</v>
      </c>
      <c r="AL1240" s="9">
        <v>1</v>
      </c>
    </row>
    <row r="1241" spans="1:38" x14ac:dyDescent="0.35">
      <c r="A1241" s="9">
        <v>1</v>
      </c>
      <c r="B1241" s="50" t="s">
        <v>147</v>
      </c>
      <c r="C1241" s="53">
        <v>43892</v>
      </c>
      <c r="D1241" s="53">
        <v>43909</v>
      </c>
      <c r="E1241" s="53">
        <v>43969</v>
      </c>
      <c r="F1241" s="21">
        <f t="shared" si="378"/>
        <v>60</v>
      </c>
      <c r="G1241" s="53">
        <v>43909</v>
      </c>
      <c r="H1241" s="9">
        <v>2020</v>
      </c>
      <c r="I1241" s="9">
        <v>1</v>
      </c>
      <c r="J1241" s="50">
        <v>9</v>
      </c>
      <c r="K1241" s="50">
        <v>34</v>
      </c>
      <c r="L1241" s="24" t="s">
        <v>1547</v>
      </c>
      <c r="M1241" s="24"/>
      <c r="V1241" t="s">
        <v>982</v>
      </c>
      <c r="W1241" t="s">
        <v>989</v>
      </c>
      <c r="X1241" t="s">
        <v>997</v>
      </c>
      <c r="Y1241" t="s">
        <v>1000</v>
      </c>
      <c r="Z1241">
        <v>1</v>
      </c>
      <c r="AA1241">
        <v>-1</v>
      </c>
      <c r="AB1241">
        <v>-1</v>
      </c>
      <c r="AC1241">
        <v>-1</v>
      </c>
      <c r="AD1241">
        <v>-1</v>
      </c>
      <c r="AE1241">
        <v>-1</v>
      </c>
      <c r="AF1241">
        <v>-1</v>
      </c>
      <c r="AG1241">
        <v>-1</v>
      </c>
      <c r="AH1241">
        <v>-1</v>
      </c>
      <c r="AI1241">
        <v>-1</v>
      </c>
      <c r="AJ1241" s="9">
        <f t="shared" si="376"/>
        <v>34</v>
      </c>
      <c r="AK1241">
        <f t="shared" si="377"/>
        <v>0</v>
      </c>
      <c r="AL1241" s="9">
        <v>1</v>
      </c>
    </row>
    <row r="1242" spans="1:38" s="47" customFormat="1" x14ac:dyDescent="0.35">
      <c r="A1242" s="9">
        <v>1</v>
      </c>
      <c r="B1242" s="50" t="s">
        <v>147</v>
      </c>
      <c r="C1242" s="53">
        <v>43892</v>
      </c>
      <c r="D1242" s="53">
        <v>43909</v>
      </c>
      <c r="E1242" s="53">
        <v>43969</v>
      </c>
      <c r="F1242" s="21">
        <f t="shared" ref="F1242:F1251" si="379">DATEDIF(D1242,E1242,"D")</f>
        <v>60</v>
      </c>
      <c r="G1242" s="53">
        <v>43909</v>
      </c>
      <c r="H1242" s="9">
        <v>2021</v>
      </c>
      <c r="I1242" s="9">
        <v>1</v>
      </c>
      <c r="J1242" s="50">
        <v>6</v>
      </c>
      <c r="K1242" s="50">
        <v>29</v>
      </c>
      <c r="L1242" s="48" t="s">
        <v>1721</v>
      </c>
      <c r="M1242" s="48"/>
      <c r="V1242" t="s">
        <v>982</v>
      </c>
      <c r="AJ1242" s="47">
        <f t="shared" si="376"/>
        <v>29</v>
      </c>
    </row>
    <row r="1243" spans="1:38" s="47" customFormat="1" x14ac:dyDescent="0.35">
      <c r="A1243" s="9">
        <v>1</v>
      </c>
      <c r="B1243" s="50" t="s">
        <v>147</v>
      </c>
      <c r="C1243" s="53">
        <v>43892</v>
      </c>
      <c r="D1243" s="53">
        <v>43909</v>
      </c>
      <c r="E1243" s="53">
        <v>43969</v>
      </c>
      <c r="F1243" s="21">
        <f t="shared" si="379"/>
        <v>60</v>
      </c>
      <c r="G1243" s="53">
        <v>43909</v>
      </c>
      <c r="H1243" s="9">
        <v>2021</v>
      </c>
      <c r="I1243" s="9">
        <v>1</v>
      </c>
      <c r="J1243" s="50">
        <v>9</v>
      </c>
      <c r="K1243" s="50">
        <v>34</v>
      </c>
      <c r="L1243" s="48" t="s">
        <v>2067</v>
      </c>
      <c r="M1243" s="48"/>
      <c r="V1243"/>
      <c r="AJ1243" s="47">
        <f t="shared" si="376"/>
        <v>34</v>
      </c>
    </row>
    <row r="1244" spans="1:38" s="47" customFormat="1" x14ac:dyDescent="0.35">
      <c r="A1244" s="9">
        <v>1</v>
      </c>
      <c r="B1244" s="50" t="s">
        <v>147</v>
      </c>
      <c r="C1244" s="53">
        <v>43892</v>
      </c>
      <c r="D1244" s="53">
        <v>43909</v>
      </c>
      <c r="E1244" s="53">
        <v>43969</v>
      </c>
      <c r="F1244" s="21">
        <f t="shared" si="379"/>
        <v>60</v>
      </c>
      <c r="G1244" s="53">
        <v>43909</v>
      </c>
      <c r="H1244" s="9">
        <v>2021</v>
      </c>
      <c r="I1244" s="9">
        <v>1</v>
      </c>
      <c r="J1244" s="50">
        <v>9</v>
      </c>
      <c r="K1244" s="50">
        <v>34</v>
      </c>
      <c r="L1244" s="48" t="s">
        <v>2068</v>
      </c>
      <c r="M1244" s="48"/>
      <c r="V1244"/>
      <c r="AJ1244" s="47">
        <f t="shared" si="376"/>
        <v>34</v>
      </c>
    </row>
    <row r="1245" spans="1:38" s="47" customFormat="1" x14ac:dyDescent="0.35">
      <c r="A1245" s="9">
        <v>1</v>
      </c>
      <c r="B1245" s="50" t="s">
        <v>147</v>
      </c>
      <c r="C1245" s="53">
        <v>43892</v>
      </c>
      <c r="D1245" s="53">
        <v>43909</v>
      </c>
      <c r="E1245" s="53">
        <v>43969</v>
      </c>
      <c r="F1245" s="21">
        <f t="shared" si="379"/>
        <v>60</v>
      </c>
      <c r="G1245" s="53">
        <v>43909</v>
      </c>
      <c r="H1245" s="9">
        <v>2021</v>
      </c>
      <c r="I1245" s="9">
        <v>1</v>
      </c>
      <c r="J1245" s="50">
        <v>6</v>
      </c>
      <c r="K1245" s="50">
        <v>29</v>
      </c>
      <c r="L1245" s="48" t="s">
        <v>2069</v>
      </c>
      <c r="M1245" s="48"/>
      <c r="V1245"/>
      <c r="AJ1245" s="47">
        <f t="shared" si="376"/>
        <v>29</v>
      </c>
    </row>
    <row r="1246" spans="1:38" s="47" customFormat="1" x14ac:dyDescent="0.35">
      <c r="A1246" s="9">
        <v>1</v>
      </c>
      <c r="B1246" s="50" t="s">
        <v>147</v>
      </c>
      <c r="C1246" s="53">
        <v>43892</v>
      </c>
      <c r="D1246" s="53">
        <v>43909</v>
      </c>
      <c r="E1246" s="53">
        <v>43969</v>
      </c>
      <c r="F1246" s="21">
        <f t="shared" si="379"/>
        <v>60</v>
      </c>
      <c r="G1246" s="53">
        <v>43909</v>
      </c>
      <c r="H1246" s="9">
        <v>2021</v>
      </c>
      <c r="I1246" s="9">
        <v>1</v>
      </c>
      <c r="J1246" s="50">
        <v>6</v>
      </c>
      <c r="K1246" s="50">
        <v>25</v>
      </c>
      <c r="L1246" s="48" t="s">
        <v>2070</v>
      </c>
      <c r="M1246" s="48"/>
      <c r="V1246"/>
      <c r="AJ1246" s="47">
        <f t="shared" si="376"/>
        <v>25</v>
      </c>
    </row>
    <row r="1247" spans="1:38" s="47" customFormat="1" x14ac:dyDescent="0.35">
      <c r="A1247" s="9">
        <v>1</v>
      </c>
      <c r="B1247" s="50" t="s">
        <v>147</v>
      </c>
      <c r="C1247" s="53">
        <v>43892</v>
      </c>
      <c r="D1247" s="53">
        <v>43909</v>
      </c>
      <c r="E1247" s="53">
        <v>43969</v>
      </c>
      <c r="F1247" s="21">
        <f t="shared" si="379"/>
        <v>60</v>
      </c>
      <c r="G1247" s="53">
        <v>43909</v>
      </c>
      <c r="H1247" s="9">
        <v>2021</v>
      </c>
      <c r="I1247" s="9">
        <v>1</v>
      </c>
      <c r="J1247" s="50">
        <v>7</v>
      </c>
      <c r="K1247" s="50">
        <v>30</v>
      </c>
      <c r="L1247" s="48" t="s">
        <v>2071</v>
      </c>
      <c r="M1247" s="48"/>
      <c r="V1247"/>
      <c r="AJ1247" s="47">
        <f t="shared" si="376"/>
        <v>30</v>
      </c>
    </row>
    <row r="1248" spans="1:38" s="47" customFormat="1" x14ac:dyDescent="0.35">
      <c r="A1248" s="9">
        <v>1</v>
      </c>
      <c r="B1248" s="50" t="s">
        <v>147</v>
      </c>
      <c r="C1248" s="53">
        <v>43892</v>
      </c>
      <c r="D1248" s="53">
        <v>43909</v>
      </c>
      <c r="E1248" s="53">
        <v>43969</v>
      </c>
      <c r="F1248" s="21">
        <f t="shared" si="379"/>
        <v>60</v>
      </c>
      <c r="G1248" s="53">
        <v>43909</v>
      </c>
      <c r="H1248" s="9">
        <v>2021</v>
      </c>
      <c r="I1248" s="9">
        <v>1</v>
      </c>
      <c r="J1248" s="50">
        <v>4</v>
      </c>
      <c r="K1248" s="50">
        <v>20</v>
      </c>
      <c r="L1248" s="48" t="s">
        <v>2072</v>
      </c>
      <c r="M1248" s="48"/>
      <c r="V1248"/>
      <c r="AJ1248" s="47">
        <f t="shared" si="376"/>
        <v>20</v>
      </c>
    </row>
    <row r="1249" spans="1:38" s="47" customFormat="1" x14ac:dyDescent="0.35">
      <c r="A1249" s="9">
        <v>1</v>
      </c>
      <c r="B1249" s="50" t="s">
        <v>147</v>
      </c>
      <c r="C1249" s="53">
        <v>43892</v>
      </c>
      <c r="D1249" s="53">
        <v>43909</v>
      </c>
      <c r="E1249" s="53">
        <v>43969</v>
      </c>
      <c r="F1249" s="21">
        <f t="shared" si="379"/>
        <v>60</v>
      </c>
      <c r="G1249" s="53">
        <v>43909</v>
      </c>
      <c r="H1249" s="9">
        <v>2021</v>
      </c>
      <c r="I1249" s="9">
        <v>1</v>
      </c>
      <c r="J1249" s="50">
        <v>3</v>
      </c>
      <c r="K1249" s="50" t="s">
        <v>206</v>
      </c>
      <c r="L1249" s="48" t="s">
        <v>2073</v>
      </c>
      <c r="M1249" s="48"/>
      <c r="V1249"/>
    </row>
    <row r="1250" spans="1:38" s="47" customFormat="1" x14ac:dyDescent="0.35">
      <c r="A1250" s="9">
        <v>1</v>
      </c>
      <c r="B1250" s="50" t="s">
        <v>147</v>
      </c>
      <c r="C1250" s="53">
        <v>43892</v>
      </c>
      <c r="D1250" s="53">
        <v>43909</v>
      </c>
      <c r="E1250" s="53">
        <v>43969</v>
      </c>
      <c r="F1250" s="21">
        <f t="shared" si="379"/>
        <v>60</v>
      </c>
      <c r="G1250" s="53">
        <v>43909</v>
      </c>
      <c r="H1250" s="9">
        <v>2021</v>
      </c>
      <c r="I1250" s="9">
        <v>1</v>
      </c>
      <c r="J1250" s="50">
        <v>9</v>
      </c>
      <c r="K1250" s="50">
        <v>34</v>
      </c>
      <c r="L1250" s="48" t="s">
        <v>2074</v>
      </c>
      <c r="M1250" s="48"/>
      <c r="V1250"/>
    </row>
    <row r="1251" spans="1:38" s="47" customFormat="1" x14ac:dyDescent="0.35">
      <c r="A1251" s="9">
        <v>1</v>
      </c>
      <c r="B1251" s="50" t="s">
        <v>147</v>
      </c>
      <c r="C1251" s="53">
        <v>43892</v>
      </c>
      <c r="D1251" s="53">
        <v>43909</v>
      </c>
      <c r="E1251" s="53">
        <v>43969</v>
      </c>
      <c r="F1251" s="21">
        <f t="shared" si="379"/>
        <v>60</v>
      </c>
      <c r="G1251" s="53">
        <v>43909</v>
      </c>
      <c r="H1251" s="9">
        <v>2021</v>
      </c>
      <c r="I1251" s="9">
        <v>1</v>
      </c>
      <c r="J1251" s="50">
        <v>7</v>
      </c>
      <c r="K1251" s="50">
        <v>30</v>
      </c>
      <c r="L1251" s="48" t="s">
        <v>2075</v>
      </c>
      <c r="M1251" s="48"/>
      <c r="V1251"/>
    </row>
    <row r="1252" spans="1:38" x14ac:dyDescent="0.35">
      <c r="A1252" s="50">
        <v>0</v>
      </c>
      <c r="B1252" s="9" t="s">
        <v>166</v>
      </c>
      <c r="C1252" s="53">
        <v>43896</v>
      </c>
      <c r="D1252" s="53">
        <v>43906</v>
      </c>
      <c r="E1252" s="53">
        <v>43971</v>
      </c>
      <c r="F1252" s="21">
        <f t="shared" si="378"/>
        <v>65</v>
      </c>
      <c r="G1252" s="53">
        <v>43906</v>
      </c>
      <c r="H1252" s="9">
        <v>2020</v>
      </c>
      <c r="I1252" s="50">
        <v>0</v>
      </c>
      <c r="J1252" s="9">
        <v>1</v>
      </c>
      <c r="K1252" s="9">
        <v>2</v>
      </c>
      <c r="L1252" s="50" t="s">
        <v>842</v>
      </c>
      <c r="M1252">
        <v>2</v>
      </c>
      <c r="N1252">
        <v>-1</v>
      </c>
      <c r="O1252">
        <v>-2</v>
      </c>
      <c r="P1252">
        <v>-1</v>
      </c>
      <c r="Q1252">
        <v>-2</v>
      </c>
      <c r="S1252">
        <v>2</v>
      </c>
      <c r="T1252">
        <v>2</v>
      </c>
      <c r="U1252">
        <v>1</v>
      </c>
      <c r="V1252" t="s">
        <v>983</v>
      </c>
      <c r="W1252" t="s">
        <v>989</v>
      </c>
      <c r="X1252" t="s">
        <v>997</v>
      </c>
      <c r="Y1252" t="s">
        <v>1000</v>
      </c>
      <c r="Z1252">
        <v>0</v>
      </c>
      <c r="AA1252">
        <f t="shared" ref="AA1252:AA1269" si="380">IF(M1252&gt;0,1,IF(M1252&lt;0,0,-1))</f>
        <v>1</v>
      </c>
      <c r="AB1252">
        <f t="shared" ref="AB1252:AB1269" si="381">IF(N1252&gt;0,1,IF(N1252&lt;0,0,-1))</f>
        <v>0</v>
      </c>
      <c r="AC1252">
        <f t="shared" ref="AC1252:AC1269" si="382">IF(O1252&gt;0,1,IF(O1252&lt;0,0,-1))</f>
        <v>0</v>
      </c>
      <c r="AD1252">
        <f t="shared" ref="AD1252:AD1269" si="383">IF(P1252&gt;0,1,IF(P1252&lt;0,0,-1))</f>
        <v>0</v>
      </c>
      <c r="AE1252">
        <f t="shared" ref="AE1252:AE1269" si="384">IF(Q1252&gt;0,1,IF(Q1252&lt;0,0,-1))</f>
        <v>0</v>
      </c>
      <c r="AF1252">
        <f t="shared" ref="AF1252:AF1269" si="385">IF(R1252&gt;0,1,IF(R1252&lt;0,0,-1))</f>
        <v>-1</v>
      </c>
      <c r="AG1252">
        <f t="shared" ref="AG1252:AG1269" si="386">IF(S1252&gt;0,1,IF(S1252&lt;0,0,-1))</f>
        <v>1</v>
      </c>
      <c r="AH1252">
        <f t="shared" ref="AH1252:AH1269" si="387">IF(T1252&gt;0,1,IF(T1252&lt;0,0,-1))</f>
        <v>1</v>
      </c>
      <c r="AI1252">
        <f t="shared" ref="AI1252:AI1269" si="388">IF(U1252&gt;0,1,IF(U1252&lt;0,0,-1))</f>
        <v>1</v>
      </c>
      <c r="AJ1252" s="9">
        <f t="shared" ref="AJ1252:AJ1256" si="389">IF(ISNUMBER(K1252),K1252,IF(OR(K1252="general",K1252="23;general"),"General",IF(OR(K1252="exemption",K1252="other (exemption)"),"Tax exemption/waiver/suspension","Other")))</f>
        <v>2</v>
      </c>
      <c r="AK1252" t="e">
        <f>IF(B1252&lt;&gt;#REF!,1,0)</f>
        <v>#REF!</v>
      </c>
      <c r="AL1252" s="9">
        <v>1</v>
      </c>
    </row>
    <row r="1253" spans="1:38" x14ac:dyDescent="0.35">
      <c r="A1253" s="50">
        <v>0</v>
      </c>
      <c r="B1253" s="9" t="s">
        <v>166</v>
      </c>
      <c r="C1253" s="53">
        <v>43896</v>
      </c>
      <c r="D1253" s="53">
        <v>43906</v>
      </c>
      <c r="E1253" s="53">
        <v>43971</v>
      </c>
      <c r="F1253" s="21">
        <f t="shared" si="378"/>
        <v>65</v>
      </c>
      <c r="G1253" s="53">
        <v>43906</v>
      </c>
      <c r="H1253" s="9">
        <v>2020</v>
      </c>
      <c r="I1253" s="50">
        <v>0</v>
      </c>
      <c r="J1253" s="9">
        <v>1</v>
      </c>
      <c r="K1253" s="9" t="s">
        <v>206</v>
      </c>
      <c r="L1253" s="50" t="s">
        <v>838</v>
      </c>
      <c r="M1253">
        <v>2</v>
      </c>
      <c r="N1253">
        <v>2</v>
      </c>
      <c r="O1253">
        <v>-2</v>
      </c>
      <c r="P1253">
        <v>-1</v>
      </c>
      <c r="Q1253">
        <v>-2</v>
      </c>
      <c r="R1253">
        <v>2</v>
      </c>
      <c r="S1253">
        <v>2</v>
      </c>
      <c r="U1253">
        <v>1</v>
      </c>
      <c r="V1253" t="s">
        <v>983</v>
      </c>
      <c r="W1253" t="s">
        <v>989</v>
      </c>
      <c r="X1253" t="s">
        <v>997</v>
      </c>
      <c r="Y1253" t="s">
        <v>1000</v>
      </c>
      <c r="Z1253">
        <v>0</v>
      </c>
      <c r="AA1253">
        <f t="shared" si="380"/>
        <v>1</v>
      </c>
      <c r="AB1253">
        <f t="shared" si="381"/>
        <v>1</v>
      </c>
      <c r="AC1253">
        <f t="shared" si="382"/>
        <v>0</v>
      </c>
      <c r="AD1253">
        <f t="shared" si="383"/>
        <v>0</v>
      </c>
      <c r="AE1253">
        <f t="shared" si="384"/>
        <v>0</v>
      </c>
      <c r="AF1253">
        <f t="shared" si="385"/>
        <v>1</v>
      </c>
      <c r="AG1253">
        <f t="shared" si="386"/>
        <v>1</v>
      </c>
      <c r="AH1253">
        <f t="shared" si="387"/>
        <v>-1</v>
      </c>
      <c r="AI1253">
        <f t="shared" si="388"/>
        <v>1</v>
      </c>
      <c r="AJ1253" s="9" t="str">
        <f t="shared" si="389"/>
        <v>Tax exemption/waiver/suspension</v>
      </c>
      <c r="AK1253">
        <f t="shared" ref="AK1253:AK1291" si="390">IF(B1253&lt;&gt;B1252,1,0)</f>
        <v>0</v>
      </c>
      <c r="AL1253" s="9">
        <v>1</v>
      </c>
    </row>
    <row r="1254" spans="1:38" x14ac:dyDescent="0.35">
      <c r="A1254" s="50">
        <v>0</v>
      </c>
      <c r="B1254" s="9" t="s">
        <v>166</v>
      </c>
      <c r="C1254" s="53">
        <v>43896</v>
      </c>
      <c r="D1254" s="53">
        <v>43906</v>
      </c>
      <c r="E1254" s="53">
        <v>43971</v>
      </c>
      <c r="F1254" s="21">
        <f t="shared" si="378"/>
        <v>65</v>
      </c>
      <c r="G1254" s="53">
        <v>43906</v>
      </c>
      <c r="H1254" s="9">
        <v>2020</v>
      </c>
      <c r="I1254" s="50">
        <v>0</v>
      </c>
      <c r="J1254" s="9">
        <v>7</v>
      </c>
      <c r="K1254" s="9" t="s">
        <v>201</v>
      </c>
      <c r="L1254" s="50" t="s">
        <v>845</v>
      </c>
      <c r="M1254">
        <v>1</v>
      </c>
      <c r="N1254">
        <v>1</v>
      </c>
      <c r="O1254">
        <v>2</v>
      </c>
      <c r="P1254">
        <v>1</v>
      </c>
      <c r="Q1254">
        <v>2</v>
      </c>
      <c r="R1254">
        <v>2</v>
      </c>
      <c r="S1254">
        <v>1</v>
      </c>
      <c r="T1254">
        <v>2</v>
      </c>
      <c r="U1254">
        <v>1</v>
      </c>
      <c r="V1254" t="s">
        <v>983</v>
      </c>
      <c r="W1254" t="s">
        <v>989</v>
      </c>
      <c r="X1254" t="s">
        <v>997</v>
      </c>
      <c r="Y1254" t="s">
        <v>1000</v>
      </c>
      <c r="Z1254">
        <v>0</v>
      </c>
      <c r="AA1254">
        <f t="shared" si="380"/>
        <v>1</v>
      </c>
      <c r="AB1254">
        <f t="shared" si="381"/>
        <v>1</v>
      </c>
      <c r="AC1254">
        <f t="shared" si="382"/>
        <v>1</v>
      </c>
      <c r="AD1254">
        <f t="shared" si="383"/>
        <v>1</v>
      </c>
      <c r="AE1254">
        <f t="shared" si="384"/>
        <v>1</v>
      </c>
      <c r="AF1254">
        <f t="shared" si="385"/>
        <v>1</v>
      </c>
      <c r="AG1254">
        <f t="shared" si="386"/>
        <v>1</v>
      </c>
      <c r="AH1254">
        <f t="shared" si="387"/>
        <v>1</v>
      </c>
      <c r="AI1254">
        <f t="shared" si="388"/>
        <v>1</v>
      </c>
      <c r="AJ1254" s="9" t="str">
        <f t="shared" si="389"/>
        <v>Other</v>
      </c>
      <c r="AK1254">
        <f t="shared" si="390"/>
        <v>0</v>
      </c>
      <c r="AL1254" s="9">
        <v>1</v>
      </c>
    </row>
    <row r="1255" spans="1:38" x14ac:dyDescent="0.35">
      <c r="A1255" s="50">
        <v>0</v>
      </c>
      <c r="B1255" s="9" t="s">
        <v>166</v>
      </c>
      <c r="C1255" s="53">
        <v>43896</v>
      </c>
      <c r="D1255" s="53">
        <v>43906</v>
      </c>
      <c r="E1255" s="53">
        <v>43971</v>
      </c>
      <c r="F1255" s="21">
        <f t="shared" si="378"/>
        <v>65</v>
      </c>
      <c r="G1255" s="53">
        <v>43906</v>
      </c>
      <c r="H1255" s="9">
        <v>2020</v>
      </c>
      <c r="I1255" s="50">
        <v>0</v>
      </c>
      <c r="J1255" s="9">
        <v>7</v>
      </c>
      <c r="K1255" s="9">
        <v>30</v>
      </c>
      <c r="L1255" s="50" t="s">
        <v>833</v>
      </c>
      <c r="M1255">
        <v>1</v>
      </c>
      <c r="N1255">
        <v>1</v>
      </c>
      <c r="O1255">
        <v>2</v>
      </c>
      <c r="P1255">
        <v>1</v>
      </c>
      <c r="Q1255">
        <v>2</v>
      </c>
      <c r="R1255">
        <v>2</v>
      </c>
      <c r="S1255">
        <v>1</v>
      </c>
      <c r="T1255">
        <v>-2</v>
      </c>
      <c r="U1255">
        <v>1</v>
      </c>
      <c r="V1255" t="s">
        <v>983</v>
      </c>
      <c r="W1255" t="s">
        <v>989</v>
      </c>
      <c r="X1255" t="s">
        <v>997</v>
      </c>
      <c r="Y1255" t="s">
        <v>1000</v>
      </c>
      <c r="Z1255">
        <v>0</v>
      </c>
      <c r="AA1255">
        <f t="shared" si="380"/>
        <v>1</v>
      </c>
      <c r="AB1255">
        <f t="shared" si="381"/>
        <v>1</v>
      </c>
      <c r="AC1255">
        <f t="shared" si="382"/>
        <v>1</v>
      </c>
      <c r="AD1255">
        <f t="shared" si="383"/>
        <v>1</v>
      </c>
      <c r="AE1255">
        <f t="shared" si="384"/>
        <v>1</v>
      </c>
      <c r="AF1255">
        <f t="shared" si="385"/>
        <v>1</v>
      </c>
      <c r="AG1255">
        <f t="shared" si="386"/>
        <v>1</v>
      </c>
      <c r="AH1255">
        <f t="shared" si="387"/>
        <v>0</v>
      </c>
      <c r="AI1255">
        <f t="shared" si="388"/>
        <v>1</v>
      </c>
      <c r="AJ1255" s="9">
        <f t="shared" si="389"/>
        <v>30</v>
      </c>
      <c r="AK1255">
        <f t="shared" si="390"/>
        <v>0</v>
      </c>
      <c r="AL1255" s="9">
        <v>1</v>
      </c>
    </row>
    <row r="1256" spans="1:38" x14ac:dyDescent="0.35">
      <c r="A1256" s="50">
        <v>0</v>
      </c>
      <c r="B1256" s="9" t="s">
        <v>166</v>
      </c>
      <c r="C1256" s="53">
        <v>43896</v>
      </c>
      <c r="D1256" s="53">
        <v>43906</v>
      </c>
      <c r="E1256" s="53">
        <v>43971</v>
      </c>
      <c r="F1256" s="21">
        <f t="shared" si="378"/>
        <v>65</v>
      </c>
      <c r="G1256" s="53">
        <v>43906</v>
      </c>
      <c r="H1256" s="9">
        <v>2020</v>
      </c>
      <c r="I1256" s="50">
        <v>0</v>
      </c>
      <c r="J1256" s="9">
        <v>7</v>
      </c>
      <c r="K1256" s="9">
        <v>30</v>
      </c>
      <c r="L1256" s="50" t="s">
        <v>835</v>
      </c>
      <c r="M1256">
        <v>1</v>
      </c>
      <c r="N1256">
        <v>1</v>
      </c>
      <c r="O1256">
        <v>2</v>
      </c>
      <c r="P1256">
        <v>1</v>
      </c>
      <c r="Q1256">
        <v>2</v>
      </c>
      <c r="R1256">
        <v>2</v>
      </c>
      <c r="S1256">
        <v>1</v>
      </c>
      <c r="T1256">
        <v>-2</v>
      </c>
      <c r="U1256">
        <v>1</v>
      </c>
      <c r="V1256" t="s">
        <v>983</v>
      </c>
      <c r="W1256" t="s">
        <v>989</v>
      </c>
      <c r="X1256" t="s">
        <v>997</v>
      </c>
      <c r="Y1256" t="s">
        <v>1000</v>
      </c>
      <c r="Z1256">
        <v>0</v>
      </c>
      <c r="AA1256">
        <f t="shared" si="380"/>
        <v>1</v>
      </c>
      <c r="AB1256">
        <f t="shared" si="381"/>
        <v>1</v>
      </c>
      <c r="AC1256">
        <f t="shared" si="382"/>
        <v>1</v>
      </c>
      <c r="AD1256">
        <f t="shared" si="383"/>
        <v>1</v>
      </c>
      <c r="AE1256">
        <f t="shared" si="384"/>
        <v>1</v>
      </c>
      <c r="AF1256">
        <f t="shared" si="385"/>
        <v>1</v>
      </c>
      <c r="AG1256">
        <f t="shared" si="386"/>
        <v>1</v>
      </c>
      <c r="AH1256">
        <f t="shared" si="387"/>
        <v>0</v>
      </c>
      <c r="AI1256">
        <f t="shared" si="388"/>
        <v>1</v>
      </c>
      <c r="AJ1256" s="9">
        <f t="shared" si="389"/>
        <v>30</v>
      </c>
      <c r="AK1256">
        <f t="shared" si="390"/>
        <v>0</v>
      </c>
      <c r="AL1256" s="9">
        <v>1</v>
      </c>
    </row>
    <row r="1257" spans="1:38" x14ac:dyDescent="0.35">
      <c r="A1257" s="50">
        <v>0</v>
      </c>
      <c r="B1257" s="9" t="s">
        <v>166</v>
      </c>
      <c r="C1257" s="53">
        <v>43896</v>
      </c>
      <c r="D1257" s="53">
        <v>43906</v>
      </c>
      <c r="E1257" s="53">
        <v>43971</v>
      </c>
      <c r="F1257" s="21">
        <f t="shared" si="378"/>
        <v>65</v>
      </c>
      <c r="G1257" s="53">
        <v>43906</v>
      </c>
      <c r="H1257" s="9">
        <v>2020</v>
      </c>
      <c r="I1257" s="50">
        <v>0</v>
      </c>
      <c r="J1257" s="9">
        <v>1</v>
      </c>
      <c r="K1257" s="9">
        <v>6</v>
      </c>
      <c r="L1257" s="50" t="s">
        <v>849</v>
      </c>
      <c r="M1257">
        <v>2</v>
      </c>
      <c r="N1257">
        <v>2</v>
      </c>
      <c r="O1257">
        <v>-2</v>
      </c>
      <c r="P1257">
        <v>2</v>
      </c>
      <c r="Q1257">
        <v>2</v>
      </c>
      <c r="R1257">
        <v>2</v>
      </c>
      <c r="S1257">
        <v>1</v>
      </c>
      <c r="T1257">
        <v>2</v>
      </c>
      <c r="U1257">
        <v>1</v>
      </c>
      <c r="V1257" t="s">
        <v>983</v>
      </c>
      <c r="W1257" t="s">
        <v>989</v>
      </c>
      <c r="X1257" t="s">
        <v>997</v>
      </c>
      <c r="Y1257" t="s">
        <v>1000</v>
      </c>
      <c r="Z1257">
        <v>0</v>
      </c>
      <c r="AA1257">
        <f t="shared" si="380"/>
        <v>1</v>
      </c>
      <c r="AB1257">
        <f t="shared" si="381"/>
        <v>1</v>
      </c>
      <c r="AC1257">
        <f t="shared" si="382"/>
        <v>0</v>
      </c>
      <c r="AD1257">
        <f t="shared" si="383"/>
        <v>1</v>
      </c>
      <c r="AE1257">
        <f t="shared" si="384"/>
        <v>1</v>
      </c>
      <c r="AF1257">
        <f t="shared" si="385"/>
        <v>1</v>
      </c>
      <c r="AG1257">
        <f t="shared" si="386"/>
        <v>1</v>
      </c>
      <c r="AH1257">
        <f t="shared" si="387"/>
        <v>1</v>
      </c>
      <c r="AI1257">
        <f t="shared" si="388"/>
        <v>1</v>
      </c>
      <c r="AJ1257" s="9">
        <f t="shared" ref="AJ1257:AJ1309" si="391">IF(ISNUMBER(K1257),K1257,IF(OR(K1257="general",K1257="23;general"),"General",IF(OR(K1257="exemption",K1257="other (exemption)"),"Tax exemption/waiver/suspension","Other")))</f>
        <v>6</v>
      </c>
      <c r="AK1257">
        <f t="shared" si="390"/>
        <v>0</v>
      </c>
      <c r="AL1257" s="9">
        <v>1</v>
      </c>
    </row>
    <row r="1258" spans="1:38" x14ac:dyDescent="0.35">
      <c r="A1258" s="50">
        <v>0</v>
      </c>
      <c r="B1258" s="9" t="s">
        <v>166</v>
      </c>
      <c r="C1258" s="53">
        <v>43896</v>
      </c>
      <c r="D1258" s="53">
        <v>43906</v>
      </c>
      <c r="E1258" s="53">
        <v>43971</v>
      </c>
      <c r="F1258" s="21">
        <f t="shared" si="378"/>
        <v>65</v>
      </c>
      <c r="G1258" s="53">
        <v>43906</v>
      </c>
      <c r="H1258" s="9">
        <v>2020</v>
      </c>
      <c r="I1258" s="50">
        <v>0</v>
      </c>
      <c r="J1258" s="9">
        <v>2</v>
      </c>
      <c r="K1258" s="9">
        <v>13</v>
      </c>
      <c r="L1258" s="50" t="s">
        <v>843</v>
      </c>
      <c r="M1258">
        <v>-2</v>
      </c>
      <c r="N1258">
        <v>2</v>
      </c>
      <c r="O1258">
        <v>2</v>
      </c>
      <c r="P1258">
        <v>2</v>
      </c>
      <c r="Q1258">
        <v>2</v>
      </c>
      <c r="R1258">
        <v>2</v>
      </c>
      <c r="S1258">
        <v>1</v>
      </c>
      <c r="T1258">
        <v>2</v>
      </c>
      <c r="U1258">
        <v>1</v>
      </c>
      <c r="V1258" t="s">
        <v>983</v>
      </c>
      <c r="W1258" t="s">
        <v>989</v>
      </c>
      <c r="X1258" t="s">
        <v>997</v>
      </c>
      <c r="Y1258" t="s">
        <v>1000</v>
      </c>
      <c r="Z1258">
        <v>0</v>
      </c>
      <c r="AA1258">
        <f t="shared" si="380"/>
        <v>0</v>
      </c>
      <c r="AB1258">
        <f t="shared" si="381"/>
        <v>1</v>
      </c>
      <c r="AC1258">
        <f t="shared" si="382"/>
        <v>1</v>
      </c>
      <c r="AD1258">
        <f t="shared" si="383"/>
        <v>1</v>
      </c>
      <c r="AE1258">
        <f t="shared" si="384"/>
        <v>1</v>
      </c>
      <c r="AF1258">
        <f t="shared" si="385"/>
        <v>1</v>
      </c>
      <c r="AG1258">
        <f t="shared" si="386"/>
        <v>1</v>
      </c>
      <c r="AH1258">
        <f t="shared" si="387"/>
        <v>1</v>
      </c>
      <c r="AI1258">
        <f t="shared" si="388"/>
        <v>1</v>
      </c>
      <c r="AJ1258" s="9">
        <f t="shared" si="391"/>
        <v>13</v>
      </c>
      <c r="AK1258">
        <f t="shared" si="390"/>
        <v>0</v>
      </c>
      <c r="AL1258" s="9">
        <v>1</v>
      </c>
    </row>
    <row r="1259" spans="1:38" x14ac:dyDescent="0.35">
      <c r="A1259" s="50">
        <v>0</v>
      </c>
      <c r="B1259" s="9" t="s">
        <v>166</v>
      </c>
      <c r="C1259" s="53">
        <v>43896</v>
      </c>
      <c r="D1259" s="53">
        <v>43906</v>
      </c>
      <c r="E1259" s="53">
        <v>43971</v>
      </c>
      <c r="F1259" s="21">
        <f t="shared" si="378"/>
        <v>65</v>
      </c>
      <c r="G1259" s="53">
        <v>43906</v>
      </c>
      <c r="H1259" s="9">
        <v>2020</v>
      </c>
      <c r="I1259" s="50">
        <v>0</v>
      </c>
      <c r="J1259" s="9">
        <v>6</v>
      </c>
      <c r="K1259" s="9">
        <v>29</v>
      </c>
      <c r="L1259" s="50" t="s">
        <v>1788</v>
      </c>
      <c r="M1259">
        <v>1</v>
      </c>
      <c r="N1259">
        <v>1</v>
      </c>
      <c r="O1259">
        <v>2</v>
      </c>
      <c r="P1259">
        <v>-1</v>
      </c>
      <c r="Q1259">
        <v>2</v>
      </c>
      <c r="R1259">
        <v>2</v>
      </c>
      <c r="S1259">
        <v>1</v>
      </c>
      <c r="T1259">
        <v>-2</v>
      </c>
      <c r="U1259">
        <v>1</v>
      </c>
      <c r="V1259" t="s">
        <v>983</v>
      </c>
      <c r="W1259" t="s">
        <v>989</v>
      </c>
      <c r="X1259" t="s">
        <v>997</v>
      </c>
      <c r="Y1259" t="s">
        <v>1000</v>
      </c>
      <c r="Z1259">
        <v>0</v>
      </c>
      <c r="AA1259">
        <f t="shared" si="380"/>
        <v>1</v>
      </c>
      <c r="AB1259">
        <f t="shared" si="381"/>
        <v>1</v>
      </c>
      <c r="AC1259">
        <f t="shared" si="382"/>
        <v>1</v>
      </c>
      <c r="AD1259">
        <f t="shared" si="383"/>
        <v>0</v>
      </c>
      <c r="AE1259">
        <f t="shared" si="384"/>
        <v>1</v>
      </c>
      <c r="AF1259">
        <f t="shared" si="385"/>
        <v>1</v>
      </c>
      <c r="AG1259">
        <f t="shared" si="386"/>
        <v>1</v>
      </c>
      <c r="AH1259">
        <f t="shared" si="387"/>
        <v>0</v>
      </c>
      <c r="AI1259">
        <f t="shared" si="388"/>
        <v>1</v>
      </c>
      <c r="AJ1259" s="9">
        <f t="shared" si="391"/>
        <v>29</v>
      </c>
      <c r="AK1259">
        <f t="shared" si="390"/>
        <v>0</v>
      </c>
      <c r="AL1259" s="9">
        <v>1</v>
      </c>
    </row>
    <row r="1260" spans="1:38" x14ac:dyDescent="0.35">
      <c r="A1260" s="50">
        <v>0</v>
      </c>
      <c r="B1260" s="9" t="s">
        <v>166</v>
      </c>
      <c r="C1260" s="53">
        <v>43896</v>
      </c>
      <c r="D1260" s="53">
        <v>43906</v>
      </c>
      <c r="E1260" s="53">
        <v>43971</v>
      </c>
      <c r="F1260" s="21">
        <f t="shared" si="378"/>
        <v>65</v>
      </c>
      <c r="G1260" s="53">
        <v>43906</v>
      </c>
      <c r="H1260" s="9">
        <v>2020</v>
      </c>
      <c r="I1260" s="50">
        <v>0</v>
      </c>
      <c r="J1260" s="9">
        <v>9</v>
      </c>
      <c r="K1260" s="9">
        <v>34</v>
      </c>
      <c r="L1260" s="50" t="s">
        <v>834</v>
      </c>
      <c r="M1260">
        <v>2</v>
      </c>
      <c r="N1260">
        <v>1</v>
      </c>
      <c r="Q1260">
        <v>2</v>
      </c>
      <c r="R1260">
        <v>2</v>
      </c>
      <c r="S1260">
        <v>1</v>
      </c>
      <c r="U1260">
        <v>1</v>
      </c>
      <c r="V1260" t="s">
        <v>983</v>
      </c>
      <c r="W1260" t="s">
        <v>989</v>
      </c>
      <c r="X1260" t="s">
        <v>997</v>
      </c>
      <c r="Y1260" t="s">
        <v>1000</v>
      </c>
      <c r="Z1260">
        <v>0</v>
      </c>
      <c r="AA1260">
        <f t="shared" si="380"/>
        <v>1</v>
      </c>
      <c r="AB1260">
        <f t="shared" si="381"/>
        <v>1</v>
      </c>
      <c r="AC1260">
        <f t="shared" si="382"/>
        <v>-1</v>
      </c>
      <c r="AD1260">
        <f t="shared" si="383"/>
        <v>-1</v>
      </c>
      <c r="AE1260">
        <f t="shared" si="384"/>
        <v>1</v>
      </c>
      <c r="AF1260">
        <f t="shared" si="385"/>
        <v>1</v>
      </c>
      <c r="AG1260">
        <f t="shared" si="386"/>
        <v>1</v>
      </c>
      <c r="AH1260">
        <f t="shared" si="387"/>
        <v>-1</v>
      </c>
      <c r="AI1260">
        <f t="shared" si="388"/>
        <v>1</v>
      </c>
      <c r="AJ1260" s="9">
        <f t="shared" si="391"/>
        <v>34</v>
      </c>
      <c r="AK1260">
        <f t="shared" si="390"/>
        <v>0</v>
      </c>
      <c r="AL1260" s="9">
        <v>1</v>
      </c>
    </row>
    <row r="1261" spans="1:38" x14ac:dyDescent="0.35">
      <c r="A1261" s="50">
        <v>0</v>
      </c>
      <c r="B1261" s="9" t="s">
        <v>166</v>
      </c>
      <c r="C1261" s="53">
        <v>43896</v>
      </c>
      <c r="D1261" s="53">
        <v>43906</v>
      </c>
      <c r="E1261" s="53">
        <v>43971</v>
      </c>
      <c r="F1261" s="21">
        <f t="shared" si="378"/>
        <v>65</v>
      </c>
      <c r="G1261" s="53">
        <v>43906</v>
      </c>
      <c r="H1261" s="9">
        <v>2020</v>
      </c>
      <c r="I1261" s="50">
        <v>0</v>
      </c>
      <c r="J1261" s="9">
        <v>6</v>
      </c>
      <c r="K1261" s="9">
        <v>29</v>
      </c>
      <c r="L1261" s="50" t="s">
        <v>841</v>
      </c>
      <c r="M1261">
        <v>1</v>
      </c>
      <c r="N1261">
        <v>1</v>
      </c>
      <c r="O1261">
        <v>-2</v>
      </c>
      <c r="P1261">
        <v>-1</v>
      </c>
      <c r="Q1261">
        <v>-2</v>
      </c>
      <c r="R1261">
        <v>2</v>
      </c>
      <c r="S1261">
        <v>1</v>
      </c>
      <c r="T1261">
        <v>2</v>
      </c>
      <c r="U1261">
        <v>1</v>
      </c>
      <c r="V1261" t="s">
        <v>983</v>
      </c>
      <c r="W1261" t="s">
        <v>989</v>
      </c>
      <c r="X1261" t="s">
        <v>997</v>
      </c>
      <c r="Y1261" t="s">
        <v>1000</v>
      </c>
      <c r="Z1261">
        <v>0</v>
      </c>
      <c r="AA1261">
        <f t="shared" si="380"/>
        <v>1</v>
      </c>
      <c r="AB1261">
        <f t="shared" si="381"/>
        <v>1</v>
      </c>
      <c r="AC1261">
        <f t="shared" si="382"/>
        <v>0</v>
      </c>
      <c r="AD1261">
        <f t="shared" si="383"/>
        <v>0</v>
      </c>
      <c r="AE1261">
        <f t="shared" si="384"/>
        <v>0</v>
      </c>
      <c r="AF1261">
        <f t="shared" si="385"/>
        <v>1</v>
      </c>
      <c r="AG1261">
        <f t="shared" si="386"/>
        <v>1</v>
      </c>
      <c r="AH1261">
        <f t="shared" si="387"/>
        <v>1</v>
      </c>
      <c r="AI1261">
        <f t="shared" si="388"/>
        <v>1</v>
      </c>
      <c r="AJ1261" s="9">
        <f t="shared" si="391"/>
        <v>29</v>
      </c>
      <c r="AK1261" t="e">
        <f>IF(B1261&lt;&gt;#REF!,1,0)</f>
        <v>#REF!</v>
      </c>
      <c r="AL1261" s="9">
        <v>1</v>
      </c>
    </row>
    <row r="1262" spans="1:38" x14ac:dyDescent="0.35">
      <c r="A1262" s="50">
        <v>0</v>
      </c>
      <c r="B1262" s="9" t="s">
        <v>166</v>
      </c>
      <c r="C1262" s="53">
        <v>43896</v>
      </c>
      <c r="D1262" s="53">
        <v>43906</v>
      </c>
      <c r="E1262" s="53">
        <v>43971</v>
      </c>
      <c r="F1262" s="21">
        <f t="shared" si="378"/>
        <v>65</v>
      </c>
      <c r="G1262" s="53">
        <v>43906</v>
      </c>
      <c r="H1262" s="9">
        <v>2020</v>
      </c>
      <c r="I1262" s="50">
        <v>0</v>
      </c>
      <c r="J1262" s="9">
        <v>1</v>
      </c>
      <c r="K1262" s="9">
        <v>12</v>
      </c>
      <c r="L1262" s="50" t="s">
        <v>837</v>
      </c>
      <c r="M1262">
        <v>-2</v>
      </c>
      <c r="N1262">
        <v>2</v>
      </c>
      <c r="O1262">
        <v>-2</v>
      </c>
      <c r="P1262">
        <v>-1</v>
      </c>
      <c r="Q1262">
        <v>-2</v>
      </c>
      <c r="R1262">
        <v>2</v>
      </c>
      <c r="S1262">
        <v>2</v>
      </c>
      <c r="T1262">
        <v>2</v>
      </c>
      <c r="U1262">
        <v>1</v>
      </c>
      <c r="V1262" t="s">
        <v>983</v>
      </c>
      <c r="W1262" t="s">
        <v>989</v>
      </c>
      <c r="X1262" t="s">
        <v>997</v>
      </c>
      <c r="Y1262" t="s">
        <v>1000</v>
      </c>
      <c r="Z1262">
        <v>0</v>
      </c>
      <c r="AA1262">
        <f t="shared" si="380"/>
        <v>0</v>
      </c>
      <c r="AB1262">
        <f t="shared" si="381"/>
        <v>1</v>
      </c>
      <c r="AC1262">
        <f t="shared" si="382"/>
        <v>0</v>
      </c>
      <c r="AD1262">
        <f t="shared" si="383"/>
        <v>0</v>
      </c>
      <c r="AE1262">
        <f t="shared" si="384"/>
        <v>0</v>
      </c>
      <c r="AF1262">
        <f t="shared" si="385"/>
        <v>1</v>
      </c>
      <c r="AG1262">
        <f t="shared" si="386"/>
        <v>1</v>
      </c>
      <c r="AH1262">
        <f t="shared" si="387"/>
        <v>1</v>
      </c>
      <c r="AI1262">
        <f t="shared" si="388"/>
        <v>1</v>
      </c>
      <c r="AJ1262" s="9">
        <f t="shared" si="391"/>
        <v>12</v>
      </c>
      <c r="AK1262">
        <f t="shared" si="390"/>
        <v>0</v>
      </c>
      <c r="AL1262" s="9">
        <v>1</v>
      </c>
    </row>
    <row r="1263" spans="1:38" x14ac:dyDescent="0.35">
      <c r="A1263" s="50">
        <v>0</v>
      </c>
      <c r="B1263" s="9" t="s">
        <v>166</v>
      </c>
      <c r="C1263" s="53">
        <v>43896</v>
      </c>
      <c r="D1263" s="53">
        <v>43906</v>
      </c>
      <c r="E1263" s="53">
        <v>43971</v>
      </c>
      <c r="F1263" s="21">
        <f t="shared" si="378"/>
        <v>65</v>
      </c>
      <c r="G1263" s="53">
        <v>43906</v>
      </c>
      <c r="H1263" s="9">
        <v>2020</v>
      </c>
      <c r="I1263" s="50">
        <v>0</v>
      </c>
      <c r="J1263" s="9">
        <v>7</v>
      </c>
      <c r="K1263" s="9">
        <v>30</v>
      </c>
      <c r="L1263" s="50" t="s">
        <v>839</v>
      </c>
      <c r="M1263">
        <v>1</v>
      </c>
      <c r="N1263">
        <v>1</v>
      </c>
      <c r="O1263">
        <v>2</v>
      </c>
      <c r="P1263">
        <v>1</v>
      </c>
      <c r="Q1263">
        <v>2</v>
      </c>
      <c r="R1263">
        <v>2</v>
      </c>
      <c r="S1263">
        <v>1</v>
      </c>
      <c r="T1263">
        <v>-2</v>
      </c>
      <c r="U1263">
        <v>1</v>
      </c>
      <c r="V1263" t="s">
        <v>983</v>
      </c>
      <c r="W1263" t="s">
        <v>989</v>
      </c>
      <c r="X1263" t="s">
        <v>997</v>
      </c>
      <c r="Y1263" t="s">
        <v>1000</v>
      </c>
      <c r="Z1263">
        <v>0</v>
      </c>
      <c r="AA1263">
        <f t="shared" si="380"/>
        <v>1</v>
      </c>
      <c r="AB1263">
        <f t="shared" si="381"/>
        <v>1</v>
      </c>
      <c r="AC1263">
        <f t="shared" si="382"/>
        <v>1</v>
      </c>
      <c r="AD1263">
        <f t="shared" si="383"/>
        <v>1</v>
      </c>
      <c r="AE1263">
        <f t="shared" si="384"/>
        <v>1</v>
      </c>
      <c r="AF1263">
        <f t="shared" si="385"/>
        <v>1</v>
      </c>
      <c r="AG1263">
        <f t="shared" si="386"/>
        <v>1</v>
      </c>
      <c r="AH1263">
        <f t="shared" si="387"/>
        <v>0</v>
      </c>
      <c r="AI1263">
        <f t="shared" si="388"/>
        <v>1</v>
      </c>
      <c r="AJ1263" s="9">
        <f t="shared" si="391"/>
        <v>30</v>
      </c>
      <c r="AK1263">
        <f t="shared" si="390"/>
        <v>0</v>
      </c>
      <c r="AL1263" s="9">
        <v>1</v>
      </c>
    </row>
    <row r="1264" spans="1:38" x14ac:dyDescent="0.35">
      <c r="A1264" s="50">
        <v>0</v>
      </c>
      <c r="B1264" s="9" t="s">
        <v>166</v>
      </c>
      <c r="C1264" s="53">
        <v>43896</v>
      </c>
      <c r="D1264" s="53">
        <v>43906</v>
      </c>
      <c r="E1264" s="53">
        <v>43971</v>
      </c>
      <c r="F1264" s="21">
        <f t="shared" si="378"/>
        <v>65</v>
      </c>
      <c r="G1264" s="53">
        <v>43906</v>
      </c>
      <c r="H1264" s="9">
        <v>2020</v>
      </c>
      <c r="I1264" s="50">
        <v>0</v>
      </c>
      <c r="J1264" s="9">
        <v>1</v>
      </c>
      <c r="K1264" s="9">
        <v>6</v>
      </c>
      <c r="L1264" s="50" t="s">
        <v>840</v>
      </c>
      <c r="M1264">
        <v>1</v>
      </c>
      <c r="N1264">
        <v>1</v>
      </c>
      <c r="O1264">
        <v>2</v>
      </c>
      <c r="P1264">
        <v>1</v>
      </c>
      <c r="Q1264">
        <v>2</v>
      </c>
      <c r="R1264">
        <v>2</v>
      </c>
      <c r="S1264">
        <v>1</v>
      </c>
      <c r="T1264">
        <v>2</v>
      </c>
      <c r="U1264">
        <v>1</v>
      </c>
      <c r="V1264" t="s">
        <v>983</v>
      </c>
      <c r="W1264" t="s">
        <v>989</v>
      </c>
      <c r="X1264" t="s">
        <v>997</v>
      </c>
      <c r="Y1264" t="s">
        <v>1000</v>
      </c>
      <c r="Z1264">
        <v>0</v>
      </c>
      <c r="AA1264">
        <f t="shared" si="380"/>
        <v>1</v>
      </c>
      <c r="AB1264">
        <f t="shared" si="381"/>
        <v>1</v>
      </c>
      <c r="AC1264">
        <f t="shared" si="382"/>
        <v>1</v>
      </c>
      <c r="AD1264">
        <f t="shared" si="383"/>
        <v>1</v>
      </c>
      <c r="AE1264">
        <f t="shared" si="384"/>
        <v>1</v>
      </c>
      <c r="AF1264">
        <f t="shared" si="385"/>
        <v>1</v>
      </c>
      <c r="AG1264">
        <f t="shared" si="386"/>
        <v>1</v>
      </c>
      <c r="AH1264">
        <f t="shared" si="387"/>
        <v>1</v>
      </c>
      <c r="AI1264">
        <f t="shared" si="388"/>
        <v>1</v>
      </c>
      <c r="AJ1264" s="9">
        <f t="shared" si="391"/>
        <v>6</v>
      </c>
      <c r="AK1264">
        <f t="shared" si="390"/>
        <v>0</v>
      </c>
      <c r="AL1264" s="9">
        <v>1</v>
      </c>
    </row>
    <row r="1265" spans="1:38" x14ac:dyDescent="0.35">
      <c r="A1265" s="50">
        <v>0</v>
      </c>
      <c r="B1265" s="9" t="s">
        <v>166</v>
      </c>
      <c r="C1265" s="53">
        <v>43896</v>
      </c>
      <c r="D1265" s="53">
        <v>43906</v>
      </c>
      <c r="E1265" s="53">
        <v>43971</v>
      </c>
      <c r="F1265" s="21">
        <f t="shared" si="378"/>
        <v>65</v>
      </c>
      <c r="G1265" s="53">
        <v>43906</v>
      </c>
      <c r="H1265" s="9">
        <v>2020</v>
      </c>
      <c r="I1265" s="50">
        <v>0</v>
      </c>
      <c r="J1265" s="9">
        <v>1</v>
      </c>
      <c r="K1265" s="9">
        <v>10</v>
      </c>
      <c r="L1265" s="50" t="s">
        <v>836</v>
      </c>
      <c r="M1265">
        <v>2</v>
      </c>
      <c r="N1265">
        <v>2</v>
      </c>
      <c r="O1265">
        <v>-2</v>
      </c>
      <c r="P1265">
        <v>2</v>
      </c>
      <c r="Q1265">
        <v>2</v>
      </c>
      <c r="R1265">
        <v>2</v>
      </c>
      <c r="S1265">
        <v>1</v>
      </c>
      <c r="T1265">
        <v>2</v>
      </c>
      <c r="U1265">
        <v>1</v>
      </c>
      <c r="V1265" t="s">
        <v>983</v>
      </c>
      <c r="W1265" t="s">
        <v>989</v>
      </c>
      <c r="X1265" t="s">
        <v>997</v>
      </c>
      <c r="Y1265" t="s">
        <v>1000</v>
      </c>
      <c r="Z1265">
        <v>0</v>
      </c>
      <c r="AA1265">
        <f t="shared" si="380"/>
        <v>1</v>
      </c>
      <c r="AB1265">
        <f t="shared" si="381"/>
        <v>1</v>
      </c>
      <c r="AC1265">
        <f t="shared" si="382"/>
        <v>0</v>
      </c>
      <c r="AD1265">
        <f t="shared" si="383"/>
        <v>1</v>
      </c>
      <c r="AE1265">
        <f t="shared" si="384"/>
        <v>1</v>
      </c>
      <c r="AF1265">
        <f t="shared" si="385"/>
        <v>1</v>
      </c>
      <c r="AG1265">
        <f t="shared" si="386"/>
        <v>1</v>
      </c>
      <c r="AH1265">
        <f t="shared" si="387"/>
        <v>1</v>
      </c>
      <c r="AI1265">
        <f t="shared" si="388"/>
        <v>1</v>
      </c>
      <c r="AJ1265" s="9">
        <f t="shared" si="391"/>
        <v>10</v>
      </c>
      <c r="AK1265">
        <f t="shared" si="390"/>
        <v>0</v>
      </c>
      <c r="AL1265" s="9">
        <v>1</v>
      </c>
    </row>
    <row r="1266" spans="1:38" x14ac:dyDescent="0.35">
      <c r="A1266" s="50">
        <v>0</v>
      </c>
      <c r="B1266" s="9" t="s">
        <v>166</v>
      </c>
      <c r="C1266" s="53">
        <v>43896</v>
      </c>
      <c r="D1266" s="53">
        <v>43906</v>
      </c>
      <c r="E1266" s="53">
        <v>43971</v>
      </c>
      <c r="F1266" s="21">
        <f t="shared" si="378"/>
        <v>65</v>
      </c>
      <c r="G1266" s="53">
        <v>43906</v>
      </c>
      <c r="H1266" s="9">
        <v>2020</v>
      </c>
      <c r="I1266" s="50">
        <v>0</v>
      </c>
      <c r="J1266" s="9">
        <v>1</v>
      </c>
      <c r="K1266" s="9">
        <v>8</v>
      </c>
      <c r="L1266" s="50" t="s">
        <v>844</v>
      </c>
      <c r="M1266">
        <v>-2</v>
      </c>
      <c r="N1266">
        <v>2</v>
      </c>
      <c r="O1266">
        <v>-2</v>
      </c>
      <c r="Q1266">
        <v>2</v>
      </c>
      <c r="R1266">
        <v>-2</v>
      </c>
      <c r="S1266">
        <v>-2</v>
      </c>
      <c r="T1266">
        <v>2</v>
      </c>
      <c r="U1266">
        <v>1</v>
      </c>
      <c r="V1266" t="s">
        <v>983</v>
      </c>
      <c r="W1266" t="s">
        <v>989</v>
      </c>
      <c r="X1266" t="s">
        <v>997</v>
      </c>
      <c r="Y1266" t="s">
        <v>1000</v>
      </c>
      <c r="Z1266">
        <v>0</v>
      </c>
      <c r="AA1266">
        <f t="shared" si="380"/>
        <v>0</v>
      </c>
      <c r="AB1266">
        <f t="shared" si="381"/>
        <v>1</v>
      </c>
      <c r="AC1266">
        <f t="shared" si="382"/>
        <v>0</v>
      </c>
      <c r="AD1266">
        <f t="shared" si="383"/>
        <v>-1</v>
      </c>
      <c r="AE1266">
        <f t="shared" si="384"/>
        <v>1</v>
      </c>
      <c r="AF1266">
        <f t="shared" si="385"/>
        <v>0</v>
      </c>
      <c r="AG1266">
        <f t="shared" si="386"/>
        <v>0</v>
      </c>
      <c r="AH1266">
        <f t="shared" si="387"/>
        <v>1</v>
      </c>
      <c r="AI1266">
        <f t="shared" si="388"/>
        <v>1</v>
      </c>
      <c r="AJ1266" s="9">
        <f t="shared" si="391"/>
        <v>8</v>
      </c>
      <c r="AK1266">
        <f t="shared" si="390"/>
        <v>0</v>
      </c>
      <c r="AL1266" s="9">
        <v>1</v>
      </c>
    </row>
    <row r="1267" spans="1:38" x14ac:dyDescent="0.35">
      <c r="A1267" s="50">
        <v>0</v>
      </c>
      <c r="B1267" s="9" t="s">
        <v>166</v>
      </c>
      <c r="C1267" s="53">
        <v>43896</v>
      </c>
      <c r="D1267" s="53">
        <v>43906</v>
      </c>
      <c r="E1267" s="53">
        <v>43971</v>
      </c>
      <c r="F1267" s="21">
        <f t="shared" si="378"/>
        <v>65</v>
      </c>
      <c r="G1267" s="53">
        <v>43906</v>
      </c>
      <c r="H1267" s="9">
        <v>2020</v>
      </c>
      <c r="I1267" s="50">
        <v>0</v>
      </c>
      <c r="J1267" s="9">
        <v>6</v>
      </c>
      <c r="K1267" s="9">
        <v>28</v>
      </c>
      <c r="L1267" s="50" t="s">
        <v>848</v>
      </c>
      <c r="M1267">
        <v>-2</v>
      </c>
      <c r="N1267">
        <v>1</v>
      </c>
      <c r="O1267">
        <v>2</v>
      </c>
      <c r="P1267">
        <v>-1</v>
      </c>
      <c r="Q1267">
        <v>2</v>
      </c>
      <c r="R1267">
        <v>1</v>
      </c>
      <c r="S1267">
        <v>1</v>
      </c>
      <c r="T1267">
        <v>2</v>
      </c>
      <c r="U1267">
        <v>1</v>
      </c>
      <c r="V1267" t="s">
        <v>983</v>
      </c>
      <c r="W1267" t="s">
        <v>989</v>
      </c>
      <c r="X1267" t="s">
        <v>997</v>
      </c>
      <c r="Y1267" t="s">
        <v>1000</v>
      </c>
      <c r="Z1267">
        <v>0</v>
      </c>
      <c r="AA1267">
        <f t="shared" si="380"/>
        <v>0</v>
      </c>
      <c r="AB1267">
        <f t="shared" si="381"/>
        <v>1</v>
      </c>
      <c r="AC1267">
        <f t="shared" si="382"/>
        <v>1</v>
      </c>
      <c r="AD1267">
        <f t="shared" si="383"/>
        <v>0</v>
      </c>
      <c r="AE1267">
        <f t="shared" si="384"/>
        <v>1</v>
      </c>
      <c r="AF1267">
        <f t="shared" si="385"/>
        <v>1</v>
      </c>
      <c r="AG1267">
        <f t="shared" si="386"/>
        <v>1</v>
      </c>
      <c r="AH1267">
        <f t="shared" si="387"/>
        <v>1</v>
      </c>
      <c r="AI1267">
        <f t="shared" si="388"/>
        <v>1</v>
      </c>
      <c r="AJ1267" s="9">
        <f t="shared" si="391"/>
        <v>28</v>
      </c>
      <c r="AK1267">
        <f t="shared" si="390"/>
        <v>0</v>
      </c>
      <c r="AL1267" s="9">
        <v>1</v>
      </c>
    </row>
    <row r="1268" spans="1:38" x14ac:dyDescent="0.35">
      <c r="A1268" s="50">
        <v>0</v>
      </c>
      <c r="B1268" s="9" t="s">
        <v>166</v>
      </c>
      <c r="C1268" s="53">
        <v>43896</v>
      </c>
      <c r="D1268" s="53">
        <v>43906</v>
      </c>
      <c r="E1268" s="53">
        <v>43971</v>
      </c>
      <c r="F1268" s="21">
        <f t="shared" si="378"/>
        <v>65</v>
      </c>
      <c r="G1268" s="53">
        <v>43906</v>
      </c>
      <c r="H1268" s="9">
        <v>2020</v>
      </c>
      <c r="I1268" s="50">
        <v>0</v>
      </c>
      <c r="J1268" s="9">
        <v>6</v>
      </c>
      <c r="K1268" s="9">
        <v>27</v>
      </c>
      <c r="L1268" s="50" t="s">
        <v>846</v>
      </c>
      <c r="M1268">
        <v>2</v>
      </c>
      <c r="N1268">
        <v>1</v>
      </c>
      <c r="O1268">
        <v>2</v>
      </c>
      <c r="P1268">
        <v>-1</v>
      </c>
      <c r="Q1268">
        <v>2</v>
      </c>
      <c r="R1268">
        <v>2</v>
      </c>
      <c r="S1268">
        <v>1</v>
      </c>
      <c r="T1268">
        <v>2</v>
      </c>
      <c r="U1268">
        <v>1</v>
      </c>
      <c r="V1268" t="s">
        <v>983</v>
      </c>
      <c r="W1268" t="s">
        <v>989</v>
      </c>
      <c r="X1268" t="s">
        <v>997</v>
      </c>
      <c r="Y1268" t="s">
        <v>1000</v>
      </c>
      <c r="Z1268">
        <v>0</v>
      </c>
      <c r="AA1268">
        <f t="shared" si="380"/>
        <v>1</v>
      </c>
      <c r="AB1268">
        <f t="shared" si="381"/>
        <v>1</v>
      </c>
      <c r="AC1268">
        <f t="shared" si="382"/>
        <v>1</v>
      </c>
      <c r="AD1268">
        <f t="shared" si="383"/>
        <v>0</v>
      </c>
      <c r="AE1268">
        <f t="shared" si="384"/>
        <v>1</v>
      </c>
      <c r="AF1268">
        <f t="shared" si="385"/>
        <v>1</v>
      </c>
      <c r="AG1268">
        <f t="shared" si="386"/>
        <v>1</v>
      </c>
      <c r="AH1268">
        <f t="shared" si="387"/>
        <v>1</v>
      </c>
      <c r="AI1268">
        <f t="shared" si="388"/>
        <v>1</v>
      </c>
      <c r="AJ1268" s="9">
        <f t="shared" si="391"/>
        <v>27</v>
      </c>
      <c r="AK1268">
        <f t="shared" si="390"/>
        <v>0</v>
      </c>
      <c r="AL1268" s="9">
        <v>0</v>
      </c>
    </row>
    <row r="1269" spans="1:38" x14ac:dyDescent="0.35">
      <c r="A1269" s="50">
        <v>0</v>
      </c>
      <c r="B1269" s="9" t="s">
        <v>166</v>
      </c>
      <c r="C1269" s="53">
        <v>43896</v>
      </c>
      <c r="D1269" s="53">
        <v>43906</v>
      </c>
      <c r="E1269" s="53">
        <v>43971</v>
      </c>
      <c r="F1269" s="21">
        <f t="shared" si="378"/>
        <v>65</v>
      </c>
      <c r="G1269" s="53">
        <v>43906</v>
      </c>
      <c r="H1269" s="9">
        <v>2020</v>
      </c>
      <c r="I1269" s="50">
        <v>0</v>
      </c>
      <c r="J1269" s="9">
        <v>2</v>
      </c>
      <c r="K1269" s="9">
        <v>14</v>
      </c>
      <c r="L1269" s="50" t="s">
        <v>847</v>
      </c>
      <c r="M1269">
        <v>-2</v>
      </c>
      <c r="N1269">
        <v>2</v>
      </c>
      <c r="O1269">
        <v>-2</v>
      </c>
      <c r="Q1269">
        <v>2</v>
      </c>
      <c r="R1269">
        <v>-2</v>
      </c>
      <c r="S1269">
        <v>-2</v>
      </c>
      <c r="T1269">
        <v>2</v>
      </c>
      <c r="U1269">
        <v>1</v>
      </c>
      <c r="V1269" t="s">
        <v>983</v>
      </c>
      <c r="W1269" t="s">
        <v>989</v>
      </c>
      <c r="X1269" t="s">
        <v>997</v>
      </c>
      <c r="Y1269" t="s">
        <v>1000</v>
      </c>
      <c r="Z1269">
        <v>0</v>
      </c>
      <c r="AA1269">
        <f t="shared" si="380"/>
        <v>0</v>
      </c>
      <c r="AB1269">
        <f t="shared" si="381"/>
        <v>1</v>
      </c>
      <c r="AC1269">
        <f t="shared" si="382"/>
        <v>0</v>
      </c>
      <c r="AD1269">
        <f t="shared" si="383"/>
        <v>-1</v>
      </c>
      <c r="AE1269">
        <f t="shared" si="384"/>
        <v>1</v>
      </c>
      <c r="AF1269">
        <f t="shared" si="385"/>
        <v>0</v>
      </c>
      <c r="AG1269">
        <f t="shared" si="386"/>
        <v>0</v>
      </c>
      <c r="AH1269">
        <f t="shared" si="387"/>
        <v>1</v>
      </c>
      <c r="AI1269">
        <f t="shared" si="388"/>
        <v>1</v>
      </c>
      <c r="AJ1269" s="9">
        <f t="shared" si="391"/>
        <v>14</v>
      </c>
      <c r="AK1269">
        <f t="shared" si="390"/>
        <v>0</v>
      </c>
      <c r="AL1269" s="9">
        <v>0</v>
      </c>
    </row>
    <row r="1270" spans="1:38" x14ac:dyDescent="0.35">
      <c r="A1270" s="50">
        <v>0</v>
      </c>
      <c r="B1270" s="50" t="s">
        <v>166</v>
      </c>
      <c r="C1270" s="53">
        <v>43896</v>
      </c>
      <c r="D1270" s="53">
        <v>43906</v>
      </c>
      <c r="E1270" s="53">
        <v>43971</v>
      </c>
      <c r="F1270" s="21">
        <f t="shared" si="378"/>
        <v>65</v>
      </c>
      <c r="G1270" s="53">
        <v>43906</v>
      </c>
      <c r="H1270" s="9">
        <v>2020</v>
      </c>
      <c r="I1270" s="50">
        <v>0</v>
      </c>
      <c r="J1270" s="50">
        <v>6</v>
      </c>
      <c r="K1270" s="50">
        <v>28</v>
      </c>
      <c r="L1270" s="24" t="s">
        <v>1786</v>
      </c>
      <c r="M1270" s="24"/>
      <c r="V1270" t="s">
        <v>983</v>
      </c>
      <c r="W1270" t="s">
        <v>989</v>
      </c>
      <c r="X1270" t="s">
        <v>997</v>
      </c>
      <c r="Y1270" t="s">
        <v>1000</v>
      </c>
      <c r="Z1270">
        <v>0</v>
      </c>
      <c r="AA1270">
        <v>-1</v>
      </c>
      <c r="AB1270">
        <v>-1</v>
      </c>
      <c r="AC1270">
        <v>-1</v>
      </c>
      <c r="AD1270">
        <v>-1</v>
      </c>
      <c r="AE1270">
        <v>-1</v>
      </c>
      <c r="AF1270">
        <v>-1</v>
      </c>
      <c r="AG1270">
        <v>-1</v>
      </c>
      <c r="AH1270">
        <v>-1</v>
      </c>
      <c r="AI1270">
        <v>-1</v>
      </c>
      <c r="AJ1270" s="9">
        <f t="shared" si="391"/>
        <v>28</v>
      </c>
      <c r="AK1270">
        <f t="shared" si="390"/>
        <v>0</v>
      </c>
      <c r="AL1270" s="9">
        <v>0</v>
      </c>
    </row>
    <row r="1271" spans="1:38" x14ac:dyDescent="0.35">
      <c r="A1271" s="50">
        <v>0</v>
      </c>
      <c r="B1271" s="50" t="s">
        <v>166</v>
      </c>
      <c r="C1271" s="53">
        <v>43896</v>
      </c>
      <c r="D1271" s="53">
        <v>43906</v>
      </c>
      <c r="E1271" s="53">
        <v>43971</v>
      </c>
      <c r="F1271" s="21">
        <f t="shared" si="378"/>
        <v>65</v>
      </c>
      <c r="G1271" s="53">
        <v>43906</v>
      </c>
      <c r="H1271" s="9">
        <v>2020</v>
      </c>
      <c r="I1271" s="50">
        <v>0</v>
      </c>
      <c r="J1271" s="50">
        <v>6</v>
      </c>
      <c r="K1271" s="50">
        <v>28</v>
      </c>
      <c r="L1271" s="24" t="s">
        <v>1789</v>
      </c>
      <c r="M1271" s="24"/>
      <c r="V1271" t="s">
        <v>983</v>
      </c>
      <c r="W1271" t="s">
        <v>989</v>
      </c>
      <c r="X1271" t="s">
        <v>997</v>
      </c>
      <c r="Y1271" t="s">
        <v>1000</v>
      </c>
      <c r="Z1271">
        <v>0</v>
      </c>
      <c r="AA1271">
        <v>-1</v>
      </c>
      <c r="AB1271">
        <v>-1</v>
      </c>
      <c r="AC1271">
        <v>-1</v>
      </c>
      <c r="AD1271">
        <v>-1</v>
      </c>
      <c r="AE1271">
        <v>-1</v>
      </c>
      <c r="AF1271">
        <v>-1</v>
      </c>
      <c r="AG1271">
        <v>-1</v>
      </c>
      <c r="AH1271">
        <v>-1</v>
      </c>
      <c r="AI1271">
        <v>-1</v>
      </c>
      <c r="AJ1271" s="9">
        <f t="shared" si="391"/>
        <v>28</v>
      </c>
      <c r="AK1271">
        <f t="shared" si="390"/>
        <v>0</v>
      </c>
      <c r="AL1271" s="9">
        <v>0</v>
      </c>
    </row>
    <row r="1272" spans="1:38" x14ac:dyDescent="0.35">
      <c r="A1272" s="50">
        <v>0</v>
      </c>
      <c r="B1272" s="50" t="s">
        <v>166</v>
      </c>
      <c r="C1272" s="53">
        <v>43896</v>
      </c>
      <c r="D1272" s="53">
        <v>43906</v>
      </c>
      <c r="E1272" s="53">
        <v>43971</v>
      </c>
      <c r="F1272" s="21">
        <f t="shared" si="378"/>
        <v>65</v>
      </c>
      <c r="G1272" s="53">
        <v>43906</v>
      </c>
      <c r="H1272" s="9">
        <v>2020</v>
      </c>
      <c r="I1272" s="50">
        <v>0</v>
      </c>
      <c r="J1272" s="50">
        <v>5</v>
      </c>
      <c r="K1272" s="50" t="s">
        <v>204</v>
      </c>
      <c r="L1272" s="24" t="s">
        <v>1787</v>
      </c>
      <c r="M1272" s="24"/>
      <c r="V1272" t="s">
        <v>983</v>
      </c>
      <c r="W1272" t="s">
        <v>989</v>
      </c>
      <c r="X1272" t="s">
        <v>997</v>
      </c>
      <c r="Y1272" t="s">
        <v>1000</v>
      </c>
      <c r="Z1272">
        <v>0</v>
      </c>
      <c r="AA1272">
        <v>-1</v>
      </c>
      <c r="AB1272">
        <v>-1</v>
      </c>
      <c r="AC1272">
        <v>-1</v>
      </c>
      <c r="AD1272">
        <v>-1</v>
      </c>
      <c r="AE1272">
        <v>-1</v>
      </c>
      <c r="AF1272">
        <v>-1</v>
      </c>
      <c r="AG1272">
        <v>-1</v>
      </c>
      <c r="AH1272">
        <v>-1</v>
      </c>
      <c r="AI1272">
        <v>-1</v>
      </c>
      <c r="AJ1272" s="9" t="str">
        <f t="shared" si="391"/>
        <v>General</v>
      </c>
      <c r="AK1272">
        <f t="shared" si="390"/>
        <v>0</v>
      </c>
      <c r="AL1272" s="9">
        <v>0</v>
      </c>
    </row>
    <row r="1273" spans="1:38" x14ac:dyDescent="0.35">
      <c r="A1273" s="50">
        <v>0</v>
      </c>
      <c r="B1273" s="50" t="s">
        <v>166</v>
      </c>
      <c r="C1273" s="53">
        <v>43896</v>
      </c>
      <c r="D1273" s="53">
        <v>43906</v>
      </c>
      <c r="E1273" s="53">
        <v>43971</v>
      </c>
      <c r="F1273" s="21">
        <f t="shared" si="378"/>
        <v>65</v>
      </c>
      <c r="G1273" s="53">
        <v>43906</v>
      </c>
      <c r="H1273" s="9">
        <v>2020</v>
      </c>
      <c r="I1273" s="50">
        <v>0</v>
      </c>
      <c r="J1273" s="50">
        <v>1</v>
      </c>
      <c r="K1273" s="50">
        <v>6</v>
      </c>
      <c r="L1273" s="24" t="s">
        <v>1548</v>
      </c>
      <c r="M1273" s="24"/>
      <c r="V1273" t="s">
        <v>983</v>
      </c>
      <c r="W1273" t="s">
        <v>989</v>
      </c>
      <c r="X1273" t="s">
        <v>997</v>
      </c>
      <c r="Y1273" t="s">
        <v>1000</v>
      </c>
      <c r="Z1273">
        <v>0</v>
      </c>
      <c r="AA1273">
        <v>-1</v>
      </c>
      <c r="AB1273">
        <v>-1</v>
      </c>
      <c r="AC1273">
        <v>-1</v>
      </c>
      <c r="AD1273">
        <v>-1</v>
      </c>
      <c r="AE1273">
        <v>-1</v>
      </c>
      <c r="AF1273">
        <v>-1</v>
      </c>
      <c r="AG1273">
        <v>-1</v>
      </c>
      <c r="AH1273">
        <v>-1</v>
      </c>
      <c r="AI1273">
        <v>-1</v>
      </c>
      <c r="AJ1273" s="9">
        <f t="shared" si="391"/>
        <v>6</v>
      </c>
      <c r="AK1273">
        <f t="shared" si="390"/>
        <v>0</v>
      </c>
      <c r="AL1273" s="9">
        <v>1</v>
      </c>
    </row>
    <row r="1274" spans="1:38" x14ac:dyDescent="0.35">
      <c r="A1274" s="50">
        <v>0</v>
      </c>
      <c r="B1274" s="50" t="s">
        <v>166</v>
      </c>
      <c r="C1274" s="53">
        <v>43896</v>
      </c>
      <c r="D1274" s="53">
        <v>43906</v>
      </c>
      <c r="E1274" s="53">
        <v>43971</v>
      </c>
      <c r="F1274" s="21">
        <f t="shared" si="378"/>
        <v>65</v>
      </c>
      <c r="G1274" s="53">
        <v>43906</v>
      </c>
      <c r="H1274" s="9">
        <v>2020</v>
      </c>
      <c r="I1274" s="50">
        <v>0</v>
      </c>
      <c r="J1274" s="50">
        <v>3</v>
      </c>
      <c r="K1274" s="50" t="s">
        <v>206</v>
      </c>
      <c r="L1274" s="24" t="s">
        <v>1549</v>
      </c>
      <c r="M1274" s="24"/>
      <c r="V1274" t="s">
        <v>983</v>
      </c>
      <c r="W1274" t="s">
        <v>989</v>
      </c>
      <c r="X1274" t="s">
        <v>997</v>
      </c>
      <c r="Y1274" t="s">
        <v>1000</v>
      </c>
      <c r="Z1274">
        <v>0</v>
      </c>
      <c r="AA1274">
        <v>-1</v>
      </c>
      <c r="AB1274">
        <v>-1</v>
      </c>
      <c r="AC1274">
        <v>-1</v>
      </c>
      <c r="AD1274">
        <v>-1</v>
      </c>
      <c r="AE1274">
        <v>-1</v>
      </c>
      <c r="AF1274">
        <v>-1</v>
      </c>
      <c r="AG1274">
        <v>-1</v>
      </c>
      <c r="AH1274">
        <v>-1</v>
      </c>
      <c r="AI1274">
        <v>-1</v>
      </c>
      <c r="AJ1274" s="9" t="str">
        <f t="shared" si="391"/>
        <v>Tax exemption/waiver/suspension</v>
      </c>
      <c r="AK1274">
        <f t="shared" si="390"/>
        <v>0</v>
      </c>
      <c r="AL1274" s="9">
        <v>1</v>
      </c>
    </row>
    <row r="1275" spans="1:38" x14ac:dyDescent="0.35">
      <c r="A1275" s="50">
        <v>0</v>
      </c>
      <c r="B1275" s="50" t="s">
        <v>166</v>
      </c>
      <c r="C1275" s="53">
        <v>43896</v>
      </c>
      <c r="D1275" s="53">
        <v>43906</v>
      </c>
      <c r="E1275" s="53">
        <v>43971</v>
      </c>
      <c r="F1275" s="21">
        <f t="shared" ref="F1275:F1282" si="392">DATEDIF(D1275,E1275,"D")</f>
        <v>65</v>
      </c>
      <c r="G1275" s="53">
        <v>43906</v>
      </c>
      <c r="H1275" s="9">
        <v>2021</v>
      </c>
      <c r="I1275" s="50">
        <v>0</v>
      </c>
      <c r="J1275" s="50">
        <v>6</v>
      </c>
      <c r="K1275" s="50">
        <v>29</v>
      </c>
      <c r="L1275" s="48" t="s">
        <v>2077</v>
      </c>
      <c r="M1275" s="24"/>
      <c r="AJ1275" s="9"/>
      <c r="AL1275" s="9"/>
    </row>
    <row r="1276" spans="1:38" x14ac:dyDescent="0.35">
      <c r="A1276" s="50">
        <v>0</v>
      </c>
      <c r="B1276" s="50" t="s">
        <v>166</v>
      </c>
      <c r="C1276" s="53">
        <v>43896</v>
      </c>
      <c r="D1276" s="53">
        <v>43906</v>
      </c>
      <c r="E1276" s="53">
        <v>43971</v>
      </c>
      <c r="F1276" s="21">
        <f t="shared" si="392"/>
        <v>65</v>
      </c>
      <c r="G1276" s="53">
        <v>43906</v>
      </c>
      <c r="H1276" s="9">
        <v>2021</v>
      </c>
      <c r="I1276" s="50">
        <v>0</v>
      </c>
      <c r="J1276" s="50">
        <v>6</v>
      </c>
      <c r="K1276" s="50">
        <v>27</v>
      </c>
      <c r="L1276" s="48" t="s">
        <v>2076</v>
      </c>
      <c r="M1276" s="24"/>
      <c r="AJ1276" s="9"/>
      <c r="AL1276" s="9"/>
    </row>
    <row r="1277" spans="1:38" x14ac:dyDescent="0.35">
      <c r="A1277" s="50">
        <v>0</v>
      </c>
      <c r="B1277" s="50" t="s">
        <v>166</v>
      </c>
      <c r="C1277" s="53">
        <v>43896</v>
      </c>
      <c r="D1277" s="53">
        <v>43906</v>
      </c>
      <c r="E1277" s="53">
        <v>43971</v>
      </c>
      <c r="F1277" s="21">
        <f t="shared" si="392"/>
        <v>65</v>
      </c>
      <c r="G1277" s="53">
        <v>43906</v>
      </c>
      <c r="H1277" s="9">
        <v>2021</v>
      </c>
      <c r="I1277" s="50">
        <v>0</v>
      </c>
      <c r="J1277" s="50">
        <v>6</v>
      </c>
      <c r="K1277" s="50">
        <v>29</v>
      </c>
      <c r="L1277" s="48" t="s">
        <v>2078</v>
      </c>
      <c r="M1277" s="24"/>
      <c r="AJ1277" s="9"/>
      <c r="AL1277" s="9"/>
    </row>
    <row r="1278" spans="1:38" x14ac:dyDescent="0.35">
      <c r="A1278" s="50">
        <v>0</v>
      </c>
      <c r="B1278" s="50" t="s">
        <v>166</v>
      </c>
      <c r="C1278" s="53">
        <v>43896</v>
      </c>
      <c r="D1278" s="53">
        <v>43906</v>
      </c>
      <c r="E1278" s="53">
        <v>43971</v>
      </c>
      <c r="F1278" s="21">
        <f t="shared" si="392"/>
        <v>65</v>
      </c>
      <c r="G1278" s="53">
        <v>43906</v>
      </c>
      <c r="H1278" s="9">
        <v>2021</v>
      </c>
      <c r="I1278" s="50">
        <v>0</v>
      </c>
      <c r="J1278" s="50">
        <v>6</v>
      </c>
      <c r="K1278" s="50">
        <v>28</v>
      </c>
      <c r="L1278" s="48" t="s">
        <v>2079</v>
      </c>
      <c r="M1278" s="24"/>
      <c r="AJ1278" s="9"/>
      <c r="AL1278" s="9"/>
    </row>
    <row r="1279" spans="1:38" x14ac:dyDescent="0.35">
      <c r="A1279" s="50">
        <v>0</v>
      </c>
      <c r="B1279" s="50" t="s">
        <v>166</v>
      </c>
      <c r="C1279" s="53">
        <v>43896</v>
      </c>
      <c r="D1279" s="53">
        <v>43906</v>
      </c>
      <c r="E1279" s="53">
        <v>43971</v>
      </c>
      <c r="F1279" s="21">
        <f t="shared" si="392"/>
        <v>65</v>
      </c>
      <c r="G1279" s="53">
        <v>43906</v>
      </c>
      <c r="H1279" s="9">
        <v>2021</v>
      </c>
      <c r="I1279" s="50">
        <v>0</v>
      </c>
      <c r="J1279" s="50">
        <v>1</v>
      </c>
      <c r="K1279" s="50">
        <v>6</v>
      </c>
      <c r="L1279" s="48" t="s">
        <v>2080</v>
      </c>
      <c r="M1279" s="24"/>
      <c r="AJ1279" s="9"/>
      <c r="AL1279" s="9"/>
    </row>
    <row r="1280" spans="1:38" x14ac:dyDescent="0.35">
      <c r="A1280" s="50">
        <v>0</v>
      </c>
      <c r="B1280" s="50" t="s">
        <v>166</v>
      </c>
      <c r="C1280" s="53">
        <v>43896</v>
      </c>
      <c r="D1280" s="53">
        <v>43906</v>
      </c>
      <c r="E1280" s="53">
        <v>43971</v>
      </c>
      <c r="F1280" s="21">
        <f t="shared" si="392"/>
        <v>65</v>
      </c>
      <c r="G1280" s="53">
        <v>43906</v>
      </c>
      <c r="H1280" s="9">
        <v>2021</v>
      </c>
      <c r="I1280" s="50">
        <v>0</v>
      </c>
      <c r="J1280" s="50">
        <v>9</v>
      </c>
      <c r="K1280" s="50">
        <v>34</v>
      </c>
      <c r="L1280" s="48" t="s">
        <v>2081</v>
      </c>
      <c r="M1280" s="24"/>
      <c r="AJ1280" s="9"/>
      <c r="AL1280" s="9"/>
    </row>
    <row r="1281" spans="1:38" x14ac:dyDescent="0.35">
      <c r="A1281" s="50">
        <v>0</v>
      </c>
      <c r="B1281" s="50" t="s">
        <v>166</v>
      </c>
      <c r="C1281" s="53">
        <v>43896</v>
      </c>
      <c r="D1281" s="53">
        <v>43906</v>
      </c>
      <c r="E1281" s="53">
        <v>43971</v>
      </c>
      <c r="F1281" s="21">
        <f t="shared" si="392"/>
        <v>65</v>
      </c>
      <c r="G1281" s="53">
        <v>43906</v>
      </c>
      <c r="H1281" s="9">
        <v>2021</v>
      </c>
      <c r="I1281" s="50">
        <v>0</v>
      </c>
      <c r="J1281" s="50">
        <v>9</v>
      </c>
      <c r="K1281" s="50">
        <v>34</v>
      </c>
      <c r="L1281" s="48" t="s">
        <v>2082</v>
      </c>
      <c r="M1281" s="24"/>
      <c r="AJ1281" s="9"/>
      <c r="AL1281" s="9"/>
    </row>
    <row r="1282" spans="1:38" x14ac:dyDescent="0.35">
      <c r="A1282" s="50">
        <v>0</v>
      </c>
      <c r="B1282" s="50" t="s">
        <v>166</v>
      </c>
      <c r="C1282" s="53">
        <v>43896</v>
      </c>
      <c r="D1282" s="53">
        <v>43906</v>
      </c>
      <c r="E1282" s="53">
        <v>43971</v>
      </c>
      <c r="F1282" s="21">
        <f t="shared" si="392"/>
        <v>65</v>
      </c>
      <c r="G1282" s="53">
        <v>43906</v>
      </c>
      <c r="H1282" s="9">
        <v>2021</v>
      </c>
      <c r="I1282" s="50">
        <v>0</v>
      </c>
      <c r="J1282" s="50">
        <v>6</v>
      </c>
      <c r="K1282" s="50">
        <v>27</v>
      </c>
      <c r="L1282" s="48" t="s">
        <v>2083</v>
      </c>
      <c r="M1282" s="24"/>
      <c r="AJ1282" s="9"/>
      <c r="AL1282" s="9"/>
    </row>
    <row r="1283" spans="1:38" x14ac:dyDescent="0.35">
      <c r="A1283" s="50">
        <v>0</v>
      </c>
      <c r="B1283" s="9" t="s">
        <v>167</v>
      </c>
      <c r="C1283" s="53">
        <v>43894</v>
      </c>
      <c r="D1283" s="53">
        <v>43906</v>
      </c>
      <c r="E1283" s="53">
        <v>43969</v>
      </c>
      <c r="F1283" s="21">
        <f t="shared" si="378"/>
        <v>63</v>
      </c>
      <c r="G1283" s="53">
        <v>43906</v>
      </c>
      <c r="H1283" s="9">
        <v>2020</v>
      </c>
      <c r="I1283" s="50">
        <v>0</v>
      </c>
      <c r="J1283" s="9">
        <v>1</v>
      </c>
      <c r="K1283" s="9">
        <v>6</v>
      </c>
      <c r="L1283" s="50" t="s">
        <v>856</v>
      </c>
      <c r="M1283">
        <v>-2</v>
      </c>
      <c r="N1283">
        <v>2</v>
      </c>
      <c r="O1283">
        <v>2</v>
      </c>
      <c r="P1283">
        <v>2</v>
      </c>
      <c r="Q1283">
        <v>2</v>
      </c>
      <c r="R1283">
        <v>2</v>
      </c>
      <c r="S1283">
        <v>1</v>
      </c>
      <c r="T1283">
        <v>2</v>
      </c>
      <c r="U1283">
        <v>1</v>
      </c>
      <c r="V1283" t="s">
        <v>984</v>
      </c>
      <c r="W1283" t="s">
        <v>989</v>
      </c>
      <c r="X1283" t="s">
        <v>997</v>
      </c>
      <c r="Y1283" t="s">
        <v>1000</v>
      </c>
      <c r="Z1283">
        <v>0</v>
      </c>
      <c r="AA1283">
        <f t="shared" ref="AA1283:AA1298" si="393">IF(M1283&gt;0,1,IF(M1283&lt;0,0,-1))</f>
        <v>0</v>
      </c>
      <c r="AB1283">
        <f t="shared" ref="AB1283:AB1298" si="394">IF(N1283&gt;0,1,IF(N1283&lt;0,0,-1))</f>
        <v>1</v>
      </c>
      <c r="AC1283">
        <f t="shared" ref="AC1283:AC1298" si="395">IF(O1283&gt;0,1,IF(O1283&lt;0,0,-1))</f>
        <v>1</v>
      </c>
      <c r="AD1283">
        <f t="shared" ref="AD1283:AD1298" si="396">IF(P1283&gt;0,1,IF(P1283&lt;0,0,-1))</f>
        <v>1</v>
      </c>
      <c r="AE1283">
        <f t="shared" ref="AE1283:AE1298" si="397">IF(Q1283&gt;0,1,IF(Q1283&lt;0,0,-1))</f>
        <v>1</v>
      </c>
      <c r="AF1283">
        <f t="shared" ref="AF1283:AF1298" si="398">IF(R1283&gt;0,1,IF(R1283&lt;0,0,-1))</f>
        <v>1</v>
      </c>
      <c r="AG1283">
        <f t="shared" ref="AG1283:AG1298" si="399">IF(S1283&gt;0,1,IF(S1283&lt;0,0,-1))</f>
        <v>1</v>
      </c>
      <c r="AH1283">
        <f t="shared" ref="AH1283:AH1298" si="400">IF(T1283&gt;0,1,IF(T1283&lt;0,0,-1))</f>
        <v>1</v>
      </c>
      <c r="AI1283">
        <f t="shared" ref="AI1283:AI1298" si="401">IF(U1283&gt;0,1,IF(U1283&lt;0,0,-1))</f>
        <v>1</v>
      </c>
      <c r="AJ1283" s="9">
        <f t="shared" si="391"/>
        <v>6</v>
      </c>
      <c r="AK1283">
        <f>IF(B1283&lt;&gt;B1274,1,0)</f>
        <v>1</v>
      </c>
      <c r="AL1283" s="9">
        <v>1</v>
      </c>
    </row>
    <row r="1284" spans="1:38" x14ac:dyDescent="0.35">
      <c r="A1284" s="50">
        <v>0</v>
      </c>
      <c r="B1284" s="9" t="s">
        <v>167</v>
      </c>
      <c r="C1284" s="53">
        <v>43894</v>
      </c>
      <c r="D1284" s="53">
        <v>43906</v>
      </c>
      <c r="E1284" s="53">
        <v>43969</v>
      </c>
      <c r="F1284" s="21">
        <f t="shared" si="378"/>
        <v>63</v>
      </c>
      <c r="G1284" s="53">
        <v>43906</v>
      </c>
      <c r="H1284" s="9">
        <v>2020</v>
      </c>
      <c r="I1284" s="50">
        <v>0</v>
      </c>
      <c r="J1284" s="9">
        <v>5</v>
      </c>
      <c r="K1284" s="9" t="s">
        <v>204</v>
      </c>
      <c r="L1284" s="50" t="s">
        <v>857</v>
      </c>
      <c r="M1284">
        <v>1</v>
      </c>
      <c r="N1284">
        <v>1</v>
      </c>
      <c r="O1284">
        <v>2</v>
      </c>
      <c r="P1284">
        <v>-1</v>
      </c>
      <c r="Q1284">
        <v>2</v>
      </c>
      <c r="R1284">
        <v>2</v>
      </c>
      <c r="S1284">
        <v>1</v>
      </c>
      <c r="T1284">
        <v>2</v>
      </c>
      <c r="U1284">
        <v>1</v>
      </c>
      <c r="V1284" t="s">
        <v>984</v>
      </c>
      <c r="W1284" t="s">
        <v>989</v>
      </c>
      <c r="X1284" t="s">
        <v>997</v>
      </c>
      <c r="Y1284" t="s">
        <v>1000</v>
      </c>
      <c r="Z1284">
        <v>0</v>
      </c>
      <c r="AA1284">
        <f t="shared" si="393"/>
        <v>1</v>
      </c>
      <c r="AB1284">
        <f t="shared" si="394"/>
        <v>1</v>
      </c>
      <c r="AC1284">
        <f t="shared" si="395"/>
        <v>1</v>
      </c>
      <c r="AD1284">
        <f t="shared" si="396"/>
        <v>0</v>
      </c>
      <c r="AE1284">
        <f t="shared" si="397"/>
        <v>1</v>
      </c>
      <c r="AF1284">
        <f t="shared" si="398"/>
        <v>1</v>
      </c>
      <c r="AG1284">
        <f t="shared" si="399"/>
        <v>1</v>
      </c>
      <c r="AH1284">
        <f t="shared" si="400"/>
        <v>1</v>
      </c>
      <c r="AI1284">
        <f t="shared" si="401"/>
        <v>1</v>
      </c>
      <c r="AJ1284" s="9" t="str">
        <f t="shared" si="391"/>
        <v>General</v>
      </c>
      <c r="AK1284">
        <f t="shared" si="390"/>
        <v>0</v>
      </c>
      <c r="AL1284" s="9">
        <v>1</v>
      </c>
    </row>
    <row r="1285" spans="1:38" x14ac:dyDescent="0.35">
      <c r="A1285" s="50">
        <v>0</v>
      </c>
      <c r="B1285" s="9" t="s">
        <v>167</v>
      </c>
      <c r="C1285" s="53">
        <v>43894</v>
      </c>
      <c r="D1285" s="53">
        <v>43906</v>
      </c>
      <c r="E1285" s="53">
        <v>43969</v>
      </c>
      <c r="F1285" s="21">
        <f t="shared" si="378"/>
        <v>63</v>
      </c>
      <c r="G1285" s="53">
        <v>43906</v>
      </c>
      <c r="H1285" s="9">
        <v>2020</v>
      </c>
      <c r="I1285" s="50">
        <v>0</v>
      </c>
      <c r="J1285" s="9">
        <v>6</v>
      </c>
      <c r="K1285" s="9">
        <v>25</v>
      </c>
      <c r="L1285" s="50" t="s">
        <v>853</v>
      </c>
      <c r="M1285">
        <v>1</v>
      </c>
      <c r="N1285">
        <v>1</v>
      </c>
      <c r="O1285">
        <v>2</v>
      </c>
      <c r="P1285">
        <v>-1</v>
      </c>
      <c r="Q1285">
        <v>2</v>
      </c>
      <c r="R1285">
        <v>2</v>
      </c>
      <c r="S1285">
        <v>1</v>
      </c>
      <c r="T1285">
        <v>2</v>
      </c>
      <c r="U1285">
        <v>1</v>
      </c>
      <c r="V1285" t="s">
        <v>984</v>
      </c>
      <c r="W1285" t="s">
        <v>989</v>
      </c>
      <c r="X1285" t="s">
        <v>997</v>
      </c>
      <c r="Y1285" t="s">
        <v>1000</v>
      </c>
      <c r="Z1285">
        <v>0</v>
      </c>
      <c r="AA1285">
        <f t="shared" si="393"/>
        <v>1</v>
      </c>
      <c r="AB1285">
        <f t="shared" si="394"/>
        <v>1</v>
      </c>
      <c r="AC1285">
        <f t="shared" si="395"/>
        <v>1</v>
      </c>
      <c r="AD1285">
        <f t="shared" si="396"/>
        <v>0</v>
      </c>
      <c r="AE1285">
        <f t="shared" si="397"/>
        <v>1</v>
      </c>
      <c r="AF1285">
        <f t="shared" si="398"/>
        <v>1</v>
      </c>
      <c r="AG1285">
        <f t="shared" si="399"/>
        <v>1</v>
      </c>
      <c r="AH1285">
        <f t="shared" si="400"/>
        <v>1</v>
      </c>
      <c r="AI1285">
        <f t="shared" si="401"/>
        <v>1</v>
      </c>
      <c r="AJ1285" s="9">
        <f t="shared" si="391"/>
        <v>25</v>
      </c>
      <c r="AK1285">
        <f t="shared" si="390"/>
        <v>0</v>
      </c>
      <c r="AL1285" s="9">
        <v>1</v>
      </c>
    </row>
    <row r="1286" spans="1:38" x14ac:dyDescent="0.35">
      <c r="A1286" s="50">
        <v>0</v>
      </c>
      <c r="B1286" s="9" t="s">
        <v>167</v>
      </c>
      <c r="C1286" s="53">
        <v>43894</v>
      </c>
      <c r="D1286" s="53">
        <v>43906</v>
      </c>
      <c r="E1286" s="53">
        <v>43969</v>
      </c>
      <c r="F1286" s="21">
        <f t="shared" si="378"/>
        <v>63</v>
      </c>
      <c r="G1286" s="53">
        <v>43906</v>
      </c>
      <c r="H1286" s="9">
        <v>2020</v>
      </c>
      <c r="I1286" s="50">
        <v>0</v>
      </c>
      <c r="J1286" s="9">
        <v>1</v>
      </c>
      <c r="K1286" s="9">
        <v>6</v>
      </c>
      <c r="L1286" s="50" t="s">
        <v>855</v>
      </c>
      <c r="N1286">
        <v>2</v>
      </c>
      <c r="O1286">
        <v>2</v>
      </c>
      <c r="P1286">
        <v>2</v>
      </c>
      <c r="Q1286">
        <v>2</v>
      </c>
      <c r="R1286">
        <v>2</v>
      </c>
      <c r="S1286">
        <v>1</v>
      </c>
      <c r="T1286">
        <v>2</v>
      </c>
      <c r="U1286">
        <v>1</v>
      </c>
      <c r="V1286" t="s">
        <v>984</v>
      </c>
      <c r="W1286" t="s">
        <v>989</v>
      </c>
      <c r="X1286" t="s">
        <v>997</v>
      </c>
      <c r="Y1286" t="s">
        <v>1000</v>
      </c>
      <c r="Z1286">
        <v>0</v>
      </c>
      <c r="AA1286">
        <f t="shared" si="393"/>
        <v>-1</v>
      </c>
      <c r="AB1286">
        <f t="shared" si="394"/>
        <v>1</v>
      </c>
      <c r="AC1286">
        <f t="shared" si="395"/>
        <v>1</v>
      </c>
      <c r="AD1286">
        <f t="shared" si="396"/>
        <v>1</v>
      </c>
      <c r="AE1286">
        <f t="shared" si="397"/>
        <v>1</v>
      </c>
      <c r="AF1286">
        <f t="shared" si="398"/>
        <v>1</v>
      </c>
      <c r="AG1286">
        <f t="shared" si="399"/>
        <v>1</v>
      </c>
      <c r="AH1286">
        <f t="shared" si="400"/>
        <v>1</v>
      </c>
      <c r="AI1286">
        <f t="shared" si="401"/>
        <v>1</v>
      </c>
      <c r="AJ1286" s="9">
        <f t="shared" si="391"/>
        <v>6</v>
      </c>
      <c r="AK1286">
        <f t="shared" si="390"/>
        <v>0</v>
      </c>
      <c r="AL1286" s="9">
        <v>1</v>
      </c>
    </row>
    <row r="1287" spans="1:38" x14ac:dyDescent="0.35">
      <c r="A1287" s="50">
        <v>0</v>
      </c>
      <c r="B1287" s="9" t="s">
        <v>167</v>
      </c>
      <c r="C1287" s="53">
        <v>43894</v>
      </c>
      <c r="D1287" s="53">
        <v>43906</v>
      </c>
      <c r="E1287" s="53">
        <v>43969</v>
      </c>
      <c r="F1287" s="21">
        <f t="shared" si="378"/>
        <v>63</v>
      </c>
      <c r="G1287" s="53">
        <v>43906</v>
      </c>
      <c r="H1287" s="9">
        <v>2020</v>
      </c>
      <c r="I1287" s="50">
        <v>0</v>
      </c>
      <c r="J1287" s="9">
        <v>9</v>
      </c>
      <c r="K1287" s="9">
        <v>34</v>
      </c>
      <c r="L1287" s="50" t="s">
        <v>861</v>
      </c>
      <c r="M1287">
        <v>2</v>
      </c>
      <c r="N1287">
        <v>1</v>
      </c>
      <c r="O1287">
        <v>2</v>
      </c>
      <c r="P1287">
        <v>-1</v>
      </c>
      <c r="Q1287">
        <v>2</v>
      </c>
      <c r="R1287">
        <v>-2</v>
      </c>
      <c r="S1287">
        <v>1</v>
      </c>
      <c r="T1287">
        <v>2</v>
      </c>
      <c r="U1287">
        <v>1</v>
      </c>
      <c r="V1287" t="s">
        <v>984</v>
      </c>
      <c r="W1287" t="s">
        <v>989</v>
      </c>
      <c r="X1287" t="s">
        <v>997</v>
      </c>
      <c r="Y1287" t="s">
        <v>1000</v>
      </c>
      <c r="Z1287">
        <v>0</v>
      </c>
      <c r="AA1287">
        <f t="shared" si="393"/>
        <v>1</v>
      </c>
      <c r="AB1287">
        <f t="shared" si="394"/>
        <v>1</v>
      </c>
      <c r="AC1287">
        <f t="shared" si="395"/>
        <v>1</v>
      </c>
      <c r="AD1287">
        <f t="shared" si="396"/>
        <v>0</v>
      </c>
      <c r="AE1287">
        <f t="shared" si="397"/>
        <v>1</v>
      </c>
      <c r="AF1287">
        <f t="shared" si="398"/>
        <v>0</v>
      </c>
      <c r="AG1287">
        <f t="shared" si="399"/>
        <v>1</v>
      </c>
      <c r="AH1287">
        <f t="shared" si="400"/>
        <v>1</v>
      </c>
      <c r="AI1287">
        <f t="shared" si="401"/>
        <v>1</v>
      </c>
      <c r="AJ1287" s="9">
        <f t="shared" si="391"/>
        <v>34</v>
      </c>
      <c r="AK1287">
        <f t="shared" si="390"/>
        <v>0</v>
      </c>
      <c r="AL1287" s="9">
        <v>1</v>
      </c>
    </row>
    <row r="1288" spans="1:38" x14ac:dyDescent="0.35">
      <c r="A1288" s="50">
        <v>0</v>
      </c>
      <c r="B1288" s="9" t="s">
        <v>167</v>
      </c>
      <c r="C1288" s="53">
        <v>43894</v>
      </c>
      <c r="D1288" s="53">
        <v>43906</v>
      </c>
      <c r="E1288" s="53">
        <v>43969</v>
      </c>
      <c r="F1288" s="21">
        <f t="shared" si="378"/>
        <v>63</v>
      </c>
      <c r="G1288" s="53">
        <v>43906</v>
      </c>
      <c r="H1288" s="9">
        <v>2020</v>
      </c>
      <c r="I1288" s="50">
        <v>0</v>
      </c>
      <c r="J1288" s="9">
        <v>1</v>
      </c>
      <c r="K1288" s="9">
        <v>6</v>
      </c>
      <c r="L1288" s="50" t="s">
        <v>859</v>
      </c>
      <c r="N1288">
        <v>2</v>
      </c>
      <c r="O1288">
        <v>2</v>
      </c>
      <c r="P1288">
        <v>2</v>
      </c>
      <c r="Q1288">
        <v>2</v>
      </c>
      <c r="R1288">
        <v>2</v>
      </c>
      <c r="S1288">
        <v>1</v>
      </c>
      <c r="T1288">
        <v>2</v>
      </c>
      <c r="U1288">
        <v>1</v>
      </c>
      <c r="V1288" t="s">
        <v>984</v>
      </c>
      <c r="W1288" t="s">
        <v>989</v>
      </c>
      <c r="X1288" t="s">
        <v>997</v>
      </c>
      <c r="Y1288" t="s">
        <v>1000</v>
      </c>
      <c r="Z1288">
        <v>0</v>
      </c>
      <c r="AA1288">
        <f t="shared" si="393"/>
        <v>-1</v>
      </c>
      <c r="AB1288">
        <f t="shared" si="394"/>
        <v>1</v>
      </c>
      <c r="AC1288">
        <f t="shared" si="395"/>
        <v>1</v>
      </c>
      <c r="AD1288">
        <f t="shared" si="396"/>
        <v>1</v>
      </c>
      <c r="AE1288">
        <f t="shared" si="397"/>
        <v>1</v>
      </c>
      <c r="AF1288">
        <f t="shared" si="398"/>
        <v>1</v>
      </c>
      <c r="AG1288">
        <f t="shared" si="399"/>
        <v>1</v>
      </c>
      <c r="AH1288">
        <f t="shared" si="400"/>
        <v>1</v>
      </c>
      <c r="AI1288">
        <f t="shared" si="401"/>
        <v>1</v>
      </c>
      <c r="AJ1288" s="9">
        <f t="shared" si="391"/>
        <v>6</v>
      </c>
      <c r="AK1288">
        <f t="shared" si="390"/>
        <v>0</v>
      </c>
      <c r="AL1288" s="9">
        <v>1</v>
      </c>
    </row>
    <row r="1289" spans="1:38" x14ac:dyDescent="0.35">
      <c r="A1289" s="50">
        <v>0</v>
      </c>
      <c r="B1289" s="9" t="s">
        <v>167</v>
      </c>
      <c r="C1289" s="53">
        <v>43894</v>
      </c>
      <c r="D1289" s="53">
        <v>43906</v>
      </c>
      <c r="E1289" s="53">
        <v>43969</v>
      </c>
      <c r="F1289" s="21">
        <f t="shared" si="378"/>
        <v>63</v>
      </c>
      <c r="G1289" s="53">
        <v>43906</v>
      </c>
      <c r="H1289" s="9">
        <v>2020</v>
      </c>
      <c r="I1289" s="50">
        <v>0</v>
      </c>
      <c r="J1289" s="9">
        <v>6</v>
      </c>
      <c r="K1289" s="9">
        <v>29</v>
      </c>
      <c r="L1289" s="50" t="s">
        <v>854</v>
      </c>
      <c r="M1289">
        <v>1</v>
      </c>
      <c r="N1289">
        <v>1</v>
      </c>
      <c r="O1289">
        <v>2</v>
      </c>
      <c r="P1289">
        <v>2</v>
      </c>
      <c r="Q1289">
        <v>-2</v>
      </c>
      <c r="R1289">
        <v>2</v>
      </c>
      <c r="S1289">
        <v>1</v>
      </c>
      <c r="T1289">
        <v>2</v>
      </c>
      <c r="U1289">
        <v>1</v>
      </c>
      <c r="V1289" t="s">
        <v>984</v>
      </c>
      <c r="W1289" t="s">
        <v>989</v>
      </c>
      <c r="X1289" t="s">
        <v>997</v>
      </c>
      <c r="Y1289" t="s">
        <v>1000</v>
      </c>
      <c r="Z1289">
        <v>0</v>
      </c>
      <c r="AA1289">
        <f t="shared" si="393"/>
        <v>1</v>
      </c>
      <c r="AB1289">
        <f t="shared" si="394"/>
        <v>1</v>
      </c>
      <c r="AC1289">
        <f t="shared" si="395"/>
        <v>1</v>
      </c>
      <c r="AD1289">
        <f t="shared" si="396"/>
        <v>1</v>
      </c>
      <c r="AE1289">
        <f t="shared" si="397"/>
        <v>0</v>
      </c>
      <c r="AF1289">
        <f t="shared" si="398"/>
        <v>1</v>
      </c>
      <c r="AG1289">
        <f t="shared" si="399"/>
        <v>1</v>
      </c>
      <c r="AH1289">
        <f t="shared" si="400"/>
        <v>1</v>
      </c>
      <c r="AI1289">
        <f t="shared" si="401"/>
        <v>1</v>
      </c>
      <c r="AJ1289" s="9">
        <f t="shared" si="391"/>
        <v>29</v>
      </c>
      <c r="AK1289">
        <f t="shared" si="390"/>
        <v>0</v>
      </c>
      <c r="AL1289" s="9">
        <v>1</v>
      </c>
    </row>
    <row r="1290" spans="1:38" x14ac:dyDescent="0.35">
      <c r="A1290" s="50">
        <v>0</v>
      </c>
      <c r="B1290" s="9" t="s">
        <v>167</v>
      </c>
      <c r="C1290" s="53">
        <v>43894</v>
      </c>
      <c r="D1290" s="53">
        <v>43906</v>
      </c>
      <c r="E1290" s="53">
        <v>43969</v>
      </c>
      <c r="F1290" s="21">
        <f t="shared" si="378"/>
        <v>63</v>
      </c>
      <c r="G1290" s="53">
        <v>43906</v>
      </c>
      <c r="H1290" s="9">
        <v>2020</v>
      </c>
      <c r="I1290" s="50">
        <v>0</v>
      </c>
      <c r="J1290" s="9">
        <v>7</v>
      </c>
      <c r="K1290" s="9">
        <v>30</v>
      </c>
      <c r="L1290" s="50" t="s">
        <v>864</v>
      </c>
      <c r="M1290">
        <v>1</v>
      </c>
      <c r="N1290">
        <v>1</v>
      </c>
      <c r="O1290">
        <v>2</v>
      </c>
      <c r="P1290">
        <v>1</v>
      </c>
      <c r="Q1290">
        <v>2</v>
      </c>
      <c r="R1290">
        <v>2</v>
      </c>
      <c r="S1290">
        <v>1</v>
      </c>
      <c r="T1290">
        <v>-2</v>
      </c>
      <c r="U1290">
        <v>1</v>
      </c>
      <c r="V1290" t="s">
        <v>984</v>
      </c>
      <c r="W1290" t="s">
        <v>989</v>
      </c>
      <c r="X1290" t="s">
        <v>997</v>
      </c>
      <c r="Y1290" t="s">
        <v>1000</v>
      </c>
      <c r="Z1290">
        <v>0</v>
      </c>
      <c r="AA1290">
        <f t="shared" si="393"/>
        <v>1</v>
      </c>
      <c r="AB1290">
        <f t="shared" si="394"/>
        <v>1</v>
      </c>
      <c r="AC1290">
        <f t="shared" si="395"/>
        <v>1</v>
      </c>
      <c r="AD1290">
        <f t="shared" si="396"/>
        <v>1</v>
      </c>
      <c r="AE1290">
        <f t="shared" si="397"/>
        <v>1</v>
      </c>
      <c r="AF1290">
        <f t="shared" si="398"/>
        <v>1</v>
      </c>
      <c r="AG1290">
        <f t="shared" si="399"/>
        <v>1</v>
      </c>
      <c r="AH1290">
        <f t="shared" si="400"/>
        <v>0</v>
      </c>
      <c r="AI1290">
        <f t="shared" si="401"/>
        <v>1</v>
      </c>
      <c r="AJ1290" s="9">
        <f t="shared" si="391"/>
        <v>30</v>
      </c>
      <c r="AK1290">
        <f t="shared" si="390"/>
        <v>0</v>
      </c>
      <c r="AL1290" s="9">
        <v>1</v>
      </c>
    </row>
    <row r="1291" spans="1:38" x14ac:dyDescent="0.35">
      <c r="A1291" s="50">
        <v>0</v>
      </c>
      <c r="B1291" s="9" t="s">
        <v>167</v>
      </c>
      <c r="C1291" s="53">
        <v>43894</v>
      </c>
      <c r="D1291" s="53">
        <v>43906</v>
      </c>
      <c r="E1291" s="53">
        <v>43969</v>
      </c>
      <c r="F1291" s="21">
        <f t="shared" si="378"/>
        <v>63</v>
      </c>
      <c r="G1291" s="53">
        <v>43906</v>
      </c>
      <c r="H1291" s="9">
        <v>2020</v>
      </c>
      <c r="I1291" s="50">
        <v>0</v>
      </c>
      <c r="J1291" s="9">
        <v>2</v>
      </c>
      <c r="K1291" s="9">
        <v>14</v>
      </c>
      <c r="L1291" s="50" t="s">
        <v>865</v>
      </c>
      <c r="M1291">
        <v>-2</v>
      </c>
      <c r="N1291">
        <v>2</v>
      </c>
      <c r="O1291">
        <v>2</v>
      </c>
      <c r="P1291">
        <v>2</v>
      </c>
      <c r="Q1291">
        <v>2</v>
      </c>
      <c r="R1291">
        <v>2</v>
      </c>
      <c r="S1291">
        <v>1</v>
      </c>
      <c r="T1291">
        <v>2</v>
      </c>
      <c r="U1291">
        <v>1</v>
      </c>
      <c r="V1291" t="s">
        <v>984</v>
      </c>
      <c r="W1291" t="s">
        <v>989</v>
      </c>
      <c r="X1291" t="s">
        <v>997</v>
      </c>
      <c r="Y1291" t="s">
        <v>1000</v>
      </c>
      <c r="Z1291">
        <v>0</v>
      </c>
      <c r="AA1291">
        <f t="shared" si="393"/>
        <v>0</v>
      </c>
      <c r="AB1291">
        <f t="shared" si="394"/>
        <v>1</v>
      </c>
      <c r="AC1291">
        <f t="shared" si="395"/>
        <v>1</v>
      </c>
      <c r="AD1291">
        <f t="shared" si="396"/>
        <v>1</v>
      </c>
      <c r="AE1291">
        <f t="shared" si="397"/>
        <v>1</v>
      </c>
      <c r="AF1291">
        <f t="shared" si="398"/>
        <v>1</v>
      </c>
      <c r="AG1291">
        <f t="shared" si="399"/>
        <v>1</v>
      </c>
      <c r="AH1291">
        <f t="shared" si="400"/>
        <v>1</v>
      </c>
      <c r="AI1291">
        <f t="shared" si="401"/>
        <v>1</v>
      </c>
      <c r="AJ1291" s="9">
        <f t="shared" si="391"/>
        <v>14</v>
      </c>
      <c r="AK1291">
        <f t="shared" si="390"/>
        <v>0</v>
      </c>
      <c r="AL1291" s="9">
        <v>1</v>
      </c>
    </row>
    <row r="1292" spans="1:38" x14ac:dyDescent="0.35">
      <c r="A1292" s="50">
        <v>0</v>
      </c>
      <c r="B1292" s="9" t="s">
        <v>167</v>
      </c>
      <c r="C1292" s="53">
        <v>43894</v>
      </c>
      <c r="D1292" s="53">
        <v>43906</v>
      </c>
      <c r="E1292" s="53">
        <v>43969</v>
      </c>
      <c r="F1292" s="21">
        <f t="shared" si="378"/>
        <v>63</v>
      </c>
      <c r="G1292" s="53">
        <v>43906</v>
      </c>
      <c r="H1292" s="9">
        <v>2020</v>
      </c>
      <c r="I1292" s="50">
        <v>0</v>
      </c>
      <c r="J1292" s="9">
        <v>6</v>
      </c>
      <c r="K1292" s="9">
        <v>28</v>
      </c>
      <c r="L1292" s="50" t="s">
        <v>860</v>
      </c>
      <c r="M1292">
        <v>-2</v>
      </c>
      <c r="N1292">
        <v>1</v>
      </c>
      <c r="O1292">
        <v>2</v>
      </c>
      <c r="P1292">
        <v>-1</v>
      </c>
      <c r="Q1292">
        <v>2</v>
      </c>
      <c r="R1292">
        <v>2</v>
      </c>
      <c r="S1292">
        <v>1</v>
      </c>
      <c r="T1292">
        <v>2</v>
      </c>
      <c r="U1292">
        <v>1</v>
      </c>
      <c r="V1292" t="s">
        <v>984</v>
      </c>
      <c r="W1292" t="s">
        <v>989</v>
      </c>
      <c r="X1292" t="s">
        <v>997</v>
      </c>
      <c r="Y1292" t="s">
        <v>1000</v>
      </c>
      <c r="Z1292">
        <v>0</v>
      </c>
      <c r="AA1292">
        <f t="shared" si="393"/>
        <v>0</v>
      </c>
      <c r="AB1292">
        <f t="shared" si="394"/>
        <v>1</v>
      </c>
      <c r="AC1292">
        <f t="shared" si="395"/>
        <v>1</v>
      </c>
      <c r="AD1292">
        <f t="shared" si="396"/>
        <v>0</v>
      </c>
      <c r="AE1292">
        <f t="shared" si="397"/>
        <v>1</v>
      </c>
      <c r="AF1292">
        <f t="shared" si="398"/>
        <v>1</v>
      </c>
      <c r="AG1292">
        <f t="shared" si="399"/>
        <v>1</v>
      </c>
      <c r="AH1292">
        <f t="shared" si="400"/>
        <v>1</v>
      </c>
      <c r="AI1292">
        <f t="shared" si="401"/>
        <v>1</v>
      </c>
      <c r="AJ1292" s="9">
        <f t="shared" si="391"/>
        <v>28</v>
      </c>
      <c r="AK1292">
        <f t="shared" ref="AK1292:AK1309" si="402">IF(B1292&lt;&gt;B1291,1,0)</f>
        <v>0</v>
      </c>
      <c r="AL1292" s="9">
        <v>1</v>
      </c>
    </row>
    <row r="1293" spans="1:38" x14ac:dyDescent="0.35">
      <c r="A1293" s="50">
        <v>0</v>
      </c>
      <c r="B1293" s="9" t="s">
        <v>167</v>
      </c>
      <c r="C1293" s="53">
        <v>43894</v>
      </c>
      <c r="D1293" s="53">
        <v>43906</v>
      </c>
      <c r="E1293" s="53">
        <v>43969</v>
      </c>
      <c r="F1293" s="21">
        <f t="shared" si="378"/>
        <v>63</v>
      </c>
      <c r="G1293" s="53">
        <v>43906</v>
      </c>
      <c r="H1293" s="9">
        <v>2020</v>
      </c>
      <c r="I1293" s="50">
        <v>0</v>
      </c>
      <c r="J1293" s="9">
        <v>9</v>
      </c>
      <c r="K1293" s="9">
        <v>34</v>
      </c>
      <c r="L1293" s="50" t="s">
        <v>851</v>
      </c>
      <c r="M1293">
        <v>1</v>
      </c>
      <c r="N1293">
        <v>1</v>
      </c>
      <c r="O1293">
        <v>1</v>
      </c>
      <c r="P1293">
        <v>-1</v>
      </c>
      <c r="Q1293">
        <v>2</v>
      </c>
      <c r="R1293">
        <v>2</v>
      </c>
      <c r="S1293">
        <v>1</v>
      </c>
      <c r="T1293">
        <v>-2</v>
      </c>
      <c r="U1293">
        <v>1</v>
      </c>
      <c r="V1293" t="s">
        <v>984</v>
      </c>
      <c r="W1293" t="s">
        <v>989</v>
      </c>
      <c r="X1293" t="s">
        <v>997</v>
      </c>
      <c r="Y1293" t="s">
        <v>1000</v>
      </c>
      <c r="Z1293">
        <v>0</v>
      </c>
      <c r="AA1293">
        <f t="shared" si="393"/>
        <v>1</v>
      </c>
      <c r="AB1293">
        <f t="shared" si="394"/>
        <v>1</v>
      </c>
      <c r="AC1293">
        <f t="shared" si="395"/>
        <v>1</v>
      </c>
      <c r="AD1293">
        <f t="shared" si="396"/>
        <v>0</v>
      </c>
      <c r="AE1293">
        <f t="shared" si="397"/>
        <v>1</v>
      </c>
      <c r="AF1293">
        <f t="shared" si="398"/>
        <v>1</v>
      </c>
      <c r="AG1293">
        <f t="shared" si="399"/>
        <v>1</v>
      </c>
      <c r="AH1293">
        <f t="shared" si="400"/>
        <v>0</v>
      </c>
      <c r="AI1293">
        <f t="shared" si="401"/>
        <v>1</v>
      </c>
      <c r="AJ1293" s="9">
        <f t="shared" si="391"/>
        <v>34</v>
      </c>
      <c r="AK1293">
        <f t="shared" si="402"/>
        <v>0</v>
      </c>
      <c r="AL1293" s="9">
        <v>1</v>
      </c>
    </row>
    <row r="1294" spans="1:38" x14ac:dyDescent="0.35">
      <c r="A1294" s="50">
        <v>0</v>
      </c>
      <c r="B1294" s="9" t="s">
        <v>167</v>
      </c>
      <c r="C1294" s="53">
        <v>43894</v>
      </c>
      <c r="D1294" s="53">
        <v>43906</v>
      </c>
      <c r="E1294" s="53">
        <v>43969</v>
      </c>
      <c r="F1294" s="21">
        <f t="shared" si="378"/>
        <v>63</v>
      </c>
      <c r="G1294" s="53">
        <v>43906</v>
      </c>
      <c r="H1294" s="9">
        <v>2020</v>
      </c>
      <c r="I1294" s="50">
        <v>0</v>
      </c>
      <c r="J1294" s="9">
        <v>1</v>
      </c>
      <c r="K1294" s="9">
        <v>6</v>
      </c>
      <c r="L1294" s="50" t="s">
        <v>863</v>
      </c>
      <c r="M1294">
        <v>2</v>
      </c>
      <c r="N1294">
        <v>2</v>
      </c>
      <c r="O1294">
        <v>2</v>
      </c>
      <c r="P1294">
        <v>2</v>
      </c>
      <c r="Q1294">
        <v>2</v>
      </c>
      <c r="R1294">
        <v>2</v>
      </c>
      <c r="S1294">
        <v>1</v>
      </c>
      <c r="T1294">
        <v>2</v>
      </c>
      <c r="U1294">
        <v>1</v>
      </c>
      <c r="V1294" t="s">
        <v>984</v>
      </c>
      <c r="W1294" t="s">
        <v>989</v>
      </c>
      <c r="X1294" t="s">
        <v>997</v>
      </c>
      <c r="Y1294" t="s">
        <v>1000</v>
      </c>
      <c r="Z1294">
        <v>0</v>
      </c>
      <c r="AA1294">
        <f t="shared" si="393"/>
        <v>1</v>
      </c>
      <c r="AB1294">
        <f t="shared" si="394"/>
        <v>1</v>
      </c>
      <c r="AC1294">
        <f t="shared" si="395"/>
        <v>1</v>
      </c>
      <c r="AD1294">
        <f t="shared" si="396"/>
        <v>1</v>
      </c>
      <c r="AE1294">
        <f t="shared" si="397"/>
        <v>1</v>
      </c>
      <c r="AF1294">
        <f t="shared" si="398"/>
        <v>1</v>
      </c>
      <c r="AG1294">
        <f t="shared" si="399"/>
        <v>1</v>
      </c>
      <c r="AH1294">
        <f t="shared" si="400"/>
        <v>1</v>
      </c>
      <c r="AI1294">
        <f t="shared" si="401"/>
        <v>1</v>
      </c>
      <c r="AJ1294" s="9">
        <f t="shared" si="391"/>
        <v>6</v>
      </c>
      <c r="AK1294">
        <f t="shared" si="402"/>
        <v>0</v>
      </c>
      <c r="AL1294" s="9">
        <v>1</v>
      </c>
    </row>
    <row r="1295" spans="1:38" x14ac:dyDescent="0.35">
      <c r="A1295" s="50">
        <v>0</v>
      </c>
      <c r="B1295" s="9" t="s">
        <v>167</v>
      </c>
      <c r="C1295" s="53">
        <v>43894</v>
      </c>
      <c r="D1295" s="53">
        <v>43906</v>
      </c>
      <c r="E1295" s="53">
        <v>43969</v>
      </c>
      <c r="F1295" s="21">
        <f t="shared" si="378"/>
        <v>63</v>
      </c>
      <c r="G1295" s="53">
        <v>43906</v>
      </c>
      <c r="H1295" s="9">
        <v>2020</v>
      </c>
      <c r="I1295" s="50">
        <v>0</v>
      </c>
      <c r="J1295" s="9">
        <v>6</v>
      </c>
      <c r="K1295" s="9">
        <v>29</v>
      </c>
      <c r="L1295" s="50" t="s">
        <v>858</v>
      </c>
      <c r="M1295">
        <v>1</v>
      </c>
      <c r="N1295">
        <v>1</v>
      </c>
      <c r="O1295">
        <v>2</v>
      </c>
      <c r="P1295">
        <v>-1</v>
      </c>
      <c r="Q1295">
        <v>-2</v>
      </c>
      <c r="R1295">
        <v>2</v>
      </c>
      <c r="S1295">
        <v>1</v>
      </c>
      <c r="T1295">
        <v>-2</v>
      </c>
      <c r="U1295">
        <v>1</v>
      </c>
      <c r="V1295" t="s">
        <v>984</v>
      </c>
      <c r="W1295" t="s">
        <v>989</v>
      </c>
      <c r="X1295" t="s">
        <v>997</v>
      </c>
      <c r="Y1295" t="s">
        <v>1000</v>
      </c>
      <c r="Z1295">
        <v>0</v>
      </c>
      <c r="AA1295">
        <f t="shared" si="393"/>
        <v>1</v>
      </c>
      <c r="AB1295">
        <f t="shared" si="394"/>
        <v>1</v>
      </c>
      <c r="AC1295">
        <f t="shared" si="395"/>
        <v>1</v>
      </c>
      <c r="AD1295">
        <f t="shared" si="396"/>
        <v>0</v>
      </c>
      <c r="AE1295">
        <f t="shared" si="397"/>
        <v>0</v>
      </c>
      <c r="AF1295">
        <f t="shared" si="398"/>
        <v>1</v>
      </c>
      <c r="AG1295">
        <f t="shared" si="399"/>
        <v>1</v>
      </c>
      <c r="AH1295">
        <f t="shared" si="400"/>
        <v>0</v>
      </c>
      <c r="AI1295">
        <f t="shared" si="401"/>
        <v>1</v>
      </c>
      <c r="AJ1295" s="9">
        <f t="shared" si="391"/>
        <v>29</v>
      </c>
      <c r="AK1295">
        <f t="shared" si="402"/>
        <v>0</v>
      </c>
      <c r="AL1295" s="9">
        <v>1</v>
      </c>
    </row>
    <row r="1296" spans="1:38" x14ac:dyDescent="0.35">
      <c r="A1296" s="50">
        <v>0</v>
      </c>
      <c r="B1296" s="9" t="s">
        <v>167</v>
      </c>
      <c r="C1296" s="53">
        <v>43894</v>
      </c>
      <c r="D1296" s="53">
        <v>43906</v>
      </c>
      <c r="E1296" s="53">
        <v>43969</v>
      </c>
      <c r="F1296" s="21">
        <f t="shared" si="378"/>
        <v>63</v>
      </c>
      <c r="G1296" s="53">
        <v>43906</v>
      </c>
      <c r="H1296" s="9">
        <v>2020</v>
      </c>
      <c r="I1296" s="50">
        <v>0</v>
      </c>
      <c r="J1296" s="9">
        <v>6</v>
      </c>
      <c r="K1296" s="9">
        <v>29</v>
      </c>
      <c r="L1296" s="50" t="s">
        <v>850</v>
      </c>
      <c r="M1296">
        <v>-2</v>
      </c>
      <c r="N1296">
        <v>1</v>
      </c>
      <c r="O1296">
        <v>2</v>
      </c>
      <c r="P1296">
        <v>-1</v>
      </c>
      <c r="Q1296">
        <v>-2</v>
      </c>
      <c r="S1296">
        <v>-1</v>
      </c>
      <c r="T1296">
        <v>-2</v>
      </c>
      <c r="U1296">
        <v>1</v>
      </c>
      <c r="V1296" t="s">
        <v>984</v>
      </c>
      <c r="W1296" t="s">
        <v>989</v>
      </c>
      <c r="X1296" t="s">
        <v>997</v>
      </c>
      <c r="Y1296" t="s">
        <v>1000</v>
      </c>
      <c r="Z1296">
        <v>0</v>
      </c>
      <c r="AA1296">
        <f t="shared" si="393"/>
        <v>0</v>
      </c>
      <c r="AB1296">
        <f t="shared" si="394"/>
        <v>1</v>
      </c>
      <c r="AC1296">
        <f t="shared" si="395"/>
        <v>1</v>
      </c>
      <c r="AD1296">
        <f t="shared" si="396"/>
        <v>0</v>
      </c>
      <c r="AE1296">
        <f t="shared" si="397"/>
        <v>0</v>
      </c>
      <c r="AF1296">
        <f t="shared" si="398"/>
        <v>-1</v>
      </c>
      <c r="AG1296">
        <f t="shared" si="399"/>
        <v>0</v>
      </c>
      <c r="AH1296">
        <f t="shared" si="400"/>
        <v>0</v>
      </c>
      <c r="AI1296">
        <f t="shared" si="401"/>
        <v>1</v>
      </c>
      <c r="AJ1296" s="9">
        <f t="shared" si="391"/>
        <v>29</v>
      </c>
      <c r="AK1296">
        <f t="shared" si="402"/>
        <v>0</v>
      </c>
      <c r="AL1296" s="9">
        <v>1</v>
      </c>
    </row>
    <row r="1297" spans="1:38" x14ac:dyDescent="0.35">
      <c r="A1297" s="50">
        <v>0</v>
      </c>
      <c r="B1297" s="9" t="s">
        <v>167</v>
      </c>
      <c r="C1297" s="53">
        <v>43894</v>
      </c>
      <c r="D1297" s="53">
        <v>43906</v>
      </c>
      <c r="E1297" s="53">
        <v>43969</v>
      </c>
      <c r="F1297" s="21">
        <f t="shared" si="378"/>
        <v>63</v>
      </c>
      <c r="G1297" s="53">
        <v>43906</v>
      </c>
      <c r="H1297" s="9">
        <v>2020</v>
      </c>
      <c r="I1297" s="50">
        <v>0</v>
      </c>
      <c r="J1297" s="9">
        <v>5</v>
      </c>
      <c r="K1297" s="9" t="s">
        <v>204</v>
      </c>
      <c r="L1297" s="50" t="s">
        <v>852</v>
      </c>
      <c r="M1297">
        <v>1</v>
      </c>
      <c r="N1297">
        <v>-1</v>
      </c>
      <c r="O1297">
        <v>-2</v>
      </c>
      <c r="P1297">
        <v>-1</v>
      </c>
      <c r="Q1297">
        <v>2</v>
      </c>
      <c r="R1297">
        <v>2</v>
      </c>
      <c r="S1297">
        <v>1</v>
      </c>
      <c r="T1297">
        <v>2</v>
      </c>
      <c r="U1297">
        <v>1</v>
      </c>
      <c r="V1297" t="s">
        <v>984</v>
      </c>
      <c r="W1297" t="s">
        <v>989</v>
      </c>
      <c r="X1297" t="s">
        <v>997</v>
      </c>
      <c r="Y1297" t="s">
        <v>1000</v>
      </c>
      <c r="Z1297">
        <v>0</v>
      </c>
      <c r="AA1297">
        <f t="shared" si="393"/>
        <v>1</v>
      </c>
      <c r="AB1297">
        <f t="shared" si="394"/>
        <v>0</v>
      </c>
      <c r="AC1297">
        <f t="shared" si="395"/>
        <v>0</v>
      </c>
      <c r="AD1297">
        <f t="shared" si="396"/>
        <v>0</v>
      </c>
      <c r="AE1297">
        <f t="shared" si="397"/>
        <v>1</v>
      </c>
      <c r="AF1297">
        <f t="shared" si="398"/>
        <v>1</v>
      </c>
      <c r="AG1297">
        <f t="shared" si="399"/>
        <v>1</v>
      </c>
      <c r="AH1297">
        <f t="shared" si="400"/>
        <v>1</v>
      </c>
      <c r="AI1297">
        <f t="shared" si="401"/>
        <v>1</v>
      </c>
      <c r="AJ1297" s="9" t="str">
        <f t="shared" si="391"/>
        <v>General</v>
      </c>
      <c r="AK1297">
        <f t="shared" si="402"/>
        <v>0</v>
      </c>
      <c r="AL1297" s="9">
        <v>0</v>
      </c>
    </row>
    <row r="1298" spans="1:38" x14ac:dyDescent="0.35">
      <c r="A1298" s="50">
        <v>0</v>
      </c>
      <c r="B1298" s="9" t="s">
        <v>167</v>
      </c>
      <c r="C1298" s="53">
        <v>43894</v>
      </c>
      <c r="D1298" s="53">
        <v>43906</v>
      </c>
      <c r="E1298" s="53">
        <v>43969</v>
      </c>
      <c r="F1298" s="21">
        <f t="shared" si="378"/>
        <v>63</v>
      </c>
      <c r="G1298" s="53">
        <v>43906</v>
      </c>
      <c r="H1298" s="9">
        <v>2020</v>
      </c>
      <c r="I1298" s="50">
        <v>0</v>
      </c>
      <c r="J1298" s="9">
        <v>6</v>
      </c>
      <c r="K1298" s="9">
        <v>29</v>
      </c>
      <c r="L1298" s="50" t="s">
        <v>862</v>
      </c>
      <c r="M1298">
        <v>1</v>
      </c>
      <c r="N1298">
        <v>1</v>
      </c>
      <c r="O1298">
        <v>2</v>
      </c>
      <c r="P1298">
        <v>-1</v>
      </c>
      <c r="Q1298">
        <v>2</v>
      </c>
      <c r="R1298">
        <v>2</v>
      </c>
      <c r="S1298">
        <v>1</v>
      </c>
      <c r="T1298">
        <v>2</v>
      </c>
      <c r="U1298">
        <v>1</v>
      </c>
      <c r="V1298" t="s">
        <v>984</v>
      </c>
      <c r="W1298" t="s">
        <v>989</v>
      </c>
      <c r="X1298" t="s">
        <v>997</v>
      </c>
      <c r="Y1298" t="s">
        <v>1000</v>
      </c>
      <c r="Z1298">
        <v>0</v>
      </c>
      <c r="AA1298">
        <f t="shared" si="393"/>
        <v>1</v>
      </c>
      <c r="AB1298">
        <f t="shared" si="394"/>
        <v>1</v>
      </c>
      <c r="AC1298">
        <f t="shared" si="395"/>
        <v>1</v>
      </c>
      <c r="AD1298">
        <f t="shared" si="396"/>
        <v>0</v>
      </c>
      <c r="AE1298">
        <f t="shared" si="397"/>
        <v>1</v>
      </c>
      <c r="AF1298">
        <f t="shared" si="398"/>
        <v>1</v>
      </c>
      <c r="AG1298">
        <f t="shared" si="399"/>
        <v>1</v>
      </c>
      <c r="AH1298">
        <f t="shared" si="400"/>
        <v>1</v>
      </c>
      <c r="AI1298">
        <f t="shared" si="401"/>
        <v>1</v>
      </c>
      <c r="AJ1298" s="9">
        <f t="shared" si="391"/>
        <v>29</v>
      </c>
      <c r="AK1298">
        <f t="shared" si="402"/>
        <v>0</v>
      </c>
      <c r="AL1298" s="9">
        <v>0</v>
      </c>
    </row>
    <row r="1299" spans="1:38" x14ac:dyDescent="0.35">
      <c r="A1299" s="50">
        <v>0</v>
      </c>
      <c r="B1299" s="50" t="s">
        <v>167</v>
      </c>
      <c r="C1299" s="53">
        <v>43894</v>
      </c>
      <c r="D1299" s="53">
        <v>43906</v>
      </c>
      <c r="E1299" s="53">
        <v>43969</v>
      </c>
      <c r="F1299" s="21">
        <f t="shared" si="378"/>
        <v>63</v>
      </c>
      <c r="G1299" s="53">
        <v>43906</v>
      </c>
      <c r="H1299" s="9">
        <v>2020</v>
      </c>
      <c r="I1299" s="50">
        <v>0</v>
      </c>
      <c r="J1299" s="50">
        <v>7</v>
      </c>
      <c r="K1299" s="50">
        <v>30</v>
      </c>
      <c r="L1299" s="24" t="s">
        <v>1782</v>
      </c>
      <c r="M1299" s="24"/>
      <c r="V1299" t="s">
        <v>984</v>
      </c>
      <c r="W1299" t="s">
        <v>989</v>
      </c>
      <c r="X1299" t="s">
        <v>997</v>
      </c>
      <c r="Y1299" t="s">
        <v>1000</v>
      </c>
      <c r="Z1299">
        <v>0</v>
      </c>
      <c r="AA1299">
        <v>-1</v>
      </c>
      <c r="AB1299">
        <v>-1</v>
      </c>
      <c r="AC1299">
        <v>-1</v>
      </c>
      <c r="AD1299">
        <v>-1</v>
      </c>
      <c r="AE1299">
        <v>-1</v>
      </c>
      <c r="AF1299">
        <v>-1</v>
      </c>
      <c r="AG1299">
        <v>-1</v>
      </c>
      <c r="AH1299">
        <v>-1</v>
      </c>
      <c r="AI1299">
        <v>-1</v>
      </c>
      <c r="AJ1299" s="9">
        <f t="shared" si="391"/>
        <v>30</v>
      </c>
      <c r="AK1299">
        <f t="shared" si="402"/>
        <v>0</v>
      </c>
      <c r="AL1299" s="9">
        <v>0</v>
      </c>
    </row>
    <row r="1300" spans="1:38" x14ac:dyDescent="0.35">
      <c r="A1300" s="50">
        <v>0</v>
      </c>
      <c r="B1300" s="50" t="s">
        <v>167</v>
      </c>
      <c r="C1300" s="53">
        <v>43894</v>
      </c>
      <c r="D1300" s="53">
        <v>43906</v>
      </c>
      <c r="E1300" s="53">
        <v>43969</v>
      </c>
      <c r="F1300" s="21">
        <f t="shared" si="378"/>
        <v>63</v>
      </c>
      <c r="G1300" s="53">
        <v>43906</v>
      </c>
      <c r="H1300" s="9">
        <v>2020</v>
      </c>
      <c r="I1300" s="50">
        <v>0</v>
      </c>
      <c r="J1300" s="50">
        <v>6</v>
      </c>
      <c r="K1300" s="50">
        <v>29</v>
      </c>
      <c r="L1300" s="24" t="s">
        <v>1783</v>
      </c>
      <c r="M1300" s="24"/>
      <c r="V1300" t="s">
        <v>984</v>
      </c>
      <c r="W1300" t="s">
        <v>989</v>
      </c>
      <c r="X1300" t="s">
        <v>997</v>
      </c>
      <c r="Y1300" t="s">
        <v>1000</v>
      </c>
      <c r="Z1300">
        <v>0</v>
      </c>
      <c r="AA1300">
        <v>-1</v>
      </c>
      <c r="AB1300">
        <v>-1</v>
      </c>
      <c r="AC1300">
        <v>-1</v>
      </c>
      <c r="AD1300">
        <v>-1</v>
      </c>
      <c r="AE1300">
        <v>-1</v>
      </c>
      <c r="AF1300">
        <v>-1</v>
      </c>
      <c r="AG1300">
        <v>-1</v>
      </c>
      <c r="AH1300">
        <v>-1</v>
      </c>
      <c r="AI1300">
        <v>-1</v>
      </c>
      <c r="AJ1300" s="9">
        <f t="shared" si="391"/>
        <v>29</v>
      </c>
      <c r="AK1300">
        <f t="shared" si="402"/>
        <v>0</v>
      </c>
      <c r="AL1300" s="9">
        <v>0</v>
      </c>
    </row>
    <row r="1301" spans="1:38" x14ac:dyDescent="0.35">
      <c r="A1301" s="50">
        <v>0</v>
      </c>
      <c r="B1301" s="50" t="s">
        <v>167</v>
      </c>
      <c r="C1301" s="53">
        <v>43894</v>
      </c>
      <c r="D1301" s="53">
        <v>43906</v>
      </c>
      <c r="E1301" s="53">
        <v>43969</v>
      </c>
      <c r="F1301" s="21">
        <f t="shared" si="378"/>
        <v>63</v>
      </c>
      <c r="G1301" s="53">
        <v>43906</v>
      </c>
      <c r="H1301" s="9">
        <v>2020</v>
      </c>
      <c r="I1301" s="50">
        <v>0</v>
      </c>
      <c r="J1301" s="50">
        <v>4</v>
      </c>
      <c r="K1301" s="50" t="s">
        <v>201</v>
      </c>
      <c r="L1301" s="24" t="s">
        <v>1784</v>
      </c>
      <c r="M1301" s="24"/>
      <c r="V1301" t="s">
        <v>984</v>
      </c>
      <c r="W1301" t="s">
        <v>989</v>
      </c>
      <c r="X1301" t="s">
        <v>997</v>
      </c>
      <c r="Y1301" t="s">
        <v>1000</v>
      </c>
      <c r="Z1301">
        <v>0</v>
      </c>
      <c r="AA1301">
        <v>-1</v>
      </c>
      <c r="AB1301">
        <v>-1</v>
      </c>
      <c r="AC1301">
        <v>-1</v>
      </c>
      <c r="AD1301">
        <v>-1</v>
      </c>
      <c r="AE1301">
        <v>-1</v>
      </c>
      <c r="AF1301">
        <v>-1</v>
      </c>
      <c r="AG1301">
        <v>-1</v>
      </c>
      <c r="AH1301">
        <v>-1</v>
      </c>
      <c r="AI1301">
        <v>-1</v>
      </c>
      <c r="AJ1301" s="9" t="str">
        <f t="shared" si="391"/>
        <v>Other</v>
      </c>
      <c r="AK1301">
        <f t="shared" si="402"/>
        <v>0</v>
      </c>
      <c r="AL1301" s="9">
        <v>0</v>
      </c>
    </row>
    <row r="1302" spans="1:38" x14ac:dyDescent="0.35">
      <c r="A1302" s="50">
        <v>0</v>
      </c>
      <c r="B1302" s="50" t="s">
        <v>167</v>
      </c>
      <c r="C1302" s="53">
        <v>43894</v>
      </c>
      <c r="D1302" s="53">
        <v>43906</v>
      </c>
      <c r="E1302" s="53">
        <v>43969</v>
      </c>
      <c r="F1302" s="21">
        <f t="shared" si="378"/>
        <v>63</v>
      </c>
      <c r="G1302" s="53">
        <v>43906</v>
      </c>
      <c r="H1302" s="9">
        <v>2020</v>
      </c>
      <c r="I1302" s="50">
        <v>0</v>
      </c>
      <c r="J1302" s="50">
        <v>6</v>
      </c>
      <c r="K1302" s="50">
        <v>25</v>
      </c>
      <c r="L1302" s="24" t="s">
        <v>1550</v>
      </c>
      <c r="M1302" s="24"/>
      <c r="V1302" t="s">
        <v>984</v>
      </c>
      <c r="W1302" t="s">
        <v>989</v>
      </c>
      <c r="X1302" t="s">
        <v>997</v>
      </c>
      <c r="Y1302" t="s">
        <v>1000</v>
      </c>
      <c r="Z1302">
        <v>0</v>
      </c>
      <c r="AA1302">
        <v>-1</v>
      </c>
      <c r="AB1302">
        <v>-1</v>
      </c>
      <c r="AC1302">
        <v>-1</v>
      </c>
      <c r="AD1302">
        <v>-1</v>
      </c>
      <c r="AE1302">
        <v>-1</v>
      </c>
      <c r="AF1302">
        <v>-1</v>
      </c>
      <c r="AG1302">
        <v>-1</v>
      </c>
      <c r="AH1302">
        <v>-1</v>
      </c>
      <c r="AI1302">
        <v>-1</v>
      </c>
      <c r="AJ1302" s="9">
        <f t="shared" si="391"/>
        <v>25</v>
      </c>
      <c r="AK1302">
        <f t="shared" si="402"/>
        <v>0</v>
      </c>
      <c r="AL1302" s="9">
        <v>0</v>
      </c>
    </row>
    <row r="1303" spans="1:38" x14ac:dyDescent="0.35">
      <c r="A1303" s="50">
        <v>0</v>
      </c>
      <c r="B1303" s="50" t="s">
        <v>167</v>
      </c>
      <c r="C1303" s="53">
        <v>43894</v>
      </c>
      <c r="D1303" s="53">
        <v>43906</v>
      </c>
      <c r="E1303" s="53">
        <v>43969</v>
      </c>
      <c r="F1303" s="21">
        <f t="shared" si="378"/>
        <v>63</v>
      </c>
      <c r="G1303" s="53">
        <v>43906</v>
      </c>
      <c r="H1303" s="9">
        <v>2020</v>
      </c>
      <c r="I1303" s="50">
        <v>0</v>
      </c>
      <c r="J1303" s="50">
        <v>6</v>
      </c>
      <c r="K1303" s="50">
        <v>27</v>
      </c>
      <c r="L1303" s="24" t="s">
        <v>1551</v>
      </c>
      <c r="M1303" s="24"/>
      <c r="V1303" t="s">
        <v>984</v>
      </c>
      <c r="W1303" t="s">
        <v>989</v>
      </c>
      <c r="X1303" t="s">
        <v>997</v>
      </c>
      <c r="Y1303" t="s">
        <v>1000</v>
      </c>
      <c r="Z1303">
        <v>0</v>
      </c>
      <c r="AA1303">
        <v>-1</v>
      </c>
      <c r="AB1303">
        <v>-1</v>
      </c>
      <c r="AC1303">
        <v>-1</v>
      </c>
      <c r="AD1303">
        <v>-1</v>
      </c>
      <c r="AE1303">
        <v>-1</v>
      </c>
      <c r="AF1303">
        <v>-1</v>
      </c>
      <c r="AG1303">
        <v>-1</v>
      </c>
      <c r="AH1303">
        <v>-1</v>
      </c>
      <c r="AI1303">
        <v>-1</v>
      </c>
      <c r="AJ1303" s="9">
        <f t="shared" si="391"/>
        <v>27</v>
      </c>
      <c r="AK1303">
        <f t="shared" si="402"/>
        <v>0</v>
      </c>
      <c r="AL1303" s="9">
        <v>0</v>
      </c>
    </row>
    <row r="1304" spans="1:38" x14ac:dyDescent="0.35">
      <c r="A1304" s="50">
        <v>0</v>
      </c>
      <c r="B1304" s="50" t="s">
        <v>167</v>
      </c>
      <c r="C1304" s="53">
        <v>43894</v>
      </c>
      <c r="D1304" s="53">
        <v>43906</v>
      </c>
      <c r="E1304" s="53">
        <v>43969</v>
      </c>
      <c r="F1304" s="21">
        <f t="shared" si="378"/>
        <v>63</v>
      </c>
      <c r="G1304" s="53">
        <v>43906</v>
      </c>
      <c r="H1304" s="9">
        <v>2020</v>
      </c>
      <c r="I1304" s="50">
        <v>0</v>
      </c>
      <c r="J1304" s="50">
        <v>6</v>
      </c>
      <c r="K1304" s="50">
        <v>27</v>
      </c>
      <c r="L1304" s="24" t="s">
        <v>1552</v>
      </c>
      <c r="M1304" s="24"/>
      <c r="V1304" t="s">
        <v>984</v>
      </c>
      <c r="W1304" t="s">
        <v>989</v>
      </c>
      <c r="X1304" t="s">
        <v>997</v>
      </c>
      <c r="Y1304" t="s">
        <v>1000</v>
      </c>
      <c r="Z1304">
        <v>0</v>
      </c>
      <c r="AA1304">
        <v>-1</v>
      </c>
      <c r="AB1304">
        <v>-1</v>
      </c>
      <c r="AC1304">
        <v>-1</v>
      </c>
      <c r="AD1304">
        <v>-1</v>
      </c>
      <c r="AE1304">
        <v>-1</v>
      </c>
      <c r="AF1304">
        <v>-1</v>
      </c>
      <c r="AG1304">
        <v>-1</v>
      </c>
      <c r="AH1304">
        <v>-1</v>
      </c>
      <c r="AI1304">
        <v>-1</v>
      </c>
      <c r="AJ1304" s="9">
        <f t="shared" si="391"/>
        <v>27</v>
      </c>
      <c r="AK1304">
        <f t="shared" si="402"/>
        <v>0</v>
      </c>
      <c r="AL1304" s="9">
        <v>0</v>
      </c>
    </row>
    <row r="1305" spans="1:38" x14ac:dyDescent="0.35">
      <c r="A1305" s="50">
        <v>0</v>
      </c>
      <c r="B1305" s="50" t="s">
        <v>167</v>
      </c>
      <c r="C1305" s="53">
        <v>43894</v>
      </c>
      <c r="D1305" s="53">
        <v>43906</v>
      </c>
      <c r="E1305" s="53">
        <v>43969</v>
      </c>
      <c r="F1305" s="21">
        <f t="shared" si="378"/>
        <v>63</v>
      </c>
      <c r="G1305" s="53">
        <v>43906</v>
      </c>
      <c r="H1305" s="9">
        <v>2020</v>
      </c>
      <c r="I1305" s="50">
        <v>0</v>
      </c>
      <c r="J1305" s="50">
        <v>6</v>
      </c>
      <c r="K1305" s="50">
        <v>29</v>
      </c>
      <c r="L1305" s="24" t="s">
        <v>1553</v>
      </c>
      <c r="M1305" s="24"/>
      <c r="V1305" t="s">
        <v>984</v>
      </c>
      <c r="W1305" t="s">
        <v>989</v>
      </c>
      <c r="X1305" t="s">
        <v>997</v>
      </c>
      <c r="Y1305" t="s">
        <v>1000</v>
      </c>
      <c r="Z1305">
        <v>0</v>
      </c>
      <c r="AA1305">
        <v>-1</v>
      </c>
      <c r="AB1305">
        <v>-1</v>
      </c>
      <c r="AC1305">
        <v>-1</v>
      </c>
      <c r="AD1305">
        <v>-1</v>
      </c>
      <c r="AE1305">
        <v>-1</v>
      </c>
      <c r="AF1305">
        <v>-1</v>
      </c>
      <c r="AG1305">
        <v>-1</v>
      </c>
      <c r="AH1305">
        <v>-1</v>
      </c>
      <c r="AI1305">
        <v>-1</v>
      </c>
      <c r="AJ1305" s="9">
        <f t="shared" si="391"/>
        <v>29</v>
      </c>
      <c r="AK1305">
        <f t="shared" si="402"/>
        <v>0</v>
      </c>
      <c r="AL1305" s="9">
        <v>0</v>
      </c>
    </row>
    <row r="1306" spans="1:38" x14ac:dyDescent="0.35">
      <c r="A1306" s="50">
        <v>0</v>
      </c>
      <c r="B1306" s="50" t="s">
        <v>167</v>
      </c>
      <c r="C1306" s="53">
        <v>43894</v>
      </c>
      <c r="D1306" s="53">
        <v>43906</v>
      </c>
      <c r="E1306" s="53">
        <v>43969</v>
      </c>
      <c r="F1306" s="21">
        <f t="shared" ref="F1306:F1380" si="403">DATEDIF(D1306,E1306,"D")</f>
        <v>63</v>
      </c>
      <c r="G1306" s="53">
        <v>43906</v>
      </c>
      <c r="H1306" s="9">
        <v>2020</v>
      </c>
      <c r="I1306" s="50">
        <v>0</v>
      </c>
      <c r="J1306" s="50">
        <v>3</v>
      </c>
      <c r="K1306" s="50" t="s">
        <v>206</v>
      </c>
      <c r="L1306" s="24" t="s">
        <v>1554</v>
      </c>
      <c r="M1306" s="24"/>
      <c r="V1306" t="s">
        <v>984</v>
      </c>
      <c r="W1306" t="s">
        <v>989</v>
      </c>
      <c r="X1306" t="s">
        <v>997</v>
      </c>
      <c r="Y1306" t="s">
        <v>1000</v>
      </c>
      <c r="Z1306">
        <v>0</v>
      </c>
      <c r="AA1306">
        <v>-1</v>
      </c>
      <c r="AB1306">
        <v>-1</v>
      </c>
      <c r="AC1306">
        <v>-1</v>
      </c>
      <c r="AD1306">
        <v>-1</v>
      </c>
      <c r="AE1306">
        <v>-1</v>
      </c>
      <c r="AF1306">
        <v>-1</v>
      </c>
      <c r="AG1306">
        <v>-1</v>
      </c>
      <c r="AH1306">
        <v>-1</v>
      </c>
      <c r="AI1306">
        <v>-1</v>
      </c>
      <c r="AJ1306" s="9" t="str">
        <f t="shared" si="391"/>
        <v>Tax exemption/waiver/suspension</v>
      </c>
      <c r="AK1306">
        <f t="shared" si="402"/>
        <v>0</v>
      </c>
      <c r="AL1306" s="9">
        <v>0</v>
      </c>
    </row>
    <row r="1307" spans="1:38" x14ac:dyDescent="0.35">
      <c r="A1307" s="50">
        <v>0</v>
      </c>
      <c r="B1307" s="50" t="s">
        <v>167</v>
      </c>
      <c r="C1307" s="53">
        <v>43894</v>
      </c>
      <c r="D1307" s="53">
        <v>43906</v>
      </c>
      <c r="E1307" s="53">
        <v>43969</v>
      </c>
      <c r="F1307" s="21">
        <f t="shared" si="403"/>
        <v>63</v>
      </c>
      <c r="G1307" s="53">
        <v>43906</v>
      </c>
      <c r="H1307" s="9">
        <v>2020</v>
      </c>
      <c r="I1307" s="50">
        <v>0</v>
      </c>
      <c r="J1307" s="50">
        <v>6</v>
      </c>
      <c r="K1307" s="50">
        <v>28</v>
      </c>
      <c r="L1307" s="24" t="s">
        <v>1555</v>
      </c>
      <c r="M1307" s="24"/>
      <c r="V1307" t="s">
        <v>984</v>
      </c>
      <c r="W1307" t="s">
        <v>989</v>
      </c>
      <c r="X1307" t="s">
        <v>997</v>
      </c>
      <c r="Y1307" t="s">
        <v>1000</v>
      </c>
      <c r="Z1307">
        <v>0</v>
      </c>
      <c r="AA1307">
        <v>-1</v>
      </c>
      <c r="AB1307">
        <v>-1</v>
      </c>
      <c r="AC1307">
        <v>-1</v>
      </c>
      <c r="AD1307">
        <v>-1</v>
      </c>
      <c r="AE1307">
        <v>-1</v>
      </c>
      <c r="AF1307">
        <v>-1</v>
      </c>
      <c r="AG1307">
        <v>-1</v>
      </c>
      <c r="AH1307">
        <v>-1</v>
      </c>
      <c r="AI1307">
        <v>-1</v>
      </c>
      <c r="AJ1307" s="9">
        <f t="shared" si="391"/>
        <v>28</v>
      </c>
      <c r="AK1307">
        <f t="shared" si="402"/>
        <v>0</v>
      </c>
      <c r="AL1307" s="9">
        <v>0</v>
      </c>
    </row>
    <row r="1308" spans="1:38" x14ac:dyDescent="0.35">
      <c r="A1308" s="50">
        <v>0</v>
      </c>
      <c r="B1308" s="50" t="s">
        <v>167</v>
      </c>
      <c r="C1308" s="53">
        <v>43894</v>
      </c>
      <c r="D1308" s="53">
        <v>43906</v>
      </c>
      <c r="E1308" s="53">
        <v>43969</v>
      </c>
      <c r="F1308" s="21">
        <f t="shared" si="403"/>
        <v>63</v>
      </c>
      <c r="G1308" s="53">
        <v>43906</v>
      </c>
      <c r="H1308" s="9">
        <v>2020</v>
      </c>
      <c r="I1308" s="50">
        <v>0</v>
      </c>
      <c r="J1308" s="50">
        <v>6</v>
      </c>
      <c r="K1308" s="50">
        <v>29</v>
      </c>
      <c r="L1308" s="24" t="s">
        <v>1556</v>
      </c>
      <c r="M1308" s="24"/>
      <c r="V1308" t="s">
        <v>984</v>
      </c>
      <c r="W1308" t="s">
        <v>989</v>
      </c>
      <c r="X1308" t="s">
        <v>997</v>
      </c>
      <c r="Y1308" t="s">
        <v>1000</v>
      </c>
      <c r="Z1308">
        <v>0</v>
      </c>
      <c r="AA1308">
        <v>-1</v>
      </c>
      <c r="AB1308">
        <v>-1</v>
      </c>
      <c r="AC1308">
        <v>-1</v>
      </c>
      <c r="AD1308">
        <v>-1</v>
      </c>
      <c r="AE1308">
        <v>-1</v>
      </c>
      <c r="AF1308">
        <v>-1</v>
      </c>
      <c r="AG1308">
        <v>-1</v>
      </c>
      <c r="AH1308">
        <v>-1</v>
      </c>
      <c r="AI1308">
        <v>-1</v>
      </c>
      <c r="AJ1308" s="9">
        <f t="shared" si="391"/>
        <v>29</v>
      </c>
      <c r="AK1308">
        <f t="shared" si="402"/>
        <v>0</v>
      </c>
      <c r="AL1308" s="9">
        <v>1</v>
      </c>
    </row>
    <row r="1309" spans="1:38" x14ac:dyDescent="0.35">
      <c r="A1309" s="50">
        <v>0</v>
      </c>
      <c r="B1309" s="50" t="s">
        <v>167</v>
      </c>
      <c r="C1309" s="53">
        <v>43894</v>
      </c>
      <c r="D1309" s="53">
        <v>43906</v>
      </c>
      <c r="E1309" s="53">
        <v>43969</v>
      </c>
      <c r="F1309" s="21">
        <f t="shared" si="403"/>
        <v>63</v>
      </c>
      <c r="G1309" s="53">
        <v>43906</v>
      </c>
      <c r="H1309" s="9">
        <v>2020</v>
      </c>
      <c r="I1309" s="50">
        <v>0</v>
      </c>
      <c r="J1309" s="50">
        <v>4</v>
      </c>
      <c r="K1309" s="50" t="s">
        <v>201</v>
      </c>
      <c r="L1309" s="24" t="s">
        <v>1557</v>
      </c>
      <c r="M1309" s="24"/>
      <c r="V1309" t="s">
        <v>984</v>
      </c>
      <c r="W1309" t="s">
        <v>989</v>
      </c>
      <c r="X1309" t="s">
        <v>997</v>
      </c>
      <c r="Y1309" t="s">
        <v>1000</v>
      </c>
      <c r="Z1309">
        <v>0</v>
      </c>
      <c r="AA1309">
        <v>-1</v>
      </c>
      <c r="AB1309">
        <v>-1</v>
      </c>
      <c r="AC1309">
        <v>-1</v>
      </c>
      <c r="AD1309">
        <v>-1</v>
      </c>
      <c r="AE1309">
        <v>-1</v>
      </c>
      <c r="AF1309">
        <v>-1</v>
      </c>
      <c r="AG1309">
        <v>-1</v>
      </c>
      <c r="AH1309">
        <v>-1</v>
      </c>
      <c r="AI1309">
        <v>-1</v>
      </c>
      <c r="AJ1309" s="9" t="str">
        <f t="shared" si="391"/>
        <v>Other</v>
      </c>
      <c r="AK1309">
        <f t="shared" si="402"/>
        <v>0</v>
      </c>
      <c r="AL1309" s="9">
        <v>1</v>
      </c>
    </row>
    <row r="1310" spans="1:38" x14ac:dyDescent="0.35">
      <c r="A1310" s="50">
        <v>0</v>
      </c>
      <c r="B1310" s="50" t="s">
        <v>167</v>
      </c>
      <c r="C1310" s="53">
        <v>43894</v>
      </c>
      <c r="D1310" s="53">
        <v>43906</v>
      </c>
      <c r="E1310" s="53">
        <v>43969</v>
      </c>
      <c r="F1310" s="21">
        <f t="shared" ref="F1310" si="404">DATEDIF(D1310,E1310,"D")</f>
        <v>63</v>
      </c>
      <c r="G1310" s="53">
        <v>43906</v>
      </c>
      <c r="H1310" s="9">
        <v>2020</v>
      </c>
      <c r="I1310" s="50">
        <v>0</v>
      </c>
      <c r="J1310" s="50">
        <v>1</v>
      </c>
      <c r="K1310" s="50">
        <v>1</v>
      </c>
      <c r="L1310" s="24" t="s">
        <v>1785</v>
      </c>
      <c r="M1310" s="24"/>
      <c r="AJ1310" s="9"/>
      <c r="AL1310" s="9"/>
    </row>
    <row r="1311" spans="1:38" s="47" customFormat="1" x14ac:dyDescent="0.35">
      <c r="A1311" s="50">
        <v>0</v>
      </c>
      <c r="B1311" s="50" t="s">
        <v>167</v>
      </c>
      <c r="C1311" s="53">
        <v>43894</v>
      </c>
      <c r="D1311" s="53">
        <v>43906</v>
      </c>
      <c r="E1311" s="53">
        <v>43969</v>
      </c>
      <c r="F1311" s="21">
        <f t="shared" ref="F1311:F1315" si="405">DATEDIF(D1311,E1311,"D")</f>
        <v>63</v>
      </c>
      <c r="G1311" s="53">
        <v>43906</v>
      </c>
      <c r="H1311" s="9">
        <v>2021</v>
      </c>
      <c r="I1311" s="50">
        <v>0</v>
      </c>
      <c r="J1311" s="50">
        <v>9</v>
      </c>
      <c r="K1311" s="50">
        <v>34</v>
      </c>
      <c r="L1311" s="48" t="s">
        <v>2084</v>
      </c>
      <c r="M1311" s="48"/>
    </row>
    <row r="1312" spans="1:38" s="47" customFormat="1" x14ac:dyDescent="0.35">
      <c r="A1312" s="50">
        <v>0</v>
      </c>
      <c r="B1312" s="50" t="s">
        <v>167</v>
      </c>
      <c r="C1312" s="53">
        <v>43894</v>
      </c>
      <c r="D1312" s="53">
        <v>43906</v>
      </c>
      <c r="E1312" s="53">
        <v>43969</v>
      </c>
      <c r="F1312" s="21">
        <f t="shared" si="405"/>
        <v>63</v>
      </c>
      <c r="G1312" s="53">
        <v>43906</v>
      </c>
      <c r="H1312" s="9">
        <v>2021</v>
      </c>
      <c r="I1312" s="50">
        <v>0</v>
      </c>
      <c r="J1312" s="50">
        <v>4</v>
      </c>
      <c r="K1312" s="50" t="s">
        <v>201</v>
      </c>
      <c r="L1312" s="48" t="s">
        <v>2085</v>
      </c>
      <c r="M1312" s="48"/>
    </row>
    <row r="1313" spans="1:38" s="47" customFormat="1" x14ac:dyDescent="0.35">
      <c r="A1313" s="50">
        <v>0</v>
      </c>
      <c r="B1313" s="50" t="s">
        <v>167</v>
      </c>
      <c r="C1313" s="53">
        <v>43894</v>
      </c>
      <c r="D1313" s="53">
        <v>43906</v>
      </c>
      <c r="E1313" s="53">
        <v>43969</v>
      </c>
      <c r="F1313" s="21">
        <f t="shared" si="405"/>
        <v>63</v>
      </c>
      <c r="G1313" s="53">
        <v>43906</v>
      </c>
      <c r="H1313" s="9">
        <v>2021</v>
      </c>
      <c r="I1313" s="50">
        <v>0</v>
      </c>
      <c r="J1313" s="50">
        <v>4</v>
      </c>
      <c r="K1313" s="50" t="s">
        <v>201</v>
      </c>
      <c r="L1313" s="48" t="s">
        <v>2086</v>
      </c>
      <c r="M1313" s="48"/>
    </row>
    <row r="1314" spans="1:38" s="47" customFormat="1" x14ac:dyDescent="0.35">
      <c r="A1314" s="50">
        <v>0</v>
      </c>
      <c r="B1314" s="50" t="s">
        <v>167</v>
      </c>
      <c r="C1314" s="53">
        <v>43894</v>
      </c>
      <c r="D1314" s="53">
        <v>43906</v>
      </c>
      <c r="E1314" s="53">
        <v>43969</v>
      </c>
      <c r="F1314" s="21">
        <f t="shared" si="405"/>
        <v>63</v>
      </c>
      <c r="G1314" s="53">
        <v>43906</v>
      </c>
      <c r="H1314" s="9">
        <v>2021</v>
      </c>
      <c r="I1314" s="50">
        <v>0</v>
      </c>
      <c r="J1314" s="50">
        <v>6</v>
      </c>
      <c r="K1314" s="50">
        <v>29</v>
      </c>
      <c r="L1314" s="48" t="s">
        <v>2087</v>
      </c>
      <c r="M1314" s="48"/>
    </row>
    <row r="1315" spans="1:38" s="47" customFormat="1" x14ac:dyDescent="0.35">
      <c r="A1315" s="50">
        <v>0</v>
      </c>
      <c r="B1315" s="50" t="s">
        <v>167</v>
      </c>
      <c r="C1315" s="53">
        <v>43894</v>
      </c>
      <c r="D1315" s="53">
        <v>43906</v>
      </c>
      <c r="E1315" s="53">
        <v>43969</v>
      </c>
      <c r="F1315" s="21">
        <f t="shared" si="405"/>
        <v>63</v>
      </c>
      <c r="G1315" s="53">
        <v>43906</v>
      </c>
      <c r="H1315" s="9">
        <v>2021</v>
      </c>
      <c r="I1315" s="50">
        <v>0</v>
      </c>
      <c r="J1315" s="50">
        <v>1</v>
      </c>
      <c r="K1315" s="50">
        <v>11</v>
      </c>
      <c r="L1315" s="48" t="s">
        <v>2088</v>
      </c>
      <c r="M1315" s="48"/>
    </row>
    <row r="1316" spans="1:38" x14ac:dyDescent="0.35">
      <c r="A1316" s="9">
        <v>1</v>
      </c>
      <c r="B1316" s="9" t="s">
        <v>55</v>
      </c>
      <c r="C1316" s="53">
        <v>43861</v>
      </c>
      <c r="D1316" s="53">
        <v>43904</v>
      </c>
      <c r="E1316" s="53">
        <v>43966</v>
      </c>
      <c r="F1316" s="21">
        <f t="shared" si="403"/>
        <v>62</v>
      </c>
      <c r="G1316" s="53">
        <v>43904</v>
      </c>
      <c r="H1316" s="9">
        <v>2020</v>
      </c>
      <c r="I1316" s="9">
        <v>1</v>
      </c>
      <c r="J1316" s="9">
        <v>1</v>
      </c>
      <c r="K1316" s="9">
        <v>6</v>
      </c>
      <c r="L1316" s="50" t="s">
        <v>449</v>
      </c>
      <c r="M1316">
        <v>2</v>
      </c>
      <c r="N1316">
        <v>2</v>
      </c>
      <c r="O1316">
        <v>-2</v>
      </c>
      <c r="P1316">
        <v>-1</v>
      </c>
      <c r="Q1316">
        <v>-2</v>
      </c>
      <c r="R1316">
        <v>2</v>
      </c>
      <c r="S1316">
        <v>1</v>
      </c>
      <c r="T1316">
        <v>2</v>
      </c>
      <c r="U1316">
        <v>1</v>
      </c>
      <c r="V1316" t="s">
        <v>961</v>
      </c>
      <c r="W1316" t="s">
        <v>989</v>
      </c>
      <c r="X1316" t="s">
        <v>997</v>
      </c>
      <c r="Y1316" t="s">
        <v>1000</v>
      </c>
      <c r="Z1316">
        <v>1</v>
      </c>
      <c r="AA1316">
        <f t="shared" ref="AA1316:AA1352" si="406">IF(M1316&gt;0,1,IF(M1316&lt;0,0,-1))</f>
        <v>1</v>
      </c>
      <c r="AB1316">
        <f t="shared" ref="AB1316:AB1352" si="407">IF(N1316&gt;0,1,IF(N1316&lt;0,0,-1))</f>
        <v>1</v>
      </c>
      <c r="AC1316">
        <f t="shared" ref="AC1316:AC1352" si="408">IF(O1316&gt;0,1,IF(O1316&lt;0,0,-1))</f>
        <v>0</v>
      </c>
      <c r="AD1316">
        <f t="shared" ref="AD1316:AD1352" si="409">IF(P1316&gt;0,1,IF(P1316&lt;0,0,-1))</f>
        <v>0</v>
      </c>
      <c r="AE1316">
        <f t="shared" ref="AE1316:AE1352" si="410">IF(Q1316&gt;0,1,IF(Q1316&lt;0,0,-1))</f>
        <v>0</v>
      </c>
      <c r="AF1316">
        <f t="shared" ref="AF1316:AF1352" si="411">IF(R1316&gt;0,1,IF(R1316&lt;0,0,-1))</f>
        <v>1</v>
      </c>
      <c r="AG1316">
        <f t="shared" ref="AG1316:AG1352" si="412">IF(S1316&gt;0,1,IF(S1316&lt;0,0,-1))</f>
        <v>1</v>
      </c>
      <c r="AH1316">
        <f t="shared" ref="AH1316:AH1352" si="413">IF(T1316&gt;0,1,IF(T1316&lt;0,0,-1))</f>
        <v>1</v>
      </c>
      <c r="AI1316">
        <f t="shared" ref="AI1316:AI1352" si="414">IF(U1316&gt;0,1,IF(U1316&lt;0,0,-1))</f>
        <v>1</v>
      </c>
      <c r="AJ1316" s="9">
        <f t="shared" ref="AJ1316:AJ1342" si="415">IF(ISNUMBER(K1316),K1316,IF(OR(K1316="general",K1316="23;general"),"General",IF(OR(K1316="exemption",K1316="other (exemption)"),"Tax exemption/waiver/suspension","Other")))</f>
        <v>6</v>
      </c>
      <c r="AK1316" t="e">
        <f>IF(B1316&lt;&gt;#REF!,1,0)</f>
        <v>#REF!</v>
      </c>
      <c r="AL1316" s="9">
        <v>1</v>
      </c>
    </row>
    <row r="1317" spans="1:38" x14ac:dyDescent="0.35">
      <c r="A1317" s="9">
        <v>1</v>
      </c>
      <c r="B1317" s="9" t="s">
        <v>55</v>
      </c>
      <c r="C1317" s="53">
        <v>43861</v>
      </c>
      <c r="D1317" s="53">
        <v>43904</v>
      </c>
      <c r="E1317" s="53">
        <v>43966</v>
      </c>
      <c r="F1317" s="21">
        <f t="shared" si="403"/>
        <v>62</v>
      </c>
      <c r="G1317" s="53">
        <v>43904</v>
      </c>
      <c r="H1317" s="9">
        <v>2020</v>
      </c>
      <c r="I1317" s="9">
        <v>1</v>
      </c>
      <c r="J1317" s="9">
        <v>5</v>
      </c>
      <c r="K1317" s="9" t="s">
        <v>204</v>
      </c>
      <c r="L1317" s="50" t="s">
        <v>447</v>
      </c>
      <c r="M1317">
        <v>1</v>
      </c>
      <c r="N1317">
        <v>2</v>
      </c>
      <c r="O1317">
        <v>-2</v>
      </c>
      <c r="P1317">
        <v>1</v>
      </c>
      <c r="Q1317">
        <v>2</v>
      </c>
      <c r="R1317">
        <v>-1</v>
      </c>
      <c r="S1317">
        <v>1</v>
      </c>
      <c r="T1317">
        <v>2</v>
      </c>
      <c r="U1317">
        <v>1</v>
      </c>
      <c r="V1317" t="s">
        <v>961</v>
      </c>
      <c r="W1317" t="s">
        <v>989</v>
      </c>
      <c r="X1317" t="s">
        <v>997</v>
      </c>
      <c r="Y1317" t="s">
        <v>1000</v>
      </c>
      <c r="Z1317">
        <v>1</v>
      </c>
      <c r="AA1317">
        <f t="shared" si="406"/>
        <v>1</v>
      </c>
      <c r="AB1317">
        <f t="shared" si="407"/>
        <v>1</v>
      </c>
      <c r="AC1317">
        <f t="shared" si="408"/>
        <v>0</v>
      </c>
      <c r="AD1317">
        <f t="shared" si="409"/>
        <v>1</v>
      </c>
      <c r="AE1317">
        <f t="shared" si="410"/>
        <v>1</v>
      </c>
      <c r="AF1317">
        <f t="shared" si="411"/>
        <v>0</v>
      </c>
      <c r="AG1317">
        <f t="shared" si="412"/>
        <v>1</v>
      </c>
      <c r="AH1317">
        <f t="shared" si="413"/>
        <v>1</v>
      </c>
      <c r="AI1317">
        <f t="shared" si="414"/>
        <v>1</v>
      </c>
      <c r="AJ1317" s="9" t="str">
        <f t="shared" si="415"/>
        <v>General</v>
      </c>
      <c r="AK1317">
        <f t="shared" ref="AK1317:AK1360" si="416">IF(B1317&lt;&gt;B1316,1,0)</f>
        <v>0</v>
      </c>
      <c r="AL1317" s="9">
        <v>1</v>
      </c>
    </row>
    <row r="1318" spans="1:38" x14ac:dyDescent="0.35">
      <c r="A1318" s="9">
        <v>1</v>
      </c>
      <c r="B1318" s="9" t="s">
        <v>55</v>
      </c>
      <c r="C1318" s="53">
        <v>43861</v>
      </c>
      <c r="D1318" s="53">
        <v>43904</v>
      </c>
      <c r="E1318" s="53">
        <v>43966</v>
      </c>
      <c r="F1318" s="21">
        <f t="shared" si="403"/>
        <v>62</v>
      </c>
      <c r="G1318" s="53">
        <v>43904</v>
      </c>
      <c r="H1318" s="9">
        <v>2020</v>
      </c>
      <c r="I1318" s="9">
        <v>1</v>
      </c>
      <c r="J1318" s="9">
        <v>7</v>
      </c>
      <c r="K1318" s="9">
        <v>30</v>
      </c>
      <c r="L1318" s="50" t="s">
        <v>420</v>
      </c>
      <c r="M1318">
        <v>1</v>
      </c>
      <c r="N1318">
        <v>1</v>
      </c>
      <c r="O1318">
        <v>2</v>
      </c>
      <c r="P1318">
        <v>1</v>
      </c>
      <c r="Q1318">
        <v>2</v>
      </c>
      <c r="R1318">
        <v>2</v>
      </c>
      <c r="S1318">
        <v>1</v>
      </c>
      <c r="T1318">
        <v>-2</v>
      </c>
      <c r="U1318">
        <v>1</v>
      </c>
      <c r="V1318" t="s">
        <v>961</v>
      </c>
      <c r="W1318" t="s">
        <v>989</v>
      </c>
      <c r="X1318" t="s">
        <v>997</v>
      </c>
      <c r="Y1318" t="s">
        <v>1000</v>
      </c>
      <c r="Z1318">
        <v>1</v>
      </c>
      <c r="AA1318">
        <f t="shared" si="406"/>
        <v>1</v>
      </c>
      <c r="AB1318">
        <f t="shared" si="407"/>
        <v>1</v>
      </c>
      <c r="AC1318">
        <f t="shared" si="408"/>
        <v>1</v>
      </c>
      <c r="AD1318">
        <f t="shared" si="409"/>
        <v>1</v>
      </c>
      <c r="AE1318">
        <f t="shared" si="410"/>
        <v>1</v>
      </c>
      <c r="AF1318">
        <f t="shared" si="411"/>
        <v>1</v>
      </c>
      <c r="AG1318">
        <f t="shared" si="412"/>
        <v>1</v>
      </c>
      <c r="AH1318">
        <f t="shared" si="413"/>
        <v>0</v>
      </c>
      <c r="AI1318">
        <f t="shared" si="414"/>
        <v>1</v>
      </c>
      <c r="AJ1318" s="9">
        <f t="shared" si="415"/>
        <v>30</v>
      </c>
      <c r="AK1318">
        <f t="shared" si="416"/>
        <v>0</v>
      </c>
      <c r="AL1318" s="9">
        <v>1</v>
      </c>
    </row>
    <row r="1319" spans="1:38" x14ac:dyDescent="0.35">
      <c r="A1319" s="9">
        <v>1</v>
      </c>
      <c r="B1319" s="9" t="s">
        <v>55</v>
      </c>
      <c r="C1319" s="53">
        <v>43861</v>
      </c>
      <c r="D1319" s="53">
        <v>43904</v>
      </c>
      <c r="E1319" s="53">
        <v>43966</v>
      </c>
      <c r="F1319" s="21">
        <f t="shared" si="403"/>
        <v>62</v>
      </c>
      <c r="G1319" s="53">
        <v>43904</v>
      </c>
      <c r="H1319" s="9">
        <v>2020</v>
      </c>
      <c r="I1319" s="9">
        <v>1</v>
      </c>
      <c r="J1319" s="9">
        <v>7</v>
      </c>
      <c r="K1319" s="9">
        <v>30</v>
      </c>
      <c r="L1319" s="50" t="s">
        <v>426</v>
      </c>
      <c r="M1319">
        <v>1</v>
      </c>
      <c r="N1319">
        <v>1</v>
      </c>
      <c r="O1319">
        <v>2</v>
      </c>
      <c r="P1319">
        <v>1</v>
      </c>
      <c r="Q1319">
        <v>2</v>
      </c>
      <c r="R1319">
        <v>2</v>
      </c>
      <c r="S1319">
        <v>1</v>
      </c>
      <c r="T1319">
        <v>2</v>
      </c>
      <c r="U1319">
        <v>1</v>
      </c>
      <c r="V1319" t="s">
        <v>961</v>
      </c>
      <c r="W1319" t="s">
        <v>989</v>
      </c>
      <c r="X1319" t="s">
        <v>997</v>
      </c>
      <c r="Y1319" t="s">
        <v>1000</v>
      </c>
      <c r="Z1319">
        <v>1</v>
      </c>
      <c r="AA1319">
        <f t="shared" si="406"/>
        <v>1</v>
      </c>
      <c r="AB1319">
        <f t="shared" si="407"/>
        <v>1</v>
      </c>
      <c r="AC1319">
        <f t="shared" si="408"/>
        <v>1</v>
      </c>
      <c r="AD1319">
        <f t="shared" si="409"/>
        <v>1</v>
      </c>
      <c r="AE1319">
        <f t="shared" si="410"/>
        <v>1</v>
      </c>
      <c r="AF1319">
        <f t="shared" si="411"/>
        <v>1</v>
      </c>
      <c r="AG1319">
        <f t="shared" si="412"/>
        <v>1</v>
      </c>
      <c r="AH1319">
        <f t="shared" si="413"/>
        <v>1</v>
      </c>
      <c r="AI1319">
        <f t="shared" si="414"/>
        <v>1</v>
      </c>
      <c r="AJ1319" s="9">
        <f t="shared" si="415"/>
        <v>30</v>
      </c>
      <c r="AK1319">
        <f t="shared" si="416"/>
        <v>0</v>
      </c>
      <c r="AL1319" s="9">
        <v>1</v>
      </c>
    </row>
    <row r="1320" spans="1:38" x14ac:dyDescent="0.35">
      <c r="A1320" s="9">
        <v>1</v>
      </c>
      <c r="B1320" s="9" t="s">
        <v>55</v>
      </c>
      <c r="C1320" s="53">
        <v>43861</v>
      </c>
      <c r="D1320" s="53">
        <v>43904</v>
      </c>
      <c r="E1320" s="53">
        <v>43966</v>
      </c>
      <c r="F1320" s="21">
        <f t="shared" si="403"/>
        <v>62</v>
      </c>
      <c r="G1320" s="53">
        <v>43904</v>
      </c>
      <c r="H1320" s="9">
        <v>2020</v>
      </c>
      <c r="I1320" s="9">
        <v>1</v>
      </c>
      <c r="J1320" s="9">
        <v>6</v>
      </c>
      <c r="K1320" s="9">
        <v>27</v>
      </c>
      <c r="L1320" s="50" t="s">
        <v>419</v>
      </c>
      <c r="M1320">
        <v>1</v>
      </c>
      <c r="N1320">
        <v>1</v>
      </c>
      <c r="O1320">
        <v>2</v>
      </c>
      <c r="P1320">
        <v>-1</v>
      </c>
      <c r="Q1320">
        <v>-2</v>
      </c>
      <c r="R1320">
        <v>2</v>
      </c>
      <c r="S1320">
        <v>1</v>
      </c>
      <c r="T1320">
        <v>2</v>
      </c>
      <c r="U1320">
        <v>1</v>
      </c>
      <c r="V1320" t="s">
        <v>961</v>
      </c>
      <c r="W1320" t="s">
        <v>989</v>
      </c>
      <c r="X1320" t="s">
        <v>997</v>
      </c>
      <c r="Y1320" t="s">
        <v>1000</v>
      </c>
      <c r="Z1320">
        <v>1</v>
      </c>
      <c r="AA1320">
        <f t="shared" si="406"/>
        <v>1</v>
      </c>
      <c r="AB1320">
        <f t="shared" si="407"/>
        <v>1</v>
      </c>
      <c r="AC1320">
        <f t="shared" si="408"/>
        <v>1</v>
      </c>
      <c r="AD1320">
        <f t="shared" si="409"/>
        <v>0</v>
      </c>
      <c r="AE1320">
        <f t="shared" si="410"/>
        <v>0</v>
      </c>
      <c r="AF1320">
        <f t="shared" si="411"/>
        <v>1</v>
      </c>
      <c r="AG1320">
        <f t="shared" si="412"/>
        <v>1</v>
      </c>
      <c r="AH1320">
        <f t="shared" si="413"/>
        <v>1</v>
      </c>
      <c r="AI1320">
        <f t="shared" si="414"/>
        <v>1</v>
      </c>
      <c r="AJ1320" s="9">
        <f t="shared" si="415"/>
        <v>27</v>
      </c>
      <c r="AK1320">
        <f t="shared" si="416"/>
        <v>0</v>
      </c>
      <c r="AL1320" s="9">
        <v>1</v>
      </c>
    </row>
    <row r="1321" spans="1:38" x14ac:dyDescent="0.35">
      <c r="A1321" s="9">
        <v>1</v>
      </c>
      <c r="B1321" s="9" t="s">
        <v>55</v>
      </c>
      <c r="C1321" s="53">
        <v>43861</v>
      </c>
      <c r="D1321" s="53">
        <v>43904</v>
      </c>
      <c r="E1321" s="53">
        <v>43966</v>
      </c>
      <c r="F1321" s="21">
        <f t="shared" si="403"/>
        <v>62</v>
      </c>
      <c r="G1321" s="53">
        <v>43904</v>
      </c>
      <c r="H1321" s="9">
        <v>2020</v>
      </c>
      <c r="I1321" s="9">
        <v>1</v>
      </c>
      <c r="J1321" s="9">
        <v>4</v>
      </c>
      <c r="K1321" s="9">
        <v>20</v>
      </c>
      <c r="L1321" s="50" t="s">
        <v>441</v>
      </c>
      <c r="N1321">
        <v>2</v>
      </c>
      <c r="O1321">
        <v>-2</v>
      </c>
      <c r="P1321">
        <v>-1</v>
      </c>
      <c r="Q1321">
        <v>-2</v>
      </c>
      <c r="R1321">
        <v>-2</v>
      </c>
      <c r="S1321">
        <v>2</v>
      </c>
      <c r="T1321">
        <v>2</v>
      </c>
      <c r="U1321">
        <v>1</v>
      </c>
      <c r="V1321" t="s">
        <v>961</v>
      </c>
      <c r="W1321" t="s">
        <v>989</v>
      </c>
      <c r="X1321" t="s">
        <v>997</v>
      </c>
      <c r="Y1321" t="s">
        <v>1000</v>
      </c>
      <c r="Z1321">
        <v>1</v>
      </c>
      <c r="AA1321">
        <f t="shared" si="406"/>
        <v>-1</v>
      </c>
      <c r="AB1321">
        <f t="shared" si="407"/>
        <v>1</v>
      </c>
      <c r="AC1321">
        <f t="shared" si="408"/>
        <v>0</v>
      </c>
      <c r="AD1321">
        <f t="shared" si="409"/>
        <v>0</v>
      </c>
      <c r="AE1321">
        <f t="shared" si="410"/>
        <v>0</v>
      </c>
      <c r="AF1321">
        <f t="shared" si="411"/>
        <v>0</v>
      </c>
      <c r="AG1321">
        <f t="shared" si="412"/>
        <v>1</v>
      </c>
      <c r="AH1321">
        <f t="shared" si="413"/>
        <v>1</v>
      </c>
      <c r="AI1321">
        <f t="shared" si="414"/>
        <v>1</v>
      </c>
      <c r="AJ1321" s="9">
        <f t="shared" si="415"/>
        <v>20</v>
      </c>
      <c r="AK1321">
        <f t="shared" si="416"/>
        <v>0</v>
      </c>
      <c r="AL1321" s="9">
        <v>1</v>
      </c>
    </row>
    <row r="1322" spans="1:38" x14ac:dyDescent="0.35">
      <c r="A1322" s="9">
        <v>1</v>
      </c>
      <c r="B1322" s="9" t="s">
        <v>55</v>
      </c>
      <c r="C1322" s="53">
        <v>43861</v>
      </c>
      <c r="D1322" s="53">
        <v>43904</v>
      </c>
      <c r="E1322" s="53">
        <v>43966</v>
      </c>
      <c r="F1322" s="21">
        <f t="shared" si="403"/>
        <v>62</v>
      </c>
      <c r="G1322" s="53">
        <v>43904</v>
      </c>
      <c r="H1322" s="9">
        <v>2020</v>
      </c>
      <c r="I1322" s="9">
        <v>1</v>
      </c>
      <c r="J1322" s="9">
        <v>1</v>
      </c>
      <c r="K1322" s="9">
        <v>11</v>
      </c>
      <c r="L1322" s="50" t="s">
        <v>425</v>
      </c>
      <c r="M1322">
        <v>-2</v>
      </c>
      <c r="N1322">
        <v>2</v>
      </c>
      <c r="O1322">
        <v>-2</v>
      </c>
      <c r="P1322">
        <v>2</v>
      </c>
      <c r="Q1322">
        <v>2</v>
      </c>
      <c r="R1322">
        <v>2</v>
      </c>
      <c r="S1322">
        <v>2</v>
      </c>
      <c r="T1322">
        <v>2</v>
      </c>
      <c r="U1322">
        <v>1</v>
      </c>
      <c r="V1322" t="s">
        <v>961</v>
      </c>
      <c r="W1322" t="s">
        <v>989</v>
      </c>
      <c r="X1322" t="s">
        <v>997</v>
      </c>
      <c r="Y1322" t="s">
        <v>1000</v>
      </c>
      <c r="Z1322">
        <v>1</v>
      </c>
      <c r="AA1322">
        <f t="shared" si="406"/>
        <v>0</v>
      </c>
      <c r="AB1322">
        <f t="shared" si="407"/>
        <v>1</v>
      </c>
      <c r="AC1322">
        <f t="shared" si="408"/>
        <v>0</v>
      </c>
      <c r="AD1322">
        <f t="shared" si="409"/>
        <v>1</v>
      </c>
      <c r="AE1322">
        <f t="shared" si="410"/>
        <v>1</v>
      </c>
      <c r="AF1322">
        <f t="shared" si="411"/>
        <v>1</v>
      </c>
      <c r="AG1322">
        <f t="shared" si="412"/>
        <v>1</v>
      </c>
      <c r="AH1322">
        <f t="shared" si="413"/>
        <v>1</v>
      </c>
      <c r="AI1322">
        <f t="shared" si="414"/>
        <v>1</v>
      </c>
      <c r="AJ1322" s="9">
        <f t="shared" si="415"/>
        <v>11</v>
      </c>
      <c r="AK1322">
        <f t="shared" si="416"/>
        <v>0</v>
      </c>
      <c r="AL1322" s="9">
        <v>1</v>
      </c>
    </row>
    <row r="1323" spans="1:38" x14ac:dyDescent="0.35">
      <c r="A1323" s="9">
        <v>1</v>
      </c>
      <c r="B1323" s="9" t="s">
        <v>55</v>
      </c>
      <c r="C1323" s="53">
        <v>43861</v>
      </c>
      <c r="D1323" s="53">
        <v>43904</v>
      </c>
      <c r="E1323" s="53">
        <v>43966</v>
      </c>
      <c r="F1323" s="21">
        <f t="shared" si="403"/>
        <v>62</v>
      </c>
      <c r="G1323" s="53">
        <v>43904</v>
      </c>
      <c r="H1323" s="9">
        <v>2020</v>
      </c>
      <c r="I1323" s="9">
        <v>1</v>
      </c>
      <c r="J1323" s="9">
        <v>7</v>
      </c>
      <c r="K1323" s="9">
        <v>32</v>
      </c>
      <c r="L1323" s="50" t="s">
        <v>438</v>
      </c>
      <c r="M1323">
        <v>1</v>
      </c>
      <c r="N1323">
        <v>1</v>
      </c>
      <c r="O1323">
        <v>2</v>
      </c>
      <c r="P1323">
        <v>1</v>
      </c>
      <c r="Q1323">
        <v>2</v>
      </c>
      <c r="R1323">
        <v>2</v>
      </c>
      <c r="S1323">
        <v>1</v>
      </c>
      <c r="T1323">
        <v>2</v>
      </c>
      <c r="U1323">
        <v>1</v>
      </c>
      <c r="V1323" t="s">
        <v>961</v>
      </c>
      <c r="W1323" t="s">
        <v>989</v>
      </c>
      <c r="X1323" t="s">
        <v>997</v>
      </c>
      <c r="Y1323" t="s">
        <v>1000</v>
      </c>
      <c r="Z1323">
        <v>1</v>
      </c>
      <c r="AA1323">
        <f t="shared" si="406"/>
        <v>1</v>
      </c>
      <c r="AB1323">
        <f t="shared" si="407"/>
        <v>1</v>
      </c>
      <c r="AC1323">
        <f t="shared" si="408"/>
        <v>1</v>
      </c>
      <c r="AD1323">
        <f t="shared" si="409"/>
        <v>1</v>
      </c>
      <c r="AE1323">
        <f t="shared" si="410"/>
        <v>1</v>
      </c>
      <c r="AF1323">
        <f t="shared" si="411"/>
        <v>1</v>
      </c>
      <c r="AG1323">
        <f t="shared" si="412"/>
        <v>1</v>
      </c>
      <c r="AH1323">
        <f t="shared" si="413"/>
        <v>1</v>
      </c>
      <c r="AI1323">
        <f t="shared" si="414"/>
        <v>1</v>
      </c>
      <c r="AJ1323" s="9">
        <f t="shared" si="415"/>
        <v>32</v>
      </c>
      <c r="AK1323">
        <f t="shared" si="416"/>
        <v>0</v>
      </c>
      <c r="AL1323" s="9">
        <v>1</v>
      </c>
    </row>
    <row r="1324" spans="1:38" x14ac:dyDescent="0.35">
      <c r="A1324" s="9">
        <v>1</v>
      </c>
      <c r="B1324" s="9" t="s">
        <v>55</v>
      </c>
      <c r="C1324" s="53">
        <v>43861</v>
      </c>
      <c r="D1324" s="53">
        <v>43904</v>
      </c>
      <c r="E1324" s="53">
        <v>43966</v>
      </c>
      <c r="F1324" s="21">
        <f t="shared" si="403"/>
        <v>62</v>
      </c>
      <c r="G1324" s="53">
        <v>43904</v>
      </c>
      <c r="H1324" s="9">
        <v>2020</v>
      </c>
      <c r="I1324" s="9">
        <v>1</v>
      </c>
      <c r="J1324" s="9">
        <v>7</v>
      </c>
      <c r="K1324" s="9">
        <v>30</v>
      </c>
      <c r="L1324" s="50" t="s">
        <v>443</v>
      </c>
      <c r="M1324">
        <v>1</v>
      </c>
      <c r="N1324">
        <v>1</v>
      </c>
      <c r="O1324">
        <v>2</v>
      </c>
      <c r="P1324">
        <v>1</v>
      </c>
      <c r="Q1324">
        <v>2</v>
      </c>
      <c r="R1324">
        <v>2</v>
      </c>
      <c r="S1324">
        <v>1</v>
      </c>
      <c r="T1324">
        <v>2</v>
      </c>
      <c r="U1324">
        <v>1</v>
      </c>
      <c r="V1324" t="s">
        <v>961</v>
      </c>
      <c r="W1324" t="s">
        <v>989</v>
      </c>
      <c r="X1324" t="s">
        <v>997</v>
      </c>
      <c r="Y1324" t="s">
        <v>1000</v>
      </c>
      <c r="Z1324">
        <v>1</v>
      </c>
      <c r="AA1324">
        <f t="shared" si="406"/>
        <v>1</v>
      </c>
      <c r="AB1324">
        <f t="shared" si="407"/>
        <v>1</v>
      </c>
      <c r="AC1324">
        <f t="shared" si="408"/>
        <v>1</v>
      </c>
      <c r="AD1324">
        <f t="shared" si="409"/>
        <v>1</v>
      </c>
      <c r="AE1324">
        <f t="shared" si="410"/>
        <v>1</v>
      </c>
      <c r="AF1324">
        <f t="shared" si="411"/>
        <v>1</v>
      </c>
      <c r="AG1324">
        <f t="shared" si="412"/>
        <v>1</v>
      </c>
      <c r="AH1324">
        <f t="shared" si="413"/>
        <v>1</v>
      </c>
      <c r="AI1324">
        <f t="shared" si="414"/>
        <v>1</v>
      </c>
      <c r="AJ1324" s="9">
        <f t="shared" si="415"/>
        <v>30</v>
      </c>
      <c r="AK1324">
        <f t="shared" si="416"/>
        <v>0</v>
      </c>
      <c r="AL1324" s="9">
        <v>1</v>
      </c>
    </row>
    <row r="1325" spans="1:38" x14ac:dyDescent="0.35">
      <c r="A1325" s="9">
        <v>1</v>
      </c>
      <c r="B1325" s="9" t="s">
        <v>55</v>
      </c>
      <c r="C1325" s="53">
        <v>43861</v>
      </c>
      <c r="D1325" s="53">
        <v>43904</v>
      </c>
      <c r="E1325" s="53">
        <v>43966</v>
      </c>
      <c r="F1325" s="21">
        <f t="shared" si="403"/>
        <v>62</v>
      </c>
      <c r="G1325" s="53">
        <v>43904</v>
      </c>
      <c r="H1325" s="9">
        <v>2020</v>
      </c>
      <c r="I1325" s="9">
        <v>1</v>
      </c>
      <c r="J1325" s="9">
        <v>6</v>
      </c>
      <c r="K1325" s="9">
        <v>26</v>
      </c>
      <c r="L1325" s="50" t="s">
        <v>433</v>
      </c>
      <c r="M1325">
        <v>1</v>
      </c>
      <c r="N1325">
        <v>1</v>
      </c>
      <c r="O1325">
        <v>2</v>
      </c>
      <c r="P1325">
        <v>-1</v>
      </c>
      <c r="Q1325">
        <v>-2</v>
      </c>
      <c r="R1325">
        <v>2</v>
      </c>
      <c r="S1325">
        <v>1</v>
      </c>
      <c r="T1325">
        <v>2</v>
      </c>
      <c r="U1325">
        <v>1</v>
      </c>
      <c r="V1325" t="s">
        <v>961</v>
      </c>
      <c r="W1325" t="s">
        <v>989</v>
      </c>
      <c r="X1325" t="s">
        <v>997</v>
      </c>
      <c r="Y1325" t="s">
        <v>1000</v>
      </c>
      <c r="Z1325">
        <v>1</v>
      </c>
      <c r="AA1325">
        <f t="shared" si="406"/>
        <v>1</v>
      </c>
      <c r="AB1325">
        <f t="shared" si="407"/>
        <v>1</v>
      </c>
      <c r="AC1325">
        <f t="shared" si="408"/>
        <v>1</v>
      </c>
      <c r="AD1325">
        <f t="shared" si="409"/>
        <v>0</v>
      </c>
      <c r="AE1325">
        <f t="shared" si="410"/>
        <v>0</v>
      </c>
      <c r="AF1325">
        <f t="shared" si="411"/>
        <v>1</v>
      </c>
      <c r="AG1325">
        <f t="shared" si="412"/>
        <v>1</v>
      </c>
      <c r="AH1325">
        <f t="shared" si="413"/>
        <v>1</v>
      </c>
      <c r="AI1325">
        <f t="shared" si="414"/>
        <v>1</v>
      </c>
      <c r="AJ1325" s="9">
        <f t="shared" si="415"/>
        <v>26</v>
      </c>
      <c r="AK1325" t="e">
        <f>IF(B1325&lt;&gt;#REF!,1,0)</f>
        <v>#REF!</v>
      </c>
      <c r="AL1325" s="9">
        <v>1</v>
      </c>
    </row>
    <row r="1326" spans="1:38" x14ac:dyDescent="0.35">
      <c r="A1326" s="9">
        <v>1</v>
      </c>
      <c r="B1326" s="9" t="s">
        <v>55</v>
      </c>
      <c r="C1326" s="53">
        <v>43861</v>
      </c>
      <c r="D1326" s="53">
        <v>43904</v>
      </c>
      <c r="E1326" s="53">
        <v>43966</v>
      </c>
      <c r="F1326" s="21">
        <f t="shared" si="403"/>
        <v>62</v>
      </c>
      <c r="G1326" s="53">
        <v>43904</v>
      </c>
      <c r="H1326" s="9">
        <v>2020</v>
      </c>
      <c r="I1326" s="9">
        <v>1</v>
      </c>
      <c r="J1326" s="9">
        <v>6</v>
      </c>
      <c r="K1326" s="9">
        <v>29</v>
      </c>
      <c r="L1326" s="50" t="s">
        <v>435</v>
      </c>
      <c r="M1326">
        <v>1</v>
      </c>
      <c r="N1326">
        <v>1</v>
      </c>
      <c r="O1326">
        <v>2</v>
      </c>
      <c r="P1326">
        <v>-1</v>
      </c>
      <c r="Q1326">
        <v>-2</v>
      </c>
      <c r="R1326">
        <v>2</v>
      </c>
      <c r="S1326">
        <v>1</v>
      </c>
      <c r="T1326">
        <v>2</v>
      </c>
      <c r="U1326">
        <v>1</v>
      </c>
      <c r="V1326" t="s">
        <v>961</v>
      </c>
      <c r="W1326" t="s">
        <v>989</v>
      </c>
      <c r="X1326" t="s">
        <v>997</v>
      </c>
      <c r="Y1326" t="s">
        <v>1000</v>
      </c>
      <c r="Z1326">
        <v>1</v>
      </c>
      <c r="AA1326">
        <f t="shared" si="406"/>
        <v>1</v>
      </c>
      <c r="AB1326">
        <f t="shared" si="407"/>
        <v>1</v>
      </c>
      <c r="AC1326">
        <f t="shared" si="408"/>
        <v>1</v>
      </c>
      <c r="AD1326">
        <f t="shared" si="409"/>
        <v>0</v>
      </c>
      <c r="AE1326">
        <f t="shared" si="410"/>
        <v>0</v>
      </c>
      <c r="AF1326">
        <f t="shared" si="411"/>
        <v>1</v>
      </c>
      <c r="AG1326">
        <f t="shared" si="412"/>
        <v>1</v>
      </c>
      <c r="AH1326">
        <f t="shared" si="413"/>
        <v>1</v>
      </c>
      <c r="AI1326">
        <f t="shared" si="414"/>
        <v>1</v>
      </c>
      <c r="AJ1326" s="9">
        <f t="shared" si="415"/>
        <v>29</v>
      </c>
      <c r="AK1326">
        <f t="shared" si="416"/>
        <v>0</v>
      </c>
      <c r="AL1326" s="9">
        <v>1</v>
      </c>
    </row>
    <row r="1327" spans="1:38" x14ac:dyDescent="0.35">
      <c r="A1327" s="9">
        <v>1</v>
      </c>
      <c r="B1327" s="9" t="s">
        <v>55</v>
      </c>
      <c r="C1327" s="53">
        <v>43861</v>
      </c>
      <c r="D1327" s="53">
        <v>43904</v>
      </c>
      <c r="E1327" s="53">
        <v>43966</v>
      </c>
      <c r="F1327" s="21">
        <f t="shared" si="403"/>
        <v>62</v>
      </c>
      <c r="G1327" s="53">
        <v>43904</v>
      </c>
      <c r="H1327" s="9">
        <v>2020</v>
      </c>
      <c r="I1327" s="9">
        <v>1</v>
      </c>
      <c r="J1327" s="9">
        <v>1</v>
      </c>
      <c r="K1327" s="9">
        <v>10</v>
      </c>
      <c r="L1327" s="50" t="s">
        <v>446</v>
      </c>
      <c r="M1327">
        <v>2</v>
      </c>
      <c r="N1327">
        <v>2</v>
      </c>
      <c r="O1327">
        <v>2</v>
      </c>
      <c r="P1327">
        <v>2</v>
      </c>
      <c r="Q1327">
        <v>2</v>
      </c>
      <c r="R1327">
        <v>2</v>
      </c>
      <c r="S1327">
        <v>-2</v>
      </c>
      <c r="T1327">
        <v>2</v>
      </c>
      <c r="U1327">
        <v>1</v>
      </c>
      <c r="V1327" t="s">
        <v>961</v>
      </c>
      <c r="W1327" t="s">
        <v>989</v>
      </c>
      <c r="X1327" t="s">
        <v>997</v>
      </c>
      <c r="Y1327" t="s">
        <v>1000</v>
      </c>
      <c r="Z1327">
        <v>1</v>
      </c>
      <c r="AA1327">
        <f t="shared" si="406"/>
        <v>1</v>
      </c>
      <c r="AB1327">
        <f t="shared" si="407"/>
        <v>1</v>
      </c>
      <c r="AC1327">
        <f t="shared" si="408"/>
        <v>1</v>
      </c>
      <c r="AD1327">
        <f t="shared" si="409"/>
        <v>1</v>
      </c>
      <c r="AE1327">
        <f t="shared" si="410"/>
        <v>1</v>
      </c>
      <c r="AF1327">
        <f t="shared" si="411"/>
        <v>1</v>
      </c>
      <c r="AG1327">
        <f t="shared" si="412"/>
        <v>0</v>
      </c>
      <c r="AH1327">
        <f t="shared" si="413"/>
        <v>1</v>
      </c>
      <c r="AI1327">
        <f t="shared" si="414"/>
        <v>1</v>
      </c>
      <c r="AJ1327" s="9">
        <f t="shared" si="415"/>
        <v>10</v>
      </c>
      <c r="AK1327">
        <f t="shared" si="416"/>
        <v>0</v>
      </c>
      <c r="AL1327" s="9">
        <v>1</v>
      </c>
    </row>
    <row r="1328" spans="1:38" x14ac:dyDescent="0.35">
      <c r="A1328" s="9">
        <v>1</v>
      </c>
      <c r="B1328" s="9" t="s">
        <v>55</v>
      </c>
      <c r="C1328" s="53">
        <v>43861</v>
      </c>
      <c r="D1328" s="53">
        <v>43904</v>
      </c>
      <c r="E1328" s="53">
        <v>43966</v>
      </c>
      <c r="F1328" s="21">
        <f t="shared" si="403"/>
        <v>62</v>
      </c>
      <c r="G1328" s="53">
        <v>43904</v>
      </c>
      <c r="H1328" s="9">
        <v>2020</v>
      </c>
      <c r="I1328" s="9">
        <v>1</v>
      </c>
      <c r="J1328" s="9">
        <v>1</v>
      </c>
      <c r="K1328" s="9">
        <v>11</v>
      </c>
      <c r="L1328" s="50" t="s">
        <v>423</v>
      </c>
      <c r="M1328">
        <v>-2</v>
      </c>
      <c r="N1328">
        <v>2</v>
      </c>
      <c r="O1328">
        <v>-2</v>
      </c>
      <c r="P1328">
        <v>2</v>
      </c>
      <c r="Q1328">
        <v>2</v>
      </c>
      <c r="T1328">
        <v>2</v>
      </c>
      <c r="U1328">
        <v>1</v>
      </c>
      <c r="V1328" t="s">
        <v>961</v>
      </c>
      <c r="W1328" t="s">
        <v>989</v>
      </c>
      <c r="X1328" t="s">
        <v>997</v>
      </c>
      <c r="Y1328" t="s">
        <v>1000</v>
      </c>
      <c r="Z1328">
        <v>1</v>
      </c>
      <c r="AA1328">
        <f t="shared" si="406"/>
        <v>0</v>
      </c>
      <c r="AB1328">
        <f t="shared" si="407"/>
        <v>1</v>
      </c>
      <c r="AC1328">
        <f t="shared" si="408"/>
        <v>0</v>
      </c>
      <c r="AD1328">
        <f t="shared" si="409"/>
        <v>1</v>
      </c>
      <c r="AE1328">
        <f t="shared" si="410"/>
        <v>1</v>
      </c>
      <c r="AF1328">
        <f t="shared" si="411"/>
        <v>-1</v>
      </c>
      <c r="AG1328">
        <f t="shared" si="412"/>
        <v>-1</v>
      </c>
      <c r="AH1328">
        <f t="shared" si="413"/>
        <v>1</v>
      </c>
      <c r="AI1328">
        <f t="shared" si="414"/>
        <v>1</v>
      </c>
      <c r="AJ1328" s="9">
        <f t="shared" si="415"/>
        <v>11</v>
      </c>
      <c r="AK1328">
        <f t="shared" si="416"/>
        <v>0</v>
      </c>
      <c r="AL1328" s="9">
        <v>1</v>
      </c>
    </row>
    <row r="1329" spans="1:38" x14ac:dyDescent="0.35">
      <c r="A1329" s="9">
        <v>1</v>
      </c>
      <c r="B1329" s="9" t="s">
        <v>55</v>
      </c>
      <c r="C1329" s="53">
        <v>43861</v>
      </c>
      <c r="D1329" s="53">
        <v>43904</v>
      </c>
      <c r="E1329" s="53">
        <v>43966</v>
      </c>
      <c r="F1329" s="21">
        <f t="shared" si="403"/>
        <v>62</v>
      </c>
      <c r="G1329" s="53">
        <v>43904</v>
      </c>
      <c r="H1329" s="9">
        <v>2020</v>
      </c>
      <c r="I1329" s="9">
        <v>1</v>
      </c>
      <c r="J1329" s="9">
        <v>6</v>
      </c>
      <c r="K1329" s="9">
        <v>28</v>
      </c>
      <c r="L1329" s="50" t="s">
        <v>437</v>
      </c>
      <c r="M1329">
        <v>1</v>
      </c>
      <c r="N1329">
        <v>1</v>
      </c>
      <c r="O1329">
        <v>-2</v>
      </c>
      <c r="P1329">
        <v>-1</v>
      </c>
      <c r="Q1329">
        <v>2</v>
      </c>
      <c r="R1329">
        <v>2</v>
      </c>
      <c r="S1329">
        <v>1</v>
      </c>
      <c r="T1329">
        <v>2</v>
      </c>
      <c r="U1329">
        <v>1</v>
      </c>
      <c r="V1329" t="s">
        <v>961</v>
      </c>
      <c r="W1329" t="s">
        <v>989</v>
      </c>
      <c r="X1329" t="s">
        <v>997</v>
      </c>
      <c r="Y1329" t="s">
        <v>1000</v>
      </c>
      <c r="Z1329">
        <v>1</v>
      </c>
      <c r="AA1329">
        <f t="shared" si="406"/>
        <v>1</v>
      </c>
      <c r="AB1329">
        <f t="shared" si="407"/>
        <v>1</v>
      </c>
      <c r="AC1329">
        <f t="shared" si="408"/>
        <v>0</v>
      </c>
      <c r="AD1329">
        <f t="shared" si="409"/>
        <v>0</v>
      </c>
      <c r="AE1329">
        <f t="shared" si="410"/>
        <v>1</v>
      </c>
      <c r="AF1329">
        <f t="shared" si="411"/>
        <v>1</v>
      </c>
      <c r="AG1329">
        <f t="shared" si="412"/>
        <v>1</v>
      </c>
      <c r="AH1329">
        <f t="shared" si="413"/>
        <v>1</v>
      </c>
      <c r="AI1329">
        <f t="shared" si="414"/>
        <v>1</v>
      </c>
      <c r="AJ1329" s="9">
        <f t="shared" si="415"/>
        <v>28</v>
      </c>
      <c r="AK1329">
        <f t="shared" si="416"/>
        <v>0</v>
      </c>
      <c r="AL1329" s="9">
        <v>1</v>
      </c>
    </row>
    <row r="1330" spans="1:38" x14ac:dyDescent="0.35">
      <c r="A1330" s="9">
        <v>1</v>
      </c>
      <c r="B1330" s="9" t="s">
        <v>55</v>
      </c>
      <c r="C1330" s="53">
        <v>43861</v>
      </c>
      <c r="D1330" s="53">
        <v>43904</v>
      </c>
      <c r="E1330" s="53">
        <v>43966</v>
      </c>
      <c r="F1330" s="21">
        <f t="shared" si="403"/>
        <v>62</v>
      </c>
      <c r="G1330" s="53">
        <v>43904</v>
      </c>
      <c r="H1330" s="9">
        <v>2020</v>
      </c>
      <c r="I1330" s="9">
        <v>1</v>
      </c>
      <c r="J1330" s="9">
        <v>1</v>
      </c>
      <c r="K1330" s="9">
        <v>6</v>
      </c>
      <c r="L1330" s="50" t="s">
        <v>427</v>
      </c>
      <c r="M1330">
        <v>2</v>
      </c>
      <c r="N1330">
        <v>2</v>
      </c>
      <c r="O1330">
        <v>-2</v>
      </c>
      <c r="P1330">
        <v>-1</v>
      </c>
      <c r="Q1330">
        <v>-2</v>
      </c>
      <c r="R1330">
        <v>2</v>
      </c>
      <c r="S1330">
        <v>-2</v>
      </c>
      <c r="U1330">
        <v>1</v>
      </c>
      <c r="V1330" t="s">
        <v>961</v>
      </c>
      <c r="W1330" t="s">
        <v>989</v>
      </c>
      <c r="X1330" t="s">
        <v>997</v>
      </c>
      <c r="Y1330" t="s">
        <v>1000</v>
      </c>
      <c r="Z1330">
        <v>1</v>
      </c>
      <c r="AA1330">
        <f t="shared" si="406"/>
        <v>1</v>
      </c>
      <c r="AB1330">
        <f t="shared" si="407"/>
        <v>1</v>
      </c>
      <c r="AC1330">
        <f t="shared" si="408"/>
        <v>0</v>
      </c>
      <c r="AD1330">
        <f t="shared" si="409"/>
        <v>0</v>
      </c>
      <c r="AE1330">
        <f t="shared" si="410"/>
        <v>0</v>
      </c>
      <c r="AF1330">
        <f t="shared" si="411"/>
        <v>1</v>
      </c>
      <c r="AG1330">
        <f t="shared" si="412"/>
        <v>0</v>
      </c>
      <c r="AH1330">
        <f t="shared" si="413"/>
        <v>-1</v>
      </c>
      <c r="AI1330">
        <f t="shared" si="414"/>
        <v>1</v>
      </c>
      <c r="AJ1330" s="9">
        <f t="shared" si="415"/>
        <v>6</v>
      </c>
      <c r="AK1330">
        <f t="shared" si="416"/>
        <v>0</v>
      </c>
      <c r="AL1330" s="9">
        <v>1</v>
      </c>
    </row>
    <row r="1331" spans="1:38" x14ac:dyDescent="0.35">
      <c r="A1331" s="9">
        <v>1</v>
      </c>
      <c r="B1331" s="9" t="s">
        <v>55</v>
      </c>
      <c r="C1331" s="53">
        <v>43861</v>
      </c>
      <c r="D1331" s="53">
        <v>43904</v>
      </c>
      <c r="E1331" s="53">
        <v>43966</v>
      </c>
      <c r="F1331" s="21">
        <f t="shared" si="403"/>
        <v>62</v>
      </c>
      <c r="G1331" s="53">
        <v>43904</v>
      </c>
      <c r="H1331" s="9">
        <v>2020</v>
      </c>
      <c r="I1331" s="9">
        <v>1</v>
      </c>
      <c r="J1331" s="9">
        <v>1</v>
      </c>
      <c r="K1331" s="9">
        <v>6</v>
      </c>
      <c r="L1331" s="50" t="s">
        <v>422</v>
      </c>
      <c r="M1331">
        <v>2</v>
      </c>
      <c r="N1331">
        <v>2</v>
      </c>
      <c r="O1331">
        <v>2</v>
      </c>
      <c r="P1331">
        <v>2</v>
      </c>
      <c r="Q1331">
        <v>2</v>
      </c>
      <c r="R1331">
        <v>2</v>
      </c>
      <c r="S1331">
        <v>1</v>
      </c>
      <c r="T1331">
        <v>2</v>
      </c>
      <c r="U1331">
        <v>1</v>
      </c>
      <c r="V1331" t="s">
        <v>961</v>
      </c>
      <c r="W1331" t="s">
        <v>989</v>
      </c>
      <c r="X1331" t="s">
        <v>997</v>
      </c>
      <c r="Y1331" t="s">
        <v>1000</v>
      </c>
      <c r="Z1331">
        <v>1</v>
      </c>
      <c r="AA1331">
        <f t="shared" si="406"/>
        <v>1</v>
      </c>
      <c r="AB1331">
        <f t="shared" si="407"/>
        <v>1</v>
      </c>
      <c r="AC1331">
        <f t="shared" si="408"/>
        <v>1</v>
      </c>
      <c r="AD1331">
        <f t="shared" si="409"/>
        <v>1</v>
      </c>
      <c r="AE1331">
        <f t="shared" si="410"/>
        <v>1</v>
      </c>
      <c r="AF1331">
        <f t="shared" si="411"/>
        <v>1</v>
      </c>
      <c r="AG1331">
        <f t="shared" si="412"/>
        <v>1</v>
      </c>
      <c r="AH1331">
        <f t="shared" si="413"/>
        <v>1</v>
      </c>
      <c r="AI1331">
        <f t="shared" si="414"/>
        <v>1</v>
      </c>
      <c r="AJ1331" s="9">
        <f t="shared" si="415"/>
        <v>6</v>
      </c>
      <c r="AK1331">
        <f t="shared" si="416"/>
        <v>0</v>
      </c>
      <c r="AL1331" s="9">
        <v>1</v>
      </c>
    </row>
    <row r="1332" spans="1:38" x14ac:dyDescent="0.35">
      <c r="A1332" s="9">
        <v>1</v>
      </c>
      <c r="B1332" s="9" t="s">
        <v>55</v>
      </c>
      <c r="C1332" s="53">
        <v>43861</v>
      </c>
      <c r="D1332" s="53">
        <v>43904</v>
      </c>
      <c r="E1332" s="53">
        <v>43966</v>
      </c>
      <c r="F1332" s="21">
        <f t="shared" si="403"/>
        <v>62</v>
      </c>
      <c r="G1332" s="53">
        <v>43904</v>
      </c>
      <c r="H1332" s="9">
        <v>2020</v>
      </c>
      <c r="I1332" s="9">
        <v>1</v>
      </c>
      <c r="J1332" s="9">
        <v>6</v>
      </c>
      <c r="K1332" s="9">
        <v>28</v>
      </c>
      <c r="L1332" s="50" t="s">
        <v>452</v>
      </c>
      <c r="M1332">
        <v>1</v>
      </c>
      <c r="N1332">
        <v>1</v>
      </c>
      <c r="O1332">
        <v>2</v>
      </c>
      <c r="P1332">
        <v>-1</v>
      </c>
      <c r="Q1332">
        <v>2</v>
      </c>
      <c r="R1332">
        <v>2</v>
      </c>
      <c r="S1332">
        <v>1</v>
      </c>
      <c r="T1332">
        <v>2</v>
      </c>
      <c r="U1332">
        <v>1</v>
      </c>
      <c r="V1332" t="s">
        <v>961</v>
      </c>
      <c r="W1332" t="s">
        <v>989</v>
      </c>
      <c r="X1332" t="s">
        <v>997</v>
      </c>
      <c r="Y1332" t="s">
        <v>1000</v>
      </c>
      <c r="Z1332">
        <v>1</v>
      </c>
      <c r="AA1332">
        <f t="shared" si="406"/>
        <v>1</v>
      </c>
      <c r="AB1332">
        <f t="shared" si="407"/>
        <v>1</v>
      </c>
      <c r="AC1332">
        <f t="shared" si="408"/>
        <v>1</v>
      </c>
      <c r="AD1332">
        <f t="shared" si="409"/>
        <v>0</v>
      </c>
      <c r="AE1332">
        <f t="shared" si="410"/>
        <v>1</v>
      </c>
      <c r="AF1332">
        <f t="shared" si="411"/>
        <v>1</v>
      </c>
      <c r="AG1332">
        <f t="shared" si="412"/>
        <v>1</v>
      </c>
      <c r="AH1332">
        <f t="shared" si="413"/>
        <v>1</v>
      </c>
      <c r="AI1332">
        <f t="shared" si="414"/>
        <v>1</v>
      </c>
      <c r="AJ1332" s="9">
        <f t="shared" si="415"/>
        <v>28</v>
      </c>
      <c r="AK1332">
        <f t="shared" si="416"/>
        <v>0</v>
      </c>
      <c r="AL1332" s="9">
        <v>1</v>
      </c>
    </row>
    <row r="1333" spans="1:38" x14ac:dyDescent="0.35">
      <c r="A1333" s="9">
        <v>1</v>
      </c>
      <c r="B1333" s="9" t="s">
        <v>55</v>
      </c>
      <c r="C1333" s="53">
        <v>43861</v>
      </c>
      <c r="D1333" s="53">
        <v>43904</v>
      </c>
      <c r="E1333" s="53">
        <v>43966</v>
      </c>
      <c r="F1333" s="21">
        <f t="shared" si="403"/>
        <v>62</v>
      </c>
      <c r="G1333" s="53">
        <v>43904</v>
      </c>
      <c r="H1333" s="9">
        <v>2020</v>
      </c>
      <c r="I1333" s="9">
        <v>1</v>
      </c>
      <c r="J1333" s="9">
        <v>6</v>
      </c>
      <c r="K1333" s="9">
        <v>26</v>
      </c>
      <c r="L1333" s="50" t="s">
        <v>429</v>
      </c>
      <c r="M1333">
        <v>1</v>
      </c>
      <c r="N1333">
        <v>1</v>
      </c>
      <c r="O1333">
        <v>-2</v>
      </c>
      <c r="P1333">
        <v>-1</v>
      </c>
      <c r="Q1333">
        <v>-2</v>
      </c>
      <c r="R1333">
        <v>2</v>
      </c>
      <c r="S1333">
        <v>1</v>
      </c>
      <c r="T1333">
        <v>2</v>
      </c>
      <c r="U1333">
        <v>1</v>
      </c>
      <c r="V1333" t="s">
        <v>961</v>
      </c>
      <c r="W1333" t="s">
        <v>989</v>
      </c>
      <c r="X1333" t="s">
        <v>997</v>
      </c>
      <c r="Y1333" t="s">
        <v>1000</v>
      </c>
      <c r="Z1333">
        <v>1</v>
      </c>
      <c r="AA1333">
        <f t="shared" si="406"/>
        <v>1</v>
      </c>
      <c r="AB1333">
        <f t="shared" si="407"/>
        <v>1</v>
      </c>
      <c r="AC1333">
        <f t="shared" si="408"/>
        <v>0</v>
      </c>
      <c r="AD1333">
        <f t="shared" si="409"/>
        <v>0</v>
      </c>
      <c r="AE1333">
        <f t="shared" si="410"/>
        <v>0</v>
      </c>
      <c r="AF1333">
        <f t="shared" si="411"/>
        <v>1</v>
      </c>
      <c r="AG1333">
        <f t="shared" si="412"/>
        <v>1</v>
      </c>
      <c r="AH1333">
        <f t="shared" si="413"/>
        <v>1</v>
      </c>
      <c r="AI1333">
        <f t="shared" si="414"/>
        <v>1</v>
      </c>
      <c r="AJ1333" s="9">
        <f t="shared" si="415"/>
        <v>26</v>
      </c>
      <c r="AK1333">
        <f t="shared" si="416"/>
        <v>0</v>
      </c>
      <c r="AL1333" s="9">
        <v>1</v>
      </c>
    </row>
    <row r="1334" spans="1:38" x14ac:dyDescent="0.35">
      <c r="A1334" s="9">
        <v>1</v>
      </c>
      <c r="B1334" s="9" t="s">
        <v>55</v>
      </c>
      <c r="C1334" s="53">
        <v>43861</v>
      </c>
      <c r="D1334" s="53">
        <v>43904</v>
      </c>
      <c r="E1334" s="53">
        <v>43966</v>
      </c>
      <c r="F1334" s="21">
        <f t="shared" si="403"/>
        <v>62</v>
      </c>
      <c r="G1334" s="53">
        <v>43904</v>
      </c>
      <c r="H1334" s="9">
        <v>2020</v>
      </c>
      <c r="I1334" s="9">
        <v>1</v>
      </c>
      <c r="J1334" s="9">
        <v>7</v>
      </c>
      <c r="K1334" s="9">
        <v>30</v>
      </c>
      <c r="L1334" s="50" t="s">
        <v>445</v>
      </c>
      <c r="M1334">
        <v>1</v>
      </c>
      <c r="N1334">
        <v>1</v>
      </c>
      <c r="O1334">
        <v>2</v>
      </c>
      <c r="P1334">
        <v>1</v>
      </c>
      <c r="Q1334">
        <v>2</v>
      </c>
      <c r="R1334">
        <v>2</v>
      </c>
      <c r="S1334">
        <v>1</v>
      </c>
      <c r="T1334">
        <v>-2</v>
      </c>
      <c r="U1334">
        <v>1</v>
      </c>
      <c r="V1334" t="s">
        <v>961</v>
      </c>
      <c r="W1334" t="s">
        <v>989</v>
      </c>
      <c r="X1334" t="s">
        <v>997</v>
      </c>
      <c r="Y1334" t="s">
        <v>1000</v>
      </c>
      <c r="Z1334">
        <v>1</v>
      </c>
      <c r="AA1334">
        <f t="shared" si="406"/>
        <v>1</v>
      </c>
      <c r="AB1334">
        <f t="shared" si="407"/>
        <v>1</v>
      </c>
      <c r="AC1334">
        <f t="shared" si="408"/>
        <v>1</v>
      </c>
      <c r="AD1334">
        <f t="shared" si="409"/>
        <v>1</v>
      </c>
      <c r="AE1334">
        <f t="shared" si="410"/>
        <v>1</v>
      </c>
      <c r="AF1334">
        <f t="shared" si="411"/>
        <v>1</v>
      </c>
      <c r="AG1334">
        <f t="shared" si="412"/>
        <v>1</v>
      </c>
      <c r="AH1334">
        <f t="shared" si="413"/>
        <v>0</v>
      </c>
      <c r="AI1334">
        <f t="shared" si="414"/>
        <v>1</v>
      </c>
      <c r="AJ1334" s="9">
        <f t="shared" si="415"/>
        <v>30</v>
      </c>
      <c r="AK1334">
        <f t="shared" si="416"/>
        <v>0</v>
      </c>
      <c r="AL1334" s="9">
        <v>1</v>
      </c>
    </row>
    <row r="1335" spans="1:38" x14ac:dyDescent="0.35">
      <c r="A1335" s="9">
        <v>1</v>
      </c>
      <c r="B1335" s="9" t="s">
        <v>55</v>
      </c>
      <c r="C1335" s="53">
        <v>43861</v>
      </c>
      <c r="D1335" s="53">
        <v>43904</v>
      </c>
      <c r="E1335" s="53">
        <v>43966</v>
      </c>
      <c r="F1335" s="21">
        <f t="shared" si="403"/>
        <v>62</v>
      </c>
      <c r="G1335" s="53">
        <v>43904</v>
      </c>
      <c r="H1335" s="9">
        <v>2020</v>
      </c>
      <c r="I1335" s="9">
        <v>1</v>
      </c>
      <c r="J1335" s="9">
        <v>5</v>
      </c>
      <c r="K1335" s="9">
        <v>22</v>
      </c>
      <c r="L1335" s="50" t="s">
        <v>418</v>
      </c>
      <c r="M1335">
        <v>1</v>
      </c>
      <c r="N1335">
        <v>-1</v>
      </c>
      <c r="O1335">
        <v>-2</v>
      </c>
      <c r="P1335">
        <v>-1</v>
      </c>
      <c r="Q1335">
        <v>2</v>
      </c>
      <c r="R1335">
        <v>2</v>
      </c>
      <c r="S1335">
        <v>1</v>
      </c>
      <c r="T1335">
        <v>2</v>
      </c>
      <c r="U1335">
        <v>1</v>
      </c>
      <c r="V1335" t="s">
        <v>961</v>
      </c>
      <c r="W1335" t="s">
        <v>989</v>
      </c>
      <c r="X1335" t="s">
        <v>997</v>
      </c>
      <c r="Y1335" t="s">
        <v>1000</v>
      </c>
      <c r="Z1335">
        <v>1</v>
      </c>
      <c r="AA1335">
        <f t="shared" si="406"/>
        <v>1</v>
      </c>
      <c r="AB1335">
        <f t="shared" si="407"/>
        <v>0</v>
      </c>
      <c r="AC1335">
        <f t="shared" si="408"/>
        <v>0</v>
      </c>
      <c r="AD1335">
        <f t="shared" si="409"/>
        <v>0</v>
      </c>
      <c r="AE1335">
        <f t="shared" si="410"/>
        <v>1</v>
      </c>
      <c r="AF1335">
        <f t="shared" si="411"/>
        <v>1</v>
      </c>
      <c r="AG1335">
        <f t="shared" si="412"/>
        <v>1</v>
      </c>
      <c r="AH1335">
        <f t="shared" si="413"/>
        <v>1</v>
      </c>
      <c r="AI1335">
        <f t="shared" si="414"/>
        <v>1</v>
      </c>
      <c r="AJ1335" s="9">
        <f t="shared" si="415"/>
        <v>22</v>
      </c>
      <c r="AK1335" t="e">
        <f>IF(B1335&lt;&gt;#REF!,1,0)</f>
        <v>#REF!</v>
      </c>
      <c r="AL1335" s="9">
        <v>1</v>
      </c>
    </row>
    <row r="1336" spans="1:38" x14ac:dyDescent="0.35">
      <c r="A1336" s="9">
        <v>1</v>
      </c>
      <c r="B1336" s="9" t="s">
        <v>55</v>
      </c>
      <c r="C1336" s="53">
        <v>43861</v>
      </c>
      <c r="D1336" s="53">
        <v>43904</v>
      </c>
      <c r="E1336" s="53">
        <v>43966</v>
      </c>
      <c r="F1336" s="21">
        <f t="shared" si="403"/>
        <v>62</v>
      </c>
      <c r="G1336" s="53">
        <v>43904</v>
      </c>
      <c r="H1336" s="9">
        <v>2020</v>
      </c>
      <c r="I1336" s="9">
        <v>1</v>
      </c>
      <c r="J1336" s="9">
        <v>7</v>
      </c>
      <c r="K1336" s="9" t="s">
        <v>201</v>
      </c>
      <c r="L1336" s="50" t="s">
        <v>442</v>
      </c>
      <c r="M1336">
        <v>1</v>
      </c>
      <c r="N1336">
        <v>1</v>
      </c>
      <c r="O1336">
        <v>2</v>
      </c>
      <c r="P1336">
        <v>1</v>
      </c>
      <c r="Q1336">
        <v>2</v>
      </c>
      <c r="R1336">
        <v>2</v>
      </c>
      <c r="S1336">
        <v>1</v>
      </c>
      <c r="T1336">
        <v>2</v>
      </c>
      <c r="U1336">
        <v>1</v>
      </c>
      <c r="V1336" t="s">
        <v>961</v>
      </c>
      <c r="W1336" t="s">
        <v>989</v>
      </c>
      <c r="X1336" t="s">
        <v>997</v>
      </c>
      <c r="Y1336" t="s">
        <v>1000</v>
      </c>
      <c r="Z1336">
        <v>1</v>
      </c>
      <c r="AA1336">
        <f t="shared" si="406"/>
        <v>1</v>
      </c>
      <c r="AB1336">
        <f t="shared" si="407"/>
        <v>1</v>
      </c>
      <c r="AC1336">
        <f t="shared" si="408"/>
        <v>1</v>
      </c>
      <c r="AD1336">
        <f t="shared" si="409"/>
        <v>1</v>
      </c>
      <c r="AE1336">
        <f t="shared" si="410"/>
        <v>1</v>
      </c>
      <c r="AF1336">
        <f t="shared" si="411"/>
        <v>1</v>
      </c>
      <c r="AG1336">
        <f t="shared" si="412"/>
        <v>1</v>
      </c>
      <c r="AH1336">
        <f t="shared" si="413"/>
        <v>1</v>
      </c>
      <c r="AI1336">
        <f t="shared" si="414"/>
        <v>1</v>
      </c>
      <c r="AJ1336" s="9" t="str">
        <f t="shared" si="415"/>
        <v>Other</v>
      </c>
      <c r="AK1336">
        <f t="shared" si="416"/>
        <v>0</v>
      </c>
      <c r="AL1336" s="9">
        <v>1</v>
      </c>
    </row>
    <row r="1337" spans="1:38" x14ac:dyDescent="0.35">
      <c r="A1337" s="9">
        <v>1</v>
      </c>
      <c r="B1337" s="9" t="s">
        <v>55</v>
      </c>
      <c r="C1337" s="53">
        <v>43861</v>
      </c>
      <c r="D1337" s="53">
        <v>43904</v>
      </c>
      <c r="E1337" s="53">
        <v>43966</v>
      </c>
      <c r="F1337" s="21">
        <f t="shared" si="403"/>
        <v>62</v>
      </c>
      <c r="G1337" s="53">
        <v>43904</v>
      </c>
      <c r="H1337" s="9">
        <v>2020</v>
      </c>
      <c r="I1337" s="9">
        <v>1</v>
      </c>
      <c r="J1337" s="9">
        <v>1</v>
      </c>
      <c r="K1337" s="9">
        <v>6</v>
      </c>
      <c r="L1337" s="50" t="s">
        <v>431</v>
      </c>
      <c r="M1337">
        <v>2</v>
      </c>
      <c r="N1337">
        <v>2</v>
      </c>
      <c r="O1337">
        <v>2</v>
      </c>
      <c r="P1337">
        <v>2</v>
      </c>
      <c r="Q1337">
        <v>2</v>
      </c>
      <c r="R1337">
        <v>2</v>
      </c>
      <c r="S1337">
        <v>1</v>
      </c>
      <c r="T1337">
        <v>2</v>
      </c>
      <c r="U1337">
        <v>1</v>
      </c>
      <c r="V1337" t="s">
        <v>961</v>
      </c>
      <c r="W1337" t="s">
        <v>989</v>
      </c>
      <c r="X1337" t="s">
        <v>997</v>
      </c>
      <c r="Y1337" t="s">
        <v>1000</v>
      </c>
      <c r="Z1337">
        <v>1</v>
      </c>
      <c r="AA1337">
        <f t="shared" si="406"/>
        <v>1</v>
      </c>
      <c r="AB1337">
        <f t="shared" si="407"/>
        <v>1</v>
      </c>
      <c r="AC1337">
        <f t="shared" si="408"/>
        <v>1</v>
      </c>
      <c r="AD1337">
        <f t="shared" si="409"/>
        <v>1</v>
      </c>
      <c r="AE1337">
        <f t="shared" si="410"/>
        <v>1</v>
      </c>
      <c r="AF1337">
        <f t="shared" si="411"/>
        <v>1</v>
      </c>
      <c r="AG1337">
        <f t="shared" si="412"/>
        <v>1</v>
      </c>
      <c r="AH1337">
        <f t="shared" si="413"/>
        <v>1</v>
      </c>
      <c r="AI1337">
        <f t="shared" si="414"/>
        <v>1</v>
      </c>
      <c r="AJ1337" s="9">
        <f t="shared" si="415"/>
        <v>6</v>
      </c>
      <c r="AK1337">
        <f t="shared" si="416"/>
        <v>0</v>
      </c>
      <c r="AL1337" s="9">
        <v>1</v>
      </c>
    </row>
    <row r="1338" spans="1:38" x14ac:dyDescent="0.35">
      <c r="A1338" s="9">
        <v>1</v>
      </c>
      <c r="B1338" s="9" t="s">
        <v>55</v>
      </c>
      <c r="C1338" s="53">
        <v>43861</v>
      </c>
      <c r="D1338" s="53">
        <v>43904</v>
      </c>
      <c r="E1338" s="53">
        <v>43966</v>
      </c>
      <c r="F1338" s="21">
        <f t="shared" si="403"/>
        <v>62</v>
      </c>
      <c r="G1338" s="53">
        <v>43904</v>
      </c>
      <c r="H1338" s="9">
        <v>2020</v>
      </c>
      <c r="I1338" s="9">
        <v>1</v>
      </c>
      <c r="J1338" s="9">
        <v>6</v>
      </c>
      <c r="K1338" s="9">
        <v>26</v>
      </c>
      <c r="L1338" s="50" t="s">
        <v>440</v>
      </c>
      <c r="M1338">
        <v>1</v>
      </c>
      <c r="N1338">
        <v>1</v>
      </c>
      <c r="O1338">
        <v>-2</v>
      </c>
      <c r="P1338">
        <v>-1</v>
      </c>
      <c r="Q1338">
        <v>-2</v>
      </c>
      <c r="R1338">
        <v>2</v>
      </c>
      <c r="S1338">
        <v>1</v>
      </c>
      <c r="T1338">
        <v>2</v>
      </c>
      <c r="U1338">
        <v>1</v>
      </c>
      <c r="V1338" t="s">
        <v>961</v>
      </c>
      <c r="W1338" t="s">
        <v>989</v>
      </c>
      <c r="X1338" t="s">
        <v>997</v>
      </c>
      <c r="Y1338" t="s">
        <v>1000</v>
      </c>
      <c r="Z1338">
        <v>1</v>
      </c>
      <c r="AA1338">
        <f t="shared" si="406"/>
        <v>1</v>
      </c>
      <c r="AB1338">
        <f t="shared" si="407"/>
        <v>1</v>
      </c>
      <c r="AC1338">
        <f t="shared" si="408"/>
        <v>0</v>
      </c>
      <c r="AD1338">
        <f t="shared" si="409"/>
        <v>0</v>
      </c>
      <c r="AE1338">
        <f t="shared" si="410"/>
        <v>0</v>
      </c>
      <c r="AF1338">
        <f t="shared" si="411"/>
        <v>1</v>
      </c>
      <c r="AG1338">
        <f t="shared" si="412"/>
        <v>1</v>
      </c>
      <c r="AH1338">
        <f t="shared" si="413"/>
        <v>1</v>
      </c>
      <c r="AI1338">
        <f t="shared" si="414"/>
        <v>1</v>
      </c>
      <c r="AJ1338" s="9">
        <f t="shared" si="415"/>
        <v>26</v>
      </c>
      <c r="AK1338" t="e">
        <f>IF(B1338&lt;&gt;#REF!,1,0)</f>
        <v>#REF!</v>
      </c>
      <c r="AL1338" s="9">
        <v>1</v>
      </c>
    </row>
    <row r="1339" spans="1:38" x14ac:dyDescent="0.35">
      <c r="A1339" s="9">
        <v>1</v>
      </c>
      <c r="B1339" s="9" t="s">
        <v>55</v>
      </c>
      <c r="C1339" s="53">
        <v>43861</v>
      </c>
      <c r="D1339" s="53">
        <v>43904</v>
      </c>
      <c r="E1339" s="53">
        <v>43966</v>
      </c>
      <c r="F1339" s="21">
        <f t="shared" si="403"/>
        <v>62</v>
      </c>
      <c r="G1339" s="53">
        <v>43904</v>
      </c>
      <c r="H1339" s="9">
        <v>2020</v>
      </c>
      <c r="I1339" s="9">
        <v>1</v>
      </c>
      <c r="J1339" s="9">
        <v>7</v>
      </c>
      <c r="K1339" s="9">
        <v>30</v>
      </c>
      <c r="L1339" s="50" t="s">
        <v>428</v>
      </c>
      <c r="M1339">
        <v>1</v>
      </c>
      <c r="N1339">
        <v>1</v>
      </c>
      <c r="O1339">
        <v>2</v>
      </c>
      <c r="P1339">
        <v>1</v>
      </c>
      <c r="Q1339">
        <v>2</v>
      </c>
      <c r="R1339">
        <v>2</v>
      </c>
      <c r="S1339">
        <v>1</v>
      </c>
      <c r="T1339">
        <v>-2</v>
      </c>
      <c r="U1339">
        <v>1</v>
      </c>
      <c r="V1339" t="s">
        <v>961</v>
      </c>
      <c r="W1339" t="s">
        <v>989</v>
      </c>
      <c r="X1339" t="s">
        <v>997</v>
      </c>
      <c r="Y1339" t="s">
        <v>1000</v>
      </c>
      <c r="Z1339">
        <v>1</v>
      </c>
      <c r="AA1339">
        <f t="shared" si="406"/>
        <v>1</v>
      </c>
      <c r="AB1339">
        <f t="shared" si="407"/>
        <v>1</v>
      </c>
      <c r="AC1339">
        <f t="shared" si="408"/>
        <v>1</v>
      </c>
      <c r="AD1339">
        <f t="shared" si="409"/>
        <v>1</v>
      </c>
      <c r="AE1339">
        <f t="shared" si="410"/>
        <v>1</v>
      </c>
      <c r="AF1339">
        <f t="shared" si="411"/>
        <v>1</v>
      </c>
      <c r="AG1339">
        <f t="shared" si="412"/>
        <v>1</v>
      </c>
      <c r="AH1339">
        <f t="shared" si="413"/>
        <v>0</v>
      </c>
      <c r="AI1339">
        <f t="shared" si="414"/>
        <v>1</v>
      </c>
      <c r="AJ1339" s="9">
        <f t="shared" si="415"/>
        <v>30</v>
      </c>
      <c r="AK1339">
        <f t="shared" si="416"/>
        <v>0</v>
      </c>
      <c r="AL1339" s="9">
        <v>1</v>
      </c>
    </row>
    <row r="1340" spans="1:38" x14ac:dyDescent="0.35">
      <c r="A1340" s="9">
        <v>1</v>
      </c>
      <c r="B1340" s="9" t="s">
        <v>55</v>
      </c>
      <c r="C1340" s="53">
        <v>43861</v>
      </c>
      <c r="D1340" s="53">
        <v>43904</v>
      </c>
      <c r="E1340" s="53">
        <v>43966</v>
      </c>
      <c r="F1340" s="21">
        <f t="shared" si="403"/>
        <v>62</v>
      </c>
      <c r="G1340" s="53">
        <v>43904</v>
      </c>
      <c r="H1340" s="9">
        <v>2020</v>
      </c>
      <c r="I1340" s="9">
        <v>1</v>
      </c>
      <c r="J1340" s="9">
        <v>6</v>
      </c>
      <c r="K1340" s="9">
        <v>25</v>
      </c>
      <c r="L1340" s="50" t="s">
        <v>434</v>
      </c>
      <c r="M1340">
        <v>1</v>
      </c>
      <c r="N1340">
        <v>1</v>
      </c>
      <c r="O1340">
        <v>-2</v>
      </c>
      <c r="P1340">
        <v>-1</v>
      </c>
      <c r="Q1340">
        <v>-2</v>
      </c>
      <c r="R1340">
        <v>2</v>
      </c>
      <c r="S1340">
        <v>1</v>
      </c>
      <c r="T1340">
        <v>-2</v>
      </c>
      <c r="U1340">
        <v>1</v>
      </c>
      <c r="V1340" t="s">
        <v>961</v>
      </c>
      <c r="W1340" t="s">
        <v>989</v>
      </c>
      <c r="X1340" t="s">
        <v>997</v>
      </c>
      <c r="Y1340" t="s">
        <v>1000</v>
      </c>
      <c r="Z1340">
        <v>1</v>
      </c>
      <c r="AA1340">
        <f t="shared" si="406"/>
        <v>1</v>
      </c>
      <c r="AB1340">
        <f t="shared" si="407"/>
        <v>1</v>
      </c>
      <c r="AC1340">
        <f t="shared" si="408"/>
        <v>0</v>
      </c>
      <c r="AD1340">
        <f t="shared" si="409"/>
        <v>0</v>
      </c>
      <c r="AE1340">
        <f t="shared" si="410"/>
        <v>0</v>
      </c>
      <c r="AF1340">
        <f t="shared" si="411"/>
        <v>1</v>
      </c>
      <c r="AG1340">
        <f t="shared" si="412"/>
        <v>1</v>
      </c>
      <c r="AH1340">
        <f t="shared" si="413"/>
        <v>0</v>
      </c>
      <c r="AI1340">
        <f t="shared" si="414"/>
        <v>1</v>
      </c>
      <c r="AJ1340" s="9">
        <f t="shared" si="415"/>
        <v>25</v>
      </c>
      <c r="AK1340">
        <f t="shared" si="416"/>
        <v>0</v>
      </c>
      <c r="AL1340" s="9">
        <v>1</v>
      </c>
    </row>
    <row r="1341" spans="1:38" x14ac:dyDescent="0.35">
      <c r="A1341" s="9">
        <v>1</v>
      </c>
      <c r="B1341" s="9" t="s">
        <v>55</v>
      </c>
      <c r="C1341" s="53">
        <v>43861</v>
      </c>
      <c r="D1341" s="53">
        <v>43904</v>
      </c>
      <c r="E1341" s="53">
        <v>43966</v>
      </c>
      <c r="F1341" s="21">
        <f t="shared" si="403"/>
        <v>62</v>
      </c>
      <c r="G1341" s="53">
        <v>43904</v>
      </c>
      <c r="H1341" s="9">
        <v>2020</v>
      </c>
      <c r="I1341" s="9">
        <v>1</v>
      </c>
      <c r="J1341" s="9">
        <v>5</v>
      </c>
      <c r="K1341" s="9" t="s">
        <v>204</v>
      </c>
      <c r="L1341" s="50" t="s">
        <v>448</v>
      </c>
      <c r="M1341">
        <v>1</v>
      </c>
      <c r="N1341">
        <v>2</v>
      </c>
      <c r="O1341">
        <v>2</v>
      </c>
      <c r="R1341">
        <v>2</v>
      </c>
      <c r="S1341">
        <v>1</v>
      </c>
      <c r="T1341">
        <v>-2</v>
      </c>
      <c r="U1341">
        <v>1</v>
      </c>
      <c r="V1341" t="s">
        <v>961</v>
      </c>
      <c r="W1341" t="s">
        <v>989</v>
      </c>
      <c r="X1341" t="s">
        <v>997</v>
      </c>
      <c r="Y1341" t="s">
        <v>1000</v>
      </c>
      <c r="Z1341">
        <v>1</v>
      </c>
      <c r="AA1341">
        <f t="shared" si="406"/>
        <v>1</v>
      </c>
      <c r="AB1341">
        <f t="shared" si="407"/>
        <v>1</v>
      </c>
      <c r="AC1341">
        <f t="shared" si="408"/>
        <v>1</v>
      </c>
      <c r="AD1341">
        <f t="shared" si="409"/>
        <v>-1</v>
      </c>
      <c r="AE1341">
        <f t="shared" si="410"/>
        <v>-1</v>
      </c>
      <c r="AF1341">
        <f t="shared" si="411"/>
        <v>1</v>
      </c>
      <c r="AG1341">
        <f t="shared" si="412"/>
        <v>1</v>
      </c>
      <c r="AH1341">
        <f t="shared" si="413"/>
        <v>0</v>
      </c>
      <c r="AI1341">
        <f t="shared" si="414"/>
        <v>1</v>
      </c>
      <c r="AJ1341" s="9" t="str">
        <f t="shared" si="415"/>
        <v>General</v>
      </c>
      <c r="AK1341">
        <f t="shared" si="416"/>
        <v>0</v>
      </c>
      <c r="AL1341" s="9">
        <v>1</v>
      </c>
    </row>
    <row r="1342" spans="1:38" x14ac:dyDescent="0.35">
      <c r="A1342" s="9">
        <v>1</v>
      </c>
      <c r="B1342" s="9" t="s">
        <v>55</v>
      </c>
      <c r="C1342" s="53">
        <v>43861</v>
      </c>
      <c r="D1342" s="53">
        <v>43904</v>
      </c>
      <c r="E1342" s="53">
        <v>43966</v>
      </c>
      <c r="F1342" s="21">
        <f t="shared" si="403"/>
        <v>62</v>
      </c>
      <c r="G1342" s="53">
        <v>43904</v>
      </c>
      <c r="H1342" s="9">
        <v>2020</v>
      </c>
      <c r="I1342" s="9">
        <v>1</v>
      </c>
      <c r="J1342" s="9">
        <v>7</v>
      </c>
      <c r="K1342" s="9">
        <v>32</v>
      </c>
      <c r="L1342" s="50" t="s">
        <v>430</v>
      </c>
      <c r="M1342">
        <v>1</v>
      </c>
      <c r="N1342">
        <v>1</v>
      </c>
      <c r="O1342">
        <v>2</v>
      </c>
      <c r="P1342">
        <v>1</v>
      </c>
      <c r="Q1342">
        <v>2</v>
      </c>
      <c r="R1342">
        <v>2</v>
      </c>
      <c r="S1342">
        <v>1</v>
      </c>
      <c r="T1342">
        <v>2</v>
      </c>
      <c r="U1342">
        <v>1</v>
      </c>
      <c r="V1342" t="s">
        <v>961</v>
      </c>
      <c r="W1342" t="s">
        <v>989</v>
      </c>
      <c r="X1342" t="s">
        <v>997</v>
      </c>
      <c r="Y1342" t="s">
        <v>1000</v>
      </c>
      <c r="Z1342">
        <v>1</v>
      </c>
      <c r="AA1342">
        <f t="shared" si="406"/>
        <v>1</v>
      </c>
      <c r="AB1342">
        <f t="shared" si="407"/>
        <v>1</v>
      </c>
      <c r="AC1342">
        <f t="shared" si="408"/>
        <v>1</v>
      </c>
      <c r="AD1342">
        <f t="shared" si="409"/>
        <v>1</v>
      </c>
      <c r="AE1342">
        <f t="shared" si="410"/>
        <v>1</v>
      </c>
      <c r="AF1342">
        <f t="shared" si="411"/>
        <v>1</v>
      </c>
      <c r="AG1342">
        <f t="shared" si="412"/>
        <v>1</v>
      </c>
      <c r="AH1342">
        <f t="shared" si="413"/>
        <v>1</v>
      </c>
      <c r="AI1342">
        <f t="shared" si="414"/>
        <v>1</v>
      </c>
      <c r="AJ1342" s="9">
        <f t="shared" si="415"/>
        <v>32</v>
      </c>
      <c r="AK1342">
        <f t="shared" si="416"/>
        <v>0</v>
      </c>
      <c r="AL1342" s="9">
        <v>1</v>
      </c>
    </row>
    <row r="1343" spans="1:38" x14ac:dyDescent="0.35">
      <c r="A1343" s="9">
        <v>1</v>
      </c>
      <c r="B1343" s="9" t="s">
        <v>55</v>
      </c>
      <c r="C1343" s="53">
        <v>43861</v>
      </c>
      <c r="D1343" s="53">
        <v>43904</v>
      </c>
      <c r="E1343" s="53">
        <v>43966</v>
      </c>
      <c r="F1343" s="21">
        <f t="shared" si="403"/>
        <v>62</v>
      </c>
      <c r="G1343" s="53">
        <v>43904</v>
      </c>
      <c r="H1343" s="9">
        <v>2020</v>
      </c>
      <c r="I1343" s="9">
        <v>1</v>
      </c>
      <c r="J1343" s="9">
        <v>6</v>
      </c>
      <c r="K1343" s="9">
        <v>28</v>
      </c>
      <c r="L1343" s="50" t="s">
        <v>451</v>
      </c>
      <c r="M1343">
        <v>1</v>
      </c>
      <c r="N1343">
        <v>1</v>
      </c>
      <c r="O1343">
        <v>2</v>
      </c>
      <c r="P1343">
        <v>-1</v>
      </c>
      <c r="Q1343">
        <v>2</v>
      </c>
      <c r="R1343">
        <v>2</v>
      </c>
      <c r="S1343">
        <v>1</v>
      </c>
      <c r="T1343">
        <v>2</v>
      </c>
      <c r="U1343">
        <v>1</v>
      </c>
      <c r="V1343" t="s">
        <v>961</v>
      </c>
      <c r="W1343" t="s">
        <v>989</v>
      </c>
      <c r="X1343" t="s">
        <v>997</v>
      </c>
      <c r="Y1343" t="s">
        <v>1000</v>
      </c>
      <c r="Z1343">
        <v>1</v>
      </c>
      <c r="AA1343">
        <f t="shared" si="406"/>
        <v>1</v>
      </c>
      <c r="AB1343">
        <f t="shared" si="407"/>
        <v>1</v>
      </c>
      <c r="AC1343">
        <f t="shared" si="408"/>
        <v>1</v>
      </c>
      <c r="AD1343">
        <f t="shared" si="409"/>
        <v>0</v>
      </c>
      <c r="AE1343">
        <f t="shared" si="410"/>
        <v>1</v>
      </c>
      <c r="AF1343">
        <f t="shared" si="411"/>
        <v>1</v>
      </c>
      <c r="AG1343">
        <f t="shared" si="412"/>
        <v>1</v>
      </c>
      <c r="AH1343">
        <f t="shared" si="413"/>
        <v>1</v>
      </c>
      <c r="AI1343">
        <f t="shared" si="414"/>
        <v>1</v>
      </c>
      <c r="AJ1343" s="9">
        <f t="shared" ref="AJ1343:AJ1371" si="417">IF(ISNUMBER(K1343),K1343,IF(OR(K1343="general",K1343="23;general"),"General",IF(OR(K1343="exemption",K1343="other (exemption)"),"Tax exemption/waiver/suspension","Other")))</f>
        <v>28</v>
      </c>
      <c r="AK1343">
        <f t="shared" si="416"/>
        <v>0</v>
      </c>
      <c r="AL1343" s="9">
        <v>1</v>
      </c>
    </row>
    <row r="1344" spans="1:38" x14ac:dyDescent="0.35">
      <c r="A1344" s="9">
        <v>1</v>
      </c>
      <c r="B1344" s="9" t="s">
        <v>55</v>
      </c>
      <c r="C1344" s="53">
        <v>43861</v>
      </c>
      <c r="D1344" s="53">
        <v>43904</v>
      </c>
      <c r="E1344" s="53">
        <v>43966</v>
      </c>
      <c r="F1344" s="21">
        <f t="shared" si="403"/>
        <v>62</v>
      </c>
      <c r="G1344" s="53">
        <v>43904</v>
      </c>
      <c r="H1344" s="9">
        <v>2020</v>
      </c>
      <c r="I1344" s="9">
        <v>1</v>
      </c>
      <c r="J1344" s="9">
        <v>1</v>
      </c>
      <c r="K1344" s="9">
        <v>11</v>
      </c>
      <c r="L1344" s="50" t="s">
        <v>439</v>
      </c>
      <c r="M1344">
        <v>2</v>
      </c>
      <c r="N1344">
        <v>2</v>
      </c>
      <c r="O1344">
        <v>-2</v>
      </c>
      <c r="P1344">
        <v>2</v>
      </c>
      <c r="Q1344">
        <v>2</v>
      </c>
      <c r="R1344">
        <v>2</v>
      </c>
      <c r="S1344">
        <v>2</v>
      </c>
      <c r="T1344">
        <v>2</v>
      </c>
      <c r="U1344">
        <v>1</v>
      </c>
      <c r="V1344" t="s">
        <v>961</v>
      </c>
      <c r="W1344" t="s">
        <v>989</v>
      </c>
      <c r="X1344" t="s">
        <v>997</v>
      </c>
      <c r="Y1344" t="s">
        <v>1000</v>
      </c>
      <c r="Z1344">
        <v>1</v>
      </c>
      <c r="AA1344">
        <f t="shared" si="406"/>
        <v>1</v>
      </c>
      <c r="AB1344">
        <f t="shared" si="407"/>
        <v>1</v>
      </c>
      <c r="AC1344">
        <f t="shared" si="408"/>
        <v>0</v>
      </c>
      <c r="AD1344">
        <f t="shared" si="409"/>
        <v>1</v>
      </c>
      <c r="AE1344">
        <f t="shared" si="410"/>
        <v>1</v>
      </c>
      <c r="AF1344">
        <f t="shared" si="411"/>
        <v>1</v>
      </c>
      <c r="AG1344">
        <f t="shared" si="412"/>
        <v>1</v>
      </c>
      <c r="AH1344">
        <f t="shared" si="413"/>
        <v>1</v>
      </c>
      <c r="AI1344">
        <f t="shared" si="414"/>
        <v>1</v>
      </c>
      <c r="AJ1344" s="9">
        <f t="shared" si="417"/>
        <v>11</v>
      </c>
      <c r="AK1344">
        <f t="shared" si="416"/>
        <v>0</v>
      </c>
      <c r="AL1344" s="9">
        <v>1</v>
      </c>
    </row>
    <row r="1345" spans="1:38" x14ac:dyDescent="0.35">
      <c r="A1345" s="9">
        <v>1</v>
      </c>
      <c r="B1345" s="9" t="s">
        <v>55</v>
      </c>
      <c r="C1345" s="53">
        <v>43861</v>
      </c>
      <c r="D1345" s="53">
        <v>43904</v>
      </c>
      <c r="E1345" s="53">
        <v>43966</v>
      </c>
      <c r="F1345" s="21">
        <f t="shared" si="403"/>
        <v>62</v>
      </c>
      <c r="G1345" s="53">
        <v>43904</v>
      </c>
      <c r="H1345" s="9">
        <v>2020</v>
      </c>
      <c r="I1345" s="9">
        <v>1</v>
      </c>
      <c r="J1345" s="9">
        <v>6</v>
      </c>
      <c r="K1345" s="9">
        <v>28</v>
      </c>
      <c r="L1345" s="50" t="s">
        <v>454</v>
      </c>
      <c r="M1345">
        <v>1</v>
      </c>
      <c r="N1345">
        <v>1</v>
      </c>
      <c r="O1345">
        <v>2</v>
      </c>
      <c r="P1345">
        <v>-1</v>
      </c>
      <c r="Q1345">
        <v>2</v>
      </c>
      <c r="R1345">
        <v>2</v>
      </c>
      <c r="S1345">
        <v>1</v>
      </c>
      <c r="T1345">
        <v>-2</v>
      </c>
      <c r="U1345">
        <v>1</v>
      </c>
      <c r="V1345" t="s">
        <v>961</v>
      </c>
      <c r="W1345" t="s">
        <v>989</v>
      </c>
      <c r="X1345" t="s">
        <v>997</v>
      </c>
      <c r="Y1345" t="s">
        <v>1000</v>
      </c>
      <c r="Z1345">
        <v>1</v>
      </c>
      <c r="AA1345">
        <f t="shared" si="406"/>
        <v>1</v>
      </c>
      <c r="AB1345">
        <f t="shared" si="407"/>
        <v>1</v>
      </c>
      <c r="AC1345">
        <f t="shared" si="408"/>
        <v>1</v>
      </c>
      <c r="AD1345">
        <f t="shared" si="409"/>
        <v>0</v>
      </c>
      <c r="AE1345">
        <f t="shared" si="410"/>
        <v>1</v>
      </c>
      <c r="AF1345">
        <f t="shared" si="411"/>
        <v>1</v>
      </c>
      <c r="AG1345">
        <f t="shared" si="412"/>
        <v>1</v>
      </c>
      <c r="AH1345">
        <f t="shared" si="413"/>
        <v>0</v>
      </c>
      <c r="AI1345">
        <f t="shared" si="414"/>
        <v>1</v>
      </c>
      <c r="AJ1345" s="9">
        <f t="shared" si="417"/>
        <v>28</v>
      </c>
      <c r="AK1345">
        <f t="shared" si="416"/>
        <v>0</v>
      </c>
      <c r="AL1345" s="9">
        <v>1</v>
      </c>
    </row>
    <row r="1346" spans="1:38" x14ac:dyDescent="0.35">
      <c r="A1346" s="9">
        <v>1</v>
      </c>
      <c r="B1346" s="9" t="s">
        <v>55</v>
      </c>
      <c r="C1346" s="53">
        <v>43861</v>
      </c>
      <c r="D1346" s="53">
        <v>43904</v>
      </c>
      <c r="E1346" s="53">
        <v>43966</v>
      </c>
      <c r="F1346" s="21">
        <f t="shared" si="403"/>
        <v>62</v>
      </c>
      <c r="G1346" s="53">
        <v>43904</v>
      </c>
      <c r="H1346" s="9">
        <v>2020</v>
      </c>
      <c r="I1346" s="9">
        <v>1</v>
      </c>
      <c r="J1346" s="9">
        <v>3</v>
      </c>
      <c r="K1346" s="9" t="s">
        <v>206</v>
      </c>
      <c r="L1346" s="50" t="s">
        <v>450</v>
      </c>
      <c r="M1346">
        <v>2</v>
      </c>
      <c r="N1346">
        <v>2</v>
      </c>
      <c r="O1346">
        <v>-2</v>
      </c>
      <c r="P1346">
        <v>-1</v>
      </c>
      <c r="Q1346">
        <v>-2</v>
      </c>
      <c r="R1346">
        <v>2</v>
      </c>
      <c r="S1346">
        <v>2</v>
      </c>
      <c r="U1346">
        <v>1</v>
      </c>
      <c r="V1346" t="s">
        <v>961</v>
      </c>
      <c r="W1346" t="s">
        <v>989</v>
      </c>
      <c r="X1346" t="s">
        <v>997</v>
      </c>
      <c r="Y1346" t="s">
        <v>1000</v>
      </c>
      <c r="Z1346">
        <v>1</v>
      </c>
      <c r="AA1346">
        <f t="shared" si="406"/>
        <v>1</v>
      </c>
      <c r="AB1346">
        <f t="shared" si="407"/>
        <v>1</v>
      </c>
      <c r="AC1346">
        <f t="shared" si="408"/>
        <v>0</v>
      </c>
      <c r="AD1346">
        <f t="shared" si="409"/>
        <v>0</v>
      </c>
      <c r="AE1346">
        <f t="shared" si="410"/>
        <v>0</v>
      </c>
      <c r="AF1346">
        <f t="shared" si="411"/>
        <v>1</v>
      </c>
      <c r="AG1346">
        <f t="shared" si="412"/>
        <v>1</v>
      </c>
      <c r="AH1346">
        <f t="shared" si="413"/>
        <v>-1</v>
      </c>
      <c r="AI1346">
        <f t="shared" si="414"/>
        <v>1</v>
      </c>
      <c r="AJ1346" s="9" t="str">
        <f t="shared" si="417"/>
        <v>Tax exemption/waiver/suspension</v>
      </c>
      <c r="AK1346">
        <f t="shared" si="416"/>
        <v>0</v>
      </c>
      <c r="AL1346" s="9">
        <v>1</v>
      </c>
    </row>
    <row r="1347" spans="1:38" x14ac:dyDescent="0.35">
      <c r="A1347" s="9">
        <v>1</v>
      </c>
      <c r="B1347" s="9" t="s">
        <v>55</v>
      </c>
      <c r="C1347" s="53">
        <v>43861</v>
      </c>
      <c r="D1347" s="53">
        <v>43904</v>
      </c>
      <c r="E1347" s="53">
        <v>43966</v>
      </c>
      <c r="F1347" s="21">
        <f t="shared" si="403"/>
        <v>62</v>
      </c>
      <c r="G1347" s="53">
        <v>43904</v>
      </c>
      <c r="H1347" s="9">
        <v>2020</v>
      </c>
      <c r="I1347" s="9">
        <v>1</v>
      </c>
      <c r="J1347" s="9">
        <v>1</v>
      </c>
      <c r="K1347" s="9">
        <v>6</v>
      </c>
      <c r="L1347" s="50" t="s">
        <v>436</v>
      </c>
      <c r="M1347">
        <v>-2</v>
      </c>
      <c r="N1347">
        <v>2</v>
      </c>
      <c r="O1347">
        <v>2</v>
      </c>
      <c r="P1347">
        <v>2</v>
      </c>
      <c r="Q1347">
        <v>2</v>
      </c>
      <c r="R1347">
        <v>2</v>
      </c>
      <c r="S1347">
        <v>1</v>
      </c>
      <c r="T1347">
        <v>2</v>
      </c>
      <c r="U1347">
        <v>1</v>
      </c>
      <c r="V1347" t="s">
        <v>961</v>
      </c>
      <c r="W1347" t="s">
        <v>989</v>
      </c>
      <c r="X1347" t="s">
        <v>997</v>
      </c>
      <c r="Y1347" t="s">
        <v>1000</v>
      </c>
      <c r="Z1347">
        <v>1</v>
      </c>
      <c r="AA1347">
        <f t="shared" si="406"/>
        <v>0</v>
      </c>
      <c r="AB1347">
        <f t="shared" si="407"/>
        <v>1</v>
      </c>
      <c r="AC1347">
        <f t="shared" si="408"/>
        <v>1</v>
      </c>
      <c r="AD1347">
        <f t="shared" si="409"/>
        <v>1</v>
      </c>
      <c r="AE1347">
        <f t="shared" si="410"/>
        <v>1</v>
      </c>
      <c r="AF1347">
        <f t="shared" si="411"/>
        <v>1</v>
      </c>
      <c r="AG1347">
        <f t="shared" si="412"/>
        <v>1</v>
      </c>
      <c r="AH1347">
        <f t="shared" si="413"/>
        <v>1</v>
      </c>
      <c r="AI1347">
        <f t="shared" si="414"/>
        <v>1</v>
      </c>
      <c r="AJ1347" s="9">
        <f t="shared" si="417"/>
        <v>6</v>
      </c>
      <c r="AK1347">
        <f t="shared" si="416"/>
        <v>0</v>
      </c>
      <c r="AL1347" s="9">
        <v>1</v>
      </c>
    </row>
    <row r="1348" spans="1:38" x14ac:dyDescent="0.35">
      <c r="A1348" s="9">
        <v>1</v>
      </c>
      <c r="B1348" s="9" t="s">
        <v>55</v>
      </c>
      <c r="C1348" s="53">
        <v>43861</v>
      </c>
      <c r="D1348" s="53">
        <v>43904</v>
      </c>
      <c r="E1348" s="53">
        <v>43966</v>
      </c>
      <c r="F1348" s="21">
        <f t="shared" si="403"/>
        <v>62</v>
      </c>
      <c r="G1348" s="53">
        <v>43904</v>
      </c>
      <c r="H1348" s="9">
        <v>2020</v>
      </c>
      <c r="I1348" s="9">
        <v>1</v>
      </c>
      <c r="J1348" s="9">
        <v>1</v>
      </c>
      <c r="K1348" s="9">
        <v>6</v>
      </c>
      <c r="L1348" s="50" t="s">
        <v>424</v>
      </c>
      <c r="M1348">
        <v>2</v>
      </c>
      <c r="N1348">
        <v>2</v>
      </c>
      <c r="O1348">
        <v>2</v>
      </c>
      <c r="P1348">
        <v>2</v>
      </c>
      <c r="Q1348">
        <v>2</v>
      </c>
      <c r="R1348">
        <v>2</v>
      </c>
      <c r="S1348">
        <v>1</v>
      </c>
      <c r="T1348">
        <v>2</v>
      </c>
      <c r="U1348">
        <v>1</v>
      </c>
      <c r="V1348" t="s">
        <v>961</v>
      </c>
      <c r="W1348" t="s">
        <v>989</v>
      </c>
      <c r="X1348" t="s">
        <v>997</v>
      </c>
      <c r="Y1348" t="s">
        <v>1000</v>
      </c>
      <c r="Z1348">
        <v>1</v>
      </c>
      <c r="AA1348">
        <f t="shared" si="406"/>
        <v>1</v>
      </c>
      <c r="AB1348">
        <f t="shared" si="407"/>
        <v>1</v>
      </c>
      <c r="AC1348">
        <f t="shared" si="408"/>
        <v>1</v>
      </c>
      <c r="AD1348">
        <f t="shared" si="409"/>
        <v>1</v>
      </c>
      <c r="AE1348">
        <f t="shared" si="410"/>
        <v>1</v>
      </c>
      <c r="AF1348">
        <f t="shared" si="411"/>
        <v>1</v>
      </c>
      <c r="AG1348">
        <f t="shared" si="412"/>
        <v>1</v>
      </c>
      <c r="AH1348">
        <f t="shared" si="413"/>
        <v>1</v>
      </c>
      <c r="AI1348">
        <f t="shared" si="414"/>
        <v>1</v>
      </c>
      <c r="AJ1348" s="9">
        <f t="shared" si="417"/>
        <v>6</v>
      </c>
      <c r="AK1348">
        <f t="shared" si="416"/>
        <v>0</v>
      </c>
      <c r="AL1348" s="9">
        <v>1</v>
      </c>
    </row>
    <row r="1349" spans="1:38" x14ac:dyDescent="0.35">
      <c r="A1349" s="9">
        <v>1</v>
      </c>
      <c r="B1349" s="9" t="s">
        <v>55</v>
      </c>
      <c r="C1349" s="53">
        <v>43861</v>
      </c>
      <c r="D1349" s="53">
        <v>43904</v>
      </c>
      <c r="E1349" s="53">
        <v>43966</v>
      </c>
      <c r="F1349" s="21">
        <f t="shared" si="403"/>
        <v>62</v>
      </c>
      <c r="G1349" s="53">
        <v>43904</v>
      </c>
      <c r="H1349" s="9">
        <v>2020</v>
      </c>
      <c r="I1349" s="9">
        <v>1</v>
      </c>
      <c r="J1349" s="9">
        <v>6</v>
      </c>
      <c r="K1349" s="9">
        <v>29</v>
      </c>
      <c r="L1349" s="50" t="s">
        <v>421</v>
      </c>
      <c r="M1349">
        <v>1</v>
      </c>
      <c r="N1349">
        <v>1</v>
      </c>
      <c r="O1349">
        <v>-2</v>
      </c>
      <c r="P1349">
        <v>-1</v>
      </c>
      <c r="Q1349">
        <v>-2</v>
      </c>
      <c r="R1349">
        <v>2</v>
      </c>
      <c r="S1349">
        <v>1</v>
      </c>
      <c r="T1349">
        <v>2</v>
      </c>
      <c r="U1349">
        <v>1</v>
      </c>
      <c r="V1349" t="s">
        <v>961</v>
      </c>
      <c r="W1349" t="s">
        <v>989</v>
      </c>
      <c r="X1349" t="s">
        <v>997</v>
      </c>
      <c r="Y1349" t="s">
        <v>1000</v>
      </c>
      <c r="Z1349">
        <v>1</v>
      </c>
      <c r="AA1349">
        <f t="shared" si="406"/>
        <v>1</v>
      </c>
      <c r="AB1349">
        <f t="shared" si="407"/>
        <v>1</v>
      </c>
      <c r="AC1349">
        <f t="shared" si="408"/>
        <v>0</v>
      </c>
      <c r="AD1349">
        <f t="shared" si="409"/>
        <v>0</v>
      </c>
      <c r="AE1349">
        <f t="shared" si="410"/>
        <v>0</v>
      </c>
      <c r="AF1349">
        <f t="shared" si="411"/>
        <v>1</v>
      </c>
      <c r="AG1349">
        <f t="shared" si="412"/>
        <v>1</v>
      </c>
      <c r="AH1349">
        <f t="shared" si="413"/>
        <v>1</v>
      </c>
      <c r="AI1349">
        <f t="shared" si="414"/>
        <v>1</v>
      </c>
      <c r="AJ1349" s="9">
        <f t="shared" si="417"/>
        <v>29</v>
      </c>
      <c r="AK1349">
        <f t="shared" si="416"/>
        <v>0</v>
      </c>
      <c r="AL1349" s="9">
        <v>1</v>
      </c>
    </row>
    <row r="1350" spans="1:38" x14ac:dyDescent="0.35">
      <c r="A1350" s="9">
        <v>1</v>
      </c>
      <c r="B1350" s="9" t="s">
        <v>55</v>
      </c>
      <c r="C1350" s="53">
        <v>43861</v>
      </c>
      <c r="D1350" s="53">
        <v>43904</v>
      </c>
      <c r="E1350" s="53">
        <v>43966</v>
      </c>
      <c r="F1350" s="21">
        <f t="shared" si="403"/>
        <v>62</v>
      </c>
      <c r="G1350" s="53">
        <v>43904</v>
      </c>
      <c r="H1350" s="9">
        <v>2020</v>
      </c>
      <c r="I1350" s="9">
        <v>1</v>
      </c>
      <c r="J1350" s="9">
        <v>6</v>
      </c>
      <c r="K1350" s="9">
        <v>29</v>
      </c>
      <c r="L1350" s="50" t="s">
        <v>453</v>
      </c>
      <c r="M1350">
        <v>1</v>
      </c>
      <c r="N1350">
        <v>1</v>
      </c>
      <c r="O1350">
        <v>-2</v>
      </c>
      <c r="P1350">
        <v>-1</v>
      </c>
      <c r="Q1350">
        <v>-2</v>
      </c>
      <c r="R1350">
        <v>2</v>
      </c>
      <c r="S1350">
        <v>1</v>
      </c>
      <c r="T1350">
        <v>2</v>
      </c>
      <c r="U1350">
        <v>1</v>
      </c>
      <c r="V1350" t="s">
        <v>961</v>
      </c>
      <c r="W1350" t="s">
        <v>989</v>
      </c>
      <c r="X1350" t="s">
        <v>997</v>
      </c>
      <c r="Y1350" t="s">
        <v>1000</v>
      </c>
      <c r="Z1350">
        <v>1</v>
      </c>
      <c r="AA1350">
        <f t="shared" si="406"/>
        <v>1</v>
      </c>
      <c r="AB1350">
        <f t="shared" si="407"/>
        <v>1</v>
      </c>
      <c r="AC1350">
        <f t="shared" si="408"/>
        <v>0</v>
      </c>
      <c r="AD1350">
        <f t="shared" si="409"/>
        <v>0</v>
      </c>
      <c r="AE1350">
        <f t="shared" si="410"/>
        <v>0</v>
      </c>
      <c r="AF1350">
        <f t="shared" si="411"/>
        <v>1</v>
      </c>
      <c r="AG1350">
        <f t="shared" si="412"/>
        <v>1</v>
      </c>
      <c r="AH1350">
        <f t="shared" si="413"/>
        <v>1</v>
      </c>
      <c r="AI1350">
        <f t="shared" si="414"/>
        <v>1</v>
      </c>
      <c r="AJ1350" s="9">
        <f t="shared" si="417"/>
        <v>29</v>
      </c>
      <c r="AK1350">
        <f t="shared" si="416"/>
        <v>0</v>
      </c>
      <c r="AL1350" s="9">
        <v>1</v>
      </c>
    </row>
    <row r="1351" spans="1:38" x14ac:dyDescent="0.35">
      <c r="A1351" s="9">
        <v>1</v>
      </c>
      <c r="B1351" s="9" t="s">
        <v>55</v>
      </c>
      <c r="C1351" s="53">
        <v>43861</v>
      </c>
      <c r="D1351" s="53">
        <v>43904</v>
      </c>
      <c r="E1351" s="53">
        <v>43966</v>
      </c>
      <c r="F1351" s="21">
        <f t="shared" si="403"/>
        <v>62</v>
      </c>
      <c r="G1351" s="53">
        <v>43904</v>
      </c>
      <c r="H1351" s="9">
        <v>2020</v>
      </c>
      <c r="I1351" s="9">
        <v>1</v>
      </c>
      <c r="J1351" s="9">
        <v>1</v>
      </c>
      <c r="K1351" s="9" t="s">
        <v>206</v>
      </c>
      <c r="L1351" s="50" t="s">
        <v>432</v>
      </c>
      <c r="M1351">
        <v>2</v>
      </c>
      <c r="N1351">
        <v>2</v>
      </c>
      <c r="O1351">
        <v>-2</v>
      </c>
      <c r="P1351">
        <v>-1</v>
      </c>
      <c r="Q1351">
        <v>-2</v>
      </c>
      <c r="R1351">
        <v>2</v>
      </c>
      <c r="S1351">
        <v>1</v>
      </c>
      <c r="T1351">
        <v>2</v>
      </c>
      <c r="U1351">
        <v>1</v>
      </c>
      <c r="V1351" t="s">
        <v>961</v>
      </c>
      <c r="W1351" t="s">
        <v>989</v>
      </c>
      <c r="X1351" t="s">
        <v>997</v>
      </c>
      <c r="Y1351" t="s">
        <v>1000</v>
      </c>
      <c r="Z1351">
        <v>1</v>
      </c>
      <c r="AA1351">
        <f t="shared" si="406"/>
        <v>1</v>
      </c>
      <c r="AB1351">
        <f t="shared" si="407"/>
        <v>1</v>
      </c>
      <c r="AC1351">
        <f t="shared" si="408"/>
        <v>0</v>
      </c>
      <c r="AD1351">
        <f t="shared" si="409"/>
        <v>0</v>
      </c>
      <c r="AE1351">
        <f t="shared" si="410"/>
        <v>0</v>
      </c>
      <c r="AF1351">
        <f t="shared" si="411"/>
        <v>1</v>
      </c>
      <c r="AG1351">
        <f t="shared" si="412"/>
        <v>1</v>
      </c>
      <c r="AH1351">
        <f t="shared" si="413"/>
        <v>1</v>
      </c>
      <c r="AI1351">
        <f t="shared" si="414"/>
        <v>1</v>
      </c>
      <c r="AJ1351" s="9" t="str">
        <f t="shared" si="417"/>
        <v>Tax exemption/waiver/suspension</v>
      </c>
      <c r="AK1351">
        <f t="shared" si="416"/>
        <v>0</v>
      </c>
      <c r="AL1351" s="9">
        <v>0</v>
      </c>
    </row>
    <row r="1352" spans="1:38" x14ac:dyDescent="0.35">
      <c r="A1352" s="9">
        <v>1</v>
      </c>
      <c r="B1352" s="9" t="s">
        <v>55</v>
      </c>
      <c r="C1352" s="53">
        <v>43861</v>
      </c>
      <c r="D1352" s="53">
        <v>43904</v>
      </c>
      <c r="E1352" s="53">
        <v>43966</v>
      </c>
      <c r="F1352" s="21">
        <f t="shared" si="403"/>
        <v>62</v>
      </c>
      <c r="G1352" s="53">
        <v>43904</v>
      </c>
      <c r="H1352" s="9">
        <v>2020</v>
      </c>
      <c r="I1352" s="9">
        <v>1</v>
      </c>
      <c r="J1352" s="9">
        <v>5</v>
      </c>
      <c r="K1352" s="9" t="s">
        <v>204</v>
      </c>
      <c r="L1352" s="50" t="s">
        <v>444</v>
      </c>
      <c r="M1352">
        <v>1</v>
      </c>
      <c r="N1352">
        <v>-2</v>
      </c>
      <c r="O1352">
        <v>-2</v>
      </c>
      <c r="P1352">
        <v>-1</v>
      </c>
      <c r="Q1352">
        <v>-2</v>
      </c>
      <c r="R1352">
        <v>2</v>
      </c>
      <c r="S1352">
        <v>1</v>
      </c>
      <c r="T1352">
        <v>2</v>
      </c>
      <c r="U1352">
        <v>1</v>
      </c>
      <c r="V1352" t="s">
        <v>961</v>
      </c>
      <c r="W1352" t="s">
        <v>989</v>
      </c>
      <c r="X1352" t="s">
        <v>997</v>
      </c>
      <c r="Y1352" t="s">
        <v>1000</v>
      </c>
      <c r="Z1352">
        <v>1</v>
      </c>
      <c r="AA1352">
        <f t="shared" si="406"/>
        <v>1</v>
      </c>
      <c r="AB1352">
        <f t="shared" si="407"/>
        <v>0</v>
      </c>
      <c r="AC1352">
        <f t="shared" si="408"/>
        <v>0</v>
      </c>
      <c r="AD1352">
        <f t="shared" si="409"/>
        <v>0</v>
      </c>
      <c r="AE1352">
        <f t="shared" si="410"/>
        <v>0</v>
      </c>
      <c r="AF1352">
        <f t="shared" si="411"/>
        <v>1</v>
      </c>
      <c r="AG1352">
        <f t="shared" si="412"/>
        <v>1</v>
      </c>
      <c r="AH1352">
        <f t="shared" si="413"/>
        <v>1</v>
      </c>
      <c r="AI1352">
        <f t="shared" si="414"/>
        <v>1</v>
      </c>
      <c r="AJ1352" s="9" t="str">
        <f t="shared" si="417"/>
        <v>General</v>
      </c>
      <c r="AK1352">
        <f t="shared" si="416"/>
        <v>0</v>
      </c>
      <c r="AL1352" s="9">
        <v>0</v>
      </c>
    </row>
    <row r="1353" spans="1:38" x14ac:dyDescent="0.35">
      <c r="A1353" s="9">
        <v>1</v>
      </c>
      <c r="B1353" s="50" t="s">
        <v>55</v>
      </c>
      <c r="C1353" s="53">
        <v>43861</v>
      </c>
      <c r="D1353" s="53">
        <v>43904</v>
      </c>
      <c r="E1353" s="53">
        <v>43966</v>
      </c>
      <c r="F1353" s="21">
        <f t="shared" si="403"/>
        <v>62</v>
      </c>
      <c r="G1353" s="53">
        <v>43904</v>
      </c>
      <c r="H1353" s="9">
        <v>2020</v>
      </c>
      <c r="I1353" s="9">
        <v>1</v>
      </c>
      <c r="J1353" s="50">
        <v>6</v>
      </c>
      <c r="K1353" s="50">
        <v>28</v>
      </c>
      <c r="L1353" s="24" t="s">
        <v>1778</v>
      </c>
      <c r="M1353" s="24"/>
      <c r="V1353" t="s">
        <v>961</v>
      </c>
      <c r="W1353" t="s">
        <v>989</v>
      </c>
      <c r="X1353" t="s">
        <v>997</v>
      </c>
      <c r="Y1353" t="s">
        <v>1000</v>
      </c>
      <c r="Z1353">
        <v>1</v>
      </c>
      <c r="AA1353">
        <v>-1</v>
      </c>
      <c r="AB1353">
        <v>-1</v>
      </c>
      <c r="AC1353">
        <v>-1</v>
      </c>
      <c r="AD1353">
        <v>-1</v>
      </c>
      <c r="AE1353">
        <v>-1</v>
      </c>
      <c r="AF1353">
        <v>-1</v>
      </c>
      <c r="AG1353">
        <v>-1</v>
      </c>
      <c r="AH1353">
        <v>-1</v>
      </c>
      <c r="AI1353">
        <v>-1</v>
      </c>
      <c r="AJ1353" s="9">
        <f t="shared" si="417"/>
        <v>28</v>
      </c>
      <c r="AK1353">
        <f t="shared" si="416"/>
        <v>0</v>
      </c>
      <c r="AL1353" s="9">
        <v>0</v>
      </c>
    </row>
    <row r="1354" spans="1:38" x14ac:dyDescent="0.35">
      <c r="A1354" s="9">
        <v>1</v>
      </c>
      <c r="B1354" s="50" t="s">
        <v>55</v>
      </c>
      <c r="C1354" s="53">
        <v>43861</v>
      </c>
      <c r="D1354" s="53">
        <v>43904</v>
      </c>
      <c r="E1354" s="53">
        <v>43966</v>
      </c>
      <c r="F1354" s="21">
        <f t="shared" si="403"/>
        <v>62</v>
      </c>
      <c r="G1354" s="53">
        <v>43904</v>
      </c>
      <c r="H1354" s="9">
        <v>2020</v>
      </c>
      <c r="I1354" s="9">
        <v>1</v>
      </c>
      <c r="J1354" s="50">
        <v>6</v>
      </c>
      <c r="K1354" s="50">
        <v>28</v>
      </c>
      <c r="L1354" s="24" t="s">
        <v>1779</v>
      </c>
      <c r="M1354" s="24"/>
      <c r="V1354" t="s">
        <v>961</v>
      </c>
      <c r="W1354" t="s">
        <v>989</v>
      </c>
      <c r="X1354" t="s">
        <v>997</v>
      </c>
      <c r="Y1354" t="s">
        <v>1000</v>
      </c>
      <c r="Z1354">
        <v>1</v>
      </c>
      <c r="AA1354">
        <v>-1</v>
      </c>
      <c r="AB1354">
        <v>-1</v>
      </c>
      <c r="AC1354">
        <v>-1</v>
      </c>
      <c r="AD1354">
        <v>-1</v>
      </c>
      <c r="AE1354">
        <v>-1</v>
      </c>
      <c r="AF1354">
        <v>-1</v>
      </c>
      <c r="AG1354">
        <v>-1</v>
      </c>
      <c r="AH1354">
        <v>-1</v>
      </c>
      <c r="AI1354">
        <v>-1</v>
      </c>
      <c r="AJ1354" s="9">
        <f t="shared" si="417"/>
        <v>28</v>
      </c>
      <c r="AK1354">
        <f t="shared" si="416"/>
        <v>0</v>
      </c>
      <c r="AL1354" s="9">
        <v>0</v>
      </c>
    </row>
    <row r="1355" spans="1:38" x14ac:dyDescent="0.35">
      <c r="A1355" s="9">
        <v>1</v>
      </c>
      <c r="B1355" s="50" t="s">
        <v>55</v>
      </c>
      <c r="C1355" s="53">
        <v>43861</v>
      </c>
      <c r="D1355" s="53">
        <v>43904</v>
      </c>
      <c r="E1355" s="53">
        <v>43966</v>
      </c>
      <c r="F1355" s="21">
        <f t="shared" si="403"/>
        <v>62</v>
      </c>
      <c r="G1355" s="53">
        <v>43904</v>
      </c>
      <c r="H1355" s="9">
        <v>2020</v>
      </c>
      <c r="I1355" s="9">
        <v>1</v>
      </c>
      <c r="J1355" s="50">
        <v>7</v>
      </c>
      <c r="K1355" s="50">
        <v>30</v>
      </c>
      <c r="L1355" s="24" t="s">
        <v>1780</v>
      </c>
      <c r="M1355" s="24"/>
      <c r="V1355" t="s">
        <v>961</v>
      </c>
      <c r="W1355" t="s">
        <v>989</v>
      </c>
      <c r="X1355" t="s">
        <v>997</v>
      </c>
      <c r="Y1355" t="s">
        <v>1000</v>
      </c>
      <c r="Z1355">
        <v>1</v>
      </c>
      <c r="AA1355">
        <v>-1</v>
      </c>
      <c r="AB1355">
        <v>-1</v>
      </c>
      <c r="AC1355">
        <v>-1</v>
      </c>
      <c r="AD1355">
        <v>-1</v>
      </c>
      <c r="AE1355">
        <v>-1</v>
      </c>
      <c r="AF1355">
        <v>-1</v>
      </c>
      <c r="AG1355">
        <v>-1</v>
      </c>
      <c r="AH1355">
        <v>-1</v>
      </c>
      <c r="AI1355">
        <v>-1</v>
      </c>
      <c r="AJ1355" s="9">
        <f t="shared" si="417"/>
        <v>30</v>
      </c>
      <c r="AK1355">
        <f t="shared" si="416"/>
        <v>0</v>
      </c>
      <c r="AL1355" s="9">
        <v>0</v>
      </c>
    </row>
    <row r="1356" spans="1:38" x14ac:dyDescent="0.35">
      <c r="A1356" s="9">
        <v>1</v>
      </c>
      <c r="B1356" s="50" t="s">
        <v>55</v>
      </c>
      <c r="C1356" s="53">
        <v>43861</v>
      </c>
      <c r="D1356" s="53">
        <v>43904</v>
      </c>
      <c r="E1356" s="53">
        <v>43966</v>
      </c>
      <c r="F1356" s="21">
        <f t="shared" si="403"/>
        <v>62</v>
      </c>
      <c r="G1356" s="53">
        <v>43904</v>
      </c>
      <c r="H1356" s="9">
        <v>2020</v>
      </c>
      <c r="I1356" s="9">
        <v>1</v>
      </c>
      <c r="J1356" s="50">
        <v>1</v>
      </c>
      <c r="K1356" s="50">
        <v>11</v>
      </c>
      <c r="L1356" s="24" t="s">
        <v>1781</v>
      </c>
      <c r="M1356" s="24"/>
      <c r="V1356" t="s">
        <v>961</v>
      </c>
      <c r="W1356" t="s">
        <v>989</v>
      </c>
      <c r="X1356" t="s">
        <v>997</v>
      </c>
      <c r="Y1356" t="s">
        <v>1000</v>
      </c>
      <c r="Z1356">
        <v>1</v>
      </c>
      <c r="AA1356">
        <v>-1</v>
      </c>
      <c r="AB1356">
        <v>-1</v>
      </c>
      <c r="AC1356">
        <v>-1</v>
      </c>
      <c r="AD1356">
        <v>-1</v>
      </c>
      <c r="AE1356">
        <v>-1</v>
      </c>
      <c r="AF1356">
        <v>-1</v>
      </c>
      <c r="AG1356">
        <v>-1</v>
      </c>
      <c r="AH1356">
        <v>-1</v>
      </c>
      <c r="AI1356">
        <v>-1</v>
      </c>
      <c r="AJ1356" s="9">
        <f t="shared" si="417"/>
        <v>11</v>
      </c>
      <c r="AK1356">
        <f t="shared" si="416"/>
        <v>0</v>
      </c>
      <c r="AL1356" s="9">
        <v>0</v>
      </c>
    </row>
    <row r="1357" spans="1:38" x14ac:dyDescent="0.35">
      <c r="A1357" s="9">
        <v>1</v>
      </c>
      <c r="B1357" s="50" t="s">
        <v>55</v>
      </c>
      <c r="C1357" s="53">
        <v>43861</v>
      </c>
      <c r="D1357" s="53">
        <v>43904</v>
      </c>
      <c r="E1357" s="53">
        <v>43966</v>
      </c>
      <c r="F1357" s="21">
        <f t="shared" si="403"/>
        <v>62</v>
      </c>
      <c r="G1357" s="53">
        <v>43904</v>
      </c>
      <c r="H1357" s="9">
        <v>2020</v>
      </c>
      <c r="I1357" s="9">
        <v>1</v>
      </c>
      <c r="J1357" s="50">
        <v>1</v>
      </c>
      <c r="K1357" s="50">
        <v>4</v>
      </c>
      <c r="L1357" s="24" t="s">
        <v>1561</v>
      </c>
      <c r="M1357" s="24"/>
      <c r="V1357" t="s">
        <v>961</v>
      </c>
      <c r="W1357" t="s">
        <v>989</v>
      </c>
      <c r="X1357" t="s">
        <v>997</v>
      </c>
      <c r="Y1357" t="s">
        <v>1000</v>
      </c>
      <c r="Z1357">
        <v>1</v>
      </c>
      <c r="AA1357">
        <v>-1</v>
      </c>
      <c r="AB1357">
        <v>-1</v>
      </c>
      <c r="AC1357">
        <v>-1</v>
      </c>
      <c r="AD1357">
        <v>-1</v>
      </c>
      <c r="AE1357">
        <v>-1</v>
      </c>
      <c r="AF1357">
        <v>-1</v>
      </c>
      <c r="AG1357">
        <v>-1</v>
      </c>
      <c r="AH1357">
        <v>-1</v>
      </c>
      <c r="AI1357">
        <v>-1</v>
      </c>
      <c r="AJ1357" s="9">
        <f t="shared" si="417"/>
        <v>4</v>
      </c>
      <c r="AK1357">
        <f t="shared" si="416"/>
        <v>0</v>
      </c>
      <c r="AL1357" s="9">
        <v>0</v>
      </c>
    </row>
    <row r="1358" spans="1:38" x14ac:dyDescent="0.35">
      <c r="A1358" s="9">
        <v>1</v>
      </c>
      <c r="B1358" s="50" t="s">
        <v>55</v>
      </c>
      <c r="C1358" s="53">
        <v>43861</v>
      </c>
      <c r="D1358" s="53">
        <v>43904</v>
      </c>
      <c r="E1358" s="53">
        <v>43966</v>
      </c>
      <c r="F1358" s="21">
        <f t="shared" si="403"/>
        <v>62</v>
      </c>
      <c r="G1358" s="53">
        <v>43904</v>
      </c>
      <c r="H1358" s="9">
        <v>2020</v>
      </c>
      <c r="I1358" s="9">
        <v>1</v>
      </c>
      <c r="J1358" s="50">
        <v>1</v>
      </c>
      <c r="K1358" s="50">
        <v>6</v>
      </c>
      <c r="L1358" s="24" t="s">
        <v>1562</v>
      </c>
      <c r="M1358" s="24"/>
      <c r="V1358" t="s">
        <v>961</v>
      </c>
      <c r="W1358" t="s">
        <v>989</v>
      </c>
      <c r="X1358" t="s">
        <v>997</v>
      </c>
      <c r="Y1358" t="s">
        <v>1000</v>
      </c>
      <c r="Z1358">
        <v>1</v>
      </c>
      <c r="AA1358">
        <v>-1</v>
      </c>
      <c r="AB1358">
        <v>-1</v>
      </c>
      <c r="AC1358">
        <v>-1</v>
      </c>
      <c r="AD1358">
        <v>-1</v>
      </c>
      <c r="AE1358">
        <v>-1</v>
      </c>
      <c r="AF1358">
        <v>-1</v>
      </c>
      <c r="AG1358">
        <v>-1</v>
      </c>
      <c r="AH1358">
        <v>-1</v>
      </c>
      <c r="AI1358">
        <v>-1</v>
      </c>
      <c r="AJ1358" s="9">
        <f t="shared" si="417"/>
        <v>6</v>
      </c>
      <c r="AK1358">
        <f t="shared" si="416"/>
        <v>0</v>
      </c>
      <c r="AL1358" s="9">
        <v>0</v>
      </c>
    </row>
    <row r="1359" spans="1:38" x14ac:dyDescent="0.35">
      <c r="A1359" s="9">
        <v>1</v>
      </c>
      <c r="B1359" s="50" t="s">
        <v>55</v>
      </c>
      <c r="C1359" s="53">
        <v>43861</v>
      </c>
      <c r="D1359" s="53">
        <v>43904</v>
      </c>
      <c r="E1359" s="53">
        <v>43966</v>
      </c>
      <c r="F1359" s="21">
        <f t="shared" si="403"/>
        <v>62</v>
      </c>
      <c r="G1359" s="53">
        <v>43904</v>
      </c>
      <c r="H1359" s="9">
        <v>2020</v>
      </c>
      <c r="I1359" s="9">
        <v>1</v>
      </c>
      <c r="J1359" s="50">
        <v>7</v>
      </c>
      <c r="K1359" s="50">
        <v>30</v>
      </c>
      <c r="L1359" s="24" t="s">
        <v>1563</v>
      </c>
      <c r="M1359" s="24"/>
      <c r="V1359" t="s">
        <v>961</v>
      </c>
      <c r="W1359" t="s">
        <v>989</v>
      </c>
      <c r="X1359" t="s">
        <v>997</v>
      </c>
      <c r="Y1359" t="s">
        <v>1000</v>
      </c>
      <c r="Z1359">
        <v>1</v>
      </c>
      <c r="AA1359">
        <v>-1</v>
      </c>
      <c r="AB1359">
        <v>-1</v>
      </c>
      <c r="AC1359">
        <v>-1</v>
      </c>
      <c r="AD1359">
        <v>-1</v>
      </c>
      <c r="AE1359">
        <v>-1</v>
      </c>
      <c r="AF1359">
        <v>-1</v>
      </c>
      <c r="AG1359">
        <v>-1</v>
      </c>
      <c r="AH1359">
        <v>-1</v>
      </c>
      <c r="AI1359">
        <v>-1</v>
      </c>
      <c r="AJ1359" s="9">
        <f t="shared" si="417"/>
        <v>30</v>
      </c>
      <c r="AK1359">
        <f t="shared" si="416"/>
        <v>0</v>
      </c>
      <c r="AL1359" s="9">
        <v>1</v>
      </c>
    </row>
    <row r="1360" spans="1:38" x14ac:dyDescent="0.35">
      <c r="A1360" s="9">
        <v>1</v>
      </c>
      <c r="B1360" s="50" t="s">
        <v>55</v>
      </c>
      <c r="C1360" s="53">
        <v>43861</v>
      </c>
      <c r="D1360" s="53">
        <v>43904</v>
      </c>
      <c r="E1360" s="53">
        <v>43966</v>
      </c>
      <c r="F1360" s="21">
        <f t="shared" si="403"/>
        <v>62</v>
      </c>
      <c r="G1360" s="53">
        <v>43904</v>
      </c>
      <c r="H1360" s="9">
        <v>2020</v>
      </c>
      <c r="I1360" s="9">
        <v>1</v>
      </c>
      <c r="J1360" s="50">
        <v>7</v>
      </c>
      <c r="K1360" s="50">
        <v>30</v>
      </c>
      <c r="L1360" s="24" t="s">
        <v>1564</v>
      </c>
      <c r="M1360" s="24"/>
      <c r="V1360" t="s">
        <v>961</v>
      </c>
      <c r="W1360" t="s">
        <v>989</v>
      </c>
      <c r="X1360" t="s">
        <v>997</v>
      </c>
      <c r="Y1360" t="s">
        <v>1000</v>
      </c>
      <c r="Z1360">
        <v>1</v>
      </c>
      <c r="AA1360">
        <v>-1</v>
      </c>
      <c r="AB1360">
        <v>-1</v>
      </c>
      <c r="AC1360">
        <v>-1</v>
      </c>
      <c r="AD1360">
        <v>-1</v>
      </c>
      <c r="AE1360">
        <v>-1</v>
      </c>
      <c r="AF1360">
        <v>-1</v>
      </c>
      <c r="AG1360">
        <v>-1</v>
      </c>
      <c r="AH1360">
        <v>-1</v>
      </c>
      <c r="AI1360">
        <v>-1</v>
      </c>
      <c r="AJ1360" s="9">
        <f t="shared" si="417"/>
        <v>30</v>
      </c>
      <c r="AK1360">
        <f t="shared" si="416"/>
        <v>0</v>
      </c>
      <c r="AL1360" s="9">
        <v>1</v>
      </c>
    </row>
    <row r="1361" spans="1:38" s="47" customFormat="1" x14ac:dyDescent="0.35">
      <c r="A1361" s="9">
        <v>1</v>
      </c>
      <c r="B1361" s="50" t="s">
        <v>55</v>
      </c>
      <c r="C1361" s="53">
        <v>43861</v>
      </c>
      <c r="D1361" s="53">
        <v>43904</v>
      </c>
      <c r="E1361" s="53">
        <v>43966</v>
      </c>
      <c r="F1361" s="21">
        <f t="shared" si="403"/>
        <v>62</v>
      </c>
      <c r="G1361" s="53">
        <v>43904</v>
      </c>
      <c r="H1361" s="9">
        <v>2021</v>
      </c>
      <c r="I1361" s="9">
        <v>1</v>
      </c>
      <c r="J1361" s="50">
        <v>5</v>
      </c>
      <c r="K1361" s="50">
        <v>24</v>
      </c>
      <c r="L1361" s="71" t="s">
        <v>1716</v>
      </c>
      <c r="M1361" s="48"/>
      <c r="V1361" t="s">
        <v>961</v>
      </c>
      <c r="AJ1361" s="47">
        <f t="shared" si="417"/>
        <v>24</v>
      </c>
    </row>
    <row r="1362" spans="1:38" s="47" customFormat="1" x14ac:dyDescent="0.35">
      <c r="A1362" s="9">
        <v>1</v>
      </c>
      <c r="B1362" s="50" t="s">
        <v>55</v>
      </c>
      <c r="C1362" s="53">
        <v>43861</v>
      </c>
      <c r="D1362" s="53">
        <v>43904</v>
      </c>
      <c r="E1362" s="53">
        <v>43966</v>
      </c>
      <c r="F1362" s="21">
        <f t="shared" ref="F1362:F1370" si="418">DATEDIF(D1362,E1362,"D")</f>
        <v>62</v>
      </c>
      <c r="G1362" s="53">
        <v>43904</v>
      </c>
      <c r="H1362" s="9">
        <v>2021</v>
      </c>
      <c r="I1362" s="9">
        <v>1</v>
      </c>
      <c r="J1362" s="50">
        <v>6</v>
      </c>
      <c r="K1362" s="50">
        <v>29</v>
      </c>
      <c r="L1362" s="71" t="s">
        <v>2089</v>
      </c>
      <c r="M1362" s="48"/>
      <c r="V1362"/>
      <c r="AJ1362" s="47">
        <f t="shared" si="417"/>
        <v>29</v>
      </c>
    </row>
    <row r="1363" spans="1:38" s="47" customFormat="1" x14ac:dyDescent="0.35">
      <c r="A1363" s="9">
        <v>1</v>
      </c>
      <c r="B1363" s="50" t="s">
        <v>55</v>
      </c>
      <c r="C1363" s="53">
        <v>43861</v>
      </c>
      <c r="D1363" s="53">
        <v>43904</v>
      </c>
      <c r="E1363" s="53">
        <v>43966</v>
      </c>
      <c r="F1363" s="21">
        <f t="shared" si="418"/>
        <v>62</v>
      </c>
      <c r="G1363" s="53">
        <v>43904</v>
      </c>
      <c r="H1363" s="9">
        <v>2021</v>
      </c>
      <c r="I1363" s="9">
        <v>1</v>
      </c>
      <c r="J1363" s="50">
        <v>3</v>
      </c>
      <c r="K1363" s="50" t="s">
        <v>206</v>
      </c>
      <c r="L1363" s="71" t="s">
        <v>2090</v>
      </c>
      <c r="M1363" s="48"/>
      <c r="V1363"/>
    </row>
    <row r="1364" spans="1:38" s="47" customFormat="1" x14ac:dyDescent="0.35">
      <c r="A1364" s="9">
        <v>1</v>
      </c>
      <c r="B1364" s="50" t="s">
        <v>55</v>
      </c>
      <c r="C1364" s="53">
        <v>43861</v>
      </c>
      <c r="D1364" s="53">
        <v>43904</v>
      </c>
      <c r="E1364" s="53">
        <v>43966</v>
      </c>
      <c r="F1364" s="21">
        <f t="shared" si="418"/>
        <v>62</v>
      </c>
      <c r="G1364" s="53">
        <v>43904</v>
      </c>
      <c r="H1364" s="9">
        <v>2021</v>
      </c>
      <c r="I1364" s="9">
        <v>1</v>
      </c>
      <c r="J1364" s="50">
        <v>9</v>
      </c>
      <c r="K1364" s="50">
        <v>34</v>
      </c>
      <c r="L1364" s="71" t="s">
        <v>2091</v>
      </c>
      <c r="M1364" s="48"/>
      <c r="V1364"/>
    </row>
    <row r="1365" spans="1:38" s="47" customFormat="1" x14ac:dyDescent="0.35">
      <c r="A1365" s="9">
        <v>1</v>
      </c>
      <c r="B1365" s="50" t="s">
        <v>55</v>
      </c>
      <c r="C1365" s="53">
        <v>43861</v>
      </c>
      <c r="D1365" s="53">
        <v>43904</v>
      </c>
      <c r="E1365" s="53">
        <v>43966</v>
      </c>
      <c r="F1365" s="21">
        <f t="shared" si="418"/>
        <v>62</v>
      </c>
      <c r="G1365" s="53">
        <v>43904</v>
      </c>
      <c r="H1365" s="9">
        <v>2021</v>
      </c>
      <c r="I1365" s="9">
        <v>1</v>
      </c>
      <c r="J1365" s="50">
        <v>6</v>
      </c>
      <c r="K1365" s="50">
        <v>28</v>
      </c>
      <c r="L1365" s="71" t="s">
        <v>2092</v>
      </c>
      <c r="M1365" s="48"/>
      <c r="V1365"/>
    </row>
    <row r="1366" spans="1:38" s="47" customFormat="1" x14ac:dyDescent="0.35">
      <c r="A1366" s="9">
        <v>1</v>
      </c>
      <c r="B1366" s="50" t="s">
        <v>55</v>
      </c>
      <c r="C1366" s="53">
        <v>43861</v>
      </c>
      <c r="D1366" s="53">
        <v>43904</v>
      </c>
      <c r="E1366" s="53">
        <v>43966</v>
      </c>
      <c r="F1366" s="21">
        <f t="shared" si="418"/>
        <v>62</v>
      </c>
      <c r="G1366" s="53">
        <v>43904</v>
      </c>
      <c r="H1366" s="9">
        <v>2021</v>
      </c>
      <c r="I1366" s="9">
        <v>1</v>
      </c>
      <c r="J1366" s="50">
        <v>9</v>
      </c>
      <c r="K1366" s="50">
        <v>34</v>
      </c>
      <c r="L1366" s="71" t="s">
        <v>2097</v>
      </c>
      <c r="M1366" s="48"/>
      <c r="V1366"/>
    </row>
    <row r="1367" spans="1:38" s="47" customFormat="1" x14ac:dyDescent="0.35">
      <c r="A1367" s="9">
        <v>1</v>
      </c>
      <c r="B1367" s="50" t="s">
        <v>55</v>
      </c>
      <c r="C1367" s="53">
        <v>43861</v>
      </c>
      <c r="D1367" s="53">
        <v>43904</v>
      </c>
      <c r="E1367" s="53">
        <v>43966</v>
      </c>
      <c r="F1367" s="21">
        <f t="shared" si="418"/>
        <v>62</v>
      </c>
      <c r="G1367" s="53">
        <v>43904</v>
      </c>
      <c r="H1367" s="9">
        <v>2021</v>
      </c>
      <c r="I1367" s="9">
        <v>1</v>
      </c>
      <c r="J1367" s="50">
        <v>9</v>
      </c>
      <c r="K1367" s="50">
        <v>34</v>
      </c>
      <c r="L1367" s="71" t="s">
        <v>2093</v>
      </c>
      <c r="M1367" s="48"/>
      <c r="V1367"/>
    </row>
    <row r="1368" spans="1:38" s="47" customFormat="1" x14ac:dyDescent="0.35">
      <c r="A1368" s="9">
        <v>1</v>
      </c>
      <c r="B1368" s="50" t="s">
        <v>55</v>
      </c>
      <c r="C1368" s="53">
        <v>43861</v>
      </c>
      <c r="D1368" s="53">
        <v>43904</v>
      </c>
      <c r="E1368" s="53">
        <v>43966</v>
      </c>
      <c r="F1368" s="21">
        <f t="shared" si="418"/>
        <v>62</v>
      </c>
      <c r="G1368" s="53">
        <v>43904</v>
      </c>
      <c r="H1368" s="9">
        <v>2021</v>
      </c>
      <c r="I1368" s="9">
        <v>1</v>
      </c>
      <c r="J1368" s="50">
        <v>7</v>
      </c>
      <c r="K1368" s="50">
        <v>30</v>
      </c>
      <c r="L1368" s="49" t="s">
        <v>2094</v>
      </c>
      <c r="M1368" s="48"/>
      <c r="V1368"/>
    </row>
    <row r="1369" spans="1:38" s="47" customFormat="1" x14ac:dyDescent="0.35">
      <c r="A1369" s="9">
        <v>1</v>
      </c>
      <c r="B1369" s="50" t="s">
        <v>55</v>
      </c>
      <c r="C1369" s="53">
        <v>43861</v>
      </c>
      <c r="D1369" s="53">
        <v>43904</v>
      </c>
      <c r="E1369" s="53">
        <v>43966</v>
      </c>
      <c r="F1369" s="21">
        <f t="shared" si="418"/>
        <v>62</v>
      </c>
      <c r="G1369" s="53">
        <v>43904</v>
      </c>
      <c r="H1369" s="9">
        <v>2021</v>
      </c>
      <c r="I1369" s="9">
        <v>1</v>
      </c>
      <c r="J1369" s="50">
        <v>9</v>
      </c>
      <c r="K1369" s="50">
        <v>34</v>
      </c>
      <c r="L1369" s="49" t="s">
        <v>2095</v>
      </c>
      <c r="M1369" s="48"/>
      <c r="V1369"/>
    </row>
    <row r="1370" spans="1:38" s="47" customFormat="1" x14ac:dyDescent="0.35">
      <c r="A1370" s="9">
        <v>1</v>
      </c>
      <c r="B1370" s="50" t="s">
        <v>55</v>
      </c>
      <c r="C1370" s="53">
        <v>43861</v>
      </c>
      <c r="D1370" s="53">
        <v>43904</v>
      </c>
      <c r="E1370" s="53">
        <v>43966</v>
      </c>
      <c r="F1370" s="21">
        <f t="shared" si="418"/>
        <v>62</v>
      </c>
      <c r="G1370" s="53">
        <v>43904</v>
      </c>
      <c r="H1370" s="9">
        <v>2021</v>
      </c>
      <c r="I1370" s="9">
        <v>1</v>
      </c>
      <c r="J1370" s="50">
        <v>9</v>
      </c>
      <c r="K1370" s="50">
        <v>34</v>
      </c>
      <c r="L1370" s="49" t="s">
        <v>2096</v>
      </c>
      <c r="M1370" s="48"/>
      <c r="V1370"/>
    </row>
    <row r="1371" spans="1:38" x14ac:dyDescent="0.35">
      <c r="A1371" s="50">
        <v>0</v>
      </c>
      <c r="B1371" s="9" t="s">
        <v>168</v>
      </c>
      <c r="C1371" s="53">
        <v>43861</v>
      </c>
      <c r="D1371" s="53">
        <v>43905</v>
      </c>
      <c r="E1371" s="53">
        <v>43983</v>
      </c>
      <c r="F1371" s="21">
        <f t="shared" si="403"/>
        <v>78</v>
      </c>
      <c r="G1371" s="53">
        <v>43905</v>
      </c>
      <c r="H1371" s="9">
        <v>2020</v>
      </c>
      <c r="I1371" s="50">
        <v>0</v>
      </c>
      <c r="J1371" s="9">
        <v>1</v>
      </c>
      <c r="K1371" s="9">
        <v>7</v>
      </c>
      <c r="L1371" s="50" t="s">
        <v>876</v>
      </c>
      <c r="M1371">
        <v>-2</v>
      </c>
      <c r="N1371">
        <v>2</v>
      </c>
      <c r="O1371">
        <v>-2</v>
      </c>
      <c r="P1371">
        <v>-1</v>
      </c>
      <c r="Q1371">
        <v>-2</v>
      </c>
      <c r="R1371">
        <v>2</v>
      </c>
      <c r="S1371">
        <v>2</v>
      </c>
      <c r="T1371">
        <v>2</v>
      </c>
      <c r="U1371">
        <v>1</v>
      </c>
      <c r="V1371" t="s">
        <v>985</v>
      </c>
      <c r="W1371" t="s">
        <v>989</v>
      </c>
      <c r="X1371" t="s">
        <v>997</v>
      </c>
      <c r="Y1371" t="s">
        <v>1000</v>
      </c>
      <c r="Z1371">
        <v>0</v>
      </c>
      <c r="AA1371">
        <f t="shared" ref="AA1371:AA1386" si="419">IF(M1371&gt;0,1,IF(M1371&lt;0,0,-1))</f>
        <v>0</v>
      </c>
      <c r="AB1371">
        <f t="shared" ref="AB1371:AB1386" si="420">IF(N1371&gt;0,1,IF(N1371&lt;0,0,-1))</f>
        <v>1</v>
      </c>
      <c r="AC1371">
        <f t="shared" ref="AC1371:AC1386" si="421">IF(O1371&gt;0,1,IF(O1371&lt;0,0,-1))</f>
        <v>0</v>
      </c>
      <c r="AD1371">
        <f t="shared" ref="AD1371:AD1386" si="422">IF(P1371&gt;0,1,IF(P1371&lt;0,0,-1))</f>
        <v>0</v>
      </c>
      <c r="AE1371">
        <f t="shared" ref="AE1371:AE1386" si="423">IF(Q1371&gt;0,1,IF(Q1371&lt;0,0,-1))</f>
        <v>0</v>
      </c>
      <c r="AF1371">
        <f t="shared" ref="AF1371:AF1386" si="424">IF(R1371&gt;0,1,IF(R1371&lt;0,0,-1))</f>
        <v>1</v>
      </c>
      <c r="AG1371">
        <f t="shared" ref="AG1371:AG1386" si="425">IF(S1371&gt;0,1,IF(S1371&lt;0,0,-1))</f>
        <v>1</v>
      </c>
      <c r="AH1371">
        <f t="shared" ref="AH1371:AH1386" si="426">IF(T1371&gt;0,1,IF(T1371&lt;0,0,-1))</f>
        <v>1</v>
      </c>
      <c r="AI1371">
        <f t="shared" ref="AI1371:AI1386" si="427">IF(U1371&gt;0,1,IF(U1371&lt;0,0,-1))</f>
        <v>1</v>
      </c>
      <c r="AJ1371" s="9">
        <f t="shared" si="417"/>
        <v>7</v>
      </c>
      <c r="AK1371" t="e">
        <f>IF(B1371&lt;&gt;#REF!,1,0)</f>
        <v>#REF!</v>
      </c>
      <c r="AL1371" s="9">
        <v>1</v>
      </c>
    </row>
    <row r="1372" spans="1:38" x14ac:dyDescent="0.35">
      <c r="A1372" s="50">
        <v>0</v>
      </c>
      <c r="B1372" s="9" t="s">
        <v>168</v>
      </c>
      <c r="C1372" s="53">
        <v>43861</v>
      </c>
      <c r="D1372" s="53">
        <v>43905</v>
      </c>
      <c r="E1372" s="53">
        <v>43983</v>
      </c>
      <c r="F1372" s="21">
        <f t="shared" si="403"/>
        <v>78</v>
      </c>
      <c r="G1372" s="53">
        <v>43905</v>
      </c>
      <c r="H1372" s="9">
        <v>2020</v>
      </c>
      <c r="I1372" s="50">
        <v>0</v>
      </c>
      <c r="J1372" s="9">
        <v>7</v>
      </c>
      <c r="K1372" s="9">
        <v>30</v>
      </c>
      <c r="L1372" s="50" t="s">
        <v>879</v>
      </c>
      <c r="M1372">
        <v>2</v>
      </c>
      <c r="N1372">
        <v>2</v>
      </c>
      <c r="O1372">
        <v>2</v>
      </c>
      <c r="P1372">
        <v>2</v>
      </c>
      <c r="Q1372">
        <v>2</v>
      </c>
      <c r="R1372">
        <v>-2</v>
      </c>
      <c r="S1372">
        <v>1</v>
      </c>
      <c r="T1372">
        <v>1</v>
      </c>
      <c r="U1372">
        <v>1</v>
      </c>
      <c r="V1372" t="s">
        <v>985</v>
      </c>
      <c r="W1372" t="s">
        <v>989</v>
      </c>
      <c r="X1372" t="s">
        <v>997</v>
      </c>
      <c r="Y1372" t="s">
        <v>1000</v>
      </c>
      <c r="Z1372">
        <v>0</v>
      </c>
      <c r="AA1372">
        <f t="shared" si="419"/>
        <v>1</v>
      </c>
      <c r="AB1372">
        <f t="shared" si="420"/>
        <v>1</v>
      </c>
      <c r="AC1372">
        <f t="shared" si="421"/>
        <v>1</v>
      </c>
      <c r="AD1372">
        <f t="shared" si="422"/>
        <v>1</v>
      </c>
      <c r="AE1372">
        <f t="shared" si="423"/>
        <v>1</v>
      </c>
      <c r="AF1372">
        <f t="shared" si="424"/>
        <v>0</v>
      </c>
      <c r="AG1372">
        <f t="shared" si="425"/>
        <v>1</v>
      </c>
      <c r="AH1372">
        <f t="shared" si="426"/>
        <v>1</v>
      </c>
      <c r="AI1372">
        <f t="shared" si="427"/>
        <v>1</v>
      </c>
      <c r="AJ1372" s="9">
        <f t="shared" ref="AJ1372:AJ1439" si="428">IF(ISNUMBER(K1372),K1372,IF(OR(K1372="general",K1372="23;general"),"General",IF(OR(K1372="exemption",K1372="other (exemption)"),"Tax exemption/waiver/suspension","Other")))</f>
        <v>30</v>
      </c>
      <c r="AK1372">
        <f t="shared" ref="AK1372:AK1400" si="429">IF(B1372&lt;&gt;B1371,1,0)</f>
        <v>0</v>
      </c>
      <c r="AL1372" s="9">
        <v>1</v>
      </c>
    </row>
    <row r="1373" spans="1:38" x14ac:dyDescent="0.35">
      <c r="A1373" s="50">
        <v>0</v>
      </c>
      <c r="B1373" s="9" t="s">
        <v>168</v>
      </c>
      <c r="C1373" s="53">
        <v>43861</v>
      </c>
      <c r="D1373" s="53">
        <v>43905</v>
      </c>
      <c r="E1373" s="53">
        <v>43983</v>
      </c>
      <c r="F1373" s="21">
        <f t="shared" si="403"/>
        <v>78</v>
      </c>
      <c r="G1373" s="53">
        <v>43905</v>
      </c>
      <c r="H1373" s="9">
        <v>2020</v>
      </c>
      <c r="I1373" s="50">
        <v>0</v>
      </c>
      <c r="J1373" s="9">
        <v>7</v>
      </c>
      <c r="K1373" s="9">
        <v>31</v>
      </c>
      <c r="L1373" s="50" t="s">
        <v>878</v>
      </c>
      <c r="M1373">
        <v>1</v>
      </c>
      <c r="N1373">
        <v>2</v>
      </c>
      <c r="O1373">
        <v>-2</v>
      </c>
      <c r="P1373">
        <v>-1</v>
      </c>
      <c r="Q1373">
        <v>-2</v>
      </c>
      <c r="R1373">
        <v>1</v>
      </c>
      <c r="S1373">
        <v>1</v>
      </c>
      <c r="T1373">
        <v>-2</v>
      </c>
      <c r="U1373">
        <v>1</v>
      </c>
      <c r="V1373" t="s">
        <v>985</v>
      </c>
      <c r="W1373" t="s">
        <v>989</v>
      </c>
      <c r="X1373" t="s">
        <v>997</v>
      </c>
      <c r="Y1373" t="s">
        <v>1000</v>
      </c>
      <c r="Z1373">
        <v>0</v>
      </c>
      <c r="AA1373">
        <f t="shared" si="419"/>
        <v>1</v>
      </c>
      <c r="AB1373">
        <f t="shared" si="420"/>
        <v>1</v>
      </c>
      <c r="AC1373">
        <f t="shared" si="421"/>
        <v>0</v>
      </c>
      <c r="AD1373">
        <f t="shared" si="422"/>
        <v>0</v>
      </c>
      <c r="AE1373">
        <f t="shared" si="423"/>
        <v>0</v>
      </c>
      <c r="AF1373">
        <f t="shared" si="424"/>
        <v>1</v>
      </c>
      <c r="AG1373">
        <f t="shared" si="425"/>
        <v>1</v>
      </c>
      <c r="AH1373">
        <f t="shared" si="426"/>
        <v>0</v>
      </c>
      <c r="AI1373">
        <f t="shared" si="427"/>
        <v>1</v>
      </c>
      <c r="AJ1373" s="9">
        <f t="shared" si="428"/>
        <v>31</v>
      </c>
      <c r="AK1373">
        <f t="shared" si="429"/>
        <v>0</v>
      </c>
      <c r="AL1373" s="9">
        <v>1</v>
      </c>
    </row>
    <row r="1374" spans="1:38" x14ac:dyDescent="0.35">
      <c r="A1374" s="50">
        <v>0</v>
      </c>
      <c r="B1374" s="9" t="s">
        <v>168</v>
      </c>
      <c r="C1374" s="53">
        <v>43861</v>
      </c>
      <c r="D1374" s="53">
        <v>43905</v>
      </c>
      <c r="E1374" s="53">
        <v>43983</v>
      </c>
      <c r="F1374" s="21">
        <f t="shared" si="403"/>
        <v>78</v>
      </c>
      <c r="G1374" s="53">
        <v>43905</v>
      </c>
      <c r="H1374" s="9">
        <v>2020</v>
      </c>
      <c r="I1374" s="50">
        <v>0</v>
      </c>
      <c r="J1374" s="9">
        <v>6</v>
      </c>
      <c r="K1374" s="9">
        <v>29</v>
      </c>
      <c r="L1374" s="50" t="s">
        <v>870</v>
      </c>
      <c r="M1374">
        <v>2</v>
      </c>
      <c r="N1374">
        <v>2</v>
      </c>
      <c r="O1374">
        <v>-2</v>
      </c>
      <c r="P1374">
        <v>-1</v>
      </c>
      <c r="Q1374">
        <v>-2</v>
      </c>
      <c r="S1374">
        <v>2</v>
      </c>
      <c r="T1374">
        <v>-2</v>
      </c>
      <c r="U1374">
        <v>1</v>
      </c>
      <c r="V1374" t="s">
        <v>985</v>
      </c>
      <c r="W1374" t="s">
        <v>989</v>
      </c>
      <c r="X1374" t="s">
        <v>997</v>
      </c>
      <c r="Y1374" t="s">
        <v>1000</v>
      </c>
      <c r="Z1374">
        <v>0</v>
      </c>
      <c r="AA1374">
        <f t="shared" si="419"/>
        <v>1</v>
      </c>
      <c r="AB1374">
        <f t="shared" si="420"/>
        <v>1</v>
      </c>
      <c r="AC1374">
        <f t="shared" si="421"/>
        <v>0</v>
      </c>
      <c r="AD1374">
        <f t="shared" si="422"/>
        <v>0</v>
      </c>
      <c r="AE1374">
        <f t="shared" si="423"/>
        <v>0</v>
      </c>
      <c r="AF1374">
        <f t="shared" si="424"/>
        <v>-1</v>
      </c>
      <c r="AG1374">
        <f t="shared" si="425"/>
        <v>1</v>
      </c>
      <c r="AH1374">
        <f t="shared" si="426"/>
        <v>0</v>
      </c>
      <c r="AI1374">
        <f t="shared" si="427"/>
        <v>1</v>
      </c>
      <c r="AJ1374" s="9">
        <f t="shared" si="428"/>
        <v>29</v>
      </c>
      <c r="AK1374">
        <f t="shared" si="429"/>
        <v>0</v>
      </c>
      <c r="AL1374" s="9">
        <v>1</v>
      </c>
    </row>
    <row r="1375" spans="1:38" x14ac:dyDescent="0.35">
      <c r="A1375" s="50">
        <v>0</v>
      </c>
      <c r="B1375" s="9" t="s">
        <v>168</v>
      </c>
      <c r="C1375" s="53">
        <v>43861</v>
      </c>
      <c r="D1375" s="53">
        <v>43905</v>
      </c>
      <c r="E1375" s="53">
        <v>43983</v>
      </c>
      <c r="F1375" s="21">
        <f t="shared" si="403"/>
        <v>78</v>
      </c>
      <c r="G1375" s="53">
        <v>43905</v>
      </c>
      <c r="H1375" s="9">
        <v>2020</v>
      </c>
      <c r="I1375" s="50">
        <v>0</v>
      </c>
      <c r="J1375" s="9">
        <v>7</v>
      </c>
      <c r="K1375" s="9">
        <v>30</v>
      </c>
      <c r="L1375" s="50" t="s">
        <v>872</v>
      </c>
      <c r="M1375">
        <v>2</v>
      </c>
      <c r="N1375">
        <v>2</v>
      </c>
      <c r="O1375">
        <v>2</v>
      </c>
      <c r="P1375">
        <v>2</v>
      </c>
      <c r="Q1375">
        <v>2</v>
      </c>
      <c r="R1375">
        <v>-2</v>
      </c>
      <c r="S1375">
        <v>1</v>
      </c>
      <c r="T1375">
        <v>1</v>
      </c>
      <c r="U1375">
        <v>1</v>
      </c>
      <c r="V1375" t="s">
        <v>985</v>
      </c>
      <c r="W1375" t="s">
        <v>989</v>
      </c>
      <c r="X1375" t="s">
        <v>997</v>
      </c>
      <c r="Y1375" t="s">
        <v>1000</v>
      </c>
      <c r="Z1375">
        <v>0</v>
      </c>
      <c r="AA1375">
        <f t="shared" si="419"/>
        <v>1</v>
      </c>
      <c r="AB1375">
        <f t="shared" si="420"/>
        <v>1</v>
      </c>
      <c r="AC1375">
        <f t="shared" si="421"/>
        <v>1</v>
      </c>
      <c r="AD1375">
        <f t="shared" si="422"/>
        <v>1</v>
      </c>
      <c r="AE1375">
        <f t="shared" si="423"/>
        <v>1</v>
      </c>
      <c r="AF1375">
        <f t="shared" si="424"/>
        <v>0</v>
      </c>
      <c r="AG1375">
        <f t="shared" si="425"/>
        <v>1</v>
      </c>
      <c r="AH1375">
        <f t="shared" si="426"/>
        <v>1</v>
      </c>
      <c r="AI1375">
        <f t="shared" si="427"/>
        <v>1</v>
      </c>
      <c r="AJ1375" s="9">
        <f t="shared" si="428"/>
        <v>30</v>
      </c>
      <c r="AK1375">
        <f t="shared" si="429"/>
        <v>0</v>
      </c>
      <c r="AL1375" s="9">
        <v>0</v>
      </c>
    </row>
    <row r="1376" spans="1:38" x14ac:dyDescent="0.35">
      <c r="A1376" s="50">
        <v>0</v>
      </c>
      <c r="B1376" s="9" t="s">
        <v>168</v>
      </c>
      <c r="C1376" s="53">
        <v>43861</v>
      </c>
      <c r="D1376" s="53">
        <v>43905</v>
      </c>
      <c r="E1376" s="53">
        <v>43983</v>
      </c>
      <c r="F1376" s="21">
        <f t="shared" si="403"/>
        <v>78</v>
      </c>
      <c r="G1376" s="53">
        <v>43905</v>
      </c>
      <c r="H1376" s="9">
        <v>2020</v>
      </c>
      <c r="I1376" s="50">
        <v>0</v>
      </c>
      <c r="J1376" s="9">
        <v>6</v>
      </c>
      <c r="K1376" s="9">
        <v>29</v>
      </c>
      <c r="L1376" s="50" t="s">
        <v>874</v>
      </c>
      <c r="M1376">
        <v>2</v>
      </c>
      <c r="N1376">
        <v>2</v>
      </c>
      <c r="O1376">
        <v>-2</v>
      </c>
      <c r="P1376">
        <v>-1</v>
      </c>
      <c r="Q1376">
        <v>-2</v>
      </c>
      <c r="R1376">
        <v>1</v>
      </c>
      <c r="S1376">
        <v>1</v>
      </c>
      <c r="T1376">
        <v>2</v>
      </c>
      <c r="U1376">
        <v>1</v>
      </c>
      <c r="V1376" t="s">
        <v>985</v>
      </c>
      <c r="W1376" t="s">
        <v>989</v>
      </c>
      <c r="X1376" t="s">
        <v>997</v>
      </c>
      <c r="Y1376" t="s">
        <v>1000</v>
      </c>
      <c r="Z1376">
        <v>0</v>
      </c>
      <c r="AA1376">
        <f t="shared" si="419"/>
        <v>1</v>
      </c>
      <c r="AB1376">
        <f t="shared" si="420"/>
        <v>1</v>
      </c>
      <c r="AC1376">
        <f t="shared" si="421"/>
        <v>0</v>
      </c>
      <c r="AD1376">
        <f t="shared" si="422"/>
        <v>0</v>
      </c>
      <c r="AE1376">
        <f t="shared" si="423"/>
        <v>0</v>
      </c>
      <c r="AF1376">
        <f t="shared" si="424"/>
        <v>1</v>
      </c>
      <c r="AG1376">
        <f t="shared" si="425"/>
        <v>1</v>
      </c>
      <c r="AH1376">
        <f t="shared" si="426"/>
        <v>1</v>
      </c>
      <c r="AI1376">
        <f t="shared" si="427"/>
        <v>1</v>
      </c>
      <c r="AJ1376" s="9">
        <f t="shared" si="428"/>
        <v>29</v>
      </c>
      <c r="AK1376">
        <f t="shared" si="429"/>
        <v>0</v>
      </c>
      <c r="AL1376" s="9">
        <v>1</v>
      </c>
    </row>
    <row r="1377" spans="1:38" x14ac:dyDescent="0.35">
      <c r="A1377" s="50">
        <v>0</v>
      </c>
      <c r="B1377" s="9" t="s">
        <v>168</v>
      </c>
      <c r="C1377" s="53">
        <v>43861</v>
      </c>
      <c r="D1377" s="53">
        <v>43905</v>
      </c>
      <c r="E1377" s="53">
        <v>43983</v>
      </c>
      <c r="F1377" s="21">
        <f t="shared" si="403"/>
        <v>78</v>
      </c>
      <c r="G1377" s="53">
        <v>43905</v>
      </c>
      <c r="H1377" s="9">
        <v>2020</v>
      </c>
      <c r="I1377" s="50">
        <v>0</v>
      </c>
      <c r="J1377" s="9">
        <v>5</v>
      </c>
      <c r="K1377" s="9" t="s">
        <v>204</v>
      </c>
      <c r="L1377" s="50" t="s">
        <v>869</v>
      </c>
      <c r="M1377">
        <v>2</v>
      </c>
      <c r="N1377">
        <v>-2</v>
      </c>
      <c r="O1377">
        <v>-2</v>
      </c>
      <c r="P1377">
        <v>-1</v>
      </c>
      <c r="Q1377">
        <v>-2</v>
      </c>
      <c r="R1377">
        <v>1</v>
      </c>
      <c r="S1377">
        <v>1</v>
      </c>
      <c r="T1377">
        <v>2</v>
      </c>
      <c r="U1377">
        <v>1</v>
      </c>
      <c r="V1377" t="s">
        <v>985</v>
      </c>
      <c r="W1377" t="s">
        <v>989</v>
      </c>
      <c r="X1377" t="s">
        <v>997</v>
      </c>
      <c r="Y1377" t="s">
        <v>1000</v>
      </c>
      <c r="Z1377">
        <v>0</v>
      </c>
      <c r="AA1377">
        <f t="shared" si="419"/>
        <v>1</v>
      </c>
      <c r="AB1377">
        <f t="shared" si="420"/>
        <v>0</v>
      </c>
      <c r="AC1377">
        <f t="shared" si="421"/>
        <v>0</v>
      </c>
      <c r="AD1377">
        <f t="shared" si="422"/>
        <v>0</v>
      </c>
      <c r="AE1377">
        <f t="shared" si="423"/>
        <v>0</v>
      </c>
      <c r="AF1377">
        <f t="shared" si="424"/>
        <v>1</v>
      </c>
      <c r="AG1377">
        <f t="shared" si="425"/>
        <v>1</v>
      </c>
      <c r="AH1377">
        <f t="shared" si="426"/>
        <v>1</v>
      </c>
      <c r="AI1377">
        <f t="shared" si="427"/>
        <v>1</v>
      </c>
      <c r="AJ1377" s="9" t="str">
        <f t="shared" si="428"/>
        <v>General</v>
      </c>
      <c r="AK1377" t="e">
        <f>IF(B1377&lt;&gt;#REF!,1,0)</f>
        <v>#REF!</v>
      </c>
      <c r="AL1377" s="9">
        <v>1</v>
      </c>
    </row>
    <row r="1378" spans="1:38" x14ac:dyDescent="0.35">
      <c r="A1378" s="50">
        <v>0</v>
      </c>
      <c r="B1378" s="9" t="s">
        <v>168</v>
      </c>
      <c r="C1378" s="53">
        <v>43861</v>
      </c>
      <c r="D1378" s="53">
        <v>43905</v>
      </c>
      <c r="E1378" s="53">
        <v>43983</v>
      </c>
      <c r="F1378" s="21">
        <f t="shared" si="403"/>
        <v>78</v>
      </c>
      <c r="G1378" s="53">
        <v>43905</v>
      </c>
      <c r="H1378" s="9">
        <v>2020</v>
      </c>
      <c r="I1378" s="50">
        <v>0</v>
      </c>
      <c r="J1378" s="9">
        <v>2</v>
      </c>
      <c r="K1378" s="9">
        <v>15</v>
      </c>
      <c r="L1378" s="50" t="s">
        <v>873</v>
      </c>
      <c r="M1378">
        <v>-2</v>
      </c>
      <c r="N1378">
        <v>2</v>
      </c>
      <c r="O1378">
        <v>-2</v>
      </c>
      <c r="P1378">
        <v>-1</v>
      </c>
      <c r="Q1378">
        <v>-2</v>
      </c>
      <c r="R1378">
        <v>2</v>
      </c>
      <c r="S1378">
        <v>2</v>
      </c>
      <c r="T1378">
        <v>2</v>
      </c>
      <c r="U1378">
        <v>1</v>
      </c>
      <c r="V1378" t="s">
        <v>985</v>
      </c>
      <c r="W1378" t="s">
        <v>989</v>
      </c>
      <c r="X1378" t="s">
        <v>997</v>
      </c>
      <c r="Y1378" t="s">
        <v>1000</v>
      </c>
      <c r="Z1378">
        <v>0</v>
      </c>
      <c r="AA1378">
        <f t="shared" si="419"/>
        <v>0</v>
      </c>
      <c r="AB1378">
        <f t="shared" si="420"/>
        <v>1</v>
      </c>
      <c r="AC1378">
        <f t="shared" si="421"/>
        <v>0</v>
      </c>
      <c r="AD1378">
        <f t="shared" si="422"/>
        <v>0</v>
      </c>
      <c r="AE1378">
        <f t="shared" si="423"/>
        <v>0</v>
      </c>
      <c r="AF1378">
        <f t="shared" si="424"/>
        <v>1</v>
      </c>
      <c r="AG1378">
        <f t="shared" si="425"/>
        <v>1</v>
      </c>
      <c r="AH1378">
        <f t="shared" si="426"/>
        <v>1</v>
      </c>
      <c r="AI1378">
        <f t="shared" si="427"/>
        <v>1</v>
      </c>
      <c r="AJ1378" s="9">
        <f t="shared" si="428"/>
        <v>15</v>
      </c>
      <c r="AK1378">
        <f t="shared" si="429"/>
        <v>0</v>
      </c>
      <c r="AL1378" s="9">
        <v>1</v>
      </c>
    </row>
    <row r="1379" spans="1:38" x14ac:dyDescent="0.35">
      <c r="A1379" s="50">
        <v>0</v>
      </c>
      <c r="B1379" s="9" t="s">
        <v>168</v>
      </c>
      <c r="C1379" s="53">
        <v>43861</v>
      </c>
      <c r="D1379" s="53">
        <v>43905</v>
      </c>
      <c r="E1379" s="53">
        <v>43983</v>
      </c>
      <c r="F1379" s="21">
        <f t="shared" si="403"/>
        <v>78</v>
      </c>
      <c r="G1379" s="53">
        <v>43905</v>
      </c>
      <c r="H1379" s="9">
        <v>2020</v>
      </c>
      <c r="I1379" s="50">
        <v>0</v>
      </c>
      <c r="J1379" s="9">
        <v>6</v>
      </c>
      <c r="K1379" s="9">
        <v>29</v>
      </c>
      <c r="L1379" s="50" t="s">
        <v>871</v>
      </c>
      <c r="M1379">
        <v>2</v>
      </c>
      <c r="N1379">
        <v>1</v>
      </c>
      <c r="O1379">
        <v>-2</v>
      </c>
      <c r="P1379">
        <v>-2</v>
      </c>
      <c r="Q1379">
        <v>-2</v>
      </c>
      <c r="R1379">
        <v>1</v>
      </c>
      <c r="S1379">
        <v>-2</v>
      </c>
      <c r="T1379">
        <v>2</v>
      </c>
      <c r="U1379">
        <v>1</v>
      </c>
      <c r="V1379" t="s">
        <v>985</v>
      </c>
      <c r="W1379" t="s">
        <v>989</v>
      </c>
      <c r="X1379" t="s">
        <v>997</v>
      </c>
      <c r="Y1379" t="s">
        <v>1000</v>
      </c>
      <c r="Z1379">
        <v>0</v>
      </c>
      <c r="AA1379">
        <f t="shared" si="419"/>
        <v>1</v>
      </c>
      <c r="AB1379">
        <f t="shared" si="420"/>
        <v>1</v>
      </c>
      <c r="AC1379">
        <f t="shared" si="421"/>
        <v>0</v>
      </c>
      <c r="AD1379">
        <f t="shared" si="422"/>
        <v>0</v>
      </c>
      <c r="AE1379">
        <f t="shared" si="423"/>
        <v>0</v>
      </c>
      <c r="AF1379">
        <f t="shared" si="424"/>
        <v>1</v>
      </c>
      <c r="AG1379">
        <f t="shared" si="425"/>
        <v>0</v>
      </c>
      <c r="AH1379">
        <f t="shared" si="426"/>
        <v>1</v>
      </c>
      <c r="AI1379">
        <f t="shared" si="427"/>
        <v>1</v>
      </c>
      <c r="AJ1379" s="9">
        <f t="shared" si="428"/>
        <v>29</v>
      </c>
      <c r="AK1379">
        <f t="shared" si="429"/>
        <v>0</v>
      </c>
      <c r="AL1379" s="9">
        <v>1</v>
      </c>
    </row>
    <row r="1380" spans="1:38" x14ac:dyDescent="0.35">
      <c r="A1380" s="50">
        <v>0</v>
      </c>
      <c r="B1380" s="9" t="s">
        <v>168</v>
      </c>
      <c r="C1380" s="53">
        <v>43861</v>
      </c>
      <c r="D1380" s="53">
        <v>43905</v>
      </c>
      <c r="E1380" s="53">
        <v>43983</v>
      </c>
      <c r="F1380" s="21">
        <f t="shared" si="403"/>
        <v>78</v>
      </c>
      <c r="G1380" s="53">
        <v>43905</v>
      </c>
      <c r="H1380" s="9">
        <v>2020</v>
      </c>
      <c r="I1380" s="50">
        <v>0</v>
      </c>
      <c r="J1380" s="9">
        <v>2</v>
      </c>
      <c r="K1380" s="9">
        <v>14</v>
      </c>
      <c r="L1380" s="50" t="s">
        <v>866</v>
      </c>
      <c r="M1380">
        <v>-2</v>
      </c>
      <c r="N1380">
        <v>2</v>
      </c>
      <c r="O1380">
        <v>2</v>
      </c>
      <c r="P1380">
        <v>2</v>
      </c>
      <c r="Q1380">
        <v>2</v>
      </c>
      <c r="R1380">
        <v>2</v>
      </c>
      <c r="S1380">
        <v>1</v>
      </c>
      <c r="T1380">
        <v>2</v>
      </c>
      <c r="U1380">
        <v>1</v>
      </c>
      <c r="V1380" t="s">
        <v>985</v>
      </c>
      <c r="W1380" t="s">
        <v>989</v>
      </c>
      <c r="X1380" t="s">
        <v>997</v>
      </c>
      <c r="Y1380" t="s">
        <v>1000</v>
      </c>
      <c r="Z1380">
        <v>0</v>
      </c>
      <c r="AA1380">
        <f t="shared" si="419"/>
        <v>0</v>
      </c>
      <c r="AB1380">
        <f t="shared" si="420"/>
        <v>1</v>
      </c>
      <c r="AC1380">
        <f t="shared" si="421"/>
        <v>1</v>
      </c>
      <c r="AD1380">
        <f t="shared" si="422"/>
        <v>1</v>
      </c>
      <c r="AE1380">
        <f t="shared" si="423"/>
        <v>1</v>
      </c>
      <c r="AF1380">
        <f t="shared" si="424"/>
        <v>1</v>
      </c>
      <c r="AG1380">
        <f t="shared" si="425"/>
        <v>1</v>
      </c>
      <c r="AH1380">
        <f t="shared" si="426"/>
        <v>1</v>
      </c>
      <c r="AI1380">
        <f t="shared" si="427"/>
        <v>1</v>
      </c>
      <c r="AJ1380" s="9">
        <f t="shared" si="428"/>
        <v>14</v>
      </c>
      <c r="AK1380">
        <f t="shared" si="429"/>
        <v>0</v>
      </c>
      <c r="AL1380" s="9">
        <v>1</v>
      </c>
    </row>
    <row r="1381" spans="1:38" x14ac:dyDescent="0.35">
      <c r="A1381" s="50">
        <v>0</v>
      </c>
      <c r="B1381" s="9" t="s">
        <v>168</v>
      </c>
      <c r="C1381" s="53">
        <v>43861</v>
      </c>
      <c r="D1381" s="53">
        <v>43905</v>
      </c>
      <c r="E1381" s="53">
        <v>43983</v>
      </c>
      <c r="F1381" s="21">
        <f t="shared" ref="F1381:F1452" si="430">DATEDIF(D1381,E1381,"D")</f>
        <v>78</v>
      </c>
      <c r="G1381" s="53">
        <v>43905</v>
      </c>
      <c r="H1381" s="9">
        <v>2020</v>
      </c>
      <c r="I1381" s="50">
        <v>0</v>
      </c>
      <c r="J1381" s="9">
        <v>6</v>
      </c>
      <c r="K1381" s="9">
        <v>29</v>
      </c>
      <c r="L1381" s="50" t="s">
        <v>1777</v>
      </c>
      <c r="M1381">
        <v>2</v>
      </c>
      <c r="N1381">
        <v>2</v>
      </c>
      <c r="O1381">
        <v>-2</v>
      </c>
      <c r="P1381">
        <v>-1</v>
      </c>
      <c r="Q1381">
        <v>-2</v>
      </c>
      <c r="R1381">
        <v>1</v>
      </c>
      <c r="S1381">
        <v>-2</v>
      </c>
      <c r="T1381">
        <v>-2</v>
      </c>
      <c r="U1381">
        <v>1</v>
      </c>
      <c r="V1381" t="s">
        <v>985</v>
      </c>
      <c r="W1381" t="s">
        <v>989</v>
      </c>
      <c r="X1381" t="s">
        <v>997</v>
      </c>
      <c r="Y1381" t="s">
        <v>1000</v>
      </c>
      <c r="Z1381">
        <v>0</v>
      </c>
      <c r="AA1381">
        <f t="shared" si="419"/>
        <v>1</v>
      </c>
      <c r="AB1381">
        <f t="shared" si="420"/>
        <v>1</v>
      </c>
      <c r="AC1381">
        <f t="shared" si="421"/>
        <v>0</v>
      </c>
      <c r="AD1381">
        <f t="shared" si="422"/>
        <v>0</v>
      </c>
      <c r="AE1381">
        <f t="shared" si="423"/>
        <v>0</v>
      </c>
      <c r="AF1381">
        <f t="shared" si="424"/>
        <v>1</v>
      </c>
      <c r="AG1381">
        <f t="shared" si="425"/>
        <v>0</v>
      </c>
      <c r="AH1381">
        <f t="shared" si="426"/>
        <v>0</v>
      </c>
      <c r="AI1381">
        <f t="shared" si="427"/>
        <v>1</v>
      </c>
      <c r="AJ1381" s="9">
        <f t="shared" si="428"/>
        <v>29</v>
      </c>
      <c r="AK1381">
        <f t="shared" si="429"/>
        <v>0</v>
      </c>
      <c r="AL1381" s="9">
        <v>1</v>
      </c>
    </row>
    <row r="1382" spans="1:38" x14ac:dyDescent="0.35">
      <c r="A1382" s="50">
        <v>0</v>
      </c>
      <c r="B1382" s="9" t="s">
        <v>168</v>
      </c>
      <c r="C1382" s="53">
        <v>43861</v>
      </c>
      <c r="D1382" s="53">
        <v>43905</v>
      </c>
      <c r="E1382" s="53">
        <v>43983</v>
      </c>
      <c r="F1382" s="21">
        <f t="shared" si="430"/>
        <v>78</v>
      </c>
      <c r="G1382" s="53">
        <v>43905</v>
      </c>
      <c r="H1382" s="9">
        <v>2020</v>
      </c>
      <c r="I1382" s="50">
        <v>0</v>
      </c>
      <c r="J1382" s="9">
        <v>9</v>
      </c>
      <c r="K1382" s="9">
        <v>34</v>
      </c>
      <c r="L1382" s="50" t="s">
        <v>868</v>
      </c>
      <c r="M1382">
        <v>2</v>
      </c>
      <c r="N1382">
        <v>2</v>
      </c>
      <c r="O1382">
        <v>2</v>
      </c>
      <c r="P1382">
        <v>-1</v>
      </c>
      <c r="Q1382">
        <v>2</v>
      </c>
      <c r="R1382">
        <v>2</v>
      </c>
      <c r="S1382">
        <v>2</v>
      </c>
      <c r="T1382">
        <v>2</v>
      </c>
      <c r="U1382">
        <v>1</v>
      </c>
      <c r="V1382" t="s">
        <v>985</v>
      </c>
      <c r="W1382" t="s">
        <v>989</v>
      </c>
      <c r="X1382" t="s">
        <v>997</v>
      </c>
      <c r="Y1382" t="s">
        <v>1000</v>
      </c>
      <c r="Z1382">
        <v>0</v>
      </c>
      <c r="AA1382">
        <f t="shared" si="419"/>
        <v>1</v>
      </c>
      <c r="AB1382">
        <f t="shared" si="420"/>
        <v>1</v>
      </c>
      <c r="AC1382">
        <f t="shared" si="421"/>
        <v>1</v>
      </c>
      <c r="AD1382">
        <f t="shared" si="422"/>
        <v>0</v>
      </c>
      <c r="AE1382">
        <f t="shared" si="423"/>
        <v>1</v>
      </c>
      <c r="AF1382">
        <f t="shared" si="424"/>
        <v>1</v>
      </c>
      <c r="AG1382">
        <f t="shared" si="425"/>
        <v>1</v>
      </c>
      <c r="AH1382">
        <f t="shared" si="426"/>
        <v>1</v>
      </c>
      <c r="AI1382">
        <f t="shared" si="427"/>
        <v>1</v>
      </c>
      <c r="AJ1382" s="9">
        <f t="shared" si="428"/>
        <v>34</v>
      </c>
      <c r="AK1382">
        <f t="shared" si="429"/>
        <v>0</v>
      </c>
      <c r="AL1382" s="9">
        <v>1</v>
      </c>
    </row>
    <row r="1383" spans="1:38" x14ac:dyDescent="0.35">
      <c r="A1383" s="50">
        <v>0</v>
      </c>
      <c r="B1383" s="9" t="s">
        <v>168</v>
      </c>
      <c r="C1383" s="53">
        <v>43861</v>
      </c>
      <c r="D1383" s="53">
        <v>43905</v>
      </c>
      <c r="E1383" s="53">
        <v>43983</v>
      </c>
      <c r="F1383" s="21">
        <f t="shared" si="430"/>
        <v>78</v>
      </c>
      <c r="G1383" s="53">
        <v>43905</v>
      </c>
      <c r="H1383" s="9">
        <v>2020</v>
      </c>
      <c r="I1383" s="50">
        <v>0</v>
      </c>
      <c r="J1383" s="9">
        <v>9</v>
      </c>
      <c r="K1383" s="9">
        <v>34</v>
      </c>
      <c r="L1383" s="50" t="s">
        <v>877</v>
      </c>
      <c r="M1383">
        <v>2</v>
      </c>
      <c r="N1383">
        <v>2</v>
      </c>
      <c r="O1383">
        <v>-2</v>
      </c>
      <c r="P1383">
        <v>-1</v>
      </c>
      <c r="Q1383">
        <v>-2</v>
      </c>
      <c r="R1383">
        <v>1</v>
      </c>
      <c r="S1383">
        <v>1</v>
      </c>
      <c r="T1383">
        <v>-2</v>
      </c>
      <c r="U1383">
        <v>1</v>
      </c>
      <c r="V1383" t="s">
        <v>985</v>
      </c>
      <c r="W1383" t="s">
        <v>989</v>
      </c>
      <c r="X1383" t="s">
        <v>997</v>
      </c>
      <c r="Y1383" t="s">
        <v>1000</v>
      </c>
      <c r="Z1383">
        <v>0</v>
      </c>
      <c r="AA1383">
        <f t="shared" si="419"/>
        <v>1</v>
      </c>
      <c r="AB1383">
        <f t="shared" si="420"/>
        <v>1</v>
      </c>
      <c r="AC1383">
        <f t="shared" si="421"/>
        <v>0</v>
      </c>
      <c r="AD1383">
        <f t="shared" si="422"/>
        <v>0</v>
      </c>
      <c r="AE1383">
        <f t="shared" si="423"/>
        <v>0</v>
      </c>
      <c r="AF1383">
        <f t="shared" si="424"/>
        <v>1</v>
      </c>
      <c r="AG1383">
        <f t="shared" si="425"/>
        <v>1</v>
      </c>
      <c r="AH1383">
        <f t="shared" si="426"/>
        <v>0</v>
      </c>
      <c r="AI1383">
        <f t="shared" si="427"/>
        <v>1</v>
      </c>
      <c r="AJ1383" s="9">
        <f t="shared" si="428"/>
        <v>34</v>
      </c>
      <c r="AK1383">
        <f t="shared" si="429"/>
        <v>0</v>
      </c>
      <c r="AL1383" s="9">
        <v>1</v>
      </c>
    </row>
    <row r="1384" spans="1:38" x14ac:dyDescent="0.35">
      <c r="A1384" s="50">
        <v>0</v>
      </c>
      <c r="B1384" s="9" t="s">
        <v>168</v>
      </c>
      <c r="C1384" s="53">
        <v>43861</v>
      </c>
      <c r="D1384" s="53">
        <v>43905</v>
      </c>
      <c r="E1384" s="53">
        <v>43983</v>
      </c>
      <c r="F1384" s="21">
        <f t="shared" si="430"/>
        <v>78</v>
      </c>
      <c r="G1384" s="53">
        <v>43905</v>
      </c>
      <c r="H1384" s="9">
        <v>2020</v>
      </c>
      <c r="I1384" s="50">
        <v>0</v>
      </c>
      <c r="J1384" s="9">
        <v>7</v>
      </c>
      <c r="K1384" s="9">
        <v>30</v>
      </c>
      <c r="L1384" s="50" t="s">
        <v>880</v>
      </c>
      <c r="M1384">
        <v>1</v>
      </c>
      <c r="N1384">
        <v>2</v>
      </c>
      <c r="O1384">
        <v>2</v>
      </c>
      <c r="P1384">
        <v>2</v>
      </c>
      <c r="Q1384">
        <v>2</v>
      </c>
      <c r="R1384">
        <v>1</v>
      </c>
      <c r="S1384">
        <v>1</v>
      </c>
      <c r="T1384">
        <v>2</v>
      </c>
      <c r="U1384">
        <v>1</v>
      </c>
      <c r="V1384" t="s">
        <v>985</v>
      </c>
      <c r="W1384" t="s">
        <v>989</v>
      </c>
      <c r="X1384" t="s">
        <v>997</v>
      </c>
      <c r="Y1384" t="s">
        <v>1000</v>
      </c>
      <c r="Z1384">
        <v>0</v>
      </c>
      <c r="AA1384">
        <f t="shared" si="419"/>
        <v>1</v>
      </c>
      <c r="AB1384">
        <f t="shared" si="420"/>
        <v>1</v>
      </c>
      <c r="AC1384">
        <f t="shared" si="421"/>
        <v>1</v>
      </c>
      <c r="AD1384">
        <f t="shared" si="422"/>
        <v>1</v>
      </c>
      <c r="AE1384">
        <f t="shared" si="423"/>
        <v>1</v>
      </c>
      <c r="AF1384">
        <f t="shared" si="424"/>
        <v>1</v>
      </c>
      <c r="AG1384">
        <f t="shared" si="425"/>
        <v>1</v>
      </c>
      <c r="AH1384">
        <f t="shared" si="426"/>
        <v>1</v>
      </c>
      <c r="AI1384">
        <f t="shared" si="427"/>
        <v>1</v>
      </c>
      <c r="AJ1384" s="9">
        <f t="shared" si="428"/>
        <v>30</v>
      </c>
      <c r="AK1384">
        <f t="shared" si="429"/>
        <v>0</v>
      </c>
      <c r="AL1384" s="9">
        <v>1</v>
      </c>
    </row>
    <row r="1385" spans="1:38" x14ac:dyDescent="0.35">
      <c r="A1385" s="50">
        <v>0</v>
      </c>
      <c r="B1385" s="9" t="s">
        <v>168</v>
      </c>
      <c r="C1385" s="53">
        <v>43861</v>
      </c>
      <c r="D1385" s="53">
        <v>43905</v>
      </c>
      <c r="E1385" s="53">
        <v>43983</v>
      </c>
      <c r="F1385" s="21">
        <f t="shared" si="430"/>
        <v>78</v>
      </c>
      <c r="G1385" s="53">
        <v>43905</v>
      </c>
      <c r="H1385" s="9">
        <v>2020</v>
      </c>
      <c r="I1385" s="50">
        <v>0</v>
      </c>
      <c r="J1385" s="9">
        <v>7</v>
      </c>
      <c r="K1385" s="9">
        <v>30</v>
      </c>
      <c r="L1385" s="50" t="s">
        <v>867</v>
      </c>
      <c r="M1385">
        <v>1</v>
      </c>
      <c r="N1385">
        <v>2</v>
      </c>
      <c r="O1385">
        <v>2</v>
      </c>
      <c r="P1385">
        <v>2</v>
      </c>
      <c r="Q1385">
        <v>2</v>
      </c>
      <c r="R1385">
        <v>-2</v>
      </c>
      <c r="S1385">
        <v>1</v>
      </c>
      <c r="T1385">
        <v>2</v>
      </c>
      <c r="U1385">
        <v>1</v>
      </c>
      <c r="V1385" t="s">
        <v>985</v>
      </c>
      <c r="W1385" t="s">
        <v>989</v>
      </c>
      <c r="X1385" t="s">
        <v>997</v>
      </c>
      <c r="Y1385" t="s">
        <v>1000</v>
      </c>
      <c r="Z1385">
        <v>0</v>
      </c>
      <c r="AA1385">
        <f t="shared" si="419"/>
        <v>1</v>
      </c>
      <c r="AB1385">
        <f t="shared" si="420"/>
        <v>1</v>
      </c>
      <c r="AC1385">
        <f t="shared" si="421"/>
        <v>1</v>
      </c>
      <c r="AD1385">
        <f t="shared" si="422"/>
        <v>1</v>
      </c>
      <c r="AE1385">
        <f t="shared" si="423"/>
        <v>1</v>
      </c>
      <c r="AF1385">
        <f t="shared" si="424"/>
        <v>0</v>
      </c>
      <c r="AG1385">
        <f t="shared" si="425"/>
        <v>1</v>
      </c>
      <c r="AH1385">
        <f t="shared" si="426"/>
        <v>1</v>
      </c>
      <c r="AI1385">
        <f t="shared" si="427"/>
        <v>1</v>
      </c>
      <c r="AJ1385" s="9">
        <f t="shared" si="428"/>
        <v>30</v>
      </c>
      <c r="AK1385">
        <f t="shared" si="429"/>
        <v>0</v>
      </c>
      <c r="AL1385" s="9">
        <v>0</v>
      </c>
    </row>
    <row r="1386" spans="1:38" x14ac:dyDescent="0.35">
      <c r="A1386" s="50">
        <v>0</v>
      </c>
      <c r="B1386" s="9" t="s">
        <v>168</v>
      </c>
      <c r="C1386" s="53">
        <v>43861</v>
      </c>
      <c r="D1386" s="53">
        <v>43905</v>
      </c>
      <c r="E1386" s="53">
        <v>43983</v>
      </c>
      <c r="F1386" s="21">
        <f t="shared" si="430"/>
        <v>78</v>
      </c>
      <c r="G1386" s="53">
        <v>43905</v>
      </c>
      <c r="H1386" s="9">
        <v>2020</v>
      </c>
      <c r="I1386" s="50">
        <v>0</v>
      </c>
      <c r="J1386" s="9">
        <v>1</v>
      </c>
      <c r="K1386" s="9">
        <v>2</v>
      </c>
      <c r="L1386" s="50" t="s">
        <v>875</v>
      </c>
      <c r="M1386">
        <v>2</v>
      </c>
      <c r="N1386">
        <v>2</v>
      </c>
      <c r="O1386">
        <v>2</v>
      </c>
      <c r="P1386">
        <v>-1</v>
      </c>
      <c r="Q1386">
        <v>2</v>
      </c>
      <c r="R1386">
        <v>2</v>
      </c>
      <c r="S1386">
        <v>-2</v>
      </c>
      <c r="T1386">
        <v>2</v>
      </c>
      <c r="U1386">
        <v>1</v>
      </c>
      <c r="V1386" t="s">
        <v>985</v>
      </c>
      <c r="W1386" t="s">
        <v>989</v>
      </c>
      <c r="X1386" t="s">
        <v>997</v>
      </c>
      <c r="Y1386" t="s">
        <v>1000</v>
      </c>
      <c r="Z1386">
        <v>0</v>
      </c>
      <c r="AA1386">
        <f t="shared" si="419"/>
        <v>1</v>
      </c>
      <c r="AB1386">
        <f t="shared" si="420"/>
        <v>1</v>
      </c>
      <c r="AC1386">
        <f t="shared" si="421"/>
        <v>1</v>
      </c>
      <c r="AD1386">
        <f t="shared" si="422"/>
        <v>0</v>
      </c>
      <c r="AE1386">
        <f t="shared" si="423"/>
        <v>1</v>
      </c>
      <c r="AF1386">
        <f t="shared" si="424"/>
        <v>1</v>
      </c>
      <c r="AG1386">
        <f t="shared" si="425"/>
        <v>0</v>
      </c>
      <c r="AH1386">
        <f t="shared" si="426"/>
        <v>1</v>
      </c>
      <c r="AI1386">
        <f t="shared" si="427"/>
        <v>1</v>
      </c>
      <c r="AJ1386" s="9">
        <f t="shared" si="428"/>
        <v>2</v>
      </c>
      <c r="AK1386">
        <f t="shared" si="429"/>
        <v>0</v>
      </c>
      <c r="AL1386" s="9">
        <v>0</v>
      </c>
    </row>
    <row r="1387" spans="1:38" x14ac:dyDescent="0.35">
      <c r="A1387" s="50">
        <v>0</v>
      </c>
      <c r="B1387" s="50" t="s">
        <v>168</v>
      </c>
      <c r="C1387" s="53">
        <v>43861</v>
      </c>
      <c r="D1387" s="53">
        <v>43905</v>
      </c>
      <c r="E1387" s="53">
        <v>43983</v>
      </c>
      <c r="F1387" s="21">
        <f t="shared" si="430"/>
        <v>78</v>
      </c>
      <c r="G1387" s="53">
        <v>43905</v>
      </c>
      <c r="H1387" s="9">
        <v>2020</v>
      </c>
      <c r="I1387" s="50">
        <v>0</v>
      </c>
      <c r="J1387" s="50">
        <v>6</v>
      </c>
      <c r="K1387" s="50">
        <v>28</v>
      </c>
      <c r="L1387" s="24" t="s">
        <v>1772</v>
      </c>
      <c r="M1387" s="24"/>
      <c r="V1387" t="s">
        <v>985</v>
      </c>
      <c r="W1387" t="s">
        <v>989</v>
      </c>
      <c r="X1387" t="s">
        <v>997</v>
      </c>
      <c r="Y1387" t="s">
        <v>1000</v>
      </c>
      <c r="Z1387">
        <v>0</v>
      </c>
      <c r="AA1387">
        <v>-1</v>
      </c>
      <c r="AB1387">
        <v>-1</v>
      </c>
      <c r="AC1387">
        <v>-1</v>
      </c>
      <c r="AD1387">
        <v>-1</v>
      </c>
      <c r="AE1387">
        <v>-1</v>
      </c>
      <c r="AF1387">
        <v>-1</v>
      </c>
      <c r="AG1387">
        <v>-1</v>
      </c>
      <c r="AH1387">
        <v>-1</v>
      </c>
      <c r="AI1387">
        <v>-1</v>
      </c>
      <c r="AJ1387" s="9">
        <f t="shared" si="428"/>
        <v>28</v>
      </c>
      <c r="AK1387">
        <f t="shared" si="429"/>
        <v>0</v>
      </c>
      <c r="AL1387" s="9">
        <v>0</v>
      </c>
    </row>
    <row r="1388" spans="1:38" x14ac:dyDescent="0.35">
      <c r="A1388" s="50">
        <v>0</v>
      </c>
      <c r="B1388" s="50" t="s">
        <v>168</v>
      </c>
      <c r="C1388" s="53">
        <v>43861</v>
      </c>
      <c r="D1388" s="53">
        <v>43905</v>
      </c>
      <c r="E1388" s="53">
        <v>43983</v>
      </c>
      <c r="F1388" s="21">
        <f t="shared" si="430"/>
        <v>78</v>
      </c>
      <c r="G1388" s="53">
        <v>43905</v>
      </c>
      <c r="H1388" s="9">
        <v>2020</v>
      </c>
      <c r="I1388" s="50">
        <v>0</v>
      </c>
      <c r="J1388" s="50">
        <v>7</v>
      </c>
      <c r="K1388" s="50">
        <v>31</v>
      </c>
      <c r="L1388" s="24" t="s">
        <v>1773</v>
      </c>
      <c r="M1388" s="24"/>
      <c r="V1388" t="s">
        <v>985</v>
      </c>
      <c r="W1388" t="s">
        <v>989</v>
      </c>
      <c r="X1388" t="s">
        <v>997</v>
      </c>
      <c r="Y1388" t="s">
        <v>1000</v>
      </c>
      <c r="Z1388">
        <v>0</v>
      </c>
      <c r="AA1388">
        <v>-1</v>
      </c>
      <c r="AB1388">
        <v>-1</v>
      </c>
      <c r="AC1388">
        <v>-1</v>
      </c>
      <c r="AD1388">
        <v>-1</v>
      </c>
      <c r="AE1388">
        <v>-1</v>
      </c>
      <c r="AF1388">
        <v>-1</v>
      </c>
      <c r="AG1388">
        <v>-1</v>
      </c>
      <c r="AH1388">
        <v>-1</v>
      </c>
      <c r="AI1388">
        <v>-1</v>
      </c>
      <c r="AJ1388" s="9">
        <f t="shared" si="428"/>
        <v>31</v>
      </c>
      <c r="AK1388">
        <f t="shared" si="429"/>
        <v>0</v>
      </c>
      <c r="AL1388" s="9">
        <v>0</v>
      </c>
    </row>
    <row r="1389" spans="1:38" x14ac:dyDescent="0.35">
      <c r="A1389" s="50">
        <v>0</v>
      </c>
      <c r="B1389" s="50" t="s">
        <v>168</v>
      </c>
      <c r="C1389" s="53">
        <v>43861</v>
      </c>
      <c r="D1389" s="53">
        <v>43905</v>
      </c>
      <c r="E1389" s="53">
        <v>43983</v>
      </c>
      <c r="F1389" s="21">
        <f t="shared" si="430"/>
        <v>78</v>
      </c>
      <c r="G1389" s="53">
        <v>43905</v>
      </c>
      <c r="H1389" s="9">
        <v>2020</v>
      </c>
      <c r="I1389" s="50">
        <v>0</v>
      </c>
      <c r="J1389" s="50">
        <v>5</v>
      </c>
      <c r="K1389" s="50">
        <v>24</v>
      </c>
      <c r="L1389" s="24" t="s">
        <v>1769</v>
      </c>
      <c r="M1389" s="24"/>
      <c r="V1389" t="s">
        <v>985</v>
      </c>
      <c r="W1389" t="s">
        <v>989</v>
      </c>
      <c r="X1389" t="s">
        <v>997</v>
      </c>
      <c r="Y1389" t="s">
        <v>1000</v>
      </c>
      <c r="Z1389">
        <v>0</v>
      </c>
      <c r="AA1389">
        <v>-1</v>
      </c>
      <c r="AB1389">
        <v>-1</v>
      </c>
      <c r="AC1389">
        <v>-1</v>
      </c>
      <c r="AD1389">
        <v>-1</v>
      </c>
      <c r="AE1389">
        <v>-1</v>
      </c>
      <c r="AF1389">
        <v>-1</v>
      </c>
      <c r="AG1389">
        <v>-1</v>
      </c>
      <c r="AH1389">
        <v>-1</v>
      </c>
      <c r="AI1389">
        <v>-1</v>
      </c>
      <c r="AJ1389" s="9">
        <f t="shared" si="428"/>
        <v>24</v>
      </c>
      <c r="AK1389">
        <f t="shared" si="429"/>
        <v>0</v>
      </c>
      <c r="AL1389" s="9">
        <v>0</v>
      </c>
    </row>
    <row r="1390" spans="1:38" x14ac:dyDescent="0.35">
      <c r="A1390" s="50">
        <v>0</v>
      </c>
      <c r="B1390" s="50" t="s">
        <v>168</v>
      </c>
      <c r="C1390" s="53">
        <v>43861</v>
      </c>
      <c r="D1390" s="53">
        <v>43905</v>
      </c>
      <c r="E1390" s="53">
        <v>43983</v>
      </c>
      <c r="F1390" s="21">
        <f t="shared" si="430"/>
        <v>78</v>
      </c>
      <c r="G1390" s="53">
        <v>43905</v>
      </c>
      <c r="H1390" s="9">
        <v>2020</v>
      </c>
      <c r="I1390" s="50">
        <v>0</v>
      </c>
      <c r="J1390" s="50">
        <v>6</v>
      </c>
      <c r="K1390" s="50">
        <v>28</v>
      </c>
      <c r="L1390" s="24" t="s">
        <v>1770</v>
      </c>
      <c r="M1390" s="24"/>
      <c r="V1390" t="s">
        <v>985</v>
      </c>
      <c r="W1390" t="s">
        <v>989</v>
      </c>
      <c r="X1390" t="s">
        <v>997</v>
      </c>
      <c r="Y1390" t="s">
        <v>1000</v>
      </c>
      <c r="Z1390">
        <v>0</v>
      </c>
      <c r="AA1390">
        <v>-1</v>
      </c>
      <c r="AB1390">
        <v>-1</v>
      </c>
      <c r="AC1390">
        <v>-1</v>
      </c>
      <c r="AD1390">
        <v>-1</v>
      </c>
      <c r="AE1390">
        <v>-1</v>
      </c>
      <c r="AF1390">
        <v>-1</v>
      </c>
      <c r="AG1390">
        <v>-1</v>
      </c>
      <c r="AH1390">
        <v>-1</v>
      </c>
      <c r="AI1390">
        <v>-1</v>
      </c>
      <c r="AJ1390" s="9">
        <f t="shared" si="428"/>
        <v>28</v>
      </c>
      <c r="AK1390">
        <f t="shared" si="429"/>
        <v>0</v>
      </c>
      <c r="AL1390" s="9">
        <v>0</v>
      </c>
    </row>
    <row r="1391" spans="1:38" x14ac:dyDescent="0.35">
      <c r="A1391" s="50">
        <v>0</v>
      </c>
      <c r="B1391" s="50" t="s">
        <v>168</v>
      </c>
      <c r="C1391" s="53">
        <v>43861</v>
      </c>
      <c r="D1391" s="53">
        <v>43905</v>
      </c>
      <c r="E1391" s="53">
        <v>43983</v>
      </c>
      <c r="F1391" s="21">
        <f t="shared" si="430"/>
        <v>78</v>
      </c>
      <c r="G1391" s="53">
        <v>43905</v>
      </c>
      <c r="H1391" s="9">
        <v>2020</v>
      </c>
      <c r="I1391" s="50">
        <v>0</v>
      </c>
      <c r="J1391" s="50">
        <v>4</v>
      </c>
      <c r="K1391" s="50" t="s">
        <v>201</v>
      </c>
      <c r="L1391" s="24" t="s">
        <v>1771</v>
      </c>
      <c r="M1391" s="24"/>
      <c r="V1391" t="s">
        <v>985</v>
      </c>
      <c r="W1391" t="s">
        <v>989</v>
      </c>
      <c r="X1391" t="s">
        <v>997</v>
      </c>
      <c r="Y1391" t="s">
        <v>1000</v>
      </c>
      <c r="Z1391">
        <v>0</v>
      </c>
      <c r="AA1391">
        <v>-1</v>
      </c>
      <c r="AB1391">
        <v>-1</v>
      </c>
      <c r="AC1391">
        <v>-1</v>
      </c>
      <c r="AD1391">
        <v>-1</v>
      </c>
      <c r="AE1391">
        <v>-1</v>
      </c>
      <c r="AF1391">
        <v>-1</v>
      </c>
      <c r="AG1391">
        <v>-1</v>
      </c>
      <c r="AH1391">
        <v>-1</v>
      </c>
      <c r="AI1391">
        <v>-1</v>
      </c>
      <c r="AJ1391" s="9" t="str">
        <f t="shared" si="428"/>
        <v>Other</v>
      </c>
      <c r="AK1391">
        <f t="shared" si="429"/>
        <v>0</v>
      </c>
      <c r="AL1391" s="9">
        <v>0</v>
      </c>
    </row>
    <row r="1392" spans="1:38" x14ac:dyDescent="0.35">
      <c r="A1392" s="50">
        <v>0</v>
      </c>
      <c r="B1392" s="50" t="s">
        <v>168</v>
      </c>
      <c r="C1392" s="53">
        <v>43861</v>
      </c>
      <c r="D1392" s="53">
        <v>43905</v>
      </c>
      <c r="E1392" s="53">
        <v>43983</v>
      </c>
      <c r="F1392" s="21">
        <f t="shared" si="430"/>
        <v>78</v>
      </c>
      <c r="G1392" s="53">
        <v>43905</v>
      </c>
      <c r="H1392" s="9">
        <v>2020</v>
      </c>
      <c r="I1392" s="50">
        <v>0</v>
      </c>
      <c r="J1392" s="50">
        <v>9</v>
      </c>
      <c r="K1392" s="50">
        <v>34</v>
      </c>
      <c r="L1392" s="24" t="s">
        <v>1774</v>
      </c>
      <c r="M1392" s="24"/>
      <c r="V1392" t="s">
        <v>985</v>
      </c>
      <c r="W1392" t="s">
        <v>989</v>
      </c>
      <c r="X1392" t="s">
        <v>997</v>
      </c>
      <c r="Y1392" t="s">
        <v>1000</v>
      </c>
      <c r="Z1392">
        <v>0</v>
      </c>
      <c r="AA1392">
        <v>-1</v>
      </c>
      <c r="AB1392">
        <v>-1</v>
      </c>
      <c r="AC1392">
        <v>-1</v>
      </c>
      <c r="AD1392">
        <v>-1</v>
      </c>
      <c r="AE1392">
        <v>-1</v>
      </c>
      <c r="AF1392">
        <v>-1</v>
      </c>
      <c r="AG1392">
        <v>-1</v>
      </c>
      <c r="AH1392">
        <v>-1</v>
      </c>
      <c r="AI1392">
        <v>-1</v>
      </c>
      <c r="AJ1392" s="9">
        <f t="shared" si="428"/>
        <v>34</v>
      </c>
      <c r="AK1392">
        <f t="shared" si="429"/>
        <v>0</v>
      </c>
      <c r="AL1392" s="9">
        <v>0</v>
      </c>
    </row>
    <row r="1393" spans="1:38" x14ac:dyDescent="0.35">
      <c r="A1393" s="50">
        <v>0</v>
      </c>
      <c r="B1393" s="50" t="s">
        <v>168</v>
      </c>
      <c r="C1393" s="53">
        <v>43861</v>
      </c>
      <c r="D1393" s="53">
        <v>43905</v>
      </c>
      <c r="E1393" s="53">
        <v>43983</v>
      </c>
      <c r="F1393" s="21">
        <f t="shared" si="430"/>
        <v>78</v>
      </c>
      <c r="G1393" s="53">
        <v>43905</v>
      </c>
      <c r="H1393" s="9">
        <v>2020</v>
      </c>
      <c r="I1393" s="50">
        <v>0</v>
      </c>
      <c r="J1393" s="50">
        <v>6</v>
      </c>
      <c r="K1393" s="50">
        <v>26</v>
      </c>
      <c r="L1393" s="24" t="s">
        <v>1565</v>
      </c>
      <c r="M1393" s="24"/>
      <c r="V1393" t="s">
        <v>985</v>
      </c>
      <c r="W1393" t="s">
        <v>989</v>
      </c>
      <c r="X1393" t="s">
        <v>997</v>
      </c>
      <c r="Y1393" t="s">
        <v>1000</v>
      </c>
      <c r="Z1393">
        <v>0</v>
      </c>
      <c r="AA1393">
        <v>-1</v>
      </c>
      <c r="AB1393">
        <v>-1</v>
      </c>
      <c r="AC1393">
        <v>-1</v>
      </c>
      <c r="AD1393">
        <v>-1</v>
      </c>
      <c r="AE1393">
        <v>-1</v>
      </c>
      <c r="AF1393">
        <v>-1</v>
      </c>
      <c r="AG1393">
        <v>-1</v>
      </c>
      <c r="AH1393">
        <v>-1</v>
      </c>
      <c r="AI1393">
        <v>-1</v>
      </c>
      <c r="AJ1393" s="9">
        <f t="shared" si="428"/>
        <v>26</v>
      </c>
      <c r="AK1393">
        <f t="shared" si="429"/>
        <v>0</v>
      </c>
      <c r="AL1393" s="9">
        <v>0</v>
      </c>
    </row>
    <row r="1394" spans="1:38" x14ac:dyDescent="0.35">
      <c r="A1394" s="50">
        <v>0</v>
      </c>
      <c r="B1394" s="50" t="s">
        <v>168</v>
      </c>
      <c r="C1394" s="53">
        <v>43861</v>
      </c>
      <c r="D1394" s="53">
        <v>43905</v>
      </c>
      <c r="E1394" s="53">
        <v>43983</v>
      </c>
      <c r="F1394" s="21">
        <f t="shared" si="430"/>
        <v>78</v>
      </c>
      <c r="G1394" s="53">
        <v>43905</v>
      </c>
      <c r="H1394" s="9">
        <v>2020</v>
      </c>
      <c r="I1394" s="50">
        <v>0</v>
      </c>
      <c r="J1394" s="50">
        <v>7</v>
      </c>
      <c r="K1394" s="50">
        <v>30</v>
      </c>
      <c r="L1394" s="24" t="s">
        <v>1775</v>
      </c>
      <c r="M1394" s="24"/>
      <c r="V1394" t="s">
        <v>985</v>
      </c>
      <c r="W1394" t="s">
        <v>989</v>
      </c>
      <c r="X1394" t="s">
        <v>997</v>
      </c>
      <c r="Y1394" t="s">
        <v>1000</v>
      </c>
      <c r="Z1394">
        <v>0</v>
      </c>
      <c r="AA1394">
        <v>-1</v>
      </c>
      <c r="AB1394">
        <v>-1</v>
      </c>
      <c r="AC1394">
        <v>-1</v>
      </c>
      <c r="AD1394">
        <v>-1</v>
      </c>
      <c r="AE1394">
        <v>-1</v>
      </c>
      <c r="AF1394">
        <v>-1</v>
      </c>
      <c r="AG1394">
        <v>-1</v>
      </c>
      <c r="AH1394">
        <v>-1</v>
      </c>
      <c r="AI1394">
        <v>-1</v>
      </c>
      <c r="AJ1394" s="9">
        <f t="shared" si="428"/>
        <v>30</v>
      </c>
      <c r="AK1394">
        <f t="shared" si="429"/>
        <v>0</v>
      </c>
      <c r="AL1394" s="9">
        <v>0</v>
      </c>
    </row>
    <row r="1395" spans="1:38" x14ac:dyDescent="0.35">
      <c r="A1395" s="50">
        <v>0</v>
      </c>
      <c r="B1395" s="50" t="s">
        <v>168</v>
      </c>
      <c r="C1395" s="53">
        <v>43861</v>
      </c>
      <c r="D1395" s="53">
        <v>43905</v>
      </c>
      <c r="E1395" s="53">
        <v>43983</v>
      </c>
      <c r="F1395" s="21">
        <f t="shared" si="430"/>
        <v>78</v>
      </c>
      <c r="G1395" s="53">
        <v>43905</v>
      </c>
      <c r="H1395" s="9">
        <v>2020</v>
      </c>
      <c r="I1395" s="50">
        <v>0</v>
      </c>
      <c r="J1395" s="50">
        <v>6</v>
      </c>
      <c r="K1395" s="50">
        <v>25</v>
      </c>
      <c r="L1395" s="24" t="s">
        <v>1776</v>
      </c>
      <c r="M1395" s="24"/>
      <c r="V1395" t="s">
        <v>985</v>
      </c>
      <c r="W1395" t="s">
        <v>989</v>
      </c>
      <c r="X1395" t="s">
        <v>997</v>
      </c>
      <c r="Y1395" t="s">
        <v>1000</v>
      </c>
      <c r="Z1395">
        <v>0</v>
      </c>
      <c r="AA1395">
        <v>-1</v>
      </c>
      <c r="AB1395">
        <v>-1</v>
      </c>
      <c r="AC1395">
        <v>-1</v>
      </c>
      <c r="AD1395">
        <v>-1</v>
      </c>
      <c r="AE1395">
        <v>-1</v>
      </c>
      <c r="AF1395">
        <v>-1</v>
      </c>
      <c r="AG1395">
        <v>-1</v>
      </c>
      <c r="AH1395">
        <v>-1</v>
      </c>
      <c r="AI1395">
        <v>-1</v>
      </c>
      <c r="AJ1395" s="9">
        <f t="shared" si="428"/>
        <v>25</v>
      </c>
      <c r="AK1395">
        <f t="shared" si="429"/>
        <v>0</v>
      </c>
      <c r="AL1395" s="9">
        <v>0</v>
      </c>
    </row>
    <row r="1396" spans="1:38" x14ac:dyDescent="0.35">
      <c r="A1396" s="50">
        <v>0</v>
      </c>
      <c r="B1396" s="50" t="s">
        <v>168</v>
      </c>
      <c r="C1396" s="53">
        <v>43861</v>
      </c>
      <c r="D1396" s="53">
        <v>43905</v>
      </c>
      <c r="E1396" s="53">
        <v>43983</v>
      </c>
      <c r="F1396" s="21">
        <f t="shared" si="430"/>
        <v>78</v>
      </c>
      <c r="G1396" s="53">
        <v>43905</v>
      </c>
      <c r="H1396" s="9">
        <v>2020</v>
      </c>
      <c r="I1396" s="50">
        <v>0</v>
      </c>
      <c r="J1396" s="50">
        <v>6</v>
      </c>
      <c r="K1396" s="50">
        <v>26</v>
      </c>
      <c r="L1396" s="24" t="s">
        <v>1566</v>
      </c>
      <c r="M1396" s="24"/>
      <c r="V1396" t="s">
        <v>985</v>
      </c>
      <c r="W1396" t="s">
        <v>989</v>
      </c>
      <c r="X1396" t="s">
        <v>997</v>
      </c>
      <c r="Y1396" t="s">
        <v>1000</v>
      </c>
      <c r="Z1396">
        <v>0</v>
      </c>
      <c r="AA1396">
        <v>-1</v>
      </c>
      <c r="AB1396">
        <v>-1</v>
      </c>
      <c r="AC1396">
        <v>-1</v>
      </c>
      <c r="AD1396">
        <v>-1</v>
      </c>
      <c r="AE1396">
        <v>-1</v>
      </c>
      <c r="AF1396">
        <v>-1</v>
      </c>
      <c r="AG1396">
        <v>-1</v>
      </c>
      <c r="AH1396">
        <v>-1</v>
      </c>
      <c r="AI1396">
        <v>-1</v>
      </c>
      <c r="AJ1396" s="9">
        <f t="shared" si="428"/>
        <v>26</v>
      </c>
      <c r="AK1396">
        <f t="shared" si="429"/>
        <v>0</v>
      </c>
      <c r="AL1396" s="9">
        <v>0</v>
      </c>
    </row>
    <row r="1397" spans="1:38" x14ac:dyDescent="0.35">
      <c r="A1397" s="50">
        <v>0</v>
      </c>
      <c r="B1397" s="50" t="s">
        <v>168</v>
      </c>
      <c r="C1397" s="53">
        <v>43861</v>
      </c>
      <c r="D1397" s="53">
        <v>43905</v>
      </c>
      <c r="E1397" s="53">
        <v>43983</v>
      </c>
      <c r="F1397" s="21">
        <f t="shared" si="430"/>
        <v>78</v>
      </c>
      <c r="G1397" s="53">
        <v>43905</v>
      </c>
      <c r="H1397" s="9">
        <v>2020</v>
      </c>
      <c r="I1397" s="50">
        <v>0</v>
      </c>
      <c r="J1397" s="50">
        <v>5</v>
      </c>
      <c r="K1397" s="50">
        <v>24</v>
      </c>
      <c r="L1397" s="24" t="s">
        <v>1567</v>
      </c>
      <c r="M1397" s="24"/>
      <c r="V1397" t="s">
        <v>985</v>
      </c>
      <c r="W1397" t="s">
        <v>989</v>
      </c>
      <c r="X1397" t="s">
        <v>997</v>
      </c>
      <c r="Y1397" t="s">
        <v>1000</v>
      </c>
      <c r="Z1397">
        <v>0</v>
      </c>
      <c r="AA1397">
        <v>-1</v>
      </c>
      <c r="AB1397">
        <v>-1</v>
      </c>
      <c r="AC1397">
        <v>-1</v>
      </c>
      <c r="AD1397">
        <v>-1</v>
      </c>
      <c r="AE1397">
        <v>-1</v>
      </c>
      <c r="AF1397">
        <v>-1</v>
      </c>
      <c r="AG1397">
        <v>-1</v>
      </c>
      <c r="AH1397">
        <v>-1</v>
      </c>
      <c r="AI1397">
        <v>-1</v>
      </c>
      <c r="AJ1397" s="9">
        <f t="shared" si="428"/>
        <v>24</v>
      </c>
      <c r="AK1397">
        <f t="shared" si="429"/>
        <v>0</v>
      </c>
      <c r="AL1397" s="9">
        <v>0</v>
      </c>
    </row>
    <row r="1398" spans="1:38" x14ac:dyDescent="0.35">
      <c r="A1398" s="50">
        <v>0</v>
      </c>
      <c r="B1398" s="50" t="s">
        <v>168</v>
      </c>
      <c r="C1398" s="53">
        <v>43861</v>
      </c>
      <c r="D1398" s="53">
        <v>43905</v>
      </c>
      <c r="E1398" s="53">
        <v>43983</v>
      </c>
      <c r="F1398" s="21">
        <f t="shared" si="430"/>
        <v>78</v>
      </c>
      <c r="G1398" s="53">
        <v>43905</v>
      </c>
      <c r="H1398" s="9">
        <v>2020</v>
      </c>
      <c r="I1398" s="50">
        <v>0</v>
      </c>
      <c r="J1398" s="50">
        <v>6</v>
      </c>
      <c r="K1398" s="50">
        <v>27</v>
      </c>
      <c r="L1398" s="24" t="s">
        <v>1568</v>
      </c>
      <c r="M1398" s="24"/>
      <c r="V1398" t="s">
        <v>985</v>
      </c>
      <c r="W1398" t="s">
        <v>989</v>
      </c>
      <c r="X1398" t="s">
        <v>997</v>
      </c>
      <c r="Y1398" t="s">
        <v>1000</v>
      </c>
      <c r="Z1398">
        <v>0</v>
      </c>
      <c r="AA1398">
        <v>-1</v>
      </c>
      <c r="AB1398">
        <v>-1</v>
      </c>
      <c r="AC1398">
        <v>-1</v>
      </c>
      <c r="AD1398">
        <v>-1</v>
      </c>
      <c r="AE1398">
        <v>-1</v>
      </c>
      <c r="AF1398">
        <v>-1</v>
      </c>
      <c r="AG1398">
        <v>-1</v>
      </c>
      <c r="AH1398">
        <v>-1</v>
      </c>
      <c r="AI1398">
        <v>-1</v>
      </c>
      <c r="AJ1398" s="9">
        <f t="shared" si="428"/>
        <v>27</v>
      </c>
      <c r="AK1398">
        <f t="shared" si="429"/>
        <v>0</v>
      </c>
      <c r="AL1398" s="9">
        <v>0</v>
      </c>
    </row>
    <row r="1399" spans="1:38" x14ac:dyDescent="0.35">
      <c r="A1399" s="50">
        <v>0</v>
      </c>
      <c r="B1399" s="50" t="s">
        <v>168</v>
      </c>
      <c r="C1399" s="53">
        <v>43861</v>
      </c>
      <c r="D1399" s="53">
        <v>43905</v>
      </c>
      <c r="E1399" s="53">
        <v>43983</v>
      </c>
      <c r="F1399" s="21">
        <f t="shared" si="430"/>
        <v>78</v>
      </c>
      <c r="G1399" s="53">
        <v>43905</v>
      </c>
      <c r="H1399" s="9">
        <v>2020</v>
      </c>
      <c r="I1399" s="50">
        <v>0</v>
      </c>
      <c r="J1399" s="50">
        <v>5</v>
      </c>
      <c r="K1399" s="50">
        <v>21</v>
      </c>
      <c r="L1399" s="24" t="s">
        <v>1569</v>
      </c>
      <c r="M1399" s="24"/>
      <c r="V1399" t="s">
        <v>985</v>
      </c>
      <c r="W1399" t="s">
        <v>989</v>
      </c>
      <c r="X1399" t="s">
        <v>997</v>
      </c>
      <c r="Y1399" t="s">
        <v>1000</v>
      </c>
      <c r="Z1399">
        <v>0</v>
      </c>
      <c r="AA1399">
        <v>-1</v>
      </c>
      <c r="AB1399">
        <v>-1</v>
      </c>
      <c r="AC1399">
        <v>-1</v>
      </c>
      <c r="AD1399">
        <v>-1</v>
      </c>
      <c r="AE1399">
        <v>-1</v>
      </c>
      <c r="AF1399">
        <v>-1</v>
      </c>
      <c r="AG1399">
        <v>-1</v>
      </c>
      <c r="AH1399">
        <v>-1</v>
      </c>
      <c r="AI1399">
        <v>-1</v>
      </c>
      <c r="AJ1399" s="9">
        <f t="shared" si="428"/>
        <v>21</v>
      </c>
      <c r="AK1399" t="e">
        <f>IF(B1399&lt;&gt;#REF!,1,0)</f>
        <v>#REF!</v>
      </c>
      <c r="AL1399" s="9">
        <v>1</v>
      </c>
    </row>
    <row r="1400" spans="1:38" x14ac:dyDescent="0.35">
      <c r="A1400" s="50">
        <v>0</v>
      </c>
      <c r="B1400" s="50" t="s">
        <v>168</v>
      </c>
      <c r="C1400" s="53">
        <v>43861</v>
      </c>
      <c r="D1400" s="53">
        <v>43905</v>
      </c>
      <c r="E1400" s="53">
        <v>43983</v>
      </c>
      <c r="F1400" s="21">
        <f t="shared" si="430"/>
        <v>78</v>
      </c>
      <c r="G1400" s="53">
        <v>43905</v>
      </c>
      <c r="H1400" s="9">
        <v>2020</v>
      </c>
      <c r="I1400" s="50">
        <v>0</v>
      </c>
      <c r="J1400" s="50">
        <v>3</v>
      </c>
      <c r="K1400" s="50" t="s">
        <v>206</v>
      </c>
      <c r="L1400" s="24" t="s">
        <v>1570</v>
      </c>
      <c r="M1400" s="24"/>
      <c r="V1400" t="s">
        <v>985</v>
      </c>
      <c r="W1400" t="s">
        <v>989</v>
      </c>
      <c r="X1400" t="s">
        <v>997</v>
      </c>
      <c r="Y1400" t="s">
        <v>1000</v>
      </c>
      <c r="Z1400">
        <v>0</v>
      </c>
      <c r="AA1400">
        <v>-1</v>
      </c>
      <c r="AB1400">
        <v>-1</v>
      </c>
      <c r="AC1400">
        <v>-1</v>
      </c>
      <c r="AD1400">
        <v>-1</v>
      </c>
      <c r="AE1400">
        <v>-1</v>
      </c>
      <c r="AF1400">
        <v>-1</v>
      </c>
      <c r="AG1400">
        <v>-1</v>
      </c>
      <c r="AH1400">
        <v>-1</v>
      </c>
      <c r="AI1400">
        <v>-1</v>
      </c>
      <c r="AJ1400" s="9" t="str">
        <f t="shared" si="428"/>
        <v>Tax exemption/waiver/suspension</v>
      </c>
      <c r="AK1400">
        <f t="shared" si="429"/>
        <v>0</v>
      </c>
      <c r="AL1400" s="9">
        <v>1</v>
      </c>
    </row>
    <row r="1401" spans="1:38" s="47" customFormat="1" x14ac:dyDescent="0.35">
      <c r="A1401" s="50">
        <v>0</v>
      </c>
      <c r="B1401" s="50" t="s">
        <v>168</v>
      </c>
      <c r="C1401" s="53">
        <v>43861</v>
      </c>
      <c r="D1401" s="53">
        <v>43905</v>
      </c>
      <c r="E1401" s="53">
        <v>43983</v>
      </c>
      <c r="F1401" s="21">
        <f t="shared" ref="F1401:F1410" si="431">DATEDIF(D1401,E1401,"D")</f>
        <v>78</v>
      </c>
      <c r="G1401" s="53">
        <v>43905</v>
      </c>
      <c r="H1401" s="9">
        <v>2021</v>
      </c>
      <c r="I1401" s="50"/>
      <c r="J1401" s="50">
        <v>9</v>
      </c>
      <c r="K1401" s="50">
        <v>34</v>
      </c>
      <c r="L1401" s="48" t="s">
        <v>2107</v>
      </c>
      <c r="M1401" s="48"/>
    </row>
    <row r="1402" spans="1:38" s="47" customFormat="1" x14ac:dyDescent="0.35">
      <c r="A1402" s="50">
        <v>0</v>
      </c>
      <c r="B1402" s="50" t="s">
        <v>168</v>
      </c>
      <c r="C1402" s="53">
        <v>43861</v>
      </c>
      <c r="D1402" s="53">
        <v>43905</v>
      </c>
      <c r="E1402" s="53">
        <v>43983</v>
      </c>
      <c r="F1402" s="21">
        <f t="shared" si="431"/>
        <v>78</v>
      </c>
      <c r="G1402" s="53">
        <v>43905</v>
      </c>
      <c r="H1402" s="9">
        <v>2021</v>
      </c>
      <c r="I1402" s="50"/>
      <c r="J1402" s="50">
        <v>1</v>
      </c>
      <c r="K1402" s="50">
        <v>6</v>
      </c>
      <c r="L1402" s="48" t="s">
        <v>2105</v>
      </c>
      <c r="M1402" s="48"/>
    </row>
    <row r="1403" spans="1:38" s="47" customFormat="1" x14ac:dyDescent="0.35">
      <c r="A1403" s="50">
        <v>0</v>
      </c>
      <c r="B1403" s="50" t="s">
        <v>168</v>
      </c>
      <c r="C1403" s="53">
        <v>43861</v>
      </c>
      <c r="D1403" s="53">
        <v>43905</v>
      </c>
      <c r="E1403" s="53">
        <v>43983</v>
      </c>
      <c r="F1403" s="21">
        <f t="shared" si="431"/>
        <v>78</v>
      </c>
      <c r="G1403" s="53">
        <v>43905</v>
      </c>
      <c r="H1403" s="9">
        <v>2021</v>
      </c>
      <c r="I1403" s="50"/>
      <c r="J1403" s="50">
        <v>9</v>
      </c>
      <c r="K1403" s="50">
        <v>34</v>
      </c>
      <c r="L1403" s="48" t="s">
        <v>2099</v>
      </c>
      <c r="M1403" s="48"/>
    </row>
    <row r="1404" spans="1:38" s="47" customFormat="1" x14ac:dyDescent="0.35">
      <c r="A1404" s="50">
        <v>0</v>
      </c>
      <c r="B1404" s="50" t="s">
        <v>168</v>
      </c>
      <c r="C1404" s="53">
        <v>43861</v>
      </c>
      <c r="D1404" s="53">
        <v>43905</v>
      </c>
      <c r="E1404" s="53">
        <v>43983</v>
      </c>
      <c r="F1404" s="21">
        <f t="shared" si="431"/>
        <v>78</v>
      </c>
      <c r="G1404" s="53">
        <v>43905</v>
      </c>
      <c r="H1404" s="9">
        <v>2021</v>
      </c>
      <c r="I1404" s="50"/>
      <c r="J1404" s="50">
        <v>6</v>
      </c>
      <c r="K1404" s="50">
        <v>29</v>
      </c>
      <c r="L1404" s="48" t="s">
        <v>2098</v>
      </c>
      <c r="M1404" s="48"/>
    </row>
    <row r="1405" spans="1:38" s="47" customFormat="1" x14ac:dyDescent="0.35">
      <c r="A1405" s="50">
        <v>0</v>
      </c>
      <c r="B1405" s="50" t="s">
        <v>168</v>
      </c>
      <c r="C1405" s="53">
        <v>43861</v>
      </c>
      <c r="D1405" s="53">
        <v>43905</v>
      </c>
      <c r="E1405" s="53">
        <v>43983</v>
      </c>
      <c r="F1405" s="21">
        <f t="shared" si="431"/>
        <v>78</v>
      </c>
      <c r="G1405" s="53">
        <v>43905</v>
      </c>
      <c r="H1405" s="9">
        <v>2021</v>
      </c>
      <c r="I1405" s="50"/>
      <c r="J1405" s="50">
        <v>7</v>
      </c>
      <c r="K1405" s="50">
        <v>31</v>
      </c>
      <c r="L1405" s="48" t="s">
        <v>2100</v>
      </c>
      <c r="M1405" s="48"/>
    </row>
    <row r="1406" spans="1:38" s="47" customFormat="1" x14ac:dyDescent="0.35">
      <c r="A1406" s="50">
        <v>0</v>
      </c>
      <c r="B1406" s="50" t="s">
        <v>168</v>
      </c>
      <c r="C1406" s="53">
        <v>43861</v>
      </c>
      <c r="D1406" s="53">
        <v>43905</v>
      </c>
      <c r="E1406" s="53">
        <v>43983</v>
      </c>
      <c r="F1406" s="21">
        <f t="shared" si="431"/>
        <v>78</v>
      </c>
      <c r="G1406" s="53">
        <v>43905</v>
      </c>
      <c r="H1406" s="9">
        <v>2021</v>
      </c>
      <c r="I1406" s="50"/>
      <c r="J1406" s="50">
        <v>9</v>
      </c>
      <c r="K1406" s="50">
        <v>34</v>
      </c>
      <c r="L1406" s="48" t="s">
        <v>2101</v>
      </c>
      <c r="M1406" s="48"/>
    </row>
    <row r="1407" spans="1:38" s="47" customFormat="1" x14ac:dyDescent="0.35">
      <c r="A1407" s="50">
        <v>0</v>
      </c>
      <c r="B1407" s="50" t="s">
        <v>168</v>
      </c>
      <c r="C1407" s="53">
        <v>43861</v>
      </c>
      <c r="D1407" s="53">
        <v>43905</v>
      </c>
      <c r="E1407" s="53">
        <v>43983</v>
      </c>
      <c r="F1407" s="21">
        <f t="shared" si="431"/>
        <v>78</v>
      </c>
      <c r="G1407" s="53">
        <v>43905</v>
      </c>
      <c r="H1407" s="9">
        <v>2021</v>
      </c>
      <c r="I1407" s="50"/>
      <c r="J1407" s="50">
        <v>6</v>
      </c>
      <c r="K1407" s="50">
        <v>29</v>
      </c>
      <c r="L1407" s="48" t="s">
        <v>2102</v>
      </c>
      <c r="M1407" s="48"/>
    </row>
    <row r="1408" spans="1:38" s="47" customFormat="1" x14ac:dyDescent="0.35">
      <c r="A1408" s="50">
        <v>0</v>
      </c>
      <c r="B1408" s="50" t="s">
        <v>168</v>
      </c>
      <c r="C1408" s="53">
        <v>43861</v>
      </c>
      <c r="D1408" s="53">
        <v>43905</v>
      </c>
      <c r="E1408" s="53">
        <v>43983</v>
      </c>
      <c r="F1408" s="21">
        <f t="shared" si="431"/>
        <v>78</v>
      </c>
      <c r="G1408" s="53">
        <v>43905</v>
      </c>
      <c r="H1408" s="9">
        <v>2021</v>
      </c>
      <c r="I1408" s="50"/>
      <c r="J1408" s="50">
        <v>2</v>
      </c>
      <c r="K1408" s="50">
        <v>16</v>
      </c>
      <c r="L1408" s="48" t="s">
        <v>2103</v>
      </c>
      <c r="M1408" s="48"/>
    </row>
    <row r="1409" spans="1:38" s="47" customFormat="1" x14ac:dyDescent="0.35">
      <c r="A1409" s="50">
        <v>0</v>
      </c>
      <c r="B1409" s="50" t="s">
        <v>168</v>
      </c>
      <c r="C1409" s="53">
        <v>43861</v>
      </c>
      <c r="D1409" s="53">
        <v>43905</v>
      </c>
      <c r="E1409" s="53">
        <v>43983</v>
      </c>
      <c r="F1409" s="21">
        <f t="shared" si="431"/>
        <v>78</v>
      </c>
      <c r="G1409" s="53">
        <v>43905</v>
      </c>
      <c r="H1409" s="9">
        <v>2021</v>
      </c>
      <c r="I1409" s="50"/>
      <c r="J1409" s="50">
        <v>9</v>
      </c>
      <c r="K1409" s="50">
        <v>34</v>
      </c>
      <c r="L1409" s="48" t="s">
        <v>2104</v>
      </c>
      <c r="M1409" s="48"/>
    </row>
    <row r="1410" spans="1:38" s="47" customFormat="1" x14ac:dyDescent="0.35">
      <c r="A1410" s="50">
        <v>0</v>
      </c>
      <c r="B1410" s="50" t="s">
        <v>168</v>
      </c>
      <c r="C1410" s="53">
        <v>43861</v>
      </c>
      <c r="D1410" s="53">
        <v>43905</v>
      </c>
      <c r="E1410" s="53">
        <v>43983</v>
      </c>
      <c r="F1410" s="21">
        <f t="shared" si="431"/>
        <v>78</v>
      </c>
      <c r="G1410" s="53">
        <v>43905</v>
      </c>
      <c r="H1410" s="9">
        <v>2021</v>
      </c>
      <c r="I1410" s="50"/>
      <c r="J1410" s="50">
        <v>1</v>
      </c>
      <c r="K1410" s="50">
        <v>6</v>
      </c>
      <c r="L1410" s="48" t="s">
        <v>2106</v>
      </c>
      <c r="M1410" s="48"/>
    </row>
    <row r="1411" spans="1:38" x14ac:dyDescent="0.35">
      <c r="A1411" s="50">
        <v>0</v>
      </c>
      <c r="B1411" s="9" t="s">
        <v>33</v>
      </c>
      <c r="C1411" s="53">
        <v>43886</v>
      </c>
      <c r="D1411" s="53">
        <v>43906</v>
      </c>
      <c r="E1411" s="53">
        <v>43962</v>
      </c>
      <c r="F1411" s="21">
        <f t="shared" si="430"/>
        <v>56</v>
      </c>
      <c r="G1411" s="53">
        <v>43906</v>
      </c>
      <c r="H1411" s="9">
        <v>2020</v>
      </c>
      <c r="I1411" s="50">
        <v>0</v>
      </c>
      <c r="J1411" s="9">
        <v>6</v>
      </c>
      <c r="K1411" s="9">
        <v>29</v>
      </c>
      <c r="L1411" s="50" t="s">
        <v>317</v>
      </c>
      <c r="M1411">
        <v>1</v>
      </c>
      <c r="N1411">
        <v>1</v>
      </c>
      <c r="O1411">
        <v>1</v>
      </c>
      <c r="P1411">
        <v>-1</v>
      </c>
      <c r="Q1411">
        <v>-2</v>
      </c>
      <c r="R1411">
        <v>1</v>
      </c>
      <c r="S1411">
        <v>1</v>
      </c>
      <c r="T1411">
        <v>1</v>
      </c>
      <c r="U1411">
        <v>1</v>
      </c>
      <c r="V1411" t="s">
        <v>954</v>
      </c>
      <c r="W1411" t="s">
        <v>989</v>
      </c>
      <c r="X1411" t="s">
        <v>997</v>
      </c>
      <c r="Y1411" t="s">
        <v>1000</v>
      </c>
      <c r="Z1411">
        <v>0</v>
      </c>
      <c r="AA1411">
        <f t="shared" ref="AA1411:AA1431" si="432">IF(M1411&gt;0,1,IF(M1411&lt;0,0,-1))</f>
        <v>1</v>
      </c>
      <c r="AB1411">
        <f t="shared" ref="AB1411:AB1431" si="433">IF(N1411&gt;0,1,IF(N1411&lt;0,0,-1))</f>
        <v>1</v>
      </c>
      <c r="AC1411">
        <f t="shared" ref="AC1411:AC1431" si="434">IF(O1411&gt;0,1,IF(O1411&lt;0,0,-1))</f>
        <v>1</v>
      </c>
      <c r="AD1411">
        <f t="shared" ref="AD1411:AD1431" si="435">IF(P1411&gt;0,1,IF(P1411&lt;0,0,-1))</f>
        <v>0</v>
      </c>
      <c r="AE1411">
        <f t="shared" ref="AE1411:AE1431" si="436">IF(Q1411&gt;0,1,IF(Q1411&lt;0,0,-1))</f>
        <v>0</v>
      </c>
      <c r="AF1411">
        <f t="shared" ref="AF1411:AF1431" si="437">IF(R1411&gt;0,1,IF(R1411&lt;0,0,-1))</f>
        <v>1</v>
      </c>
      <c r="AG1411">
        <f t="shared" ref="AG1411:AG1431" si="438">IF(S1411&gt;0,1,IF(S1411&lt;0,0,-1))</f>
        <v>1</v>
      </c>
      <c r="AH1411">
        <f t="shared" ref="AH1411:AH1431" si="439">IF(T1411&gt;0,1,IF(T1411&lt;0,0,-1))</f>
        <v>1</v>
      </c>
      <c r="AI1411">
        <f t="shared" ref="AI1411:AI1431" si="440">IF(U1411&gt;0,1,IF(U1411&lt;0,0,-1))</f>
        <v>1</v>
      </c>
      <c r="AJ1411" s="9">
        <f t="shared" si="428"/>
        <v>29</v>
      </c>
      <c r="AK1411">
        <f>IF(B1411&lt;&gt;B1400,1,0)</f>
        <v>1</v>
      </c>
      <c r="AL1411" s="9">
        <v>1</v>
      </c>
    </row>
    <row r="1412" spans="1:38" x14ac:dyDescent="0.35">
      <c r="A1412" s="50">
        <v>0</v>
      </c>
      <c r="B1412" s="9" t="s">
        <v>33</v>
      </c>
      <c r="C1412" s="53">
        <v>43886</v>
      </c>
      <c r="D1412" s="53">
        <v>43906</v>
      </c>
      <c r="E1412" s="53">
        <v>43962</v>
      </c>
      <c r="F1412" s="21">
        <f t="shared" si="430"/>
        <v>56</v>
      </c>
      <c r="G1412" s="53">
        <v>43906</v>
      </c>
      <c r="H1412" s="9">
        <v>2020</v>
      </c>
      <c r="I1412" s="50">
        <v>0</v>
      </c>
      <c r="J1412" s="9">
        <v>1</v>
      </c>
      <c r="K1412" s="9">
        <v>6</v>
      </c>
      <c r="L1412" s="50" t="s">
        <v>309</v>
      </c>
      <c r="M1412">
        <v>-2</v>
      </c>
      <c r="N1412">
        <v>2</v>
      </c>
      <c r="O1412">
        <v>2</v>
      </c>
      <c r="P1412">
        <v>2</v>
      </c>
      <c r="Q1412">
        <v>2</v>
      </c>
      <c r="R1412">
        <v>2</v>
      </c>
      <c r="S1412">
        <v>1</v>
      </c>
      <c r="T1412">
        <v>2</v>
      </c>
      <c r="U1412">
        <v>1</v>
      </c>
      <c r="V1412" t="s">
        <v>954</v>
      </c>
      <c r="W1412" t="s">
        <v>989</v>
      </c>
      <c r="X1412" t="s">
        <v>997</v>
      </c>
      <c r="Y1412" t="s">
        <v>1000</v>
      </c>
      <c r="Z1412">
        <v>0</v>
      </c>
      <c r="AA1412">
        <f t="shared" si="432"/>
        <v>0</v>
      </c>
      <c r="AB1412">
        <f t="shared" si="433"/>
        <v>1</v>
      </c>
      <c r="AC1412">
        <f t="shared" si="434"/>
        <v>1</v>
      </c>
      <c r="AD1412">
        <f t="shared" si="435"/>
        <v>1</v>
      </c>
      <c r="AE1412">
        <f t="shared" si="436"/>
        <v>1</v>
      </c>
      <c r="AF1412">
        <f t="shared" si="437"/>
        <v>1</v>
      </c>
      <c r="AG1412">
        <f t="shared" si="438"/>
        <v>1</v>
      </c>
      <c r="AH1412">
        <f t="shared" si="439"/>
        <v>1</v>
      </c>
      <c r="AI1412">
        <f t="shared" si="440"/>
        <v>1</v>
      </c>
      <c r="AJ1412" s="9">
        <f t="shared" si="428"/>
        <v>6</v>
      </c>
      <c r="AK1412">
        <f t="shared" ref="AK1412:AK1435" si="441">IF(B1412&lt;&gt;B1411,1,0)</f>
        <v>0</v>
      </c>
      <c r="AL1412" s="9">
        <v>1</v>
      </c>
    </row>
    <row r="1413" spans="1:38" x14ac:dyDescent="0.35">
      <c r="A1413" s="50">
        <v>0</v>
      </c>
      <c r="B1413" s="9" t="s">
        <v>33</v>
      </c>
      <c r="C1413" s="53">
        <v>43886</v>
      </c>
      <c r="D1413" s="53">
        <v>43906</v>
      </c>
      <c r="E1413" s="53">
        <v>43962</v>
      </c>
      <c r="F1413" s="21">
        <f t="shared" si="430"/>
        <v>56</v>
      </c>
      <c r="G1413" s="53">
        <v>43906</v>
      </c>
      <c r="H1413" s="9">
        <v>2020</v>
      </c>
      <c r="I1413" s="50">
        <v>0</v>
      </c>
      <c r="J1413" s="9">
        <v>7</v>
      </c>
      <c r="K1413" s="9">
        <v>30</v>
      </c>
      <c r="L1413" s="50" t="s">
        <v>312</v>
      </c>
      <c r="M1413">
        <v>2</v>
      </c>
      <c r="N1413">
        <v>1</v>
      </c>
      <c r="O1413">
        <v>1</v>
      </c>
      <c r="P1413">
        <v>2</v>
      </c>
      <c r="Q1413">
        <v>2</v>
      </c>
      <c r="R1413">
        <v>-2</v>
      </c>
      <c r="S1413">
        <v>-2</v>
      </c>
      <c r="T1413">
        <v>2</v>
      </c>
      <c r="U1413">
        <v>1</v>
      </c>
      <c r="V1413" t="s">
        <v>954</v>
      </c>
      <c r="W1413" t="s">
        <v>989</v>
      </c>
      <c r="X1413" t="s">
        <v>997</v>
      </c>
      <c r="Y1413" t="s">
        <v>1000</v>
      </c>
      <c r="Z1413">
        <v>0</v>
      </c>
      <c r="AA1413">
        <f t="shared" si="432"/>
        <v>1</v>
      </c>
      <c r="AB1413">
        <f t="shared" si="433"/>
        <v>1</v>
      </c>
      <c r="AC1413">
        <f t="shared" si="434"/>
        <v>1</v>
      </c>
      <c r="AD1413">
        <f t="shared" si="435"/>
        <v>1</v>
      </c>
      <c r="AE1413">
        <f t="shared" si="436"/>
        <v>1</v>
      </c>
      <c r="AF1413">
        <f t="shared" si="437"/>
        <v>0</v>
      </c>
      <c r="AG1413">
        <f t="shared" si="438"/>
        <v>0</v>
      </c>
      <c r="AH1413">
        <f t="shared" si="439"/>
        <v>1</v>
      </c>
      <c r="AI1413">
        <f t="shared" si="440"/>
        <v>1</v>
      </c>
      <c r="AJ1413" s="9">
        <f t="shared" si="428"/>
        <v>30</v>
      </c>
      <c r="AK1413">
        <f t="shared" si="441"/>
        <v>0</v>
      </c>
      <c r="AL1413" s="9">
        <v>1</v>
      </c>
    </row>
    <row r="1414" spans="1:38" x14ac:dyDescent="0.35">
      <c r="A1414" s="50">
        <v>0</v>
      </c>
      <c r="B1414" s="9" t="s">
        <v>33</v>
      </c>
      <c r="C1414" s="53">
        <v>43886</v>
      </c>
      <c r="D1414" s="53">
        <v>43906</v>
      </c>
      <c r="E1414" s="53">
        <v>43962</v>
      </c>
      <c r="F1414" s="21">
        <f t="shared" si="430"/>
        <v>56</v>
      </c>
      <c r="G1414" s="53">
        <v>43906</v>
      </c>
      <c r="H1414" s="9">
        <v>2020</v>
      </c>
      <c r="I1414" s="50">
        <v>0</v>
      </c>
      <c r="J1414" s="9">
        <v>7</v>
      </c>
      <c r="K1414" s="9">
        <v>30</v>
      </c>
      <c r="L1414" s="50" t="s">
        <v>303</v>
      </c>
      <c r="M1414">
        <v>2</v>
      </c>
      <c r="N1414">
        <v>2</v>
      </c>
      <c r="O1414">
        <v>2</v>
      </c>
      <c r="P1414">
        <v>2</v>
      </c>
      <c r="Q1414">
        <v>2</v>
      </c>
      <c r="R1414">
        <v>2</v>
      </c>
      <c r="S1414">
        <v>2</v>
      </c>
      <c r="T1414">
        <v>2</v>
      </c>
      <c r="U1414">
        <v>1</v>
      </c>
      <c r="V1414" t="s">
        <v>954</v>
      </c>
      <c r="W1414" t="s">
        <v>989</v>
      </c>
      <c r="X1414" t="s">
        <v>997</v>
      </c>
      <c r="Y1414" t="s">
        <v>1000</v>
      </c>
      <c r="Z1414">
        <v>0</v>
      </c>
      <c r="AA1414">
        <f t="shared" si="432"/>
        <v>1</v>
      </c>
      <c r="AB1414">
        <f t="shared" si="433"/>
        <v>1</v>
      </c>
      <c r="AC1414">
        <f t="shared" si="434"/>
        <v>1</v>
      </c>
      <c r="AD1414">
        <f t="shared" si="435"/>
        <v>1</v>
      </c>
      <c r="AE1414">
        <f t="shared" si="436"/>
        <v>1</v>
      </c>
      <c r="AF1414">
        <f t="shared" si="437"/>
        <v>1</v>
      </c>
      <c r="AG1414">
        <f t="shared" si="438"/>
        <v>1</v>
      </c>
      <c r="AH1414">
        <f t="shared" si="439"/>
        <v>1</v>
      </c>
      <c r="AI1414">
        <f t="shared" si="440"/>
        <v>1</v>
      </c>
      <c r="AJ1414" s="9">
        <f t="shared" si="428"/>
        <v>30</v>
      </c>
      <c r="AK1414">
        <f t="shared" si="441"/>
        <v>0</v>
      </c>
      <c r="AL1414" s="9">
        <v>1</v>
      </c>
    </row>
    <row r="1415" spans="1:38" x14ac:dyDescent="0.35">
      <c r="A1415" s="50">
        <v>0</v>
      </c>
      <c r="B1415" s="9" t="s">
        <v>33</v>
      </c>
      <c r="C1415" s="53">
        <v>43886</v>
      </c>
      <c r="D1415" s="53">
        <v>43906</v>
      </c>
      <c r="E1415" s="53">
        <v>43962</v>
      </c>
      <c r="F1415" s="21">
        <f t="shared" si="430"/>
        <v>56</v>
      </c>
      <c r="G1415" s="53">
        <v>43906</v>
      </c>
      <c r="H1415" s="9">
        <v>2020</v>
      </c>
      <c r="I1415" s="50">
        <v>0</v>
      </c>
      <c r="J1415" s="9">
        <v>1</v>
      </c>
      <c r="K1415" s="9">
        <v>3</v>
      </c>
      <c r="L1415" s="50" t="s">
        <v>306</v>
      </c>
      <c r="M1415">
        <v>1</v>
      </c>
      <c r="N1415">
        <v>2</v>
      </c>
      <c r="O1415">
        <v>-2</v>
      </c>
      <c r="P1415">
        <v>-1</v>
      </c>
      <c r="Q1415">
        <v>1</v>
      </c>
      <c r="R1415">
        <v>1</v>
      </c>
      <c r="S1415">
        <v>1</v>
      </c>
      <c r="T1415">
        <v>-1</v>
      </c>
      <c r="U1415">
        <v>1</v>
      </c>
      <c r="V1415" t="s">
        <v>954</v>
      </c>
      <c r="W1415" t="s">
        <v>989</v>
      </c>
      <c r="X1415" t="s">
        <v>997</v>
      </c>
      <c r="Y1415" t="s">
        <v>1000</v>
      </c>
      <c r="Z1415">
        <v>0</v>
      </c>
      <c r="AA1415">
        <f t="shared" si="432"/>
        <v>1</v>
      </c>
      <c r="AB1415">
        <f t="shared" si="433"/>
        <v>1</v>
      </c>
      <c r="AC1415">
        <f t="shared" si="434"/>
        <v>0</v>
      </c>
      <c r="AD1415">
        <f t="shared" si="435"/>
        <v>0</v>
      </c>
      <c r="AE1415">
        <f t="shared" si="436"/>
        <v>1</v>
      </c>
      <c r="AF1415">
        <f t="shared" si="437"/>
        <v>1</v>
      </c>
      <c r="AG1415">
        <f t="shared" si="438"/>
        <v>1</v>
      </c>
      <c r="AH1415">
        <f t="shared" si="439"/>
        <v>0</v>
      </c>
      <c r="AI1415">
        <f t="shared" si="440"/>
        <v>1</v>
      </c>
      <c r="AJ1415" s="9">
        <f t="shared" si="428"/>
        <v>3</v>
      </c>
      <c r="AK1415">
        <f t="shared" si="441"/>
        <v>0</v>
      </c>
      <c r="AL1415" s="9">
        <v>1</v>
      </c>
    </row>
    <row r="1416" spans="1:38" x14ac:dyDescent="0.35">
      <c r="A1416" s="50">
        <v>0</v>
      </c>
      <c r="B1416" s="9" t="s">
        <v>33</v>
      </c>
      <c r="C1416" s="53">
        <v>43886</v>
      </c>
      <c r="D1416" s="53">
        <v>43906</v>
      </c>
      <c r="E1416" s="53">
        <v>43962</v>
      </c>
      <c r="F1416" s="21">
        <f t="shared" si="430"/>
        <v>56</v>
      </c>
      <c r="G1416" s="53">
        <v>43906</v>
      </c>
      <c r="H1416" s="9">
        <v>2020</v>
      </c>
      <c r="I1416" s="50">
        <v>0</v>
      </c>
      <c r="J1416" s="9">
        <v>6</v>
      </c>
      <c r="K1416" s="9">
        <v>26</v>
      </c>
      <c r="L1416" s="50" t="s">
        <v>305</v>
      </c>
      <c r="M1416">
        <v>1</v>
      </c>
      <c r="N1416">
        <v>1</v>
      </c>
      <c r="O1416">
        <v>-1</v>
      </c>
      <c r="P1416">
        <v>-1</v>
      </c>
      <c r="Q1416">
        <v>-2</v>
      </c>
      <c r="R1416">
        <v>1</v>
      </c>
      <c r="S1416">
        <v>1</v>
      </c>
      <c r="T1416">
        <v>-2</v>
      </c>
      <c r="U1416">
        <v>1</v>
      </c>
      <c r="V1416" t="s">
        <v>954</v>
      </c>
      <c r="W1416" t="s">
        <v>989</v>
      </c>
      <c r="X1416" t="s">
        <v>997</v>
      </c>
      <c r="Y1416" t="s">
        <v>1000</v>
      </c>
      <c r="Z1416">
        <v>0</v>
      </c>
      <c r="AA1416">
        <f t="shared" si="432"/>
        <v>1</v>
      </c>
      <c r="AB1416">
        <f t="shared" si="433"/>
        <v>1</v>
      </c>
      <c r="AC1416">
        <f t="shared" si="434"/>
        <v>0</v>
      </c>
      <c r="AD1416">
        <f t="shared" si="435"/>
        <v>0</v>
      </c>
      <c r="AE1416">
        <f t="shared" si="436"/>
        <v>0</v>
      </c>
      <c r="AF1416">
        <f t="shared" si="437"/>
        <v>1</v>
      </c>
      <c r="AG1416">
        <f t="shared" si="438"/>
        <v>1</v>
      </c>
      <c r="AH1416">
        <f t="shared" si="439"/>
        <v>0</v>
      </c>
      <c r="AI1416">
        <f t="shared" si="440"/>
        <v>1</v>
      </c>
      <c r="AJ1416" s="9">
        <f t="shared" si="428"/>
        <v>26</v>
      </c>
      <c r="AK1416">
        <f t="shared" si="441"/>
        <v>0</v>
      </c>
      <c r="AL1416" s="9">
        <v>1</v>
      </c>
    </row>
    <row r="1417" spans="1:38" x14ac:dyDescent="0.35">
      <c r="A1417" s="50">
        <v>0</v>
      </c>
      <c r="B1417" s="9" t="s">
        <v>33</v>
      </c>
      <c r="C1417" s="53">
        <v>43886</v>
      </c>
      <c r="D1417" s="53">
        <v>43906</v>
      </c>
      <c r="E1417" s="53">
        <v>43962</v>
      </c>
      <c r="F1417" s="21">
        <f t="shared" si="430"/>
        <v>56</v>
      </c>
      <c r="G1417" s="53">
        <v>43906</v>
      </c>
      <c r="H1417" s="9">
        <v>2020</v>
      </c>
      <c r="I1417" s="50">
        <v>0</v>
      </c>
      <c r="J1417" s="9">
        <v>6</v>
      </c>
      <c r="K1417" s="9">
        <v>26</v>
      </c>
      <c r="L1417" s="50" t="s">
        <v>319</v>
      </c>
      <c r="M1417">
        <v>2</v>
      </c>
      <c r="N1417">
        <v>1</v>
      </c>
      <c r="O1417">
        <v>-2</v>
      </c>
      <c r="P1417">
        <v>-2</v>
      </c>
      <c r="Q1417">
        <v>-2</v>
      </c>
      <c r="R1417">
        <v>1</v>
      </c>
      <c r="S1417">
        <v>1</v>
      </c>
      <c r="T1417">
        <v>2</v>
      </c>
      <c r="U1417">
        <v>1</v>
      </c>
      <c r="V1417" t="s">
        <v>954</v>
      </c>
      <c r="W1417" t="s">
        <v>989</v>
      </c>
      <c r="X1417" t="s">
        <v>997</v>
      </c>
      <c r="Y1417" t="s">
        <v>1000</v>
      </c>
      <c r="Z1417">
        <v>0</v>
      </c>
      <c r="AA1417">
        <f t="shared" si="432"/>
        <v>1</v>
      </c>
      <c r="AB1417">
        <f t="shared" si="433"/>
        <v>1</v>
      </c>
      <c r="AC1417">
        <f t="shared" si="434"/>
        <v>0</v>
      </c>
      <c r="AD1417">
        <f t="shared" si="435"/>
        <v>0</v>
      </c>
      <c r="AE1417">
        <f t="shared" si="436"/>
        <v>0</v>
      </c>
      <c r="AF1417">
        <f t="shared" si="437"/>
        <v>1</v>
      </c>
      <c r="AG1417">
        <f t="shared" si="438"/>
        <v>1</v>
      </c>
      <c r="AH1417">
        <f t="shared" si="439"/>
        <v>1</v>
      </c>
      <c r="AI1417">
        <f t="shared" si="440"/>
        <v>1</v>
      </c>
      <c r="AJ1417" s="9">
        <f t="shared" si="428"/>
        <v>26</v>
      </c>
      <c r="AK1417">
        <f t="shared" si="441"/>
        <v>0</v>
      </c>
      <c r="AL1417" s="9">
        <v>1</v>
      </c>
    </row>
    <row r="1418" spans="1:38" x14ac:dyDescent="0.35">
      <c r="A1418" s="50">
        <v>0</v>
      </c>
      <c r="B1418" s="9" t="s">
        <v>33</v>
      </c>
      <c r="C1418" s="53">
        <v>43886</v>
      </c>
      <c r="D1418" s="53">
        <v>43906</v>
      </c>
      <c r="E1418" s="53">
        <v>43962</v>
      </c>
      <c r="F1418" s="21">
        <f t="shared" si="430"/>
        <v>56</v>
      </c>
      <c r="G1418" s="53">
        <v>43906</v>
      </c>
      <c r="H1418" s="9">
        <v>2020</v>
      </c>
      <c r="I1418" s="50">
        <v>0</v>
      </c>
      <c r="J1418" s="9">
        <v>6</v>
      </c>
      <c r="K1418" s="9">
        <v>29</v>
      </c>
      <c r="L1418" s="50" t="s">
        <v>313</v>
      </c>
      <c r="M1418">
        <v>1</v>
      </c>
      <c r="N1418">
        <v>1</v>
      </c>
      <c r="O1418">
        <v>1</v>
      </c>
      <c r="P1418">
        <v>-1</v>
      </c>
      <c r="Q1418">
        <v>-2</v>
      </c>
      <c r="R1418">
        <v>1</v>
      </c>
      <c r="S1418">
        <v>1</v>
      </c>
      <c r="T1418">
        <v>-2</v>
      </c>
      <c r="U1418">
        <v>1</v>
      </c>
      <c r="V1418" t="s">
        <v>954</v>
      </c>
      <c r="W1418" t="s">
        <v>989</v>
      </c>
      <c r="X1418" t="s">
        <v>997</v>
      </c>
      <c r="Y1418" t="s">
        <v>1000</v>
      </c>
      <c r="Z1418">
        <v>0</v>
      </c>
      <c r="AA1418">
        <f t="shared" si="432"/>
        <v>1</v>
      </c>
      <c r="AB1418">
        <f t="shared" si="433"/>
        <v>1</v>
      </c>
      <c r="AC1418">
        <f t="shared" si="434"/>
        <v>1</v>
      </c>
      <c r="AD1418">
        <f t="shared" si="435"/>
        <v>0</v>
      </c>
      <c r="AE1418">
        <f t="shared" si="436"/>
        <v>0</v>
      </c>
      <c r="AF1418">
        <f t="shared" si="437"/>
        <v>1</v>
      </c>
      <c r="AG1418">
        <f t="shared" si="438"/>
        <v>1</v>
      </c>
      <c r="AH1418">
        <f t="shared" si="439"/>
        <v>0</v>
      </c>
      <c r="AI1418">
        <f t="shared" si="440"/>
        <v>1</v>
      </c>
      <c r="AJ1418" s="9">
        <f t="shared" si="428"/>
        <v>29</v>
      </c>
      <c r="AK1418">
        <f t="shared" si="441"/>
        <v>0</v>
      </c>
      <c r="AL1418" s="9">
        <v>1</v>
      </c>
    </row>
    <row r="1419" spans="1:38" x14ac:dyDescent="0.35">
      <c r="A1419" s="50">
        <v>0</v>
      </c>
      <c r="B1419" s="9" t="s">
        <v>33</v>
      </c>
      <c r="C1419" s="53">
        <v>43886</v>
      </c>
      <c r="D1419" s="53">
        <v>43906</v>
      </c>
      <c r="E1419" s="53">
        <v>43962</v>
      </c>
      <c r="F1419" s="21">
        <f t="shared" si="430"/>
        <v>56</v>
      </c>
      <c r="G1419" s="53">
        <v>43906</v>
      </c>
      <c r="H1419" s="9">
        <v>2020</v>
      </c>
      <c r="I1419" s="50">
        <v>0</v>
      </c>
      <c r="J1419" s="9">
        <v>7</v>
      </c>
      <c r="K1419" s="9">
        <v>30</v>
      </c>
      <c r="L1419" s="50" t="s">
        <v>321</v>
      </c>
      <c r="M1419">
        <v>1</v>
      </c>
      <c r="N1419">
        <v>1</v>
      </c>
      <c r="O1419">
        <v>1</v>
      </c>
      <c r="Q1419">
        <v>1</v>
      </c>
      <c r="R1419">
        <v>1</v>
      </c>
      <c r="S1419">
        <v>1</v>
      </c>
      <c r="T1419">
        <v>2</v>
      </c>
      <c r="U1419">
        <v>1</v>
      </c>
      <c r="V1419" t="s">
        <v>954</v>
      </c>
      <c r="W1419" t="s">
        <v>989</v>
      </c>
      <c r="X1419" t="s">
        <v>997</v>
      </c>
      <c r="Y1419" t="s">
        <v>1000</v>
      </c>
      <c r="Z1419">
        <v>0</v>
      </c>
      <c r="AA1419">
        <f t="shared" si="432"/>
        <v>1</v>
      </c>
      <c r="AB1419">
        <f t="shared" si="433"/>
        <v>1</v>
      </c>
      <c r="AC1419">
        <f t="shared" si="434"/>
        <v>1</v>
      </c>
      <c r="AD1419">
        <f t="shared" si="435"/>
        <v>-1</v>
      </c>
      <c r="AE1419">
        <f t="shared" si="436"/>
        <v>1</v>
      </c>
      <c r="AF1419">
        <f t="shared" si="437"/>
        <v>1</v>
      </c>
      <c r="AG1419">
        <f t="shared" si="438"/>
        <v>1</v>
      </c>
      <c r="AH1419">
        <f t="shared" si="439"/>
        <v>1</v>
      </c>
      <c r="AI1419">
        <f t="shared" si="440"/>
        <v>1</v>
      </c>
      <c r="AJ1419" s="9">
        <f t="shared" si="428"/>
        <v>30</v>
      </c>
      <c r="AK1419">
        <f t="shared" si="441"/>
        <v>0</v>
      </c>
      <c r="AL1419" s="9">
        <v>1</v>
      </c>
    </row>
    <row r="1420" spans="1:38" x14ac:dyDescent="0.35">
      <c r="A1420" s="50">
        <v>0</v>
      </c>
      <c r="B1420" s="9" t="s">
        <v>33</v>
      </c>
      <c r="C1420" s="53">
        <v>43886</v>
      </c>
      <c r="D1420" s="53">
        <v>43906</v>
      </c>
      <c r="E1420" s="53">
        <v>43962</v>
      </c>
      <c r="F1420" s="21">
        <f t="shared" si="430"/>
        <v>56</v>
      </c>
      <c r="G1420" s="53">
        <v>43906</v>
      </c>
      <c r="H1420" s="9">
        <v>2020</v>
      </c>
      <c r="I1420" s="50">
        <v>0</v>
      </c>
      <c r="J1420" s="9">
        <v>1</v>
      </c>
      <c r="K1420" s="9">
        <v>6</v>
      </c>
      <c r="L1420" s="50" t="s">
        <v>311</v>
      </c>
      <c r="M1420">
        <v>-2</v>
      </c>
      <c r="N1420">
        <v>2</v>
      </c>
      <c r="O1420">
        <v>2</v>
      </c>
      <c r="P1420">
        <v>2</v>
      </c>
      <c r="Q1420">
        <v>2</v>
      </c>
      <c r="R1420">
        <v>2</v>
      </c>
      <c r="S1420">
        <v>1</v>
      </c>
      <c r="T1420">
        <v>2</v>
      </c>
      <c r="U1420">
        <v>1</v>
      </c>
      <c r="V1420" t="s">
        <v>954</v>
      </c>
      <c r="W1420" t="s">
        <v>989</v>
      </c>
      <c r="X1420" t="s">
        <v>997</v>
      </c>
      <c r="Y1420" t="s">
        <v>1000</v>
      </c>
      <c r="Z1420">
        <v>0</v>
      </c>
      <c r="AA1420">
        <f t="shared" si="432"/>
        <v>0</v>
      </c>
      <c r="AB1420">
        <f t="shared" si="433"/>
        <v>1</v>
      </c>
      <c r="AC1420">
        <f t="shared" si="434"/>
        <v>1</v>
      </c>
      <c r="AD1420">
        <f t="shared" si="435"/>
        <v>1</v>
      </c>
      <c r="AE1420">
        <f t="shared" si="436"/>
        <v>1</v>
      </c>
      <c r="AF1420">
        <f t="shared" si="437"/>
        <v>1</v>
      </c>
      <c r="AG1420">
        <f t="shared" si="438"/>
        <v>1</v>
      </c>
      <c r="AH1420">
        <f t="shared" si="439"/>
        <v>1</v>
      </c>
      <c r="AI1420">
        <f t="shared" si="440"/>
        <v>1</v>
      </c>
      <c r="AJ1420" s="9">
        <f t="shared" si="428"/>
        <v>6</v>
      </c>
      <c r="AK1420">
        <f t="shared" si="441"/>
        <v>0</v>
      </c>
      <c r="AL1420" s="9">
        <v>1</v>
      </c>
    </row>
    <row r="1421" spans="1:38" x14ac:dyDescent="0.35">
      <c r="A1421" s="50">
        <v>0</v>
      </c>
      <c r="B1421" s="9" t="s">
        <v>33</v>
      </c>
      <c r="C1421" s="53">
        <v>43886</v>
      </c>
      <c r="D1421" s="53">
        <v>43906</v>
      </c>
      <c r="E1421" s="53">
        <v>43962</v>
      </c>
      <c r="F1421" s="21">
        <f t="shared" si="430"/>
        <v>56</v>
      </c>
      <c r="G1421" s="53">
        <v>43906</v>
      </c>
      <c r="H1421" s="9">
        <v>2020</v>
      </c>
      <c r="I1421" s="50">
        <v>0</v>
      </c>
      <c r="J1421" s="9">
        <v>7</v>
      </c>
      <c r="K1421" s="9">
        <v>30</v>
      </c>
      <c r="L1421" s="50" t="s">
        <v>304</v>
      </c>
      <c r="M1421">
        <v>1</v>
      </c>
      <c r="N1421">
        <v>1</v>
      </c>
      <c r="O1421">
        <v>1</v>
      </c>
      <c r="P1421">
        <v>1</v>
      </c>
      <c r="Q1421">
        <v>1</v>
      </c>
      <c r="R1421">
        <v>1</v>
      </c>
      <c r="S1421">
        <v>1</v>
      </c>
      <c r="T1421">
        <v>1</v>
      </c>
      <c r="U1421">
        <v>1</v>
      </c>
      <c r="V1421" t="s">
        <v>954</v>
      </c>
      <c r="W1421" t="s">
        <v>989</v>
      </c>
      <c r="X1421" t="s">
        <v>997</v>
      </c>
      <c r="Y1421" t="s">
        <v>1000</v>
      </c>
      <c r="Z1421">
        <v>0</v>
      </c>
      <c r="AA1421">
        <f t="shared" si="432"/>
        <v>1</v>
      </c>
      <c r="AB1421">
        <f t="shared" si="433"/>
        <v>1</v>
      </c>
      <c r="AC1421">
        <f t="shared" si="434"/>
        <v>1</v>
      </c>
      <c r="AD1421">
        <f t="shared" si="435"/>
        <v>1</v>
      </c>
      <c r="AE1421">
        <f t="shared" si="436"/>
        <v>1</v>
      </c>
      <c r="AF1421">
        <f t="shared" si="437"/>
        <v>1</v>
      </c>
      <c r="AG1421">
        <f t="shared" si="438"/>
        <v>1</v>
      </c>
      <c r="AH1421">
        <f t="shared" si="439"/>
        <v>1</v>
      </c>
      <c r="AI1421">
        <f t="shared" si="440"/>
        <v>1</v>
      </c>
      <c r="AJ1421" s="9">
        <f t="shared" si="428"/>
        <v>30</v>
      </c>
      <c r="AK1421">
        <f t="shared" si="441"/>
        <v>0</v>
      </c>
      <c r="AL1421" s="9">
        <v>1</v>
      </c>
    </row>
    <row r="1422" spans="1:38" x14ac:dyDescent="0.35">
      <c r="A1422" s="50">
        <v>0</v>
      </c>
      <c r="B1422" s="9" t="s">
        <v>33</v>
      </c>
      <c r="C1422" s="53">
        <v>43886</v>
      </c>
      <c r="D1422" s="53">
        <v>43906</v>
      </c>
      <c r="E1422" s="53">
        <v>43962</v>
      </c>
      <c r="F1422" s="21">
        <f t="shared" si="430"/>
        <v>56</v>
      </c>
      <c r="G1422" s="53">
        <v>43906</v>
      </c>
      <c r="H1422" s="9">
        <v>2020</v>
      </c>
      <c r="I1422" s="50">
        <v>0</v>
      </c>
      <c r="J1422" s="9">
        <v>7</v>
      </c>
      <c r="K1422" s="9">
        <v>30</v>
      </c>
      <c r="L1422" s="50" t="s">
        <v>310</v>
      </c>
      <c r="M1422">
        <v>1</v>
      </c>
      <c r="N1422">
        <v>1</v>
      </c>
      <c r="O1422">
        <v>1</v>
      </c>
      <c r="P1422">
        <v>1</v>
      </c>
      <c r="Q1422">
        <v>1</v>
      </c>
      <c r="R1422">
        <v>1</v>
      </c>
      <c r="S1422">
        <v>1</v>
      </c>
      <c r="T1422">
        <v>-2</v>
      </c>
      <c r="U1422">
        <v>1</v>
      </c>
      <c r="V1422" t="s">
        <v>954</v>
      </c>
      <c r="W1422" t="s">
        <v>989</v>
      </c>
      <c r="X1422" t="s">
        <v>997</v>
      </c>
      <c r="Y1422" t="s">
        <v>1000</v>
      </c>
      <c r="Z1422">
        <v>0</v>
      </c>
      <c r="AA1422">
        <f t="shared" si="432"/>
        <v>1</v>
      </c>
      <c r="AB1422">
        <f t="shared" si="433"/>
        <v>1</v>
      </c>
      <c r="AC1422">
        <f t="shared" si="434"/>
        <v>1</v>
      </c>
      <c r="AD1422">
        <f t="shared" si="435"/>
        <v>1</v>
      </c>
      <c r="AE1422">
        <f t="shared" si="436"/>
        <v>1</v>
      </c>
      <c r="AF1422">
        <f t="shared" si="437"/>
        <v>1</v>
      </c>
      <c r="AG1422">
        <f t="shared" si="438"/>
        <v>1</v>
      </c>
      <c r="AH1422">
        <f t="shared" si="439"/>
        <v>0</v>
      </c>
      <c r="AI1422">
        <f t="shared" si="440"/>
        <v>1</v>
      </c>
      <c r="AJ1422" s="9">
        <f t="shared" si="428"/>
        <v>30</v>
      </c>
      <c r="AK1422">
        <f t="shared" si="441"/>
        <v>0</v>
      </c>
      <c r="AL1422" s="9">
        <v>1</v>
      </c>
    </row>
    <row r="1423" spans="1:38" x14ac:dyDescent="0.35">
      <c r="A1423" s="50">
        <v>0</v>
      </c>
      <c r="B1423" s="9" t="s">
        <v>33</v>
      </c>
      <c r="C1423" s="53">
        <v>43886</v>
      </c>
      <c r="D1423" s="53">
        <v>43906</v>
      </c>
      <c r="E1423" s="53">
        <v>43962</v>
      </c>
      <c r="F1423" s="21">
        <f t="shared" si="430"/>
        <v>56</v>
      </c>
      <c r="G1423" s="53">
        <v>43906</v>
      </c>
      <c r="H1423" s="9">
        <v>2020</v>
      </c>
      <c r="I1423" s="50">
        <v>0</v>
      </c>
      <c r="J1423" s="9">
        <v>9</v>
      </c>
      <c r="K1423" s="9">
        <v>34</v>
      </c>
      <c r="L1423" s="50" t="s">
        <v>316</v>
      </c>
      <c r="M1423">
        <v>2</v>
      </c>
      <c r="N1423">
        <v>2</v>
      </c>
      <c r="O1423">
        <v>-2</v>
      </c>
      <c r="P1423">
        <v>-1</v>
      </c>
      <c r="Q1423">
        <v>-2</v>
      </c>
      <c r="R1423">
        <v>2</v>
      </c>
      <c r="S1423">
        <v>2</v>
      </c>
      <c r="T1423">
        <v>2</v>
      </c>
      <c r="U1423">
        <v>1</v>
      </c>
      <c r="V1423" t="s">
        <v>954</v>
      </c>
      <c r="W1423" t="s">
        <v>989</v>
      </c>
      <c r="X1423" t="s">
        <v>997</v>
      </c>
      <c r="Y1423" t="s">
        <v>1000</v>
      </c>
      <c r="Z1423">
        <v>0</v>
      </c>
      <c r="AA1423">
        <f t="shared" si="432"/>
        <v>1</v>
      </c>
      <c r="AB1423">
        <f t="shared" si="433"/>
        <v>1</v>
      </c>
      <c r="AC1423">
        <f t="shared" si="434"/>
        <v>0</v>
      </c>
      <c r="AD1423">
        <f t="shared" si="435"/>
        <v>0</v>
      </c>
      <c r="AE1423">
        <f t="shared" si="436"/>
        <v>0</v>
      </c>
      <c r="AF1423">
        <f t="shared" si="437"/>
        <v>1</v>
      </c>
      <c r="AG1423">
        <f t="shared" si="438"/>
        <v>1</v>
      </c>
      <c r="AH1423">
        <f t="shared" si="439"/>
        <v>1</v>
      </c>
      <c r="AI1423">
        <f t="shared" si="440"/>
        <v>1</v>
      </c>
      <c r="AJ1423" s="9">
        <f t="shared" si="428"/>
        <v>34</v>
      </c>
      <c r="AK1423">
        <f t="shared" si="441"/>
        <v>0</v>
      </c>
      <c r="AL1423" s="9">
        <v>1</v>
      </c>
    </row>
    <row r="1424" spans="1:38" x14ac:dyDescent="0.35">
      <c r="A1424" s="50">
        <v>0</v>
      </c>
      <c r="B1424" s="9" t="s">
        <v>33</v>
      </c>
      <c r="C1424" s="53">
        <v>43886</v>
      </c>
      <c r="D1424" s="53">
        <v>43906</v>
      </c>
      <c r="E1424" s="53">
        <v>43962</v>
      </c>
      <c r="F1424" s="21">
        <f t="shared" si="430"/>
        <v>56</v>
      </c>
      <c r="G1424" s="53">
        <v>43906</v>
      </c>
      <c r="H1424" s="9">
        <v>2020</v>
      </c>
      <c r="I1424" s="50">
        <v>0</v>
      </c>
      <c r="J1424" s="9">
        <v>6</v>
      </c>
      <c r="K1424" s="9">
        <v>26</v>
      </c>
      <c r="L1424" s="50" t="s">
        <v>314</v>
      </c>
      <c r="M1424">
        <v>1</v>
      </c>
      <c r="N1424">
        <v>2</v>
      </c>
      <c r="O1424">
        <v>-2</v>
      </c>
      <c r="P1424">
        <v>-2</v>
      </c>
      <c r="Q1424">
        <v>-2</v>
      </c>
      <c r="R1424">
        <v>-2</v>
      </c>
      <c r="S1424">
        <v>-2</v>
      </c>
      <c r="T1424">
        <v>2</v>
      </c>
      <c r="U1424">
        <v>1</v>
      </c>
      <c r="V1424" t="s">
        <v>954</v>
      </c>
      <c r="W1424" t="s">
        <v>989</v>
      </c>
      <c r="X1424" t="s">
        <v>997</v>
      </c>
      <c r="Y1424" t="s">
        <v>1000</v>
      </c>
      <c r="Z1424">
        <v>0</v>
      </c>
      <c r="AA1424">
        <f t="shared" si="432"/>
        <v>1</v>
      </c>
      <c r="AB1424">
        <f t="shared" si="433"/>
        <v>1</v>
      </c>
      <c r="AC1424">
        <f t="shared" si="434"/>
        <v>0</v>
      </c>
      <c r="AD1424">
        <f t="shared" si="435"/>
        <v>0</v>
      </c>
      <c r="AE1424">
        <f t="shared" si="436"/>
        <v>0</v>
      </c>
      <c r="AF1424">
        <f t="shared" si="437"/>
        <v>0</v>
      </c>
      <c r="AG1424">
        <f t="shared" si="438"/>
        <v>0</v>
      </c>
      <c r="AH1424">
        <f t="shared" si="439"/>
        <v>1</v>
      </c>
      <c r="AI1424">
        <f t="shared" si="440"/>
        <v>1</v>
      </c>
      <c r="AJ1424" s="9">
        <f t="shared" si="428"/>
        <v>26</v>
      </c>
      <c r="AK1424">
        <f t="shared" si="441"/>
        <v>0</v>
      </c>
      <c r="AL1424" s="9">
        <v>1</v>
      </c>
    </row>
    <row r="1425" spans="1:38" x14ac:dyDescent="0.35">
      <c r="A1425" s="50">
        <v>0</v>
      </c>
      <c r="B1425" s="9" t="s">
        <v>33</v>
      </c>
      <c r="C1425" s="53">
        <v>43886</v>
      </c>
      <c r="D1425" s="53">
        <v>43906</v>
      </c>
      <c r="E1425" s="53">
        <v>43962</v>
      </c>
      <c r="F1425" s="21">
        <f t="shared" si="430"/>
        <v>56</v>
      </c>
      <c r="G1425" s="53">
        <v>43906</v>
      </c>
      <c r="H1425" s="9">
        <v>2020</v>
      </c>
      <c r="I1425" s="50">
        <v>0</v>
      </c>
      <c r="J1425" s="9">
        <v>6</v>
      </c>
      <c r="K1425" s="9">
        <v>26</v>
      </c>
      <c r="L1425" s="50" t="s">
        <v>307</v>
      </c>
      <c r="M1425">
        <v>2</v>
      </c>
      <c r="N1425">
        <v>2</v>
      </c>
      <c r="O1425">
        <v>2</v>
      </c>
      <c r="P1425">
        <v>-1</v>
      </c>
      <c r="Q1425">
        <v>-2</v>
      </c>
      <c r="R1425">
        <v>-2</v>
      </c>
      <c r="S1425">
        <v>1</v>
      </c>
      <c r="T1425">
        <v>2</v>
      </c>
      <c r="U1425">
        <v>1</v>
      </c>
      <c r="V1425" t="s">
        <v>954</v>
      </c>
      <c r="W1425" t="s">
        <v>989</v>
      </c>
      <c r="X1425" t="s">
        <v>997</v>
      </c>
      <c r="Y1425" t="s">
        <v>1000</v>
      </c>
      <c r="Z1425">
        <v>0</v>
      </c>
      <c r="AA1425">
        <f t="shared" si="432"/>
        <v>1</v>
      </c>
      <c r="AB1425">
        <f t="shared" si="433"/>
        <v>1</v>
      </c>
      <c r="AC1425">
        <f t="shared" si="434"/>
        <v>1</v>
      </c>
      <c r="AD1425">
        <f t="shared" si="435"/>
        <v>0</v>
      </c>
      <c r="AE1425">
        <f t="shared" si="436"/>
        <v>0</v>
      </c>
      <c r="AF1425">
        <f t="shared" si="437"/>
        <v>0</v>
      </c>
      <c r="AG1425">
        <f t="shared" si="438"/>
        <v>1</v>
      </c>
      <c r="AH1425">
        <f t="shared" si="439"/>
        <v>1</v>
      </c>
      <c r="AI1425">
        <f t="shared" si="440"/>
        <v>1</v>
      </c>
      <c r="AJ1425" s="9">
        <f t="shared" si="428"/>
        <v>26</v>
      </c>
      <c r="AK1425">
        <f t="shared" si="441"/>
        <v>0</v>
      </c>
      <c r="AL1425" s="9">
        <v>1</v>
      </c>
    </row>
    <row r="1426" spans="1:38" x14ac:dyDescent="0.35">
      <c r="A1426" s="50">
        <v>0</v>
      </c>
      <c r="B1426" s="9" t="s">
        <v>33</v>
      </c>
      <c r="C1426" s="53">
        <v>43886</v>
      </c>
      <c r="D1426" s="53">
        <v>43906</v>
      </c>
      <c r="E1426" s="53">
        <v>43962</v>
      </c>
      <c r="F1426" s="21">
        <f t="shared" si="430"/>
        <v>56</v>
      </c>
      <c r="G1426" s="53">
        <v>43906</v>
      </c>
      <c r="H1426" s="9">
        <v>2020</v>
      </c>
      <c r="I1426" s="50">
        <v>0</v>
      </c>
      <c r="J1426" s="9">
        <v>7</v>
      </c>
      <c r="K1426" s="9" t="s">
        <v>201</v>
      </c>
      <c r="L1426" s="50" t="s">
        <v>2238</v>
      </c>
      <c r="N1426">
        <v>1</v>
      </c>
      <c r="O1426">
        <v>2</v>
      </c>
      <c r="P1426">
        <v>1</v>
      </c>
      <c r="Q1426">
        <v>1</v>
      </c>
      <c r="R1426">
        <v>-2</v>
      </c>
      <c r="S1426">
        <v>-1</v>
      </c>
      <c r="T1426">
        <v>-1</v>
      </c>
      <c r="U1426">
        <v>1</v>
      </c>
      <c r="V1426" t="s">
        <v>954</v>
      </c>
      <c r="W1426" t="s">
        <v>989</v>
      </c>
      <c r="X1426" t="s">
        <v>997</v>
      </c>
      <c r="Y1426" t="s">
        <v>1000</v>
      </c>
      <c r="Z1426">
        <v>0</v>
      </c>
      <c r="AA1426">
        <f t="shared" si="432"/>
        <v>-1</v>
      </c>
      <c r="AB1426">
        <f t="shared" si="433"/>
        <v>1</v>
      </c>
      <c r="AC1426">
        <f t="shared" si="434"/>
        <v>1</v>
      </c>
      <c r="AD1426">
        <f t="shared" si="435"/>
        <v>1</v>
      </c>
      <c r="AE1426">
        <f t="shared" si="436"/>
        <v>1</v>
      </c>
      <c r="AF1426">
        <f t="shared" si="437"/>
        <v>0</v>
      </c>
      <c r="AG1426">
        <f t="shared" si="438"/>
        <v>0</v>
      </c>
      <c r="AH1426">
        <f t="shared" si="439"/>
        <v>0</v>
      </c>
      <c r="AI1426">
        <f t="shared" si="440"/>
        <v>1</v>
      </c>
      <c r="AJ1426" s="9" t="str">
        <f t="shared" si="428"/>
        <v>Other</v>
      </c>
      <c r="AK1426">
        <f t="shared" si="441"/>
        <v>0</v>
      </c>
      <c r="AL1426" s="9">
        <v>1</v>
      </c>
    </row>
    <row r="1427" spans="1:38" x14ac:dyDescent="0.35">
      <c r="A1427" s="50">
        <v>0</v>
      </c>
      <c r="B1427" s="9" t="s">
        <v>33</v>
      </c>
      <c r="C1427" s="53">
        <v>43886</v>
      </c>
      <c r="D1427" s="53">
        <v>43906</v>
      </c>
      <c r="E1427" s="53">
        <v>43962</v>
      </c>
      <c r="F1427" s="21">
        <f t="shared" si="430"/>
        <v>56</v>
      </c>
      <c r="G1427" s="53">
        <v>43906</v>
      </c>
      <c r="H1427" s="9">
        <v>2020</v>
      </c>
      <c r="I1427" s="50">
        <v>0</v>
      </c>
      <c r="J1427" s="9">
        <v>7</v>
      </c>
      <c r="K1427" s="9">
        <v>30</v>
      </c>
      <c r="L1427" s="50" t="s">
        <v>322</v>
      </c>
      <c r="M1427">
        <v>1</v>
      </c>
      <c r="N1427">
        <v>1</v>
      </c>
      <c r="O1427">
        <v>1</v>
      </c>
      <c r="P1427">
        <v>1</v>
      </c>
      <c r="Q1427">
        <v>1</v>
      </c>
      <c r="R1427">
        <v>1</v>
      </c>
      <c r="S1427">
        <v>1</v>
      </c>
      <c r="T1427">
        <v>-2</v>
      </c>
      <c r="U1427">
        <v>1</v>
      </c>
      <c r="V1427" t="s">
        <v>954</v>
      </c>
      <c r="W1427" t="s">
        <v>989</v>
      </c>
      <c r="X1427" t="s">
        <v>997</v>
      </c>
      <c r="Y1427" t="s">
        <v>1000</v>
      </c>
      <c r="Z1427">
        <v>0</v>
      </c>
      <c r="AA1427">
        <f t="shared" si="432"/>
        <v>1</v>
      </c>
      <c r="AB1427">
        <f t="shared" si="433"/>
        <v>1</v>
      </c>
      <c r="AC1427">
        <f t="shared" si="434"/>
        <v>1</v>
      </c>
      <c r="AD1427">
        <f t="shared" si="435"/>
        <v>1</v>
      </c>
      <c r="AE1427">
        <f t="shared" si="436"/>
        <v>1</v>
      </c>
      <c r="AF1427">
        <f t="shared" si="437"/>
        <v>1</v>
      </c>
      <c r="AG1427">
        <f t="shared" si="438"/>
        <v>1</v>
      </c>
      <c r="AH1427">
        <f t="shared" si="439"/>
        <v>0</v>
      </c>
      <c r="AI1427">
        <f t="shared" si="440"/>
        <v>1</v>
      </c>
      <c r="AJ1427" s="9">
        <f t="shared" si="428"/>
        <v>30</v>
      </c>
      <c r="AK1427">
        <f>IF(B1427&lt;&gt;B1426,1,0)</f>
        <v>0</v>
      </c>
      <c r="AL1427" s="9">
        <v>1</v>
      </c>
    </row>
    <row r="1428" spans="1:38" x14ac:dyDescent="0.35">
      <c r="A1428" s="50">
        <v>0</v>
      </c>
      <c r="B1428" s="9" t="s">
        <v>33</v>
      </c>
      <c r="C1428" s="53">
        <v>43886</v>
      </c>
      <c r="D1428" s="53">
        <v>43906</v>
      </c>
      <c r="E1428" s="53">
        <v>43962</v>
      </c>
      <c r="F1428" s="21">
        <f t="shared" si="430"/>
        <v>56</v>
      </c>
      <c r="G1428" s="53">
        <v>43906</v>
      </c>
      <c r="H1428" s="9">
        <v>2020</v>
      </c>
      <c r="I1428" s="50">
        <v>0</v>
      </c>
      <c r="J1428" s="9">
        <v>1</v>
      </c>
      <c r="K1428" s="9" t="s">
        <v>206</v>
      </c>
      <c r="L1428" s="50" t="s">
        <v>315</v>
      </c>
      <c r="M1428">
        <v>-2</v>
      </c>
      <c r="N1428">
        <v>2</v>
      </c>
      <c r="O1428">
        <v>-2</v>
      </c>
      <c r="R1428">
        <v>2</v>
      </c>
      <c r="S1428">
        <v>2</v>
      </c>
      <c r="T1428">
        <v>2</v>
      </c>
      <c r="U1428">
        <v>1</v>
      </c>
      <c r="V1428" t="s">
        <v>954</v>
      </c>
      <c r="W1428" t="s">
        <v>989</v>
      </c>
      <c r="X1428" t="s">
        <v>997</v>
      </c>
      <c r="Y1428" t="s">
        <v>1000</v>
      </c>
      <c r="Z1428">
        <v>0</v>
      </c>
      <c r="AA1428">
        <f t="shared" si="432"/>
        <v>0</v>
      </c>
      <c r="AB1428">
        <f t="shared" si="433"/>
        <v>1</v>
      </c>
      <c r="AC1428">
        <f t="shared" si="434"/>
        <v>0</v>
      </c>
      <c r="AD1428">
        <f t="shared" si="435"/>
        <v>-1</v>
      </c>
      <c r="AE1428">
        <f t="shared" si="436"/>
        <v>-1</v>
      </c>
      <c r="AF1428">
        <f t="shared" si="437"/>
        <v>1</v>
      </c>
      <c r="AG1428">
        <f t="shared" si="438"/>
        <v>1</v>
      </c>
      <c r="AH1428">
        <f t="shared" si="439"/>
        <v>1</v>
      </c>
      <c r="AI1428">
        <f t="shared" si="440"/>
        <v>1</v>
      </c>
      <c r="AJ1428" s="9" t="str">
        <f t="shared" si="428"/>
        <v>Tax exemption/waiver/suspension</v>
      </c>
      <c r="AK1428">
        <f t="shared" si="441"/>
        <v>0</v>
      </c>
      <c r="AL1428" s="9">
        <v>1</v>
      </c>
    </row>
    <row r="1429" spans="1:38" x14ac:dyDescent="0.35">
      <c r="A1429" s="50">
        <v>0</v>
      </c>
      <c r="B1429" s="9" t="s">
        <v>33</v>
      </c>
      <c r="C1429" s="53">
        <v>43886</v>
      </c>
      <c r="D1429" s="53">
        <v>43906</v>
      </c>
      <c r="E1429" s="53">
        <v>43962</v>
      </c>
      <c r="F1429" s="21">
        <f t="shared" si="430"/>
        <v>56</v>
      </c>
      <c r="G1429" s="53">
        <v>43906</v>
      </c>
      <c r="H1429" s="9">
        <v>2020</v>
      </c>
      <c r="I1429" s="50">
        <v>0</v>
      </c>
      <c r="J1429" s="9">
        <v>6</v>
      </c>
      <c r="K1429" s="9">
        <v>25</v>
      </c>
      <c r="L1429" s="50" t="s">
        <v>308</v>
      </c>
      <c r="M1429">
        <v>1</v>
      </c>
      <c r="N1429">
        <v>2</v>
      </c>
      <c r="O1429">
        <v>-2</v>
      </c>
      <c r="P1429">
        <v>-1</v>
      </c>
      <c r="Q1429">
        <v>-2</v>
      </c>
      <c r="R1429">
        <v>-2</v>
      </c>
      <c r="S1429">
        <v>2</v>
      </c>
      <c r="T1429">
        <v>-2</v>
      </c>
      <c r="U1429">
        <v>1</v>
      </c>
      <c r="V1429" t="s">
        <v>954</v>
      </c>
      <c r="W1429" t="s">
        <v>989</v>
      </c>
      <c r="X1429" t="s">
        <v>997</v>
      </c>
      <c r="Y1429" t="s">
        <v>1000</v>
      </c>
      <c r="Z1429">
        <v>0</v>
      </c>
      <c r="AA1429">
        <f t="shared" si="432"/>
        <v>1</v>
      </c>
      <c r="AB1429">
        <f t="shared" si="433"/>
        <v>1</v>
      </c>
      <c r="AC1429">
        <f t="shared" si="434"/>
        <v>0</v>
      </c>
      <c r="AD1429">
        <f t="shared" si="435"/>
        <v>0</v>
      </c>
      <c r="AE1429">
        <f t="shared" si="436"/>
        <v>0</v>
      </c>
      <c r="AF1429">
        <f t="shared" si="437"/>
        <v>0</v>
      </c>
      <c r="AG1429">
        <f t="shared" si="438"/>
        <v>1</v>
      </c>
      <c r="AH1429">
        <f t="shared" si="439"/>
        <v>0</v>
      </c>
      <c r="AI1429">
        <f t="shared" si="440"/>
        <v>1</v>
      </c>
      <c r="AJ1429" s="9">
        <f t="shared" si="428"/>
        <v>25</v>
      </c>
      <c r="AK1429">
        <f t="shared" si="441"/>
        <v>0</v>
      </c>
      <c r="AL1429" s="9">
        <v>1</v>
      </c>
    </row>
    <row r="1430" spans="1:38" x14ac:dyDescent="0.35">
      <c r="A1430" s="50">
        <v>0</v>
      </c>
      <c r="B1430" s="9" t="s">
        <v>33</v>
      </c>
      <c r="C1430" s="53">
        <v>43886</v>
      </c>
      <c r="D1430" s="53">
        <v>43906</v>
      </c>
      <c r="E1430" s="53">
        <v>43962</v>
      </c>
      <c r="F1430" s="21">
        <f t="shared" si="430"/>
        <v>56</v>
      </c>
      <c r="G1430" s="53">
        <v>43906</v>
      </c>
      <c r="H1430" s="9">
        <v>2020</v>
      </c>
      <c r="I1430" s="50">
        <v>0</v>
      </c>
      <c r="J1430" s="9">
        <v>1</v>
      </c>
      <c r="K1430" s="9">
        <v>7</v>
      </c>
      <c r="L1430" s="50" t="s">
        <v>320</v>
      </c>
      <c r="M1430">
        <v>-2</v>
      </c>
      <c r="N1430">
        <v>2</v>
      </c>
      <c r="O1430">
        <v>-2</v>
      </c>
      <c r="P1430">
        <v>-1</v>
      </c>
      <c r="Q1430">
        <v>-2</v>
      </c>
      <c r="R1430">
        <v>2</v>
      </c>
      <c r="S1430">
        <v>2</v>
      </c>
      <c r="T1430">
        <v>2</v>
      </c>
      <c r="U1430">
        <v>1</v>
      </c>
      <c r="V1430" t="s">
        <v>954</v>
      </c>
      <c r="W1430" t="s">
        <v>989</v>
      </c>
      <c r="X1430" t="s">
        <v>997</v>
      </c>
      <c r="Y1430" t="s">
        <v>1000</v>
      </c>
      <c r="Z1430">
        <v>0</v>
      </c>
      <c r="AA1430">
        <f t="shared" si="432"/>
        <v>0</v>
      </c>
      <c r="AB1430">
        <f t="shared" si="433"/>
        <v>1</v>
      </c>
      <c r="AC1430">
        <f t="shared" si="434"/>
        <v>0</v>
      </c>
      <c r="AD1430">
        <f t="shared" si="435"/>
        <v>0</v>
      </c>
      <c r="AE1430">
        <f t="shared" si="436"/>
        <v>0</v>
      </c>
      <c r="AF1430">
        <f t="shared" si="437"/>
        <v>1</v>
      </c>
      <c r="AG1430">
        <f t="shared" si="438"/>
        <v>1</v>
      </c>
      <c r="AH1430">
        <f t="shared" si="439"/>
        <v>1</v>
      </c>
      <c r="AI1430">
        <f t="shared" si="440"/>
        <v>1</v>
      </c>
      <c r="AJ1430" s="9">
        <f t="shared" si="428"/>
        <v>7</v>
      </c>
      <c r="AK1430">
        <f t="shared" si="441"/>
        <v>0</v>
      </c>
      <c r="AL1430" s="9">
        <v>0</v>
      </c>
    </row>
    <row r="1431" spans="1:38" x14ac:dyDescent="0.35">
      <c r="A1431" s="50">
        <v>0</v>
      </c>
      <c r="B1431" s="9" t="s">
        <v>33</v>
      </c>
      <c r="C1431" s="53">
        <v>43886</v>
      </c>
      <c r="D1431" s="53">
        <v>43906</v>
      </c>
      <c r="E1431" s="53">
        <v>43962</v>
      </c>
      <c r="F1431" s="21">
        <f t="shared" si="430"/>
        <v>56</v>
      </c>
      <c r="G1431" s="53">
        <v>43906</v>
      </c>
      <c r="H1431" s="9">
        <v>2020</v>
      </c>
      <c r="I1431" s="50">
        <v>0</v>
      </c>
      <c r="J1431" s="9">
        <v>6</v>
      </c>
      <c r="K1431" s="9">
        <v>26</v>
      </c>
      <c r="L1431" s="50" t="s">
        <v>318</v>
      </c>
      <c r="M1431">
        <v>1</v>
      </c>
      <c r="N1431">
        <v>1</v>
      </c>
      <c r="O1431">
        <v>-1</v>
      </c>
      <c r="P1431">
        <v>-1</v>
      </c>
      <c r="Q1431">
        <v>-2</v>
      </c>
      <c r="R1431">
        <v>1</v>
      </c>
      <c r="S1431">
        <v>1</v>
      </c>
      <c r="T1431">
        <v>2</v>
      </c>
      <c r="U1431">
        <v>1</v>
      </c>
      <c r="V1431" t="s">
        <v>954</v>
      </c>
      <c r="W1431" t="s">
        <v>989</v>
      </c>
      <c r="X1431" t="s">
        <v>997</v>
      </c>
      <c r="Y1431" t="s">
        <v>1000</v>
      </c>
      <c r="Z1431">
        <v>0</v>
      </c>
      <c r="AA1431">
        <f t="shared" si="432"/>
        <v>1</v>
      </c>
      <c r="AB1431">
        <f t="shared" si="433"/>
        <v>1</v>
      </c>
      <c r="AC1431">
        <f t="shared" si="434"/>
        <v>0</v>
      </c>
      <c r="AD1431">
        <f t="shared" si="435"/>
        <v>0</v>
      </c>
      <c r="AE1431">
        <f t="shared" si="436"/>
        <v>0</v>
      </c>
      <c r="AF1431">
        <f t="shared" si="437"/>
        <v>1</v>
      </c>
      <c r="AG1431">
        <f t="shared" si="438"/>
        <v>1</v>
      </c>
      <c r="AH1431">
        <f t="shared" si="439"/>
        <v>1</v>
      </c>
      <c r="AI1431">
        <f t="shared" si="440"/>
        <v>1</v>
      </c>
      <c r="AJ1431" s="9">
        <f t="shared" si="428"/>
        <v>26</v>
      </c>
      <c r="AK1431">
        <f t="shared" si="441"/>
        <v>0</v>
      </c>
      <c r="AL1431" s="9">
        <v>0</v>
      </c>
    </row>
    <row r="1432" spans="1:38" x14ac:dyDescent="0.35">
      <c r="A1432" s="50">
        <v>0</v>
      </c>
      <c r="B1432" s="50" t="s">
        <v>33</v>
      </c>
      <c r="C1432" s="53">
        <v>43886</v>
      </c>
      <c r="D1432" s="53">
        <v>43906</v>
      </c>
      <c r="E1432" s="53">
        <v>43962</v>
      </c>
      <c r="F1432" s="21">
        <f t="shared" si="430"/>
        <v>56</v>
      </c>
      <c r="G1432" s="53">
        <v>43906</v>
      </c>
      <c r="H1432" s="9">
        <v>2020</v>
      </c>
      <c r="I1432" s="50">
        <v>0</v>
      </c>
      <c r="J1432" s="50">
        <v>9</v>
      </c>
      <c r="K1432" s="50">
        <v>34</v>
      </c>
      <c r="L1432" s="24" t="s">
        <v>1861</v>
      </c>
      <c r="M1432" s="24"/>
      <c r="V1432" t="s">
        <v>954</v>
      </c>
      <c r="W1432" t="s">
        <v>989</v>
      </c>
      <c r="X1432" t="s">
        <v>997</v>
      </c>
      <c r="Y1432" t="s">
        <v>1000</v>
      </c>
      <c r="Z1432">
        <v>0</v>
      </c>
      <c r="AA1432">
        <v>-1</v>
      </c>
      <c r="AB1432">
        <v>-1</v>
      </c>
      <c r="AC1432">
        <v>-1</v>
      </c>
      <c r="AD1432">
        <v>-1</v>
      </c>
      <c r="AE1432">
        <v>-1</v>
      </c>
      <c r="AF1432">
        <v>-1</v>
      </c>
      <c r="AG1432">
        <v>-1</v>
      </c>
      <c r="AH1432">
        <v>-1</v>
      </c>
      <c r="AI1432">
        <v>-1</v>
      </c>
      <c r="AJ1432" s="9">
        <f t="shared" si="428"/>
        <v>34</v>
      </c>
      <c r="AK1432" t="e">
        <f>IF(B1432&lt;&gt;#REF!,1,0)</f>
        <v>#REF!</v>
      </c>
      <c r="AL1432" s="9">
        <v>0</v>
      </c>
    </row>
    <row r="1433" spans="1:38" x14ac:dyDescent="0.35">
      <c r="A1433" s="50">
        <v>0</v>
      </c>
      <c r="B1433" s="50" t="s">
        <v>33</v>
      </c>
      <c r="C1433" s="53">
        <v>43886</v>
      </c>
      <c r="D1433" s="53">
        <v>43906</v>
      </c>
      <c r="E1433" s="53">
        <v>43962</v>
      </c>
      <c r="F1433" s="21">
        <f t="shared" si="430"/>
        <v>56</v>
      </c>
      <c r="G1433" s="53">
        <v>43906</v>
      </c>
      <c r="H1433" s="9">
        <v>2020</v>
      </c>
      <c r="I1433" s="50">
        <v>0</v>
      </c>
      <c r="J1433" s="50">
        <v>9</v>
      </c>
      <c r="K1433" s="50">
        <v>34</v>
      </c>
      <c r="L1433" s="24" t="s">
        <v>1571</v>
      </c>
      <c r="M1433" s="24"/>
      <c r="V1433" t="s">
        <v>954</v>
      </c>
      <c r="W1433" t="s">
        <v>989</v>
      </c>
      <c r="X1433" t="s">
        <v>997</v>
      </c>
      <c r="Y1433" t="s">
        <v>1000</v>
      </c>
      <c r="Z1433">
        <v>0</v>
      </c>
      <c r="AA1433">
        <v>-1</v>
      </c>
      <c r="AB1433">
        <v>-1</v>
      </c>
      <c r="AC1433">
        <v>-1</v>
      </c>
      <c r="AD1433">
        <v>-1</v>
      </c>
      <c r="AE1433">
        <v>-1</v>
      </c>
      <c r="AF1433">
        <v>-1</v>
      </c>
      <c r="AG1433">
        <v>-1</v>
      </c>
      <c r="AH1433">
        <v>-1</v>
      </c>
      <c r="AI1433">
        <v>-1</v>
      </c>
      <c r="AJ1433" s="9">
        <f t="shared" si="428"/>
        <v>34</v>
      </c>
      <c r="AK1433">
        <f t="shared" si="441"/>
        <v>0</v>
      </c>
      <c r="AL1433" s="9">
        <v>0</v>
      </c>
    </row>
    <row r="1434" spans="1:38" x14ac:dyDescent="0.35">
      <c r="A1434" s="50">
        <v>0</v>
      </c>
      <c r="B1434" s="50" t="s">
        <v>33</v>
      </c>
      <c r="C1434" s="53">
        <v>43886</v>
      </c>
      <c r="D1434" s="53">
        <v>43906</v>
      </c>
      <c r="E1434" s="53">
        <v>43962</v>
      </c>
      <c r="F1434" s="21">
        <f t="shared" si="430"/>
        <v>56</v>
      </c>
      <c r="G1434" s="53">
        <v>43906</v>
      </c>
      <c r="H1434" s="9">
        <v>2020</v>
      </c>
      <c r="I1434" s="50">
        <v>0</v>
      </c>
      <c r="J1434" s="50">
        <v>5</v>
      </c>
      <c r="K1434" s="50" t="s">
        <v>204</v>
      </c>
      <c r="L1434" s="24" t="s">
        <v>1572</v>
      </c>
      <c r="M1434" s="24"/>
      <c r="V1434" t="s">
        <v>954</v>
      </c>
      <c r="W1434" t="s">
        <v>989</v>
      </c>
      <c r="X1434" t="s">
        <v>997</v>
      </c>
      <c r="Y1434" t="s">
        <v>1000</v>
      </c>
      <c r="Z1434">
        <v>0</v>
      </c>
      <c r="AA1434">
        <v>-1</v>
      </c>
      <c r="AB1434">
        <v>-1</v>
      </c>
      <c r="AC1434">
        <v>-1</v>
      </c>
      <c r="AD1434">
        <v>-1</v>
      </c>
      <c r="AE1434">
        <v>-1</v>
      </c>
      <c r="AF1434">
        <v>-1</v>
      </c>
      <c r="AG1434">
        <v>-1</v>
      </c>
      <c r="AH1434">
        <v>-1</v>
      </c>
      <c r="AI1434">
        <v>-1</v>
      </c>
      <c r="AJ1434" s="9" t="str">
        <f t="shared" si="428"/>
        <v>General</v>
      </c>
      <c r="AK1434">
        <f t="shared" si="441"/>
        <v>0</v>
      </c>
      <c r="AL1434" s="9">
        <v>0</v>
      </c>
    </row>
    <row r="1435" spans="1:38" x14ac:dyDescent="0.35">
      <c r="A1435" s="50">
        <v>0</v>
      </c>
      <c r="B1435" s="50" t="s">
        <v>33</v>
      </c>
      <c r="C1435" s="53">
        <v>43886</v>
      </c>
      <c r="D1435" s="53">
        <v>43906</v>
      </c>
      <c r="E1435" s="53">
        <v>43962</v>
      </c>
      <c r="F1435" s="21">
        <f t="shared" si="430"/>
        <v>56</v>
      </c>
      <c r="G1435" s="53">
        <v>43906</v>
      </c>
      <c r="H1435" s="9">
        <v>2020</v>
      </c>
      <c r="I1435" s="50">
        <v>0</v>
      </c>
      <c r="J1435" s="50">
        <v>4</v>
      </c>
      <c r="K1435" s="50">
        <v>20</v>
      </c>
      <c r="L1435" s="24" t="s">
        <v>1860</v>
      </c>
      <c r="M1435" s="24"/>
      <c r="V1435" t="s">
        <v>954</v>
      </c>
      <c r="W1435" t="s">
        <v>989</v>
      </c>
      <c r="X1435" t="s">
        <v>997</v>
      </c>
      <c r="Y1435" t="s">
        <v>1000</v>
      </c>
      <c r="Z1435">
        <v>0</v>
      </c>
      <c r="AA1435">
        <v>-1</v>
      </c>
      <c r="AB1435">
        <v>-1</v>
      </c>
      <c r="AC1435">
        <v>-1</v>
      </c>
      <c r="AD1435">
        <v>-1</v>
      </c>
      <c r="AE1435">
        <v>-1</v>
      </c>
      <c r="AF1435">
        <v>-1</v>
      </c>
      <c r="AG1435">
        <v>-1</v>
      </c>
      <c r="AH1435">
        <v>-1</v>
      </c>
      <c r="AI1435">
        <v>-1</v>
      </c>
      <c r="AJ1435" s="9">
        <f t="shared" si="428"/>
        <v>20</v>
      </c>
      <c r="AK1435">
        <f t="shared" si="441"/>
        <v>0</v>
      </c>
      <c r="AL1435" s="9">
        <v>0</v>
      </c>
    </row>
    <row r="1436" spans="1:38" x14ac:dyDescent="0.35">
      <c r="A1436" s="50">
        <v>0</v>
      </c>
      <c r="B1436" s="50" t="s">
        <v>33</v>
      </c>
      <c r="C1436" s="53">
        <v>43886</v>
      </c>
      <c r="D1436" s="53">
        <v>43906</v>
      </c>
      <c r="E1436" s="53">
        <v>43962</v>
      </c>
      <c r="F1436" s="21">
        <f t="shared" si="430"/>
        <v>56</v>
      </c>
      <c r="G1436" s="53">
        <v>43906</v>
      </c>
      <c r="H1436" s="9">
        <v>2020</v>
      </c>
      <c r="I1436" s="50">
        <v>0</v>
      </c>
      <c r="J1436" s="50">
        <v>1</v>
      </c>
      <c r="K1436" s="50">
        <v>9</v>
      </c>
      <c r="L1436" s="24" t="s">
        <v>1573</v>
      </c>
      <c r="M1436" s="24"/>
      <c r="V1436" t="s">
        <v>954</v>
      </c>
      <c r="W1436" t="s">
        <v>989</v>
      </c>
      <c r="X1436" t="s">
        <v>997</v>
      </c>
      <c r="Y1436" t="s">
        <v>1000</v>
      </c>
      <c r="Z1436">
        <v>0</v>
      </c>
      <c r="AA1436">
        <v>-1</v>
      </c>
      <c r="AB1436">
        <v>-1</v>
      </c>
      <c r="AC1436">
        <v>-1</v>
      </c>
      <c r="AD1436">
        <v>-1</v>
      </c>
      <c r="AE1436">
        <v>-1</v>
      </c>
      <c r="AF1436">
        <v>-1</v>
      </c>
      <c r="AG1436">
        <v>-1</v>
      </c>
      <c r="AH1436">
        <v>-1</v>
      </c>
      <c r="AI1436">
        <v>-1</v>
      </c>
      <c r="AJ1436" s="9">
        <f t="shared" si="428"/>
        <v>9</v>
      </c>
      <c r="AK1436" t="e">
        <f>IF(B1436&lt;&gt;#REF!,1,0)</f>
        <v>#REF!</v>
      </c>
      <c r="AL1436" s="9">
        <v>1</v>
      </c>
    </row>
    <row r="1437" spans="1:38" s="47" customFormat="1" x14ac:dyDescent="0.35">
      <c r="A1437" s="50">
        <v>0</v>
      </c>
      <c r="B1437" s="50" t="s">
        <v>33</v>
      </c>
      <c r="C1437" s="53">
        <v>43886</v>
      </c>
      <c r="D1437" s="53">
        <v>43906</v>
      </c>
      <c r="E1437" s="53">
        <v>43962</v>
      </c>
      <c r="F1437" s="21">
        <f t="shared" si="430"/>
        <v>56</v>
      </c>
      <c r="G1437" s="53">
        <v>43906</v>
      </c>
      <c r="H1437" s="9">
        <v>2021</v>
      </c>
      <c r="I1437" s="50">
        <v>0</v>
      </c>
      <c r="J1437" s="50">
        <v>7</v>
      </c>
      <c r="K1437" s="50">
        <v>30</v>
      </c>
      <c r="L1437" s="48" t="s">
        <v>1720</v>
      </c>
      <c r="M1437" s="48"/>
      <c r="V1437" t="s">
        <v>954</v>
      </c>
      <c r="AJ1437" s="47">
        <f t="shared" si="428"/>
        <v>30</v>
      </c>
    </row>
    <row r="1438" spans="1:38" s="47" customFormat="1" x14ac:dyDescent="0.35">
      <c r="A1438" s="50">
        <v>0</v>
      </c>
      <c r="B1438" s="50" t="s">
        <v>33</v>
      </c>
      <c r="C1438" s="53">
        <v>43886</v>
      </c>
      <c r="D1438" s="53">
        <v>43906</v>
      </c>
      <c r="E1438" s="53">
        <v>43962</v>
      </c>
      <c r="F1438" s="21">
        <f t="shared" ref="F1438:F1439" si="442">DATEDIF(D1438,E1438,"D")</f>
        <v>56</v>
      </c>
      <c r="G1438" s="53">
        <v>43906</v>
      </c>
      <c r="H1438" s="9">
        <v>2021</v>
      </c>
      <c r="I1438" s="50">
        <v>0</v>
      </c>
      <c r="J1438" s="50">
        <v>7</v>
      </c>
      <c r="K1438" s="50">
        <v>30</v>
      </c>
      <c r="L1438" s="48" t="s">
        <v>2109</v>
      </c>
      <c r="M1438" s="48"/>
      <c r="V1438"/>
      <c r="AJ1438" s="47">
        <f t="shared" si="428"/>
        <v>30</v>
      </c>
    </row>
    <row r="1439" spans="1:38" s="47" customFormat="1" x14ac:dyDescent="0.35">
      <c r="A1439" s="50">
        <v>0</v>
      </c>
      <c r="B1439" s="50" t="s">
        <v>33</v>
      </c>
      <c r="C1439" s="53">
        <v>43886</v>
      </c>
      <c r="D1439" s="53">
        <v>43906</v>
      </c>
      <c r="E1439" s="53">
        <v>43962</v>
      </c>
      <c r="F1439" s="21">
        <f t="shared" si="442"/>
        <v>56</v>
      </c>
      <c r="G1439" s="53">
        <v>43906</v>
      </c>
      <c r="H1439" s="9">
        <v>2021</v>
      </c>
      <c r="I1439" s="50">
        <v>0</v>
      </c>
      <c r="J1439" s="50">
        <v>6</v>
      </c>
      <c r="K1439" s="50">
        <v>29</v>
      </c>
      <c r="L1439" s="48" t="s">
        <v>2108</v>
      </c>
      <c r="M1439" s="48"/>
      <c r="V1439"/>
      <c r="AJ1439" s="47">
        <f t="shared" si="428"/>
        <v>29</v>
      </c>
    </row>
    <row r="1440" spans="1:38" x14ac:dyDescent="0.35">
      <c r="A1440" s="9">
        <v>1</v>
      </c>
      <c r="B1440" s="9" t="s">
        <v>181</v>
      </c>
      <c r="C1440" s="53">
        <v>43901</v>
      </c>
      <c r="D1440" s="53">
        <v>43911</v>
      </c>
      <c r="E1440" s="53">
        <v>43983</v>
      </c>
      <c r="F1440" s="21">
        <f t="shared" si="430"/>
        <v>72</v>
      </c>
      <c r="G1440" s="53">
        <v>43911</v>
      </c>
      <c r="H1440" s="9">
        <v>2020</v>
      </c>
      <c r="I1440" s="9">
        <v>1</v>
      </c>
      <c r="J1440" s="9">
        <v>6</v>
      </c>
      <c r="K1440" s="9">
        <v>25</v>
      </c>
      <c r="L1440" s="50" t="s">
        <v>898</v>
      </c>
      <c r="M1440">
        <v>2</v>
      </c>
      <c r="N1440">
        <v>2</v>
      </c>
      <c r="O1440">
        <v>-2</v>
      </c>
      <c r="P1440">
        <v>-1</v>
      </c>
      <c r="Q1440">
        <v>2</v>
      </c>
      <c r="R1440">
        <v>2</v>
      </c>
      <c r="S1440">
        <v>1</v>
      </c>
      <c r="T1440">
        <v>2</v>
      </c>
      <c r="U1440">
        <v>1</v>
      </c>
      <c r="V1440" t="s">
        <v>986</v>
      </c>
      <c r="W1440" t="s">
        <v>989</v>
      </c>
      <c r="X1440" t="s">
        <v>998</v>
      </c>
      <c r="Y1440" t="s">
        <v>1003</v>
      </c>
      <c r="Z1440">
        <v>1</v>
      </c>
      <c r="AA1440">
        <f t="shared" ref="AA1440:AA1463" si="443">IF(M1440&gt;0,1,IF(M1440&lt;0,0,-1))</f>
        <v>1</v>
      </c>
      <c r="AB1440">
        <f t="shared" ref="AB1440:AB1463" si="444">IF(N1440&gt;0,1,IF(N1440&lt;0,0,-1))</f>
        <v>1</v>
      </c>
      <c r="AC1440">
        <f t="shared" ref="AC1440:AC1463" si="445">IF(O1440&gt;0,1,IF(O1440&lt;0,0,-1))</f>
        <v>0</v>
      </c>
      <c r="AD1440">
        <f t="shared" ref="AD1440:AD1463" si="446">IF(P1440&gt;0,1,IF(P1440&lt;0,0,-1))</f>
        <v>0</v>
      </c>
      <c r="AE1440">
        <f t="shared" ref="AE1440:AE1463" si="447">IF(Q1440&gt;0,1,IF(Q1440&lt;0,0,-1))</f>
        <v>1</v>
      </c>
      <c r="AF1440">
        <f t="shared" ref="AF1440:AF1463" si="448">IF(R1440&gt;0,1,IF(R1440&lt;0,0,-1))</f>
        <v>1</v>
      </c>
      <c r="AG1440">
        <f t="shared" ref="AG1440:AG1463" si="449">IF(S1440&gt;0,1,IF(S1440&lt;0,0,-1))</f>
        <v>1</v>
      </c>
      <c r="AH1440">
        <f t="shared" ref="AH1440:AH1463" si="450">IF(T1440&gt;0,1,IF(T1440&lt;0,0,-1))</f>
        <v>1</v>
      </c>
      <c r="AI1440">
        <f t="shared" ref="AI1440:AI1463" si="451">IF(U1440&gt;0,1,IF(U1440&lt;0,0,-1))</f>
        <v>1</v>
      </c>
      <c r="AJ1440" s="9">
        <f t="shared" ref="AJ1440:AJ1466" si="452">IF(ISNUMBER(K1440),K1440,IF(OR(K1440="general",K1440="23;general"),"General",IF(OR(K1440="exemption",K1440="other (exemption)"),"Tax exemption/waiver/suspension","Other")))</f>
        <v>25</v>
      </c>
      <c r="AK1440" t="e">
        <f>IF(B1440&lt;&gt;#REF!,1,0)</f>
        <v>#REF!</v>
      </c>
      <c r="AL1440" s="9">
        <v>1</v>
      </c>
    </row>
    <row r="1441" spans="1:38" x14ac:dyDescent="0.35">
      <c r="A1441" s="9">
        <v>1</v>
      </c>
      <c r="B1441" s="9" t="s">
        <v>181</v>
      </c>
      <c r="C1441" s="53">
        <v>43901</v>
      </c>
      <c r="D1441" s="53">
        <v>43911</v>
      </c>
      <c r="E1441" s="53">
        <v>43983</v>
      </c>
      <c r="F1441" s="21">
        <f t="shared" si="430"/>
        <v>72</v>
      </c>
      <c r="G1441" s="53">
        <v>43911</v>
      </c>
      <c r="H1441" s="9">
        <v>2020</v>
      </c>
      <c r="I1441" s="9">
        <v>1</v>
      </c>
      <c r="J1441" s="9">
        <v>1</v>
      </c>
      <c r="K1441" s="9">
        <v>7</v>
      </c>
      <c r="L1441" s="50" t="s">
        <v>883</v>
      </c>
      <c r="M1441">
        <v>2</v>
      </c>
      <c r="N1441">
        <v>2</v>
      </c>
      <c r="O1441">
        <v>-2</v>
      </c>
      <c r="P1441">
        <v>-1</v>
      </c>
      <c r="Q1441">
        <v>-2</v>
      </c>
      <c r="R1441">
        <v>-2</v>
      </c>
      <c r="S1441">
        <v>2</v>
      </c>
      <c r="T1441">
        <v>2</v>
      </c>
      <c r="U1441">
        <v>1</v>
      </c>
      <c r="V1441" t="s">
        <v>986</v>
      </c>
      <c r="W1441" t="s">
        <v>989</v>
      </c>
      <c r="X1441" t="s">
        <v>998</v>
      </c>
      <c r="Y1441" t="s">
        <v>1003</v>
      </c>
      <c r="Z1441">
        <v>1</v>
      </c>
      <c r="AA1441">
        <f t="shared" si="443"/>
        <v>1</v>
      </c>
      <c r="AB1441">
        <f t="shared" si="444"/>
        <v>1</v>
      </c>
      <c r="AC1441">
        <f t="shared" si="445"/>
        <v>0</v>
      </c>
      <c r="AD1441">
        <f t="shared" si="446"/>
        <v>0</v>
      </c>
      <c r="AE1441">
        <f t="shared" si="447"/>
        <v>0</v>
      </c>
      <c r="AF1441">
        <f t="shared" si="448"/>
        <v>0</v>
      </c>
      <c r="AG1441">
        <f t="shared" si="449"/>
        <v>1</v>
      </c>
      <c r="AH1441">
        <f t="shared" si="450"/>
        <v>1</v>
      </c>
      <c r="AI1441">
        <f t="shared" si="451"/>
        <v>1</v>
      </c>
      <c r="AJ1441" s="9">
        <f t="shared" si="452"/>
        <v>7</v>
      </c>
      <c r="AK1441" t="e">
        <f>IF(B1441&lt;&gt;#REF!,1,0)</f>
        <v>#REF!</v>
      </c>
      <c r="AL1441" s="9">
        <v>1</v>
      </c>
    </row>
    <row r="1442" spans="1:38" x14ac:dyDescent="0.35">
      <c r="A1442" s="9">
        <v>1</v>
      </c>
      <c r="B1442" s="9" t="s">
        <v>181</v>
      </c>
      <c r="C1442" s="53">
        <v>43901</v>
      </c>
      <c r="D1442" s="53">
        <v>43911</v>
      </c>
      <c r="E1442" s="53">
        <v>43983</v>
      </c>
      <c r="F1442" s="21">
        <f t="shared" si="430"/>
        <v>72</v>
      </c>
      <c r="G1442" s="53">
        <v>43911</v>
      </c>
      <c r="H1442" s="9">
        <v>2020</v>
      </c>
      <c r="I1442" s="9">
        <v>1</v>
      </c>
      <c r="J1442" s="9">
        <v>2</v>
      </c>
      <c r="K1442" s="9">
        <v>13</v>
      </c>
      <c r="L1442" s="50" t="s">
        <v>886</v>
      </c>
      <c r="M1442">
        <v>-2</v>
      </c>
      <c r="N1442">
        <v>2</v>
      </c>
      <c r="O1442">
        <v>2</v>
      </c>
      <c r="P1442">
        <v>2</v>
      </c>
      <c r="Q1442">
        <v>2</v>
      </c>
      <c r="R1442">
        <v>2</v>
      </c>
      <c r="S1442">
        <v>1</v>
      </c>
      <c r="T1442">
        <v>2</v>
      </c>
      <c r="U1442">
        <v>1</v>
      </c>
      <c r="V1442" t="s">
        <v>986</v>
      </c>
      <c r="W1442" t="s">
        <v>989</v>
      </c>
      <c r="X1442" t="s">
        <v>998</v>
      </c>
      <c r="Y1442" t="s">
        <v>1003</v>
      </c>
      <c r="Z1442">
        <v>1</v>
      </c>
      <c r="AA1442">
        <f t="shared" si="443"/>
        <v>0</v>
      </c>
      <c r="AB1442">
        <f t="shared" si="444"/>
        <v>1</v>
      </c>
      <c r="AC1442">
        <f t="shared" si="445"/>
        <v>1</v>
      </c>
      <c r="AD1442">
        <f t="shared" si="446"/>
        <v>1</v>
      </c>
      <c r="AE1442">
        <f t="shared" si="447"/>
        <v>1</v>
      </c>
      <c r="AF1442">
        <f t="shared" si="448"/>
        <v>1</v>
      </c>
      <c r="AG1442">
        <f t="shared" si="449"/>
        <v>1</v>
      </c>
      <c r="AH1442">
        <f t="shared" si="450"/>
        <v>1</v>
      </c>
      <c r="AI1442">
        <f t="shared" si="451"/>
        <v>1</v>
      </c>
      <c r="AJ1442" s="9">
        <f t="shared" si="452"/>
        <v>13</v>
      </c>
      <c r="AK1442">
        <f t="shared" ref="AK1442:AK1473" si="453">IF(B1442&lt;&gt;B1441,1,0)</f>
        <v>0</v>
      </c>
      <c r="AL1442" s="9">
        <v>1</v>
      </c>
    </row>
    <row r="1443" spans="1:38" x14ac:dyDescent="0.35">
      <c r="A1443" s="9">
        <v>1</v>
      </c>
      <c r="B1443" s="9" t="s">
        <v>181</v>
      </c>
      <c r="C1443" s="53">
        <v>43901</v>
      </c>
      <c r="D1443" s="53">
        <v>43911</v>
      </c>
      <c r="E1443" s="53">
        <v>43983</v>
      </c>
      <c r="F1443" s="21">
        <f t="shared" si="430"/>
        <v>72</v>
      </c>
      <c r="G1443" s="53">
        <v>43911</v>
      </c>
      <c r="H1443" s="9">
        <v>2020</v>
      </c>
      <c r="I1443" s="9">
        <v>1</v>
      </c>
      <c r="J1443" s="9">
        <v>1</v>
      </c>
      <c r="K1443" s="9" t="s">
        <v>206</v>
      </c>
      <c r="L1443" s="50" t="s">
        <v>901</v>
      </c>
      <c r="M1443">
        <v>2</v>
      </c>
      <c r="N1443">
        <v>2</v>
      </c>
      <c r="O1443">
        <v>-2</v>
      </c>
      <c r="P1443">
        <v>-1</v>
      </c>
      <c r="Q1443">
        <v>-2</v>
      </c>
      <c r="R1443">
        <v>2</v>
      </c>
      <c r="S1443">
        <v>-2</v>
      </c>
      <c r="T1443">
        <v>-2</v>
      </c>
      <c r="U1443">
        <v>1</v>
      </c>
      <c r="V1443" t="s">
        <v>986</v>
      </c>
      <c r="W1443" t="s">
        <v>989</v>
      </c>
      <c r="X1443" t="s">
        <v>998</v>
      </c>
      <c r="Y1443" t="s">
        <v>1003</v>
      </c>
      <c r="Z1443">
        <v>1</v>
      </c>
      <c r="AA1443">
        <f t="shared" si="443"/>
        <v>1</v>
      </c>
      <c r="AB1443">
        <f t="shared" si="444"/>
        <v>1</v>
      </c>
      <c r="AC1443">
        <f t="shared" si="445"/>
        <v>0</v>
      </c>
      <c r="AD1443">
        <f t="shared" si="446"/>
        <v>0</v>
      </c>
      <c r="AE1443">
        <f t="shared" si="447"/>
        <v>0</v>
      </c>
      <c r="AF1443">
        <f t="shared" si="448"/>
        <v>1</v>
      </c>
      <c r="AG1443">
        <f t="shared" si="449"/>
        <v>0</v>
      </c>
      <c r="AH1443">
        <f t="shared" si="450"/>
        <v>0</v>
      </c>
      <c r="AI1443">
        <f t="shared" si="451"/>
        <v>1</v>
      </c>
      <c r="AJ1443" s="9" t="str">
        <f t="shared" si="452"/>
        <v>Tax exemption/waiver/suspension</v>
      </c>
      <c r="AK1443">
        <f t="shared" si="453"/>
        <v>0</v>
      </c>
      <c r="AL1443" s="9">
        <v>1</v>
      </c>
    </row>
    <row r="1444" spans="1:38" x14ac:dyDescent="0.35">
      <c r="A1444" s="9">
        <v>1</v>
      </c>
      <c r="B1444" s="9" t="s">
        <v>181</v>
      </c>
      <c r="C1444" s="53">
        <v>43901</v>
      </c>
      <c r="D1444" s="53">
        <v>43911</v>
      </c>
      <c r="E1444" s="53">
        <v>43983</v>
      </c>
      <c r="F1444" s="21">
        <f t="shared" si="430"/>
        <v>72</v>
      </c>
      <c r="G1444" s="53">
        <v>43911</v>
      </c>
      <c r="H1444" s="9">
        <v>2020</v>
      </c>
      <c r="I1444" s="9">
        <v>1</v>
      </c>
      <c r="J1444" s="9">
        <v>1</v>
      </c>
      <c r="K1444" s="9">
        <v>6</v>
      </c>
      <c r="L1444" s="50" t="s">
        <v>902</v>
      </c>
      <c r="M1444">
        <v>2</v>
      </c>
      <c r="N1444">
        <v>2</v>
      </c>
      <c r="O1444">
        <v>2</v>
      </c>
      <c r="P1444">
        <v>2</v>
      </c>
      <c r="Q1444">
        <v>2</v>
      </c>
      <c r="R1444">
        <v>2</v>
      </c>
      <c r="S1444">
        <v>2</v>
      </c>
      <c r="T1444">
        <v>2</v>
      </c>
      <c r="U1444">
        <v>1</v>
      </c>
      <c r="V1444" t="s">
        <v>986</v>
      </c>
      <c r="W1444" t="s">
        <v>989</v>
      </c>
      <c r="X1444" t="s">
        <v>998</v>
      </c>
      <c r="Y1444" t="s">
        <v>1003</v>
      </c>
      <c r="Z1444">
        <v>1</v>
      </c>
      <c r="AA1444">
        <f t="shared" si="443"/>
        <v>1</v>
      </c>
      <c r="AB1444">
        <f t="shared" si="444"/>
        <v>1</v>
      </c>
      <c r="AC1444">
        <f t="shared" si="445"/>
        <v>1</v>
      </c>
      <c r="AD1444">
        <f t="shared" si="446"/>
        <v>1</v>
      </c>
      <c r="AE1444">
        <f t="shared" si="447"/>
        <v>1</v>
      </c>
      <c r="AF1444">
        <f t="shared" si="448"/>
        <v>1</v>
      </c>
      <c r="AG1444">
        <f t="shared" si="449"/>
        <v>1</v>
      </c>
      <c r="AH1444">
        <f t="shared" si="450"/>
        <v>1</v>
      </c>
      <c r="AI1444">
        <f t="shared" si="451"/>
        <v>1</v>
      </c>
      <c r="AJ1444" s="9">
        <f t="shared" si="452"/>
        <v>6</v>
      </c>
      <c r="AK1444">
        <f t="shared" si="453"/>
        <v>0</v>
      </c>
      <c r="AL1444" s="9">
        <v>1</v>
      </c>
    </row>
    <row r="1445" spans="1:38" x14ac:dyDescent="0.35">
      <c r="A1445" s="9">
        <v>1</v>
      </c>
      <c r="B1445" s="9" t="s">
        <v>181</v>
      </c>
      <c r="C1445" s="53">
        <v>43901</v>
      </c>
      <c r="D1445" s="53">
        <v>43911</v>
      </c>
      <c r="E1445" s="53">
        <v>43983</v>
      </c>
      <c r="F1445" s="21">
        <f t="shared" si="430"/>
        <v>72</v>
      </c>
      <c r="G1445" s="53">
        <v>43911</v>
      </c>
      <c r="H1445" s="9">
        <v>2020</v>
      </c>
      <c r="I1445" s="9">
        <v>1</v>
      </c>
      <c r="J1445" s="9">
        <v>6</v>
      </c>
      <c r="K1445" s="9">
        <v>27</v>
      </c>
      <c r="L1445" s="50" t="s">
        <v>889</v>
      </c>
      <c r="M1445">
        <v>2</v>
      </c>
      <c r="N1445">
        <v>1</v>
      </c>
      <c r="O1445">
        <v>2</v>
      </c>
      <c r="P1445">
        <v>-1</v>
      </c>
      <c r="Q1445">
        <v>2</v>
      </c>
      <c r="R1445">
        <v>2</v>
      </c>
      <c r="S1445">
        <v>-2</v>
      </c>
      <c r="T1445">
        <v>1</v>
      </c>
      <c r="U1445">
        <v>1</v>
      </c>
      <c r="V1445" t="s">
        <v>986</v>
      </c>
      <c r="W1445" t="s">
        <v>989</v>
      </c>
      <c r="X1445" t="s">
        <v>998</v>
      </c>
      <c r="Y1445" t="s">
        <v>1003</v>
      </c>
      <c r="Z1445">
        <v>1</v>
      </c>
      <c r="AA1445">
        <f t="shared" si="443"/>
        <v>1</v>
      </c>
      <c r="AB1445">
        <f t="shared" si="444"/>
        <v>1</v>
      </c>
      <c r="AC1445">
        <f t="shared" si="445"/>
        <v>1</v>
      </c>
      <c r="AD1445">
        <f t="shared" si="446"/>
        <v>0</v>
      </c>
      <c r="AE1445">
        <f t="shared" si="447"/>
        <v>1</v>
      </c>
      <c r="AF1445">
        <f t="shared" si="448"/>
        <v>1</v>
      </c>
      <c r="AG1445">
        <f t="shared" si="449"/>
        <v>0</v>
      </c>
      <c r="AH1445">
        <f t="shared" si="450"/>
        <v>1</v>
      </c>
      <c r="AI1445">
        <f t="shared" si="451"/>
        <v>1</v>
      </c>
      <c r="AJ1445" s="9">
        <f t="shared" si="452"/>
        <v>27</v>
      </c>
      <c r="AK1445">
        <f t="shared" si="453"/>
        <v>0</v>
      </c>
      <c r="AL1445" s="9">
        <v>1</v>
      </c>
    </row>
    <row r="1446" spans="1:38" x14ac:dyDescent="0.35">
      <c r="A1446" s="9">
        <v>1</v>
      </c>
      <c r="B1446" s="9" t="s">
        <v>181</v>
      </c>
      <c r="C1446" s="53">
        <v>43901</v>
      </c>
      <c r="D1446" s="53">
        <v>43911</v>
      </c>
      <c r="E1446" s="53">
        <v>43983</v>
      </c>
      <c r="F1446" s="21">
        <f t="shared" si="430"/>
        <v>72</v>
      </c>
      <c r="G1446" s="53">
        <v>43911</v>
      </c>
      <c r="H1446" s="9">
        <v>2020</v>
      </c>
      <c r="I1446" s="9">
        <v>1</v>
      </c>
      <c r="J1446" s="9">
        <v>1</v>
      </c>
      <c r="K1446" s="9">
        <v>5</v>
      </c>
      <c r="L1446" s="50" t="s">
        <v>885</v>
      </c>
      <c r="M1446">
        <v>-2</v>
      </c>
      <c r="N1446">
        <v>2</v>
      </c>
      <c r="O1446">
        <v>2</v>
      </c>
      <c r="P1446">
        <v>2</v>
      </c>
      <c r="Q1446">
        <v>2</v>
      </c>
      <c r="R1446">
        <v>2</v>
      </c>
      <c r="S1446">
        <v>1</v>
      </c>
      <c r="T1446">
        <v>2</v>
      </c>
      <c r="U1446">
        <v>1</v>
      </c>
      <c r="V1446" t="s">
        <v>986</v>
      </c>
      <c r="W1446" t="s">
        <v>989</v>
      </c>
      <c r="X1446" t="s">
        <v>998</v>
      </c>
      <c r="Y1446" t="s">
        <v>1003</v>
      </c>
      <c r="Z1446">
        <v>1</v>
      </c>
      <c r="AA1446">
        <f t="shared" si="443"/>
        <v>0</v>
      </c>
      <c r="AB1446">
        <f t="shared" si="444"/>
        <v>1</v>
      </c>
      <c r="AC1446">
        <f t="shared" si="445"/>
        <v>1</v>
      </c>
      <c r="AD1446">
        <f t="shared" si="446"/>
        <v>1</v>
      </c>
      <c r="AE1446">
        <f t="shared" si="447"/>
        <v>1</v>
      </c>
      <c r="AF1446">
        <f t="shared" si="448"/>
        <v>1</v>
      </c>
      <c r="AG1446">
        <f t="shared" si="449"/>
        <v>1</v>
      </c>
      <c r="AH1446">
        <f t="shared" si="450"/>
        <v>1</v>
      </c>
      <c r="AI1446">
        <f t="shared" si="451"/>
        <v>1</v>
      </c>
      <c r="AJ1446" s="9">
        <f t="shared" si="452"/>
        <v>5</v>
      </c>
      <c r="AK1446">
        <f t="shared" si="453"/>
        <v>0</v>
      </c>
      <c r="AL1446" s="9">
        <v>1</v>
      </c>
    </row>
    <row r="1447" spans="1:38" x14ac:dyDescent="0.35">
      <c r="A1447" s="9">
        <v>1</v>
      </c>
      <c r="B1447" s="9" t="s">
        <v>181</v>
      </c>
      <c r="C1447" s="53">
        <v>43901</v>
      </c>
      <c r="D1447" s="53">
        <v>43911</v>
      </c>
      <c r="E1447" s="53">
        <v>43983</v>
      </c>
      <c r="F1447" s="21">
        <f t="shared" si="430"/>
        <v>72</v>
      </c>
      <c r="G1447" s="53">
        <v>43911</v>
      </c>
      <c r="H1447" s="9">
        <v>2020</v>
      </c>
      <c r="I1447" s="9">
        <v>1</v>
      </c>
      <c r="J1447" s="9">
        <v>6</v>
      </c>
      <c r="K1447" s="9">
        <v>27</v>
      </c>
      <c r="L1447" s="50" t="s">
        <v>903</v>
      </c>
      <c r="M1447">
        <v>1</v>
      </c>
      <c r="N1447">
        <v>2</v>
      </c>
      <c r="O1447">
        <v>2</v>
      </c>
      <c r="P1447">
        <v>-1</v>
      </c>
      <c r="Q1447">
        <v>2</v>
      </c>
      <c r="R1447">
        <v>2</v>
      </c>
      <c r="S1447">
        <v>1</v>
      </c>
      <c r="T1447">
        <v>1</v>
      </c>
      <c r="U1447">
        <v>1</v>
      </c>
      <c r="V1447" t="s">
        <v>986</v>
      </c>
      <c r="W1447" t="s">
        <v>989</v>
      </c>
      <c r="X1447" t="s">
        <v>998</v>
      </c>
      <c r="Y1447" t="s">
        <v>1003</v>
      </c>
      <c r="Z1447">
        <v>1</v>
      </c>
      <c r="AA1447">
        <f t="shared" si="443"/>
        <v>1</v>
      </c>
      <c r="AB1447">
        <f t="shared" si="444"/>
        <v>1</v>
      </c>
      <c r="AC1447">
        <f t="shared" si="445"/>
        <v>1</v>
      </c>
      <c r="AD1447">
        <f t="shared" si="446"/>
        <v>0</v>
      </c>
      <c r="AE1447">
        <f t="shared" si="447"/>
        <v>1</v>
      </c>
      <c r="AF1447">
        <f t="shared" si="448"/>
        <v>1</v>
      </c>
      <c r="AG1447">
        <f t="shared" si="449"/>
        <v>1</v>
      </c>
      <c r="AH1447">
        <f t="shared" si="450"/>
        <v>1</v>
      </c>
      <c r="AI1447">
        <f t="shared" si="451"/>
        <v>1</v>
      </c>
      <c r="AJ1447" s="9">
        <f t="shared" si="452"/>
        <v>27</v>
      </c>
      <c r="AK1447">
        <f t="shared" si="453"/>
        <v>0</v>
      </c>
      <c r="AL1447" s="9">
        <v>1</v>
      </c>
    </row>
    <row r="1448" spans="1:38" x14ac:dyDescent="0.35">
      <c r="A1448" s="9">
        <v>1</v>
      </c>
      <c r="B1448" s="9" t="s">
        <v>181</v>
      </c>
      <c r="C1448" s="53">
        <v>43901</v>
      </c>
      <c r="D1448" s="53">
        <v>43911</v>
      </c>
      <c r="E1448" s="53">
        <v>43983</v>
      </c>
      <c r="F1448" s="21">
        <f t="shared" si="430"/>
        <v>72</v>
      </c>
      <c r="G1448" s="53">
        <v>43911</v>
      </c>
      <c r="H1448" s="9">
        <v>2020</v>
      </c>
      <c r="I1448" s="9">
        <v>1</v>
      </c>
      <c r="J1448" s="9">
        <v>1</v>
      </c>
      <c r="K1448" s="9">
        <v>6</v>
      </c>
      <c r="L1448" s="50" t="s">
        <v>894</v>
      </c>
      <c r="M1448">
        <v>-2</v>
      </c>
      <c r="N1448">
        <v>2</v>
      </c>
      <c r="O1448">
        <v>2</v>
      </c>
      <c r="P1448">
        <v>2</v>
      </c>
      <c r="Q1448">
        <v>2</v>
      </c>
      <c r="R1448">
        <v>2</v>
      </c>
      <c r="S1448">
        <v>1</v>
      </c>
      <c r="T1448">
        <v>2</v>
      </c>
      <c r="U1448">
        <v>1</v>
      </c>
      <c r="V1448" t="s">
        <v>986</v>
      </c>
      <c r="W1448" t="s">
        <v>989</v>
      </c>
      <c r="X1448" t="s">
        <v>998</v>
      </c>
      <c r="Y1448" t="s">
        <v>1003</v>
      </c>
      <c r="Z1448">
        <v>1</v>
      </c>
      <c r="AA1448">
        <f t="shared" si="443"/>
        <v>0</v>
      </c>
      <c r="AB1448">
        <f t="shared" si="444"/>
        <v>1</v>
      </c>
      <c r="AC1448">
        <f t="shared" si="445"/>
        <v>1</v>
      </c>
      <c r="AD1448">
        <f t="shared" si="446"/>
        <v>1</v>
      </c>
      <c r="AE1448">
        <f t="shared" si="447"/>
        <v>1</v>
      </c>
      <c r="AF1448">
        <f t="shared" si="448"/>
        <v>1</v>
      </c>
      <c r="AG1448">
        <f t="shared" si="449"/>
        <v>1</v>
      </c>
      <c r="AH1448">
        <f t="shared" si="450"/>
        <v>1</v>
      </c>
      <c r="AI1448">
        <f t="shared" si="451"/>
        <v>1</v>
      </c>
      <c r="AJ1448" s="9">
        <f t="shared" si="452"/>
        <v>6</v>
      </c>
      <c r="AK1448">
        <f t="shared" si="453"/>
        <v>0</v>
      </c>
      <c r="AL1448" s="9">
        <v>1</v>
      </c>
    </row>
    <row r="1449" spans="1:38" x14ac:dyDescent="0.35">
      <c r="A1449" s="9">
        <v>1</v>
      </c>
      <c r="B1449" s="9" t="s">
        <v>181</v>
      </c>
      <c r="C1449" s="53">
        <v>43901</v>
      </c>
      <c r="D1449" s="53">
        <v>43911</v>
      </c>
      <c r="E1449" s="53">
        <v>43983</v>
      </c>
      <c r="F1449" s="21">
        <f t="shared" si="430"/>
        <v>72</v>
      </c>
      <c r="G1449" s="53">
        <v>43911</v>
      </c>
      <c r="H1449" s="9">
        <v>2020</v>
      </c>
      <c r="I1449" s="9">
        <v>1</v>
      </c>
      <c r="J1449" s="9">
        <v>1</v>
      </c>
      <c r="K1449" s="9">
        <v>6</v>
      </c>
      <c r="L1449" s="50" t="s">
        <v>895</v>
      </c>
      <c r="M1449">
        <v>-2</v>
      </c>
      <c r="N1449">
        <v>2</v>
      </c>
      <c r="O1449">
        <v>2</v>
      </c>
      <c r="P1449">
        <v>2</v>
      </c>
      <c r="Q1449">
        <v>2</v>
      </c>
      <c r="R1449">
        <v>2</v>
      </c>
      <c r="S1449">
        <v>1</v>
      </c>
      <c r="T1449">
        <v>2</v>
      </c>
      <c r="U1449">
        <v>1</v>
      </c>
      <c r="V1449" t="s">
        <v>986</v>
      </c>
      <c r="W1449" t="s">
        <v>989</v>
      </c>
      <c r="X1449" t="s">
        <v>998</v>
      </c>
      <c r="Y1449" t="s">
        <v>1003</v>
      </c>
      <c r="Z1449">
        <v>1</v>
      </c>
      <c r="AA1449">
        <f t="shared" si="443"/>
        <v>0</v>
      </c>
      <c r="AB1449">
        <f t="shared" si="444"/>
        <v>1</v>
      </c>
      <c r="AC1449">
        <f t="shared" si="445"/>
        <v>1</v>
      </c>
      <c r="AD1449">
        <f t="shared" si="446"/>
        <v>1</v>
      </c>
      <c r="AE1449">
        <f t="shared" si="447"/>
        <v>1</v>
      </c>
      <c r="AF1449">
        <f t="shared" si="448"/>
        <v>1</v>
      </c>
      <c r="AG1449">
        <f t="shared" si="449"/>
        <v>1</v>
      </c>
      <c r="AH1449">
        <f t="shared" si="450"/>
        <v>1</v>
      </c>
      <c r="AI1449">
        <f t="shared" si="451"/>
        <v>1</v>
      </c>
      <c r="AJ1449" s="9">
        <f t="shared" si="452"/>
        <v>6</v>
      </c>
      <c r="AK1449">
        <f t="shared" si="453"/>
        <v>0</v>
      </c>
      <c r="AL1449" s="9">
        <v>1</v>
      </c>
    </row>
    <row r="1450" spans="1:38" x14ac:dyDescent="0.35">
      <c r="A1450" s="9">
        <v>1</v>
      </c>
      <c r="B1450" s="9" t="s">
        <v>181</v>
      </c>
      <c r="C1450" s="53">
        <v>43901</v>
      </c>
      <c r="D1450" s="53">
        <v>43911</v>
      </c>
      <c r="E1450" s="53">
        <v>43983</v>
      </c>
      <c r="F1450" s="21">
        <f t="shared" si="430"/>
        <v>72</v>
      </c>
      <c r="G1450" s="53">
        <v>43911</v>
      </c>
      <c r="H1450" s="9">
        <v>2020</v>
      </c>
      <c r="I1450" s="9">
        <v>1</v>
      </c>
      <c r="J1450" s="9">
        <v>6</v>
      </c>
      <c r="K1450" s="9">
        <v>29</v>
      </c>
      <c r="L1450" s="50" t="s">
        <v>888</v>
      </c>
      <c r="M1450">
        <v>2</v>
      </c>
      <c r="N1450">
        <v>2</v>
      </c>
      <c r="O1450">
        <v>-2</v>
      </c>
      <c r="P1450">
        <v>-1</v>
      </c>
      <c r="Q1450">
        <v>-2</v>
      </c>
      <c r="R1450">
        <v>2</v>
      </c>
      <c r="S1450">
        <v>1</v>
      </c>
      <c r="T1450">
        <v>-2</v>
      </c>
      <c r="U1450">
        <v>1</v>
      </c>
      <c r="V1450" t="s">
        <v>986</v>
      </c>
      <c r="W1450" t="s">
        <v>989</v>
      </c>
      <c r="X1450" t="s">
        <v>998</v>
      </c>
      <c r="Y1450" t="s">
        <v>1003</v>
      </c>
      <c r="Z1450">
        <v>1</v>
      </c>
      <c r="AA1450">
        <f t="shared" si="443"/>
        <v>1</v>
      </c>
      <c r="AB1450">
        <f t="shared" si="444"/>
        <v>1</v>
      </c>
      <c r="AC1450">
        <f t="shared" si="445"/>
        <v>0</v>
      </c>
      <c r="AD1450">
        <f t="shared" si="446"/>
        <v>0</v>
      </c>
      <c r="AE1450">
        <f t="shared" si="447"/>
        <v>0</v>
      </c>
      <c r="AF1450">
        <f t="shared" si="448"/>
        <v>1</v>
      </c>
      <c r="AG1450">
        <f t="shared" si="449"/>
        <v>1</v>
      </c>
      <c r="AH1450">
        <f t="shared" si="450"/>
        <v>0</v>
      </c>
      <c r="AI1450">
        <f t="shared" si="451"/>
        <v>1</v>
      </c>
      <c r="AJ1450" s="9">
        <f t="shared" si="452"/>
        <v>29</v>
      </c>
      <c r="AK1450">
        <f t="shared" si="453"/>
        <v>0</v>
      </c>
      <c r="AL1450" s="9">
        <v>1</v>
      </c>
    </row>
    <row r="1451" spans="1:38" x14ac:dyDescent="0.35">
      <c r="A1451" s="9">
        <v>1</v>
      </c>
      <c r="B1451" s="9" t="s">
        <v>181</v>
      </c>
      <c r="C1451" s="53">
        <v>43901</v>
      </c>
      <c r="D1451" s="53">
        <v>43911</v>
      </c>
      <c r="E1451" s="53">
        <v>43983</v>
      </c>
      <c r="F1451" s="21">
        <f t="shared" si="430"/>
        <v>72</v>
      </c>
      <c r="G1451" s="53">
        <v>43911</v>
      </c>
      <c r="H1451" s="9">
        <v>2020</v>
      </c>
      <c r="I1451" s="9">
        <v>1</v>
      </c>
      <c r="J1451" s="9">
        <v>6</v>
      </c>
      <c r="K1451" s="9">
        <v>29</v>
      </c>
      <c r="L1451" s="50" t="s">
        <v>904</v>
      </c>
      <c r="O1451">
        <v>2</v>
      </c>
      <c r="P1451">
        <v>-1</v>
      </c>
      <c r="Q1451">
        <v>2</v>
      </c>
      <c r="R1451">
        <v>2</v>
      </c>
      <c r="S1451">
        <v>2</v>
      </c>
      <c r="U1451">
        <v>1</v>
      </c>
      <c r="V1451" t="s">
        <v>986</v>
      </c>
      <c r="W1451" t="s">
        <v>989</v>
      </c>
      <c r="X1451" t="s">
        <v>998</v>
      </c>
      <c r="Y1451" t="s">
        <v>1003</v>
      </c>
      <c r="Z1451">
        <v>1</v>
      </c>
      <c r="AA1451">
        <f t="shared" si="443"/>
        <v>-1</v>
      </c>
      <c r="AB1451">
        <f t="shared" si="444"/>
        <v>-1</v>
      </c>
      <c r="AC1451">
        <f t="shared" si="445"/>
        <v>1</v>
      </c>
      <c r="AD1451">
        <f t="shared" si="446"/>
        <v>0</v>
      </c>
      <c r="AE1451">
        <f t="shared" si="447"/>
        <v>1</v>
      </c>
      <c r="AF1451">
        <f t="shared" si="448"/>
        <v>1</v>
      </c>
      <c r="AG1451">
        <f t="shared" si="449"/>
        <v>1</v>
      </c>
      <c r="AH1451">
        <f t="shared" si="450"/>
        <v>-1</v>
      </c>
      <c r="AI1451">
        <f t="shared" si="451"/>
        <v>1</v>
      </c>
      <c r="AJ1451" s="9">
        <f t="shared" si="452"/>
        <v>29</v>
      </c>
      <c r="AK1451">
        <f t="shared" si="453"/>
        <v>0</v>
      </c>
      <c r="AL1451" s="9">
        <v>1</v>
      </c>
    </row>
    <row r="1452" spans="1:38" x14ac:dyDescent="0.35">
      <c r="A1452" s="9">
        <v>1</v>
      </c>
      <c r="B1452" s="9" t="s">
        <v>181</v>
      </c>
      <c r="C1452" s="53">
        <v>43901</v>
      </c>
      <c r="D1452" s="53">
        <v>43911</v>
      </c>
      <c r="E1452" s="53">
        <v>43983</v>
      </c>
      <c r="F1452" s="21">
        <f t="shared" si="430"/>
        <v>72</v>
      </c>
      <c r="G1452" s="53">
        <v>43911</v>
      </c>
      <c r="H1452" s="9">
        <v>2020</v>
      </c>
      <c r="I1452" s="9">
        <v>1</v>
      </c>
      <c r="J1452" s="9">
        <v>6</v>
      </c>
      <c r="K1452" s="9">
        <v>25</v>
      </c>
      <c r="L1452" s="50" t="s">
        <v>890</v>
      </c>
      <c r="M1452">
        <v>2</v>
      </c>
      <c r="N1452">
        <v>2</v>
      </c>
      <c r="O1452">
        <v>-2</v>
      </c>
      <c r="P1452">
        <v>-1</v>
      </c>
      <c r="Q1452">
        <v>-2</v>
      </c>
      <c r="R1452">
        <v>-2</v>
      </c>
      <c r="S1452">
        <v>2</v>
      </c>
      <c r="T1452">
        <v>-2</v>
      </c>
      <c r="U1452">
        <v>1</v>
      </c>
      <c r="V1452" t="s">
        <v>986</v>
      </c>
      <c r="W1452" t="s">
        <v>989</v>
      </c>
      <c r="X1452" t="s">
        <v>998</v>
      </c>
      <c r="Y1452" t="s">
        <v>1003</v>
      </c>
      <c r="Z1452">
        <v>1</v>
      </c>
      <c r="AA1452">
        <f t="shared" si="443"/>
        <v>1</v>
      </c>
      <c r="AB1452">
        <f t="shared" si="444"/>
        <v>1</v>
      </c>
      <c r="AC1452">
        <f t="shared" si="445"/>
        <v>0</v>
      </c>
      <c r="AD1452">
        <f t="shared" si="446"/>
        <v>0</v>
      </c>
      <c r="AE1452">
        <f t="shared" si="447"/>
        <v>0</v>
      </c>
      <c r="AF1452">
        <f t="shared" si="448"/>
        <v>0</v>
      </c>
      <c r="AG1452">
        <f t="shared" si="449"/>
        <v>1</v>
      </c>
      <c r="AH1452">
        <f t="shared" si="450"/>
        <v>0</v>
      </c>
      <c r="AI1452">
        <f t="shared" si="451"/>
        <v>1</v>
      </c>
      <c r="AJ1452" s="9">
        <f t="shared" si="452"/>
        <v>25</v>
      </c>
      <c r="AK1452">
        <f t="shared" si="453"/>
        <v>0</v>
      </c>
      <c r="AL1452" s="9">
        <v>1</v>
      </c>
    </row>
    <row r="1453" spans="1:38" x14ac:dyDescent="0.35">
      <c r="A1453" s="9">
        <v>1</v>
      </c>
      <c r="B1453" s="9" t="s">
        <v>181</v>
      </c>
      <c r="C1453" s="53">
        <v>43901</v>
      </c>
      <c r="D1453" s="53">
        <v>43911</v>
      </c>
      <c r="E1453" s="53">
        <v>43983</v>
      </c>
      <c r="F1453" s="21">
        <f t="shared" ref="F1453:F1514" si="454">DATEDIF(D1453,E1453,"D")</f>
        <v>72</v>
      </c>
      <c r="G1453" s="53">
        <v>43911</v>
      </c>
      <c r="H1453" s="9">
        <v>2020</v>
      </c>
      <c r="I1453" s="9">
        <v>1</v>
      </c>
      <c r="J1453" s="9">
        <v>1</v>
      </c>
      <c r="K1453" s="9">
        <v>5</v>
      </c>
      <c r="L1453" s="50" t="s">
        <v>892</v>
      </c>
      <c r="M1453">
        <v>-2</v>
      </c>
      <c r="N1453">
        <v>2</v>
      </c>
      <c r="O1453">
        <v>2</v>
      </c>
      <c r="P1453">
        <v>2</v>
      </c>
      <c r="Q1453">
        <v>2</v>
      </c>
      <c r="R1453">
        <v>2</v>
      </c>
      <c r="S1453">
        <v>1</v>
      </c>
      <c r="T1453">
        <v>2</v>
      </c>
      <c r="U1453">
        <v>1</v>
      </c>
      <c r="V1453" t="s">
        <v>986</v>
      </c>
      <c r="W1453" t="s">
        <v>989</v>
      </c>
      <c r="X1453" t="s">
        <v>998</v>
      </c>
      <c r="Y1453" t="s">
        <v>1003</v>
      </c>
      <c r="Z1453">
        <v>1</v>
      </c>
      <c r="AA1453">
        <f t="shared" si="443"/>
        <v>0</v>
      </c>
      <c r="AB1453">
        <f t="shared" si="444"/>
        <v>1</v>
      </c>
      <c r="AC1453">
        <f t="shared" si="445"/>
        <v>1</v>
      </c>
      <c r="AD1453">
        <f t="shared" si="446"/>
        <v>1</v>
      </c>
      <c r="AE1453">
        <f t="shared" si="447"/>
        <v>1</v>
      </c>
      <c r="AF1453">
        <f t="shared" si="448"/>
        <v>1</v>
      </c>
      <c r="AG1453">
        <f t="shared" si="449"/>
        <v>1</v>
      </c>
      <c r="AH1453">
        <f t="shared" si="450"/>
        <v>1</v>
      </c>
      <c r="AI1453">
        <f t="shared" si="451"/>
        <v>1</v>
      </c>
      <c r="AJ1453" s="9">
        <f t="shared" si="452"/>
        <v>5</v>
      </c>
      <c r="AK1453">
        <f t="shared" si="453"/>
        <v>0</v>
      </c>
      <c r="AL1453" s="9">
        <v>1</v>
      </c>
    </row>
    <row r="1454" spans="1:38" x14ac:dyDescent="0.35">
      <c r="A1454" s="9">
        <v>1</v>
      </c>
      <c r="B1454" s="9" t="s">
        <v>181</v>
      </c>
      <c r="C1454" s="53">
        <v>43901</v>
      </c>
      <c r="D1454" s="53">
        <v>43911</v>
      </c>
      <c r="E1454" s="53">
        <v>43983</v>
      </c>
      <c r="F1454" s="21">
        <f t="shared" si="454"/>
        <v>72</v>
      </c>
      <c r="G1454" s="53">
        <v>43911</v>
      </c>
      <c r="H1454" s="9">
        <v>2020</v>
      </c>
      <c r="I1454" s="9">
        <v>1</v>
      </c>
      <c r="J1454" s="9">
        <v>6</v>
      </c>
      <c r="K1454" s="9">
        <v>28</v>
      </c>
      <c r="L1454" s="50" t="s">
        <v>884</v>
      </c>
      <c r="M1454">
        <v>2</v>
      </c>
      <c r="N1454">
        <v>2</v>
      </c>
      <c r="O1454">
        <v>-2</v>
      </c>
      <c r="P1454">
        <v>2</v>
      </c>
      <c r="Q1454">
        <v>2</v>
      </c>
      <c r="R1454">
        <v>2</v>
      </c>
      <c r="S1454">
        <v>1</v>
      </c>
      <c r="T1454">
        <v>2</v>
      </c>
      <c r="U1454">
        <v>1</v>
      </c>
      <c r="V1454" t="s">
        <v>986</v>
      </c>
      <c r="W1454" t="s">
        <v>989</v>
      </c>
      <c r="X1454" t="s">
        <v>998</v>
      </c>
      <c r="Y1454" t="s">
        <v>1003</v>
      </c>
      <c r="Z1454">
        <v>1</v>
      </c>
      <c r="AA1454">
        <f t="shared" si="443"/>
        <v>1</v>
      </c>
      <c r="AB1454">
        <f t="shared" si="444"/>
        <v>1</v>
      </c>
      <c r="AC1454">
        <f t="shared" si="445"/>
        <v>0</v>
      </c>
      <c r="AD1454">
        <f t="shared" si="446"/>
        <v>1</v>
      </c>
      <c r="AE1454">
        <f t="shared" si="447"/>
        <v>1</v>
      </c>
      <c r="AF1454">
        <f t="shared" si="448"/>
        <v>1</v>
      </c>
      <c r="AG1454">
        <f t="shared" si="449"/>
        <v>1</v>
      </c>
      <c r="AH1454">
        <f t="shared" si="450"/>
        <v>1</v>
      </c>
      <c r="AI1454">
        <f t="shared" si="451"/>
        <v>1</v>
      </c>
      <c r="AJ1454" s="9">
        <f t="shared" si="452"/>
        <v>28</v>
      </c>
      <c r="AK1454">
        <f t="shared" si="453"/>
        <v>0</v>
      </c>
      <c r="AL1454" s="9">
        <v>1</v>
      </c>
    </row>
    <row r="1455" spans="1:38" x14ac:dyDescent="0.35">
      <c r="A1455" s="9">
        <v>1</v>
      </c>
      <c r="B1455" s="9" t="s">
        <v>181</v>
      </c>
      <c r="C1455" s="53">
        <v>43901</v>
      </c>
      <c r="D1455" s="53">
        <v>43911</v>
      </c>
      <c r="E1455" s="53">
        <v>43983</v>
      </c>
      <c r="F1455" s="21">
        <f t="shared" si="454"/>
        <v>72</v>
      </c>
      <c r="G1455" s="53">
        <v>43911</v>
      </c>
      <c r="H1455" s="9">
        <v>2020</v>
      </c>
      <c r="I1455" s="9">
        <v>1</v>
      </c>
      <c r="J1455" s="9">
        <v>1</v>
      </c>
      <c r="K1455" s="9">
        <v>6</v>
      </c>
      <c r="L1455" s="50" t="s">
        <v>887</v>
      </c>
      <c r="M1455">
        <v>2</v>
      </c>
      <c r="N1455">
        <v>2</v>
      </c>
      <c r="O1455">
        <v>2</v>
      </c>
      <c r="P1455">
        <v>2</v>
      </c>
      <c r="Q1455">
        <v>2</v>
      </c>
      <c r="R1455">
        <v>2</v>
      </c>
      <c r="S1455">
        <v>1</v>
      </c>
      <c r="T1455">
        <v>2</v>
      </c>
      <c r="U1455">
        <v>1</v>
      </c>
      <c r="V1455" t="s">
        <v>986</v>
      </c>
      <c r="W1455" t="s">
        <v>989</v>
      </c>
      <c r="X1455" t="s">
        <v>998</v>
      </c>
      <c r="Y1455" t="s">
        <v>1003</v>
      </c>
      <c r="Z1455">
        <v>1</v>
      </c>
      <c r="AA1455">
        <f t="shared" si="443"/>
        <v>1</v>
      </c>
      <c r="AB1455">
        <f t="shared" si="444"/>
        <v>1</v>
      </c>
      <c r="AC1455">
        <f t="shared" si="445"/>
        <v>1</v>
      </c>
      <c r="AD1455">
        <f t="shared" si="446"/>
        <v>1</v>
      </c>
      <c r="AE1455">
        <f t="shared" si="447"/>
        <v>1</v>
      </c>
      <c r="AF1455">
        <f t="shared" si="448"/>
        <v>1</v>
      </c>
      <c r="AG1455">
        <f t="shared" si="449"/>
        <v>1</v>
      </c>
      <c r="AH1455">
        <f t="shared" si="450"/>
        <v>1</v>
      </c>
      <c r="AI1455">
        <f t="shared" si="451"/>
        <v>1</v>
      </c>
      <c r="AJ1455" s="9">
        <f t="shared" si="452"/>
        <v>6</v>
      </c>
      <c r="AK1455">
        <f t="shared" si="453"/>
        <v>0</v>
      </c>
      <c r="AL1455" s="9">
        <v>1</v>
      </c>
    </row>
    <row r="1456" spans="1:38" x14ac:dyDescent="0.35">
      <c r="A1456" s="9">
        <v>1</v>
      </c>
      <c r="B1456" s="9" t="s">
        <v>181</v>
      </c>
      <c r="C1456" s="53">
        <v>43901</v>
      </c>
      <c r="D1456" s="53">
        <v>43911</v>
      </c>
      <c r="E1456" s="53">
        <v>43983</v>
      </c>
      <c r="F1456" s="21">
        <f t="shared" si="454"/>
        <v>72</v>
      </c>
      <c r="G1456" s="53">
        <v>43911</v>
      </c>
      <c r="H1456" s="9">
        <v>2020</v>
      </c>
      <c r="I1456" s="9">
        <v>1</v>
      </c>
      <c r="J1456" s="9">
        <v>6</v>
      </c>
      <c r="K1456" s="9">
        <v>27</v>
      </c>
      <c r="L1456" s="50" t="s">
        <v>882</v>
      </c>
      <c r="M1456">
        <v>2</v>
      </c>
      <c r="N1456">
        <v>2</v>
      </c>
      <c r="O1456">
        <v>2</v>
      </c>
      <c r="P1456">
        <v>-1</v>
      </c>
      <c r="Q1456">
        <v>2</v>
      </c>
      <c r="R1456">
        <v>-2</v>
      </c>
      <c r="S1456">
        <v>1</v>
      </c>
      <c r="T1456">
        <v>1</v>
      </c>
      <c r="U1456">
        <v>1</v>
      </c>
      <c r="V1456" t="s">
        <v>986</v>
      </c>
      <c r="W1456" t="s">
        <v>989</v>
      </c>
      <c r="X1456" t="s">
        <v>998</v>
      </c>
      <c r="Y1456" t="s">
        <v>1003</v>
      </c>
      <c r="Z1456">
        <v>1</v>
      </c>
      <c r="AA1456">
        <f t="shared" si="443"/>
        <v>1</v>
      </c>
      <c r="AB1456">
        <f t="shared" si="444"/>
        <v>1</v>
      </c>
      <c r="AC1456">
        <f t="shared" si="445"/>
        <v>1</v>
      </c>
      <c r="AD1456">
        <f t="shared" si="446"/>
        <v>0</v>
      </c>
      <c r="AE1456">
        <f t="shared" si="447"/>
        <v>1</v>
      </c>
      <c r="AF1456">
        <f t="shared" si="448"/>
        <v>0</v>
      </c>
      <c r="AG1456">
        <f t="shared" si="449"/>
        <v>1</v>
      </c>
      <c r="AH1456">
        <f t="shared" si="450"/>
        <v>1</v>
      </c>
      <c r="AI1456">
        <f t="shared" si="451"/>
        <v>1</v>
      </c>
      <c r="AJ1456" s="9">
        <f t="shared" si="452"/>
        <v>27</v>
      </c>
      <c r="AK1456">
        <f t="shared" si="453"/>
        <v>0</v>
      </c>
      <c r="AL1456" s="9">
        <v>1</v>
      </c>
    </row>
    <row r="1457" spans="1:38" x14ac:dyDescent="0.35">
      <c r="A1457" s="9">
        <v>1</v>
      </c>
      <c r="B1457" s="9" t="s">
        <v>181</v>
      </c>
      <c r="C1457" s="53">
        <v>43901</v>
      </c>
      <c r="D1457" s="53">
        <v>43911</v>
      </c>
      <c r="E1457" s="53">
        <v>43983</v>
      </c>
      <c r="F1457" s="21">
        <f t="shared" si="454"/>
        <v>72</v>
      </c>
      <c r="G1457" s="53">
        <v>43911</v>
      </c>
      <c r="H1457" s="9">
        <v>2020</v>
      </c>
      <c r="I1457" s="9">
        <v>1</v>
      </c>
      <c r="J1457" s="9">
        <v>5</v>
      </c>
      <c r="K1457" s="9">
        <v>24</v>
      </c>
      <c r="L1457" s="50" t="s">
        <v>893</v>
      </c>
      <c r="M1457">
        <v>1</v>
      </c>
      <c r="N1457">
        <v>-2</v>
      </c>
      <c r="O1457">
        <v>2</v>
      </c>
      <c r="P1457">
        <v>-1</v>
      </c>
      <c r="Q1457">
        <v>2</v>
      </c>
      <c r="R1457">
        <v>2</v>
      </c>
      <c r="S1457">
        <v>-1</v>
      </c>
      <c r="T1457">
        <v>-1</v>
      </c>
      <c r="U1457">
        <v>2</v>
      </c>
      <c r="V1457" t="s">
        <v>986</v>
      </c>
      <c r="W1457" t="s">
        <v>989</v>
      </c>
      <c r="X1457" t="s">
        <v>998</v>
      </c>
      <c r="Y1457" t="s">
        <v>1003</v>
      </c>
      <c r="Z1457">
        <v>1</v>
      </c>
      <c r="AA1457">
        <f t="shared" si="443"/>
        <v>1</v>
      </c>
      <c r="AB1457">
        <f t="shared" si="444"/>
        <v>0</v>
      </c>
      <c r="AC1457">
        <f t="shared" si="445"/>
        <v>1</v>
      </c>
      <c r="AD1457">
        <f t="shared" si="446"/>
        <v>0</v>
      </c>
      <c r="AE1457">
        <f t="shared" si="447"/>
        <v>1</v>
      </c>
      <c r="AF1457">
        <f t="shared" si="448"/>
        <v>1</v>
      </c>
      <c r="AG1457">
        <f t="shared" si="449"/>
        <v>0</v>
      </c>
      <c r="AH1457">
        <f t="shared" si="450"/>
        <v>0</v>
      </c>
      <c r="AI1457">
        <f t="shared" si="451"/>
        <v>1</v>
      </c>
      <c r="AJ1457" s="9">
        <f t="shared" si="452"/>
        <v>24</v>
      </c>
      <c r="AK1457">
        <f t="shared" si="453"/>
        <v>0</v>
      </c>
      <c r="AL1457" s="9">
        <v>1</v>
      </c>
    </row>
    <row r="1458" spans="1:38" x14ac:dyDescent="0.35">
      <c r="A1458" s="9">
        <v>1</v>
      </c>
      <c r="B1458" s="9" t="s">
        <v>181</v>
      </c>
      <c r="C1458" s="53">
        <v>43901</v>
      </c>
      <c r="D1458" s="53">
        <v>43911</v>
      </c>
      <c r="E1458" s="53">
        <v>43983</v>
      </c>
      <c r="F1458" s="21">
        <f t="shared" si="454"/>
        <v>72</v>
      </c>
      <c r="G1458" s="53">
        <v>43911</v>
      </c>
      <c r="H1458" s="9">
        <v>2020</v>
      </c>
      <c r="I1458" s="9">
        <v>1</v>
      </c>
      <c r="J1458" s="9">
        <v>4</v>
      </c>
      <c r="K1458" s="9" t="s">
        <v>206</v>
      </c>
      <c r="L1458" s="50" t="s">
        <v>896</v>
      </c>
      <c r="M1458">
        <v>2</v>
      </c>
      <c r="N1458">
        <v>2</v>
      </c>
      <c r="O1458">
        <v>2</v>
      </c>
      <c r="P1458">
        <v>2</v>
      </c>
      <c r="Q1458">
        <v>2</v>
      </c>
      <c r="R1458">
        <v>2</v>
      </c>
      <c r="S1458">
        <v>1</v>
      </c>
      <c r="T1458">
        <v>2</v>
      </c>
      <c r="U1458">
        <v>1</v>
      </c>
      <c r="V1458" t="s">
        <v>986</v>
      </c>
      <c r="W1458" t="s">
        <v>989</v>
      </c>
      <c r="X1458" t="s">
        <v>998</v>
      </c>
      <c r="Y1458" t="s">
        <v>1003</v>
      </c>
      <c r="Z1458">
        <v>1</v>
      </c>
      <c r="AA1458">
        <f t="shared" si="443"/>
        <v>1</v>
      </c>
      <c r="AB1458">
        <f t="shared" si="444"/>
        <v>1</v>
      </c>
      <c r="AC1458">
        <f t="shared" si="445"/>
        <v>1</v>
      </c>
      <c r="AD1458">
        <f t="shared" si="446"/>
        <v>1</v>
      </c>
      <c r="AE1458">
        <f t="shared" si="447"/>
        <v>1</v>
      </c>
      <c r="AF1458">
        <f t="shared" si="448"/>
        <v>1</v>
      </c>
      <c r="AG1458">
        <f t="shared" si="449"/>
        <v>1</v>
      </c>
      <c r="AH1458">
        <f t="shared" si="450"/>
        <v>1</v>
      </c>
      <c r="AI1458">
        <f t="shared" si="451"/>
        <v>1</v>
      </c>
      <c r="AJ1458" s="9" t="str">
        <f t="shared" si="452"/>
        <v>Tax exemption/waiver/suspension</v>
      </c>
      <c r="AK1458">
        <f t="shared" si="453"/>
        <v>0</v>
      </c>
      <c r="AL1458" s="9">
        <v>1</v>
      </c>
    </row>
    <row r="1459" spans="1:38" x14ac:dyDescent="0.35">
      <c r="A1459" s="9">
        <v>1</v>
      </c>
      <c r="B1459" s="9" t="s">
        <v>181</v>
      </c>
      <c r="C1459" s="53">
        <v>43901</v>
      </c>
      <c r="D1459" s="53">
        <v>43911</v>
      </c>
      <c r="E1459" s="53">
        <v>43983</v>
      </c>
      <c r="F1459" s="21">
        <f t="shared" si="454"/>
        <v>72</v>
      </c>
      <c r="G1459" s="53">
        <v>43911</v>
      </c>
      <c r="H1459" s="9">
        <v>2020</v>
      </c>
      <c r="I1459" s="9">
        <v>1</v>
      </c>
      <c r="J1459" s="9">
        <v>9</v>
      </c>
      <c r="K1459" s="9">
        <v>34</v>
      </c>
      <c r="L1459" s="50" t="s">
        <v>891</v>
      </c>
      <c r="M1459">
        <v>2</v>
      </c>
      <c r="N1459">
        <v>2</v>
      </c>
      <c r="O1459">
        <v>-2</v>
      </c>
      <c r="P1459">
        <v>-1</v>
      </c>
      <c r="Q1459">
        <v>2</v>
      </c>
      <c r="S1459">
        <v>1</v>
      </c>
      <c r="T1459">
        <v>2</v>
      </c>
      <c r="U1459">
        <v>1</v>
      </c>
      <c r="V1459" t="s">
        <v>986</v>
      </c>
      <c r="W1459" t="s">
        <v>989</v>
      </c>
      <c r="X1459" t="s">
        <v>998</v>
      </c>
      <c r="Y1459" t="s">
        <v>1003</v>
      </c>
      <c r="Z1459">
        <v>1</v>
      </c>
      <c r="AA1459">
        <f t="shared" si="443"/>
        <v>1</v>
      </c>
      <c r="AB1459">
        <f t="shared" si="444"/>
        <v>1</v>
      </c>
      <c r="AC1459">
        <f t="shared" si="445"/>
        <v>0</v>
      </c>
      <c r="AD1459">
        <f t="shared" si="446"/>
        <v>0</v>
      </c>
      <c r="AE1459">
        <f t="shared" si="447"/>
        <v>1</v>
      </c>
      <c r="AF1459">
        <f t="shared" si="448"/>
        <v>-1</v>
      </c>
      <c r="AG1459">
        <f t="shared" si="449"/>
        <v>1</v>
      </c>
      <c r="AH1459">
        <f t="shared" si="450"/>
        <v>1</v>
      </c>
      <c r="AI1459">
        <f t="shared" si="451"/>
        <v>1</v>
      </c>
      <c r="AJ1459" s="9">
        <f t="shared" si="452"/>
        <v>34</v>
      </c>
      <c r="AK1459">
        <f t="shared" si="453"/>
        <v>0</v>
      </c>
      <c r="AL1459" s="9">
        <v>1</v>
      </c>
    </row>
    <row r="1460" spans="1:38" x14ac:dyDescent="0.35">
      <c r="A1460" s="9">
        <v>1</v>
      </c>
      <c r="B1460" s="9" t="s">
        <v>181</v>
      </c>
      <c r="C1460" s="53">
        <v>43901</v>
      </c>
      <c r="D1460" s="53">
        <v>43911</v>
      </c>
      <c r="E1460" s="53">
        <v>43983</v>
      </c>
      <c r="F1460" s="21">
        <f t="shared" si="454"/>
        <v>72</v>
      </c>
      <c r="G1460" s="53">
        <v>43911</v>
      </c>
      <c r="H1460" s="9">
        <v>2020</v>
      </c>
      <c r="I1460" s="9">
        <v>1</v>
      </c>
      <c r="J1460" s="9">
        <v>5</v>
      </c>
      <c r="K1460" s="9">
        <v>24</v>
      </c>
      <c r="L1460" s="50" t="s">
        <v>899</v>
      </c>
      <c r="M1460">
        <v>2</v>
      </c>
      <c r="N1460">
        <v>2</v>
      </c>
      <c r="O1460">
        <v>2</v>
      </c>
      <c r="P1460">
        <v>-1</v>
      </c>
      <c r="Q1460">
        <v>2</v>
      </c>
      <c r="R1460">
        <v>2</v>
      </c>
      <c r="S1460">
        <v>2</v>
      </c>
      <c r="T1460">
        <v>2</v>
      </c>
      <c r="U1460">
        <v>1</v>
      </c>
      <c r="V1460" t="s">
        <v>986</v>
      </c>
      <c r="W1460" t="s">
        <v>989</v>
      </c>
      <c r="X1460" t="s">
        <v>998</v>
      </c>
      <c r="Y1460" t="s">
        <v>1003</v>
      </c>
      <c r="Z1460">
        <v>1</v>
      </c>
      <c r="AA1460">
        <f t="shared" si="443"/>
        <v>1</v>
      </c>
      <c r="AB1460">
        <f t="shared" si="444"/>
        <v>1</v>
      </c>
      <c r="AC1460">
        <f t="shared" si="445"/>
        <v>1</v>
      </c>
      <c r="AD1460">
        <f t="shared" si="446"/>
        <v>0</v>
      </c>
      <c r="AE1460">
        <f t="shared" si="447"/>
        <v>1</v>
      </c>
      <c r="AF1460">
        <f t="shared" si="448"/>
        <v>1</v>
      </c>
      <c r="AG1460">
        <f t="shared" si="449"/>
        <v>1</v>
      </c>
      <c r="AH1460">
        <f t="shared" si="450"/>
        <v>1</v>
      </c>
      <c r="AI1460">
        <f t="shared" si="451"/>
        <v>1</v>
      </c>
      <c r="AJ1460" s="9">
        <f t="shared" si="452"/>
        <v>24</v>
      </c>
      <c r="AK1460">
        <f t="shared" si="453"/>
        <v>0</v>
      </c>
      <c r="AL1460" s="9">
        <v>1</v>
      </c>
    </row>
    <row r="1461" spans="1:38" x14ac:dyDescent="0.35">
      <c r="A1461" s="9">
        <v>1</v>
      </c>
      <c r="B1461" s="9" t="s">
        <v>181</v>
      </c>
      <c r="C1461" s="53">
        <v>43901</v>
      </c>
      <c r="D1461" s="53">
        <v>43911</v>
      </c>
      <c r="E1461" s="53">
        <v>43983</v>
      </c>
      <c r="F1461" s="21">
        <f t="shared" si="454"/>
        <v>72</v>
      </c>
      <c r="G1461" s="53">
        <v>43911</v>
      </c>
      <c r="H1461" s="9">
        <v>2020</v>
      </c>
      <c r="I1461" s="9">
        <v>1</v>
      </c>
      <c r="J1461" s="9">
        <v>1</v>
      </c>
      <c r="K1461" s="9">
        <v>6</v>
      </c>
      <c r="L1461" s="50" t="s">
        <v>897</v>
      </c>
      <c r="M1461">
        <v>2</v>
      </c>
      <c r="N1461">
        <v>2</v>
      </c>
      <c r="O1461">
        <v>2</v>
      </c>
      <c r="P1461">
        <v>2</v>
      </c>
      <c r="Q1461">
        <v>2</v>
      </c>
      <c r="R1461">
        <v>2</v>
      </c>
      <c r="S1461">
        <v>1</v>
      </c>
      <c r="T1461">
        <v>2</v>
      </c>
      <c r="U1461">
        <v>1</v>
      </c>
      <c r="V1461" t="s">
        <v>986</v>
      </c>
      <c r="W1461" t="s">
        <v>989</v>
      </c>
      <c r="X1461" t="s">
        <v>998</v>
      </c>
      <c r="Y1461" t="s">
        <v>1003</v>
      </c>
      <c r="Z1461">
        <v>1</v>
      </c>
      <c r="AA1461">
        <f t="shared" si="443"/>
        <v>1</v>
      </c>
      <c r="AB1461">
        <f t="shared" si="444"/>
        <v>1</v>
      </c>
      <c r="AC1461">
        <f t="shared" si="445"/>
        <v>1</v>
      </c>
      <c r="AD1461">
        <f t="shared" si="446"/>
        <v>1</v>
      </c>
      <c r="AE1461">
        <f t="shared" si="447"/>
        <v>1</v>
      </c>
      <c r="AF1461">
        <f t="shared" si="448"/>
        <v>1</v>
      </c>
      <c r="AG1461">
        <f t="shared" si="449"/>
        <v>1</v>
      </c>
      <c r="AH1461">
        <f t="shared" si="450"/>
        <v>1</v>
      </c>
      <c r="AI1461">
        <f t="shared" si="451"/>
        <v>1</v>
      </c>
      <c r="AJ1461" s="9">
        <f t="shared" si="452"/>
        <v>6</v>
      </c>
      <c r="AK1461">
        <f t="shared" si="453"/>
        <v>0</v>
      </c>
      <c r="AL1461" s="9">
        <v>1</v>
      </c>
    </row>
    <row r="1462" spans="1:38" x14ac:dyDescent="0.35">
      <c r="A1462" s="9">
        <v>1</v>
      </c>
      <c r="B1462" s="9" t="s">
        <v>181</v>
      </c>
      <c r="C1462" s="53">
        <v>43901</v>
      </c>
      <c r="D1462" s="53">
        <v>43911</v>
      </c>
      <c r="E1462" s="53">
        <v>43983</v>
      </c>
      <c r="F1462" s="21">
        <f t="shared" si="454"/>
        <v>72</v>
      </c>
      <c r="G1462" s="53">
        <v>43911</v>
      </c>
      <c r="H1462" s="9">
        <v>2020</v>
      </c>
      <c r="I1462" s="9">
        <v>1</v>
      </c>
      <c r="J1462" s="9">
        <v>6</v>
      </c>
      <c r="K1462" s="9">
        <v>27</v>
      </c>
      <c r="L1462" s="50" t="s">
        <v>900</v>
      </c>
      <c r="M1462">
        <v>2</v>
      </c>
      <c r="N1462">
        <v>2</v>
      </c>
      <c r="O1462">
        <v>2</v>
      </c>
      <c r="P1462">
        <v>-1</v>
      </c>
      <c r="Q1462">
        <v>2</v>
      </c>
      <c r="R1462">
        <v>-2</v>
      </c>
      <c r="S1462">
        <v>1</v>
      </c>
      <c r="T1462">
        <v>1</v>
      </c>
      <c r="U1462">
        <v>1</v>
      </c>
      <c r="V1462" t="s">
        <v>986</v>
      </c>
      <c r="W1462" t="s">
        <v>989</v>
      </c>
      <c r="X1462" t="s">
        <v>998</v>
      </c>
      <c r="Y1462" t="s">
        <v>1003</v>
      </c>
      <c r="Z1462">
        <v>1</v>
      </c>
      <c r="AA1462">
        <f t="shared" si="443"/>
        <v>1</v>
      </c>
      <c r="AB1462">
        <f t="shared" si="444"/>
        <v>1</v>
      </c>
      <c r="AC1462">
        <f t="shared" si="445"/>
        <v>1</v>
      </c>
      <c r="AD1462">
        <f t="shared" si="446"/>
        <v>0</v>
      </c>
      <c r="AE1462">
        <f t="shared" si="447"/>
        <v>1</v>
      </c>
      <c r="AF1462">
        <f t="shared" si="448"/>
        <v>0</v>
      </c>
      <c r="AG1462">
        <f t="shared" si="449"/>
        <v>1</v>
      </c>
      <c r="AH1462">
        <f t="shared" si="450"/>
        <v>1</v>
      </c>
      <c r="AI1462">
        <f t="shared" si="451"/>
        <v>1</v>
      </c>
      <c r="AJ1462" s="9">
        <f t="shared" si="452"/>
        <v>27</v>
      </c>
      <c r="AK1462">
        <f t="shared" si="453"/>
        <v>0</v>
      </c>
      <c r="AL1462" s="9">
        <v>0</v>
      </c>
    </row>
    <row r="1463" spans="1:38" x14ac:dyDescent="0.35">
      <c r="A1463" s="9">
        <v>1</v>
      </c>
      <c r="B1463" s="9" t="s">
        <v>181</v>
      </c>
      <c r="C1463" s="53">
        <v>43901</v>
      </c>
      <c r="D1463" s="53">
        <v>43911</v>
      </c>
      <c r="E1463" s="53">
        <v>43983</v>
      </c>
      <c r="F1463" s="21">
        <f t="shared" si="454"/>
        <v>72</v>
      </c>
      <c r="G1463" s="53">
        <v>43911</v>
      </c>
      <c r="H1463" s="9">
        <v>2020</v>
      </c>
      <c r="I1463" s="9">
        <v>1</v>
      </c>
      <c r="J1463" s="9">
        <v>7</v>
      </c>
      <c r="K1463" s="9">
        <v>30</v>
      </c>
      <c r="L1463" s="50" t="s">
        <v>881</v>
      </c>
      <c r="M1463">
        <v>2</v>
      </c>
      <c r="N1463">
        <v>2</v>
      </c>
      <c r="O1463">
        <v>2</v>
      </c>
      <c r="P1463">
        <v>2</v>
      </c>
      <c r="Q1463">
        <v>2</v>
      </c>
      <c r="R1463">
        <v>-2</v>
      </c>
      <c r="S1463">
        <v>2</v>
      </c>
      <c r="T1463">
        <v>2</v>
      </c>
      <c r="U1463">
        <v>1</v>
      </c>
      <c r="V1463" t="s">
        <v>986</v>
      </c>
      <c r="W1463" t="s">
        <v>989</v>
      </c>
      <c r="X1463" t="s">
        <v>998</v>
      </c>
      <c r="Y1463" t="s">
        <v>1003</v>
      </c>
      <c r="Z1463">
        <v>1</v>
      </c>
      <c r="AA1463">
        <f t="shared" si="443"/>
        <v>1</v>
      </c>
      <c r="AB1463">
        <f t="shared" si="444"/>
        <v>1</v>
      </c>
      <c r="AC1463">
        <f t="shared" si="445"/>
        <v>1</v>
      </c>
      <c r="AD1463">
        <f t="shared" si="446"/>
        <v>1</v>
      </c>
      <c r="AE1463">
        <f t="shared" si="447"/>
        <v>1</v>
      </c>
      <c r="AF1463">
        <f t="shared" si="448"/>
        <v>0</v>
      </c>
      <c r="AG1463">
        <f t="shared" si="449"/>
        <v>1</v>
      </c>
      <c r="AH1463">
        <f t="shared" si="450"/>
        <v>1</v>
      </c>
      <c r="AI1463">
        <f t="shared" si="451"/>
        <v>1</v>
      </c>
      <c r="AJ1463" s="9">
        <f t="shared" si="452"/>
        <v>30</v>
      </c>
      <c r="AK1463">
        <f t="shared" si="453"/>
        <v>0</v>
      </c>
      <c r="AL1463" s="9">
        <v>0</v>
      </c>
    </row>
    <row r="1464" spans="1:38" x14ac:dyDescent="0.35">
      <c r="A1464" s="9">
        <v>1</v>
      </c>
      <c r="B1464" s="50" t="s">
        <v>181</v>
      </c>
      <c r="C1464" s="53">
        <v>43901</v>
      </c>
      <c r="D1464" s="53">
        <v>43911</v>
      </c>
      <c r="E1464" s="53">
        <v>43983</v>
      </c>
      <c r="F1464" s="21">
        <f t="shared" si="454"/>
        <v>72</v>
      </c>
      <c r="G1464" s="53">
        <v>43911</v>
      </c>
      <c r="H1464" s="9">
        <v>2020</v>
      </c>
      <c r="I1464" s="9">
        <v>1</v>
      </c>
      <c r="J1464" s="50">
        <v>7</v>
      </c>
      <c r="K1464" s="50">
        <v>30</v>
      </c>
      <c r="L1464" s="24" t="s">
        <v>1575</v>
      </c>
      <c r="M1464" s="24"/>
      <c r="V1464" t="s">
        <v>986</v>
      </c>
      <c r="W1464" t="s">
        <v>989</v>
      </c>
      <c r="X1464" t="s">
        <v>998</v>
      </c>
      <c r="Y1464" t="s">
        <v>1003</v>
      </c>
      <c r="Z1464">
        <v>1</v>
      </c>
      <c r="AA1464">
        <v>-1</v>
      </c>
      <c r="AB1464">
        <v>-1</v>
      </c>
      <c r="AC1464">
        <v>-1</v>
      </c>
      <c r="AD1464">
        <v>-1</v>
      </c>
      <c r="AE1464">
        <v>-1</v>
      </c>
      <c r="AF1464">
        <v>-1</v>
      </c>
      <c r="AG1464">
        <v>-1</v>
      </c>
      <c r="AH1464">
        <v>-1</v>
      </c>
      <c r="AI1464">
        <v>-1</v>
      </c>
      <c r="AJ1464" s="9">
        <f t="shared" si="452"/>
        <v>30</v>
      </c>
      <c r="AK1464">
        <f t="shared" si="453"/>
        <v>0</v>
      </c>
      <c r="AL1464" s="9">
        <v>0</v>
      </c>
    </row>
    <row r="1465" spans="1:38" x14ac:dyDescent="0.35">
      <c r="A1465" s="9">
        <v>1</v>
      </c>
      <c r="B1465" s="50" t="s">
        <v>181</v>
      </c>
      <c r="C1465" s="53">
        <v>43901</v>
      </c>
      <c r="D1465" s="53">
        <v>43911</v>
      </c>
      <c r="E1465" s="53">
        <v>43983</v>
      </c>
      <c r="F1465" s="21">
        <f t="shared" si="454"/>
        <v>72</v>
      </c>
      <c r="G1465" s="53">
        <v>43911</v>
      </c>
      <c r="H1465" s="9">
        <v>2020</v>
      </c>
      <c r="I1465" s="9">
        <v>1</v>
      </c>
      <c r="J1465" s="50">
        <v>8</v>
      </c>
      <c r="K1465" s="50">
        <v>33</v>
      </c>
      <c r="L1465" s="24" t="s">
        <v>1576</v>
      </c>
      <c r="M1465" s="24"/>
      <c r="V1465" t="s">
        <v>986</v>
      </c>
      <c r="W1465" t="s">
        <v>989</v>
      </c>
      <c r="X1465" t="s">
        <v>998</v>
      </c>
      <c r="Y1465" t="s">
        <v>1003</v>
      </c>
      <c r="Z1465">
        <v>1</v>
      </c>
      <c r="AA1465">
        <v>-1</v>
      </c>
      <c r="AB1465">
        <v>-1</v>
      </c>
      <c r="AC1465">
        <v>-1</v>
      </c>
      <c r="AD1465">
        <v>-1</v>
      </c>
      <c r="AE1465">
        <v>-1</v>
      </c>
      <c r="AF1465">
        <v>-1</v>
      </c>
      <c r="AG1465">
        <v>-1</v>
      </c>
      <c r="AH1465">
        <v>-1</v>
      </c>
      <c r="AI1465">
        <v>-1</v>
      </c>
      <c r="AJ1465" s="9">
        <f t="shared" si="452"/>
        <v>33</v>
      </c>
      <c r="AK1465">
        <f t="shared" si="453"/>
        <v>0</v>
      </c>
      <c r="AL1465" s="9">
        <v>0</v>
      </c>
    </row>
    <row r="1466" spans="1:38" x14ac:dyDescent="0.35">
      <c r="A1466" s="9">
        <v>1</v>
      </c>
      <c r="B1466" s="50" t="s">
        <v>181</v>
      </c>
      <c r="C1466" s="53">
        <v>43901</v>
      </c>
      <c r="D1466" s="53">
        <v>43911</v>
      </c>
      <c r="E1466" s="53">
        <v>43983</v>
      </c>
      <c r="F1466" s="21">
        <f t="shared" si="454"/>
        <v>72</v>
      </c>
      <c r="G1466" s="53">
        <v>43911</v>
      </c>
      <c r="H1466" s="9">
        <v>2020</v>
      </c>
      <c r="I1466" s="9">
        <v>1</v>
      </c>
      <c r="J1466" s="50">
        <v>8</v>
      </c>
      <c r="K1466" s="50">
        <v>33</v>
      </c>
      <c r="L1466" s="24" t="s">
        <v>1577</v>
      </c>
      <c r="M1466" s="24"/>
      <c r="V1466" t="s">
        <v>986</v>
      </c>
      <c r="W1466" t="s">
        <v>989</v>
      </c>
      <c r="X1466" t="s">
        <v>998</v>
      </c>
      <c r="Y1466" t="s">
        <v>1003</v>
      </c>
      <c r="Z1466">
        <v>1</v>
      </c>
      <c r="AA1466">
        <v>-1</v>
      </c>
      <c r="AB1466">
        <v>-1</v>
      </c>
      <c r="AC1466">
        <v>-1</v>
      </c>
      <c r="AD1466">
        <v>-1</v>
      </c>
      <c r="AE1466">
        <v>-1</v>
      </c>
      <c r="AF1466">
        <v>-1</v>
      </c>
      <c r="AG1466">
        <v>-1</v>
      </c>
      <c r="AH1466">
        <v>-1</v>
      </c>
      <c r="AI1466">
        <v>-1</v>
      </c>
      <c r="AJ1466" s="9">
        <f t="shared" si="452"/>
        <v>33</v>
      </c>
      <c r="AK1466">
        <f t="shared" si="453"/>
        <v>0</v>
      </c>
      <c r="AL1466" s="9">
        <v>0</v>
      </c>
    </row>
    <row r="1467" spans="1:38" x14ac:dyDescent="0.35">
      <c r="A1467" s="9">
        <v>1</v>
      </c>
      <c r="B1467" s="50" t="s">
        <v>181</v>
      </c>
      <c r="C1467" s="53">
        <v>43901</v>
      </c>
      <c r="D1467" s="53">
        <v>43911</v>
      </c>
      <c r="E1467" s="53">
        <v>43983</v>
      </c>
      <c r="F1467" s="21">
        <f t="shared" si="454"/>
        <v>72</v>
      </c>
      <c r="G1467" s="53">
        <v>43911</v>
      </c>
      <c r="H1467" s="9">
        <v>2020</v>
      </c>
      <c r="I1467" s="9">
        <v>1</v>
      </c>
      <c r="J1467" s="50">
        <v>5</v>
      </c>
      <c r="K1467" s="50">
        <v>23</v>
      </c>
      <c r="L1467" s="24" t="s">
        <v>1578</v>
      </c>
      <c r="M1467" s="24"/>
      <c r="V1467" t="s">
        <v>986</v>
      </c>
      <c r="W1467" t="s">
        <v>989</v>
      </c>
      <c r="X1467" t="s">
        <v>998</v>
      </c>
      <c r="Y1467" t="s">
        <v>1003</v>
      </c>
      <c r="Z1467">
        <v>1</v>
      </c>
      <c r="AA1467">
        <v>-1</v>
      </c>
      <c r="AB1467">
        <v>-1</v>
      </c>
      <c r="AC1467">
        <v>-1</v>
      </c>
      <c r="AD1467">
        <v>-1</v>
      </c>
      <c r="AE1467">
        <v>-1</v>
      </c>
      <c r="AF1467">
        <v>-1</v>
      </c>
      <c r="AG1467">
        <v>-1</v>
      </c>
      <c r="AH1467">
        <v>-1</v>
      </c>
      <c r="AI1467">
        <v>-1</v>
      </c>
      <c r="AJ1467" s="9">
        <f t="shared" ref="AJ1467:AJ1482" si="455">IF(ISNUMBER(K1467),K1467,IF(OR(K1467="general",K1467="23;general"),"General",IF(OR(K1467="exemption",K1467="other (exemption)"),"Tax exemption/waiver/suspension","Other")))</f>
        <v>23</v>
      </c>
      <c r="AK1467" t="e">
        <f>IF(B1467&lt;&gt;#REF!,1,0)</f>
        <v>#REF!</v>
      </c>
      <c r="AL1467" s="9">
        <v>0</v>
      </c>
    </row>
    <row r="1468" spans="1:38" x14ac:dyDescent="0.35">
      <c r="A1468" s="9">
        <v>1</v>
      </c>
      <c r="B1468" s="50" t="s">
        <v>181</v>
      </c>
      <c r="C1468" s="53">
        <v>43901</v>
      </c>
      <c r="D1468" s="53">
        <v>43911</v>
      </c>
      <c r="E1468" s="53">
        <v>43983</v>
      </c>
      <c r="F1468" s="21">
        <f t="shared" si="454"/>
        <v>72</v>
      </c>
      <c r="G1468" s="53">
        <v>43911</v>
      </c>
      <c r="H1468" s="9">
        <v>2020</v>
      </c>
      <c r="I1468" s="9">
        <v>1</v>
      </c>
      <c r="J1468" s="50">
        <v>7</v>
      </c>
      <c r="K1468" s="50">
        <v>32</v>
      </c>
      <c r="L1468" s="24" t="s">
        <v>1579</v>
      </c>
      <c r="M1468" s="24"/>
      <c r="V1468" t="s">
        <v>986</v>
      </c>
      <c r="W1468" t="s">
        <v>989</v>
      </c>
      <c r="X1468" t="s">
        <v>998</v>
      </c>
      <c r="Y1468" t="s">
        <v>1003</v>
      </c>
      <c r="Z1468">
        <v>1</v>
      </c>
      <c r="AA1468">
        <v>-1</v>
      </c>
      <c r="AB1468">
        <v>-1</v>
      </c>
      <c r="AC1468">
        <v>-1</v>
      </c>
      <c r="AD1468">
        <v>-1</v>
      </c>
      <c r="AE1468">
        <v>-1</v>
      </c>
      <c r="AF1468">
        <v>-1</v>
      </c>
      <c r="AG1468">
        <v>-1</v>
      </c>
      <c r="AH1468">
        <v>-1</v>
      </c>
      <c r="AI1468">
        <v>-1</v>
      </c>
      <c r="AJ1468" s="9">
        <f t="shared" si="455"/>
        <v>32</v>
      </c>
      <c r="AK1468">
        <f t="shared" si="453"/>
        <v>0</v>
      </c>
      <c r="AL1468" s="9">
        <v>0</v>
      </c>
    </row>
    <row r="1469" spans="1:38" x14ac:dyDescent="0.35">
      <c r="A1469" s="9">
        <v>1</v>
      </c>
      <c r="B1469" s="50" t="s">
        <v>181</v>
      </c>
      <c r="C1469" s="53">
        <v>43901</v>
      </c>
      <c r="D1469" s="53">
        <v>43911</v>
      </c>
      <c r="E1469" s="53">
        <v>43983</v>
      </c>
      <c r="F1469" s="21">
        <f t="shared" si="454"/>
        <v>72</v>
      </c>
      <c r="G1469" s="53">
        <v>43911</v>
      </c>
      <c r="H1469" s="9">
        <v>2020</v>
      </c>
      <c r="I1469" s="9">
        <v>1</v>
      </c>
      <c r="J1469" s="50">
        <v>7</v>
      </c>
      <c r="K1469" s="50">
        <v>30</v>
      </c>
      <c r="L1469" s="24" t="s">
        <v>1580</v>
      </c>
      <c r="M1469" s="24"/>
      <c r="V1469" t="s">
        <v>986</v>
      </c>
      <c r="W1469" t="s">
        <v>989</v>
      </c>
      <c r="X1469" t="s">
        <v>998</v>
      </c>
      <c r="Y1469" t="s">
        <v>1003</v>
      </c>
      <c r="Z1469">
        <v>1</v>
      </c>
      <c r="AA1469">
        <v>-1</v>
      </c>
      <c r="AB1469">
        <v>-1</v>
      </c>
      <c r="AC1469">
        <v>-1</v>
      </c>
      <c r="AD1469">
        <v>-1</v>
      </c>
      <c r="AE1469">
        <v>-1</v>
      </c>
      <c r="AF1469">
        <v>-1</v>
      </c>
      <c r="AG1469">
        <v>-1</v>
      </c>
      <c r="AH1469">
        <v>-1</v>
      </c>
      <c r="AI1469">
        <v>-1</v>
      </c>
      <c r="AJ1469" s="9">
        <f t="shared" si="455"/>
        <v>30</v>
      </c>
      <c r="AK1469">
        <f t="shared" si="453"/>
        <v>0</v>
      </c>
      <c r="AL1469" s="9">
        <v>0</v>
      </c>
    </row>
    <row r="1470" spans="1:38" x14ac:dyDescent="0.35">
      <c r="A1470" s="9">
        <v>1</v>
      </c>
      <c r="B1470" s="50" t="s">
        <v>181</v>
      </c>
      <c r="C1470" s="53">
        <v>43901</v>
      </c>
      <c r="D1470" s="53">
        <v>43911</v>
      </c>
      <c r="E1470" s="53">
        <v>43983</v>
      </c>
      <c r="F1470" s="21">
        <f t="shared" si="454"/>
        <v>72</v>
      </c>
      <c r="G1470" s="53">
        <v>43911</v>
      </c>
      <c r="H1470" s="9">
        <v>2020</v>
      </c>
      <c r="I1470" s="9">
        <v>1</v>
      </c>
      <c r="J1470" s="50">
        <v>7</v>
      </c>
      <c r="K1470" s="50">
        <v>30</v>
      </c>
      <c r="L1470" s="24" t="s">
        <v>1581</v>
      </c>
      <c r="M1470" s="24"/>
      <c r="V1470" t="s">
        <v>986</v>
      </c>
      <c r="W1470" t="s">
        <v>989</v>
      </c>
      <c r="X1470" t="s">
        <v>998</v>
      </c>
      <c r="Y1470" t="s">
        <v>1003</v>
      </c>
      <c r="Z1470">
        <v>1</v>
      </c>
      <c r="AA1470">
        <v>-1</v>
      </c>
      <c r="AB1470">
        <v>-1</v>
      </c>
      <c r="AC1470">
        <v>-1</v>
      </c>
      <c r="AD1470">
        <v>-1</v>
      </c>
      <c r="AE1470">
        <v>-1</v>
      </c>
      <c r="AF1470">
        <v>-1</v>
      </c>
      <c r="AG1470">
        <v>-1</v>
      </c>
      <c r="AH1470">
        <v>-1</v>
      </c>
      <c r="AI1470">
        <v>-1</v>
      </c>
      <c r="AJ1470" s="9">
        <f t="shared" si="455"/>
        <v>30</v>
      </c>
      <c r="AK1470">
        <f t="shared" si="453"/>
        <v>0</v>
      </c>
      <c r="AL1470" s="9">
        <v>0</v>
      </c>
    </row>
    <row r="1471" spans="1:38" x14ac:dyDescent="0.35">
      <c r="A1471" s="9">
        <v>1</v>
      </c>
      <c r="B1471" s="50" t="s">
        <v>181</v>
      </c>
      <c r="C1471" s="53">
        <v>43901</v>
      </c>
      <c r="D1471" s="53">
        <v>43911</v>
      </c>
      <c r="E1471" s="53">
        <v>43983</v>
      </c>
      <c r="F1471" s="21">
        <f t="shared" si="454"/>
        <v>72</v>
      </c>
      <c r="G1471" s="53">
        <v>43911</v>
      </c>
      <c r="H1471" s="9">
        <v>2020</v>
      </c>
      <c r="I1471" s="9">
        <v>1</v>
      </c>
      <c r="J1471" s="50">
        <v>1</v>
      </c>
      <c r="K1471" s="50">
        <v>5</v>
      </c>
      <c r="L1471" s="24" t="s">
        <v>1582</v>
      </c>
      <c r="M1471" s="24"/>
      <c r="V1471" t="s">
        <v>986</v>
      </c>
      <c r="W1471" t="s">
        <v>989</v>
      </c>
      <c r="X1471" t="s">
        <v>998</v>
      </c>
      <c r="Y1471" t="s">
        <v>1003</v>
      </c>
      <c r="Z1471">
        <v>1</v>
      </c>
      <c r="AA1471">
        <v>-1</v>
      </c>
      <c r="AB1471">
        <v>-1</v>
      </c>
      <c r="AC1471">
        <v>-1</v>
      </c>
      <c r="AD1471">
        <v>-1</v>
      </c>
      <c r="AE1471">
        <v>-1</v>
      </c>
      <c r="AF1471">
        <v>-1</v>
      </c>
      <c r="AG1471">
        <v>-1</v>
      </c>
      <c r="AH1471">
        <v>-1</v>
      </c>
      <c r="AI1471">
        <v>-1</v>
      </c>
      <c r="AJ1471" s="9">
        <f t="shared" si="455"/>
        <v>5</v>
      </c>
      <c r="AK1471">
        <f t="shared" si="453"/>
        <v>0</v>
      </c>
      <c r="AL1471" s="9">
        <v>0</v>
      </c>
    </row>
    <row r="1472" spans="1:38" x14ac:dyDescent="0.35">
      <c r="A1472" s="9">
        <v>1</v>
      </c>
      <c r="B1472" s="50" t="s">
        <v>181</v>
      </c>
      <c r="C1472" s="53">
        <v>43901</v>
      </c>
      <c r="D1472" s="53">
        <v>43911</v>
      </c>
      <c r="E1472" s="53">
        <v>43983</v>
      </c>
      <c r="F1472" s="21">
        <f t="shared" si="454"/>
        <v>72</v>
      </c>
      <c r="G1472" s="53">
        <v>43911</v>
      </c>
      <c r="H1472" s="9">
        <v>2020</v>
      </c>
      <c r="I1472" s="9">
        <v>1</v>
      </c>
      <c r="J1472" s="50">
        <v>4</v>
      </c>
      <c r="K1472" s="50">
        <v>20</v>
      </c>
      <c r="L1472" s="24" t="s">
        <v>1583</v>
      </c>
      <c r="M1472" s="24"/>
      <c r="V1472" t="s">
        <v>986</v>
      </c>
      <c r="W1472" t="s">
        <v>989</v>
      </c>
      <c r="X1472" t="s">
        <v>998</v>
      </c>
      <c r="Y1472" t="s">
        <v>1003</v>
      </c>
      <c r="Z1472">
        <v>1</v>
      </c>
      <c r="AA1472">
        <v>-1</v>
      </c>
      <c r="AB1472">
        <v>-1</v>
      </c>
      <c r="AC1472">
        <v>-1</v>
      </c>
      <c r="AD1472">
        <v>-1</v>
      </c>
      <c r="AE1472">
        <v>-1</v>
      </c>
      <c r="AF1472">
        <v>-1</v>
      </c>
      <c r="AG1472">
        <v>-1</v>
      </c>
      <c r="AH1472">
        <v>-1</v>
      </c>
      <c r="AI1472">
        <v>-1</v>
      </c>
      <c r="AJ1472" s="9">
        <f t="shared" si="455"/>
        <v>20</v>
      </c>
      <c r="AK1472">
        <f t="shared" si="453"/>
        <v>0</v>
      </c>
      <c r="AL1472" s="9">
        <v>0</v>
      </c>
    </row>
    <row r="1473" spans="1:38" x14ac:dyDescent="0.35">
      <c r="A1473" s="9">
        <v>1</v>
      </c>
      <c r="B1473" s="50" t="s">
        <v>181</v>
      </c>
      <c r="C1473" s="53">
        <v>43901</v>
      </c>
      <c r="D1473" s="53">
        <v>43911</v>
      </c>
      <c r="E1473" s="53">
        <v>43983</v>
      </c>
      <c r="F1473" s="21">
        <f t="shared" si="454"/>
        <v>72</v>
      </c>
      <c r="G1473" s="53">
        <v>43911</v>
      </c>
      <c r="H1473" s="9">
        <v>2020</v>
      </c>
      <c r="I1473" s="9">
        <v>1</v>
      </c>
      <c r="J1473" s="50">
        <v>1</v>
      </c>
      <c r="K1473" s="50">
        <v>11</v>
      </c>
      <c r="L1473" s="24" t="s">
        <v>1584</v>
      </c>
      <c r="M1473" s="24"/>
      <c r="V1473" t="s">
        <v>986</v>
      </c>
      <c r="W1473" t="s">
        <v>989</v>
      </c>
      <c r="X1473" t="s">
        <v>998</v>
      </c>
      <c r="Y1473" t="s">
        <v>1003</v>
      </c>
      <c r="Z1473">
        <v>1</v>
      </c>
      <c r="AA1473">
        <v>-1</v>
      </c>
      <c r="AB1473">
        <v>-1</v>
      </c>
      <c r="AC1473">
        <v>-1</v>
      </c>
      <c r="AD1473">
        <v>-1</v>
      </c>
      <c r="AE1473">
        <v>-1</v>
      </c>
      <c r="AF1473">
        <v>-1</v>
      </c>
      <c r="AG1473">
        <v>-1</v>
      </c>
      <c r="AH1473">
        <v>-1</v>
      </c>
      <c r="AI1473">
        <v>-1</v>
      </c>
      <c r="AJ1473" s="9">
        <f t="shared" si="455"/>
        <v>11</v>
      </c>
      <c r="AK1473">
        <f t="shared" si="453"/>
        <v>0</v>
      </c>
      <c r="AL1473" s="9">
        <v>0</v>
      </c>
    </row>
    <row r="1474" spans="1:38" s="47" customFormat="1" x14ac:dyDescent="0.35">
      <c r="A1474" s="9">
        <v>1</v>
      </c>
      <c r="B1474" s="50" t="s">
        <v>181</v>
      </c>
      <c r="C1474" s="53">
        <v>43901</v>
      </c>
      <c r="D1474" s="53">
        <v>43911</v>
      </c>
      <c r="E1474" s="53">
        <v>43983</v>
      </c>
      <c r="F1474" s="21">
        <f t="shared" si="454"/>
        <v>72</v>
      </c>
      <c r="G1474" s="53">
        <v>43911</v>
      </c>
      <c r="H1474" s="9">
        <v>2021</v>
      </c>
      <c r="I1474" s="9">
        <v>1</v>
      </c>
      <c r="J1474" s="50">
        <v>6</v>
      </c>
      <c r="K1474" s="50">
        <v>27</v>
      </c>
      <c r="L1474" s="48" t="s">
        <v>2118</v>
      </c>
      <c r="M1474" s="48"/>
      <c r="V1474" t="s">
        <v>986</v>
      </c>
      <c r="AJ1474" s="47">
        <f t="shared" si="455"/>
        <v>27</v>
      </c>
    </row>
    <row r="1475" spans="1:38" s="47" customFormat="1" x14ac:dyDescent="0.35">
      <c r="A1475" s="9">
        <v>1</v>
      </c>
      <c r="B1475" s="50" t="s">
        <v>181</v>
      </c>
      <c r="C1475" s="53">
        <v>43901</v>
      </c>
      <c r="D1475" s="53">
        <v>43911</v>
      </c>
      <c r="E1475" s="53">
        <v>43983</v>
      </c>
      <c r="F1475" s="21">
        <f t="shared" ref="F1475:F1482" si="456">DATEDIF(D1475,E1475,"D")</f>
        <v>72</v>
      </c>
      <c r="G1475" s="53">
        <v>43911</v>
      </c>
      <c r="H1475" s="9">
        <v>2021</v>
      </c>
      <c r="I1475" s="9">
        <v>1</v>
      </c>
      <c r="J1475" s="50">
        <v>9</v>
      </c>
      <c r="K1475" s="50">
        <v>34</v>
      </c>
      <c r="L1475" s="48" t="s">
        <v>2110</v>
      </c>
      <c r="M1475" s="48"/>
      <c r="V1475"/>
      <c r="AJ1475" s="47">
        <f t="shared" si="455"/>
        <v>34</v>
      </c>
    </row>
    <row r="1476" spans="1:38" s="47" customFormat="1" x14ac:dyDescent="0.35">
      <c r="A1476" s="9">
        <v>1</v>
      </c>
      <c r="B1476" s="50" t="s">
        <v>181</v>
      </c>
      <c r="C1476" s="53">
        <v>43901</v>
      </c>
      <c r="D1476" s="53">
        <v>43911</v>
      </c>
      <c r="E1476" s="53">
        <v>43983</v>
      </c>
      <c r="F1476" s="21">
        <f t="shared" si="456"/>
        <v>72</v>
      </c>
      <c r="G1476" s="53">
        <v>43911</v>
      </c>
      <c r="H1476" s="9">
        <v>2021</v>
      </c>
      <c r="I1476" s="9">
        <v>1</v>
      </c>
      <c r="J1476" s="50">
        <v>9</v>
      </c>
      <c r="K1476" s="50">
        <v>34</v>
      </c>
      <c r="L1476" s="48" t="s">
        <v>2111</v>
      </c>
      <c r="M1476" s="48"/>
      <c r="V1476"/>
      <c r="AJ1476" s="47">
        <f t="shared" si="455"/>
        <v>34</v>
      </c>
    </row>
    <row r="1477" spans="1:38" s="47" customFormat="1" x14ac:dyDescent="0.35">
      <c r="A1477" s="9">
        <v>1</v>
      </c>
      <c r="B1477" s="50" t="s">
        <v>181</v>
      </c>
      <c r="C1477" s="53">
        <v>43901</v>
      </c>
      <c r="D1477" s="53">
        <v>43911</v>
      </c>
      <c r="E1477" s="53">
        <v>43983</v>
      </c>
      <c r="F1477" s="21">
        <f t="shared" si="456"/>
        <v>72</v>
      </c>
      <c r="G1477" s="53">
        <v>43911</v>
      </c>
      <c r="H1477" s="9">
        <v>2021</v>
      </c>
      <c r="I1477" s="9">
        <v>1</v>
      </c>
      <c r="J1477" s="50">
        <v>6</v>
      </c>
      <c r="K1477" s="50">
        <v>29</v>
      </c>
      <c r="L1477" s="48" t="s">
        <v>2112</v>
      </c>
      <c r="M1477" s="48"/>
      <c r="V1477"/>
      <c r="AJ1477" s="47">
        <f t="shared" si="455"/>
        <v>29</v>
      </c>
    </row>
    <row r="1478" spans="1:38" s="47" customFormat="1" x14ac:dyDescent="0.35">
      <c r="A1478" s="9">
        <v>1</v>
      </c>
      <c r="B1478" s="50" t="s">
        <v>181</v>
      </c>
      <c r="C1478" s="53">
        <v>43901</v>
      </c>
      <c r="D1478" s="53">
        <v>43911</v>
      </c>
      <c r="E1478" s="53">
        <v>43983</v>
      </c>
      <c r="F1478" s="21">
        <f t="shared" si="456"/>
        <v>72</v>
      </c>
      <c r="G1478" s="53">
        <v>43911</v>
      </c>
      <c r="H1478" s="9">
        <v>2021</v>
      </c>
      <c r="I1478" s="9">
        <v>1</v>
      </c>
      <c r="J1478" s="50">
        <v>1</v>
      </c>
      <c r="K1478" s="50">
        <v>6</v>
      </c>
      <c r="L1478" s="48" t="s">
        <v>2113</v>
      </c>
      <c r="M1478" s="48"/>
      <c r="V1478"/>
      <c r="AJ1478" s="47">
        <f t="shared" si="455"/>
        <v>6</v>
      </c>
    </row>
    <row r="1479" spans="1:38" s="47" customFormat="1" x14ac:dyDescent="0.35">
      <c r="A1479" s="9">
        <v>1</v>
      </c>
      <c r="B1479" s="50" t="s">
        <v>181</v>
      </c>
      <c r="C1479" s="53">
        <v>43901</v>
      </c>
      <c r="D1479" s="53">
        <v>43911</v>
      </c>
      <c r="E1479" s="53">
        <v>43983</v>
      </c>
      <c r="F1479" s="21">
        <f t="shared" si="456"/>
        <v>72</v>
      </c>
      <c r="G1479" s="53">
        <v>43911</v>
      </c>
      <c r="H1479" s="9">
        <v>2021</v>
      </c>
      <c r="I1479" s="9">
        <v>1</v>
      </c>
      <c r="J1479" s="50">
        <v>1</v>
      </c>
      <c r="K1479" s="50">
        <v>7</v>
      </c>
      <c r="L1479" s="48" t="s">
        <v>2114</v>
      </c>
      <c r="M1479" s="48"/>
      <c r="V1479"/>
      <c r="AJ1479" s="47">
        <f t="shared" si="455"/>
        <v>7</v>
      </c>
    </row>
    <row r="1480" spans="1:38" s="47" customFormat="1" x14ac:dyDescent="0.35">
      <c r="A1480" s="9">
        <v>1</v>
      </c>
      <c r="B1480" s="50" t="s">
        <v>181</v>
      </c>
      <c r="C1480" s="53">
        <v>43901</v>
      </c>
      <c r="D1480" s="53">
        <v>43911</v>
      </c>
      <c r="E1480" s="53">
        <v>43983</v>
      </c>
      <c r="F1480" s="21">
        <f t="shared" si="456"/>
        <v>72</v>
      </c>
      <c r="G1480" s="53">
        <v>43911</v>
      </c>
      <c r="H1480" s="9">
        <v>2021</v>
      </c>
      <c r="I1480" s="9">
        <v>1</v>
      </c>
      <c r="J1480" s="50">
        <v>1</v>
      </c>
      <c r="K1480" s="50">
        <v>7</v>
      </c>
      <c r="L1480" s="48" t="s">
        <v>2115</v>
      </c>
      <c r="M1480" s="48"/>
      <c r="V1480"/>
      <c r="AJ1480" s="47">
        <f t="shared" si="455"/>
        <v>7</v>
      </c>
    </row>
    <row r="1481" spans="1:38" s="47" customFormat="1" x14ac:dyDescent="0.35">
      <c r="A1481" s="9">
        <v>1</v>
      </c>
      <c r="B1481" s="50" t="s">
        <v>181</v>
      </c>
      <c r="C1481" s="53">
        <v>43901</v>
      </c>
      <c r="D1481" s="53">
        <v>43911</v>
      </c>
      <c r="E1481" s="53">
        <v>43983</v>
      </c>
      <c r="F1481" s="21">
        <f t="shared" si="456"/>
        <v>72</v>
      </c>
      <c r="G1481" s="53">
        <v>43911</v>
      </c>
      <c r="H1481" s="9">
        <v>2021</v>
      </c>
      <c r="I1481" s="9">
        <v>1</v>
      </c>
      <c r="J1481" s="50">
        <v>7</v>
      </c>
      <c r="K1481" s="50">
        <v>30</v>
      </c>
      <c r="L1481" s="48" t="s">
        <v>2116</v>
      </c>
      <c r="M1481" s="48"/>
      <c r="V1481"/>
      <c r="AJ1481" s="47">
        <f t="shared" si="455"/>
        <v>30</v>
      </c>
    </row>
    <row r="1482" spans="1:38" s="47" customFormat="1" x14ac:dyDescent="0.35">
      <c r="A1482" s="9">
        <v>1</v>
      </c>
      <c r="B1482" s="50" t="s">
        <v>181</v>
      </c>
      <c r="C1482" s="53">
        <v>43901</v>
      </c>
      <c r="D1482" s="53">
        <v>43911</v>
      </c>
      <c r="E1482" s="53">
        <v>43983</v>
      </c>
      <c r="F1482" s="21">
        <f t="shared" si="456"/>
        <v>72</v>
      </c>
      <c r="G1482" s="53">
        <v>43911</v>
      </c>
      <c r="H1482" s="9">
        <v>2021</v>
      </c>
      <c r="I1482" s="9">
        <v>1</v>
      </c>
      <c r="J1482" s="50">
        <v>7</v>
      </c>
      <c r="K1482" s="50">
        <v>30</v>
      </c>
      <c r="L1482" s="48" t="s">
        <v>2117</v>
      </c>
      <c r="M1482" s="48"/>
      <c r="V1482"/>
      <c r="AJ1482" s="47">
        <f t="shared" si="455"/>
        <v>30</v>
      </c>
    </row>
    <row r="1483" spans="1:38" x14ac:dyDescent="0.35">
      <c r="A1483" s="9">
        <v>1</v>
      </c>
      <c r="B1483" s="9" t="s">
        <v>62</v>
      </c>
      <c r="C1483" s="53">
        <v>43859</v>
      </c>
      <c r="D1483" s="53">
        <v>43910</v>
      </c>
      <c r="E1483" s="53">
        <v>43986</v>
      </c>
      <c r="F1483" s="21">
        <f t="shared" si="454"/>
        <v>76</v>
      </c>
      <c r="G1483" s="53">
        <v>43910</v>
      </c>
      <c r="H1483" s="9">
        <v>2020</v>
      </c>
      <c r="I1483" s="9">
        <v>1</v>
      </c>
      <c r="J1483" s="9">
        <v>6</v>
      </c>
      <c r="K1483" s="9">
        <v>29</v>
      </c>
      <c r="L1483" s="50" t="s">
        <v>517</v>
      </c>
      <c r="M1483">
        <v>1</v>
      </c>
      <c r="N1483">
        <v>2</v>
      </c>
      <c r="O1483">
        <v>-2</v>
      </c>
      <c r="P1483">
        <v>-1</v>
      </c>
      <c r="Q1483">
        <v>-2</v>
      </c>
      <c r="R1483">
        <v>-2</v>
      </c>
      <c r="S1483">
        <v>-2</v>
      </c>
      <c r="T1483">
        <v>-2</v>
      </c>
      <c r="U1483">
        <v>1</v>
      </c>
      <c r="V1483" t="s">
        <v>965</v>
      </c>
      <c r="W1483" t="s">
        <v>989</v>
      </c>
      <c r="X1483" t="s">
        <v>997</v>
      </c>
      <c r="Y1483" t="s">
        <v>1000</v>
      </c>
      <c r="Z1483">
        <v>1</v>
      </c>
      <c r="AA1483">
        <f t="shared" ref="AA1483:AA1503" si="457">IF(M1483&gt;0,1,IF(M1483&lt;0,0,-1))</f>
        <v>1</v>
      </c>
      <c r="AB1483">
        <f t="shared" ref="AB1483:AB1503" si="458">IF(N1483&gt;0,1,IF(N1483&lt;0,0,-1))</f>
        <v>1</v>
      </c>
      <c r="AC1483">
        <f t="shared" ref="AC1483:AC1503" si="459">IF(O1483&gt;0,1,IF(O1483&lt;0,0,-1))</f>
        <v>0</v>
      </c>
      <c r="AD1483">
        <f t="shared" ref="AD1483:AD1503" si="460">IF(P1483&gt;0,1,IF(P1483&lt;0,0,-1))</f>
        <v>0</v>
      </c>
      <c r="AE1483">
        <f t="shared" ref="AE1483:AE1503" si="461">IF(Q1483&gt;0,1,IF(Q1483&lt;0,0,-1))</f>
        <v>0</v>
      </c>
      <c r="AF1483">
        <f t="shared" ref="AF1483:AF1503" si="462">IF(R1483&gt;0,1,IF(R1483&lt;0,0,-1))</f>
        <v>0</v>
      </c>
      <c r="AG1483">
        <f t="shared" ref="AG1483:AG1503" si="463">IF(S1483&gt;0,1,IF(S1483&lt;0,0,-1))</f>
        <v>0</v>
      </c>
      <c r="AH1483">
        <f t="shared" ref="AH1483:AH1503" si="464">IF(T1483&gt;0,1,IF(T1483&lt;0,0,-1))</f>
        <v>0</v>
      </c>
      <c r="AI1483">
        <f t="shared" ref="AI1483:AI1503" si="465">IF(U1483&gt;0,1,IF(U1483&lt;0,0,-1))</f>
        <v>1</v>
      </c>
      <c r="AJ1483" s="9">
        <f t="shared" ref="AJ1483:AJ1508" si="466">IF(ISNUMBER(K1483),K1483,IF(OR(K1483="general",K1483="23;general"),"General",IF(OR(K1483="exemption",K1483="other (exemption)"),"Tax exemption/waiver/suspension","Other")))</f>
        <v>29</v>
      </c>
      <c r="AK1483" t="e">
        <f>IF(B1483&lt;&gt;#REF!,1,0)</f>
        <v>#REF!</v>
      </c>
      <c r="AL1483" s="9">
        <v>1</v>
      </c>
    </row>
    <row r="1484" spans="1:38" x14ac:dyDescent="0.35">
      <c r="A1484" s="9">
        <v>1</v>
      </c>
      <c r="B1484" s="9" t="s">
        <v>62</v>
      </c>
      <c r="C1484" s="53">
        <v>43859</v>
      </c>
      <c r="D1484" s="53">
        <v>43910</v>
      </c>
      <c r="E1484" s="53">
        <v>43986</v>
      </c>
      <c r="F1484" s="21">
        <f t="shared" si="454"/>
        <v>76</v>
      </c>
      <c r="G1484" s="53">
        <v>43910</v>
      </c>
      <c r="H1484" s="9">
        <v>2020</v>
      </c>
      <c r="I1484" s="9">
        <v>1</v>
      </c>
      <c r="J1484" s="9">
        <v>1</v>
      </c>
      <c r="K1484" s="9" t="s">
        <v>206</v>
      </c>
      <c r="L1484" s="50" t="s">
        <v>510</v>
      </c>
      <c r="M1484">
        <v>2</v>
      </c>
      <c r="N1484">
        <v>2</v>
      </c>
      <c r="O1484">
        <v>-2</v>
      </c>
      <c r="P1484">
        <v>-1</v>
      </c>
      <c r="Q1484">
        <v>-2</v>
      </c>
      <c r="R1484">
        <v>2</v>
      </c>
      <c r="S1484">
        <v>2</v>
      </c>
      <c r="T1484">
        <v>-2</v>
      </c>
      <c r="U1484">
        <v>1</v>
      </c>
      <c r="V1484" t="s">
        <v>965</v>
      </c>
      <c r="W1484" t="s">
        <v>989</v>
      </c>
      <c r="X1484" t="s">
        <v>997</v>
      </c>
      <c r="Y1484" t="s">
        <v>1000</v>
      </c>
      <c r="Z1484">
        <v>1</v>
      </c>
      <c r="AA1484">
        <f t="shared" si="457"/>
        <v>1</v>
      </c>
      <c r="AB1484">
        <f t="shared" si="458"/>
        <v>1</v>
      </c>
      <c r="AC1484">
        <f t="shared" si="459"/>
        <v>0</v>
      </c>
      <c r="AD1484">
        <f t="shared" si="460"/>
        <v>0</v>
      </c>
      <c r="AE1484">
        <f t="shared" si="461"/>
        <v>0</v>
      </c>
      <c r="AF1484">
        <f t="shared" si="462"/>
        <v>1</v>
      </c>
      <c r="AG1484">
        <f t="shared" si="463"/>
        <v>1</v>
      </c>
      <c r="AH1484">
        <f t="shared" si="464"/>
        <v>0</v>
      </c>
      <c r="AI1484">
        <f t="shared" si="465"/>
        <v>1</v>
      </c>
      <c r="AJ1484" s="9" t="str">
        <f t="shared" si="466"/>
        <v>Tax exemption/waiver/suspension</v>
      </c>
      <c r="AK1484">
        <f t="shared" ref="AK1484:AK1508" si="467">IF(B1484&lt;&gt;B1483,1,0)</f>
        <v>0</v>
      </c>
      <c r="AL1484" s="9">
        <v>1</v>
      </c>
    </row>
    <row r="1485" spans="1:38" x14ac:dyDescent="0.35">
      <c r="A1485" s="9">
        <v>1</v>
      </c>
      <c r="B1485" s="9" t="s">
        <v>62</v>
      </c>
      <c r="C1485" s="53">
        <v>43859</v>
      </c>
      <c r="D1485" s="53">
        <v>43910</v>
      </c>
      <c r="E1485" s="53">
        <v>43986</v>
      </c>
      <c r="F1485" s="21">
        <f t="shared" si="454"/>
        <v>76</v>
      </c>
      <c r="G1485" s="53">
        <v>43910</v>
      </c>
      <c r="H1485" s="9">
        <v>2020</v>
      </c>
      <c r="I1485" s="9">
        <v>1</v>
      </c>
      <c r="J1485" s="9">
        <v>7</v>
      </c>
      <c r="K1485" s="9">
        <v>30</v>
      </c>
      <c r="L1485" s="50" t="s">
        <v>521</v>
      </c>
      <c r="M1485">
        <v>2</v>
      </c>
      <c r="N1485">
        <v>2</v>
      </c>
      <c r="O1485">
        <v>2</v>
      </c>
      <c r="P1485">
        <v>2</v>
      </c>
      <c r="Q1485">
        <v>2</v>
      </c>
      <c r="R1485">
        <v>2</v>
      </c>
      <c r="S1485">
        <v>2</v>
      </c>
      <c r="T1485">
        <v>2</v>
      </c>
      <c r="U1485">
        <v>1</v>
      </c>
      <c r="V1485" t="s">
        <v>965</v>
      </c>
      <c r="W1485" t="s">
        <v>989</v>
      </c>
      <c r="X1485" t="s">
        <v>997</v>
      </c>
      <c r="Y1485" t="s">
        <v>1000</v>
      </c>
      <c r="Z1485">
        <v>1</v>
      </c>
      <c r="AA1485">
        <f t="shared" si="457"/>
        <v>1</v>
      </c>
      <c r="AB1485">
        <f t="shared" si="458"/>
        <v>1</v>
      </c>
      <c r="AC1485">
        <f t="shared" si="459"/>
        <v>1</v>
      </c>
      <c r="AD1485">
        <f t="shared" si="460"/>
        <v>1</v>
      </c>
      <c r="AE1485">
        <f t="shared" si="461"/>
        <v>1</v>
      </c>
      <c r="AF1485">
        <f t="shared" si="462"/>
        <v>1</v>
      </c>
      <c r="AG1485">
        <f t="shared" si="463"/>
        <v>1</v>
      </c>
      <c r="AH1485">
        <f t="shared" si="464"/>
        <v>1</v>
      </c>
      <c r="AI1485">
        <f t="shared" si="465"/>
        <v>1</v>
      </c>
      <c r="AJ1485" s="9">
        <f t="shared" si="466"/>
        <v>30</v>
      </c>
      <c r="AK1485">
        <f t="shared" si="467"/>
        <v>0</v>
      </c>
      <c r="AL1485" s="9">
        <v>1</v>
      </c>
    </row>
    <row r="1486" spans="1:38" x14ac:dyDescent="0.35">
      <c r="A1486" s="9">
        <v>1</v>
      </c>
      <c r="B1486" s="9" t="s">
        <v>62</v>
      </c>
      <c r="C1486" s="53">
        <v>43859</v>
      </c>
      <c r="D1486" s="53">
        <v>43910</v>
      </c>
      <c r="E1486" s="53">
        <v>43986</v>
      </c>
      <c r="F1486" s="21">
        <f t="shared" si="454"/>
        <v>76</v>
      </c>
      <c r="G1486" s="53">
        <v>43910</v>
      </c>
      <c r="H1486" s="9">
        <v>2020</v>
      </c>
      <c r="I1486" s="9">
        <v>1</v>
      </c>
      <c r="J1486" s="9">
        <v>6</v>
      </c>
      <c r="K1486" s="9">
        <v>27</v>
      </c>
      <c r="L1486" s="50" t="s">
        <v>511</v>
      </c>
      <c r="M1486">
        <v>1</v>
      </c>
      <c r="N1486">
        <v>2</v>
      </c>
      <c r="O1486">
        <v>-2</v>
      </c>
      <c r="P1486">
        <v>-1</v>
      </c>
      <c r="Q1486">
        <v>-2</v>
      </c>
      <c r="R1486">
        <v>2</v>
      </c>
      <c r="S1486">
        <v>2</v>
      </c>
      <c r="T1486">
        <v>-2</v>
      </c>
      <c r="U1486">
        <v>1</v>
      </c>
      <c r="V1486" t="s">
        <v>965</v>
      </c>
      <c r="W1486" t="s">
        <v>989</v>
      </c>
      <c r="X1486" t="s">
        <v>997</v>
      </c>
      <c r="Y1486" t="s">
        <v>1000</v>
      </c>
      <c r="Z1486">
        <v>1</v>
      </c>
      <c r="AA1486">
        <f t="shared" si="457"/>
        <v>1</v>
      </c>
      <c r="AB1486">
        <f t="shared" si="458"/>
        <v>1</v>
      </c>
      <c r="AC1486">
        <f t="shared" si="459"/>
        <v>0</v>
      </c>
      <c r="AD1486">
        <f t="shared" si="460"/>
        <v>0</v>
      </c>
      <c r="AE1486">
        <f t="shared" si="461"/>
        <v>0</v>
      </c>
      <c r="AF1486">
        <f t="shared" si="462"/>
        <v>1</v>
      </c>
      <c r="AG1486">
        <f t="shared" si="463"/>
        <v>1</v>
      </c>
      <c r="AH1486">
        <f t="shared" si="464"/>
        <v>0</v>
      </c>
      <c r="AI1486">
        <f t="shared" si="465"/>
        <v>1</v>
      </c>
      <c r="AJ1486" s="9">
        <f t="shared" si="466"/>
        <v>27</v>
      </c>
      <c r="AK1486">
        <f t="shared" si="467"/>
        <v>0</v>
      </c>
      <c r="AL1486" s="9">
        <v>1</v>
      </c>
    </row>
    <row r="1487" spans="1:38" x14ac:dyDescent="0.35">
      <c r="A1487" s="9">
        <v>1</v>
      </c>
      <c r="B1487" s="9" t="s">
        <v>62</v>
      </c>
      <c r="C1487" s="53">
        <v>43859</v>
      </c>
      <c r="D1487" s="53">
        <v>43910</v>
      </c>
      <c r="E1487" s="53">
        <v>43986</v>
      </c>
      <c r="F1487" s="21">
        <f t="shared" si="454"/>
        <v>76</v>
      </c>
      <c r="G1487" s="53">
        <v>43910</v>
      </c>
      <c r="H1487" s="9">
        <v>2020</v>
      </c>
      <c r="I1487" s="9">
        <v>1</v>
      </c>
      <c r="J1487" s="9">
        <v>6</v>
      </c>
      <c r="K1487" s="9">
        <v>29</v>
      </c>
      <c r="L1487" s="50" t="s">
        <v>507</v>
      </c>
      <c r="M1487">
        <v>2</v>
      </c>
      <c r="N1487">
        <v>2</v>
      </c>
      <c r="O1487">
        <v>-2</v>
      </c>
      <c r="P1487">
        <v>-1</v>
      </c>
      <c r="Q1487">
        <v>-2</v>
      </c>
      <c r="R1487">
        <v>-2</v>
      </c>
      <c r="S1487">
        <v>-2</v>
      </c>
      <c r="T1487">
        <v>-2</v>
      </c>
      <c r="U1487">
        <v>1</v>
      </c>
      <c r="V1487" t="s">
        <v>965</v>
      </c>
      <c r="W1487" t="s">
        <v>989</v>
      </c>
      <c r="X1487" t="s">
        <v>997</v>
      </c>
      <c r="Y1487" t="s">
        <v>1000</v>
      </c>
      <c r="Z1487">
        <v>1</v>
      </c>
      <c r="AA1487">
        <f t="shared" si="457"/>
        <v>1</v>
      </c>
      <c r="AB1487">
        <f t="shared" si="458"/>
        <v>1</v>
      </c>
      <c r="AC1487">
        <f t="shared" si="459"/>
        <v>0</v>
      </c>
      <c r="AD1487">
        <f t="shared" si="460"/>
        <v>0</v>
      </c>
      <c r="AE1487">
        <f t="shared" si="461"/>
        <v>0</v>
      </c>
      <c r="AF1487">
        <f t="shared" si="462"/>
        <v>0</v>
      </c>
      <c r="AG1487">
        <f t="shared" si="463"/>
        <v>0</v>
      </c>
      <c r="AH1487">
        <f t="shared" si="464"/>
        <v>0</v>
      </c>
      <c r="AI1487">
        <f t="shared" si="465"/>
        <v>1</v>
      </c>
      <c r="AJ1487" s="9">
        <f t="shared" si="466"/>
        <v>29</v>
      </c>
      <c r="AK1487">
        <f t="shared" si="467"/>
        <v>0</v>
      </c>
      <c r="AL1487" s="9">
        <v>1</v>
      </c>
    </row>
    <row r="1488" spans="1:38" x14ac:dyDescent="0.35">
      <c r="A1488" s="9">
        <v>1</v>
      </c>
      <c r="B1488" s="9" t="s">
        <v>62</v>
      </c>
      <c r="C1488" s="53">
        <v>43859</v>
      </c>
      <c r="D1488" s="53">
        <v>43910</v>
      </c>
      <c r="E1488" s="53">
        <v>43986</v>
      </c>
      <c r="F1488" s="21">
        <f t="shared" si="454"/>
        <v>76</v>
      </c>
      <c r="G1488" s="53">
        <v>43910</v>
      </c>
      <c r="H1488" s="9">
        <v>2020</v>
      </c>
      <c r="I1488" s="9">
        <v>1</v>
      </c>
      <c r="J1488" s="9">
        <v>5</v>
      </c>
      <c r="K1488" s="9" t="s">
        <v>204</v>
      </c>
      <c r="L1488" s="50" t="s">
        <v>509</v>
      </c>
      <c r="M1488">
        <v>1</v>
      </c>
      <c r="N1488">
        <v>-2</v>
      </c>
      <c r="O1488">
        <v>-2</v>
      </c>
      <c r="P1488">
        <v>-1</v>
      </c>
      <c r="Q1488">
        <v>-2</v>
      </c>
      <c r="R1488">
        <v>1</v>
      </c>
      <c r="S1488">
        <v>1</v>
      </c>
      <c r="T1488">
        <v>1</v>
      </c>
      <c r="U1488">
        <v>1</v>
      </c>
      <c r="V1488" t="s">
        <v>965</v>
      </c>
      <c r="W1488" t="s">
        <v>989</v>
      </c>
      <c r="X1488" t="s">
        <v>997</v>
      </c>
      <c r="Y1488" t="s">
        <v>1000</v>
      </c>
      <c r="Z1488">
        <v>1</v>
      </c>
      <c r="AA1488">
        <f t="shared" si="457"/>
        <v>1</v>
      </c>
      <c r="AB1488">
        <f t="shared" si="458"/>
        <v>0</v>
      </c>
      <c r="AC1488">
        <f t="shared" si="459"/>
        <v>0</v>
      </c>
      <c r="AD1488">
        <f t="shared" si="460"/>
        <v>0</v>
      </c>
      <c r="AE1488">
        <f t="shared" si="461"/>
        <v>0</v>
      </c>
      <c r="AF1488">
        <f t="shared" si="462"/>
        <v>1</v>
      </c>
      <c r="AG1488">
        <f t="shared" si="463"/>
        <v>1</v>
      </c>
      <c r="AH1488">
        <f t="shared" si="464"/>
        <v>1</v>
      </c>
      <c r="AI1488">
        <f t="shared" si="465"/>
        <v>1</v>
      </c>
      <c r="AJ1488" s="9" t="str">
        <f t="shared" si="466"/>
        <v>General</v>
      </c>
      <c r="AK1488">
        <f t="shared" si="467"/>
        <v>0</v>
      </c>
      <c r="AL1488" s="9">
        <v>1</v>
      </c>
    </row>
    <row r="1489" spans="1:38" x14ac:dyDescent="0.35">
      <c r="A1489" s="9">
        <v>1</v>
      </c>
      <c r="B1489" s="9" t="s">
        <v>62</v>
      </c>
      <c r="C1489" s="53">
        <v>43859</v>
      </c>
      <c r="D1489" s="53">
        <v>43910</v>
      </c>
      <c r="E1489" s="53">
        <v>43986</v>
      </c>
      <c r="F1489" s="21">
        <f t="shared" si="454"/>
        <v>76</v>
      </c>
      <c r="G1489" s="53">
        <v>43910</v>
      </c>
      <c r="H1489" s="9">
        <v>2020</v>
      </c>
      <c r="I1489" s="9">
        <v>1</v>
      </c>
      <c r="J1489" s="9">
        <v>6</v>
      </c>
      <c r="K1489" s="9">
        <v>25</v>
      </c>
      <c r="L1489" s="50" t="s">
        <v>525</v>
      </c>
      <c r="M1489">
        <v>2</v>
      </c>
      <c r="N1489">
        <v>2</v>
      </c>
      <c r="O1489">
        <v>-2</v>
      </c>
      <c r="P1489">
        <v>-1</v>
      </c>
      <c r="Q1489">
        <v>-2</v>
      </c>
      <c r="R1489">
        <v>1</v>
      </c>
      <c r="S1489">
        <v>2</v>
      </c>
      <c r="T1489">
        <v>-2</v>
      </c>
      <c r="U1489">
        <v>1</v>
      </c>
      <c r="V1489" t="s">
        <v>965</v>
      </c>
      <c r="W1489" t="s">
        <v>989</v>
      </c>
      <c r="X1489" t="s">
        <v>997</v>
      </c>
      <c r="Y1489" t="s">
        <v>1000</v>
      </c>
      <c r="Z1489">
        <v>1</v>
      </c>
      <c r="AA1489">
        <f t="shared" si="457"/>
        <v>1</v>
      </c>
      <c r="AB1489">
        <f t="shared" si="458"/>
        <v>1</v>
      </c>
      <c r="AC1489">
        <f t="shared" si="459"/>
        <v>0</v>
      </c>
      <c r="AD1489">
        <f t="shared" si="460"/>
        <v>0</v>
      </c>
      <c r="AE1489">
        <f t="shared" si="461"/>
        <v>0</v>
      </c>
      <c r="AF1489">
        <f t="shared" si="462"/>
        <v>1</v>
      </c>
      <c r="AG1489">
        <f t="shared" si="463"/>
        <v>1</v>
      </c>
      <c r="AH1489">
        <f t="shared" si="464"/>
        <v>0</v>
      </c>
      <c r="AI1489">
        <f t="shared" si="465"/>
        <v>1</v>
      </c>
      <c r="AJ1489" s="9">
        <f t="shared" si="466"/>
        <v>25</v>
      </c>
      <c r="AK1489">
        <f t="shared" si="467"/>
        <v>0</v>
      </c>
      <c r="AL1489" s="9">
        <v>1</v>
      </c>
    </row>
    <row r="1490" spans="1:38" x14ac:dyDescent="0.35">
      <c r="A1490" s="9">
        <v>1</v>
      </c>
      <c r="B1490" s="9" t="s">
        <v>62</v>
      </c>
      <c r="C1490" s="53">
        <v>43859</v>
      </c>
      <c r="D1490" s="53">
        <v>43910</v>
      </c>
      <c r="E1490" s="53">
        <v>43986</v>
      </c>
      <c r="F1490" s="21">
        <f t="shared" si="454"/>
        <v>76</v>
      </c>
      <c r="G1490" s="53">
        <v>43910</v>
      </c>
      <c r="H1490" s="9">
        <v>2020</v>
      </c>
      <c r="I1490" s="9">
        <v>1</v>
      </c>
      <c r="J1490" s="9">
        <v>6</v>
      </c>
      <c r="K1490" s="9">
        <v>26</v>
      </c>
      <c r="L1490" s="50" t="s">
        <v>522</v>
      </c>
      <c r="M1490">
        <v>1</v>
      </c>
      <c r="N1490">
        <v>2</v>
      </c>
      <c r="O1490">
        <v>-2</v>
      </c>
      <c r="P1490">
        <v>-1</v>
      </c>
      <c r="Q1490">
        <v>-2</v>
      </c>
      <c r="R1490">
        <v>2</v>
      </c>
      <c r="S1490">
        <v>2</v>
      </c>
      <c r="T1490">
        <v>-2</v>
      </c>
      <c r="U1490">
        <v>1</v>
      </c>
      <c r="V1490" t="s">
        <v>965</v>
      </c>
      <c r="W1490" t="s">
        <v>989</v>
      </c>
      <c r="X1490" t="s">
        <v>997</v>
      </c>
      <c r="Y1490" t="s">
        <v>1000</v>
      </c>
      <c r="Z1490">
        <v>1</v>
      </c>
      <c r="AA1490">
        <f t="shared" si="457"/>
        <v>1</v>
      </c>
      <c r="AB1490">
        <f t="shared" si="458"/>
        <v>1</v>
      </c>
      <c r="AC1490">
        <f t="shared" si="459"/>
        <v>0</v>
      </c>
      <c r="AD1490">
        <f t="shared" si="460"/>
        <v>0</v>
      </c>
      <c r="AE1490">
        <f t="shared" si="461"/>
        <v>0</v>
      </c>
      <c r="AF1490">
        <f t="shared" si="462"/>
        <v>1</v>
      </c>
      <c r="AG1490">
        <f t="shared" si="463"/>
        <v>1</v>
      </c>
      <c r="AH1490">
        <f t="shared" si="464"/>
        <v>0</v>
      </c>
      <c r="AI1490">
        <f t="shared" si="465"/>
        <v>1</v>
      </c>
      <c r="AJ1490" s="9">
        <f t="shared" si="466"/>
        <v>26</v>
      </c>
      <c r="AK1490">
        <f t="shared" si="467"/>
        <v>0</v>
      </c>
      <c r="AL1490" s="9">
        <v>1</v>
      </c>
    </row>
    <row r="1491" spans="1:38" x14ac:dyDescent="0.35">
      <c r="A1491" s="9">
        <v>1</v>
      </c>
      <c r="B1491" s="9" t="s">
        <v>62</v>
      </c>
      <c r="C1491" s="53">
        <v>43859</v>
      </c>
      <c r="D1491" s="53">
        <v>43910</v>
      </c>
      <c r="E1491" s="53">
        <v>43986</v>
      </c>
      <c r="F1491" s="21">
        <f t="shared" si="454"/>
        <v>76</v>
      </c>
      <c r="G1491" s="53">
        <v>43910</v>
      </c>
      <c r="H1491" s="9">
        <v>2020</v>
      </c>
      <c r="I1491" s="9">
        <v>1</v>
      </c>
      <c r="J1491" s="9">
        <v>1</v>
      </c>
      <c r="K1491" s="9" t="s">
        <v>206</v>
      </c>
      <c r="L1491" s="50" t="s">
        <v>516</v>
      </c>
      <c r="M1491">
        <v>2</v>
      </c>
      <c r="N1491">
        <v>2</v>
      </c>
      <c r="O1491">
        <v>-2</v>
      </c>
      <c r="P1491">
        <v>-1</v>
      </c>
      <c r="Q1491">
        <v>-2</v>
      </c>
      <c r="R1491">
        <v>2</v>
      </c>
      <c r="S1491">
        <v>2</v>
      </c>
      <c r="U1491">
        <v>1</v>
      </c>
      <c r="V1491" t="s">
        <v>965</v>
      </c>
      <c r="W1491" t="s">
        <v>989</v>
      </c>
      <c r="X1491" t="s">
        <v>997</v>
      </c>
      <c r="Y1491" t="s">
        <v>1000</v>
      </c>
      <c r="Z1491">
        <v>1</v>
      </c>
      <c r="AA1491">
        <f t="shared" si="457"/>
        <v>1</v>
      </c>
      <c r="AB1491">
        <f t="shared" si="458"/>
        <v>1</v>
      </c>
      <c r="AC1491">
        <f t="shared" si="459"/>
        <v>0</v>
      </c>
      <c r="AD1491">
        <f t="shared" si="460"/>
        <v>0</v>
      </c>
      <c r="AE1491">
        <f t="shared" si="461"/>
        <v>0</v>
      </c>
      <c r="AF1491">
        <f t="shared" si="462"/>
        <v>1</v>
      </c>
      <c r="AG1491">
        <f t="shared" si="463"/>
        <v>1</v>
      </c>
      <c r="AH1491">
        <f t="shared" si="464"/>
        <v>-1</v>
      </c>
      <c r="AI1491">
        <f t="shared" si="465"/>
        <v>1</v>
      </c>
      <c r="AJ1491" s="9" t="str">
        <f t="shared" si="466"/>
        <v>Tax exemption/waiver/suspension</v>
      </c>
      <c r="AK1491">
        <f t="shared" si="467"/>
        <v>0</v>
      </c>
      <c r="AL1491" s="9">
        <v>1</v>
      </c>
    </row>
    <row r="1492" spans="1:38" x14ac:dyDescent="0.35">
      <c r="A1492" s="9">
        <v>1</v>
      </c>
      <c r="B1492" s="9" t="s">
        <v>62</v>
      </c>
      <c r="C1492" s="53">
        <v>43859</v>
      </c>
      <c r="D1492" s="53">
        <v>43910</v>
      </c>
      <c r="E1492" s="53">
        <v>43986</v>
      </c>
      <c r="F1492" s="21">
        <f t="shared" si="454"/>
        <v>76</v>
      </c>
      <c r="G1492" s="53">
        <v>43910</v>
      </c>
      <c r="H1492" s="9">
        <v>2020</v>
      </c>
      <c r="I1492" s="9">
        <v>1</v>
      </c>
      <c r="J1492" s="9">
        <v>7</v>
      </c>
      <c r="K1492" s="9">
        <v>31</v>
      </c>
      <c r="L1492" s="50" t="s">
        <v>512</v>
      </c>
      <c r="M1492">
        <v>2</v>
      </c>
      <c r="N1492">
        <v>2</v>
      </c>
      <c r="O1492">
        <v>2</v>
      </c>
      <c r="P1492">
        <v>-1</v>
      </c>
      <c r="Q1492">
        <v>2</v>
      </c>
      <c r="R1492">
        <v>2</v>
      </c>
      <c r="S1492">
        <v>2</v>
      </c>
      <c r="T1492">
        <v>2</v>
      </c>
      <c r="U1492">
        <v>1</v>
      </c>
      <c r="V1492" t="s">
        <v>965</v>
      </c>
      <c r="W1492" t="s">
        <v>989</v>
      </c>
      <c r="X1492" t="s">
        <v>997</v>
      </c>
      <c r="Y1492" t="s">
        <v>1000</v>
      </c>
      <c r="Z1492">
        <v>1</v>
      </c>
      <c r="AA1492">
        <f t="shared" si="457"/>
        <v>1</v>
      </c>
      <c r="AB1492">
        <f t="shared" si="458"/>
        <v>1</v>
      </c>
      <c r="AC1492">
        <f t="shared" si="459"/>
        <v>1</v>
      </c>
      <c r="AD1492">
        <f t="shared" si="460"/>
        <v>0</v>
      </c>
      <c r="AE1492">
        <f t="shared" si="461"/>
        <v>1</v>
      </c>
      <c r="AF1492">
        <f t="shared" si="462"/>
        <v>1</v>
      </c>
      <c r="AG1492">
        <f t="shared" si="463"/>
        <v>1</v>
      </c>
      <c r="AH1492">
        <f t="shared" si="464"/>
        <v>1</v>
      </c>
      <c r="AI1492">
        <f t="shared" si="465"/>
        <v>1</v>
      </c>
      <c r="AJ1492" s="9">
        <f t="shared" si="466"/>
        <v>31</v>
      </c>
      <c r="AK1492">
        <f t="shared" si="467"/>
        <v>0</v>
      </c>
      <c r="AL1492" s="9">
        <v>0</v>
      </c>
    </row>
    <row r="1493" spans="1:38" x14ac:dyDescent="0.35">
      <c r="A1493" s="9">
        <v>1</v>
      </c>
      <c r="B1493" s="9" t="s">
        <v>62</v>
      </c>
      <c r="C1493" s="53">
        <v>43859</v>
      </c>
      <c r="D1493" s="53">
        <v>43910</v>
      </c>
      <c r="E1493" s="53">
        <v>43986</v>
      </c>
      <c r="F1493" s="21">
        <f t="shared" si="454"/>
        <v>76</v>
      </c>
      <c r="G1493" s="53">
        <v>43910</v>
      </c>
      <c r="H1493" s="9">
        <v>2020</v>
      </c>
      <c r="I1493" s="9">
        <v>1</v>
      </c>
      <c r="J1493" s="9">
        <v>2</v>
      </c>
      <c r="K1493" s="9">
        <v>14</v>
      </c>
      <c r="L1493" s="50" t="s">
        <v>515</v>
      </c>
      <c r="M1493">
        <v>-2</v>
      </c>
      <c r="N1493">
        <v>2</v>
      </c>
      <c r="O1493">
        <v>2</v>
      </c>
      <c r="P1493">
        <v>2</v>
      </c>
      <c r="Q1493">
        <v>2</v>
      </c>
      <c r="R1493">
        <v>2</v>
      </c>
      <c r="S1493">
        <v>1</v>
      </c>
      <c r="T1493">
        <v>2</v>
      </c>
      <c r="U1493">
        <v>1</v>
      </c>
      <c r="V1493" t="s">
        <v>965</v>
      </c>
      <c r="W1493" t="s">
        <v>989</v>
      </c>
      <c r="X1493" t="s">
        <v>997</v>
      </c>
      <c r="Y1493" t="s">
        <v>1000</v>
      </c>
      <c r="Z1493">
        <v>1</v>
      </c>
      <c r="AA1493">
        <f t="shared" si="457"/>
        <v>0</v>
      </c>
      <c r="AB1493">
        <f t="shared" si="458"/>
        <v>1</v>
      </c>
      <c r="AC1493">
        <f t="shared" si="459"/>
        <v>1</v>
      </c>
      <c r="AD1493">
        <f t="shared" si="460"/>
        <v>1</v>
      </c>
      <c r="AE1493">
        <f t="shared" si="461"/>
        <v>1</v>
      </c>
      <c r="AF1493">
        <f t="shared" si="462"/>
        <v>1</v>
      </c>
      <c r="AG1493">
        <f t="shared" si="463"/>
        <v>1</v>
      </c>
      <c r="AH1493">
        <f t="shared" si="464"/>
        <v>1</v>
      </c>
      <c r="AI1493">
        <f t="shared" si="465"/>
        <v>1</v>
      </c>
      <c r="AJ1493" s="9">
        <f t="shared" si="466"/>
        <v>14</v>
      </c>
      <c r="AK1493">
        <f t="shared" si="467"/>
        <v>0</v>
      </c>
      <c r="AL1493" s="9">
        <v>1</v>
      </c>
    </row>
    <row r="1494" spans="1:38" x14ac:dyDescent="0.35">
      <c r="A1494" s="9">
        <v>1</v>
      </c>
      <c r="B1494" s="9" t="s">
        <v>62</v>
      </c>
      <c r="C1494" s="53">
        <v>43859</v>
      </c>
      <c r="D1494" s="53">
        <v>43910</v>
      </c>
      <c r="E1494" s="53">
        <v>43986</v>
      </c>
      <c r="F1494" s="21">
        <f t="shared" si="454"/>
        <v>76</v>
      </c>
      <c r="G1494" s="53">
        <v>43910</v>
      </c>
      <c r="H1494" s="9">
        <v>2020</v>
      </c>
      <c r="I1494" s="9">
        <v>1</v>
      </c>
      <c r="J1494" s="9">
        <v>1</v>
      </c>
      <c r="K1494" s="9">
        <v>7</v>
      </c>
      <c r="L1494" s="50" t="s">
        <v>526</v>
      </c>
      <c r="V1494" t="s">
        <v>965</v>
      </c>
      <c r="W1494" t="s">
        <v>989</v>
      </c>
      <c r="X1494" t="s">
        <v>997</v>
      </c>
      <c r="Y1494" t="s">
        <v>1000</v>
      </c>
      <c r="Z1494">
        <v>1</v>
      </c>
      <c r="AA1494">
        <f t="shared" si="457"/>
        <v>-1</v>
      </c>
      <c r="AB1494">
        <f t="shared" si="458"/>
        <v>-1</v>
      </c>
      <c r="AC1494">
        <f t="shared" si="459"/>
        <v>-1</v>
      </c>
      <c r="AD1494">
        <f t="shared" si="460"/>
        <v>-1</v>
      </c>
      <c r="AE1494">
        <f t="shared" si="461"/>
        <v>-1</v>
      </c>
      <c r="AF1494">
        <f t="shared" si="462"/>
        <v>-1</v>
      </c>
      <c r="AG1494">
        <f t="shared" si="463"/>
        <v>-1</v>
      </c>
      <c r="AH1494">
        <f t="shared" si="464"/>
        <v>-1</v>
      </c>
      <c r="AI1494">
        <f t="shared" si="465"/>
        <v>-1</v>
      </c>
      <c r="AJ1494" s="9">
        <f t="shared" si="466"/>
        <v>7</v>
      </c>
      <c r="AK1494">
        <f t="shared" si="467"/>
        <v>0</v>
      </c>
      <c r="AL1494" s="9">
        <v>1</v>
      </c>
    </row>
    <row r="1495" spans="1:38" x14ac:dyDescent="0.35">
      <c r="A1495" s="9">
        <v>1</v>
      </c>
      <c r="B1495" s="9" t="s">
        <v>62</v>
      </c>
      <c r="C1495" s="53">
        <v>43859</v>
      </c>
      <c r="D1495" s="53">
        <v>43910</v>
      </c>
      <c r="E1495" s="53">
        <v>43986</v>
      </c>
      <c r="F1495" s="21">
        <f t="shared" si="454"/>
        <v>76</v>
      </c>
      <c r="G1495" s="53">
        <v>43910</v>
      </c>
      <c r="H1495" s="9">
        <v>2020</v>
      </c>
      <c r="I1495" s="9">
        <v>1</v>
      </c>
      <c r="J1495" s="9">
        <v>1</v>
      </c>
      <c r="K1495" s="9">
        <v>6</v>
      </c>
      <c r="L1495" s="50" t="s">
        <v>519</v>
      </c>
      <c r="M1495">
        <v>2</v>
      </c>
      <c r="N1495">
        <v>2</v>
      </c>
      <c r="O1495">
        <v>2</v>
      </c>
      <c r="P1495">
        <v>2</v>
      </c>
      <c r="Q1495">
        <v>2</v>
      </c>
      <c r="R1495">
        <v>2</v>
      </c>
      <c r="S1495">
        <v>1</v>
      </c>
      <c r="T1495">
        <v>2</v>
      </c>
      <c r="U1495">
        <v>1</v>
      </c>
      <c r="V1495" t="s">
        <v>965</v>
      </c>
      <c r="W1495" t="s">
        <v>989</v>
      </c>
      <c r="X1495" t="s">
        <v>997</v>
      </c>
      <c r="Y1495" t="s">
        <v>1000</v>
      </c>
      <c r="Z1495">
        <v>1</v>
      </c>
      <c r="AA1495">
        <f t="shared" si="457"/>
        <v>1</v>
      </c>
      <c r="AB1495">
        <f t="shared" si="458"/>
        <v>1</v>
      </c>
      <c r="AC1495">
        <f t="shared" si="459"/>
        <v>1</v>
      </c>
      <c r="AD1495">
        <f t="shared" si="460"/>
        <v>1</v>
      </c>
      <c r="AE1495">
        <f t="shared" si="461"/>
        <v>1</v>
      </c>
      <c r="AF1495">
        <f t="shared" si="462"/>
        <v>1</v>
      </c>
      <c r="AG1495">
        <f t="shared" si="463"/>
        <v>1</v>
      </c>
      <c r="AH1495">
        <f t="shared" si="464"/>
        <v>1</v>
      </c>
      <c r="AI1495">
        <f t="shared" si="465"/>
        <v>1</v>
      </c>
      <c r="AJ1495" s="9">
        <f t="shared" si="466"/>
        <v>6</v>
      </c>
      <c r="AK1495">
        <f t="shared" si="467"/>
        <v>0</v>
      </c>
      <c r="AL1495" s="9">
        <v>1</v>
      </c>
    </row>
    <row r="1496" spans="1:38" x14ac:dyDescent="0.35">
      <c r="A1496" s="9">
        <v>1</v>
      </c>
      <c r="B1496" s="9" t="s">
        <v>62</v>
      </c>
      <c r="C1496" s="53">
        <v>43859</v>
      </c>
      <c r="D1496" s="53">
        <v>43910</v>
      </c>
      <c r="E1496" s="53">
        <v>43986</v>
      </c>
      <c r="F1496" s="21">
        <f t="shared" si="454"/>
        <v>76</v>
      </c>
      <c r="G1496" s="53">
        <v>43910</v>
      </c>
      <c r="H1496" s="9">
        <v>2020</v>
      </c>
      <c r="I1496" s="9">
        <v>1</v>
      </c>
      <c r="J1496" s="9">
        <v>3</v>
      </c>
      <c r="K1496" s="9" t="s">
        <v>206</v>
      </c>
      <c r="L1496" s="50" t="s">
        <v>524</v>
      </c>
      <c r="M1496">
        <v>2</v>
      </c>
      <c r="N1496">
        <v>2</v>
      </c>
      <c r="O1496">
        <v>-2</v>
      </c>
      <c r="P1496">
        <v>-1</v>
      </c>
      <c r="Q1496">
        <v>-2</v>
      </c>
      <c r="R1496">
        <v>2</v>
      </c>
      <c r="S1496">
        <v>-2</v>
      </c>
      <c r="U1496">
        <v>1</v>
      </c>
      <c r="V1496" t="s">
        <v>965</v>
      </c>
      <c r="W1496" t="s">
        <v>989</v>
      </c>
      <c r="X1496" t="s">
        <v>997</v>
      </c>
      <c r="Y1496" t="s">
        <v>1000</v>
      </c>
      <c r="Z1496">
        <v>1</v>
      </c>
      <c r="AA1496">
        <f t="shared" si="457"/>
        <v>1</v>
      </c>
      <c r="AB1496">
        <f t="shared" si="458"/>
        <v>1</v>
      </c>
      <c r="AC1496">
        <f t="shared" si="459"/>
        <v>0</v>
      </c>
      <c r="AD1496">
        <f t="shared" si="460"/>
        <v>0</v>
      </c>
      <c r="AE1496">
        <f t="shared" si="461"/>
        <v>0</v>
      </c>
      <c r="AF1496">
        <f t="shared" si="462"/>
        <v>1</v>
      </c>
      <c r="AG1496">
        <f t="shared" si="463"/>
        <v>0</v>
      </c>
      <c r="AH1496">
        <f t="shared" si="464"/>
        <v>-1</v>
      </c>
      <c r="AI1496">
        <f t="shared" si="465"/>
        <v>1</v>
      </c>
      <c r="AJ1496" s="9" t="str">
        <f t="shared" si="466"/>
        <v>Tax exemption/waiver/suspension</v>
      </c>
      <c r="AK1496">
        <f t="shared" si="467"/>
        <v>0</v>
      </c>
      <c r="AL1496" s="9">
        <v>1</v>
      </c>
    </row>
    <row r="1497" spans="1:38" x14ac:dyDescent="0.35">
      <c r="A1497" s="9">
        <v>1</v>
      </c>
      <c r="B1497" s="9" t="s">
        <v>62</v>
      </c>
      <c r="C1497" s="53">
        <v>43859</v>
      </c>
      <c r="D1497" s="53">
        <v>43910</v>
      </c>
      <c r="E1497" s="53">
        <v>43986</v>
      </c>
      <c r="F1497" s="21">
        <f t="shared" si="454"/>
        <v>76</v>
      </c>
      <c r="G1497" s="53">
        <v>43910</v>
      </c>
      <c r="H1497" s="9">
        <v>2020</v>
      </c>
      <c r="I1497" s="9">
        <v>1</v>
      </c>
      <c r="J1497" s="9">
        <v>3</v>
      </c>
      <c r="K1497" s="9" t="s">
        <v>206</v>
      </c>
      <c r="L1497" s="50" t="s">
        <v>2134</v>
      </c>
      <c r="M1497">
        <v>2</v>
      </c>
      <c r="N1497">
        <v>2</v>
      </c>
      <c r="O1497">
        <v>-2</v>
      </c>
      <c r="P1497">
        <v>-1</v>
      </c>
      <c r="Q1497">
        <v>-2</v>
      </c>
      <c r="R1497">
        <v>2</v>
      </c>
      <c r="S1497">
        <v>-2</v>
      </c>
      <c r="U1497">
        <v>1</v>
      </c>
      <c r="V1497" t="s">
        <v>965</v>
      </c>
      <c r="W1497" t="s">
        <v>989</v>
      </c>
      <c r="X1497" t="s">
        <v>997</v>
      </c>
      <c r="Y1497" t="s">
        <v>1000</v>
      </c>
      <c r="Z1497">
        <v>1</v>
      </c>
      <c r="AA1497">
        <f t="shared" si="457"/>
        <v>1</v>
      </c>
      <c r="AB1497">
        <f t="shared" si="458"/>
        <v>1</v>
      </c>
      <c r="AC1497">
        <f t="shared" si="459"/>
        <v>0</v>
      </c>
      <c r="AD1497">
        <f t="shared" si="460"/>
        <v>0</v>
      </c>
      <c r="AE1497">
        <f t="shared" si="461"/>
        <v>0</v>
      </c>
      <c r="AF1497">
        <f t="shared" si="462"/>
        <v>1</v>
      </c>
      <c r="AG1497">
        <f t="shared" si="463"/>
        <v>0</v>
      </c>
      <c r="AH1497">
        <f t="shared" si="464"/>
        <v>-1</v>
      </c>
      <c r="AI1497">
        <f t="shared" si="465"/>
        <v>1</v>
      </c>
      <c r="AJ1497" s="9" t="str">
        <f t="shared" si="466"/>
        <v>Tax exemption/waiver/suspension</v>
      </c>
      <c r="AK1497">
        <f t="shared" si="467"/>
        <v>0</v>
      </c>
      <c r="AL1497" s="9">
        <v>1</v>
      </c>
    </row>
    <row r="1498" spans="1:38" x14ac:dyDescent="0.35">
      <c r="A1498" s="9">
        <v>1</v>
      </c>
      <c r="B1498" s="9" t="s">
        <v>62</v>
      </c>
      <c r="C1498" s="53">
        <v>43859</v>
      </c>
      <c r="D1498" s="53">
        <v>43910</v>
      </c>
      <c r="E1498" s="53">
        <v>43986</v>
      </c>
      <c r="F1498" s="21">
        <f t="shared" si="454"/>
        <v>76</v>
      </c>
      <c r="G1498" s="53">
        <v>43910</v>
      </c>
      <c r="H1498" s="9">
        <v>2020</v>
      </c>
      <c r="I1498" s="9">
        <v>1</v>
      </c>
      <c r="J1498" s="9">
        <v>6</v>
      </c>
      <c r="K1498" s="9">
        <v>29</v>
      </c>
      <c r="L1498" s="50" t="s">
        <v>520</v>
      </c>
      <c r="M1498">
        <v>1</v>
      </c>
      <c r="N1498">
        <v>1</v>
      </c>
      <c r="O1498">
        <v>2</v>
      </c>
      <c r="P1498">
        <v>-2</v>
      </c>
      <c r="Q1498">
        <v>-1</v>
      </c>
      <c r="R1498">
        <v>1</v>
      </c>
      <c r="S1498">
        <v>-2</v>
      </c>
      <c r="T1498">
        <v>2</v>
      </c>
      <c r="U1498">
        <v>1</v>
      </c>
      <c r="V1498" t="s">
        <v>965</v>
      </c>
      <c r="W1498" t="s">
        <v>989</v>
      </c>
      <c r="X1498" t="s">
        <v>997</v>
      </c>
      <c r="Y1498" t="s">
        <v>1000</v>
      </c>
      <c r="Z1498">
        <v>1</v>
      </c>
      <c r="AA1498">
        <f t="shared" si="457"/>
        <v>1</v>
      </c>
      <c r="AB1498">
        <f t="shared" si="458"/>
        <v>1</v>
      </c>
      <c r="AC1498">
        <f t="shared" si="459"/>
        <v>1</v>
      </c>
      <c r="AD1498">
        <f t="shared" si="460"/>
        <v>0</v>
      </c>
      <c r="AE1498">
        <f t="shared" si="461"/>
        <v>0</v>
      </c>
      <c r="AF1498">
        <f t="shared" si="462"/>
        <v>1</v>
      </c>
      <c r="AG1498">
        <f t="shared" si="463"/>
        <v>0</v>
      </c>
      <c r="AH1498">
        <f t="shared" si="464"/>
        <v>1</v>
      </c>
      <c r="AI1498">
        <f t="shared" si="465"/>
        <v>1</v>
      </c>
      <c r="AJ1498" s="9">
        <f t="shared" si="466"/>
        <v>29</v>
      </c>
      <c r="AK1498" t="e">
        <f>IF(B1498&lt;&gt;#REF!,1,0)</f>
        <v>#REF!</v>
      </c>
      <c r="AL1498" s="9">
        <v>1</v>
      </c>
    </row>
    <row r="1499" spans="1:38" x14ac:dyDescent="0.35">
      <c r="A1499" s="9">
        <v>1</v>
      </c>
      <c r="B1499" s="9" t="s">
        <v>62</v>
      </c>
      <c r="C1499" s="53">
        <v>43859</v>
      </c>
      <c r="D1499" s="53">
        <v>43910</v>
      </c>
      <c r="E1499" s="53">
        <v>43986</v>
      </c>
      <c r="F1499" s="21">
        <f t="shared" si="454"/>
        <v>76</v>
      </c>
      <c r="G1499" s="53">
        <v>43910</v>
      </c>
      <c r="H1499" s="9">
        <v>2020</v>
      </c>
      <c r="I1499" s="9">
        <v>1</v>
      </c>
      <c r="J1499" s="9">
        <v>7</v>
      </c>
      <c r="K1499" s="9">
        <v>30</v>
      </c>
      <c r="L1499" s="50" t="s">
        <v>513</v>
      </c>
      <c r="M1499">
        <v>2</v>
      </c>
      <c r="N1499">
        <v>2</v>
      </c>
      <c r="O1499">
        <v>2</v>
      </c>
      <c r="P1499">
        <v>2</v>
      </c>
      <c r="Q1499">
        <v>2</v>
      </c>
      <c r="R1499">
        <v>-2</v>
      </c>
      <c r="S1499">
        <v>2</v>
      </c>
      <c r="T1499">
        <v>2</v>
      </c>
      <c r="U1499">
        <v>1</v>
      </c>
      <c r="V1499" t="s">
        <v>965</v>
      </c>
      <c r="W1499" t="s">
        <v>989</v>
      </c>
      <c r="X1499" t="s">
        <v>997</v>
      </c>
      <c r="Y1499" t="s">
        <v>1000</v>
      </c>
      <c r="Z1499">
        <v>1</v>
      </c>
      <c r="AA1499">
        <f t="shared" si="457"/>
        <v>1</v>
      </c>
      <c r="AB1499">
        <f t="shared" si="458"/>
        <v>1</v>
      </c>
      <c r="AC1499">
        <f t="shared" si="459"/>
        <v>1</v>
      </c>
      <c r="AD1499">
        <f t="shared" si="460"/>
        <v>1</v>
      </c>
      <c r="AE1499">
        <f t="shared" si="461"/>
        <v>1</v>
      </c>
      <c r="AF1499">
        <f t="shared" si="462"/>
        <v>0</v>
      </c>
      <c r="AG1499">
        <f t="shared" si="463"/>
        <v>1</v>
      </c>
      <c r="AH1499">
        <f t="shared" si="464"/>
        <v>1</v>
      </c>
      <c r="AI1499">
        <f t="shared" si="465"/>
        <v>1</v>
      </c>
      <c r="AJ1499" s="9">
        <f t="shared" si="466"/>
        <v>30</v>
      </c>
      <c r="AK1499">
        <f t="shared" si="467"/>
        <v>0</v>
      </c>
      <c r="AL1499" s="9">
        <v>1</v>
      </c>
    </row>
    <row r="1500" spans="1:38" x14ac:dyDescent="0.35">
      <c r="A1500" s="9">
        <v>1</v>
      </c>
      <c r="B1500" s="9" t="s">
        <v>62</v>
      </c>
      <c r="C1500" s="53">
        <v>43859</v>
      </c>
      <c r="D1500" s="53">
        <v>43910</v>
      </c>
      <c r="E1500" s="53">
        <v>43986</v>
      </c>
      <c r="F1500" s="21">
        <f t="shared" si="454"/>
        <v>76</v>
      </c>
      <c r="G1500" s="53">
        <v>43910</v>
      </c>
      <c r="H1500" s="9">
        <v>2020</v>
      </c>
      <c r="I1500" s="9">
        <v>1</v>
      </c>
      <c r="J1500" s="9">
        <v>7</v>
      </c>
      <c r="K1500" s="9">
        <v>30</v>
      </c>
      <c r="L1500" s="50" t="s">
        <v>508</v>
      </c>
      <c r="M1500">
        <v>-2</v>
      </c>
      <c r="N1500">
        <v>2</v>
      </c>
      <c r="O1500">
        <v>2</v>
      </c>
      <c r="P1500">
        <v>2</v>
      </c>
      <c r="Q1500">
        <v>2</v>
      </c>
      <c r="R1500">
        <v>2</v>
      </c>
      <c r="S1500">
        <v>2</v>
      </c>
      <c r="T1500">
        <v>2</v>
      </c>
      <c r="U1500">
        <v>1</v>
      </c>
      <c r="V1500" t="s">
        <v>965</v>
      </c>
      <c r="W1500" t="s">
        <v>989</v>
      </c>
      <c r="X1500" t="s">
        <v>997</v>
      </c>
      <c r="Y1500" t="s">
        <v>1000</v>
      </c>
      <c r="Z1500">
        <v>1</v>
      </c>
      <c r="AA1500">
        <f t="shared" si="457"/>
        <v>0</v>
      </c>
      <c r="AB1500">
        <f t="shared" si="458"/>
        <v>1</v>
      </c>
      <c r="AC1500">
        <f t="shared" si="459"/>
        <v>1</v>
      </c>
      <c r="AD1500">
        <f t="shared" si="460"/>
        <v>1</v>
      </c>
      <c r="AE1500">
        <f t="shared" si="461"/>
        <v>1</v>
      </c>
      <c r="AF1500">
        <f t="shared" si="462"/>
        <v>1</v>
      </c>
      <c r="AG1500">
        <f t="shared" si="463"/>
        <v>1</v>
      </c>
      <c r="AH1500">
        <f t="shared" si="464"/>
        <v>1</v>
      </c>
      <c r="AI1500">
        <f t="shared" si="465"/>
        <v>1</v>
      </c>
      <c r="AJ1500" s="9">
        <f t="shared" si="466"/>
        <v>30</v>
      </c>
      <c r="AK1500">
        <f t="shared" si="467"/>
        <v>0</v>
      </c>
      <c r="AL1500" s="9">
        <v>1</v>
      </c>
    </row>
    <row r="1501" spans="1:38" x14ac:dyDescent="0.35">
      <c r="A1501" s="9">
        <v>1</v>
      </c>
      <c r="B1501" s="9" t="s">
        <v>62</v>
      </c>
      <c r="C1501" s="53">
        <v>43859</v>
      </c>
      <c r="D1501" s="53">
        <v>43910</v>
      </c>
      <c r="E1501" s="53">
        <v>43986</v>
      </c>
      <c r="F1501" s="21">
        <f t="shared" si="454"/>
        <v>76</v>
      </c>
      <c r="G1501" s="53">
        <v>43910</v>
      </c>
      <c r="H1501" s="9">
        <v>2020</v>
      </c>
      <c r="I1501" s="9">
        <v>1</v>
      </c>
      <c r="J1501" s="9">
        <v>7</v>
      </c>
      <c r="K1501" s="9">
        <v>31</v>
      </c>
      <c r="L1501" s="50" t="s">
        <v>514</v>
      </c>
      <c r="M1501">
        <v>2</v>
      </c>
      <c r="N1501">
        <v>2</v>
      </c>
      <c r="O1501">
        <v>2</v>
      </c>
      <c r="P1501">
        <v>-1</v>
      </c>
      <c r="Q1501">
        <v>2</v>
      </c>
      <c r="R1501">
        <v>2</v>
      </c>
      <c r="S1501">
        <v>2</v>
      </c>
      <c r="T1501">
        <v>2</v>
      </c>
      <c r="U1501">
        <v>1</v>
      </c>
      <c r="V1501" t="s">
        <v>965</v>
      </c>
      <c r="W1501" t="s">
        <v>989</v>
      </c>
      <c r="X1501" t="s">
        <v>997</v>
      </c>
      <c r="Y1501" t="s">
        <v>1000</v>
      </c>
      <c r="Z1501">
        <v>1</v>
      </c>
      <c r="AA1501">
        <f t="shared" si="457"/>
        <v>1</v>
      </c>
      <c r="AB1501">
        <f t="shared" si="458"/>
        <v>1</v>
      </c>
      <c r="AC1501">
        <f t="shared" si="459"/>
        <v>1</v>
      </c>
      <c r="AD1501">
        <f t="shared" si="460"/>
        <v>0</v>
      </c>
      <c r="AE1501">
        <f t="shared" si="461"/>
        <v>1</v>
      </c>
      <c r="AF1501">
        <f t="shared" si="462"/>
        <v>1</v>
      </c>
      <c r="AG1501">
        <f t="shared" si="463"/>
        <v>1</v>
      </c>
      <c r="AH1501">
        <f t="shared" si="464"/>
        <v>1</v>
      </c>
      <c r="AI1501">
        <f t="shared" si="465"/>
        <v>1</v>
      </c>
      <c r="AJ1501" s="9">
        <f t="shared" si="466"/>
        <v>31</v>
      </c>
      <c r="AK1501">
        <f t="shared" si="467"/>
        <v>0</v>
      </c>
      <c r="AL1501" s="9">
        <v>1</v>
      </c>
    </row>
    <row r="1502" spans="1:38" x14ac:dyDescent="0.35">
      <c r="A1502" s="9">
        <v>1</v>
      </c>
      <c r="B1502" s="9" t="s">
        <v>62</v>
      </c>
      <c r="C1502" s="53">
        <v>43859</v>
      </c>
      <c r="D1502" s="53">
        <v>43910</v>
      </c>
      <c r="E1502" s="53">
        <v>43986</v>
      </c>
      <c r="F1502" s="21">
        <f t="shared" si="454"/>
        <v>76</v>
      </c>
      <c r="G1502" s="53">
        <v>43910</v>
      </c>
      <c r="H1502" s="9">
        <v>2020</v>
      </c>
      <c r="I1502" s="9">
        <v>1</v>
      </c>
      <c r="J1502" s="9">
        <v>1</v>
      </c>
      <c r="K1502" s="9">
        <v>6</v>
      </c>
      <c r="L1502" s="50" t="s">
        <v>518</v>
      </c>
      <c r="M1502">
        <v>2</v>
      </c>
      <c r="N1502">
        <v>2</v>
      </c>
      <c r="O1502">
        <v>-2</v>
      </c>
      <c r="P1502">
        <v>2</v>
      </c>
      <c r="Q1502">
        <v>2</v>
      </c>
      <c r="R1502">
        <v>2</v>
      </c>
      <c r="S1502">
        <v>1</v>
      </c>
      <c r="T1502">
        <v>2</v>
      </c>
      <c r="U1502">
        <v>1</v>
      </c>
      <c r="V1502" t="s">
        <v>965</v>
      </c>
      <c r="W1502" t="s">
        <v>989</v>
      </c>
      <c r="X1502" t="s">
        <v>997</v>
      </c>
      <c r="Y1502" t="s">
        <v>1000</v>
      </c>
      <c r="Z1502">
        <v>1</v>
      </c>
      <c r="AA1502">
        <f t="shared" si="457"/>
        <v>1</v>
      </c>
      <c r="AB1502">
        <f t="shared" si="458"/>
        <v>1</v>
      </c>
      <c r="AC1502">
        <f t="shared" si="459"/>
        <v>0</v>
      </c>
      <c r="AD1502">
        <f t="shared" si="460"/>
        <v>1</v>
      </c>
      <c r="AE1502">
        <f t="shared" si="461"/>
        <v>1</v>
      </c>
      <c r="AF1502">
        <f t="shared" si="462"/>
        <v>1</v>
      </c>
      <c r="AG1502">
        <f t="shared" si="463"/>
        <v>1</v>
      </c>
      <c r="AH1502">
        <f t="shared" si="464"/>
        <v>1</v>
      </c>
      <c r="AI1502">
        <f t="shared" si="465"/>
        <v>1</v>
      </c>
      <c r="AJ1502" s="9">
        <f t="shared" si="466"/>
        <v>6</v>
      </c>
      <c r="AK1502">
        <f t="shared" si="467"/>
        <v>0</v>
      </c>
      <c r="AL1502" s="9">
        <v>1</v>
      </c>
    </row>
    <row r="1503" spans="1:38" x14ac:dyDescent="0.35">
      <c r="A1503" s="9">
        <v>1</v>
      </c>
      <c r="B1503" s="9" t="s">
        <v>62</v>
      </c>
      <c r="C1503" s="53">
        <v>43859</v>
      </c>
      <c r="D1503" s="53">
        <v>43910</v>
      </c>
      <c r="E1503" s="53">
        <v>43986</v>
      </c>
      <c r="F1503" s="21">
        <f t="shared" si="454"/>
        <v>76</v>
      </c>
      <c r="G1503" s="53">
        <v>43910</v>
      </c>
      <c r="H1503" s="9">
        <v>2020</v>
      </c>
      <c r="I1503" s="9">
        <v>1</v>
      </c>
      <c r="J1503" s="9">
        <v>6</v>
      </c>
      <c r="K1503" s="9">
        <v>29</v>
      </c>
      <c r="L1503" s="50" t="s">
        <v>523</v>
      </c>
      <c r="M1503">
        <v>1</v>
      </c>
      <c r="N1503">
        <v>2</v>
      </c>
      <c r="O1503">
        <v>2</v>
      </c>
      <c r="P1503">
        <v>-1</v>
      </c>
      <c r="Q1503">
        <v>-2</v>
      </c>
      <c r="R1503">
        <v>-2</v>
      </c>
      <c r="S1503">
        <v>2</v>
      </c>
      <c r="T1503">
        <v>2</v>
      </c>
      <c r="U1503">
        <v>1</v>
      </c>
      <c r="V1503" t="s">
        <v>965</v>
      </c>
      <c r="W1503" t="s">
        <v>989</v>
      </c>
      <c r="X1503" t="s">
        <v>997</v>
      </c>
      <c r="Y1503" t="s">
        <v>1000</v>
      </c>
      <c r="Z1503">
        <v>1</v>
      </c>
      <c r="AA1503">
        <f t="shared" si="457"/>
        <v>1</v>
      </c>
      <c r="AB1503">
        <f t="shared" si="458"/>
        <v>1</v>
      </c>
      <c r="AC1503">
        <f t="shared" si="459"/>
        <v>1</v>
      </c>
      <c r="AD1503">
        <f t="shared" si="460"/>
        <v>0</v>
      </c>
      <c r="AE1503">
        <f t="shared" si="461"/>
        <v>0</v>
      </c>
      <c r="AF1503">
        <f t="shared" si="462"/>
        <v>0</v>
      </c>
      <c r="AG1503">
        <f t="shared" si="463"/>
        <v>1</v>
      </c>
      <c r="AH1503">
        <f t="shared" si="464"/>
        <v>1</v>
      </c>
      <c r="AI1503">
        <f t="shared" si="465"/>
        <v>1</v>
      </c>
      <c r="AJ1503" s="9">
        <f t="shared" si="466"/>
        <v>29</v>
      </c>
      <c r="AK1503" t="e">
        <f>IF(B1503&lt;&gt;#REF!,1,0)</f>
        <v>#REF!</v>
      </c>
      <c r="AL1503" s="9">
        <v>0</v>
      </c>
    </row>
    <row r="1504" spans="1:38" x14ac:dyDescent="0.35">
      <c r="A1504" s="9">
        <v>1</v>
      </c>
      <c r="B1504" s="50" t="s">
        <v>62</v>
      </c>
      <c r="C1504" s="53">
        <v>43859</v>
      </c>
      <c r="D1504" s="53">
        <v>43910</v>
      </c>
      <c r="E1504" s="53">
        <v>43986</v>
      </c>
      <c r="F1504" s="21">
        <f t="shared" si="454"/>
        <v>76</v>
      </c>
      <c r="G1504" s="53">
        <v>43910</v>
      </c>
      <c r="H1504" s="9">
        <v>2020</v>
      </c>
      <c r="I1504" s="9">
        <v>1</v>
      </c>
      <c r="J1504" s="50">
        <v>7</v>
      </c>
      <c r="K1504" s="50">
        <v>30</v>
      </c>
      <c r="L1504" s="24" t="s">
        <v>1585</v>
      </c>
      <c r="M1504" s="24"/>
      <c r="V1504" t="s">
        <v>965</v>
      </c>
      <c r="W1504" t="s">
        <v>989</v>
      </c>
      <c r="X1504" t="s">
        <v>997</v>
      </c>
      <c r="Y1504" t="s">
        <v>1000</v>
      </c>
      <c r="Z1504">
        <v>1</v>
      </c>
      <c r="AA1504">
        <v>-1</v>
      </c>
      <c r="AB1504">
        <v>-1</v>
      </c>
      <c r="AC1504">
        <v>-1</v>
      </c>
      <c r="AD1504">
        <v>-1</v>
      </c>
      <c r="AE1504">
        <v>-1</v>
      </c>
      <c r="AF1504">
        <v>-1</v>
      </c>
      <c r="AG1504">
        <v>-1</v>
      </c>
      <c r="AH1504">
        <v>-1</v>
      </c>
      <c r="AI1504">
        <v>-1</v>
      </c>
      <c r="AJ1504" s="9">
        <f t="shared" si="466"/>
        <v>30</v>
      </c>
      <c r="AK1504" t="e">
        <f>IF(B1504&lt;&gt;#REF!,1,0)</f>
        <v>#REF!</v>
      </c>
      <c r="AL1504" s="9">
        <v>0</v>
      </c>
    </row>
    <row r="1505" spans="1:38" x14ac:dyDescent="0.35">
      <c r="A1505" s="9">
        <v>1</v>
      </c>
      <c r="B1505" s="50" t="s">
        <v>62</v>
      </c>
      <c r="C1505" s="53">
        <v>43859</v>
      </c>
      <c r="D1505" s="53">
        <v>43910</v>
      </c>
      <c r="E1505" s="53">
        <v>43986</v>
      </c>
      <c r="F1505" s="21">
        <f t="shared" si="454"/>
        <v>76</v>
      </c>
      <c r="G1505" s="53">
        <v>43910</v>
      </c>
      <c r="H1505" s="9">
        <v>2020</v>
      </c>
      <c r="I1505" s="9">
        <v>1</v>
      </c>
      <c r="J1505" s="50">
        <v>7</v>
      </c>
      <c r="K1505" s="50">
        <v>30</v>
      </c>
      <c r="L1505" s="24" t="s">
        <v>1586</v>
      </c>
      <c r="M1505" s="24"/>
      <c r="V1505" t="s">
        <v>965</v>
      </c>
      <c r="W1505" t="s">
        <v>989</v>
      </c>
      <c r="X1505" t="s">
        <v>997</v>
      </c>
      <c r="Y1505" t="s">
        <v>1000</v>
      </c>
      <c r="Z1505">
        <v>1</v>
      </c>
      <c r="AA1505">
        <v>-1</v>
      </c>
      <c r="AB1505">
        <v>-1</v>
      </c>
      <c r="AC1505">
        <v>-1</v>
      </c>
      <c r="AD1505">
        <v>-1</v>
      </c>
      <c r="AE1505">
        <v>-1</v>
      </c>
      <c r="AF1505">
        <v>-1</v>
      </c>
      <c r="AG1505">
        <v>-1</v>
      </c>
      <c r="AH1505">
        <v>-1</v>
      </c>
      <c r="AI1505">
        <v>-1</v>
      </c>
      <c r="AJ1505" s="9">
        <f t="shared" si="466"/>
        <v>30</v>
      </c>
      <c r="AK1505">
        <f t="shared" si="467"/>
        <v>0</v>
      </c>
      <c r="AL1505" s="9">
        <v>0</v>
      </c>
    </row>
    <row r="1506" spans="1:38" x14ac:dyDescent="0.35">
      <c r="A1506" s="9">
        <v>1</v>
      </c>
      <c r="B1506" s="50" t="s">
        <v>62</v>
      </c>
      <c r="C1506" s="53">
        <v>43859</v>
      </c>
      <c r="D1506" s="53">
        <v>43910</v>
      </c>
      <c r="E1506" s="53">
        <v>43986</v>
      </c>
      <c r="F1506" s="21">
        <f t="shared" si="454"/>
        <v>76</v>
      </c>
      <c r="G1506" s="53">
        <v>43910</v>
      </c>
      <c r="H1506" s="9">
        <v>2020</v>
      </c>
      <c r="I1506" s="9">
        <v>1</v>
      </c>
      <c r="J1506" s="50">
        <v>6</v>
      </c>
      <c r="K1506" s="50">
        <v>28</v>
      </c>
      <c r="L1506" s="24" t="s">
        <v>1862</v>
      </c>
      <c r="M1506" s="24"/>
      <c r="V1506" t="s">
        <v>965</v>
      </c>
      <c r="W1506" t="s">
        <v>989</v>
      </c>
      <c r="X1506" t="s">
        <v>997</v>
      </c>
      <c r="Y1506" t="s">
        <v>1000</v>
      </c>
      <c r="Z1506">
        <v>1</v>
      </c>
      <c r="AA1506">
        <v>-1</v>
      </c>
      <c r="AB1506">
        <v>-1</v>
      </c>
      <c r="AC1506">
        <v>-1</v>
      </c>
      <c r="AD1506">
        <v>-1</v>
      </c>
      <c r="AE1506">
        <v>-1</v>
      </c>
      <c r="AF1506">
        <v>-1</v>
      </c>
      <c r="AG1506">
        <v>-1</v>
      </c>
      <c r="AH1506">
        <v>-1</v>
      </c>
      <c r="AI1506">
        <v>-1</v>
      </c>
      <c r="AJ1506" s="9">
        <f t="shared" si="466"/>
        <v>28</v>
      </c>
      <c r="AK1506" t="e">
        <f>IF(B1506&lt;&gt;#REF!,1,0)</f>
        <v>#REF!</v>
      </c>
      <c r="AL1506" s="9">
        <v>0</v>
      </c>
    </row>
    <row r="1507" spans="1:38" x14ac:dyDescent="0.35">
      <c r="A1507" s="9">
        <v>1</v>
      </c>
      <c r="B1507" s="50" t="s">
        <v>62</v>
      </c>
      <c r="C1507" s="53">
        <v>43859</v>
      </c>
      <c r="D1507" s="53">
        <v>43910</v>
      </c>
      <c r="E1507" s="53">
        <v>43986</v>
      </c>
      <c r="F1507" s="21">
        <f t="shared" si="454"/>
        <v>76</v>
      </c>
      <c r="G1507" s="53">
        <v>43910</v>
      </c>
      <c r="H1507" s="9">
        <v>2020</v>
      </c>
      <c r="I1507" s="9">
        <v>1</v>
      </c>
      <c r="J1507" s="50">
        <v>6</v>
      </c>
      <c r="K1507" s="50">
        <v>28</v>
      </c>
      <c r="L1507" s="24" t="s">
        <v>1863</v>
      </c>
      <c r="M1507" s="24"/>
      <c r="V1507" t="s">
        <v>965</v>
      </c>
      <c r="W1507" t="s">
        <v>989</v>
      </c>
      <c r="X1507" t="s">
        <v>997</v>
      </c>
      <c r="Y1507" t="s">
        <v>1000</v>
      </c>
      <c r="Z1507">
        <v>1</v>
      </c>
      <c r="AA1507">
        <v>-1</v>
      </c>
      <c r="AB1507">
        <v>-1</v>
      </c>
      <c r="AC1507">
        <v>-1</v>
      </c>
      <c r="AD1507">
        <v>-1</v>
      </c>
      <c r="AE1507">
        <v>-1</v>
      </c>
      <c r="AF1507">
        <v>-1</v>
      </c>
      <c r="AG1507">
        <v>-1</v>
      </c>
      <c r="AH1507">
        <v>-1</v>
      </c>
      <c r="AI1507">
        <v>-1</v>
      </c>
      <c r="AJ1507" s="9">
        <f t="shared" si="466"/>
        <v>28</v>
      </c>
      <c r="AK1507">
        <f t="shared" si="467"/>
        <v>0</v>
      </c>
      <c r="AL1507" s="9">
        <v>0</v>
      </c>
    </row>
    <row r="1508" spans="1:38" x14ac:dyDescent="0.35">
      <c r="A1508" s="9">
        <v>1</v>
      </c>
      <c r="B1508" s="50" t="s">
        <v>62</v>
      </c>
      <c r="C1508" s="53">
        <v>43859</v>
      </c>
      <c r="D1508" s="53">
        <v>43910</v>
      </c>
      <c r="E1508" s="53">
        <v>43986</v>
      </c>
      <c r="F1508" s="21">
        <f t="shared" si="454"/>
        <v>76</v>
      </c>
      <c r="G1508" s="53">
        <v>43910</v>
      </c>
      <c r="H1508" s="9">
        <v>2020</v>
      </c>
      <c r="I1508" s="9">
        <v>1</v>
      </c>
      <c r="J1508" s="50">
        <v>4</v>
      </c>
      <c r="K1508" s="50">
        <v>20</v>
      </c>
      <c r="L1508" s="24" t="s">
        <v>1587</v>
      </c>
      <c r="M1508" s="24"/>
      <c r="V1508" t="s">
        <v>965</v>
      </c>
      <c r="W1508" t="s">
        <v>989</v>
      </c>
      <c r="X1508" t="s">
        <v>997</v>
      </c>
      <c r="Y1508" t="s">
        <v>1000</v>
      </c>
      <c r="Z1508">
        <v>1</v>
      </c>
      <c r="AA1508">
        <v>-1</v>
      </c>
      <c r="AB1508">
        <v>-1</v>
      </c>
      <c r="AC1508">
        <v>-1</v>
      </c>
      <c r="AD1508">
        <v>-1</v>
      </c>
      <c r="AE1508">
        <v>-1</v>
      </c>
      <c r="AF1508">
        <v>-1</v>
      </c>
      <c r="AG1508">
        <v>-1</v>
      </c>
      <c r="AH1508">
        <v>-1</v>
      </c>
      <c r="AI1508">
        <v>-1</v>
      </c>
      <c r="AJ1508" s="9">
        <f t="shared" si="466"/>
        <v>20</v>
      </c>
      <c r="AK1508">
        <f t="shared" si="467"/>
        <v>0</v>
      </c>
      <c r="AL1508" s="9">
        <v>0</v>
      </c>
    </row>
    <row r="1509" spans="1:38" x14ac:dyDescent="0.35">
      <c r="A1509" s="9">
        <v>1</v>
      </c>
      <c r="B1509" s="50" t="s">
        <v>62</v>
      </c>
      <c r="C1509" s="53">
        <v>43859</v>
      </c>
      <c r="D1509" s="53">
        <v>43910</v>
      </c>
      <c r="E1509" s="53">
        <v>43986</v>
      </c>
      <c r="F1509" s="21">
        <f t="shared" si="454"/>
        <v>76</v>
      </c>
      <c r="G1509" s="53">
        <v>43910</v>
      </c>
      <c r="H1509" s="9">
        <v>2020</v>
      </c>
      <c r="I1509" s="9">
        <v>1</v>
      </c>
      <c r="J1509" s="50">
        <v>4</v>
      </c>
      <c r="K1509" s="50" t="s">
        <v>201</v>
      </c>
      <c r="L1509" s="24" t="s">
        <v>1864</v>
      </c>
      <c r="M1509" s="24"/>
      <c r="V1509" t="s">
        <v>965</v>
      </c>
      <c r="W1509" t="s">
        <v>989</v>
      </c>
      <c r="X1509" t="s">
        <v>997</v>
      </c>
      <c r="Y1509" t="s">
        <v>1000</v>
      </c>
      <c r="Z1509">
        <v>1</v>
      </c>
      <c r="AA1509">
        <v>-1</v>
      </c>
      <c r="AB1509">
        <v>-1</v>
      </c>
      <c r="AC1509">
        <v>-1</v>
      </c>
      <c r="AD1509">
        <v>-1</v>
      </c>
      <c r="AE1509">
        <v>-1</v>
      </c>
      <c r="AF1509">
        <v>-1</v>
      </c>
      <c r="AG1509">
        <v>-1</v>
      </c>
      <c r="AH1509">
        <v>-1</v>
      </c>
      <c r="AI1509">
        <v>-1</v>
      </c>
      <c r="AJ1509" s="9" t="str">
        <f t="shared" ref="AJ1509:AJ1587" si="468">IF(ISNUMBER(K1509),K1509,IF(OR(K1509="general",K1509="23;general"),"General",IF(OR(K1509="exemption",K1509="other (exemption)"),"Tax exemption/waiver/suspension","Other")))</f>
        <v>Other</v>
      </c>
      <c r="AK1509" t="e">
        <f>IF(B1509&lt;&gt;#REF!,1,0)</f>
        <v>#REF!</v>
      </c>
      <c r="AL1509" s="9">
        <v>0</v>
      </c>
    </row>
    <row r="1510" spans="1:38" x14ac:dyDescent="0.35">
      <c r="A1510" s="9">
        <v>1</v>
      </c>
      <c r="B1510" s="50" t="s">
        <v>62</v>
      </c>
      <c r="C1510" s="53">
        <v>43859</v>
      </c>
      <c r="D1510" s="53">
        <v>43910</v>
      </c>
      <c r="E1510" s="53">
        <v>43986</v>
      </c>
      <c r="F1510" s="21">
        <f t="shared" si="454"/>
        <v>76</v>
      </c>
      <c r="G1510" s="53">
        <v>43910</v>
      </c>
      <c r="H1510" s="9">
        <v>2020</v>
      </c>
      <c r="I1510" s="9">
        <v>1</v>
      </c>
      <c r="J1510" s="50">
        <v>6</v>
      </c>
      <c r="K1510" s="50">
        <v>28</v>
      </c>
      <c r="L1510" s="24" t="s">
        <v>1588</v>
      </c>
      <c r="M1510" s="24"/>
      <c r="V1510" t="s">
        <v>965</v>
      </c>
      <c r="W1510" t="s">
        <v>989</v>
      </c>
      <c r="X1510" t="s">
        <v>997</v>
      </c>
      <c r="Y1510" t="s">
        <v>1000</v>
      </c>
      <c r="Z1510">
        <v>1</v>
      </c>
      <c r="AA1510">
        <v>-1</v>
      </c>
      <c r="AB1510">
        <v>-1</v>
      </c>
      <c r="AC1510">
        <v>-1</v>
      </c>
      <c r="AD1510">
        <v>-1</v>
      </c>
      <c r="AE1510">
        <v>-1</v>
      </c>
      <c r="AF1510">
        <v>-1</v>
      </c>
      <c r="AG1510">
        <v>-1</v>
      </c>
      <c r="AH1510">
        <v>-1</v>
      </c>
      <c r="AI1510">
        <v>-1</v>
      </c>
      <c r="AJ1510" s="9">
        <f t="shared" si="468"/>
        <v>28</v>
      </c>
      <c r="AK1510">
        <f t="shared" ref="AK1510:AK1587" si="469">IF(B1510&lt;&gt;B1509,1,0)</f>
        <v>0</v>
      </c>
      <c r="AL1510" s="9">
        <v>0</v>
      </c>
    </row>
    <row r="1511" spans="1:38" x14ac:dyDescent="0.35">
      <c r="A1511" s="9">
        <v>1</v>
      </c>
      <c r="B1511" s="50" t="s">
        <v>62</v>
      </c>
      <c r="C1511" s="53">
        <v>43859</v>
      </c>
      <c r="D1511" s="53">
        <v>43910</v>
      </c>
      <c r="E1511" s="53">
        <v>43986</v>
      </c>
      <c r="F1511" s="21">
        <f t="shared" si="454"/>
        <v>76</v>
      </c>
      <c r="G1511" s="53">
        <v>43910</v>
      </c>
      <c r="H1511" s="9">
        <v>2020</v>
      </c>
      <c r="I1511" s="9">
        <v>1</v>
      </c>
      <c r="J1511" s="50">
        <v>4</v>
      </c>
      <c r="K1511" s="50">
        <v>20</v>
      </c>
      <c r="L1511" s="24" t="s">
        <v>1589</v>
      </c>
      <c r="M1511" s="24"/>
      <c r="V1511" t="s">
        <v>965</v>
      </c>
      <c r="W1511" t="s">
        <v>989</v>
      </c>
      <c r="X1511" t="s">
        <v>997</v>
      </c>
      <c r="Y1511" t="s">
        <v>1000</v>
      </c>
      <c r="Z1511">
        <v>1</v>
      </c>
      <c r="AA1511">
        <v>-1</v>
      </c>
      <c r="AB1511">
        <v>-1</v>
      </c>
      <c r="AC1511">
        <v>-1</v>
      </c>
      <c r="AD1511">
        <v>-1</v>
      </c>
      <c r="AE1511">
        <v>-1</v>
      </c>
      <c r="AF1511">
        <v>-1</v>
      </c>
      <c r="AG1511">
        <v>-1</v>
      </c>
      <c r="AH1511">
        <v>-1</v>
      </c>
      <c r="AI1511">
        <v>-1</v>
      </c>
      <c r="AJ1511" s="9">
        <f t="shared" si="468"/>
        <v>20</v>
      </c>
      <c r="AK1511">
        <f t="shared" si="469"/>
        <v>0</v>
      </c>
      <c r="AL1511" s="9">
        <v>0</v>
      </c>
    </row>
    <row r="1512" spans="1:38" x14ac:dyDescent="0.35">
      <c r="A1512" s="9">
        <v>1</v>
      </c>
      <c r="B1512" s="50" t="s">
        <v>62</v>
      </c>
      <c r="C1512" s="53">
        <v>43859</v>
      </c>
      <c r="D1512" s="53">
        <v>43910</v>
      </c>
      <c r="E1512" s="53">
        <v>43986</v>
      </c>
      <c r="F1512" s="21">
        <f t="shared" si="454"/>
        <v>76</v>
      </c>
      <c r="G1512" s="53">
        <v>43910</v>
      </c>
      <c r="H1512" s="9">
        <v>2020</v>
      </c>
      <c r="I1512" s="9">
        <v>1</v>
      </c>
      <c r="J1512" s="50">
        <v>1</v>
      </c>
      <c r="K1512" s="50" t="s">
        <v>206</v>
      </c>
      <c r="L1512" s="24" t="s">
        <v>1590</v>
      </c>
      <c r="M1512" s="24"/>
      <c r="V1512" t="s">
        <v>965</v>
      </c>
      <c r="W1512" t="s">
        <v>989</v>
      </c>
      <c r="X1512" t="s">
        <v>997</v>
      </c>
      <c r="Y1512" t="s">
        <v>1000</v>
      </c>
      <c r="Z1512">
        <v>1</v>
      </c>
      <c r="AA1512">
        <v>-1</v>
      </c>
      <c r="AB1512">
        <v>-1</v>
      </c>
      <c r="AC1512">
        <v>-1</v>
      </c>
      <c r="AD1512">
        <v>-1</v>
      </c>
      <c r="AE1512">
        <v>-1</v>
      </c>
      <c r="AF1512">
        <v>-1</v>
      </c>
      <c r="AG1512">
        <v>-1</v>
      </c>
      <c r="AH1512">
        <v>-1</v>
      </c>
      <c r="AI1512">
        <v>-1</v>
      </c>
      <c r="AJ1512" s="9" t="str">
        <f t="shared" si="468"/>
        <v>Tax exemption/waiver/suspension</v>
      </c>
      <c r="AK1512">
        <f t="shared" si="469"/>
        <v>0</v>
      </c>
      <c r="AL1512" s="9">
        <v>0</v>
      </c>
    </row>
    <row r="1513" spans="1:38" x14ac:dyDescent="0.35">
      <c r="A1513" s="9">
        <v>1</v>
      </c>
      <c r="B1513" s="50" t="s">
        <v>62</v>
      </c>
      <c r="C1513" s="53">
        <v>43859</v>
      </c>
      <c r="D1513" s="53">
        <v>43910</v>
      </c>
      <c r="E1513" s="53">
        <v>43986</v>
      </c>
      <c r="F1513" s="21">
        <f t="shared" si="454"/>
        <v>76</v>
      </c>
      <c r="G1513" s="53">
        <v>43910</v>
      </c>
      <c r="H1513" s="9">
        <v>2020</v>
      </c>
      <c r="I1513" s="9">
        <v>1</v>
      </c>
      <c r="J1513" s="50">
        <v>5</v>
      </c>
      <c r="K1513" s="50">
        <v>23</v>
      </c>
      <c r="L1513" s="24" t="s">
        <v>1591</v>
      </c>
      <c r="M1513" s="24"/>
      <c r="V1513" t="s">
        <v>965</v>
      </c>
      <c r="W1513" t="s">
        <v>989</v>
      </c>
      <c r="X1513" t="s">
        <v>997</v>
      </c>
      <c r="Y1513" t="s">
        <v>1000</v>
      </c>
      <c r="Z1513">
        <v>1</v>
      </c>
      <c r="AA1513">
        <v>-1</v>
      </c>
      <c r="AB1513">
        <v>-1</v>
      </c>
      <c r="AC1513">
        <v>-1</v>
      </c>
      <c r="AD1513">
        <v>-1</v>
      </c>
      <c r="AE1513">
        <v>-1</v>
      </c>
      <c r="AF1513">
        <v>-1</v>
      </c>
      <c r="AG1513">
        <v>-1</v>
      </c>
      <c r="AH1513">
        <v>-1</v>
      </c>
      <c r="AI1513">
        <v>-1</v>
      </c>
      <c r="AJ1513" s="9">
        <f t="shared" si="468"/>
        <v>23</v>
      </c>
      <c r="AK1513">
        <f t="shared" si="469"/>
        <v>0</v>
      </c>
      <c r="AL1513" s="9">
        <v>0</v>
      </c>
    </row>
    <row r="1514" spans="1:38" x14ac:dyDescent="0.35">
      <c r="A1514" s="9">
        <v>1</v>
      </c>
      <c r="B1514" s="50" t="s">
        <v>62</v>
      </c>
      <c r="C1514" s="53">
        <v>43859</v>
      </c>
      <c r="D1514" s="53">
        <v>43910</v>
      </c>
      <c r="E1514" s="53">
        <v>43986</v>
      </c>
      <c r="F1514" s="21">
        <f t="shared" si="454"/>
        <v>76</v>
      </c>
      <c r="G1514" s="53">
        <v>43910</v>
      </c>
      <c r="H1514" s="9">
        <v>2020</v>
      </c>
      <c r="I1514" s="9">
        <v>1</v>
      </c>
      <c r="J1514" s="50">
        <v>1</v>
      </c>
      <c r="K1514" s="50">
        <v>7</v>
      </c>
      <c r="L1514" s="24" t="s">
        <v>1592</v>
      </c>
      <c r="M1514" s="24"/>
      <c r="V1514" t="s">
        <v>965</v>
      </c>
      <c r="W1514" t="s">
        <v>989</v>
      </c>
      <c r="X1514" t="s">
        <v>997</v>
      </c>
      <c r="Y1514" t="s">
        <v>1000</v>
      </c>
      <c r="Z1514">
        <v>1</v>
      </c>
      <c r="AA1514">
        <v>-1</v>
      </c>
      <c r="AB1514">
        <v>-1</v>
      </c>
      <c r="AC1514">
        <v>-1</v>
      </c>
      <c r="AD1514">
        <v>-1</v>
      </c>
      <c r="AE1514">
        <v>-1</v>
      </c>
      <c r="AF1514">
        <v>-1</v>
      </c>
      <c r="AG1514">
        <v>-1</v>
      </c>
      <c r="AH1514">
        <v>-1</v>
      </c>
      <c r="AI1514">
        <v>-1</v>
      </c>
      <c r="AJ1514" s="9">
        <f t="shared" si="468"/>
        <v>7</v>
      </c>
      <c r="AK1514">
        <f t="shared" si="469"/>
        <v>0</v>
      </c>
      <c r="AL1514" s="9">
        <v>1</v>
      </c>
    </row>
    <row r="1515" spans="1:38" s="47" customFormat="1" x14ac:dyDescent="0.35">
      <c r="A1515" s="9">
        <v>1</v>
      </c>
      <c r="B1515" s="50" t="s">
        <v>62</v>
      </c>
      <c r="C1515" s="53">
        <v>43859</v>
      </c>
      <c r="D1515" s="53">
        <v>43910</v>
      </c>
      <c r="E1515" s="53">
        <v>43986</v>
      </c>
      <c r="F1515" s="21">
        <f t="shared" ref="F1515:F1590" si="470">DATEDIF(D1515,E1515,"D")</f>
        <v>76</v>
      </c>
      <c r="G1515" s="53">
        <v>43910</v>
      </c>
      <c r="H1515" s="9">
        <v>2021</v>
      </c>
      <c r="I1515" s="9">
        <v>1</v>
      </c>
      <c r="J1515" s="50">
        <v>6</v>
      </c>
      <c r="K1515" s="50">
        <v>28</v>
      </c>
      <c r="L1515" s="48" t="s">
        <v>1717</v>
      </c>
      <c r="M1515" s="48"/>
      <c r="V1515" t="s">
        <v>965</v>
      </c>
      <c r="AJ1515" s="47">
        <f t="shared" si="468"/>
        <v>28</v>
      </c>
    </row>
    <row r="1516" spans="1:38" s="47" customFormat="1" x14ac:dyDescent="0.35">
      <c r="A1516" s="9">
        <v>1</v>
      </c>
      <c r="B1516" s="50" t="s">
        <v>62</v>
      </c>
      <c r="C1516" s="53">
        <v>43859</v>
      </c>
      <c r="D1516" s="53">
        <v>43910</v>
      </c>
      <c r="E1516" s="53">
        <v>43986</v>
      </c>
      <c r="F1516" s="21">
        <f t="shared" si="470"/>
        <v>76</v>
      </c>
      <c r="G1516" s="53">
        <v>43910</v>
      </c>
      <c r="H1516" s="9">
        <v>2021</v>
      </c>
      <c r="I1516" s="9">
        <v>1</v>
      </c>
      <c r="J1516" s="50">
        <v>9</v>
      </c>
      <c r="K1516" s="50">
        <v>34</v>
      </c>
      <c r="L1516" s="48" t="s">
        <v>1718</v>
      </c>
      <c r="M1516" s="48"/>
      <c r="V1516" t="s">
        <v>965</v>
      </c>
      <c r="AJ1516" s="47">
        <f t="shared" si="468"/>
        <v>34</v>
      </c>
    </row>
    <row r="1517" spans="1:38" s="47" customFormat="1" x14ac:dyDescent="0.35">
      <c r="A1517" s="9">
        <v>1</v>
      </c>
      <c r="B1517" s="50" t="s">
        <v>62</v>
      </c>
      <c r="C1517" s="53">
        <v>43859</v>
      </c>
      <c r="D1517" s="53">
        <v>43910</v>
      </c>
      <c r="E1517" s="53">
        <v>43986</v>
      </c>
      <c r="F1517" s="21">
        <f t="shared" si="470"/>
        <v>76</v>
      </c>
      <c r="G1517" s="53">
        <v>43910</v>
      </c>
      <c r="H1517" s="9">
        <v>2021</v>
      </c>
      <c r="I1517" s="9">
        <v>1</v>
      </c>
      <c r="J1517" s="50">
        <v>9</v>
      </c>
      <c r="K1517" s="50">
        <v>34</v>
      </c>
      <c r="L1517" s="48" t="s">
        <v>1719</v>
      </c>
      <c r="M1517" s="48"/>
      <c r="V1517" t="s">
        <v>965</v>
      </c>
      <c r="AJ1517" s="47">
        <f t="shared" si="468"/>
        <v>34</v>
      </c>
    </row>
    <row r="1518" spans="1:38" s="47" customFormat="1" x14ac:dyDescent="0.35">
      <c r="A1518" s="9">
        <v>1</v>
      </c>
      <c r="B1518" s="50" t="s">
        <v>62</v>
      </c>
      <c r="C1518" s="53">
        <v>43859</v>
      </c>
      <c r="D1518" s="53">
        <v>43910</v>
      </c>
      <c r="E1518" s="53">
        <v>43986</v>
      </c>
      <c r="F1518" s="21">
        <f t="shared" si="470"/>
        <v>76</v>
      </c>
      <c r="G1518" s="53">
        <v>43910</v>
      </c>
      <c r="H1518" s="9">
        <v>2021</v>
      </c>
      <c r="I1518" s="9">
        <v>1</v>
      </c>
      <c r="J1518" s="50">
        <v>1</v>
      </c>
      <c r="K1518" s="50">
        <v>7</v>
      </c>
      <c r="L1518" s="48" t="s">
        <v>1865</v>
      </c>
      <c r="M1518" s="48"/>
      <c r="V1518" t="s">
        <v>965</v>
      </c>
      <c r="AJ1518" s="47">
        <f t="shared" si="468"/>
        <v>7</v>
      </c>
    </row>
    <row r="1519" spans="1:38" s="47" customFormat="1" x14ac:dyDescent="0.35">
      <c r="A1519" s="9">
        <v>1</v>
      </c>
      <c r="B1519" s="50" t="s">
        <v>62</v>
      </c>
      <c r="C1519" s="53">
        <v>43859</v>
      </c>
      <c r="D1519" s="53">
        <v>43910</v>
      </c>
      <c r="E1519" s="53">
        <v>43986</v>
      </c>
      <c r="F1519" s="21">
        <f t="shared" ref="F1519:F1528" si="471">DATEDIF(D1519,E1519,"D")</f>
        <v>76</v>
      </c>
      <c r="G1519" s="53">
        <v>43910</v>
      </c>
      <c r="H1519" s="9">
        <v>2021</v>
      </c>
      <c r="I1519" s="9">
        <v>1</v>
      </c>
      <c r="J1519" s="50">
        <v>1</v>
      </c>
      <c r="K1519" s="50">
        <v>7</v>
      </c>
      <c r="L1519" s="48" t="s">
        <v>2119</v>
      </c>
      <c r="M1519" s="48"/>
      <c r="V1519"/>
      <c r="AJ1519" s="47">
        <f t="shared" si="468"/>
        <v>7</v>
      </c>
    </row>
    <row r="1520" spans="1:38" s="47" customFormat="1" x14ac:dyDescent="0.35">
      <c r="A1520" s="9">
        <v>1</v>
      </c>
      <c r="B1520" s="50" t="s">
        <v>62</v>
      </c>
      <c r="C1520" s="53">
        <v>43859</v>
      </c>
      <c r="D1520" s="53">
        <v>43910</v>
      </c>
      <c r="E1520" s="53">
        <v>43986</v>
      </c>
      <c r="F1520" s="21">
        <f t="shared" si="471"/>
        <v>76</v>
      </c>
      <c r="G1520" s="53">
        <v>43910</v>
      </c>
      <c r="H1520" s="9">
        <v>2021</v>
      </c>
      <c r="I1520" s="9">
        <v>1</v>
      </c>
      <c r="J1520" s="50">
        <v>6</v>
      </c>
      <c r="K1520" s="50">
        <v>29</v>
      </c>
      <c r="L1520" s="48" t="s">
        <v>2120</v>
      </c>
      <c r="M1520" s="48"/>
      <c r="V1520"/>
      <c r="AJ1520" s="47">
        <f t="shared" si="468"/>
        <v>29</v>
      </c>
    </row>
    <row r="1521" spans="1:38" s="47" customFormat="1" x14ac:dyDescent="0.35">
      <c r="A1521" s="9">
        <v>1</v>
      </c>
      <c r="B1521" s="50" t="s">
        <v>62</v>
      </c>
      <c r="C1521" s="53">
        <v>43859</v>
      </c>
      <c r="D1521" s="53">
        <v>43910</v>
      </c>
      <c r="E1521" s="53">
        <v>43986</v>
      </c>
      <c r="F1521" s="21">
        <f t="shared" si="471"/>
        <v>76</v>
      </c>
      <c r="G1521" s="53">
        <v>43910</v>
      </c>
      <c r="H1521" s="9">
        <v>2021</v>
      </c>
      <c r="I1521" s="9">
        <v>1</v>
      </c>
      <c r="J1521" s="50">
        <v>6</v>
      </c>
      <c r="K1521" s="50">
        <v>28</v>
      </c>
      <c r="L1521" s="48" t="s">
        <v>2121</v>
      </c>
      <c r="M1521" s="48"/>
      <c r="V1521"/>
      <c r="AJ1521" s="47">
        <f t="shared" si="468"/>
        <v>28</v>
      </c>
    </row>
    <row r="1522" spans="1:38" s="47" customFormat="1" x14ac:dyDescent="0.35">
      <c r="A1522" s="9">
        <v>1</v>
      </c>
      <c r="B1522" s="50" t="s">
        <v>62</v>
      </c>
      <c r="C1522" s="53">
        <v>43859</v>
      </c>
      <c r="D1522" s="53">
        <v>43910</v>
      </c>
      <c r="E1522" s="53">
        <v>43986</v>
      </c>
      <c r="F1522" s="21">
        <f t="shared" si="471"/>
        <v>76</v>
      </c>
      <c r="G1522" s="53">
        <v>43910</v>
      </c>
      <c r="H1522" s="9">
        <v>2021</v>
      </c>
      <c r="I1522" s="9">
        <v>1</v>
      </c>
      <c r="J1522" s="50">
        <v>9</v>
      </c>
      <c r="K1522" s="50">
        <v>34</v>
      </c>
      <c r="L1522" s="48" t="s">
        <v>2123</v>
      </c>
      <c r="M1522" s="48"/>
      <c r="V1522"/>
      <c r="AJ1522" s="47">
        <f t="shared" si="468"/>
        <v>34</v>
      </c>
    </row>
    <row r="1523" spans="1:38" s="47" customFormat="1" x14ac:dyDescent="0.35">
      <c r="A1523" s="9">
        <v>1</v>
      </c>
      <c r="B1523" s="50" t="s">
        <v>62</v>
      </c>
      <c r="C1523" s="53">
        <v>43859</v>
      </c>
      <c r="D1523" s="53">
        <v>43910</v>
      </c>
      <c r="E1523" s="53">
        <v>43986</v>
      </c>
      <c r="F1523" s="21">
        <f t="shared" si="471"/>
        <v>76</v>
      </c>
      <c r="G1523" s="53">
        <v>43910</v>
      </c>
      <c r="H1523" s="9">
        <v>2021</v>
      </c>
      <c r="I1523" s="9">
        <v>1</v>
      </c>
      <c r="J1523" s="50">
        <v>7</v>
      </c>
      <c r="K1523" s="50">
        <v>31</v>
      </c>
      <c r="L1523" s="48" t="s">
        <v>2122</v>
      </c>
      <c r="M1523" s="48"/>
      <c r="V1523"/>
      <c r="AJ1523" s="47">
        <f t="shared" si="468"/>
        <v>31</v>
      </c>
    </row>
    <row r="1524" spans="1:38" s="47" customFormat="1" x14ac:dyDescent="0.35">
      <c r="A1524" s="9">
        <v>1</v>
      </c>
      <c r="B1524" s="50" t="s">
        <v>62</v>
      </c>
      <c r="C1524" s="53">
        <v>43859</v>
      </c>
      <c r="D1524" s="53">
        <v>43910</v>
      </c>
      <c r="E1524" s="53">
        <v>43986</v>
      </c>
      <c r="F1524" s="21">
        <f t="shared" si="471"/>
        <v>76</v>
      </c>
      <c r="G1524" s="53">
        <v>43910</v>
      </c>
      <c r="H1524" s="9">
        <v>2021</v>
      </c>
      <c r="I1524" s="9">
        <v>1</v>
      </c>
      <c r="J1524" s="50">
        <v>1</v>
      </c>
      <c r="K1524" s="50">
        <v>7</v>
      </c>
      <c r="L1524" s="48" t="s">
        <v>2124</v>
      </c>
      <c r="M1524" s="48"/>
      <c r="V1524"/>
      <c r="AJ1524" s="47">
        <f t="shared" si="468"/>
        <v>7</v>
      </c>
    </row>
    <row r="1525" spans="1:38" s="47" customFormat="1" x14ac:dyDescent="0.35">
      <c r="A1525" s="9">
        <v>1</v>
      </c>
      <c r="B1525" s="50" t="s">
        <v>62</v>
      </c>
      <c r="C1525" s="53">
        <v>43859</v>
      </c>
      <c r="D1525" s="53">
        <v>43910</v>
      </c>
      <c r="E1525" s="53">
        <v>43986</v>
      </c>
      <c r="F1525" s="21">
        <f t="shared" si="471"/>
        <v>76</v>
      </c>
      <c r="G1525" s="53">
        <v>43910</v>
      </c>
      <c r="H1525" s="9">
        <v>2021</v>
      </c>
      <c r="I1525" s="9">
        <v>1</v>
      </c>
      <c r="J1525" s="50">
        <v>1</v>
      </c>
      <c r="K1525" s="50">
        <v>6</v>
      </c>
      <c r="L1525" s="48" t="s">
        <v>2125</v>
      </c>
      <c r="M1525" s="48"/>
      <c r="V1525"/>
    </row>
    <row r="1526" spans="1:38" s="47" customFormat="1" x14ac:dyDescent="0.35">
      <c r="A1526" s="9">
        <v>1</v>
      </c>
      <c r="B1526" s="50" t="s">
        <v>62</v>
      </c>
      <c r="C1526" s="53">
        <v>43859</v>
      </c>
      <c r="D1526" s="53">
        <v>43910</v>
      </c>
      <c r="E1526" s="53">
        <v>43986</v>
      </c>
      <c r="F1526" s="21">
        <f t="shared" si="471"/>
        <v>76</v>
      </c>
      <c r="G1526" s="53">
        <v>43910</v>
      </c>
      <c r="H1526" s="9">
        <v>2021</v>
      </c>
      <c r="I1526" s="9">
        <v>1</v>
      </c>
      <c r="J1526" s="50">
        <v>6</v>
      </c>
      <c r="K1526" s="50">
        <v>25</v>
      </c>
      <c r="L1526" s="48" t="s">
        <v>2126</v>
      </c>
      <c r="M1526" s="48"/>
      <c r="V1526"/>
    </row>
    <row r="1527" spans="1:38" s="47" customFormat="1" x14ac:dyDescent="0.35">
      <c r="A1527" s="9">
        <v>1</v>
      </c>
      <c r="B1527" s="50" t="s">
        <v>62</v>
      </c>
      <c r="C1527" s="53">
        <v>43859</v>
      </c>
      <c r="D1527" s="53">
        <v>43910</v>
      </c>
      <c r="E1527" s="53">
        <v>43986</v>
      </c>
      <c r="F1527" s="21">
        <f t="shared" si="471"/>
        <v>76</v>
      </c>
      <c r="G1527" s="53">
        <v>43910</v>
      </c>
      <c r="H1527" s="9">
        <v>2021</v>
      </c>
      <c r="I1527" s="9">
        <v>1</v>
      </c>
      <c r="J1527" s="50">
        <v>9</v>
      </c>
      <c r="K1527" s="50">
        <v>34</v>
      </c>
      <c r="L1527" s="48" t="s">
        <v>2127</v>
      </c>
      <c r="M1527" s="48"/>
      <c r="V1527"/>
    </row>
    <row r="1528" spans="1:38" s="47" customFormat="1" x14ac:dyDescent="0.35">
      <c r="A1528" s="9">
        <v>1</v>
      </c>
      <c r="B1528" s="50" t="s">
        <v>62</v>
      </c>
      <c r="C1528" s="53">
        <v>43859</v>
      </c>
      <c r="D1528" s="53">
        <v>43910</v>
      </c>
      <c r="E1528" s="53">
        <v>43986</v>
      </c>
      <c r="F1528" s="21">
        <f t="shared" si="471"/>
        <v>76</v>
      </c>
      <c r="G1528" s="53">
        <v>43910</v>
      </c>
      <c r="H1528" s="9">
        <v>2021</v>
      </c>
      <c r="I1528" s="9">
        <v>1</v>
      </c>
      <c r="J1528" s="50">
        <v>7</v>
      </c>
      <c r="K1528" s="50">
        <v>31</v>
      </c>
      <c r="L1528" s="48" t="s">
        <v>2133</v>
      </c>
      <c r="M1528" s="48"/>
      <c r="V1528"/>
    </row>
    <row r="1529" spans="1:38" s="47" customFormat="1" x14ac:dyDescent="0.35">
      <c r="A1529" s="9">
        <v>1</v>
      </c>
      <c r="B1529" s="50" t="s">
        <v>62</v>
      </c>
      <c r="C1529" s="53">
        <v>43859</v>
      </c>
      <c r="D1529" s="53">
        <v>43910</v>
      </c>
      <c r="E1529" s="53">
        <v>43986</v>
      </c>
      <c r="F1529" s="21">
        <f t="shared" ref="F1529:F1535" si="472">DATEDIF(D1529,E1529,"D")</f>
        <v>76</v>
      </c>
      <c r="G1529" s="53">
        <v>43910</v>
      </c>
      <c r="H1529" s="9">
        <v>2021</v>
      </c>
      <c r="I1529" s="9">
        <v>1</v>
      </c>
      <c r="J1529" s="50">
        <v>7</v>
      </c>
      <c r="K1529" s="50">
        <v>30</v>
      </c>
      <c r="L1529" s="48" t="s">
        <v>2128</v>
      </c>
      <c r="M1529" s="48"/>
      <c r="V1529"/>
    </row>
    <row r="1530" spans="1:38" s="47" customFormat="1" x14ac:dyDescent="0.35">
      <c r="A1530" s="9">
        <v>1</v>
      </c>
      <c r="B1530" s="50" t="s">
        <v>62</v>
      </c>
      <c r="C1530" s="53">
        <v>43859</v>
      </c>
      <c r="D1530" s="53">
        <v>43910</v>
      </c>
      <c r="E1530" s="53">
        <v>43986</v>
      </c>
      <c r="F1530" s="21">
        <f t="shared" si="472"/>
        <v>76</v>
      </c>
      <c r="G1530" s="53">
        <v>43910</v>
      </c>
      <c r="H1530" s="9">
        <v>2021</v>
      </c>
      <c r="I1530" s="9">
        <v>1</v>
      </c>
      <c r="J1530" s="50">
        <v>1</v>
      </c>
      <c r="K1530" s="50" t="s">
        <v>206</v>
      </c>
      <c r="L1530" s="48" t="s">
        <v>2129</v>
      </c>
      <c r="M1530" s="48"/>
      <c r="V1530"/>
    </row>
    <row r="1531" spans="1:38" s="47" customFormat="1" x14ac:dyDescent="0.35">
      <c r="A1531" s="9">
        <v>1</v>
      </c>
      <c r="B1531" s="50" t="s">
        <v>62</v>
      </c>
      <c r="C1531" s="53">
        <v>43859</v>
      </c>
      <c r="D1531" s="53">
        <v>43910</v>
      </c>
      <c r="E1531" s="53">
        <v>43986</v>
      </c>
      <c r="F1531" s="21">
        <f t="shared" si="472"/>
        <v>76</v>
      </c>
      <c r="G1531" s="53">
        <v>43910</v>
      </c>
      <c r="H1531" s="9">
        <v>2021</v>
      </c>
      <c r="I1531" s="9">
        <v>1</v>
      </c>
      <c r="J1531" s="50">
        <v>9</v>
      </c>
      <c r="K1531" s="50">
        <v>34</v>
      </c>
      <c r="L1531" s="48" t="s">
        <v>2130</v>
      </c>
      <c r="M1531" s="48"/>
      <c r="V1531"/>
    </row>
    <row r="1532" spans="1:38" s="47" customFormat="1" x14ac:dyDescent="0.35">
      <c r="A1532" s="9">
        <v>1</v>
      </c>
      <c r="B1532" s="50" t="s">
        <v>62</v>
      </c>
      <c r="C1532" s="53">
        <v>43859</v>
      </c>
      <c r="D1532" s="53">
        <v>43910</v>
      </c>
      <c r="E1532" s="53">
        <v>43986</v>
      </c>
      <c r="F1532" s="21">
        <f t="shared" si="472"/>
        <v>76</v>
      </c>
      <c r="G1532" s="53">
        <v>43910</v>
      </c>
      <c r="H1532" s="9">
        <v>2021</v>
      </c>
      <c r="I1532" s="9">
        <v>1</v>
      </c>
      <c r="J1532" s="50">
        <v>7</v>
      </c>
      <c r="K1532" s="50">
        <v>31</v>
      </c>
      <c r="L1532" s="48" t="s">
        <v>2131</v>
      </c>
      <c r="M1532" s="48"/>
      <c r="V1532"/>
    </row>
    <row r="1533" spans="1:38" s="47" customFormat="1" x14ac:dyDescent="0.35">
      <c r="A1533" s="9">
        <v>1</v>
      </c>
      <c r="B1533" s="50" t="s">
        <v>62</v>
      </c>
      <c r="C1533" s="53">
        <v>43859</v>
      </c>
      <c r="D1533" s="53">
        <v>43910</v>
      </c>
      <c r="E1533" s="53">
        <v>43986</v>
      </c>
      <c r="F1533" s="21">
        <f t="shared" si="472"/>
        <v>76</v>
      </c>
      <c r="G1533" s="53">
        <v>43910</v>
      </c>
      <c r="H1533" s="9">
        <v>2021</v>
      </c>
      <c r="I1533" s="9">
        <v>1</v>
      </c>
      <c r="J1533" s="50">
        <v>6</v>
      </c>
      <c r="K1533" s="50">
        <v>29</v>
      </c>
      <c r="L1533" s="48" t="s">
        <v>2132</v>
      </c>
      <c r="M1533" s="48"/>
      <c r="V1533"/>
    </row>
    <row r="1534" spans="1:38" s="47" customFormat="1" x14ac:dyDescent="0.35">
      <c r="A1534" s="9">
        <v>1</v>
      </c>
      <c r="B1534" s="50" t="s">
        <v>62</v>
      </c>
      <c r="C1534" s="53">
        <v>43859</v>
      </c>
      <c r="D1534" s="53">
        <v>43910</v>
      </c>
      <c r="E1534" s="53">
        <v>43986</v>
      </c>
      <c r="F1534" s="21">
        <f t="shared" si="472"/>
        <v>76</v>
      </c>
      <c r="G1534" s="53">
        <v>43910</v>
      </c>
      <c r="H1534" s="9">
        <v>2021</v>
      </c>
      <c r="I1534" s="9">
        <v>1</v>
      </c>
      <c r="J1534" s="50">
        <v>9</v>
      </c>
      <c r="K1534" s="50">
        <v>34</v>
      </c>
      <c r="L1534" s="48" t="s">
        <v>2135</v>
      </c>
      <c r="M1534" s="48"/>
      <c r="V1534"/>
    </row>
    <row r="1535" spans="1:38" s="47" customFormat="1" x14ac:dyDescent="0.35">
      <c r="A1535" s="9">
        <v>1</v>
      </c>
      <c r="B1535" s="50" t="s">
        <v>62</v>
      </c>
      <c r="C1535" s="53">
        <v>43859</v>
      </c>
      <c r="D1535" s="53">
        <v>43910</v>
      </c>
      <c r="E1535" s="53">
        <v>43986</v>
      </c>
      <c r="F1535" s="21">
        <f t="shared" si="472"/>
        <v>76</v>
      </c>
      <c r="G1535" s="53">
        <v>43910</v>
      </c>
      <c r="H1535" s="9">
        <v>2021</v>
      </c>
      <c r="I1535" s="9">
        <v>1</v>
      </c>
      <c r="J1535" s="50">
        <v>7</v>
      </c>
      <c r="K1535" s="50">
        <v>31</v>
      </c>
      <c r="L1535" s="48" t="s">
        <v>2136</v>
      </c>
      <c r="M1535" s="48"/>
      <c r="V1535"/>
    </row>
    <row r="1536" spans="1:38" x14ac:dyDescent="0.35">
      <c r="A1536" s="9">
        <v>1</v>
      </c>
      <c r="B1536" s="9" t="s">
        <v>187</v>
      </c>
      <c r="C1536" s="53">
        <v>43851</v>
      </c>
      <c r="D1536" s="53">
        <v>43905</v>
      </c>
      <c r="E1536" s="53">
        <v>43973</v>
      </c>
      <c r="F1536" s="21">
        <f t="shared" si="470"/>
        <v>68</v>
      </c>
      <c r="G1536" s="53">
        <v>43905</v>
      </c>
      <c r="H1536" s="9">
        <v>2020</v>
      </c>
      <c r="I1536" s="9">
        <v>1</v>
      </c>
      <c r="J1536" s="9">
        <v>1</v>
      </c>
      <c r="K1536" s="9" t="s">
        <v>206</v>
      </c>
      <c r="L1536" s="50" t="s">
        <v>931</v>
      </c>
      <c r="M1536">
        <v>2</v>
      </c>
      <c r="N1536">
        <v>2</v>
      </c>
      <c r="O1536">
        <v>-2</v>
      </c>
      <c r="P1536">
        <v>-1</v>
      </c>
      <c r="Q1536">
        <v>-2</v>
      </c>
      <c r="R1536">
        <v>-2</v>
      </c>
      <c r="S1536">
        <v>-2</v>
      </c>
      <c r="U1536">
        <v>1</v>
      </c>
      <c r="V1536" t="s">
        <v>987</v>
      </c>
      <c r="W1536" t="s">
        <v>995</v>
      </c>
      <c r="X1536" t="s">
        <v>997</v>
      </c>
      <c r="Y1536" t="s">
        <v>1000</v>
      </c>
      <c r="Z1536">
        <v>1</v>
      </c>
      <c r="AA1536">
        <f t="shared" ref="AA1536:AA1571" si="473">IF(M1536&gt;0,1,IF(M1536&lt;0,0,-1))</f>
        <v>1</v>
      </c>
      <c r="AB1536">
        <f t="shared" ref="AB1536:AB1571" si="474">IF(N1536&gt;0,1,IF(N1536&lt;0,0,-1))</f>
        <v>1</v>
      </c>
      <c r="AC1536">
        <f t="shared" ref="AC1536:AC1571" si="475">IF(O1536&gt;0,1,IF(O1536&lt;0,0,-1))</f>
        <v>0</v>
      </c>
      <c r="AD1536">
        <f t="shared" ref="AD1536:AD1571" si="476">IF(P1536&gt;0,1,IF(P1536&lt;0,0,-1))</f>
        <v>0</v>
      </c>
      <c r="AE1536">
        <f t="shared" ref="AE1536:AE1571" si="477">IF(Q1536&gt;0,1,IF(Q1536&lt;0,0,-1))</f>
        <v>0</v>
      </c>
      <c r="AF1536">
        <f t="shared" ref="AF1536:AF1571" si="478">IF(R1536&gt;0,1,IF(R1536&lt;0,0,-1))</f>
        <v>0</v>
      </c>
      <c r="AG1536">
        <f t="shared" ref="AG1536:AG1571" si="479">IF(S1536&gt;0,1,IF(S1536&lt;0,0,-1))</f>
        <v>0</v>
      </c>
      <c r="AH1536">
        <f t="shared" ref="AH1536:AH1571" si="480">IF(T1536&gt;0,1,IF(T1536&lt;0,0,-1))</f>
        <v>-1</v>
      </c>
      <c r="AI1536">
        <f t="shared" ref="AI1536:AI1571" si="481">IF(U1536&gt;0,1,IF(U1536&lt;0,0,-1))</f>
        <v>1</v>
      </c>
      <c r="AJ1536" s="9" t="str">
        <f t="shared" si="468"/>
        <v>Tax exemption/waiver/suspension</v>
      </c>
      <c r="AK1536" t="e">
        <f>IF(B1536&lt;&gt;#REF!,1,0)</f>
        <v>#REF!</v>
      </c>
      <c r="AL1536" s="9">
        <v>1</v>
      </c>
    </row>
    <row r="1537" spans="1:38" x14ac:dyDescent="0.35">
      <c r="A1537" s="9">
        <v>1</v>
      </c>
      <c r="B1537" s="9" t="s">
        <v>187</v>
      </c>
      <c r="C1537" s="53">
        <v>43851</v>
      </c>
      <c r="D1537" s="53">
        <v>43905</v>
      </c>
      <c r="E1537" s="53">
        <v>43973</v>
      </c>
      <c r="F1537" s="21">
        <f t="shared" si="470"/>
        <v>68</v>
      </c>
      <c r="G1537" s="53">
        <v>43905</v>
      </c>
      <c r="H1537" s="9">
        <v>2020</v>
      </c>
      <c r="I1537" s="9">
        <v>1</v>
      </c>
      <c r="J1537" s="9">
        <v>2</v>
      </c>
      <c r="K1537" s="9">
        <v>14</v>
      </c>
      <c r="L1537" s="50" t="s">
        <v>909</v>
      </c>
      <c r="M1537">
        <v>2</v>
      </c>
      <c r="N1537">
        <v>2</v>
      </c>
      <c r="O1537">
        <v>2</v>
      </c>
      <c r="P1537">
        <v>2</v>
      </c>
      <c r="Q1537">
        <v>2</v>
      </c>
      <c r="R1537">
        <v>2</v>
      </c>
      <c r="S1537">
        <v>1</v>
      </c>
      <c r="T1537">
        <v>2</v>
      </c>
      <c r="U1537">
        <v>1</v>
      </c>
      <c r="V1537" t="s">
        <v>987</v>
      </c>
      <c r="W1537" t="s">
        <v>995</v>
      </c>
      <c r="X1537" t="s">
        <v>997</v>
      </c>
      <c r="Y1537" t="s">
        <v>1000</v>
      </c>
      <c r="Z1537">
        <v>1</v>
      </c>
      <c r="AA1537">
        <f t="shared" si="473"/>
        <v>1</v>
      </c>
      <c r="AB1537">
        <f t="shared" si="474"/>
        <v>1</v>
      </c>
      <c r="AC1537">
        <f t="shared" si="475"/>
        <v>1</v>
      </c>
      <c r="AD1537">
        <f t="shared" si="476"/>
        <v>1</v>
      </c>
      <c r="AE1537">
        <f t="shared" si="477"/>
        <v>1</v>
      </c>
      <c r="AF1537">
        <f t="shared" si="478"/>
        <v>1</v>
      </c>
      <c r="AG1537">
        <f t="shared" si="479"/>
        <v>1</v>
      </c>
      <c r="AH1537">
        <f t="shared" si="480"/>
        <v>1</v>
      </c>
      <c r="AI1537">
        <f t="shared" si="481"/>
        <v>1</v>
      </c>
      <c r="AJ1537" s="9">
        <f t="shared" si="468"/>
        <v>14</v>
      </c>
      <c r="AK1537" t="e">
        <f>IF(B1537&lt;&gt;#REF!,1,0)</f>
        <v>#REF!</v>
      </c>
      <c r="AL1537" s="9">
        <v>1</v>
      </c>
    </row>
    <row r="1538" spans="1:38" x14ac:dyDescent="0.35">
      <c r="A1538" s="9">
        <v>1</v>
      </c>
      <c r="B1538" s="9" t="s">
        <v>187</v>
      </c>
      <c r="C1538" s="53">
        <v>43851</v>
      </c>
      <c r="D1538" s="53">
        <v>43905</v>
      </c>
      <c r="E1538" s="53">
        <v>43973</v>
      </c>
      <c r="F1538" s="21">
        <f t="shared" si="470"/>
        <v>68</v>
      </c>
      <c r="G1538" s="53">
        <v>43905</v>
      </c>
      <c r="H1538" s="9">
        <v>2020</v>
      </c>
      <c r="I1538" s="9">
        <v>1</v>
      </c>
      <c r="J1538" s="9">
        <v>1</v>
      </c>
      <c r="K1538" s="9">
        <v>3</v>
      </c>
      <c r="L1538" s="50" t="s">
        <v>922</v>
      </c>
      <c r="M1538">
        <v>2</v>
      </c>
      <c r="N1538">
        <v>2</v>
      </c>
      <c r="O1538">
        <v>-2</v>
      </c>
      <c r="P1538">
        <v>-1</v>
      </c>
      <c r="Q1538">
        <v>2</v>
      </c>
      <c r="R1538">
        <v>2</v>
      </c>
      <c r="S1538">
        <v>2</v>
      </c>
      <c r="T1538">
        <v>-2</v>
      </c>
      <c r="U1538">
        <v>1</v>
      </c>
      <c r="V1538" t="s">
        <v>987</v>
      </c>
      <c r="W1538" t="s">
        <v>995</v>
      </c>
      <c r="X1538" t="s">
        <v>997</v>
      </c>
      <c r="Y1538" t="s">
        <v>1000</v>
      </c>
      <c r="Z1538">
        <v>1</v>
      </c>
      <c r="AA1538">
        <f t="shared" si="473"/>
        <v>1</v>
      </c>
      <c r="AB1538">
        <f t="shared" si="474"/>
        <v>1</v>
      </c>
      <c r="AC1538">
        <f t="shared" si="475"/>
        <v>0</v>
      </c>
      <c r="AD1538">
        <f t="shared" si="476"/>
        <v>0</v>
      </c>
      <c r="AE1538">
        <f t="shared" si="477"/>
        <v>1</v>
      </c>
      <c r="AF1538">
        <f t="shared" si="478"/>
        <v>1</v>
      </c>
      <c r="AG1538">
        <f t="shared" si="479"/>
        <v>1</v>
      </c>
      <c r="AH1538">
        <f t="shared" si="480"/>
        <v>0</v>
      </c>
      <c r="AI1538">
        <f t="shared" si="481"/>
        <v>1</v>
      </c>
      <c r="AJ1538" s="9">
        <f t="shared" si="468"/>
        <v>3</v>
      </c>
      <c r="AK1538">
        <f t="shared" si="469"/>
        <v>0</v>
      </c>
      <c r="AL1538" s="9">
        <v>1</v>
      </c>
    </row>
    <row r="1539" spans="1:38" x14ac:dyDescent="0.35">
      <c r="A1539" s="9">
        <v>1</v>
      </c>
      <c r="B1539" s="9" t="s">
        <v>187</v>
      </c>
      <c r="C1539" s="53">
        <v>43851</v>
      </c>
      <c r="D1539" s="53">
        <v>43905</v>
      </c>
      <c r="E1539" s="53">
        <v>43973</v>
      </c>
      <c r="F1539" s="21">
        <f t="shared" si="470"/>
        <v>68</v>
      </c>
      <c r="G1539" s="53">
        <v>43905</v>
      </c>
      <c r="H1539" s="9">
        <v>2020</v>
      </c>
      <c r="I1539" s="9">
        <v>1</v>
      </c>
      <c r="J1539" s="9">
        <v>3</v>
      </c>
      <c r="K1539" s="9" t="s">
        <v>206</v>
      </c>
      <c r="L1539" s="50" t="s">
        <v>920</v>
      </c>
      <c r="M1539">
        <v>2</v>
      </c>
      <c r="N1539">
        <v>2</v>
      </c>
      <c r="O1539">
        <v>-2</v>
      </c>
      <c r="P1539">
        <v>-1</v>
      </c>
      <c r="Q1539">
        <v>-2</v>
      </c>
      <c r="R1539">
        <v>2</v>
      </c>
      <c r="S1539">
        <v>-2</v>
      </c>
      <c r="U1539">
        <v>1</v>
      </c>
      <c r="V1539" t="s">
        <v>987</v>
      </c>
      <c r="W1539" t="s">
        <v>995</v>
      </c>
      <c r="X1539" t="s">
        <v>997</v>
      </c>
      <c r="Y1539" t="s">
        <v>1000</v>
      </c>
      <c r="Z1539">
        <v>1</v>
      </c>
      <c r="AA1539">
        <f t="shared" si="473"/>
        <v>1</v>
      </c>
      <c r="AB1539">
        <f t="shared" si="474"/>
        <v>1</v>
      </c>
      <c r="AC1539">
        <f t="shared" si="475"/>
        <v>0</v>
      </c>
      <c r="AD1539">
        <f t="shared" si="476"/>
        <v>0</v>
      </c>
      <c r="AE1539">
        <f t="shared" si="477"/>
        <v>0</v>
      </c>
      <c r="AF1539">
        <f t="shared" si="478"/>
        <v>1</v>
      </c>
      <c r="AG1539">
        <f t="shared" si="479"/>
        <v>0</v>
      </c>
      <c r="AH1539">
        <f t="shared" si="480"/>
        <v>-1</v>
      </c>
      <c r="AI1539">
        <f t="shared" si="481"/>
        <v>1</v>
      </c>
      <c r="AJ1539" s="9" t="str">
        <f t="shared" si="468"/>
        <v>Tax exemption/waiver/suspension</v>
      </c>
      <c r="AK1539">
        <f t="shared" si="469"/>
        <v>0</v>
      </c>
      <c r="AL1539" s="9">
        <v>1</v>
      </c>
    </row>
    <row r="1540" spans="1:38" x14ac:dyDescent="0.35">
      <c r="A1540" s="9">
        <v>1</v>
      </c>
      <c r="B1540" s="9" t="s">
        <v>187</v>
      </c>
      <c r="C1540" s="53">
        <v>43851</v>
      </c>
      <c r="D1540" s="53">
        <v>43905</v>
      </c>
      <c r="E1540" s="53">
        <v>43973</v>
      </c>
      <c r="F1540" s="21">
        <f t="shared" si="470"/>
        <v>68</v>
      </c>
      <c r="G1540" s="53">
        <v>43905</v>
      </c>
      <c r="H1540" s="9">
        <v>2020</v>
      </c>
      <c r="I1540" s="9">
        <v>1</v>
      </c>
      <c r="J1540" s="9">
        <v>1</v>
      </c>
      <c r="K1540" s="9">
        <v>3</v>
      </c>
      <c r="L1540" s="50" t="s">
        <v>916</v>
      </c>
      <c r="M1540">
        <v>-2</v>
      </c>
      <c r="N1540">
        <v>2</v>
      </c>
      <c r="O1540">
        <v>-2</v>
      </c>
      <c r="P1540">
        <v>-1</v>
      </c>
      <c r="Q1540">
        <v>2</v>
      </c>
      <c r="R1540">
        <v>2</v>
      </c>
      <c r="S1540">
        <v>2</v>
      </c>
      <c r="T1540">
        <v>-2</v>
      </c>
      <c r="U1540">
        <v>1</v>
      </c>
      <c r="V1540" t="s">
        <v>987</v>
      </c>
      <c r="W1540" t="s">
        <v>995</v>
      </c>
      <c r="X1540" t="s">
        <v>997</v>
      </c>
      <c r="Y1540" t="s">
        <v>1000</v>
      </c>
      <c r="Z1540">
        <v>1</v>
      </c>
      <c r="AA1540">
        <f t="shared" si="473"/>
        <v>0</v>
      </c>
      <c r="AB1540">
        <f t="shared" si="474"/>
        <v>1</v>
      </c>
      <c r="AC1540">
        <f t="shared" si="475"/>
        <v>0</v>
      </c>
      <c r="AD1540">
        <f t="shared" si="476"/>
        <v>0</v>
      </c>
      <c r="AE1540">
        <f t="shared" si="477"/>
        <v>1</v>
      </c>
      <c r="AF1540">
        <f t="shared" si="478"/>
        <v>1</v>
      </c>
      <c r="AG1540">
        <f t="shared" si="479"/>
        <v>1</v>
      </c>
      <c r="AH1540">
        <f t="shared" si="480"/>
        <v>0</v>
      </c>
      <c r="AI1540">
        <f t="shared" si="481"/>
        <v>1</v>
      </c>
      <c r="AJ1540" s="9">
        <f t="shared" si="468"/>
        <v>3</v>
      </c>
      <c r="AK1540">
        <f t="shared" si="469"/>
        <v>0</v>
      </c>
      <c r="AL1540" s="9">
        <v>1</v>
      </c>
    </row>
    <row r="1541" spans="1:38" x14ac:dyDescent="0.35">
      <c r="A1541" s="9">
        <v>1</v>
      </c>
      <c r="B1541" s="9" t="s">
        <v>187</v>
      </c>
      <c r="C1541" s="53">
        <v>43851</v>
      </c>
      <c r="D1541" s="53">
        <v>43905</v>
      </c>
      <c r="E1541" s="53">
        <v>43973</v>
      </c>
      <c r="F1541" s="21">
        <f t="shared" si="470"/>
        <v>68</v>
      </c>
      <c r="G1541" s="53">
        <v>43905</v>
      </c>
      <c r="H1541" s="9">
        <v>2020</v>
      </c>
      <c r="I1541" s="9">
        <v>1</v>
      </c>
      <c r="J1541" s="9">
        <v>7</v>
      </c>
      <c r="K1541" s="9">
        <v>30</v>
      </c>
      <c r="L1541" s="50" t="s">
        <v>905</v>
      </c>
      <c r="M1541">
        <v>2</v>
      </c>
      <c r="N1541">
        <v>2</v>
      </c>
      <c r="O1541">
        <v>2</v>
      </c>
      <c r="P1541">
        <v>2</v>
      </c>
      <c r="Q1541">
        <v>2</v>
      </c>
      <c r="R1541">
        <v>2</v>
      </c>
      <c r="S1541">
        <v>2</v>
      </c>
      <c r="T1541">
        <v>2</v>
      </c>
      <c r="U1541">
        <v>1</v>
      </c>
      <c r="V1541" t="s">
        <v>987</v>
      </c>
      <c r="W1541" t="s">
        <v>995</v>
      </c>
      <c r="X1541" t="s">
        <v>997</v>
      </c>
      <c r="Y1541" t="s">
        <v>1000</v>
      </c>
      <c r="Z1541">
        <v>1</v>
      </c>
      <c r="AA1541">
        <f t="shared" si="473"/>
        <v>1</v>
      </c>
      <c r="AB1541">
        <f t="shared" si="474"/>
        <v>1</v>
      </c>
      <c r="AC1541">
        <f t="shared" si="475"/>
        <v>1</v>
      </c>
      <c r="AD1541">
        <f t="shared" si="476"/>
        <v>1</v>
      </c>
      <c r="AE1541">
        <f t="shared" si="477"/>
        <v>1</v>
      </c>
      <c r="AF1541">
        <f t="shared" si="478"/>
        <v>1</v>
      </c>
      <c r="AG1541">
        <f t="shared" si="479"/>
        <v>1</v>
      </c>
      <c r="AH1541">
        <f t="shared" si="480"/>
        <v>1</v>
      </c>
      <c r="AI1541">
        <f t="shared" si="481"/>
        <v>1</v>
      </c>
      <c r="AJ1541" s="9">
        <f t="shared" si="468"/>
        <v>30</v>
      </c>
      <c r="AK1541">
        <f t="shared" si="469"/>
        <v>0</v>
      </c>
      <c r="AL1541" s="9">
        <v>1</v>
      </c>
    </row>
    <row r="1542" spans="1:38" x14ac:dyDescent="0.35">
      <c r="A1542" s="9">
        <v>1</v>
      </c>
      <c r="B1542" s="9" t="s">
        <v>187</v>
      </c>
      <c r="C1542" s="53">
        <v>43851</v>
      </c>
      <c r="D1542" s="53">
        <v>43905</v>
      </c>
      <c r="E1542" s="53">
        <v>43973</v>
      </c>
      <c r="F1542" s="21">
        <f t="shared" si="470"/>
        <v>68</v>
      </c>
      <c r="G1542" s="53">
        <v>43905</v>
      </c>
      <c r="H1542" s="9">
        <v>2020</v>
      </c>
      <c r="I1542" s="9">
        <v>1</v>
      </c>
      <c r="J1542" s="9">
        <v>6</v>
      </c>
      <c r="K1542" s="9">
        <v>29</v>
      </c>
      <c r="L1542" s="50" t="s">
        <v>910</v>
      </c>
      <c r="M1542">
        <v>-2</v>
      </c>
      <c r="N1542">
        <v>2</v>
      </c>
      <c r="O1542">
        <v>2</v>
      </c>
      <c r="P1542">
        <v>-1</v>
      </c>
      <c r="Q1542">
        <v>2</v>
      </c>
      <c r="R1542">
        <v>2</v>
      </c>
      <c r="S1542">
        <v>2</v>
      </c>
      <c r="T1542">
        <v>2</v>
      </c>
      <c r="U1542">
        <v>1</v>
      </c>
      <c r="V1542" t="s">
        <v>987</v>
      </c>
      <c r="W1542" t="s">
        <v>995</v>
      </c>
      <c r="X1542" t="s">
        <v>997</v>
      </c>
      <c r="Y1542" t="s">
        <v>1000</v>
      </c>
      <c r="Z1542">
        <v>1</v>
      </c>
      <c r="AA1542">
        <f t="shared" si="473"/>
        <v>0</v>
      </c>
      <c r="AB1542">
        <f t="shared" si="474"/>
        <v>1</v>
      </c>
      <c r="AC1542">
        <f t="shared" si="475"/>
        <v>1</v>
      </c>
      <c r="AD1542">
        <f t="shared" si="476"/>
        <v>0</v>
      </c>
      <c r="AE1542">
        <f t="shared" si="477"/>
        <v>1</v>
      </c>
      <c r="AF1542">
        <f t="shared" si="478"/>
        <v>1</v>
      </c>
      <c r="AG1542">
        <f t="shared" si="479"/>
        <v>1</v>
      </c>
      <c r="AH1542">
        <f t="shared" si="480"/>
        <v>1</v>
      </c>
      <c r="AI1542">
        <f t="shared" si="481"/>
        <v>1</v>
      </c>
      <c r="AJ1542" s="9">
        <f t="shared" si="468"/>
        <v>29</v>
      </c>
      <c r="AK1542">
        <f t="shared" si="469"/>
        <v>0</v>
      </c>
      <c r="AL1542" s="9">
        <v>1</v>
      </c>
    </row>
    <row r="1543" spans="1:38" x14ac:dyDescent="0.35">
      <c r="A1543" s="9">
        <v>1</v>
      </c>
      <c r="B1543" s="9" t="s">
        <v>187</v>
      </c>
      <c r="C1543" s="53">
        <v>43851</v>
      </c>
      <c r="D1543" s="53">
        <v>43905</v>
      </c>
      <c r="E1543" s="53">
        <v>43973</v>
      </c>
      <c r="F1543" s="21">
        <f t="shared" si="470"/>
        <v>68</v>
      </c>
      <c r="G1543" s="53">
        <v>43905</v>
      </c>
      <c r="H1543" s="9">
        <v>2020</v>
      </c>
      <c r="I1543" s="9">
        <v>1</v>
      </c>
      <c r="J1543" s="9">
        <v>7</v>
      </c>
      <c r="K1543" s="9">
        <v>31</v>
      </c>
      <c r="L1543" s="50" t="s">
        <v>935</v>
      </c>
      <c r="M1543">
        <v>2</v>
      </c>
      <c r="N1543">
        <v>2</v>
      </c>
      <c r="O1543">
        <v>2</v>
      </c>
      <c r="R1543">
        <v>2</v>
      </c>
      <c r="S1543">
        <v>2</v>
      </c>
      <c r="T1543">
        <v>2</v>
      </c>
      <c r="U1543">
        <v>1</v>
      </c>
      <c r="V1543" t="s">
        <v>987</v>
      </c>
      <c r="W1543" t="s">
        <v>995</v>
      </c>
      <c r="X1543" t="s">
        <v>997</v>
      </c>
      <c r="Y1543" t="s">
        <v>1000</v>
      </c>
      <c r="Z1543">
        <v>1</v>
      </c>
      <c r="AA1543">
        <f t="shared" si="473"/>
        <v>1</v>
      </c>
      <c r="AB1543">
        <f t="shared" si="474"/>
        <v>1</v>
      </c>
      <c r="AC1543">
        <f t="shared" si="475"/>
        <v>1</v>
      </c>
      <c r="AD1543">
        <f t="shared" si="476"/>
        <v>-1</v>
      </c>
      <c r="AE1543">
        <f t="shared" si="477"/>
        <v>-1</v>
      </c>
      <c r="AF1543">
        <f t="shared" si="478"/>
        <v>1</v>
      </c>
      <c r="AG1543">
        <f t="shared" si="479"/>
        <v>1</v>
      </c>
      <c r="AH1543">
        <f t="shared" si="480"/>
        <v>1</v>
      </c>
      <c r="AI1543">
        <f t="shared" si="481"/>
        <v>1</v>
      </c>
      <c r="AJ1543" s="9">
        <f t="shared" si="468"/>
        <v>31</v>
      </c>
      <c r="AK1543">
        <f t="shared" si="469"/>
        <v>0</v>
      </c>
      <c r="AL1543" s="9">
        <v>1</v>
      </c>
    </row>
    <row r="1544" spans="1:38" x14ac:dyDescent="0.35">
      <c r="A1544" s="9">
        <v>1</v>
      </c>
      <c r="B1544" s="9" t="s">
        <v>187</v>
      </c>
      <c r="C1544" s="53">
        <v>43851</v>
      </c>
      <c r="D1544" s="53">
        <v>43905</v>
      </c>
      <c r="E1544" s="53">
        <v>43973</v>
      </c>
      <c r="F1544" s="21">
        <f t="shared" si="470"/>
        <v>68</v>
      </c>
      <c r="G1544" s="53">
        <v>43905</v>
      </c>
      <c r="H1544" s="9">
        <v>2020</v>
      </c>
      <c r="I1544" s="9">
        <v>1</v>
      </c>
      <c r="J1544" s="9">
        <v>6</v>
      </c>
      <c r="K1544" s="9">
        <v>28</v>
      </c>
      <c r="L1544" s="50" t="s">
        <v>926</v>
      </c>
      <c r="M1544">
        <v>2</v>
      </c>
      <c r="N1544">
        <v>2</v>
      </c>
      <c r="O1544">
        <v>-2</v>
      </c>
      <c r="P1544">
        <v>-1</v>
      </c>
      <c r="Q1544">
        <v>-1</v>
      </c>
      <c r="R1544">
        <v>-2</v>
      </c>
      <c r="S1544">
        <v>2</v>
      </c>
      <c r="T1544">
        <v>-2</v>
      </c>
      <c r="U1544">
        <v>1</v>
      </c>
      <c r="V1544" t="s">
        <v>987</v>
      </c>
      <c r="W1544" t="s">
        <v>995</v>
      </c>
      <c r="X1544" t="s">
        <v>997</v>
      </c>
      <c r="Y1544" t="s">
        <v>1000</v>
      </c>
      <c r="Z1544">
        <v>1</v>
      </c>
      <c r="AA1544">
        <f t="shared" si="473"/>
        <v>1</v>
      </c>
      <c r="AB1544">
        <f t="shared" si="474"/>
        <v>1</v>
      </c>
      <c r="AC1544">
        <f t="shared" si="475"/>
        <v>0</v>
      </c>
      <c r="AD1544">
        <f t="shared" si="476"/>
        <v>0</v>
      </c>
      <c r="AE1544">
        <f t="shared" si="477"/>
        <v>0</v>
      </c>
      <c r="AF1544">
        <f t="shared" si="478"/>
        <v>0</v>
      </c>
      <c r="AG1544">
        <f t="shared" si="479"/>
        <v>1</v>
      </c>
      <c r="AH1544">
        <f t="shared" si="480"/>
        <v>0</v>
      </c>
      <c r="AI1544">
        <f t="shared" si="481"/>
        <v>1</v>
      </c>
      <c r="AJ1544" s="9">
        <f t="shared" si="468"/>
        <v>28</v>
      </c>
      <c r="AK1544">
        <f t="shared" si="469"/>
        <v>0</v>
      </c>
      <c r="AL1544" s="9">
        <v>1</v>
      </c>
    </row>
    <row r="1545" spans="1:38" x14ac:dyDescent="0.35">
      <c r="A1545" s="9">
        <v>1</v>
      </c>
      <c r="B1545" s="9" t="s">
        <v>187</v>
      </c>
      <c r="C1545" s="53">
        <v>43851</v>
      </c>
      <c r="D1545" s="53">
        <v>43905</v>
      </c>
      <c r="E1545" s="53">
        <v>43973</v>
      </c>
      <c r="F1545" s="21">
        <f t="shared" si="470"/>
        <v>68</v>
      </c>
      <c r="G1545" s="53">
        <v>43905</v>
      </c>
      <c r="H1545" s="9">
        <v>2020</v>
      </c>
      <c r="I1545" s="9">
        <v>1</v>
      </c>
      <c r="J1545" s="9">
        <v>1</v>
      </c>
      <c r="K1545" s="9">
        <v>9</v>
      </c>
      <c r="L1545" s="50" t="s">
        <v>914</v>
      </c>
      <c r="M1545">
        <v>-2</v>
      </c>
      <c r="N1545">
        <v>2</v>
      </c>
      <c r="O1545">
        <v>2</v>
      </c>
      <c r="P1545">
        <v>2</v>
      </c>
      <c r="Q1545">
        <v>2</v>
      </c>
      <c r="R1545">
        <v>-2</v>
      </c>
      <c r="S1545">
        <v>-2</v>
      </c>
      <c r="T1545">
        <v>2</v>
      </c>
      <c r="U1545">
        <v>1</v>
      </c>
      <c r="V1545" t="s">
        <v>987</v>
      </c>
      <c r="W1545" t="s">
        <v>995</v>
      </c>
      <c r="X1545" t="s">
        <v>997</v>
      </c>
      <c r="Y1545" t="s">
        <v>1000</v>
      </c>
      <c r="Z1545">
        <v>1</v>
      </c>
      <c r="AA1545">
        <f t="shared" si="473"/>
        <v>0</v>
      </c>
      <c r="AB1545">
        <f t="shared" si="474"/>
        <v>1</v>
      </c>
      <c r="AC1545">
        <f t="shared" si="475"/>
        <v>1</v>
      </c>
      <c r="AD1545">
        <f t="shared" si="476"/>
        <v>1</v>
      </c>
      <c r="AE1545">
        <f t="shared" si="477"/>
        <v>1</v>
      </c>
      <c r="AF1545">
        <f t="shared" si="478"/>
        <v>0</v>
      </c>
      <c r="AG1545">
        <f t="shared" si="479"/>
        <v>0</v>
      </c>
      <c r="AH1545">
        <f t="shared" si="480"/>
        <v>1</v>
      </c>
      <c r="AI1545">
        <f t="shared" si="481"/>
        <v>1</v>
      </c>
      <c r="AJ1545" s="9">
        <f t="shared" si="468"/>
        <v>9</v>
      </c>
      <c r="AK1545">
        <f t="shared" si="469"/>
        <v>0</v>
      </c>
      <c r="AL1545" s="9">
        <v>1</v>
      </c>
    </row>
    <row r="1546" spans="1:38" x14ac:dyDescent="0.35">
      <c r="A1546" s="9">
        <v>1</v>
      </c>
      <c r="B1546" s="9" t="s">
        <v>187</v>
      </c>
      <c r="C1546" s="53">
        <v>43851</v>
      </c>
      <c r="D1546" s="53">
        <v>43905</v>
      </c>
      <c r="E1546" s="53">
        <v>43973</v>
      </c>
      <c r="F1546" s="21">
        <f t="shared" si="470"/>
        <v>68</v>
      </c>
      <c r="G1546" s="53">
        <v>43905</v>
      </c>
      <c r="H1546" s="9">
        <v>2020</v>
      </c>
      <c r="I1546" s="9">
        <v>1</v>
      </c>
      <c r="J1546" s="9">
        <v>1</v>
      </c>
      <c r="K1546" s="9">
        <v>4</v>
      </c>
      <c r="L1546" s="50" t="s">
        <v>930</v>
      </c>
      <c r="M1546">
        <v>2</v>
      </c>
      <c r="N1546">
        <v>2</v>
      </c>
      <c r="O1546">
        <v>-2</v>
      </c>
      <c r="P1546">
        <v>-1</v>
      </c>
      <c r="Q1546">
        <v>-2</v>
      </c>
      <c r="R1546">
        <v>2</v>
      </c>
      <c r="S1546">
        <v>2</v>
      </c>
      <c r="T1546">
        <v>-2</v>
      </c>
      <c r="U1546">
        <v>1</v>
      </c>
      <c r="V1546" t="s">
        <v>987</v>
      </c>
      <c r="W1546" t="s">
        <v>995</v>
      </c>
      <c r="X1546" t="s">
        <v>997</v>
      </c>
      <c r="Y1546" t="s">
        <v>1000</v>
      </c>
      <c r="Z1546">
        <v>1</v>
      </c>
      <c r="AA1546">
        <f t="shared" si="473"/>
        <v>1</v>
      </c>
      <c r="AB1546">
        <f t="shared" si="474"/>
        <v>1</v>
      </c>
      <c r="AC1546">
        <f t="shared" si="475"/>
        <v>0</v>
      </c>
      <c r="AD1546">
        <f t="shared" si="476"/>
        <v>0</v>
      </c>
      <c r="AE1546">
        <f t="shared" si="477"/>
        <v>0</v>
      </c>
      <c r="AF1546">
        <f t="shared" si="478"/>
        <v>1</v>
      </c>
      <c r="AG1546">
        <f t="shared" si="479"/>
        <v>1</v>
      </c>
      <c r="AH1546">
        <f t="shared" si="480"/>
        <v>0</v>
      </c>
      <c r="AI1546">
        <f t="shared" si="481"/>
        <v>1</v>
      </c>
      <c r="AJ1546" s="9">
        <f t="shared" si="468"/>
        <v>4</v>
      </c>
      <c r="AK1546">
        <f t="shared" si="469"/>
        <v>0</v>
      </c>
      <c r="AL1546" s="9">
        <v>1</v>
      </c>
    </row>
    <row r="1547" spans="1:38" x14ac:dyDescent="0.35">
      <c r="A1547" s="9">
        <v>1</v>
      </c>
      <c r="B1547" s="9" t="s">
        <v>187</v>
      </c>
      <c r="C1547" s="53">
        <v>43851</v>
      </c>
      <c r="D1547" s="53">
        <v>43905</v>
      </c>
      <c r="E1547" s="53">
        <v>43973</v>
      </c>
      <c r="F1547" s="21">
        <f t="shared" si="470"/>
        <v>68</v>
      </c>
      <c r="G1547" s="53">
        <v>43905</v>
      </c>
      <c r="H1547" s="9">
        <v>2020</v>
      </c>
      <c r="I1547" s="9">
        <v>1</v>
      </c>
      <c r="J1547" s="9">
        <v>1</v>
      </c>
      <c r="K1547" s="9">
        <v>3</v>
      </c>
      <c r="L1547" s="50" t="s">
        <v>908</v>
      </c>
      <c r="M1547">
        <v>-1</v>
      </c>
      <c r="N1547">
        <v>2</v>
      </c>
      <c r="O1547">
        <v>-2</v>
      </c>
      <c r="P1547">
        <v>-1</v>
      </c>
      <c r="Q1547">
        <v>2</v>
      </c>
      <c r="R1547">
        <v>2</v>
      </c>
      <c r="S1547">
        <v>2</v>
      </c>
      <c r="T1547">
        <v>-2</v>
      </c>
      <c r="U1547">
        <v>1</v>
      </c>
      <c r="V1547" t="s">
        <v>987</v>
      </c>
      <c r="W1547" t="s">
        <v>995</v>
      </c>
      <c r="X1547" t="s">
        <v>997</v>
      </c>
      <c r="Y1547" t="s">
        <v>1000</v>
      </c>
      <c r="Z1547">
        <v>1</v>
      </c>
      <c r="AA1547">
        <f t="shared" si="473"/>
        <v>0</v>
      </c>
      <c r="AB1547">
        <f t="shared" si="474"/>
        <v>1</v>
      </c>
      <c r="AC1547">
        <f t="shared" si="475"/>
        <v>0</v>
      </c>
      <c r="AD1547">
        <f t="shared" si="476"/>
        <v>0</v>
      </c>
      <c r="AE1547">
        <f t="shared" si="477"/>
        <v>1</v>
      </c>
      <c r="AF1547">
        <f t="shared" si="478"/>
        <v>1</v>
      </c>
      <c r="AG1547">
        <f t="shared" si="479"/>
        <v>1</v>
      </c>
      <c r="AH1547">
        <f t="shared" si="480"/>
        <v>0</v>
      </c>
      <c r="AI1547">
        <f t="shared" si="481"/>
        <v>1</v>
      </c>
      <c r="AJ1547" s="9">
        <f t="shared" si="468"/>
        <v>3</v>
      </c>
      <c r="AK1547" t="e">
        <f>IF(B1547&lt;&gt;#REF!,1,0)</f>
        <v>#REF!</v>
      </c>
      <c r="AL1547" s="9">
        <v>1</v>
      </c>
    </row>
    <row r="1548" spans="1:38" x14ac:dyDescent="0.35">
      <c r="A1548" s="9">
        <v>1</v>
      </c>
      <c r="B1548" s="9" t="s">
        <v>187</v>
      </c>
      <c r="C1548" s="53">
        <v>43851</v>
      </c>
      <c r="D1548" s="53">
        <v>43905</v>
      </c>
      <c r="E1548" s="53">
        <v>43973</v>
      </c>
      <c r="F1548" s="21">
        <f t="shared" si="470"/>
        <v>68</v>
      </c>
      <c r="G1548" s="53">
        <v>43905</v>
      </c>
      <c r="H1548" s="9">
        <v>2020</v>
      </c>
      <c r="I1548" s="9">
        <v>1</v>
      </c>
      <c r="J1548" s="9">
        <v>6</v>
      </c>
      <c r="K1548" s="9">
        <v>25</v>
      </c>
      <c r="L1548" s="50" t="s">
        <v>932</v>
      </c>
      <c r="M1548">
        <v>-2</v>
      </c>
      <c r="N1548">
        <v>2</v>
      </c>
      <c r="O1548">
        <v>2</v>
      </c>
      <c r="P1548">
        <v>-1</v>
      </c>
      <c r="Q1548">
        <v>2</v>
      </c>
      <c r="R1548">
        <v>2</v>
      </c>
      <c r="S1548">
        <v>2</v>
      </c>
      <c r="T1548">
        <v>2</v>
      </c>
      <c r="U1548">
        <v>1</v>
      </c>
      <c r="V1548" t="s">
        <v>987</v>
      </c>
      <c r="W1548" t="s">
        <v>995</v>
      </c>
      <c r="X1548" t="s">
        <v>997</v>
      </c>
      <c r="Y1548" t="s">
        <v>1000</v>
      </c>
      <c r="Z1548">
        <v>1</v>
      </c>
      <c r="AA1548">
        <f t="shared" si="473"/>
        <v>0</v>
      </c>
      <c r="AB1548">
        <f t="shared" si="474"/>
        <v>1</v>
      </c>
      <c r="AC1548">
        <f t="shared" si="475"/>
        <v>1</v>
      </c>
      <c r="AD1548">
        <f t="shared" si="476"/>
        <v>0</v>
      </c>
      <c r="AE1548">
        <f t="shared" si="477"/>
        <v>1</v>
      </c>
      <c r="AF1548">
        <f t="shared" si="478"/>
        <v>1</v>
      </c>
      <c r="AG1548">
        <f t="shared" si="479"/>
        <v>1</v>
      </c>
      <c r="AH1548">
        <f t="shared" si="480"/>
        <v>1</v>
      </c>
      <c r="AI1548">
        <f t="shared" si="481"/>
        <v>1</v>
      </c>
      <c r="AJ1548" s="9">
        <f t="shared" si="468"/>
        <v>25</v>
      </c>
      <c r="AK1548">
        <f t="shared" si="469"/>
        <v>0</v>
      </c>
      <c r="AL1548" s="9">
        <v>1</v>
      </c>
    </row>
    <row r="1549" spans="1:38" x14ac:dyDescent="0.35">
      <c r="A1549" s="9">
        <v>1</v>
      </c>
      <c r="B1549" s="9" t="s">
        <v>187</v>
      </c>
      <c r="C1549" s="53">
        <v>43851</v>
      </c>
      <c r="D1549" s="53">
        <v>43905</v>
      </c>
      <c r="E1549" s="53">
        <v>43973</v>
      </c>
      <c r="F1549" s="21">
        <f t="shared" si="470"/>
        <v>68</v>
      </c>
      <c r="G1549" s="53">
        <v>43905</v>
      </c>
      <c r="H1549" s="9">
        <v>2020</v>
      </c>
      <c r="I1549" s="9">
        <v>1</v>
      </c>
      <c r="J1549" s="9">
        <v>1</v>
      </c>
      <c r="K1549" s="9">
        <v>6</v>
      </c>
      <c r="L1549" s="50" t="s">
        <v>936</v>
      </c>
      <c r="M1549">
        <v>-2</v>
      </c>
      <c r="N1549">
        <v>2</v>
      </c>
      <c r="O1549">
        <v>2</v>
      </c>
      <c r="P1549">
        <v>2</v>
      </c>
      <c r="Q1549">
        <v>2</v>
      </c>
      <c r="R1549">
        <v>2</v>
      </c>
      <c r="S1549">
        <v>1</v>
      </c>
      <c r="T1549">
        <v>2</v>
      </c>
      <c r="U1549">
        <v>1</v>
      </c>
      <c r="V1549" t="s">
        <v>987</v>
      </c>
      <c r="W1549" t="s">
        <v>995</v>
      </c>
      <c r="X1549" t="s">
        <v>997</v>
      </c>
      <c r="Y1549" t="s">
        <v>1000</v>
      </c>
      <c r="Z1549">
        <v>1</v>
      </c>
      <c r="AA1549">
        <f t="shared" si="473"/>
        <v>0</v>
      </c>
      <c r="AB1549">
        <f t="shared" si="474"/>
        <v>1</v>
      </c>
      <c r="AC1549">
        <f t="shared" si="475"/>
        <v>1</v>
      </c>
      <c r="AD1549">
        <f t="shared" si="476"/>
        <v>1</v>
      </c>
      <c r="AE1549">
        <f t="shared" si="477"/>
        <v>1</v>
      </c>
      <c r="AF1549">
        <f t="shared" si="478"/>
        <v>1</v>
      </c>
      <c r="AG1549">
        <f t="shared" si="479"/>
        <v>1</v>
      </c>
      <c r="AH1549">
        <f t="shared" si="480"/>
        <v>1</v>
      </c>
      <c r="AI1549">
        <f t="shared" si="481"/>
        <v>1</v>
      </c>
      <c r="AJ1549" s="9">
        <f t="shared" si="468"/>
        <v>6</v>
      </c>
      <c r="AK1549">
        <f t="shared" si="469"/>
        <v>0</v>
      </c>
      <c r="AL1549" s="9">
        <v>1</v>
      </c>
    </row>
    <row r="1550" spans="1:38" x14ac:dyDescent="0.35">
      <c r="A1550" s="9">
        <v>1</v>
      </c>
      <c r="B1550" s="9" t="s">
        <v>187</v>
      </c>
      <c r="C1550" s="53">
        <v>43851</v>
      </c>
      <c r="D1550" s="53">
        <v>43905</v>
      </c>
      <c r="E1550" s="53">
        <v>43973</v>
      </c>
      <c r="F1550" s="21">
        <f t="shared" si="470"/>
        <v>68</v>
      </c>
      <c r="G1550" s="53">
        <v>43905</v>
      </c>
      <c r="H1550" s="9">
        <v>2020</v>
      </c>
      <c r="I1550" s="9">
        <v>1</v>
      </c>
      <c r="J1550" s="9">
        <v>6</v>
      </c>
      <c r="K1550" s="9">
        <v>28</v>
      </c>
      <c r="L1550" s="50" t="s">
        <v>928</v>
      </c>
      <c r="M1550">
        <v>2</v>
      </c>
      <c r="N1550">
        <v>2</v>
      </c>
      <c r="O1550">
        <v>2</v>
      </c>
      <c r="P1550">
        <v>-1</v>
      </c>
      <c r="Q1550">
        <v>2</v>
      </c>
      <c r="R1550">
        <v>2</v>
      </c>
      <c r="S1550">
        <v>2</v>
      </c>
      <c r="T1550">
        <v>2</v>
      </c>
      <c r="U1550">
        <v>1</v>
      </c>
      <c r="V1550" t="s">
        <v>987</v>
      </c>
      <c r="W1550" t="s">
        <v>995</v>
      </c>
      <c r="X1550" t="s">
        <v>997</v>
      </c>
      <c r="Y1550" t="s">
        <v>1000</v>
      </c>
      <c r="Z1550">
        <v>1</v>
      </c>
      <c r="AA1550">
        <f t="shared" si="473"/>
        <v>1</v>
      </c>
      <c r="AB1550">
        <f t="shared" si="474"/>
        <v>1</v>
      </c>
      <c r="AC1550">
        <f t="shared" si="475"/>
        <v>1</v>
      </c>
      <c r="AD1550">
        <f t="shared" si="476"/>
        <v>0</v>
      </c>
      <c r="AE1550">
        <f t="shared" si="477"/>
        <v>1</v>
      </c>
      <c r="AF1550">
        <f t="shared" si="478"/>
        <v>1</v>
      </c>
      <c r="AG1550">
        <f t="shared" si="479"/>
        <v>1</v>
      </c>
      <c r="AH1550">
        <f t="shared" si="480"/>
        <v>1</v>
      </c>
      <c r="AI1550">
        <f t="shared" si="481"/>
        <v>1</v>
      </c>
      <c r="AJ1550" s="9">
        <f t="shared" si="468"/>
        <v>28</v>
      </c>
      <c r="AK1550">
        <f t="shared" si="469"/>
        <v>0</v>
      </c>
      <c r="AL1550" s="9">
        <v>1</v>
      </c>
    </row>
    <row r="1551" spans="1:38" x14ac:dyDescent="0.35">
      <c r="A1551" s="9">
        <v>1</v>
      </c>
      <c r="B1551" s="9" t="s">
        <v>187</v>
      </c>
      <c r="C1551" s="53">
        <v>43851</v>
      </c>
      <c r="D1551" s="53">
        <v>43905</v>
      </c>
      <c r="E1551" s="53">
        <v>43973</v>
      </c>
      <c r="F1551" s="21">
        <f t="shared" si="470"/>
        <v>68</v>
      </c>
      <c r="G1551" s="53">
        <v>43905</v>
      </c>
      <c r="H1551" s="9">
        <v>2020</v>
      </c>
      <c r="I1551" s="9">
        <v>1</v>
      </c>
      <c r="J1551" s="9">
        <v>7</v>
      </c>
      <c r="K1551" s="9">
        <v>32</v>
      </c>
      <c r="L1551" s="50" t="s">
        <v>2173</v>
      </c>
      <c r="M1551">
        <v>-2</v>
      </c>
      <c r="N1551">
        <v>1</v>
      </c>
      <c r="O1551">
        <v>2</v>
      </c>
      <c r="P1551">
        <v>2</v>
      </c>
      <c r="Q1551">
        <v>2</v>
      </c>
      <c r="R1551">
        <v>1</v>
      </c>
      <c r="S1551">
        <v>1</v>
      </c>
      <c r="T1551">
        <v>1</v>
      </c>
      <c r="U1551">
        <v>1</v>
      </c>
      <c r="V1551" t="s">
        <v>987</v>
      </c>
      <c r="W1551" t="s">
        <v>995</v>
      </c>
      <c r="X1551" t="s">
        <v>997</v>
      </c>
      <c r="Y1551" t="s">
        <v>1000</v>
      </c>
      <c r="Z1551">
        <v>1</v>
      </c>
      <c r="AA1551">
        <f t="shared" si="473"/>
        <v>0</v>
      </c>
      <c r="AB1551">
        <f t="shared" si="474"/>
        <v>1</v>
      </c>
      <c r="AC1551">
        <f t="shared" si="475"/>
        <v>1</v>
      </c>
      <c r="AD1551">
        <f t="shared" si="476"/>
        <v>1</v>
      </c>
      <c r="AE1551">
        <f t="shared" si="477"/>
        <v>1</v>
      </c>
      <c r="AF1551">
        <f t="shared" si="478"/>
        <v>1</v>
      </c>
      <c r="AG1551">
        <f t="shared" si="479"/>
        <v>1</v>
      </c>
      <c r="AH1551">
        <f t="shared" si="480"/>
        <v>1</v>
      </c>
      <c r="AI1551">
        <f t="shared" si="481"/>
        <v>1</v>
      </c>
      <c r="AJ1551" s="9">
        <f t="shared" si="468"/>
        <v>32</v>
      </c>
      <c r="AK1551" t="e">
        <f>IF(B1551&lt;&gt;#REF!,1,0)</f>
        <v>#REF!</v>
      </c>
      <c r="AL1551" s="9">
        <v>1</v>
      </c>
    </row>
    <row r="1552" spans="1:38" x14ac:dyDescent="0.35">
      <c r="A1552" s="9">
        <v>1</v>
      </c>
      <c r="B1552" s="9" t="s">
        <v>187</v>
      </c>
      <c r="C1552" s="53">
        <v>43851</v>
      </c>
      <c r="D1552" s="53">
        <v>43905</v>
      </c>
      <c r="E1552" s="53">
        <v>43973</v>
      </c>
      <c r="F1552" s="21">
        <f t="shared" si="470"/>
        <v>68</v>
      </c>
      <c r="G1552" s="53">
        <v>43905</v>
      </c>
      <c r="H1552" s="9">
        <v>2020</v>
      </c>
      <c r="I1552" s="9">
        <v>1</v>
      </c>
      <c r="J1552" s="9">
        <v>1</v>
      </c>
      <c r="K1552" s="9">
        <v>4</v>
      </c>
      <c r="L1552" s="50" t="s">
        <v>911</v>
      </c>
      <c r="M1552">
        <v>2</v>
      </c>
      <c r="N1552">
        <v>2</v>
      </c>
      <c r="O1552">
        <v>-2</v>
      </c>
      <c r="P1552">
        <v>-1</v>
      </c>
      <c r="Q1552">
        <v>-2</v>
      </c>
      <c r="R1552">
        <v>2</v>
      </c>
      <c r="S1552">
        <v>2</v>
      </c>
      <c r="T1552">
        <v>-2</v>
      </c>
      <c r="U1552">
        <v>1</v>
      </c>
      <c r="V1552" t="s">
        <v>987</v>
      </c>
      <c r="W1552" t="s">
        <v>995</v>
      </c>
      <c r="X1552" t="s">
        <v>997</v>
      </c>
      <c r="Y1552" t="s">
        <v>1000</v>
      </c>
      <c r="Z1552">
        <v>1</v>
      </c>
      <c r="AA1552">
        <f t="shared" si="473"/>
        <v>1</v>
      </c>
      <c r="AB1552">
        <f t="shared" si="474"/>
        <v>1</v>
      </c>
      <c r="AC1552">
        <f t="shared" si="475"/>
        <v>0</v>
      </c>
      <c r="AD1552">
        <f t="shared" si="476"/>
        <v>0</v>
      </c>
      <c r="AE1552">
        <f t="shared" si="477"/>
        <v>0</v>
      </c>
      <c r="AF1552">
        <f t="shared" si="478"/>
        <v>1</v>
      </c>
      <c r="AG1552">
        <f t="shared" si="479"/>
        <v>1</v>
      </c>
      <c r="AH1552">
        <f t="shared" si="480"/>
        <v>0</v>
      </c>
      <c r="AI1552">
        <f t="shared" si="481"/>
        <v>1</v>
      </c>
      <c r="AJ1552" s="9">
        <f t="shared" si="468"/>
        <v>4</v>
      </c>
      <c r="AK1552">
        <f t="shared" si="469"/>
        <v>0</v>
      </c>
      <c r="AL1552" s="9">
        <v>1</v>
      </c>
    </row>
    <row r="1553" spans="1:38" x14ac:dyDescent="0.35">
      <c r="A1553" s="9">
        <v>1</v>
      </c>
      <c r="B1553" s="9" t="s">
        <v>187</v>
      </c>
      <c r="C1553" s="53">
        <v>43851</v>
      </c>
      <c r="D1553" s="53">
        <v>43905</v>
      </c>
      <c r="E1553" s="53">
        <v>43973</v>
      </c>
      <c r="F1553" s="21">
        <f t="shared" si="470"/>
        <v>68</v>
      </c>
      <c r="G1553" s="53">
        <v>43905</v>
      </c>
      <c r="H1553" s="9">
        <v>2020</v>
      </c>
      <c r="I1553" s="9">
        <v>1</v>
      </c>
      <c r="J1553" s="9">
        <v>5</v>
      </c>
      <c r="K1553" s="9" t="s">
        <v>204</v>
      </c>
      <c r="L1553" s="50" t="s">
        <v>919</v>
      </c>
      <c r="M1553">
        <v>1</v>
      </c>
      <c r="N1553">
        <v>-2</v>
      </c>
      <c r="O1553">
        <v>-2</v>
      </c>
      <c r="P1553">
        <v>-1</v>
      </c>
      <c r="Q1553">
        <v>-2</v>
      </c>
      <c r="R1553">
        <v>1</v>
      </c>
      <c r="S1553">
        <v>1</v>
      </c>
      <c r="T1553">
        <v>1</v>
      </c>
      <c r="U1553">
        <v>1</v>
      </c>
      <c r="V1553" t="s">
        <v>987</v>
      </c>
      <c r="W1553" t="s">
        <v>995</v>
      </c>
      <c r="X1553" t="s">
        <v>997</v>
      </c>
      <c r="Y1553" t="s">
        <v>1000</v>
      </c>
      <c r="Z1553">
        <v>1</v>
      </c>
      <c r="AA1553">
        <f t="shared" si="473"/>
        <v>1</v>
      </c>
      <c r="AB1553">
        <f t="shared" si="474"/>
        <v>0</v>
      </c>
      <c r="AC1553">
        <f t="shared" si="475"/>
        <v>0</v>
      </c>
      <c r="AD1553">
        <f t="shared" si="476"/>
        <v>0</v>
      </c>
      <c r="AE1553">
        <f t="shared" si="477"/>
        <v>0</v>
      </c>
      <c r="AF1553">
        <f t="shared" si="478"/>
        <v>1</v>
      </c>
      <c r="AG1553">
        <f t="shared" si="479"/>
        <v>1</v>
      </c>
      <c r="AH1553">
        <f t="shared" si="480"/>
        <v>1</v>
      </c>
      <c r="AI1553">
        <f t="shared" si="481"/>
        <v>1</v>
      </c>
      <c r="AJ1553" s="9" t="str">
        <f t="shared" si="468"/>
        <v>General</v>
      </c>
      <c r="AK1553">
        <f t="shared" si="469"/>
        <v>0</v>
      </c>
      <c r="AL1553" s="9">
        <v>1</v>
      </c>
    </row>
    <row r="1554" spans="1:38" x14ac:dyDescent="0.35">
      <c r="A1554" s="9">
        <v>1</v>
      </c>
      <c r="B1554" s="9" t="s">
        <v>187</v>
      </c>
      <c r="C1554" s="53">
        <v>43851</v>
      </c>
      <c r="D1554" s="53">
        <v>43905</v>
      </c>
      <c r="E1554" s="53">
        <v>43973</v>
      </c>
      <c r="F1554" s="21">
        <f t="shared" si="470"/>
        <v>68</v>
      </c>
      <c r="G1554" s="53">
        <v>43905</v>
      </c>
      <c r="H1554" s="9">
        <v>2020</v>
      </c>
      <c r="I1554" s="9">
        <v>1</v>
      </c>
      <c r="J1554" s="9">
        <v>5</v>
      </c>
      <c r="K1554" s="9">
        <v>24</v>
      </c>
      <c r="L1554" s="50" t="s">
        <v>927</v>
      </c>
      <c r="M1554">
        <v>1</v>
      </c>
      <c r="N1554">
        <v>2</v>
      </c>
      <c r="O1554">
        <v>-2</v>
      </c>
      <c r="P1554">
        <v>-1</v>
      </c>
      <c r="Q1554">
        <v>1</v>
      </c>
      <c r="R1554">
        <v>1</v>
      </c>
      <c r="S1554">
        <v>1</v>
      </c>
      <c r="T1554">
        <v>1</v>
      </c>
      <c r="U1554">
        <v>1</v>
      </c>
      <c r="V1554" t="s">
        <v>987</v>
      </c>
      <c r="W1554" t="s">
        <v>995</v>
      </c>
      <c r="X1554" t="s">
        <v>997</v>
      </c>
      <c r="Y1554" t="s">
        <v>1000</v>
      </c>
      <c r="Z1554">
        <v>1</v>
      </c>
      <c r="AA1554">
        <f t="shared" si="473"/>
        <v>1</v>
      </c>
      <c r="AB1554">
        <f t="shared" si="474"/>
        <v>1</v>
      </c>
      <c r="AC1554">
        <f t="shared" si="475"/>
        <v>0</v>
      </c>
      <c r="AD1554">
        <f t="shared" si="476"/>
        <v>0</v>
      </c>
      <c r="AE1554">
        <f t="shared" si="477"/>
        <v>1</v>
      </c>
      <c r="AF1554">
        <f t="shared" si="478"/>
        <v>1</v>
      </c>
      <c r="AG1554">
        <f t="shared" si="479"/>
        <v>1</v>
      </c>
      <c r="AH1554">
        <f t="shared" si="480"/>
        <v>1</v>
      </c>
      <c r="AI1554">
        <f t="shared" si="481"/>
        <v>1</v>
      </c>
      <c r="AJ1554" s="9">
        <f t="shared" si="468"/>
        <v>24</v>
      </c>
      <c r="AK1554">
        <f t="shared" si="469"/>
        <v>0</v>
      </c>
      <c r="AL1554" s="9">
        <v>1</v>
      </c>
    </row>
    <row r="1555" spans="1:38" x14ac:dyDescent="0.35">
      <c r="A1555" s="9">
        <v>1</v>
      </c>
      <c r="B1555" s="9" t="s">
        <v>187</v>
      </c>
      <c r="C1555" s="53">
        <v>43851</v>
      </c>
      <c r="D1555" s="53">
        <v>43905</v>
      </c>
      <c r="E1555" s="53">
        <v>43973</v>
      </c>
      <c r="F1555" s="21">
        <f t="shared" si="470"/>
        <v>68</v>
      </c>
      <c r="G1555" s="53">
        <v>43905</v>
      </c>
      <c r="H1555" s="9">
        <v>2020</v>
      </c>
      <c r="I1555" s="9">
        <v>1</v>
      </c>
      <c r="J1555" s="9">
        <v>6</v>
      </c>
      <c r="K1555" s="9">
        <v>28</v>
      </c>
      <c r="L1555" s="50" t="s">
        <v>924</v>
      </c>
      <c r="M1555">
        <v>2</v>
      </c>
      <c r="N1555">
        <v>2</v>
      </c>
      <c r="O1555">
        <v>2</v>
      </c>
      <c r="P1555">
        <v>-1</v>
      </c>
      <c r="Q1555">
        <v>2</v>
      </c>
      <c r="R1555">
        <v>-2</v>
      </c>
      <c r="S1555">
        <v>2</v>
      </c>
      <c r="T1555">
        <v>2</v>
      </c>
      <c r="U1555">
        <v>1</v>
      </c>
      <c r="V1555" t="s">
        <v>987</v>
      </c>
      <c r="W1555" t="s">
        <v>995</v>
      </c>
      <c r="X1555" t="s">
        <v>997</v>
      </c>
      <c r="Y1555" t="s">
        <v>1000</v>
      </c>
      <c r="Z1555">
        <v>1</v>
      </c>
      <c r="AA1555">
        <f t="shared" si="473"/>
        <v>1</v>
      </c>
      <c r="AB1555">
        <f t="shared" si="474"/>
        <v>1</v>
      </c>
      <c r="AC1555">
        <f t="shared" si="475"/>
        <v>1</v>
      </c>
      <c r="AD1555">
        <f t="shared" si="476"/>
        <v>0</v>
      </c>
      <c r="AE1555">
        <f t="shared" si="477"/>
        <v>1</v>
      </c>
      <c r="AF1555">
        <f t="shared" si="478"/>
        <v>0</v>
      </c>
      <c r="AG1555">
        <f t="shared" si="479"/>
        <v>1</v>
      </c>
      <c r="AH1555">
        <f t="shared" si="480"/>
        <v>1</v>
      </c>
      <c r="AI1555">
        <f t="shared" si="481"/>
        <v>1</v>
      </c>
      <c r="AJ1555" s="9">
        <f t="shared" si="468"/>
        <v>28</v>
      </c>
      <c r="AK1555">
        <f t="shared" si="469"/>
        <v>0</v>
      </c>
      <c r="AL1555" s="9">
        <v>1</v>
      </c>
    </row>
    <row r="1556" spans="1:38" x14ac:dyDescent="0.35">
      <c r="A1556" s="9">
        <v>1</v>
      </c>
      <c r="B1556" s="9" t="s">
        <v>187</v>
      </c>
      <c r="C1556" s="53">
        <v>43851</v>
      </c>
      <c r="D1556" s="53">
        <v>43905</v>
      </c>
      <c r="E1556" s="53">
        <v>43973</v>
      </c>
      <c r="F1556" s="21">
        <f t="shared" si="470"/>
        <v>68</v>
      </c>
      <c r="G1556" s="53">
        <v>43905</v>
      </c>
      <c r="H1556" s="9">
        <v>2020</v>
      </c>
      <c r="I1556" s="9">
        <v>1</v>
      </c>
      <c r="J1556" s="9">
        <v>1</v>
      </c>
      <c r="K1556" s="9">
        <v>3</v>
      </c>
      <c r="L1556" s="50" t="s">
        <v>915</v>
      </c>
      <c r="M1556">
        <v>2</v>
      </c>
      <c r="N1556">
        <v>-1</v>
      </c>
      <c r="O1556">
        <v>-2</v>
      </c>
      <c r="P1556">
        <v>-1</v>
      </c>
      <c r="Q1556">
        <v>-2</v>
      </c>
      <c r="R1556">
        <v>-2</v>
      </c>
      <c r="S1556">
        <v>2</v>
      </c>
      <c r="T1556">
        <v>2</v>
      </c>
      <c r="U1556">
        <v>1</v>
      </c>
      <c r="V1556" t="s">
        <v>987</v>
      </c>
      <c r="W1556" t="s">
        <v>995</v>
      </c>
      <c r="X1556" t="s">
        <v>997</v>
      </c>
      <c r="Y1556" t="s">
        <v>1000</v>
      </c>
      <c r="Z1556">
        <v>1</v>
      </c>
      <c r="AA1556">
        <f t="shared" si="473"/>
        <v>1</v>
      </c>
      <c r="AB1556">
        <f t="shared" si="474"/>
        <v>0</v>
      </c>
      <c r="AC1556">
        <f t="shared" si="475"/>
        <v>0</v>
      </c>
      <c r="AD1556">
        <f t="shared" si="476"/>
        <v>0</v>
      </c>
      <c r="AE1556">
        <f t="shared" si="477"/>
        <v>0</v>
      </c>
      <c r="AF1556">
        <f t="shared" si="478"/>
        <v>0</v>
      </c>
      <c r="AG1556">
        <f t="shared" si="479"/>
        <v>1</v>
      </c>
      <c r="AH1556">
        <f t="shared" si="480"/>
        <v>1</v>
      </c>
      <c r="AI1556">
        <f t="shared" si="481"/>
        <v>1</v>
      </c>
      <c r="AJ1556" s="9">
        <f t="shared" si="468"/>
        <v>3</v>
      </c>
      <c r="AK1556">
        <f t="shared" si="469"/>
        <v>0</v>
      </c>
      <c r="AL1556" s="9">
        <v>1</v>
      </c>
    </row>
    <row r="1557" spans="1:38" x14ac:dyDescent="0.35">
      <c r="A1557" s="9">
        <v>1</v>
      </c>
      <c r="B1557" s="9" t="s">
        <v>187</v>
      </c>
      <c r="C1557" s="53">
        <v>43851</v>
      </c>
      <c r="D1557" s="53">
        <v>43905</v>
      </c>
      <c r="E1557" s="53">
        <v>43973</v>
      </c>
      <c r="F1557" s="21">
        <f t="shared" si="470"/>
        <v>68</v>
      </c>
      <c r="G1557" s="53">
        <v>43905</v>
      </c>
      <c r="H1557" s="9">
        <v>2020</v>
      </c>
      <c r="I1557" s="9">
        <v>1</v>
      </c>
      <c r="J1557" s="9">
        <v>6</v>
      </c>
      <c r="K1557" s="9">
        <v>25</v>
      </c>
      <c r="L1557" s="50" t="s">
        <v>938</v>
      </c>
      <c r="M1557">
        <v>-2</v>
      </c>
      <c r="N1557">
        <v>2</v>
      </c>
      <c r="O1557">
        <v>2</v>
      </c>
      <c r="P1557">
        <v>-1</v>
      </c>
      <c r="Q1557">
        <v>1</v>
      </c>
      <c r="R1557">
        <v>2</v>
      </c>
      <c r="S1557">
        <v>1</v>
      </c>
      <c r="T1557">
        <v>1</v>
      </c>
      <c r="U1557">
        <v>1</v>
      </c>
      <c r="V1557" t="s">
        <v>987</v>
      </c>
      <c r="W1557" t="s">
        <v>995</v>
      </c>
      <c r="X1557" t="s">
        <v>997</v>
      </c>
      <c r="Y1557" t="s">
        <v>1000</v>
      </c>
      <c r="Z1557">
        <v>1</v>
      </c>
      <c r="AA1557">
        <f t="shared" si="473"/>
        <v>0</v>
      </c>
      <c r="AB1557">
        <f t="shared" si="474"/>
        <v>1</v>
      </c>
      <c r="AC1557">
        <f t="shared" si="475"/>
        <v>1</v>
      </c>
      <c r="AD1557">
        <f t="shared" si="476"/>
        <v>0</v>
      </c>
      <c r="AE1557">
        <f t="shared" si="477"/>
        <v>1</v>
      </c>
      <c r="AF1557">
        <f t="shared" si="478"/>
        <v>1</v>
      </c>
      <c r="AG1557">
        <f t="shared" si="479"/>
        <v>1</v>
      </c>
      <c r="AH1557">
        <f t="shared" si="480"/>
        <v>1</v>
      </c>
      <c r="AI1557">
        <f t="shared" si="481"/>
        <v>1</v>
      </c>
      <c r="AJ1557" s="9">
        <f t="shared" si="468"/>
        <v>25</v>
      </c>
      <c r="AK1557">
        <f t="shared" si="469"/>
        <v>0</v>
      </c>
      <c r="AL1557" s="9">
        <v>1</v>
      </c>
    </row>
    <row r="1558" spans="1:38" x14ac:dyDescent="0.35">
      <c r="A1558" s="9">
        <v>1</v>
      </c>
      <c r="B1558" s="9" t="s">
        <v>187</v>
      </c>
      <c r="C1558" s="53">
        <v>43851</v>
      </c>
      <c r="D1558" s="53">
        <v>43905</v>
      </c>
      <c r="E1558" s="53">
        <v>43973</v>
      </c>
      <c r="F1558" s="21">
        <f t="shared" si="470"/>
        <v>68</v>
      </c>
      <c r="G1558" s="53">
        <v>43905</v>
      </c>
      <c r="H1558" s="9">
        <v>2020</v>
      </c>
      <c r="I1558" s="9">
        <v>1</v>
      </c>
      <c r="J1558" s="9">
        <v>6</v>
      </c>
      <c r="K1558" s="9">
        <v>25</v>
      </c>
      <c r="L1558" s="50" t="s">
        <v>906</v>
      </c>
      <c r="M1558">
        <v>-2</v>
      </c>
      <c r="N1558">
        <v>2</v>
      </c>
      <c r="O1558">
        <v>2</v>
      </c>
      <c r="P1558">
        <v>-1</v>
      </c>
      <c r="Q1558">
        <v>2</v>
      </c>
      <c r="R1558">
        <v>1</v>
      </c>
      <c r="S1558">
        <v>1</v>
      </c>
      <c r="T1558">
        <v>1</v>
      </c>
      <c r="U1558">
        <v>1</v>
      </c>
      <c r="V1558" t="s">
        <v>987</v>
      </c>
      <c r="W1558" t="s">
        <v>995</v>
      </c>
      <c r="X1558" t="s">
        <v>997</v>
      </c>
      <c r="Y1558" t="s">
        <v>1000</v>
      </c>
      <c r="Z1558">
        <v>1</v>
      </c>
      <c r="AA1558">
        <f t="shared" si="473"/>
        <v>0</v>
      </c>
      <c r="AB1558">
        <f t="shared" si="474"/>
        <v>1</v>
      </c>
      <c r="AC1558">
        <f t="shared" si="475"/>
        <v>1</v>
      </c>
      <c r="AD1558">
        <f t="shared" si="476"/>
        <v>0</v>
      </c>
      <c r="AE1558">
        <f t="shared" si="477"/>
        <v>1</v>
      </c>
      <c r="AF1558">
        <f t="shared" si="478"/>
        <v>1</v>
      </c>
      <c r="AG1558">
        <f t="shared" si="479"/>
        <v>1</v>
      </c>
      <c r="AH1558">
        <f t="shared" si="480"/>
        <v>1</v>
      </c>
      <c r="AI1558">
        <f t="shared" si="481"/>
        <v>1</v>
      </c>
      <c r="AJ1558" s="9">
        <f t="shared" si="468"/>
        <v>25</v>
      </c>
      <c r="AK1558">
        <f t="shared" si="469"/>
        <v>0</v>
      </c>
      <c r="AL1558" s="9">
        <v>1</v>
      </c>
    </row>
    <row r="1559" spans="1:38" x14ac:dyDescent="0.35">
      <c r="A1559" s="9">
        <v>1</v>
      </c>
      <c r="B1559" s="9" t="s">
        <v>187</v>
      </c>
      <c r="C1559" s="53">
        <v>43851</v>
      </c>
      <c r="D1559" s="53">
        <v>43905</v>
      </c>
      <c r="E1559" s="53">
        <v>43973</v>
      </c>
      <c r="F1559" s="21">
        <f t="shared" si="470"/>
        <v>68</v>
      </c>
      <c r="G1559" s="53">
        <v>43905</v>
      </c>
      <c r="H1559" s="9">
        <v>2020</v>
      </c>
      <c r="I1559" s="9">
        <v>1</v>
      </c>
      <c r="J1559" s="9">
        <v>5</v>
      </c>
      <c r="K1559" s="9">
        <v>21</v>
      </c>
      <c r="L1559" s="50" t="s">
        <v>925</v>
      </c>
      <c r="M1559">
        <v>2</v>
      </c>
      <c r="N1559">
        <v>2</v>
      </c>
      <c r="O1559">
        <v>2</v>
      </c>
      <c r="P1559">
        <v>2</v>
      </c>
      <c r="Q1559">
        <v>2</v>
      </c>
      <c r="R1559">
        <v>2</v>
      </c>
      <c r="S1559">
        <v>-1</v>
      </c>
      <c r="T1559">
        <v>2</v>
      </c>
      <c r="U1559">
        <v>1</v>
      </c>
      <c r="V1559" t="s">
        <v>987</v>
      </c>
      <c r="W1559" t="s">
        <v>995</v>
      </c>
      <c r="X1559" t="s">
        <v>997</v>
      </c>
      <c r="Y1559" t="s">
        <v>1000</v>
      </c>
      <c r="Z1559">
        <v>1</v>
      </c>
      <c r="AA1559">
        <f t="shared" si="473"/>
        <v>1</v>
      </c>
      <c r="AB1559">
        <f t="shared" si="474"/>
        <v>1</v>
      </c>
      <c r="AC1559">
        <f t="shared" si="475"/>
        <v>1</v>
      </c>
      <c r="AD1559">
        <f t="shared" si="476"/>
        <v>1</v>
      </c>
      <c r="AE1559">
        <f t="shared" si="477"/>
        <v>1</v>
      </c>
      <c r="AF1559">
        <f t="shared" si="478"/>
        <v>1</v>
      </c>
      <c r="AG1559">
        <f t="shared" si="479"/>
        <v>0</v>
      </c>
      <c r="AH1559">
        <f t="shared" si="480"/>
        <v>1</v>
      </c>
      <c r="AI1559">
        <f t="shared" si="481"/>
        <v>1</v>
      </c>
      <c r="AJ1559" s="9">
        <f t="shared" si="468"/>
        <v>21</v>
      </c>
      <c r="AK1559">
        <f t="shared" si="469"/>
        <v>0</v>
      </c>
      <c r="AL1559" s="9">
        <v>1</v>
      </c>
    </row>
    <row r="1560" spans="1:38" x14ac:dyDescent="0.35">
      <c r="A1560" s="9">
        <v>1</v>
      </c>
      <c r="B1560" s="9" t="s">
        <v>187</v>
      </c>
      <c r="C1560" s="53">
        <v>43851</v>
      </c>
      <c r="D1560" s="53">
        <v>43905</v>
      </c>
      <c r="E1560" s="53">
        <v>43973</v>
      </c>
      <c r="F1560" s="21">
        <f t="shared" si="470"/>
        <v>68</v>
      </c>
      <c r="G1560" s="53">
        <v>43905</v>
      </c>
      <c r="H1560" s="9">
        <v>2020</v>
      </c>
      <c r="I1560" s="9">
        <v>1</v>
      </c>
      <c r="J1560" s="9">
        <v>1</v>
      </c>
      <c r="K1560" s="9">
        <v>6</v>
      </c>
      <c r="L1560" s="50" t="s">
        <v>923</v>
      </c>
      <c r="M1560">
        <v>2</v>
      </c>
      <c r="N1560">
        <v>2</v>
      </c>
      <c r="O1560">
        <v>-2</v>
      </c>
      <c r="P1560">
        <v>2</v>
      </c>
      <c r="Q1560">
        <v>2</v>
      </c>
      <c r="R1560">
        <v>2</v>
      </c>
      <c r="S1560">
        <v>1</v>
      </c>
      <c r="T1560">
        <v>2</v>
      </c>
      <c r="U1560">
        <v>1</v>
      </c>
      <c r="V1560" t="s">
        <v>987</v>
      </c>
      <c r="W1560" t="s">
        <v>995</v>
      </c>
      <c r="X1560" t="s">
        <v>997</v>
      </c>
      <c r="Y1560" t="s">
        <v>1000</v>
      </c>
      <c r="Z1560">
        <v>1</v>
      </c>
      <c r="AA1560">
        <f t="shared" si="473"/>
        <v>1</v>
      </c>
      <c r="AB1560">
        <f t="shared" si="474"/>
        <v>1</v>
      </c>
      <c r="AC1560">
        <f t="shared" si="475"/>
        <v>0</v>
      </c>
      <c r="AD1560">
        <f t="shared" si="476"/>
        <v>1</v>
      </c>
      <c r="AE1560">
        <f t="shared" si="477"/>
        <v>1</v>
      </c>
      <c r="AF1560">
        <f t="shared" si="478"/>
        <v>1</v>
      </c>
      <c r="AG1560">
        <f t="shared" si="479"/>
        <v>1</v>
      </c>
      <c r="AH1560">
        <f t="shared" si="480"/>
        <v>1</v>
      </c>
      <c r="AI1560">
        <f t="shared" si="481"/>
        <v>1</v>
      </c>
      <c r="AJ1560" s="9">
        <f t="shared" si="468"/>
        <v>6</v>
      </c>
      <c r="AK1560">
        <f t="shared" si="469"/>
        <v>0</v>
      </c>
      <c r="AL1560" s="9">
        <v>1</v>
      </c>
    </row>
    <row r="1561" spans="1:38" x14ac:dyDescent="0.35">
      <c r="A1561" s="9">
        <v>1</v>
      </c>
      <c r="B1561" s="9" t="s">
        <v>187</v>
      </c>
      <c r="C1561" s="53">
        <v>43851</v>
      </c>
      <c r="D1561" s="53">
        <v>43905</v>
      </c>
      <c r="E1561" s="53">
        <v>43973</v>
      </c>
      <c r="F1561" s="21">
        <f t="shared" si="470"/>
        <v>68</v>
      </c>
      <c r="G1561" s="53">
        <v>43905</v>
      </c>
      <c r="H1561" s="9">
        <v>2020</v>
      </c>
      <c r="I1561" s="9">
        <v>1</v>
      </c>
      <c r="J1561" s="9">
        <v>4</v>
      </c>
      <c r="K1561" s="9">
        <v>20</v>
      </c>
      <c r="L1561" s="50" t="s">
        <v>918</v>
      </c>
      <c r="M1561">
        <v>2</v>
      </c>
      <c r="N1561">
        <v>2</v>
      </c>
      <c r="O1561">
        <v>-2</v>
      </c>
      <c r="P1561">
        <v>-1</v>
      </c>
      <c r="Q1561">
        <v>2</v>
      </c>
      <c r="R1561">
        <v>-2</v>
      </c>
      <c r="S1561">
        <v>2</v>
      </c>
      <c r="T1561">
        <v>-2</v>
      </c>
      <c r="U1561">
        <v>1</v>
      </c>
      <c r="V1561" t="s">
        <v>987</v>
      </c>
      <c r="W1561" t="s">
        <v>995</v>
      </c>
      <c r="X1561" t="s">
        <v>997</v>
      </c>
      <c r="Y1561" t="s">
        <v>1000</v>
      </c>
      <c r="Z1561">
        <v>1</v>
      </c>
      <c r="AA1561">
        <f t="shared" si="473"/>
        <v>1</v>
      </c>
      <c r="AB1561">
        <f t="shared" si="474"/>
        <v>1</v>
      </c>
      <c r="AC1561">
        <f t="shared" si="475"/>
        <v>0</v>
      </c>
      <c r="AD1561">
        <f t="shared" si="476"/>
        <v>0</v>
      </c>
      <c r="AE1561">
        <f t="shared" si="477"/>
        <v>1</v>
      </c>
      <c r="AF1561">
        <f t="shared" si="478"/>
        <v>0</v>
      </c>
      <c r="AG1561">
        <f t="shared" si="479"/>
        <v>1</v>
      </c>
      <c r="AH1561">
        <f t="shared" si="480"/>
        <v>0</v>
      </c>
      <c r="AI1561">
        <f t="shared" si="481"/>
        <v>1</v>
      </c>
      <c r="AJ1561" s="9">
        <f t="shared" si="468"/>
        <v>20</v>
      </c>
      <c r="AK1561">
        <f t="shared" si="469"/>
        <v>0</v>
      </c>
      <c r="AL1561" s="9">
        <v>1</v>
      </c>
    </row>
    <row r="1562" spans="1:38" x14ac:dyDescent="0.35">
      <c r="A1562" s="9">
        <v>1</v>
      </c>
      <c r="B1562" s="9" t="s">
        <v>187</v>
      </c>
      <c r="C1562" s="53">
        <v>43851</v>
      </c>
      <c r="D1562" s="53">
        <v>43905</v>
      </c>
      <c r="E1562" s="53">
        <v>43973</v>
      </c>
      <c r="F1562" s="21">
        <f t="shared" si="470"/>
        <v>68</v>
      </c>
      <c r="G1562" s="53">
        <v>43905</v>
      </c>
      <c r="H1562" s="9">
        <v>2020</v>
      </c>
      <c r="I1562" s="9">
        <v>1</v>
      </c>
      <c r="J1562" s="9">
        <v>7</v>
      </c>
      <c r="K1562" s="9">
        <v>30</v>
      </c>
      <c r="L1562" s="50" t="s">
        <v>933</v>
      </c>
      <c r="M1562">
        <v>1</v>
      </c>
      <c r="N1562">
        <v>2</v>
      </c>
      <c r="O1562">
        <v>-2</v>
      </c>
      <c r="R1562">
        <v>2</v>
      </c>
      <c r="S1562">
        <v>2</v>
      </c>
      <c r="T1562">
        <v>2</v>
      </c>
      <c r="U1562">
        <v>1</v>
      </c>
      <c r="V1562" t="s">
        <v>987</v>
      </c>
      <c r="W1562" t="s">
        <v>995</v>
      </c>
      <c r="X1562" t="s">
        <v>997</v>
      </c>
      <c r="Y1562" t="s">
        <v>1000</v>
      </c>
      <c r="Z1562">
        <v>1</v>
      </c>
      <c r="AA1562">
        <f t="shared" si="473"/>
        <v>1</v>
      </c>
      <c r="AB1562">
        <f t="shared" si="474"/>
        <v>1</v>
      </c>
      <c r="AC1562">
        <f t="shared" si="475"/>
        <v>0</v>
      </c>
      <c r="AD1562">
        <f t="shared" si="476"/>
        <v>-1</v>
      </c>
      <c r="AE1562">
        <f t="shared" si="477"/>
        <v>-1</v>
      </c>
      <c r="AF1562">
        <f t="shared" si="478"/>
        <v>1</v>
      </c>
      <c r="AG1562">
        <f t="shared" si="479"/>
        <v>1</v>
      </c>
      <c r="AH1562">
        <f t="shared" si="480"/>
        <v>1</v>
      </c>
      <c r="AI1562">
        <f t="shared" si="481"/>
        <v>1</v>
      </c>
      <c r="AJ1562" s="9">
        <f t="shared" si="468"/>
        <v>30</v>
      </c>
      <c r="AK1562">
        <f t="shared" si="469"/>
        <v>0</v>
      </c>
      <c r="AL1562" s="9">
        <v>1</v>
      </c>
    </row>
    <row r="1563" spans="1:38" x14ac:dyDescent="0.35">
      <c r="A1563" s="9">
        <v>1</v>
      </c>
      <c r="B1563" s="9" t="s">
        <v>187</v>
      </c>
      <c r="C1563" s="53">
        <v>43851</v>
      </c>
      <c r="D1563" s="53">
        <v>43905</v>
      </c>
      <c r="E1563" s="53">
        <v>43973</v>
      </c>
      <c r="F1563" s="21">
        <f t="shared" si="470"/>
        <v>68</v>
      </c>
      <c r="G1563" s="53">
        <v>43905</v>
      </c>
      <c r="H1563" s="9">
        <v>2020</v>
      </c>
      <c r="I1563" s="9">
        <v>1</v>
      </c>
      <c r="J1563" s="9">
        <v>6</v>
      </c>
      <c r="K1563" s="9">
        <v>27</v>
      </c>
      <c r="L1563" s="50" t="s">
        <v>912</v>
      </c>
      <c r="M1563">
        <v>2</v>
      </c>
      <c r="N1563">
        <v>2</v>
      </c>
      <c r="O1563">
        <v>2</v>
      </c>
      <c r="P1563">
        <v>-1</v>
      </c>
      <c r="Q1563">
        <v>-2</v>
      </c>
      <c r="R1563">
        <v>1</v>
      </c>
      <c r="S1563">
        <v>-2</v>
      </c>
      <c r="T1563">
        <v>2</v>
      </c>
      <c r="U1563">
        <v>1</v>
      </c>
      <c r="V1563" t="s">
        <v>987</v>
      </c>
      <c r="W1563" t="s">
        <v>995</v>
      </c>
      <c r="X1563" t="s">
        <v>997</v>
      </c>
      <c r="Y1563" t="s">
        <v>1000</v>
      </c>
      <c r="Z1563">
        <v>1</v>
      </c>
      <c r="AA1563">
        <f t="shared" si="473"/>
        <v>1</v>
      </c>
      <c r="AB1563">
        <f t="shared" si="474"/>
        <v>1</v>
      </c>
      <c r="AC1563">
        <f t="shared" si="475"/>
        <v>1</v>
      </c>
      <c r="AD1563">
        <f t="shared" si="476"/>
        <v>0</v>
      </c>
      <c r="AE1563">
        <f t="shared" si="477"/>
        <v>0</v>
      </c>
      <c r="AF1563">
        <f t="shared" si="478"/>
        <v>1</v>
      </c>
      <c r="AG1563">
        <f t="shared" si="479"/>
        <v>0</v>
      </c>
      <c r="AH1563">
        <f t="shared" si="480"/>
        <v>1</v>
      </c>
      <c r="AI1563">
        <f t="shared" si="481"/>
        <v>1</v>
      </c>
      <c r="AJ1563" s="9">
        <f t="shared" si="468"/>
        <v>27</v>
      </c>
      <c r="AK1563">
        <f t="shared" si="469"/>
        <v>0</v>
      </c>
      <c r="AL1563" s="9">
        <v>1</v>
      </c>
    </row>
    <row r="1564" spans="1:38" x14ac:dyDescent="0.35">
      <c r="A1564" s="9">
        <v>1</v>
      </c>
      <c r="B1564" s="9" t="s">
        <v>187</v>
      </c>
      <c r="C1564" s="53">
        <v>43851</v>
      </c>
      <c r="D1564" s="53">
        <v>43905</v>
      </c>
      <c r="E1564" s="53">
        <v>43973</v>
      </c>
      <c r="F1564" s="21">
        <f t="shared" si="470"/>
        <v>68</v>
      </c>
      <c r="G1564" s="53">
        <v>43905</v>
      </c>
      <c r="H1564" s="9">
        <v>2020</v>
      </c>
      <c r="I1564" s="9">
        <v>1</v>
      </c>
      <c r="J1564" s="9">
        <v>6</v>
      </c>
      <c r="K1564" s="9">
        <v>26</v>
      </c>
      <c r="L1564" s="50" t="s">
        <v>937</v>
      </c>
      <c r="M1564">
        <v>2</v>
      </c>
      <c r="N1564">
        <v>2</v>
      </c>
      <c r="O1564">
        <v>2</v>
      </c>
      <c r="P1564">
        <v>-1</v>
      </c>
      <c r="Q1564">
        <v>-2</v>
      </c>
      <c r="R1564">
        <v>2</v>
      </c>
      <c r="S1564">
        <v>2</v>
      </c>
      <c r="T1564">
        <v>2</v>
      </c>
      <c r="U1564">
        <v>1</v>
      </c>
      <c r="V1564" t="s">
        <v>987</v>
      </c>
      <c r="W1564" t="s">
        <v>995</v>
      </c>
      <c r="X1564" t="s">
        <v>997</v>
      </c>
      <c r="Y1564" t="s">
        <v>1000</v>
      </c>
      <c r="Z1564">
        <v>1</v>
      </c>
      <c r="AA1564">
        <f t="shared" si="473"/>
        <v>1</v>
      </c>
      <c r="AB1564">
        <f t="shared" si="474"/>
        <v>1</v>
      </c>
      <c r="AC1564">
        <f t="shared" si="475"/>
        <v>1</v>
      </c>
      <c r="AD1564">
        <f t="shared" si="476"/>
        <v>0</v>
      </c>
      <c r="AE1564">
        <f t="shared" si="477"/>
        <v>0</v>
      </c>
      <c r="AF1564">
        <f t="shared" si="478"/>
        <v>1</v>
      </c>
      <c r="AG1564">
        <f t="shared" si="479"/>
        <v>1</v>
      </c>
      <c r="AH1564">
        <f t="shared" si="480"/>
        <v>1</v>
      </c>
      <c r="AI1564">
        <f t="shared" si="481"/>
        <v>1</v>
      </c>
      <c r="AJ1564" s="9">
        <f t="shared" si="468"/>
        <v>26</v>
      </c>
      <c r="AK1564">
        <f t="shared" si="469"/>
        <v>0</v>
      </c>
      <c r="AL1564" s="9">
        <v>1</v>
      </c>
    </row>
    <row r="1565" spans="1:38" x14ac:dyDescent="0.35">
      <c r="A1565" s="9">
        <v>1</v>
      </c>
      <c r="B1565" s="9" t="s">
        <v>187</v>
      </c>
      <c r="C1565" s="53">
        <v>43851</v>
      </c>
      <c r="D1565" s="53">
        <v>43905</v>
      </c>
      <c r="E1565" s="53">
        <v>43973</v>
      </c>
      <c r="F1565" s="21">
        <f t="shared" si="470"/>
        <v>68</v>
      </c>
      <c r="G1565" s="53">
        <v>43905</v>
      </c>
      <c r="H1565" s="9">
        <v>2020</v>
      </c>
      <c r="I1565" s="9">
        <v>1</v>
      </c>
      <c r="J1565" s="9">
        <v>5</v>
      </c>
      <c r="K1565" s="9">
        <v>21</v>
      </c>
      <c r="L1565" s="50" t="s">
        <v>939</v>
      </c>
      <c r="M1565">
        <v>2</v>
      </c>
      <c r="N1565">
        <v>2</v>
      </c>
      <c r="O1565">
        <v>2</v>
      </c>
      <c r="P1565">
        <v>2</v>
      </c>
      <c r="Q1565">
        <v>2</v>
      </c>
      <c r="R1565">
        <v>2</v>
      </c>
      <c r="S1565">
        <v>-1</v>
      </c>
      <c r="T1565">
        <v>2</v>
      </c>
      <c r="U1565">
        <v>1</v>
      </c>
      <c r="V1565" t="s">
        <v>987</v>
      </c>
      <c r="W1565" t="s">
        <v>995</v>
      </c>
      <c r="X1565" t="s">
        <v>997</v>
      </c>
      <c r="Y1565" t="s">
        <v>1000</v>
      </c>
      <c r="Z1565">
        <v>1</v>
      </c>
      <c r="AA1565">
        <f t="shared" si="473"/>
        <v>1</v>
      </c>
      <c r="AB1565">
        <f t="shared" si="474"/>
        <v>1</v>
      </c>
      <c r="AC1565">
        <f t="shared" si="475"/>
        <v>1</v>
      </c>
      <c r="AD1565">
        <f t="shared" si="476"/>
        <v>1</v>
      </c>
      <c r="AE1565">
        <f t="shared" si="477"/>
        <v>1</v>
      </c>
      <c r="AF1565">
        <f t="shared" si="478"/>
        <v>1</v>
      </c>
      <c r="AG1565">
        <f t="shared" si="479"/>
        <v>0</v>
      </c>
      <c r="AH1565">
        <f t="shared" si="480"/>
        <v>1</v>
      </c>
      <c r="AI1565">
        <f t="shared" si="481"/>
        <v>1</v>
      </c>
      <c r="AJ1565" s="9">
        <f t="shared" si="468"/>
        <v>21</v>
      </c>
      <c r="AK1565">
        <f t="shared" si="469"/>
        <v>0</v>
      </c>
      <c r="AL1565" s="9">
        <v>1</v>
      </c>
    </row>
    <row r="1566" spans="1:38" x14ac:dyDescent="0.35">
      <c r="A1566" s="9">
        <v>1</v>
      </c>
      <c r="B1566" s="9" t="s">
        <v>187</v>
      </c>
      <c r="C1566" s="53">
        <v>43851</v>
      </c>
      <c r="D1566" s="53">
        <v>43905</v>
      </c>
      <c r="E1566" s="53">
        <v>43973</v>
      </c>
      <c r="F1566" s="21">
        <f t="shared" si="470"/>
        <v>68</v>
      </c>
      <c r="G1566" s="53">
        <v>43905</v>
      </c>
      <c r="H1566" s="9">
        <v>2020</v>
      </c>
      <c r="I1566" s="9">
        <v>1</v>
      </c>
      <c r="J1566" s="9">
        <v>5</v>
      </c>
      <c r="K1566" s="9" t="s">
        <v>204</v>
      </c>
      <c r="L1566" s="50" t="s">
        <v>921</v>
      </c>
      <c r="M1566">
        <v>1</v>
      </c>
      <c r="N1566">
        <v>-2</v>
      </c>
      <c r="O1566">
        <v>-2</v>
      </c>
      <c r="P1566">
        <v>-1</v>
      </c>
      <c r="Q1566">
        <v>-2</v>
      </c>
      <c r="R1566">
        <v>1</v>
      </c>
      <c r="S1566">
        <v>1</v>
      </c>
      <c r="T1566">
        <v>1</v>
      </c>
      <c r="U1566">
        <v>1</v>
      </c>
      <c r="V1566" t="s">
        <v>987</v>
      </c>
      <c r="W1566" t="s">
        <v>995</v>
      </c>
      <c r="X1566" t="s">
        <v>997</v>
      </c>
      <c r="Y1566" t="s">
        <v>1000</v>
      </c>
      <c r="Z1566">
        <v>1</v>
      </c>
      <c r="AA1566">
        <f t="shared" si="473"/>
        <v>1</v>
      </c>
      <c r="AB1566">
        <f t="shared" si="474"/>
        <v>0</v>
      </c>
      <c r="AC1566">
        <f t="shared" si="475"/>
        <v>0</v>
      </c>
      <c r="AD1566">
        <f t="shared" si="476"/>
        <v>0</v>
      </c>
      <c r="AE1566">
        <f t="shared" si="477"/>
        <v>0</v>
      </c>
      <c r="AF1566">
        <f t="shared" si="478"/>
        <v>1</v>
      </c>
      <c r="AG1566">
        <f t="shared" si="479"/>
        <v>1</v>
      </c>
      <c r="AH1566">
        <f t="shared" si="480"/>
        <v>1</v>
      </c>
      <c r="AI1566">
        <f t="shared" si="481"/>
        <v>1</v>
      </c>
      <c r="AJ1566" s="9" t="str">
        <f t="shared" si="468"/>
        <v>General</v>
      </c>
      <c r="AK1566">
        <f t="shared" si="469"/>
        <v>0</v>
      </c>
      <c r="AL1566" s="9">
        <v>1</v>
      </c>
    </row>
    <row r="1567" spans="1:38" x14ac:dyDescent="0.35">
      <c r="A1567" s="9">
        <v>1</v>
      </c>
      <c r="B1567" s="9" t="s">
        <v>187</v>
      </c>
      <c r="C1567" s="53">
        <v>43851</v>
      </c>
      <c r="D1567" s="53">
        <v>43905</v>
      </c>
      <c r="E1567" s="53">
        <v>43973</v>
      </c>
      <c r="F1567" s="21">
        <f t="shared" si="470"/>
        <v>68</v>
      </c>
      <c r="G1567" s="53">
        <v>43905</v>
      </c>
      <c r="H1567" s="9">
        <v>2020</v>
      </c>
      <c r="I1567" s="9">
        <v>1</v>
      </c>
      <c r="J1567" s="9">
        <v>5</v>
      </c>
      <c r="K1567" s="9">
        <v>23</v>
      </c>
      <c r="L1567" s="50" t="s">
        <v>913</v>
      </c>
      <c r="M1567">
        <v>2</v>
      </c>
      <c r="N1567">
        <v>-2</v>
      </c>
      <c r="O1567">
        <v>-2</v>
      </c>
      <c r="P1567">
        <v>-1</v>
      </c>
      <c r="Q1567">
        <v>2</v>
      </c>
      <c r="R1567">
        <v>2</v>
      </c>
      <c r="S1567">
        <v>1</v>
      </c>
      <c r="T1567">
        <v>2</v>
      </c>
      <c r="U1567">
        <v>1</v>
      </c>
      <c r="V1567" t="s">
        <v>987</v>
      </c>
      <c r="W1567" t="s">
        <v>995</v>
      </c>
      <c r="X1567" t="s">
        <v>997</v>
      </c>
      <c r="Y1567" t="s">
        <v>1000</v>
      </c>
      <c r="Z1567">
        <v>1</v>
      </c>
      <c r="AA1567">
        <f t="shared" si="473"/>
        <v>1</v>
      </c>
      <c r="AB1567">
        <f t="shared" si="474"/>
        <v>0</v>
      </c>
      <c r="AC1567">
        <f t="shared" si="475"/>
        <v>0</v>
      </c>
      <c r="AD1567">
        <f t="shared" si="476"/>
        <v>0</v>
      </c>
      <c r="AE1567">
        <f t="shared" si="477"/>
        <v>1</v>
      </c>
      <c r="AF1567">
        <f t="shared" si="478"/>
        <v>1</v>
      </c>
      <c r="AG1567">
        <f t="shared" si="479"/>
        <v>1</v>
      </c>
      <c r="AH1567">
        <f t="shared" si="480"/>
        <v>1</v>
      </c>
      <c r="AI1567">
        <f t="shared" si="481"/>
        <v>1</v>
      </c>
      <c r="AJ1567" s="9">
        <f t="shared" si="468"/>
        <v>23</v>
      </c>
      <c r="AK1567">
        <f t="shared" si="469"/>
        <v>0</v>
      </c>
      <c r="AL1567" s="9">
        <v>1</v>
      </c>
    </row>
    <row r="1568" spans="1:38" x14ac:dyDescent="0.35">
      <c r="A1568" s="9">
        <v>1</v>
      </c>
      <c r="B1568" s="9" t="s">
        <v>187</v>
      </c>
      <c r="C1568" s="53">
        <v>43851</v>
      </c>
      <c r="D1568" s="53">
        <v>43905</v>
      </c>
      <c r="E1568" s="53">
        <v>43973</v>
      </c>
      <c r="F1568" s="21">
        <f t="shared" si="470"/>
        <v>68</v>
      </c>
      <c r="G1568" s="53">
        <v>43905</v>
      </c>
      <c r="H1568" s="9">
        <v>2020</v>
      </c>
      <c r="I1568" s="9">
        <v>1</v>
      </c>
      <c r="J1568" s="9">
        <v>1</v>
      </c>
      <c r="K1568" s="9">
        <v>4</v>
      </c>
      <c r="L1568" s="50" t="s">
        <v>917</v>
      </c>
      <c r="M1568">
        <v>2</v>
      </c>
      <c r="N1568">
        <v>2</v>
      </c>
      <c r="O1568">
        <v>-2</v>
      </c>
      <c r="P1568">
        <v>-1</v>
      </c>
      <c r="Q1568">
        <v>-2</v>
      </c>
      <c r="R1568">
        <v>2</v>
      </c>
      <c r="S1568">
        <v>2</v>
      </c>
      <c r="T1568">
        <v>-2</v>
      </c>
      <c r="U1568">
        <v>1</v>
      </c>
      <c r="V1568" t="s">
        <v>987</v>
      </c>
      <c r="W1568" t="s">
        <v>995</v>
      </c>
      <c r="X1568" t="s">
        <v>997</v>
      </c>
      <c r="Y1568" t="s">
        <v>1000</v>
      </c>
      <c r="Z1568">
        <v>1</v>
      </c>
      <c r="AA1568">
        <f t="shared" si="473"/>
        <v>1</v>
      </c>
      <c r="AB1568">
        <f t="shared" si="474"/>
        <v>1</v>
      </c>
      <c r="AC1568">
        <f t="shared" si="475"/>
        <v>0</v>
      </c>
      <c r="AD1568">
        <f t="shared" si="476"/>
        <v>0</v>
      </c>
      <c r="AE1568">
        <f t="shared" si="477"/>
        <v>0</v>
      </c>
      <c r="AF1568">
        <f t="shared" si="478"/>
        <v>1</v>
      </c>
      <c r="AG1568">
        <f t="shared" si="479"/>
        <v>1</v>
      </c>
      <c r="AH1568">
        <f t="shared" si="480"/>
        <v>0</v>
      </c>
      <c r="AI1568">
        <f t="shared" si="481"/>
        <v>1</v>
      </c>
      <c r="AJ1568" s="9">
        <f t="shared" si="468"/>
        <v>4</v>
      </c>
      <c r="AK1568">
        <f t="shared" si="469"/>
        <v>0</v>
      </c>
      <c r="AL1568" s="9">
        <v>1</v>
      </c>
    </row>
    <row r="1569" spans="1:38" x14ac:dyDescent="0.35">
      <c r="A1569" s="9">
        <v>1</v>
      </c>
      <c r="B1569" s="9" t="s">
        <v>187</v>
      </c>
      <c r="C1569" s="53">
        <v>43851</v>
      </c>
      <c r="D1569" s="53">
        <v>43905</v>
      </c>
      <c r="E1569" s="53">
        <v>43973</v>
      </c>
      <c r="F1569" s="21">
        <f t="shared" si="470"/>
        <v>68</v>
      </c>
      <c r="G1569" s="53">
        <v>43905</v>
      </c>
      <c r="H1569" s="9">
        <v>2020</v>
      </c>
      <c r="I1569" s="9">
        <v>1</v>
      </c>
      <c r="J1569" s="9">
        <v>7</v>
      </c>
      <c r="K1569" s="9">
        <v>31</v>
      </c>
      <c r="L1569" s="50" t="s">
        <v>929</v>
      </c>
      <c r="M1569">
        <v>1</v>
      </c>
      <c r="N1569">
        <v>2</v>
      </c>
      <c r="O1569">
        <v>2</v>
      </c>
      <c r="P1569">
        <v>-1</v>
      </c>
      <c r="Q1569">
        <v>1</v>
      </c>
      <c r="R1569">
        <v>2</v>
      </c>
      <c r="S1569">
        <v>1</v>
      </c>
      <c r="T1569">
        <v>2</v>
      </c>
      <c r="U1569">
        <v>1</v>
      </c>
      <c r="V1569" t="s">
        <v>987</v>
      </c>
      <c r="W1569" t="s">
        <v>995</v>
      </c>
      <c r="X1569" t="s">
        <v>997</v>
      </c>
      <c r="Y1569" t="s">
        <v>1000</v>
      </c>
      <c r="Z1569">
        <v>1</v>
      </c>
      <c r="AA1569">
        <f t="shared" si="473"/>
        <v>1</v>
      </c>
      <c r="AB1569">
        <f t="shared" si="474"/>
        <v>1</v>
      </c>
      <c r="AC1569">
        <f t="shared" si="475"/>
        <v>1</v>
      </c>
      <c r="AD1569">
        <f t="shared" si="476"/>
        <v>0</v>
      </c>
      <c r="AE1569">
        <f t="shared" si="477"/>
        <v>1</v>
      </c>
      <c r="AF1569">
        <f t="shared" si="478"/>
        <v>1</v>
      </c>
      <c r="AG1569">
        <f t="shared" si="479"/>
        <v>1</v>
      </c>
      <c r="AH1569">
        <f t="shared" si="480"/>
        <v>1</v>
      </c>
      <c r="AI1569">
        <f t="shared" si="481"/>
        <v>1</v>
      </c>
      <c r="AJ1569" s="9">
        <f t="shared" si="468"/>
        <v>31</v>
      </c>
      <c r="AK1569">
        <f t="shared" si="469"/>
        <v>0</v>
      </c>
      <c r="AL1569" s="9">
        <v>1</v>
      </c>
    </row>
    <row r="1570" spans="1:38" x14ac:dyDescent="0.35">
      <c r="A1570" s="9">
        <v>1</v>
      </c>
      <c r="B1570" s="9" t="s">
        <v>187</v>
      </c>
      <c r="C1570" s="53">
        <v>43851</v>
      </c>
      <c r="D1570" s="53">
        <v>43905</v>
      </c>
      <c r="E1570" s="53">
        <v>43973</v>
      </c>
      <c r="F1570" s="21">
        <f t="shared" si="470"/>
        <v>68</v>
      </c>
      <c r="G1570" s="53">
        <v>43905</v>
      </c>
      <c r="H1570" s="9">
        <v>2020</v>
      </c>
      <c r="I1570" s="9">
        <v>1</v>
      </c>
      <c r="J1570" s="9">
        <v>6</v>
      </c>
      <c r="K1570" s="9">
        <v>26</v>
      </c>
      <c r="L1570" s="50" t="s">
        <v>907</v>
      </c>
      <c r="M1570">
        <v>1</v>
      </c>
      <c r="N1570">
        <v>2</v>
      </c>
      <c r="O1570">
        <v>2</v>
      </c>
      <c r="P1570">
        <v>-1</v>
      </c>
      <c r="Q1570">
        <v>-2</v>
      </c>
      <c r="R1570">
        <v>-2</v>
      </c>
      <c r="S1570">
        <v>2</v>
      </c>
      <c r="T1570">
        <v>2</v>
      </c>
      <c r="U1570">
        <v>1</v>
      </c>
      <c r="V1570" t="s">
        <v>987</v>
      </c>
      <c r="W1570" t="s">
        <v>995</v>
      </c>
      <c r="X1570" t="s">
        <v>997</v>
      </c>
      <c r="Y1570" t="s">
        <v>1000</v>
      </c>
      <c r="Z1570">
        <v>1</v>
      </c>
      <c r="AA1570">
        <f t="shared" si="473"/>
        <v>1</v>
      </c>
      <c r="AB1570">
        <f t="shared" si="474"/>
        <v>1</v>
      </c>
      <c r="AC1570">
        <f t="shared" si="475"/>
        <v>1</v>
      </c>
      <c r="AD1570">
        <f t="shared" si="476"/>
        <v>0</v>
      </c>
      <c r="AE1570">
        <f t="shared" si="477"/>
        <v>0</v>
      </c>
      <c r="AF1570">
        <f t="shared" si="478"/>
        <v>0</v>
      </c>
      <c r="AG1570">
        <f t="shared" si="479"/>
        <v>1</v>
      </c>
      <c r="AH1570">
        <f t="shared" si="480"/>
        <v>1</v>
      </c>
      <c r="AI1570">
        <f t="shared" si="481"/>
        <v>1</v>
      </c>
      <c r="AJ1570" s="9">
        <f t="shared" si="468"/>
        <v>26</v>
      </c>
      <c r="AK1570">
        <f t="shared" si="469"/>
        <v>0</v>
      </c>
      <c r="AL1570" s="9">
        <v>1</v>
      </c>
    </row>
    <row r="1571" spans="1:38" x14ac:dyDescent="0.35">
      <c r="A1571" s="9">
        <v>1</v>
      </c>
      <c r="B1571" s="9" t="s">
        <v>187</v>
      </c>
      <c r="C1571" s="53">
        <v>43851</v>
      </c>
      <c r="D1571" s="53">
        <v>43905</v>
      </c>
      <c r="E1571" s="53">
        <v>43973</v>
      </c>
      <c r="F1571" s="21">
        <f t="shared" si="470"/>
        <v>68</v>
      </c>
      <c r="G1571" s="53">
        <v>43905</v>
      </c>
      <c r="H1571" s="9">
        <v>2020</v>
      </c>
      <c r="I1571" s="9">
        <v>1</v>
      </c>
      <c r="J1571" s="9">
        <v>7</v>
      </c>
      <c r="K1571" s="9" t="s">
        <v>201</v>
      </c>
      <c r="L1571" s="50" t="s">
        <v>934</v>
      </c>
      <c r="M1571">
        <v>-2</v>
      </c>
      <c r="N1571">
        <v>2</v>
      </c>
      <c r="O1571">
        <v>2</v>
      </c>
      <c r="P1571">
        <v>-1</v>
      </c>
      <c r="Q1571">
        <v>2</v>
      </c>
      <c r="R1571">
        <v>2</v>
      </c>
      <c r="S1571">
        <v>2</v>
      </c>
      <c r="T1571">
        <v>2</v>
      </c>
      <c r="U1571">
        <v>1</v>
      </c>
      <c r="V1571" t="s">
        <v>987</v>
      </c>
      <c r="W1571" t="s">
        <v>995</v>
      </c>
      <c r="X1571" t="s">
        <v>997</v>
      </c>
      <c r="Y1571" t="s">
        <v>1000</v>
      </c>
      <c r="Z1571">
        <v>1</v>
      </c>
      <c r="AA1571">
        <f t="shared" si="473"/>
        <v>0</v>
      </c>
      <c r="AB1571">
        <f t="shared" si="474"/>
        <v>1</v>
      </c>
      <c r="AC1571">
        <f t="shared" si="475"/>
        <v>1</v>
      </c>
      <c r="AD1571">
        <f t="shared" si="476"/>
        <v>0</v>
      </c>
      <c r="AE1571">
        <f t="shared" si="477"/>
        <v>1</v>
      </c>
      <c r="AF1571">
        <f t="shared" si="478"/>
        <v>1</v>
      </c>
      <c r="AG1571">
        <f t="shared" si="479"/>
        <v>1</v>
      </c>
      <c r="AH1571">
        <f t="shared" si="480"/>
        <v>1</v>
      </c>
      <c r="AI1571">
        <f t="shared" si="481"/>
        <v>1</v>
      </c>
      <c r="AJ1571" s="9" t="str">
        <f t="shared" si="468"/>
        <v>Other</v>
      </c>
      <c r="AK1571">
        <f t="shared" si="469"/>
        <v>0</v>
      </c>
      <c r="AL1571" s="9">
        <v>0</v>
      </c>
    </row>
    <row r="1572" spans="1:38" x14ac:dyDescent="0.35">
      <c r="A1572" s="9">
        <v>1</v>
      </c>
      <c r="B1572" s="50" t="s">
        <v>187</v>
      </c>
      <c r="C1572" s="53">
        <v>43851</v>
      </c>
      <c r="D1572" s="53">
        <v>43905</v>
      </c>
      <c r="E1572" s="53">
        <v>43973</v>
      </c>
      <c r="F1572" s="21">
        <f t="shared" si="470"/>
        <v>68</v>
      </c>
      <c r="G1572" s="53">
        <v>43905</v>
      </c>
      <c r="H1572" s="9">
        <v>2020</v>
      </c>
      <c r="I1572" s="9">
        <v>1</v>
      </c>
      <c r="J1572" s="50">
        <v>1</v>
      </c>
      <c r="K1572" s="50" t="s">
        <v>206</v>
      </c>
      <c r="L1572" s="24" t="s">
        <v>1593</v>
      </c>
      <c r="M1572" s="24"/>
      <c r="V1572" t="s">
        <v>987</v>
      </c>
      <c r="W1572" t="s">
        <v>995</v>
      </c>
      <c r="X1572" t="s">
        <v>997</v>
      </c>
      <c r="Y1572" t="s">
        <v>1000</v>
      </c>
      <c r="Z1572">
        <v>1</v>
      </c>
      <c r="AA1572">
        <v>-1</v>
      </c>
      <c r="AB1572">
        <v>-1</v>
      </c>
      <c r="AC1572">
        <v>-1</v>
      </c>
      <c r="AD1572">
        <v>-1</v>
      </c>
      <c r="AE1572">
        <v>-1</v>
      </c>
      <c r="AF1572">
        <v>-1</v>
      </c>
      <c r="AG1572">
        <v>-1</v>
      </c>
      <c r="AH1572">
        <v>-1</v>
      </c>
      <c r="AI1572">
        <v>-1</v>
      </c>
      <c r="AJ1572" s="9" t="str">
        <f t="shared" si="468"/>
        <v>Tax exemption/waiver/suspension</v>
      </c>
      <c r="AK1572" t="e">
        <f>IF(B1572&lt;&gt;#REF!,1,0)</f>
        <v>#REF!</v>
      </c>
      <c r="AL1572" s="9">
        <v>0</v>
      </c>
    </row>
    <row r="1573" spans="1:38" x14ac:dyDescent="0.35">
      <c r="A1573" s="9">
        <v>1</v>
      </c>
      <c r="B1573" s="50" t="s">
        <v>187</v>
      </c>
      <c r="C1573" s="53">
        <v>43851</v>
      </c>
      <c r="D1573" s="53">
        <v>43905</v>
      </c>
      <c r="E1573" s="53">
        <v>43973</v>
      </c>
      <c r="F1573" s="21">
        <f t="shared" si="470"/>
        <v>68</v>
      </c>
      <c r="G1573" s="53">
        <v>43905</v>
      </c>
      <c r="H1573" s="9">
        <v>2020</v>
      </c>
      <c r="I1573" s="9">
        <v>1</v>
      </c>
      <c r="J1573" s="50">
        <v>1</v>
      </c>
      <c r="K1573" s="50">
        <v>5</v>
      </c>
      <c r="L1573" s="24" t="s">
        <v>1594</v>
      </c>
      <c r="M1573" s="24"/>
      <c r="V1573" t="s">
        <v>987</v>
      </c>
      <c r="W1573" t="s">
        <v>995</v>
      </c>
      <c r="X1573" t="s">
        <v>997</v>
      </c>
      <c r="Y1573" t="s">
        <v>1000</v>
      </c>
      <c r="Z1573">
        <v>1</v>
      </c>
      <c r="AA1573">
        <v>-1</v>
      </c>
      <c r="AB1573">
        <v>-1</v>
      </c>
      <c r="AC1573">
        <v>-1</v>
      </c>
      <c r="AD1573">
        <v>-1</v>
      </c>
      <c r="AE1573">
        <v>-1</v>
      </c>
      <c r="AF1573">
        <v>-1</v>
      </c>
      <c r="AG1573">
        <v>-1</v>
      </c>
      <c r="AH1573">
        <v>-1</v>
      </c>
      <c r="AI1573">
        <v>-1</v>
      </c>
      <c r="AJ1573" s="9">
        <f t="shared" si="468"/>
        <v>5</v>
      </c>
      <c r="AK1573">
        <f t="shared" si="469"/>
        <v>0</v>
      </c>
      <c r="AL1573" s="9">
        <v>0</v>
      </c>
    </row>
    <row r="1574" spans="1:38" x14ac:dyDescent="0.35">
      <c r="A1574" s="9">
        <v>1</v>
      </c>
      <c r="B1574" s="50" t="s">
        <v>187</v>
      </c>
      <c r="C1574" s="53">
        <v>43851</v>
      </c>
      <c r="D1574" s="53">
        <v>43905</v>
      </c>
      <c r="E1574" s="53">
        <v>43973</v>
      </c>
      <c r="F1574" s="21">
        <f t="shared" si="470"/>
        <v>68</v>
      </c>
      <c r="G1574" s="53">
        <v>43905</v>
      </c>
      <c r="H1574" s="9">
        <v>2020</v>
      </c>
      <c r="I1574" s="9">
        <v>1</v>
      </c>
      <c r="J1574" s="50">
        <v>1</v>
      </c>
      <c r="K1574" s="50">
        <v>11</v>
      </c>
      <c r="L1574" s="24" t="s">
        <v>1595</v>
      </c>
      <c r="M1574" s="24"/>
      <c r="V1574" t="s">
        <v>987</v>
      </c>
      <c r="W1574" t="s">
        <v>995</v>
      </c>
      <c r="X1574" t="s">
        <v>997</v>
      </c>
      <c r="Y1574" t="s">
        <v>1000</v>
      </c>
      <c r="Z1574">
        <v>1</v>
      </c>
      <c r="AA1574">
        <v>-1</v>
      </c>
      <c r="AB1574">
        <v>-1</v>
      </c>
      <c r="AC1574">
        <v>-1</v>
      </c>
      <c r="AD1574">
        <v>-1</v>
      </c>
      <c r="AE1574">
        <v>-1</v>
      </c>
      <c r="AF1574">
        <v>-1</v>
      </c>
      <c r="AG1574">
        <v>-1</v>
      </c>
      <c r="AH1574">
        <v>-1</v>
      </c>
      <c r="AI1574">
        <v>-1</v>
      </c>
      <c r="AJ1574" s="9">
        <f t="shared" si="468"/>
        <v>11</v>
      </c>
      <c r="AK1574">
        <f t="shared" si="469"/>
        <v>0</v>
      </c>
      <c r="AL1574" s="9">
        <v>0</v>
      </c>
    </row>
    <row r="1575" spans="1:38" x14ac:dyDescent="0.35">
      <c r="A1575" s="9">
        <v>1</v>
      </c>
      <c r="B1575" s="50" t="s">
        <v>187</v>
      </c>
      <c r="C1575" s="53">
        <v>43851</v>
      </c>
      <c r="D1575" s="53">
        <v>43905</v>
      </c>
      <c r="E1575" s="53">
        <v>43973</v>
      </c>
      <c r="F1575" s="21">
        <f t="shared" si="470"/>
        <v>68</v>
      </c>
      <c r="G1575" s="53">
        <v>43905</v>
      </c>
      <c r="H1575" s="9">
        <v>2020</v>
      </c>
      <c r="I1575" s="9">
        <v>1</v>
      </c>
      <c r="J1575" s="50">
        <v>7</v>
      </c>
      <c r="K1575" s="50">
        <v>31</v>
      </c>
      <c r="L1575" s="24" t="s">
        <v>1596</v>
      </c>
      <c r="M1575" s="24"/>
      <c r="V1575" t="s">
        <v>987</v>
      </c>
      <c r="W1575" t="s">
        <v>995</v>
      </c>
      <c r="X1575" t="s">
        <v>997</v>
      </c>
      <c r="Y1575" t="s">
        <v>1000</v>
      </c>
      <c r="Z1575">
        <v>1</v>
      </c>
      <c r="AA1575">
        <v>-1</v>
      </c>
      <c r="AB1575">
        <v>-1</v>
      </c>
      <c r="AC1575">
        <v>-1</v>
      </c>
      <c r="AD1575">
        <v>-1</v>
      </c>
      <c r="AE1575">
        <v>-1</v>
      </c>
      <c r="AF1575">
        <v>-1</v>
      </c>
      <c r="AG1575">
        <v>-1</v>
      </c>
      <c r="AH1575">
        <v>-1</v>
      </c>
      <c r="AI1575">
        <v>-1</v>
      </c>
      <c r="AJ1575" s="9">
        <f t="shared" si="468"/>
        <v>31</v>
      </c>
      <c r="AK1575">
        <f t="shared" si="469"/>
        <v>0</v>
      </c>
      <c r="AL1575" s="9">
        <v>0</v>
      </c>
    </row>
    <row r="1576" spans="1:38" x14ac:dyDescent="0.35">
      <c r="A1576" s="9">
        <v>1</v>
      </c>
      <c r="B1576" s="50" t="s">
        <v>187</v>
      </c>
      <c r="C1576" s="53">
        <v>43851</v>
      </c>
      <c r="D1576" s="53">
        <v>43905</v>
      </c>
      <c r="E1576" s="53">
        <v>43973</v>
      </c>
      <c r="F1576" s="21">
        <f t="shared" si="470"/>
        <v>68</v>
      </c>
      <c r="G1576" s="53">
        <v>43905</v>
      </c>
      <c r="H1576" s="9">
        <v>2020</v>
      </c>
      <c r="I1576" s="9">
        <v>1</v>
      </c>
      <c r="J1576" s="50">
        <v>5</v>
      </c>
      <c r="K1576" s="50">
        <v>21</v>
      </c>
      <c r="L1576" s="24" t="s">
        <v>1597</v>
      </c>
      <c r="M1576" s="24"/>
      <c r="V1576" t="s">
        <v>987</v>
      </c>
      <c r="W1576" t="s">
        <v>995</v>
      </c>
      <c r="X1576" t="s">
        <v>997</v>
      </c>
      <c r="Y1576" t="s">
        <v>1000</v>
      </c>
      <c r="Z1576">
        <v>1</v>
      </c>
      <c r="AA1576">
        <v>-1</v>
      </c>
      <c r="AB1576">
        <v>-1</v>
      </c>
      <c r="AC1576">
        <v>-1</v>
      </c>
      <c r="AD1576">
        <v>-1</v>
      </c>
      <c r="AE1576">
        <v>-1</v>
      </c>
      <c r="AF1576">
        <v>-1</v>
      </c>
      <c r="AG1576">
        <v>-1</v>
      </c>
      <c r="AH1576">
        <v>-1</v>
      </c>
      <c r="AI1576">
        <v>-1</v>
      </c>
      <c r="AJ1576" s="9">
        <f t="shared" si="468"/>
        <v>21</v>
      </c>
      <c r="AK1576">
        <f t="shared" si="469"/>
        <v>0</v>
      </c>
      <c r="AL1576" s="9">
        <v>0</v>
      </c>
    </row>
    <row r="1577" spans="1:38" x14ac:dyDescent="0.35">
      <c r="A1577" s="9">
        <v>1</v>
      </c>
      <c r="B1577" s="50" t="s">
        <v>187</v>
      </c>
      <c r="C1577" s="53">
        <v>43851</v>
      </c>
      <c r="D1577" s="53">
        <v>43905</v>
      </c>
      <c r="E1577" s="53">
        <v>43973</v>
      </c>
      <c r="F1577" s="21">
        <f t="shared" si="470"/>
        <v>68</v>
      </c>
      <c r="G1577" s="53">
        <v>43905</v>
      </c>
      <c r="H1577" s="9">
        <v>2020</v>
      </c>
      <c r="I1577" s="9">
        <v>1</v>
      </c>
      <c r="J1577" s="50">
        <v>6</v>
      </c>
      <c r="K1577" s="50">
        <v>27</v>
      </c>
      <c r="L1577" s="24" t="s">
        <v>1598</v>
      </c>
      <c r="M1577" s="24"/>
      <c r="V1577" t="s">
        <v>987</v>
      </c>
      <c r="W1577" t="s">
        <v>995</v>
      </c>
      <c r="X1577" t="s">
        <v>997</v>
      </c>
      <c r="Y1577" t="s">
        <v>1000</v>
      </c>
      <c r="Z1577">
        <v>1</v>
      </c>
      <c r="AA1577">
        <v>-1</v>
      </c>
      <c r="AB1577">
        <v>-1</v>
      </c>
      <c r="AC1577">
        <v>-1</v>
      </c>
      <c r="AD1577">
        <v>-1</v>
      </c>
      <c r="AE1577">
        <v>-1</v>
      </c>
      <c r="AF1577">
        <v>-1</v>
      </c>
      <c r="AG1577">
        <v>-1</v>
      </c>
      <c r="AH1577">
        <v>-1</v>
      </c>
      <c r="AI1577">
        <v>-1</v>
      </c>
      <c r="AJ1577" s="9">
        <f t="shared" si="468"/>
        <v>27</v>
      </c>
      <c r="AK1577">
        <f t="shared" si="469"/>
        <v>0</v>
      </c>
      <c r="AL1577" s="9">
        <v>0</v>
      </c>
    </row>
    <row r="1578" spans="1:38" x14ac:dyDescent="0.35">
      <c r="A1578" s="9">
        <v>1</v>
      </c>
      <c r="B1578" s="50" t="s">
        <v>187</v>
      </c>
      <c r="C1578" s="53">
        <v>43851</v>
      </c>
      <c r="D1578" s="53">
        <v>43905</v>
      </c>
      <c r="E1578" s="53">
        <v>43973</v>
      </c>
      <c r="F1578" s="21">
        <f t="shared" si="470"/>
        <v>68</v>
      </c>
      <c r="G1578" s="53">
        <v>43905</v>
      </c>
      <c r="H1578" s="9">
        <v>2020</v>
      </c>
      <c r="I1578" s="9">
        <v>1</v>
      </c>
      <c r="J1578" s="50">
        <v>6</v>
      </c>
      <c r="K1578" s="50">
        <v>27</v>
      </c>
      <c r="L1578" s="24" t="s">
        <v>1599</v>
      </c>
      <c r="M1578" s="24"/>
      <c r="V1578" t="s">
        <v>987</v>
      </c>
      <c r="W1578" t="s">
        <v>995</v>
      </c>
      <c r="X1578" t="s">
        <v>997</v>
      </c>
      <c r="Y1578" t="s">
        <v>1000</v>
      </c>
      <c r="Z1578">
        <v>1</v>
      </c>
      <c r="AA1578">
        <v>-1</v>
      </c>
      <c r="AB1578">
        <v>-1</v>
      </c>
      <c r="AC1578">
        <v>-1</v>
      </c>
      <c r="AD1578">
        <v>-1</v>
      </c>
      <c r="AE1578">
        <v>-1</v>
      </c>
      <c r="AF1578">
        <v>-1</v>
      </c>
      <c r="AG1578">
        <v>-1</v>
      </c>
      <c r="AH1578">
        <v>-1</v>
      </c>
      <c r="AI1578">
        <v>-1</v>
      </c>
      <c r="AJ1578" s="9">
        <f t="shared" si="468"/>
        <v>27</v>
      </c>
      <c r="AK1578">
        <f t="shared" si="469"/>
        <v>0</v>
      </c>
      <c r="AL1578" s="9">
        <v>0</v>
      </c>
    </row>
    <row r="1579" spans="1:38" x14ac:dyDescent="0.35">
      <c r="A1579" s="9">
        <v>1</v>
      </c>
      <c r="B1579" s="50" t="s">
        <v>187</v>
      </c>
      <c r="C1579" s="53">
        <v>43851</v>
      </c>
      <c r="D1579" s="53">
        <v>43905</v>
      </c>
      <c r="E1579" s="53">
        <v>43973</v>
      </c>
      <c r="F1579" s="21">
        <f t="shared" si="470"/>
        <v>68</v>
      </c>
      <c r="G1579" s="53">
        <v>43905</v>
      </c>
      <c r="H1579" s="9">
        <v>2020</v>
      </c>
      <c r="I1579" s="9">
        <v>1</v>
      </c>
      <c r="J1579" s="50">
        <v>1</v>
      </c>
      <c r="K1579" s="50">
        <v>2</v>
      </c>
      <c r="L1579" s="24" t="s">
        <v>1600</v>
      </c>
      <c r="M1579" s="24"/>
      <c r="V1579" t="s">
        <v>987</v>
      </c>
      <c r="W1579" t="s">
        <v>995</v>
      </c>
      <c r="X1579" t="s">
        <v>997</v>
      </c>
      <c r="Y1579" t="s">
        <v>1000</v>
      </c>
      <c r="Z1579">
        <v>1</v>
      </c>
      <c r="AA1579">
        <v>-1</v>
      </c>
      <c r="AB1579">
        <v>-1</v>
      </c>
      <c r="AC1579">
        <v>-1</v>
      </c>
      <c r="AD1579">
        <v>-1</v>
      </c>
      <c r="AE1579">
        <v>-1</v>
      </c>
      <c r="AF1579">
        <v>-1</v>
      </c>
      <c r="AG1579">
        <v>-1</v>
      </c>
      <c r="AH1579">
        <v>-1</v>
      </c>
      <c r="AI1579">
        <v>-1</v>
      </c>
      <c r="AJ1579" s="9">
        <f t="shared" si="468"/>
        <v>2</v>
      </c>
      <c r="AK1579">
        <f t="shared" si="469"/>
        <v>0</v>
      </c>
      <c r="AL1579" s="9">
        <v>0</v>
      </c>
    </row>
    <row r="1580" spans="1:38" x14ac:dyDescent="0.35">
      <c r="A1580" s="9">
        <v>1</v>
      </c>
      <c r="B1580" s="50" t="s">
        <v>187</v>
      </c>
      <c r="C1580" s="53">
        <v>43851</v>
      </c>
      <c r="D1580" s="53">
        <v>43905</v>
      </c>
      <c r="E1580" s="53">
        <v>43973</v>
      </c>
      <c r="F1580" s="21">
        <f t="shared" si="470"/>
        <v>68</v>
      </c>
      <c r="G1580" s="53">
        <v>43905</v>
      </c>
      <c r="H1580" s="9">
        <v>2020</v>
      </c>
      <c r="I1580" s="9">
        <v>1</v>
      </c>
      <c r="J1580" s="50">
        <v>1</v>
      </c>
      <c r="K1580" s="50">
        <v>5</v>
      </c>
      <c r="L1580" s="24" t="s">
        <v>1601</v>
      </c>
      <c r="M1580" s="24"/>
      <c r="V1580" t="s">
        <v>987</v>
      </c>
      <c r="W1580" t="s">
        <v>995</v>
      </c>
      <c r="X1580" t="s">
        <v>997</v>
      </c>
      <c r="Y1580" t="s">
        <v>1000</v>
      </c>
      <c r="Z1580">
        <v>1</v>
      </c>
      <c r="AA1580">
        <v>-1</v>
      </c>
      <c r="AB1580">
        <v>-1</v>
      </c>
      <c r="AC1580">
        <v>-1</v>
      </c>
      <c r="AD1580">
        <v>-1</v>
      </c>
      <c r="AE1580">
        <v>-1</v>
      </c>
      <c r="AF1580">
        <v>-1</v>
      </c>
      <c r="AG1580">
        <v>-1</v>
      </c>
      <c r="AH1580">
        <v>-1</v>
      </c>
      <c r="AI1580">
        <v>-1</v>
      </c>
      <c r="AJ1580" s="9">
        <f t="shared" si="468"/>
        <v>5</v>
      </c>
      <c r="AK1580">
        <f t="shared" si="469"/>
        <v>0</v>
      </c>
      <c r="AL1580" s="9">
        <v>0</v>
      </c>
    </row>
    <row r="1581" spans="1:38" x14ac:dyDescent="0.35">
      <c r="A1581" s="9">
        <v>1</v>
      </c>
      <c r="B1581" s="50" t="s">
        <v>187</v>
      </c>
      <c r="C1581" s="53">
        <v>43851</v>
      </c>
      <c r="D1581" s="53">
        <v>43905</v>
      </c>
      <c r="E1581" s="53">
        <v>43973</v>
      </c>
      <c r="F1581" s="21">
        <f t="shared" si="470"/>
        <v>68</v>
      </c>
      <c r="G1581" s="53">
        <v>43905</v>
      </c>
      <c r="H1581" s="9">
        <v>2020</v>
      </c>
      <c r="I1581" s="9">
        <v>1</v>
      </c>
      <c r="J1581" s="50">
        <v>2</v>
      </c>
      <c r="K1581" s="50">
        <v>14</v>
      </c>
      <c r="L1581" s="24" t="s">
        <v>1602</v>
      </c>
      <c r="M1581" s="24"/>
      <c r="V1581" t="s">
        <v>987</v>
      </c>
      <c r="W1581" t="s">
        <v>995</v>
      </c>
      <c r="X1581" t="s">
        <v>997</v>
      </c>
      <c r="Y1581" t="s">
        <v>1000</v>
      </c>
      <c r="Z1581">
        <v>1</v>
      </c>
      <c r="AA1581">
        <v>-1</v>
      </c>
      <c r="AB1581">
        <v>-1</v>
      </c>
      <c r="AC1581">
        <v>-1</v>
      </c>
      <c r="AD1581">
        <v>-1</v>
      </c>
      <c r="AE1581">
        <v>-1</v>
      </c>
      <c r="AF1581">
        <v>-1</v>
      </c>
      <c r="AG1581">
        <v>-1</v>
      </c>
      <c r="AH1581">
        <v>-1</v>
      </c>
      <c r="AI1581">
        <v>-1</v>
      </c>
      <c r="AJ1581" s="9">
        <f t="shared" si="468"/>
        <v>14</v>
      </c>
      <c r="AK1581">
        <f t="shared" si="469"/>
        <v>0</v>
      </c>
      <c r="AL1581" s="9">
        <v>0</v>
      </c>
    </row>
    <row r="1582" spans="1:38" x14ac:dyDescent="0.35">
      <c r="A1582" s="9">
        <v>1</v>
      </c>
      <c r="B1582" s="50" t="s">
        <v>187</v>
      </c>
      <c r="C1582" s="53">
        <v>43851</v>
      </c>
      <c r="D1582" s="53">
        <v>43905</v>
      </c>
      <c r="E1582" s="53">
        <v>43973</v>
      </c>
      <c r="F1582" s="21">
        <f t="shared" si="470"/>
        <v>68</v>
      </c>
      <c r="G1582" s="53">
        <v>43905</v>
      </c>
      <c r="H1582" s="9">
        <v>2020</v>
      </c>
      <c r="I1582" s="9">
        <v>1</v>
      </c>
      <c r="J1582" s="50">
        <v>1</v>
      </c>
      <c r="K1582" s="50">
        <v>4</v>
      </c>
      <c r="L1582" s="24" t="s">
        <v>1603</v>
      </c>
      <c r="M1582" s="24"/>
      <c r="V1582" t="s">
        <v>987</v>
      </c>
      <c r="W1582" t="s">
        <v>995</v>
      </c>
      <c r="X1582" t="s">
        <v>997</v>
      </c>
      <c r="Y1582" t="s">
        <v>1000</v>
      </c>
      <c r="Z1582">
        <v>1</v>
      </c>
      <c r="AA1582">
        <v>-1</v>
      </c>
      <c r="AB1582">
        <v>-1</v>
      </c>
      <c r="AC1582">
        <v>-1</v>
      </c>
      <c r="AD1582">
        <v>-1</v>
      </c>
      <c r="AE1582">
        <v>-1</v>
      </c>
      <c r="AF1582">
        <v>-1</v>
      </c>
      <c r="AG1582">
        <v>-1</v>
      </c>
      <c r="AH1582">
        <v>-1</v>
      </c>
      <c r="AI1582">
        <v>-1</v>
      </c>
      <c r="AJ1582" s="9">
        <f t="shared" si="468"/>
        <v>4</v>
      </c>
      <c r="AK1582">
        <f t="shared" si="469"/>
        <v>0</v>
      </c>
      <c r="AL1582" s="9">
        <v>0</v>
      </c>
    </row>
    <row r="1583" spans="1:38" x14ac:dyDescent="0.35">
      <c r="A1583" s="9">
        <v>1</v>
      </c>
      <c r="B1583" s="50" t="s">
        <v>187</v>
      </c>
      <c r="C1583" s="53">
        <v>43851</v>
      </c>
      <c r="D1583" s="53">
        <v>43905</v>
      </c>
      <c r="E1583" s="53">
        <v>43973</v>
      </c>
      <c r="F1583" s="21">
        <f t="shared" si="470"/>
        <v>68</v>
      </c>
      <c r="G1583" s="53">
        <v>43905</v>
      </c>
      <c r="H1583" s="9">
        <v>2020</v>
      </c>
      <c r="I1583" s="9">
        <v>1</v>
      </c>
      <c r="J1583" s="50">
        <v>2</v>
      </c>
      <c r="K1583" s="50">
        <v>13</v>
      </c>
      <c r="L1583" s="24" t="s">
        <v>1604</v>
      </c>
      <c r="M1583" s="24"/>
      <c r="V1583" t="s">
        <v>987</v>
      </c>
      <c r="W1583" t="s">
        <v>995</v>
      </c>
      <c r="X1583" t="s">
        <v>997</v>
      </c>
      <c r="Y1583" t="s">
        <v>1000</v>
      </c>
      <c r="Z1583">
        <v>1</v>
      </c>
      <c r="AA1583">
        <v>-1</v>
      </c>
      <c r="AB1583">
        <v>-1</v>
      </c>
      <c r="AC1583">
        <v>-1</v>
      </c>
      <c r="AD1583">
        <v>-1</v>
      </c>
      <c r="AE1583">
        <v>-1</v>
      </c>
      <c r="AF1583">
        <v>-1</v>
      </c>
      <c r="AG1583">
        <v>-1</v>
      </c>
      <c r="AH1583">
        <v>-1</v>
      </c>
      <c r="AI1583">
        <v>-1</v>
      </c>
      <c r="AJ1583" s="9">
        <f t="shared" si="468"/>
        <v>13</v>
      </c>
      <c r="AK1583">
        <f t="shared" si="469"/>
        <v>0</v>
      </c>
      <c r="AL1583" s="9">
        <v>0</v>
      </c>
    </row>
    <row r="1584" spans="1:38" x14ac:dyDescent="0.35">
      <c r="A1584" s="9">
        <v>1</v>
      </c>
      <c r="B1584" s="50" t="s">
        <v>187</v>
      </c>
      <c r="C1584" s="53">
        <v>43851</v>
      </c>
      <c r="D1584" s="53">
        <v>43905</v>
      </c>
      <c r="E1584" s="53">
        <v>43973</v>
      </c>
      <c r="F1584" s="21">
        <f t="shared" si="470"/>
        <v>68</v>
      </c>
      <c r="G1584" s="53">
        <v>43905</v>
      </c>
      <c r="H1584" s="9">
        <v>2020</v>
      </c>
      <c r="I1584" s="9">
        <v>1</v>
      </c>
      <c r="J1584" s="50">
        <v>2</v>
      </c>
      <c r="K1584" s="50">
        <v>14</v>
      </c>
      <c r="L1584" s="24" t="s">
        <v>1605</v>
      </c>
      <c r="M1584" s="24"/>
      <c r="V1584" t="s">
        <v>987</v>
      </c>
      <c r="W1584" t="s">
        <v>995</v>
      </c>
      <c r="X1584" t="s">
        <v>997</v>
      </c>
      <c r="Y1584" t="s">
        <v>1000</v>
      </c>
      <c r="Z1584">
        <v>1</v>
      </c>
      <c r="AA1584">
        <v>-1</v>
      </c>
      <c r="AB1584">
        <v>-1</v>
      </c>
      <c r="AC1584">
        <v>-1</v>
      </c>
      <c r="AD1584">
        <v>-1</v>
      </c>
      <c r="AE1584">
        <v>-1</v>
      </c>
      <c r="AF1584">
        <v>-1</v>
      </c>
      <c r="AG1584">
        <v>-1</v>
      </c>
      <c r="AH1584">
        <v>-1</v>
      </c>
      <c r="AI1584">
        <v>-1</v>
      </c>
      <c r="AJ1584" s="9">
        <f t="shared" si="468"/>
        <v>14</v>
      </c>
      <c r="AK1584">
        <f t="shared" si="469"/>
        <v>0</v>
      </c>
      <c r="AL1584" s="9">
        <v>0</v>
      </c>
    </row>
    <row r="1585" spans="1:38" x14ac:dyDescent="0.35">
      <c r="A1585" s="9">
        <v>1</v>
      </c>
      <c r="B1585" s="50" t="s">
        <v>187</v>
      </c>
      <c r="C1585" s="53">
        <v>43851</v>
      </c>
      <c r="D1585" s="53">
        <v>43905</v>
      </c>
      <c r="E1585" s="53">
        <v>43973</v>
      </c>
      <c r="F1585" s="21">
        <f t="shared" si="470"/>
        <v>68</v>
      </c>
      <c r="G1585" s="53">
        <v>43905</v>
      </c>
      <c r="H1585" s="9">
        <v>2020</v>
      </c>
      <c r="I1585" s="9">
        <v>1</v>
      </c>
      <c r="J1585" s="50">
        <v>2</v>
      </c>
      <c r="K1585" s="50">
        <v>14</v>
      </c>
      <c r="L1585" s="24" t="s">
        <v>1606</v>
      </c>
      <c r="M1585" s="24"/>
      <c r="V1585" t="s">
        <v>987</v>
      </c>
      <c r="W1585" t="s">
        <v>995</v>
      </c>
      <c r="X1585" t="s">
        <v>997</v>
      </c>
      <c r="Y1585" t="s">
        <v>1000</v>
      </c>
      <c r="Z1585">
        <v>1</v>
      </c>
      <c r="AA1585">
        <v>-1</v>
      </c>
      <c r="AB1585">
        <v>-1</v>
      </c>
      <c r="AC1585">
        <v>-1</v>
      </c>
      <c r="AD1585">
        <v>-1</v>
      </c>
      <c r="AE1585">
        <v>-1</v>
      </c>
      <c r="AF1585">
        <v>-1</v>
      </c>
      <c r="AG1585">
        <v>-1</v>
      </c>
      <c r="AH1585">
        <v>-1</v>
      </c>
      <c r="AI1585">
        <v>-1</v>
      </c>
      <c r="AJ1585" s="9">
        <f t="shared" si="468"/>
        <v>14</v>
      </c>
      <c r="AK1585">
        <f t="shared" si="469"/>
        <v>0</v>
      </c>
      <c r="AL1585" s="9">
        <v>0</v>
      </c>
    </row>
    <row r="1586" spans="1:38" x14ac:dyDescent="0.35">
      <c r="A1586" s="9">
        <v>1</v>
      </c>
      <c r="B1586" s="50" t="s">
        <v>187</v>
      </c>
      <c r="C1586" s="53">
        <v>43851</v>
      </c>
      <c r="D1586" s="53">
        <v>43905</v>
      </c>
      <c r="E1586" s="53">
        <v>43973</v>
      </c>
      <c r="F1586" s="21">
        <f t="shared" si="470"/>
        <v>68</v>
      </c>
      <c r="G1586" s="53">
        <v>43905</v>
      </c>
      <c r="H1586" s="9">
        <v>2020</v>
      </c>
      <c r="I1586" s="9">
        <v>1</v>
      </c>
      <c r="J1586" s="50">
        <v>1</v>
      </c>
      <c r="K1586" s="50">
        <v>12</v>
      </c>
      <c r="L1586" s="24" t="s">
        <v>1607</v>
      </c>
      <c r="M1586" s="24"/>
      <c r="V1586" t="s">
        <v>987</v>
      </c>
      <c r="W1586" t="s">
        <v>995</v>
      </c>
      <c r="X1586" t="s">
        <v>997</v>
      </c>
      <c r="Y1586" t="s">
        <v>1000</v>
      </c>
      <c r="Z1586">
        <v>1</v>
      </c>
      <c r="AA1586">
        <v>-1</v>
      </c>
      <c r="AB1586">
        <v>-1</v>
      </c>
      <c r="AC1586">
        <v>-1</v>
      </c>
      <c r="AD1586">
        <v>-1</v>
      </c>
      <c r="AE1586">
        <v>-1</v>
      </c>
      <c r="AF1586">
        <v>-1</v>
      </c>
      <c r="AG1586">
        <v>-1</v>
      </c>
      <c r="AH1586">
        <v>-1</v>
      </c>
      <c r="AI1586">
        <v>-1</v>
      </c>
      <c r="AJ1586" s="9">
        <f t="shared" si="468"/>
        <v>12</v>
      </c>
      <c r="AK1586">
        <f t="shared" si="469"/>
        <v>0</v>
      </c>
      <c r="AL1586" s="9">
        <v>0</v>
      </c>
    </row>
    <row r="1587" spans="1:38" x14ac:dyDescent="0.35">
      <c r="A1587" s="9">
        <v>1</v>
      </c>
      <c r="B1587" s="50" t="s">
        <v>187</v>
      </c>
      <c r="C1587" s="53">
        <v>43851</v>
      </c>
      <c r="D1587" s="53">
        <v>43905</v>
      </c>
      <c r="E1587" s="53">
        <v>43973</v>
      </c>
      <c r="F1587" s="21">
        <f t="shared" si="470"/>
        <v>68</v>
      </c>
      <c r="G1587" s="53">
        <v>43905</v>
      </c>
      <c r="H1587" s="9">
        <v>2020</v>
      </c>
      <c r="I1587" s="9">
        <v>1</v>
      </c>
      <c r="J1587" s="50">
        <v>1</v>
      </c>
      <c r="K1587" s="50">
        <v>11</v>
      </c>
      <c r="L1587" s="24" t="s">
        <v>1608</v>
      </c>
      <c r="M1587" s="24"/>
      <c r="V1587" t="s">
        <v>987</v>
      </c>
      <c r="W1587" t="s">
        <v>995</v>
      </c>
      <c r="X1587" t="s">
        <v>997</v>
      </c>
      <c r="Y1587" t="s">
        <v>1000</v>
      </c>
      <c r="Z1587">
        <v>1</v>
      </c>
      <c r="AA1587">
        <v>-1</v>
      </c>
      <c r="AB1587">
        <v>-1</v>
      </c>
      <c r="AC1587">
        <v>-1</v>
      </c>
      <c r="AD1587">
        <v>-1</v>
      </c>
      <c r="AE1587">
        <v>-1</v>
      </c>
      <c r="AF1587">
        <v>-1</v>
      </c>
      <c r="AG1587">
        <v>-1</v>
      </c>
      <c r="AH1587">
        <v>-1</v>
      </c>
      <c r="AI1587">
        <v>-1</v>
      </c>
      <c r="AJ1587" s="9">
        <f t="shared" si="468"/>
        <v>11</v>
      </c>
      <c r="AK1587">
        <f t="shared" si="469"/>
        <v>0</v>
      </c>
      <c r="AL1587" s="9">
        <v>0</v>
      </c>
    </row>
    <row r="1588" spans="1:38" x14ac:dyDescent="0.35">
      <c r="A1588" s="9">
        <v>1</v>
      </c>
      <c r="B1588" s="50" t="s">
        <v>187</v>
      </c>
      <c r="C1588" s="53">
        <v>43851</v>
      </c>
      <c r="D1588" s="53">
        <v>43905</v>
      </c>
      <c r="E1588" s="53">
        <v>43973</v>
      </c>
      <c r="F1588" s="21">
        <f t="shared" si="470"/>
        <v>68</v>
      </c>
      <c r="G1588" s="53">
        <v>43905</v>
      </c>
      <c r="H1588" s="9">
        <v>2020</v>
      </c>
      <c r="I1588" s="9">
        <v>1</v>
      </c>
      <c r="J1588" s="50">
        <v>1</v>
      </c>
      <c r="K1588" s="50">
        <v>4</v>
      </c>
      <c r="L1588" s="24" t="s">
        <v>1609</v>
      </c>
      <c r="M1588" s="24"/>
      <c r="V1588" t="s">
        <v>987</v>
      </c>
      <c r="W1588" t="s">
        <v>995</v>
      </c>
      <c r="X1588" t="s">
        <v>997</v>
      </c>
      <c r="Y1588" t="s">
        <v>1000</v>
      </c>
      <c r="Z1588">
        <v>1</v>
      </c>
      <c r="AA1588">
        <v>-1</v>
      </c>
      <c r="AB1588">
        <v>-1</v>
      </c>
      <c r="AC1588">
        <v>-1</v>
      </c>
      <c r="AD1588">
        <v>-1</v>
      </c>
      <c r="AE1588">
        <v>-1</v>
      </c>
      <c r="AF1588">
        <v>-1</v>
      </c>
      <c r="AG1588">
        <v>-1</v>
      </c>
      <c r="AH1588">
        <v>-1</v>
      </c>
      <c r="AI1588">
        <v>-1</v>
      </c>
      <c r="AJ1588" s="9">
        <f t="shared" ref="AJ1588:AJ1595" si="482">IF(ISNUMBER(K1588),K1588,IF(OR(K1588="general",K1588="23;general"),"General",IF(OR(K1588="exemption",K1588="other (exemption)"),"Tax exemption/waiver/suspension","Other")))</f>
        <v>4</v>
      </c>
      <c r="AK1588">
        <f>IF(B1588&lt;&gt;B1587,1,0)</f>
        <v>0</v>
      </c>
      <c r="AL1588" s="9">
        <v>1</v>
      </c>
    </row>
    <row r="1589" spans="1:38" s="47" customFormat="1" x14ac:dyDescent="0.35">
      <c r="A1589" s="9">
        <v>1</v>
      </c>
      <c r="B1589" s="50" t="s">
        <v>187</v>
      </c>
      <c r="C1589" s="53">
        <v>43851</v>
      </c>
      <c r="D1589" s="53">
        <v>43905</v>
      </c>
      <c r="E1589" s="53">
        <v>43973</v>
      </c>
      <c r="F1589" s="21">
        <f t="shared" si="470"/>
        <v>68</v>
      </c>
      <c r="G1589" s="53">
        <v>43905</v>
      </c>
      <c r="H1589" s="9">
        <v>2021</v>
      </c>
      <c r="I1589" s="9">
        <v>1</v>
      </c>
      <c r="J1589" s="50">
        <v>6</v>
      </c>
      <c r="K1589" s="50">
        <v>25</v>
      </c>
      <c r="L1589" s="48" t="s">
        <v>2137</v>
      </c>
      <c r="V1589" t="s">
        <v>987</v>
      </c>
      <c r="AJ1589" s="47">
        <f t="shared" si="482"/>
        <v>25</v>
      </c>
    </row>
    <row r="1590" spans="1:38" s="47" customFormat="1" x14ac:dyDescent="0.35">
      <c r="A1590" s="9">
        <v>1</v>
      </c>
      <c r="B1590" s="50" t="s">
        <v>187</v>
      </c>
      <c r="C1590" s="53">
        <v>43851</v>
      </c>
      <c r="D1590" s="53">
        <v>43905</v>
      </c>
      <c r="E1590" s="53">
        <v>43973</v>
      </c>
      <c r="F1590" s="21">
        <f t="shared" si="470"/>
        <v>68</v>
      </c>
      <c r="G1590" s="53">
        <v>43905</v>
      </c>
      <c r="H1590" s="9">
        <v>2021</v>
      </c>
      <c r="I1590" s="9">
        <v>1</v>
      </c>
      <c r="J1590" s="50">
        <v>6</v>
      </c>
      <c r="K1590" s="50">
        <v>26</v>
      </c>
      <c r="L1590" s="48" t="s">
        <v>2138</v>
      </c>
      <c r="V1590" t="s">
        <v>987</v>
      </c>
      <c r="AJ1590" s="47">
        <f t="shared" si="482"/>
        <v>26</v>
      </c>
    </row>
    <row r="1591" spans="1:38" s="47" customFormat="1" x14ac:dyDescent="0.35">
      <c r="A1591" s="9">
        <v>1</v>
      </c>
      <c r="B1591" s="50" t="s">
        <v>187</v>
      </c>
      <c r="C1591" s="53">
        <v>43851</v>
      </c>
      <c r="D1591" s="53">
        <v>43905</v>
      </c>
      <c r="E1591" s="53">
        <v>43973</v>
      </c>
      <c r="F1591" s="21">
        <f t="shared" ref="F1591:F1595" si="483">DATEDIF(D1591,E1591,"D")</f>
        <v>68</v>
      </c>
      <c r="G1591" s="53">
        <v>43905</v>
      </c>
      <c r="H1591" s="9">
        <v>2021</v>
      </c>
      <c r="I1591" s="9">
        <v>1</v>
      </c>
      <c r="J1591" s="50">
        <v>7</v>
      </c>
      <c r="K1591" s="50">
        <v>30</v>
      </c>
      <c r="L1591" s="48" t="s">
        <v>2139</v>
      </c>
      <c r="V1591" t="s">
        <v>987</v>
      </c>
      <c r="AJ1591" s="47">
        <f t="shared" si="482"/>
        <v>30</v>
      </c>
    </row>
    <row r="1592" spans="1:38" s="47" customFormat="1" x14ac:dyDescent="0.35">
      <c r="A1592" s="9">
        <v>1</v>
      </c>
      <c r="B1592" s="50" t="s">
        <v>187</v>
      </c>
      <c r="C1592" s="53">
        <v>43851</v>
      </c>
      <c r="D1592" s="53">
        <v>43905</v>
      </c>
      <c r="E1592" s="53">
        <v>43973</v>
      </c>
      <c r="F1592" s="21">
        <f t="shared" si="483"/>
        <v>68</v>
      </c>
      <c r="G1592" s="53">
        <v>43905</v>
      </c>
      <c r="H1592" s="9">
        <v>2021</v>
      </c>
      <c r="I1592" s="9">
        <v>1</v>
      </c>
      <c r="J1592" s="50">
        <v>7</v>
      </c>
      <c r="K1592" s="50">
        <v>31</v>
      </c>
      <c r="L1592" s="48" t="s">
        <v>2140</v>
      </c>
      <c r="V1592" t="s">
        <v>987</v>
      </c>
      <c r="AJ1592" s="47">
        <f t="shared" si="482"/>
        <v>31</v>
      </c>
    </row>
    <row r="1593" spans="1:38" x14ac:dyDescent="0.35">
      <c r="A1593" s="9">
        <v>1</v>
      </c>
      <c r="B1593" s="50" t="s">
        <v>187</v>
      </c>
      <c r="C1593" s="53">
        <v>43851</v>
      </c>
      <c r="D1593" s="53">
        <v>43905</v>
      </c>
      <c r="E1593" s="53">
        <v>43973</v>
      </c>
      <c r="F1593" s="21">
        <f t="shared" si="483"/>
        <v>68</v>
      </c>
      <c r="G1593" s="53">
        <v>43905</v>
      </c>
      <c r="H1593" s="9">
        <v>2021</v>
      </c>
      <c r="I1593" s="9">
        <v>1</v>
      </c>
      <c r="J1593" s="50">
        <v>7</v>
      </c>
      <c r="K1593" s="50">
        <v>31</v>
      </c>
      <c r="L1593" s="48" t="s">
        <v>2141</v>
      </c>
      <c r="V1593" t="s">
        <v>987</v>
      </c>
      <c r="AJ1593" s="47">
        <f t="shared" si="482"/>
        <v>31</v>
      </c>
    </row>
    <row r="1594" spans="1:38" x14ac:dyDescent="0.35">
      <c r="A1594" s="9">
        <v>1</v>
      </c>
      <c r="B1594" s="50" t="s">
        <v>187</v>
      </c>
      <c r="C1594" s="53">
        <v>43851</v>
      </c>
      <c r="D1594" s="53">
        <v>43905</v>
      </c>
      <c r="E1594" s="53">
        <v>43973</v>
      </c>
      <c r="F1594" s="21">
        <f t="shared" si="483"/>
        <v>68</v>
      </c>
      <c r="G1594" s="53">
        <v>43905</v>
      </c>
      <c r="H1594" s="9">
        <v>2021</v>
      </c>
      <c r="I1594" s="9">
        <v>1</v>
      </c>
      <c r="J1594" s="50">
        <v>7</v>
      </c>
      <c r="K1594" s="50">
        <v>30</v>
      </c>
      <c r="L1594" s="48" t="s">
        <v>2142</v>
      </c>
      <c r="V1594" t="s">
        <v>987</v>
      </c>
      <c r="AJ1594" s="47">
        <f t="shared" si="482"/>
        <v>30</v>
      </c>
    </row>
    <row r="1595" spans="1:38" x14ac:dyDescent="0.35">
      <c r="A1595" s="9">
        <v>1</v>
      </c>
      <c r="B1595" s="50" t="s">
        <v>187</v>
      </c>
      <c r="C1595" s="53">
        <v>43851</v>
      </c>
      <c r="D1595" s="53">
        <v>43905</v>
      </c>
      <c r="E1595" s="53">
        <v>43973</v>
      </c>
      <c r="F1595" s="21">
        <f t="shared" si="483"/>
        <v>68</v>
      </c>
      <c r="G1595" s="53">
        <v>43905</v>
      </c>
      <c r="H1595" s="9">
        <v>2021</v>
      </c>
      <c r="I1595" s="9">
        <v>1</v>
      </c>
      <c r="J1595" s="50">
        <v>1</v>
      </c>
      <c r="K1595" s="50">
        <v>7</v>
      </c>
      <c r="L1595" s="48" t="s">
        <v>2143</v>
      </c>
      <c r="V1595" t="s">
        <v>987</v>
      </c>
      <c r="AJ1595" s="47">
        <f t="shared" si="482"/>
        <v>7</v>
      </c>
    </row>
    <row r="1596" spans="1:38" x14ac:dyDescent="0.35">
      <c r="A1596" s="9">
        <v>1</v>
      </c>
      <c r="B1596" s="50" t="s">
        <v>187</v>
      </c>
      <c r="C1596" s="53">
        <v>43851</v>
      </c>
      <c r="D1596" s="53">
        <v>43905</v>
      </c>
      <c r="E1596" s="53">
        <v>43973</v>
      </c>
      <c r="F1596" s="21">
        <f t="shared" ref="F1596:F1600" si="484">DATEDIF(D1596,E1596,"D")</f>
        <v>68</v>
      </c>
      <c r="G1596" s="53">
        <v>43905</v>
      </c>
      <c r="H1596" s="9">
        <v>2021</v>
      </c>
      <c r="I1596" s="9">
        <v>1</v>
      </c>
      <c r="J1596" s="50">
        <v>9</v>
      </c>
      <c r="K1596" s="9">
        <v>34</v>
      </c>
      <c r="L1596" s="48" t="s">
        <v>2144</v>
      </c>
    </row>
    <row r="1597" spans="1:38" x14ac:dyDescent="0.35">
      <c r="A1597" s="9">
        <v>1</v>
      </c>
      <c r="B1597" s="50" t="s">
        <v>187</v>
      </c>
      <c r="C1597" s="53">
        <v>43851</v>
      </c>
      <c r="D1597" s="53">
        <v>43905</v>
      </c>
      <c r="E1597" s="53">
        <v>43973</v>
      </c>
      <c r="F1597" s="21">
        <f t="shared" si="484"/>
        <v>68</v>
      </c>
      <c r="G1597" s="53">
        <v>43905</v>
      </c>
      <c r="H1597" s="9">
        <v>2021</v>
      </c>
      <c r="I1597" s="9">
        <v>1</v>
      </c>
      <c r="J1597" s="50">
        <v>6</v>
      </c>
      <c r="K1597" s="50">
        <v>28</v>
      </c>
      <c r="L1597" s="48" t="s">
        <v>2145</v>
      </c>
    </row>
    <row r="1598" spans="1:38" x14ac:dyDescent="0.35">
      <c r="A1598" s="9">
        <v>1</v>
      </c>
      <c r="B1598" s="50" t="s">
        <v>187</v>
      </c>
      <c r="C1598" s="53">
        <v>43851</v>
      </c>
      <c r="D1598" s="53">
        <v>43905</v>
      </c>
      <c r="E1598" s="53">
        <v>43973</v>
      </c>
      <c r="F1598" s="21">
        <f t="shared" si="484"/>
        <v>68</v>
      </c>
      <c r="G1598" s="53">
        <v>43905</v>
      </c>
      <c r="H1598" s="9">
        <v>2021</v>
      </c>
      <c r="I1598" s="9">
        <v>1</v>
      </c>
      <c r="J1598" s="50">
        <v>9</v>
      </c>
      <c r="K1598" s="50">
        <v>34</v>
      </c>
      <c r="L1598" s="48" t="s">
        <v>2146</v>
      </c>
    </row>
    <row r="1599" spans="1:38" x14ac:dyDescent="0.35">
      <c r="A1599" s="9">
        <v>1</v>
      </c>
      <c r="B1599" s="50" t="s">
        <v>187</v>
      </c>
      <c r="C1599" s="53">
        <v>43851</v>
      </c>
      <c r="D1599" s="53">
        <v>43905</v>
      </c>
      <c r="E1599" s="53">
        <v>43973</v>
      </c>
      <c r="F1599" s="21">
        <f t="shared" si="484"/>
        <v>68</v>
      </c>
      <c r="G1599" s="53">
        <v>43905</v>
      </c>
      <c r="H1599" s="9">
        <v>2021</v>
      </c>
      <c r="I1599" s="9">
        <v>1</v>
      </c>
      <c r="J1599" s="50">
        <v>2</v>
      </c>
      <c r="K1599" s="50">
        <v>17</v>
      </c>
      <c r="L1599" s="48" t="s">
        <v>2147</v>
      </c>
    </row>
    <row r="1600" spans="1:38" x14ac:dyDescent="0.35">
      <c r="A1600" s="9">
        <v>1</v>
      </c>
      <c r="B1600" s="50" t="s">
        <v>187</v>
      </c>
      <c r="C1600" s="53">
        <v>43851</v>
      </c>
      <c r="D1600" s="53">
        <v>43905</v>
      </c>
      <c r="E1600" s="53">
        <v>43973</v>
      </c>
      <c r="F1600" s="21">
        <f t="shared" si="484"/>
        <v>68</v>
      </c>
      <c r="G1600" s="53">
        <v>43905</v>
      </c>
      <c r="H1600" s="9">
        <v>2021</v>
      </c>
      <c r="I1600" s="9">
        <v>1</v>
      </c>
      <c r="J1600" s="50">
        <v>1</v>
      </c>
      <c r="K1600" s="50">
        <v>4</v>
      </c>
      <c r="L1600" s="48" t="s">
        <v>2148</v>
      </c>
    </row>
    <row r="1601" spans="1:12" x14ac:dyDescent="0.35">
      <c r="A1601" s="9">
        <v>1</v>
      </c>
      <c r="B1601" s="50" t="s">
        <v>187</v>
      </c>
      <c r="C1601" s="53">
        <v>43851</v>
      </c>
      <c r="D1601" s="53">
        <v>43905</v>
      </c>
      <c r="E1601" s="53">
        <v>43973</v>
      </c>
      <c r="F1601" s="21">
        <f t="shared" ref="F1601:F1615" si="485">DATEDIF(D1601,E1601,"D")</f>
        <v>68</v>
      </c>
      <c r="G1601" s="53">
        <v>43905</v>
      </c>
      <c r="H1601" s="9">
        <v>2021</v>
      </c>
      <c r="I1601" s="9">
        <v>1</v>
      </c>
      <c r="J1601" s="50">
        <v>1</v>
      </c>
      <c r="K1601" s="50">
        <v>4</v>
      </c>
      <c r="L1601" s="48" t="s">
        <v>2149</v>
      </c>
    </row>
    <row r="1602" spans="1:12" x14ac:dyDescent="0.35">
      <c r="A1602" s="9">
        <v>1</v>
      </c>
      <c r="B1602" s="50" t="s">
        <v>187</v>
      </c>
      <c r="C1602" s="53">
        <v>43851</v>
      </c>
      <c r="D1602" s="53">
        <v>43905</v>
      </c>
      <c r="E1602" s="53">
        <v>43973</v>
      </c>
      <c r="F1602" s="21">
        <f t="shared" si="485"/>
        <v>68</v>
      </c>
      <c r="G1602" s="53">
        <v>43905</v>
      </c>
      <c r="H1602" s="9">
        <v>2021</v>
      </c>
      <c r="I1602" s="9">
        <v>1</v>
      </c>
      <c r="J1602" s="50">
        <v>6</v>
      </c>
      <c r="K1602" s="9">
        <v>25</v>
      </c>
      <c r="L1602" s="48" t="s">
        <v>2150</v>
      </c>
    </row>
    <row r="1603" spans="1:12" x14ac:dyDescent="0.35">
      <c r="A1603" s="9">
        <v>1</v>
      </c>
      <c r="B1603" s="50" t="s">
        <v>187</v>
      </c>
      <c r="C1603" s="53">
        <v>43851</v>
      </c>
      <c r="D1603" s="53">
        <v>43905</v>
      </c>
      <c r="E1603" s="53">
        <v>43973</v>
      </c>
      <c r="F1603" s="21">
        <f t="shared" si="485"/>
        <v>68</v>
      </c>
      <c r="G1603" s="53">
        <v>43905</v>
      </c>
      <c r="H1603" s="9">
        <v>2021</v>
      </c>
      <c r="I1603" s="9">
        <v>1</v>
      </c>
      <c r="J1603" s="50">
        <v>6</v>
      </c>
      <c r="K1603" s="50">
        <v>26</v>
      </c>
      <c r="L1603" s="48" t="s">
        <v>2151</v>
      </c>
    </row>
    <row r="1604" spans="1:12" x14ac:dyDescent="0.35">
      <c r="A1604" s="9">
        <v>1</v>
      </c>
      <c r="B1604" s="50" t="s">
        <v>187</v>
      </c>
      <c r="C1604" s="53">
        <v>43851</v>
      </c>
      <c r="D1604" s="53">
        <v>43905</v>
      </c>
      <c r="E1604" s="53">
        <v>43973</v>
      </c>
      <c r="F1604" s="21">
        <f t="shared" si="485"/>
        <v>68</v>
      </c>
      <c r="G1604" s="53">
        <v>43905</v>
      </c>
      <c r="H1604" s="9">
        <v>2021</v>
      </c>
      <c r="I1604" s="9">
        <v>1</v>
      </c>
      <c r="J1604" s="50">
        <v>2</v>
      </c>
      <c r="K1604" s="9" t="s">
        <v>206</v>
      </c>
      <c r="L1604" s="48" t="s">
        <v>2152</v>
      </c>
    </row>
    <row r="1605" spans="1:12" x14ac:dyDescent="0.35">
      <c r="A1605" s="9">
        <v>1</v>
      </c>
      <c r="B1605" s="50" t="s">
        <v>187</v>
      </c>
      <c r="C1605" s="53">
        <v>43851</v>
      </c>
      <c r="D1605" s="53">
        <v>43905</v>
      </c>
      <c r="E1605" s="53">
        <v>43973</v>
      </c>
      <c r="F1605" s="21">
        <f t="shared" si="485"/>
        <v>68</v>
      </c>
      <c r="G1605" s="53">
        <v>43905</v>
      </c>
      <c r="H1605" s="9">
        <v>2021</v>
      </c>
      <c r="I1605" s="9">
        <v>1</v>
      </c>
      <c r="J1605" s="50">
        <v>9</v>
      </c>
      <c r="K1605" s="50">
        <v>34</v>
      </c>
      <c r="L1605" s="48" t="s">
        <v>2153</v>
      </c>
    </row>
    <row r="1606" spans="1:12" x14ac:dyDescent="0.35">
      <c r="A1606" s="9">
        <v>1</v>
      </c>
      <c r="B1606" s="50" t="s">
        <v>187</v>
      </c>
      <c r="C1606" s="53">
        <v>43851</v>
      </c>
      <c r="D1606" s="53">
        <v>43905</v>
      </c>
      <c r="E1606" s="53">
        <v>43973</v>
      </c>
      <c r="F1606" s="21">
        <f t="shared" si="485"/>
        <v>68</v>
      </c>
      <c r="G1606" s="53">
        <v>43905</v>
      </c>
      <c r="H1606" s="9">
        <v>2021</v>
      </c>
      <c r="I1606" s="9">
        <v>1</v>
      </c>
      <c r="J1606" s="50">
        <v>7</v>
      </c>
      <c r="K1606" s="9">
        <v>31</v>
      </c>
      <c r="L1606" s="48" t="s">
        <v>2154</v>
      </c>
    </row>
    <row r="1607" spans="1:12" x14ac:dyDescent="0.35">
      <c r="A1607" s="9">
        <v>1</v>
      </c>
      <c r="B1607" s="50" t="s">
        <v>187</v>
      </c>
      <c r="C1607" s="53">
        <v>43851</v>
      </c>
      <c r="D1607" s="53">
        <v>43905</v>
      </c>
      <c r="E1607" s="53">
        <v>43973</v>
      </c>
      <c r="F1607" s="21">
        <f t="shared" si="485"/>
        <v>68</v>
      </c>
      <c r="G1607" s="53">
        <v>43905</v>
      </c>
      <c r="H1607" s="9">
        <v>2021</v>
      </c>
      <c r="I1607" s="9">
        <v>1</v>
      </c>
      <c r="J1607" s="50">
        <v>6</v>
      </c>
      <c r="K1607" s="50">
        <v>28</v>
      </c>
      <c r="L1607" s="48" t="s">
        <v>2155</v>
      </c>
    </row>
    <row r="1608" spans="1:12" x14ac:dyDescent="0.35">
      <c r="A1608" s="9">
        <v>1</v>
      </c>
      <c r="B1608" s="50" t="s">
        <v>187</v>
      </c>
      <c r="C1608" s="53">
        <v>43851</v>
      </c>
      <c r="D1608" s="53">
        <v>43905</v>
      </c>
      <c r="E1608" s="53">
        <v>43973</v>
      </c>
      <c r="F1608" s="21">
        <f t="shared" si="485"/>
        <v>68</v>
      </c>
      <c r="G1608" s="53">
        <v>43905</v>
      </c>
      <c r="H1608" s="9">
        <v>2021</v>
      </c>
      <c r="I1608" s="9">
        <v>1</v>
      </c>
      <c r="J1608" s="50">
        <v>1</v>
      </c>
      <c r="K1608" s="9">
        <v>4</v>
      </c>
      <c r="L1608" s="48" t="s">
        <v>2156</v>
      </c>
    </row>
    <row r="1609" spans="1:12" x14ac:dyDescent="0.35">
      <c r="A1609" s="9">
        <v>1</v>
      </c>
      <c r="B1609" s="50" t="s">
        <v>187</v>
      </c>
      <c r="C1609" s="53">
        <v>43851</v>
      </c>
      <c r="D1609" s="53">
        <v>43905</v>
      </c>
      <c r="E1609" s="53">
        <v>43973</v>
      </c>
      <c r="F1609" s="21">
        <f t="shared" si="485"/>
        <v>68</v>
      </c>
      <c r="G1609" s="53">
        <v>43905</v>
      </c>
      <c r="H1609" s="9">
        <v>2021</v>
      </c>
      <c r="I1609" s="9">
        <v>1</v>
      </c>
      <c r="J1609" s="50">
        <v>6</v>
      </c>
      <c r="K1609" s="50">
        <v>25</v>
      </c>
      <c r="L1609" s="48" t="s">
        <v>2157</v>
      </c>
    </row>
    <row r="1610" spans="1:12" x14ac:dyDescent="0.35">
      <c r="A1610" s="9">
        <v>1</v>
      </c>
      <c r="B1610" s="50" t="s">
        <v>187</v>
      </c>
      <c r="C1610" s="53">
        <v>43851</v>
      </c>
      <c r="D1610" s="53">
        <v>43905</v>
      </c>
      <c r="E1610" s="53">
        <v>43973</v>
      </c>
      <c r="F1610" s="21">
        <f t="shared" si="485"/>
        <v>68</v>
      </c>
      <c r="G1610" s="53">
        <v>43905</v>
      </c>
      <c r="H1610" s="9">
        <v>2021</v>
      </c>
      <c r="I1610" s="9">
        <v>1</v>
      </c>
      <c r="J1610" s="50">
        <v>2</v>
      </c>
      <c r="K1610" s="9">
        <v>18</v>
      </c>
      <c r="L1610" s="48" t="s">
        <v>2158</v>
      </c>
    </row>
    <row r="1611" spans="1:12" x14ac:dyDescent="0.35">
      <c r="A1611" s="9">
        <v>1</v>
      </c>
      <c r="B1611" s="50" t="s">
        <v>187</v>
      </c>
      <c r="C1611" s="53">
        <v>43851</v>
      </c>
      <c r="D1611" s="53">
        <v>43905</v>
      </c>
      <c r="E1611" s="53">
        <v>43973</v>
      </c>
      <c r="F1611" s="21">
        <f t="shared" si="485"/>
        <v>68</v>
      </c>
      <c r="G1611" s="53">
        <v>43905</v>
      </c>
      <c r="H1611" s="9">
        <v>2021</v>
      </c>
      <c r="I1611" s="9">
        <v>1</v>
      </c>
      <c r="J1611" s="50">
        <v>2</v>
      </c>
      <c r="K1611" s="50">
        <v>18</v>
      </c>
      <c r="L1611" s="48" t="s">
        <v>2159</v>
      </c>
    </row>
    <row r="1612" spans="1:12" x14ac:dyDescent="0.35">
      <c r="A1612" s="9">
        <v>1</v>
      </c>
      <c r="B1612" s="50" t="s">
        <v>187</v>
      </c>
      <c r="C1612" s="53">
        <v>43851</v>
      </c>
      <c r="D1612" s="53">
        <v>43905</v>
      </c>
      <c r="E1612" s="53">
        <v>43973</v>
      </c>
      <c r="F1612" s="21">
        <f t="shared" si="485"/>
        <v>68</v>
      </c>
      <c r="G1612" s="53">
        <v>43905</v>
      </c>
      <c r="H1612" s="9">
        <v>2021</v>
      </c>
      <c r="I1612" s="9">
        <v>1</v>
      </c>
      <c r="J1612" s="50">
        <v>2</v>
      </c>
      <c r="K1612" s="9">
        <v>18</v>
      </c>
      <c r="L1612" s="48" t="s">
        <v>2160</v>
      </c>
    </row>
    <row r="1613" spans="1:12" x14ac:dyDescent="0.35">
      <c r="A1613" s="9">
        <v>1</v>
      </c>
      <c r="B1613" s="50" t="s">
        <v>187</v>
      </c>
      <c r="C1613" s="53">
        <v>43851</v>
      </c>
      <c r="D1613" s="53">
        <v>43905</v>
      </c>
      <c r="E1613" s="53">
        <v>43973</v>
      </c>
      <c r="F1613" s="21">
        <f t="shared" si="485"/>
        <v>68</v>
      </c>
      <c r="G1613" s="53">
        <v>43905</v>
      </c>
      <c r="H1613" s="9">
        <v>2021</v>
      </c>
      <c r="I1613" s="9">
        <v>1</v>
      </c>
      <c r="J1613" s="50">
        <v>2</v>
      </c>
      <c r="K1613" s="50">
        <v>18</v>
      </c>
      <c r="L1613" s="48" t="s">
        <v>2161</v>
      </c>
    </row>
    <row r="1614" spans="1:12" x14ac:dyDescent="0.35">
      <c r="A1614" s="9">
        <v>1</v>
      </c>
      <c r="B1614" s="50" t="s">
        <v>187</v>
      </c>
      <c r="C1614" s="53">
        <v>43851</v>
      </c>
      <c r="D1614" s="53">
        <v>43905</v>
      </c>
      <c r="E1614" s="53">
        <v>43973</v>
      </c>
      <c r="F1614" s="21">
        <f t="shared" si="485"/>
        <v>68</v>
      </c>
      <c r="G1614" s="53">
        <v>43905</v>
      </c>
      <c r="H1614" s="9">
        <v>2021</v>
      </c>
      <c r="I1614" s="9">
        <v>1</v>
      </c>
      <c r="J1614" s="50">
        <v>6</v>
      </c>
      <c r="K1614" s="9">
        <v>28</v>
      </c>
      <c r="L1614" s="48" t="s">
        <v>2162</v>
      </c>
    </row>
    <row r="1615" spans="1:12" x14ac:dyDescent="0.35">
      <c r="A1615" s="9">
        <v>1</v>
      </c>
      <c r="B1615" s="50" t="s">
        <v>187</v>
      </c>
      <c r="C1615" s="53">
        <v>43851</v>
      </c>
      <c r="D1615" s="53">
        <v>43905</v>
      </c>
      <c r="E1615" s="53">
        <v>43973</v>
      </c>
      <c r="F1615" s="21">
        <f t="shared" si="485"/>
        <v>68</v>
      </c>
      <c r="G1615" s="53">
        <v>43905</v>
      </c>
      <c r="H1615" s="9">
        <v>2021</v>
      </c>
      <c r="I1615" s="9">
        <v>1</v>
      </c>
      <c r="J1615" s="50">
        <v>9</v>
      </c>
      <c r="K1615" s="50">
        <v>34</v>
      </c>
      <c r="L1615" s="48" t="s">
        <v>2163</v>
      </c>
    </row>
    <row r="1616" spans="1:12" x14ac:dyDescent="0.35">
      <c r="A1616" s="9">
        <v>1</v>
      </c>
      <c r="B1616" s="50" t="s">
        <v>187</v>
      </c>
      <c r="C1616" s="53">
        <v>43851</v>
      </c>
      <c r="D1616" s="53">
        <v>43905</v>
      </c>
      <c r="E1616" s="53">
        <v>43973</v>
      </c>
      <c r="F1616" s="21">
        <f t="shared" ref="F1616:F1624" si="486">DATEDIF(D1616,E1616,"D")</f>
        <v>68</v>
      </c>
      <c r="G1616" s="53">
        <v>43905</v>
      </c>
      <c r="H1616" s="9">
        <v>2021</v>
      </c>
      <c r="I1616" s="9">
        <v>1</v>
      </c>
      <c r="J1616" s="50">
        <v>7</v>
      </c>
      <c r="K1616" s="50">
        <v>30</v>
      </c>
      <c r="L1616" s="48" t="s">
        <v>2164</v>
      </c>
    </row>
    <row r="1617" spans="1:12" x14ac:dyDescent="0.35">
      <c r="A1617" s="9">
        <v>1</v>
      </c>
      <c r="B1617" s="50" t="s">
        <v>187</v>
      </c>
      <c r="C1617" s="53">
        <v>43851</v>
      </c>
      <c r="D1617" s="53">
        <v>43905</v>
      </c>
      <c r="E1617" s="53">
        <v>43973</v>
      </c>
      <c r="F1617" s="21">
        <f t="shared" si="486"/>
        <v>68</v>
      </c>
      <c r="G1617" s="53">
        <v>43905</v>
      </c>
      <c r="H1617" s="9">
        <v>2021</v>
      </c>
      <c r="I1617" s="9">
        <v>1</v>
      </c>
      <c r="J1617" s="50">
        <v>4</v>
      </c>
      <c r="K1617" s="9" t="s">
        <v>201</v>
      </c>
      <c r="L1617" s="48" t="s">
        <v>2165</v>
      </c>
    </row>
    <row r="1618" spans="1:12" x14ac:dyDescent="0.35">
      <c r="A1618" s="9">
        <v>1</v>
      </c>
      <c r="B1618" s="50" t="s">
        <v>187</v>
      </c>
      <c r="C1618" s="53">
        <v>43851</v>
      </c>
      <c r="D1618" s="53">
        <v>43905</v>
      </c>
      <c r="E1618" s="53">
        <v>43973</v>
      </c>
      <c r="F1618" s="21">
        <f t="shared" si="486"/>
        <v>68</v>
      </c>
      <c r="G1618" s="53">
        <v>43905</v>
      </c>
      <c r="H1618" s="9">
        <v>2021</v>
      </c>
      <c r="I1618" s="9">
        <v>1</v>
      </c>
      <c r="J1618" s="50">
        <v>9</v>
      </c>
      <c r="K1618" s="9">
        <v>34</v>
      </c>
      <c r="L1618" s="48" t="s">
        <v>2166</v>
      </c>
    </row>
    <row r="1619" spans="1:12" x14ac:dyDescent="0.35">
      <c r="A1619" s="9">
        <v>1</v>
      </c>
      <c r="B1619" s="50" t="s">
        <v>187</v>
      </c>
      <c r="C1619" s="53">
        <v>43851</v>
      </c>
      <c r="D1619" s="53">
        <v>43905</v>
      </c>
      <c r="E1619" s="53">
        <v>43973</v>
      </c>
      <c r="F1619" s="21">
        <f t="shared" si="486"/>
        <v>68</v>
      </c>
      <c r="G1619" s="53">
        <v>43905</v>
      </c>
      <c r="H1619" s="9">
        <v>2021</v>
      </c>
      <c r="I1619" s="9">
        <v>1</v>
      </c>
      <c r="J1619" s="50">
        <v>6</v>
      </c>
      <c r="K1619" s="9">
        <v>25</v>
      </c>
      <c r="L1619" s="48" t="s">
        <v>2167</v>
      </c>
    </row>
    <row r="1620" spans="1:12" x14ac:dyDescent="0.35">
      <c r="A1620" s="9">
        <v>1</v>
      </c>
      <c r="B1620" s="50" t="s">
        <v>187</v>
      </c>
      <c r="C1620" s="53">
        <v>43851</v>
      </c>
      <c r="D1620" s="53">
        <v>43905</v>
      </c>
      <c r="E1620" s="53">
        <v>43973</v>
      </c>
      <c r="F1620" s="21">
        <f t="shared" si="486"/>
        <v>68</v>
      </c>
      <c r="G1620" s="53">
        <v>43905</v>
      </c>
      <c r="H1620" s="9">
        <v>2021</v>
      </c>
      <c r="I1620" s="9">
        <v>1</v>
      </c>
      <c r="J1620" s="50">
        <v>6</v>
      </c>
      <c r="K1620" s="9">
        <v>29</v>
      </c>
      <c r="L1620" s="48" t="s">
        <v>2168</v>
      </c>
    </row>
    <row r="1621" spans="1:12" x14ac:dyDescent="0.35">
      <c r="A1621" s="9">
        <v>1</v>
      </c>
      <c r="B1621" s="50" t="s">
        <v>187</v>
      </c>
      <c r="C1621" s="53">
        <v>43851</v>
      </c>
      <c r="D1621" s="53">
        <v>43905</v>
      </c>
      <c r="E1621" s="53">
        <v>43973</v>
      </c>
      <c r="F1621" s="21">
        <f t="shared" si="486"/>
        <v>68</v>
      </c>
      <c r="G1621" s="53">
        <v>43905</v>
      </c>
      <c r="H1621" s="9">
        <v>2021</v>
      </c>
      <c r="I1621" s="9">
        <v>1</v>
      </c>
      <c r="J1621" s="50">
        <v>7</v>
      </c>
      <c r="K1621" s="9">
        <v>31</v>
      </c>
      <c r="L1621" s="48" t="s">
        <v>2169</v>
      </c>
    </row>
    <row r="1622" spans="1:12" x14ac:dyDescent="0.35">
      <c r="A1622" s="9">
        <v>1</v>
      </c>
      <c r="B1622" s="50" t="s">
        <v>187</v>
      </c>
      <c r="C1622" s="53">
        <v>43851</v>
      </c>
      <c r="D1622" s="53">
        <v>43905</v>
      </c>
      <c r="E1622" s="53">
        <v>43973</v>
      </c>
      <c r="F1622" s="21">
        <f t="shared" si="486"/>
        <v>68</v>
      </c>
      <c r="G1622" s="53">
        <v>43905</v>
      </c>
      <c r="H1622" s="9">
        <v>2021</v>
      </c>
      <c r="I1622" s="9">
        <v>1</v>
      </c>
      <c r="J1622" s="50">
        <v>7</v>
      </c>
      <c r="K1622" s="9">
        <v>30</v>
      </c>
      <c r="L1622" s="48" t="s">
        <v>2170</v>
      </c>
    </row>
    <row r="1623" spans="1:12" x14ac:dyDescent="0.35">
      <c r="A1623" s="9">
        <v>1</v>
      </c>
      <c r="B1623" s="50" t="s">
        <v>187</v>
      </c>
      <c r="C1623" s="53">
        <v>43851</v>
      </c>
      <c r="D1623" s="53">
        <v>43905</v>
      </c>
      <c r="E1623" s="53">
        <v>43973</v>
      </c>
      <c r="F1623" s="21">
        <f t="shared" si="486"/>
        <v>68</v>
      </c>
      <c r="G1623" s="53">
        <v>43905</v>
      </c>
      <c r="H1623" s="9">
        <v>2021</v>
      </c>
      <c r="I1623" s="9">
        <v>1</v>
      </c>
      <c r="J1623" s="50">
        <v>9</v>
      </c>
      <c r="K1623" s="9">
        <v>34</v>
      </c>
      <c r="L1623" s="48" t="s">
        <v>2171</v>
      </c>
    </row>
    <row r="1624" spans="1:12" x14ac:dyDescent="0.35">
      <c r="A1624" s="9">
        <v>1</v>
      </c>
      <c r="B1624" s="50" t="s">
        <v>187</v>
      </c>
      <c r="C1624" s="53">
        <v>43851</v>
      </c>
      <c r="D1624" s="53">
        <v>43905</v>
      </c>
      <c r="E1624" s="53">
        <v>43973</v>
      </c>
      <c r="F1624" s="21">
        <f t="shared" si="486"/>
        <v>68</v>
      </c>
      <c r="G1624" s="53">
        <v>43905</v>
      </c>
      <c r="H1624" s="9">
        <v>2021</v>
      </c>
      <c r="I1624" s="9">
        <v>1</v>
      </c>
      <c r="J1624" s="50">
        <v>9</v>
      </c>
      <c r="K1624" s="9">
        <v>34</v>
      </c>
      <c r="L1624" s="48" t="s">
        <v>2172</v>
      </c>
    </row>
    <row r="1660" spans="12:12" x14ac:dyDescent="0.35">
      <c r="L1660" s="48"/>
    </row>
    <row r="1661" spans="12:12" x14ac:dyDescent="0.35">
      <c r="L1661" s="48"/>
    </row>
    <row r="1662" spans="12:12" x14ac:dyDescent="0.35">
      <c r="L1662" s="49"/>
    </row>
    <row r="1663" spans="12:12" x14ac:dyDescent="0.35">
      <c r="L1663" s="48"/>
    </row>
    <row r="1664" spans="12:12" x14ac:dyDescent="0.35">
      <c r="L1664" s="48"/>
    </row>
    <row r="1665" spans="12:12" x14ac:dyDescent="0.35">
      <c r="L1665" s="48"/>
    </row>
    <row r="1666" spans="12:12" x14ac:dyDescent="0.35">
      <c r="L1666" s="48"/>
    </row>
    <row r="1667" spans="12:12" x14ac:dyDescent="0.35">
      <c r="L1667" s="48"/>
    </row>
    <row r="1668" spans="12:12" x14ac:dyDescent="0.35">
      <c r="L1668" s="48"/>
    </row>
    <row r="1669" spans="12:12" x14ac:dyDescent="0.35">
      <c r="L1669" s="48"/>
    </row>
    <row r="1670" spans="12:12" x14ac:dyDescent="0.35">
      <c r="L1670" s="48"/>
    </row>
    <row r="1671" spans="12:12" x14ac:dyDescent="0.35">
      <c r="L1671" s="48"/>
    </row>
    <row r="1672" spans="12:12" x14ac:dyDescent="0.35">
      <c r="L1672" s="48"/>
    </row>
    <row r="1673" spans="12:12" x14ac:dyDescent="0.35">
      <c r="L1673" s="48"/>
    </row>
    <row r="1674" spans="12:12" x14ac:dyDescent="0.35">
      <c r="L1674" s="48"/>
    </row>
    <row r="1675" spans="12:12" x14ac:dyDescent="0.35">
      <c r="L1675" s="48"/>
    </row>
    <row r="1676" spans="12:12" x14ac:dyDescent="0.35">
      <c r="L1676" s="48"/>
    </row>
    <row r="1677" spans="12:12" x14ac:dyDescent="0.35">
      <c r="L1677" s="48"/>
    </row>
    <row r="1678" spans="12:12" x14ac:dyDescent="0.35">
      <c r="L1678" s="48"/>
    </row>
    <row r="1679" spans="12:12" x14ac:dyDescent="0.35">
      <c r="L1679" s="48"/>
    </row>
    <row r="1680" spans="12:12" x14ac:dyDescent="0.35">
      <c r="L1680" s="48"/>
    </row>
    <row r="1681" spans="12:12" x14ac:dyDescent="0.35">
      <c r="L1681" s="48"/>
    </row>
    <row r="1682" spans="12:12" x14ac:dyDescent="0.35">
      <c r="L1682" s="48"/>
    </row>
    <row r="1683" spans="12:12" x14ac:dyDescent="0.35">
      <c r="L1683" s="48"/>
    </row>
    <row r="1684" spans="12:12" x14ac:dyDescent="0.35">
      <c r="L1684" s="48"/>
    </row>
    <row r="1685" spans="12:12" x14ac:dyDescent="0.35">
      <c r="L1685" s="48"/>
    </row>
    <row r="1686" spans="12:12" x14ac:dyDescent="0.35">
      <c r="L1686" s="48"/>
    </row>
    <row r="1687" spans="12:12" x14ac:dyDescent="0.35">
      <c r="L1687" s="48"/>
    </row>
    <row r="1688" spans="12:12" x14ac:dyDescent="0.35">
      <c r="L1688" s="48"/>
    </row>
  </sheetData>
  <autoFilter ref="B1:AK1624" xr:uid="{8C2DCCD2-6FE5-4826-AD0F-62673A342008}">
    <sortState xmlns:xlrd2="http://schemas.microsoft.com/office/spreadsheetml/2017/richdata2" ref="B2:AK1588">
      <sortCondition ref="B1:B1588"/>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151C5-1947-44BD-B4A8-E1D38E5C603A}">
  <dimension ref="A1:E46"/>
  <sheetViews>
    <sheetView topLeftCell="A9" workbookViewId="0">
      <selection activeCell="F30" sqref="F30"/>
    </sheetView>
  </sheetViews>
  <sheetFormatPr defaultColWidth="8.7265625" defaultRowHeight="14.5" x14ac:dyDescent="0.35"/>
  <cols>
    <col min="1" max="1" width="8.7265625" style="58"/>
    <col min="2" max="2" width="39.453125" style="58" customWidth="1"/>
    <col min="3" max="3" width="53.6328125" style="58" customWidth="1"/>
    <col min="4" max="4" width="21.90625" style="58" customWidth="1"/>
    <col min="5" max="16384" width="8.7265625" style="58"/>
  </cols>
  <sheetData>
    <row r="1" spans="1:5" x14ac:dyDescent="0.35">
      <c r="A1" s="62" t="s">
        <v>203</v>
      </c>
      <c r="B1" s="62" t="s">
        <v>2228</v>
      </c>
      <c r="C1" s="62" t="s">
        <v>200</v>
      </c>
      <c r="D1" s="62" t="s">
        <v>2227</v>
      </c>
      <c r="E1" s="62" t="s">
        <v>2226</v>
      </c>
    </row>
    <row r="2" spans="1:5" x14ac:dyDescent="0.35">
      <c r="A2" s="58">
        <v>1</v>
      </c>
      <c r="B2" s="58" t="s">
        <v>1033</v>
      </c>
      <c r="C2" s="58" t="s">
        <v>2214</v>
      </c>
      <c r="D2" s="58" t="s">
        <v>2176</v>
      </c>
      <c r="E2" s="58" t="s">
        <v>2225</v>
      </c>
    </row>
    <row r="3" spans="1:5" x14ac:dyDescent="0.35">
      <c r="A3" s="58">
        <v>2</v>
      </c>
      <c r="B3" s="58" t="s">
        <v>1045</v>
      </c>
      <c r="C3" s="58" t="s">
        <v>2214</v>
      </c>
      <c r="D3" s="58" t="s">
        <v>2176</v>
      </c>
      <c r="E3" s="58" t="s">
        <v>2224</v>
      </c>
    </row>
    <row r="4" spans="1:5" x14ac:dyDescent="0.35">
      <c r="A4" s="58">
        <v>3</v>
      </c>
      <c r="B4" s="58" t="s">
        <v>1053</v>
      </c>
      <c r="C4" s="58" t="s">
        <v>2214</v>
      </c>
      <c r="D4" s="58" t="s">
        <v>2176</v>
      </c>
      <c r="E4" s="58" t="s">
        <v>2209</v>
      </c>
    </row>
    <row r="5" spans="1:5" s="61" customFormat="1" x14ac:dyDescent="0.35">
      <c r="A5" s="61">
        <v>4</v>
      </c>
      <c r="B5" s="61" t="s">
        <v>1046</v>
      </c>
      <c r="C5" s="61" t="s">
        <v>2214</v>
      </c>
      <c r="D5" s="61" t="s">
        <v>2176</v>
      </c>
      <c r="E5" s="61" t="s">
        <v>2208</v>
      </c>
    </row>
    <row r="6" spans="1:5" s="60" customFormat="1" x14ac:dyDescent="0.35">
      <c r="A6" s="60">
        <v>5</v>
      </c>
      <c r="B6" s="60" t="s">
        <v>1047</v>
      </c>
      <c r="C6" s="60" t="s">
        <v>2214</v>
      </c>
      <c r="D6" s="60" t="s">
        <v>2184</v>
      </c>
      <c r="E6" s="60" t="s">
        <v>2223</v>
      </c>
    </row>
    <row r="7" spans="1:5" s="60" customFormat="1" x14ac:dyDescent="0.35">
      <c r="A7" s="60">
        <v>6</v>
      </c>
      <c r="B7" s="60" t="s">
        <v>1048</v>
      </c>
      <c r="C7" s="60" t="s">
        <v>2214</v>
      </c>
      <c r="D7" s="60" t="s">
        <v>2184</v>
      </c>
      <c r="E7" s="60" t="s">
        <v>2222</v>
      </c>
    </row>
    <row r="8" spans="1:5" x14ac:dyDescent="0.35">
      <c r="A8" s="58">
        <v>7</v>
      </c>
      <c r="B8" s="58" t="s">
        <v>1049</v>
      </c>
      <c r="C8" s="58" t="s">
        <v>2214</v>
      </c>
      <c r="D8" s="58" t="s">
        <v>2176</v>
      </c>
      <c r="E8" s="58" t="s">
        <v>2221</v>
      </c>
    </row>
    <row r="9" spans="1:5" x14ac:dyDescent="0.35">
      <c r="A9" s="58">
        <v>8</v>
      </c>
      <c r="B9" s="58" t="s">
        <v>1034</v>
      </c>
      <c r="C9" s="58" t="s">
        <v>2214</v>
      </c>
      <c r="D9" s="58" t="s">
        <v>2176</v>
      </c>
      <c r="E9" s="58" t="s">
        <v>2220</v>
      </c>
    </row>
    <row r="10" spans="1:5" s="60" customFormat="1" x14ac:dyDescent="0.35">
      <c r="A10" s="60">
        <v>9</v>
      </c>
      <c r="B10" s="60" t="s">
        <v>1050</v>
      </c>
      <c r="C10" s="60" t="s">
        <v>2214</v>
      </c>
      <c r="D10" s="60" t="s">
        <v>2184</v>
      </c>
      <c r="E10" s="60" t="s">
        <v>2219</v>
      </c>
    </row>
    <row r="11" spans="1:5" s="60" customFormat="1" x14ac:dyDescent="0.35">
      <c r="A11" s="60">
        <v>10</v>
      </c>
      <c r="B11" s="60" t="s">
        <v>1051</v>
      </c>
      <c r="C11" s="60" t="s">
        <v>2214</v>
      </c>
      <c r="D11" s="60" t="s">
        <v>2184</v>
      </c>
      <c r="E11" s="60" t="s">
        <v>2218</v>
      </c>
    </row>
    <row r="12" spans="1:5" s="60" customFormat="1" x14ac:dyDescent="0.35">
      <c r="A12" s="60">
        <v>11</v>
      </c>
      <c r="B12" s="60" t="s">
        <v>1052</v>
      </c>
      <c r="C12" s="60" t="s">
        <v>2214</v>
      </c>
      <c r="D12" s="60" t="s">
        <v>2184</v>
      </c>
      <c r="E12" s="60" t="s">
        <v>2217</v>
      </c>
    </row>
    <row r="13" spans="1:5" s="60" customFormat="1" x14ac:dyDescent="0.35">
      <c r="A13" s="60">
        <v>12</v>
      </c>
      <c r="B13" s="60" t="s">
        <v>1035</v>
      </c>
      <c r="C13" s="60" t="s">
        <v>2214</v>
      </c>
      <c r="D13" s="60" t="s">
        <v>2184</v>
      </c>
      <c r="E13" s="60" t="s">
        <v>2216</v>
      </c>
    </row>
    <row r="14" spans="1:5" s="59" customFormat="1" x14ac:dyDescent="0.35">
      <c r="A14" s="59" t="s">
        <v>206</v>
      </c>
      <c r="B14" s="59" t="s">
        <v>1068</v>
      </c>
      <c r="C14" s="59" t="s">
        <v>2214</v>
      </c>
      <c r="D14" s="59" t="s">
        <v>2181</v>
      </c>
      <c r="E14" s="59" t="s">
        <v>2215</v>
      </c>
    </row>
    <row r="15" spans="1:5" s="61" customFormat="1" x14ac:dyDescent="0.35">
      <c r="A15" s="61" t="s">
        <v>201</v>
      </c>
      <c r="B15" s="61" t="s">
        <v>1069</v>
      </c>
      <c r="C15" s="61" t="s">
        <v>2214</v>
      </c>
      <c r="D15" s="61" t="s">
        <v>2201</v>
      </c>
      <c r="E15" s="61" t="s">
        <v>2200</v>
      </c>
    </row>
    <row r="16" spans="1:5" s="60" customFormat="1" x14ac:dyDescent="0.35">
      <c r="A16" s="60">
        <v>13</v>
      </c>
      <c r="B16" s="60" t="s">
        <v>1047</v>
      </c>
      <c r="C16" s="60" t="s">
        <v>2207</v>
      </c>
      <c r="D16" s="60" t="s">
        <v>2184</v>
      </c>
      <c r="E16" s="60" t="s">
        <v>2213</v>
      </c>
    </row>
    <row r="17" spans="1:5" s="60" customFormat="1" x14ac:dyDescent="0.35">
      <c r="A17" s="60">
        <v>14</v>
      </c>
      <c r="B17" s="60" t="s">
        <v>1048</v>
      </c>
      <c r="C17" s="60" t="s">
        <v>2207</v>
      </c>
      <c r="D17" s="60" t="s">
        <v>2184</v>
      </c>
      <c r="E17" s="60" t="s">
        <v>2212</v>
      </c>
    </row>
    <row r="18" spans="1:5" x14ac:dyDescent="0.35">
      <c r="A18" s="58">
        <v>15</v>
      </c>
      <c r="B18" s="58" t="s">
        <v>1049</v>
      </c>
      <c r="C18" s="58" t="s">
        <v>2207</v>
      </c>
      <c r="D18" s="58" t="s">
        <v>2176</v>
      </c>
      <c r="E18" s="58" t="s">
        <v>2211</v>
      </c>
    </row>
    <row r="19" spans="1:5" x14ac:dyDescent="0.35">
      <c r="A19" s="58">
        <v>16</v>
      </c>
      <c r="B19" s="58" t="s">
        <v>1034</v>
      </c>
      <c r="C19" s="58" t="s">
        <v>2207</v>
      </c>
      <c r="D19" s="58" t="s">
        <v>2176</v>
      </c>
      <c r="E19" s="58" t="s">
        <v>2210</v>
      </c>
    </row>
    <row r="20" spans="1:5" x14ac:dyDescent="0.35">
      <c r="A20" s="58">
        <v>17</v>
      </c>
      <c r="B20" s="58" t="s">
        <v>1053</v>
      </c>
      <c r="C20" s="58" t="s">
        <v>2207</v>
      </c>
      <c r="D20" s="58" t="s">
        <v>2176</v>
      </c>
      <c r="E20" s="58" t="s">
        <v>2209</v>
      </c>
    </row>
    <row r="21" spans="1:5" s="61" customFormat="1" x14ac:dyDescent="0.35">
      <c r="A21" s="61">
        <v>18</v>
      </c>
      <c r="B21" s="61" t="s">
        <v>1046</v>
      </c>
      <c r="C21" s="61" t="s">
        <v>2207</v>
      </c>
      <c r="D21" s="61" t="s">
        <v>2176</v>
      </c>
      <c r="E21" s="61" t="s">
        <v>2208</v>
      </c>
    </row>
    <row r="22" spans="1:5" s="59" customFormat="1" x14ac:dyDescent="0.35">
      <c r="A22" s="59" t="s">
        <v>206</v>
      </c>
      <c r="B22" s="59" t="s">
        <v>1068</v>
      </c>
      <c r="C22" s="59" t="s">
        <v>2207</v>
      </c>
      <c r="D22" s="59" t="s">
        <v>2181</v>
      </c>
      <c r="E22" s="59" t="s">
        <v>2203</v>
      </c>
    </row>
    <row r="23" spans="1:5" s="61" customFormat="1" x14ac:dyDescent="0.35">
      <c r="A23" s="61" t="s">
        <v>201</v>
      </c>
      <c r="B23" s="61" t="s">
        <v>1069</v>
      </c>
      <c r="C23" s="61" t="s">
        <v>2207</v>
      </c>
      <c r="D23" s="61" t="s">
        <v>2201</v>
      </c>
      <c r="E23" s="61" t="s">
        <v>2200</v>
      </c>
    </row>
    <row r="24" spans="1:5" x14ac:dyDescent="0.35">
      <c r="A24" s="58">
        <v>19</v>
      </c>
      <c r="B24" s="58" t="s">
        <v>1054</v>
      </c>
      <c r="C24" s="58" t="s">
        <v>2205</v>
      </c>
      <c r="D24" s="58" t="s">
        <v>2176</v>
      </c>
      <c r="E24" s="58" t="s">
        <v>2206</v>
      </c>
    </row>
    <row r="25" spans="1:5" s="59" customFormat="1" x14ac:dyDescent="0.35">
      <c r="A25" s="59" t="s">
        <v>206</v>
      </c>
      <c r="B25" s="59" t="s">
        <v>1068</v>
      </c>
      <c r="C25" s="59" t="s">
        <v>2205</v>
      </c>
      <c r="D25" s="59" t="s">
        <v>2181</v>
      </c>
      <c r="E25" s="59" t="s">
        <v>2203</v>
      </c>
    </row>
    <row r="26" spans="1:5" s="61" customFormat="1" x14ac:dyDescent="0.35">
      <c r="A26" s="61" t="s">
        <v>201</v>
      </c>
      <c r="B26" s="61" t="s">
        <v>1069</v>
      </c>
      <c r="C26" s="61" t="s">
        <v>2205</v>
      </c>
      <c r="D26" s="61" t="s">
        <v>2201</v>
      </c>
      <c r="E26" s="61" t="s">
        <v>2200</v>
      </c>
    </row>
    <row r="27" spans="1:5" x14ac:dyDescent="0.35">
      <c r="A27" s="58">
        <v>20</v>
      </c>
      <c r="B27" s="58" t="s">
        <v>1055</v>
      </c>
      <c r="C27" s="58" t="s">
        <v>2202</v>
      </c>
      <c r="D27" s="58" t="s">
        <v>2176</v>
      </c>
      <c r="E27" s="58" t="s">
        <v>2204</v>
      </c>
    </row>
    <row r="28" spans="1:5" s="59" customFormat="1" x14ac:dyDescent="0.35">
      <c r="A28" s="59" t="s">
        <v>206</v>
      </c>
      <c r="B28" s="59" t="s">
        <v>1068</v>
      </c>
      <c r="C28" s="59" t="s">
        <v>2202</v>
      </c>
      <c r="D28" s="59" t="s">
        <v>2181</v>
      </c>
      <c r="E28" s="59" t="s">
        <v>2203</v>
      </c>
    </row>
    <row r="29" spans="1:5" s="60" customFormat="1" x14ac:dyDescent="0.35">
      <c r="A29" s="60" t="s">
        <v>201</v>
      </c>
      <c r="B29" s="60" t="s">
        <v>1069</v>
      </c>
      <c r="C29" s="60" t="s">
        <v>2202</v>
      </c>
      <c r="D29" s="60" t="s">
        <v>2201</v>
      </c>
      <c r="E29" s="60" t="s">
        <v>2200</v>
      </c>
    </row>
    <row r="30" spans="1:5" x14ac:dyDescent="0.35">
      <c r="A30" s="58">
        <v>21</v>
      </c>
      <c r="B30" s="58" t="s">
        <v>1056</v>
      </c>
      <c r="C30" s="58" t="s">
        <v>2195</v>
      </c>
      <c r="D30" s="58" t="s">
        <v>2176</v>
      </c>
      <c r="E30" s="58" t="s">
        <v>2199</v>
      </c>
    </row>
    <row r="31" spans="1:5" x14ac:dyDescent="0.35">
      <c r="A31" s="58">
        <v>22</v>
      </c>
      <c r="B31" s="58" t="s">
        <v>1057</v>
      </c>
      <c r="C31" s="58" t="s">
        <v>2195</v>
      </c>
      <c r="D31" s="58" t="s">
        <v>2176</v>
      </c>
      <c r="E31" s="58" t="s">
        <v>2198</v>
      </c>
    </row>
    <row r="32" spans="1:5" x14ac:dyDescent="0.35">
      <c r="A32" s="58">
        <v>23</v>
      </c>
      <c r="B32" s="58" t="s">
        <v>1058</v>
      </c>
      <c r="C32" s="58" t="s">
        <v>2195</v>
      </c>
      <c r="D32" s="58" t="s">
        <v>2176</v>
      </c>
      <c r="E32" s="58" t="s">
        <v>2197</v>
      </c>
    </row>
    <row r="33" spans="1:5" x14ac:dyDescent="0.35">
      <c r="A33" s="58">
        <v>24</v>
      </c>
      <c r="B33" s="58" t="s">
        <v>1036</v>
      </c>
      <c r="C33" s="58" t="s">
        <v>2195</v>
      </c>
      <c r="D33" s="58" t="s">
        <v>2176</v>
      </c>
      <c r="E33" s="58" t="s">
        <v>2196</v>
      </c>
    </row>
    <row r="34" spans="1:5" x14ac:dyDescent="0.35">
      <c r="A34" s="58" t="s">
        <v>204</v>
      </c>
      <c r="B34" s="58" t="s">
        <v>1070</v>
      </c>
      <c r="C34" s="58" t="s">
        <v>2195</v>
      </c>
      <c r="D34" s="58" t="s">
        <v>2176</v>
      </c>
      <c r="E34" s="58" t="s">
        <v>2194</v>
      </c>
    </row>
    <row r="35" spans="1:5" x14ac:dyDescent="0.35">
      <c r="A35" s="58">
        <v>25</v>
      </c>
      <c r="B35" s="58" t="s">
        <v>1037</v>
      </c>
      <c r="C35" s="58" t="s">
        <v>2188</v>
      </c>
      <c r="D35" s="58" t="s">
        <v>2176</v>
      </c>
      <c r="E35" s="58" t="s">
        <v>2193</v>
      </c>
    </row>
    <row r="36" spans="1:5" x14ac:dyDescent="0.35">
      <c r="A36" s="58">
        <v>26</v>
      </c>
      <c r="B36" s="58" t="s">
        <v>1059</v>
      </c>
      <c r="C36" s="58" t="s">
        <v>2188</v>
      </c>
      <c r="D36" s="58" t="s">
        <v>2176</v>
      </c>
      <c r="E36" s="58" t="s">
        <v>2192</v>
      </c>
    </row>
    <row r="37" spans="1:5" x14ac:dyDescent="0.35">
      <c r="A37" s="58">
        <v>27</v>
      </c>
      <c r="B37" s="58" t="s">
        <v>1060</v>
      </c>
      <c r="C37" s="58" t="s">
        <v>2188</v>
      </c>
      <c r="D37" s="58" t="s">
        <v>2176</v>
      </c>
      <c r="E37" s="58" t="s">
        <v>2191</v>
      </c>
    </row>
    <row r="38" spans="1:5" x14ac:dyDescent="0.35">
      <c r="A38" s="58">
        <v>28</v>
      </c>
      <c r="B38" s="58" t="s">
        <v>1061</v>
      </c>
      <c r="C38" s="58" t="s">
        <v>2188</v>
      </c>
      <c r="D38" s="58" t="s">
        <v>2176</v>
      </c>
      <c r="E38" s="58" t="s">
        <v>2190</v>
      </c>
    </row>
    <row r="39" spans="1:5" x14ac:dyDescent="0.35">
      <c r="A39" s="58">
        <v>29</v>
      </c>
      <c r="B39" s="58" t="s">
        <v>1062</v>
      </c>
      <c r="C39" s="58" t="s">
        <v>2188</v>
      </c>
      <c r="D39" s="58" t="s">
        <v>2176</v>
      </c>
      <c r="E39" s="58" t="s">
        <v>2189</v>
      </c>
    </row>
    <row r="40" spans="1:5" x14ac:dyDescent="0.35">
      <c r="A40" s="58" t="s">
        <v>201</v>
      </c>
      <c r="B40" s="58" t="s">
        <v>1069</v>
      </c>
      <c r="C40" s="58" t="s">
        <v>2188</v>
      </c>
      <c r="D40" s="58" t="s">
        <v>2176</v>
      </c>
      <c r="E40" s="58" t="s">
        <v>2187</v>
      </c>
    </row>
    <row r="41" spans="1:5" s="60" customFormat="1" x14ac:dyDescent="0.35">
      <c r="A41" s="60">
        <v>30</v>
      </c>
      <c r="B41" s="60" t="s">
        <v>1063</v>
      </c>
      <c r="C41" s="60" t="s">
        <v>2182</v>
      </c>
      <c r="D41" s="60" t="s">
        <v>2184</v>
      </c>
      <c r="E41" s="60" t="s">
        <v>2186</v>
      </c>
    </row>
    <row r="42" spans="1:5" s="61" customFormat="1" x14ac:dyDescent="0.35">
      <c r="A42" s="61">
        <v>31</v>
      </c>
      <c r="B42" s="61" t="s">
        <v>1064</v>
      </c>
      <c r="C42" s="61" t="s">
        <v>2182</v>
      </c>
      <c r="D42" s="61" t="s">
        <v>2176</v>
      </c>
      <c r="E42" s="61" t="s">
        <v>2185</v>
      </c>
    </row>
    <row r="43" spans="1:5" s="60" customFormat="1" x14ac:dyDescent="0.35">
      <c r="A43" s="60">
        <v>32</v>
      </c>
      <c r="B43" s="60" t="s">
        <v>1065</v>
      </c>
      <c r="C43" s="60" t="s">
        <v>2182</v>
      </c>
      <c r="D43" s="60" t="s">
        <v>2184</v>
      </c>
      <c r="E43" s="60" t="s">
        <v>2183</v>
      </c>
    </row>
    <row r="44" spans="1:5" s="59" customFormat="1" x14ac:dyDescent="0.35">
      <c r="A44" s="59" t="s">
        <v>201</v>
      </c>
      <c r="B44" s="59" t="s">
        <v>1069</v>
      </c>
      <c r="C44" s="59" t="s">
        <v>2182</v>
      </c>
      <c r="D44" s="59" t="s">
        <v>2181</v>
      </c>
      <c r="E44" s="59" t="s">
        <v>2180</v>
      </c>
    </row>
    <row r="45" spans="1:5" x14ac:dyDescent="0.35">
      <c r="A45" s="58">
        <v>33</v>
      </c>
      <c r="B45" s="58" t="s">
        <v>1066</v>
      </c>
      <c r="C45" s="58" t="s">
        <v>2179</v>
      </c>
      <c r="D45" s="58" t="s">
        <v>2176</v>
      </c>
      <c r="E45" s="58" t="s">
        <v>2178</v>
      </c>
    </row>
    <row r="46" spans="1:5" x14ac:dyDescent="0.35">
      <c r="A46" s="58">
        <v>34</v>
      </c>
      <c r="B46" s="58" t="s">
        <v>1067</v>
      </c>
      <c r="C46" s="58" t="s">
        <v>2177</v>
      </c>
      <c r="D46" s="58" t="s">
        <v>2176</v>
      </c>
      <c r="E46" s="58" t="s">
        <v>2175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F63AF-8618-4E53-91E4-F07D58B0D678}">
  <dimension ref="A1:R122"/>
  <sheetViews>
    <sheetView workbookViewId="0">
      <selection activeCell="A46" sqref="A46:XFD48"/>
    </sheetView>
  </sheetViews>
  <sheetFormatPr defaultColWidth="10.90625" defaultRowHeight="13" customHeight="1" x14ac:dyDescent="0.35"/>
  <cols>
    <col min="1" max="1" width="18.54296875" style="33" customWidth="1"/>
    <col min="2" max="2" width="19.54296875" style="33" customWidth="1"/>
    <col min="3" max="3" width="10.90625" style="65"/>
    <col min="4" max="4" width="13.453125" style="65" customWidth="1"/>
    <col min="5" max="5" width="14.7265625" style="33" customWidth="1"/>
    <col min="6" max="6" width="15.453125" style="33" customWidth="1"/>
    <col min="7" max="7" width="17.7265625" style="33" customWidth="1"/>
    <col min="8" max="8" width="18.453125" style="33" customWidth="1"/>
    <col min="9" max="9" width="27.6328125" style="33" customWidth="1"/>
    <col min="10" max="10" width="25.81640625" style="33" customWidth="1"/>
    <col min="11" max="11" width="26.08984375" style="33" customWidth="1"/>
    <col min="12" max="12" width="25.6328125" style="33" customWidth="1"/>
    <col min="13" max="13" width="30.7265625" style="33" customWidth="1"/>
    <col min="14" max="14" width="33.6328125" style="33" customWidth="1"/>
    <col min="15" max="15" width="26.453125" style="33" customWidth="1"/>
    <col min="16" max="16" width="21.7265625" style="33" customWidth="1"/>
    <col min="17" max="18" width="15.54296875" style="33" customWidth="1"/>
    <col min="19" max="16384" width="10.90625" style="33"/>
  </cols>
  <sheetData>
    <row r="1" spans="1:18" ht="13" customHeight="1" thickBot="1" x14ac:dyDescent="0.4">
      <c r="A1" s="30" t="s">
        <v>200</v>
      </c>
      <c r="B1" s="30" t="s">
        <v>203</v>
      </c>
      <c r="C1" s="63" t="s">
        <v>1638</v>
      </c>
      <c r="D1" s="63" t="s">
        <v>1639</v>
      </c>
      <c r="E1" s="36" t="s">
        <v>1666</v>
      </c>
      <c r="F1" s="36" t="s">
        <v>1667</v>
      </c>
      <c r="G1" s="36" t="s">
        <v>1669</v>
      </c>
      <c r="H1" s="36" t="s">
        <v>1668</v>
      </c>
      <c r="I1" s="36" t="s">
        <v>1674</v>
      </c>
      <c r="J1" s="36" t="s">
        <v>1675</v>
      </c>
      <c r="K1" s="36" t="s">
        <v>1676</v>
      </c>
      <c r="L1" s="36" t="s">
        <v>1673</v>
      </c>
      <c r="M1" s="46" t="s">
        <v>1680</v>
      </c>
      <c r="N1" s="46" t="s">
        <v>1681</v>
      </c>
      <c r="O1" s="46" t="s">
        <v>1686</v>
      </c>
      <c r="P1" s="46" t="s">
        <v>1685</v>
      </c>
    </row>
    <row r="2" spans="1:18" ht="13" customHeight="1" x14ac:dyDescent="0.35">
      <c r="A2" t="s">
        <v>2240</v>
      </c>
      <c r="B2" t="s">
        <v>2240</v>
      </c>
      <c r="C2">
        <v>3</v>
      </c>
      <c r="D2">
        <v>5</v>
      </c>
      <c r="E2" s="37">
        <f t="shared" ref="E2:E44" si="0">C2/(C2+D2)</f>
        <v>0.375</v>
      </c>
      <c r="F2" s="37">
        <f>1-E2</f>
        <v>0.625</v>
      </c>
      <c r="G2" s="33">
        <f t="shared" ref="G2:G44" si="1">C2/23</f>
        <v>0.13043478260869565</v>
      </c>
      <c r="H2" s="33">
        <f t="shared" ref="H2:H44" si="2">D2/15</f>
        <v>0.33333333333333331</v>
      </c>
      <c r="I2" s="38">
        <f t="shared" ref="I2:I45" si="3">(C2/B$80)*1000</f>
        <v>0.15947234663115192</v>
      </c>
      <c r="J2" s="38">
        <f t="shared" ref="J2:J45" si="4">(D2/B$81)*1000</f>
        <v>0.12590638468078658</v>
      </c>
      <c r="K2" s="38">
        <f t="shared" ref="K2:K45" si="5">(C2/D$80)*1000</f>
        <v>0.19814442631503451</v>
      </c>
      <c r="L2" s="38">
        <f t="shared" ref="L2:L45" si="6">(D2/D$81)*1000</f>
        <v>0.13736294383724035</v>
      </c>
      <c r="M2" s="38">
        <f t="shared" ref="M2:M45" si="7">(C2/C$84)*100000</f>
        <v>1.3436817731582992E-2</v>
      </c>
      <c r="N2" s="38">
        <f t="shared" ref="N2:N45" si="8">(D2/D$84)*100000</f>
        <v>8.8376331305473604E-3</v>
      </c>
      <c r="O2" s="38">
        <f t="shared" ref="O2:O45" si="9">C2/E$80</f>
        <v>0.35604936336149395</v>
      </c>
      <c r="P2" s="38">
        <f t="shared" ref="P2:P45" si="10">D2/E$81</f>
        <v>0.71233090817941991</v>
      </c>
      <c r="Q2" s="38"/>
      <c r="R2" s="38"/>
    </row>
    <row r="3" spans="1:18" ht="13" customHeight="1" x14ac:dyDescent="0.35">
      <c r="A3" t="s">
        <v>2240</v>
      </c>
      <c r="B3" t="s">
        <v>2241</v>
      </c>
      <c r="C3">
        <v>12</v>
      </c>
      <c r="D3">
        <v>11</v>
      </c>
      <c r="E3" s="37">
        <f t="shared" si="0"/>
        <v>0.52173913043478259</v>
      </c>
      <c r="F3" s="37">
        <f t="shared" ref="F3:F45" si="11">1-E3</f>
        <v>0.47826086956521741</v>
      </c>
      <c r="G3" s="33">
        <f t="shared" si="1"/>
        <v>0.52173913043478259</v>
      </c>
      <c r="H3" s="33">
        <f t="shared" si="2"/>
        <v>0.73333333333333328</v>
      </c>
      <c r="I3" s="38">
        <f t="shared" si="3"/>
        <v>0.63788938652460769</v>
      </c>
      <c r="J3" s="38">
        <f t="shared" si="4"/>
        <v>0.2769940462977305</v>
      </c>
      <c r="K3" s="38">
        <f t="shared" si="5"/>
        <v>0.79257770526013804</v>
      </c>
      <c r="L3" s="38">
        <f t="shared" si="6"/>
        <v>0.30219847644192882</v>
      </c>
      <c r="M3" s="38">
        <f t="shared" si="7"/>
        <v>5.3747270926331969E-2</v>
      </c>
      <c r="N3" s="38">
        <f t="shared" si="8"/>
        <v>1.9442792887204192E-2</v>
      </c>
      <c r="O3" s="38">
        <f t="shared" si="9"/>
        <v>1.4241974534459758</v>
      </c>
      <c r="P3" s="38">
        <f t="shared" si="10"/>
        <v>1.5671279979947237</v>
      </c>
    </row>
    <row r="4" spans="1:18" ht="13" customHeight="1" x14ac:dyDescent="0.35">
      <c r="A4" t="s">
        <v>2240</v>
      </c>
      <c r="B4" t="s">
        <v>2242</v>
      </c>
      <c r="C4">
        <v>8</v>
      </c>
      <c r="D4">
        <v>15</v>
      </c>
      <c r="E4" s="37">
        <f t="shared" si="0"/>
        <v>0.34782608695652173</v>
      </c>
      <c r="F4" s="37">
        <f t="shared" si="11"/>
        <v>0.65217391304347827</v>
      </c>
      <c r="G4" s="33">
        <f t="shared" si="1"/>
        <v>0.34782608695652173</v>
      </c>
      <c r="H4" s="33">
        <f t="shared" si="2"/>
        <v>1</v>
      </c>
      <c r="I4" s="38">
        <f t="shared" si="3"/>
        <v>0.42525959101640515</v>
      </c>
      <c r="J4" s="38">
        <f t="shared" si="4"/>
        <v>0.37771915404235978</v>
      </c>
      <c r="K4" s="38">
        <f t="shared" si="5"/>
        <v>0.52838513684009203</v>
      </c>
      <c r="L4" s="38">
        <f t="shared" si="6"/>
        <v>0.4120888315117211</v>
      </c>
      <c r="M4" s="38">
        <f t="shared" si="7"/>
        <v>3.5831513950887982E-2</v>
      </c>
      <c r="N4" s="38">
        <f t="shared" si="8"/>
        <v>2.6512899391642083E-2</v>
      </c>
      <c r="O4" s="38">
        <f t="shared" si="9"/>
        <v>0.9494649689639838</v>
      </c>
      <c r="P4" s="38">
        <f t="shared" si="10"/>
        <v>2.1369927245382594</v>
      </c>
    </row>
    <row r="5" spans="1:18" ht="13" customHeight="1" x14ac:dyDescent="0.35">
      <c r="A5" t="s">
        <v>2240</v>
      </c>
      <c r="B5" t="s">
        <v>2243</v>
      </c>
      <c r="C5">
        <v>7</v>
      </c>
      <c r="D5">
        <v>7</v>
      </c>
      <c r="E5" s="37">
        <f t="shared" si="0"/>
        <v>0.5</v>
      </c>
      <c r="F5" s="37">
        <f t="shared" si="11"/>
        <v>0.5</v>
      </c>
      <c r="G5" s="33">
        <f t="shared" si="1"/>
        <v>0.30434782608695654</v>
      </c>
      <c r="H5" s="33">
        <f t="shared" si="2"/>
        <v>0.46666666666666667</v>
      </c>
      <c r="I5" s="38">
        <f t="shared" si="3"/>
        <v>0.3721021421393545</v>
      </c>
      <c r="J5" s="38">
        <f t="shared" si="4"/>
        <v>0.17626893855310125</v>
      </c>
      <c r="K5" s="38">
        <f t="shared" si="5"/>
        <v>0.46233699473508055</v>
      </c>
      <c r="L5" s="38">
        <f t="shared" si="6"/>
        <v>0.19230812137213649</v>
      </c>
      <c r="M5" s="38">
        <f t="shared" si="7"/>
        <v>3.1352574707026987E-2</v>
      </c>
      <c r="N5" s="38">
        <f t="shared" si="8"/>
        <v>1.2372686382766304E-2</v>
      </c>
      <c r="O5" s="38">
        <f t="shared" si="9"/>
        <v>0.83078184784348585</v>
      </c>
      <c r="P5" s="38">
        <f t="shared" si="10"/>
        <v>0.99726327145118787</v>
      </c>
    </row>
    <row r="6" spans="1:18" ht="13" customHeight="1" x14ac:dyDescent="0.35">
      <c r="A6" t="s">
        <v>2240</v>
      </c>
      <c r="B6" t="s">
        <v>2244</v>
      </c>
      <c r="C6">
        <v>6</v>
      </c>
      <c r="D6">
        <v>7</v>
      </c>
      <c r="E6" s="37">
        <f t="shared" si="0"/>
        <v>0.46153846153846156</v>
      </c>
      <c r="F6" s="37">
        <f t="shared" si="11"/>
        <v>0.53846153846153844</v>
      </c>
      <c r="G6" s="33">
        <f t="shared" si="1"/>
        <v>0.2608695652173913</v>
      </c>
      <c r="H6" s="33">
        <f t="shared" si="2"/>
        <v>0.46666666666666667</v>
      </c>
      <c r="I6" s="38">
        <f t="shared" si="3"/>
        <v>0.31894469326230385</v>
      </c>
      <c r="J6" s="38">
        <f t="shared" si="4"/>
        <v>0.17626893855310125</v>
      </c>
      <c r="K6" s="38">
        <f t="shared" si="5"/>
        <v>0.39628885263006902</v>
      </c>
      <c r="L6" s="38">
        <f t="shared" si="6"/>
        <v>0.19230812137213649</v>
      </c>
      <c r="M6" s="38">
        <f t="shared" si="7"/>
        <v>2.6873635463165985E-2</v>
      </c>
      <c r="N6" s="38">
        <f t="shared" si="8"/>
        <v>1.2372686382766304E-2</v>
      </c>
      <c r="O6" s="38">
        <f t="shared" si="9"/>
        <v>0.71209872672298791</v>
      </c>
      <c r="P6" s="38">
        <f t="shared" si="10"/>
        <v>0.99726327145118787</v>
      </c>
    </row>
    <row r="7" spans="1:18" ht="13" customHeight="1" x14ac:dyDescent="0.35">
      <c r="A7" t="s">
        <v>2240</v>
      </c>
      <c r="B7" t="s">
        <v>2245</v>
      </c>
      <c r="C7">
        <v>16</v>
      </c>
      <c r="D7">
        <v>8</v>
      </c>
      <c r="E7" s="70">
        <f t="shared" si="0"/>
        <v>0.66666666666666663</v>
      </c>
      <c r="F7" s="70">
        <f t="shared" si="11"/>
        <v>0.33333333333333337</v>
      </c>
      <c r="G7" s="33">
        <f t="shared" si="1"/>
        <v>0.69565217391304346</v>
      </c>
      <c r="H7" s="33">
        <f t="shared" si="2"/>
        <v>0.53333333333333333</v>
      </c>
      <c r="I7" s="38">
        <f t="shared" si="3"/>
        <v>0.85051918203281029</v>
      </c>
      <c r="J7" s="38">
        <f t="shared" si="4"/>
        <v>0.20145021548925857</v>
      </c>
      <c r="K7" s="38">
        <f t="shared" si="5"/>
        <v>1.0567702736801841</v>
      </c>
      <c r="L7" s="38">
        <f t="shared" si="6"/>
        <v>0.21978071013958458</v>
      </c>
      <c r="M7" s="38">
        <f t="shared" si="7"/>
        <v>7.1663027901775964E-2</v>
      </c>
      <c r="N7" s="38">
        <f t="shared" si="8"/>
        <v>1.4140213008875776E-2</v>
      </c>
      <c r="O7" s="38">
        <f t="shared" si="9"/>
        <v>1.8989299379279676</v>
      </c>
      <c r="P7" s="38">
        <f t="shared" si="10"/>
        <v>1.1397294530870719</v>
      </c>
      <c r="R7" s="33" t="s">
        <v>1688</v>
      </c>
    </row>
    <row r="8" spans="1:18" ht="13" customHeight="1" x14ac:dyDescent="0.35">
      <c r="A8" t="s">
        <v>2240</v>
      </c>
      <c r="B8" t="s">
        <v>2246</v>
      </c>
      <c r="C8">
        <v>8</v>
      </c>
      <c r="D8">
        <v>20</v>
      </c>
      <c r="E8" s="37">
        <f t="shared" si="0"/>
        <v>0.2857142857142857</v>
      </c>
      <c r="F8" s="37">
        <f t="shared" si="11"/>
        <v>0.7142857142857143</v>
      </c>
      <c r="G8" s="33">
        <f t="shared" si="1"/>
        <v>0.34782608695652173</v>
      </c>
      <c r="H8" s="33">
        <f t="shared" si="2"/>
        <v>1.3333333333333333</v>
      </c>
      <c r="I8" s="38">
        <f t="shared" si="3"/>
        <v>0.42525959101640515</v>
      </c>
      <c r="J8" s="38">
        <f t="shared" si="4"/>
        <v>0.5036255387231463</v>
      </c>
      <c r="K8" s="38">
        <f t="shared" si="5"/>
        <v>0.52838513684009203</v>
      </c>
      <c r="L8" s="38">
        <f t="shared" si="6"/>
        <v>0.54945177534896139</v>
      </c>
      <c r="M8" s="38">
        <f t="shared" si="7"/>
        <v>3.5831513950887982E-2</v>
      </c>
      <c r="N8" s="38">
        <f t="shared" si="8"/>
        <v>3.5350532522189441E-2</v>
      </c>
      <c r="O8" s="38">
        <f t="shared" si="9"/>
        <v>0.9494649689639838</v>
      </c>
      <c r="P8" s="38">
        <f t="shared" si="10"/>
        <v>2.8493236327176796</v>
      </c>
    </row>
    <row r="9" spans="1:18" ht="13" customHeight="1" x14ac:dyDescent="0.35">
      <c r="A9" t="s">
        <v>2240</v>
      </c>
      <c r="B9" t="s">
        <v>2247</v>
      </c>
      <c r="C9">
        <v>13</v>
      </c>
      <c r="D9">
        <v>10</v>
      </c>
      <c r="E9" s="37">
        <f t="shared" si="0"/>
        <v>0.56521739130434778</v>
      </c>
      <c r="F9" s="37">
        <f t="shared" si="11"/>
        <v>0.43478260869565222</v>
      </c>
      <c r="G9" s="33">
        <f t="shared" si="1"/>
        <v>0.56521739130434778</v>
      </c>
      <c r="H9" s="33">
        <f t="shared" si="2"/>
        <v>0.66666666666666663</v>
      </c>
      <c r="I9" s="38">
        <f t="shared" si="3"/>
        <v>0.69104683540165834</v>
      </c>
      <c r="J9" s="38">
        <f t="shared" si="4"/>
        <v>0.25181276936157315</v>
      </c>
      <c r="K9" s="38">
        <f t="shared" si="5"/>
        <v>0.85862584736514957</v>
      </c>
      <c r="L9" s="38">
        <f t="shared" si="6"/>
        <v>0.2747258876744807</v>
      </c>
      <c r="M9" s="38">
        <f t="shared" si="7"/>
        <v>5.8226210170192971E-2</v>
      </c>
      <c r="N9" s="38">
        <f t="shared" si="8"/>
        <v>1.7675266261094721E-2</v>
      </c>
      <c r="O9" s="38">
        <f t="shared" si="9"/>
        <v>1.5428805745664738</v>
      </c>
      <c r="P9" s="38">
        <f t="shared" si="10"/>
        <v>1.4246618163588398</v>
      </c>
    </row>
    <row r="10" spans="1:18" ht="13" customHeight="1" x14ac:dyDescent="0.35">
      <c r="A10" t="s">
        <v>2240</v>
      </c>
      <c r="B10" t="s">
        <v>2248</v>
      </c>
      <c r="C10">
        <v>77</v>
      </c>
      <c r="D10">
        <v>66</v>
      </c>
      <c r="E10" s="37">
        <f t="shared" si="0"/>
        <v>0.53846153846153844</v>
      </c>
      <c r="F10" s="37">
        <f t="shared" si="11"/>
        <v>0.46153846153846156</v>
      </c>
      <c r="G10" s="33">
        <f t="shared" si="1"/>
        <v>3.347826086956522</v>
      </c>
      <c r="H10" s="33">
        <f t="shared" si="2"/>
        <v>4.4000000000000004</v>
      </c>
      <c r="I10" s="38">
        <f t="shared" si="3"/>
        <v>4.0931235635328997</v>
      </c>
      <c r="J10" s="38">
        <f t="shared" si="4"/>
        <v>1.661964277786383</v>
      </c>
      <c r="K10" s="38">
        <f t="shared" si="5"/>
        <v>5.0857069420858858</v>
      </c>
      <c r="L10" s="38">
        <f t="shared" si="6"/>
        <v>1.8131908586515726</v>
      </c>
      <c r="M10" s="38">
        <f t="shared" si="7"/>
        <v>0.34487832177729683</v>
      </c>
      <c r="N10" s="38">
        <f t="shared" si="8"/>
        <v>0.11665675732322515</v>
      </c>
      <c r="O10" s="38">
        <f t="shared" si="9"/>
        <v>9.1386003262783451</v>
      </c>
      <c r="P10" s="38">
        <f t="shared" si="10"/>
        <v>9.4027679879683426</v>
      </c>
    </row>
    <row r="11" spans="1:18" ht="13" customHeight="1" x14ac:dyDescent="0.35">
      <c r="A11" t="s">
        <v>2240</v>
      </c>
      <c r="B11" t="s">
        <v>2249</v>
      </c>
      <c r="C11">
        <v>24</v>
      </c>
      <c r="D11">
        <v>20</v>
      </c>
      <c r="E11" s="37">
        <f t="shared" si="0"/>
        <v>0.54545454545454541</v>
      </c>
      <c r="F11" s="37">
        <f t="shared" si="11"/>
        <v>0.45454545454545459</v>
      </c>
      <c r="G11" s="33">
        <f t="shared" si="1"/>
        <v>1.0434782608695652</v>
      </c>
      <c r="H11" s="33">
        <f t="shared" si="2"/>
        <v>1.3333333333333333</v>
      </c>
      <c r="I11" s="38">
        <f t="shared" si="3"/>
        <v>1.2757787730492154</v>
      </c>
      <c r="J11" s="38">
        <f t="shared" si="4"/>
        <v>0.5036255387231463</v>
      </c>
      <c r="K11" s="38">
        <f t="shared" si="5"/>
        <v>1.5851554105202761</v>
      </c>
      <c r="L11" s="38">
        <f t="shared" si="6"/>
        <v>0.54945177534896139</v>
      </c>
      <c r="M11" s="38">
        <f t="shared" si="7"/>
        <v>0.10749454185266394</v>
      </c>
      <c r="N11" s="38">
        <f t="shared" si="8"/>
        <v>3.5350532522189441E-2</v>
      </c>
      <c r="O11" s="38">
        <f t="shared" si="9"/>
        <v>2.8483949068919516</v>
      </c>
      <c r="P11" s="38">
        <f t="shared" si="10"/>
        <v>2.8493236327176796</v>
      </c>
    </row>
    <row r="12" spans="1:18" ht="13" customHeight="1" x14ac:dyDescent="0.35">
      <c r="A12" t="s">
        <v>2240</v>
      </c>
      <c r="B12" t="s">
        <v>2250</v>
      </c>
      <c r="C12">
        <v>15</v>
      </c>
      <c r="D12">
        <v>3</v>
      </c>
      <c r="E12" s="37">
        <f t="shared" si="0"/>
        <v>0.83333333333333337</v>
      </c>
      <c r="F12" s="37">
        <f t="shared" si="11"/>
        <v>0.16666666666666663</v>
      </c>
      <c r="G12" s="33">
        <f t="shared" si="1"/>
        <v>0.65217391304347827</v>
      </c>
      <c r="H12" s="33">
        <f t="shared" si="2"/>
        <v>0.2</v>
      </c>
      <c r="I12" s="38">
        <f t="shared" si="3"/>
        <v>0.79736173315575964</v>
      </c>
      <c r="J12" s="38">
        <f t="shared" si="4"/>
        <v>7.5543830808471962E-2</v>
      </c>
      <c r="K12" s="38">
        <f t="shared" si="5"/>
        <v>0.99072213157517253</v>
      </c>
      <c r="L12" s="38">
        <f t="shared" si="6"/>
        <v>8.2417766302344223E-2</v>
      </c>
      <c r="M12" s="38">
        <f t="shared" si="7"/>
        <v>6.7184088657914975E-2</v>
      </c>
      <c r="N12" s="38">
        <f t="shared" si="8"/>
        <v>5.302579878328416E-3</v>
      </c>
      <c r="O12" s="38">
        <f t="shared" si="9"/>
        <v>1.7802468168074697</v>
      </c>
      <c r="P12" s="38">
        <f t="shared" si="10"/>
        <v>0.42739854490765194</v>
      </c>
    </row>
    <row r="13" spans="1:18" ht="13" customHeight="1" x14ac:dyDescent="0.35">
      <c r="A13" t="s">
        <v>2240</v>
      </c>
      <c r="B13" t="s">
        <v>2251</v>
      </c>
      <c r="C13">
        <v>13</v>
      </c>
      <c r="D13">
        <v>10</v>
      </c>
      <c r="E13" s="37">
        <f t="shared" si="0"/>
        <v>0.56521739130434778</v>
      </c>
      <c r="F13" s="37">
        <f t="shared" si="11"/>
        <v>0.43478260869565222</v>
      </c>
      <c r="G13" s="33">
        <f t="shared" si="1"/>
        <v>0.56521739130434778</v>
      </c>
      <c r="H13" s="33">
        <f t="shared" si="2"/>
        <v>0.66666666666666663</v>
      </c>
      <c r="I13" s="38">
        <f t="shared" si="3"/>
        <v>0.69104683540165834</v>
      </c>
      <c r="J13" s="38">
        <f t="shared" si="4"/>
        <v>0.25181276936157315</v>
      </c>
      <c r="K13" s="38">
        <f t="shared" si="5"/>
        <v>0.85862584736514957</v>
      </c>
      <c r="L13" s="38">
        <f t="shared" si="6"/>
        <v>0.2747258876744807</v>
      </c>
      <c r="M13" s="38">
        <f t="shared" si="7"/>
        <v>5.8226210170192971E-2</v>
      </c>
      <c r="N13" s="38">
        <f t="shared" si="8"/>
        <v>1.7675266261094721E-2</v>
      </c>
      <c r="O13" s="38">
        <f t="shared" si="9"/>
        <v>1.5428805745664738</v>
      </c>
      <c r="P13" s="38">
        <f t="shared" si="10"/>
        <v>1.4246618163588398</v>
      </c>
    </row>
    <row r="14" spans="1:18" ht="13" customHeight="1" x14ac:dyDescent="0.35">
      <c r="A14" t="s">
        <v>2240</v>
      </c>
      <c r="B14" t="s">
        <v>206</v>
      </c>
      <c r="C14">
        <v>38</v>
      </c>
      <c r="D14">
        <v>26</v>
      </c>
      <c r="E14" s="37">
        <f t="shared" si="0"/>
        <v>0.59375</v>
      </c>
      <c r="F14" s="37">
        <f t="shared" si="11"/>
        <v>0.40625</v>
      </c>
      <c r="G14" s="33">
        <f t="shared" si="1"/>
        <v>1.6521739130434783</v>
      </c>
      <c r="H14" s="33">
        <f t="shared" si="2"/>
        <v>1.7333333333333334</v>
      </c>
      <c r="I14" s="38">
        <f t="shared" si="3"/>
        <v>2.0199830573279245</v>
      </c>
      <c r="J14" s="38">
        <f t="shared" si="4"/>
        <v>0.6547132003400904</v>
      </c>
      <c r="K14" s="38">
        <f t="shared" si="5"/>
        <v>2.5098293999904375</v>
      </c>
      <c r="L14" s="38">
        <f t="shared" si="6"/>
        <v>0.71428730795364981</v>
      </c>
      <c r="M14" s="38">
        <f t="shared" si="7"/>
        <v>0.17019969126671791</v>
      </c>
      <c r="N14" s="38">
        <f t="shared" si="8"/>
        <v>4.5955692278846272E-2</v>
      </c>
      <c r="O14" s="38">
        <f t="shared" si="9"/>
        <v>4.5099586025789229</v>
      </c>
      <c r="P14" s="38">
        <f t="shared" si="10"/>
        <v>3.7041207225329833</v>
      </c>
    </row>
    <row r="15" spans="1:18" ht="13" customHeight="1" x14ac:dyDescent="0.35">
      <c r="A15" t="s">
        <v>2240</v>
      </c>
      <c r="B15" t="s">
        <v>201</v>
      </c>
      <c r="C15">
        <v>1</v>
      </c>
      <c r="D15">
        <v>7</v>
      </c>
      <c r="E15" s="37">
        <f t="shared" si="0"/>
        <v>0.125</v>
      </c>
      <c r="F15" s="37">
        <f t="shared" si="11"/>
        <v>0.875</v>
      </c>
      <c r="G15" s="33">
        <f t="shared" si="1"/>
        <v>4.3478260869565216E-2</v>
      </c>
      <c r="H15" s="33">
        <f t="shared" si="2"/>
        <v>0.46666666666666667</v>
      </c>
      <c r="I15" s="38">
        <f t="shared" si="3"/>
        <v>5.3157448877050643E-2</v>
      </c>
      <c r="J15" s="38">
        <f t="shared" si="4"/>
        <v>0.17626893855310125</v>
      </c>
      <c r="K15" s="38">
        <f t="shared" si="5"/>
        <v>6.6048142105011504E-2</v>
      </c>
      <c r="L15" s="38">
        <f t="shared" si="6"/>
        <v>0.19230812137213649</v>
      </c>
      <c r="M15" s="38">
        <f t="shared" si="7"/>
        <v>4.4789392438609977E-3</v>
      </c>
      <c r="N15" s="38">
        <f t="shared" si="8"/>
        <v>1.2372686382766304E-2</v>
      </c>
      <c r="O15" s="38">
        <f t="shared" si="9"/>
        <v>0.11868312112049798</v>
      </c>
      <c r="P15" s="38">
        <f t="shared" si="10"/>
        <v>0.99726327145118787</v>
      </c>
    </row>
    <row r="16" spans="1:18" ht="13" customHeight="1" x14ac:dyDescent="0.35">
      <c r="A16" t="s">
        <v>2244</v>
      </c>
      <c r="B16" t="s">
        <v>2252</v>
      </c>
      <c r="C16">
        <v>4</v>
      </c>
      <c r="D16">
        <v>3</v>
      </c>
      <c r="E16" s="37">
        <f t="shared" si="0"/>
        <v>0.5714285714285714</v>
      </c>
      <c r="F16" s="37">
        <f t="shared" si="11"/>
        <v>0.4285714285714286</v>
      </c>
      <c r="G16" s="33">
        <f t="shared" si="1"/>
        <v>0.17391304347826086</v>
      </c>
      <c r="H16" s="33">
        <f t="shared" si="2"/>
        <v>0.2</v>
      </c>
      <c r="I16" s="38">
        <f t="shared" si="3"/>
        <v>0.21262979550820257</v>
      </c>
      <c r="J16" s="38">
        <f t="shared" si="4"/>
        <v>7.5543830808471962E-2</v>
      </c>
      <c r="K16" s="38">
        <f t="shared" si="5"/>
        <v>0.26419256842004601</v>
      </c>
      <c r="L16" s="38">
        <f t="shared" si="6"/>
        <v>8.2417766302344223E-2</v>
      </c>
      <c r="M16" s="38">
        <f t="shared" si="7"/>
        <v>1.7915756975443991E-2</v>
      </c>
      <c r="N16" s="38">
        <f t="shared" si="8"/>
        <v>5.302579878328416E-3</v>
      </c>
      <c r="O16" s="38">
        <f t="shared" si="9"/>
        <v>0.4747324844819919</v>
      </c>
      <c r="P16" s="38">
        <f t="shared" si="10"/>
        <v>0.42739854490765194</v>
      </c>
    </row>
    <row r="17" spans="1:16" ht="13" customHeight="1" x14ac:dyDescent="0.35">
      <c r="A17" t="s">
        <v>2244</v>
      </c>
      <c r="B17" t="s">
        <v>2253</v>
      </c>
      <c r="C17">
        <v>13</v>
      </c>
      <c r="D17">
        <v>18</v>
      </c>
      <c r="E17" s="37">
        <f t="shared" si="0"/>
        <v>0.41935483870967744</v>
      </c>
      <c r="F17" s="37">
        <f t="shared" si="11"/>
        <v>0.58064516129032251</v>
      </c>
      <c r="G17" s="33">
        <f t="shared" si="1"/>
        <v>0.56521739130434778</v>
      </c>
      <c r="H17" s="33">
        <f t="shared" si="2"/>
        <v>1.2</v>
      </c>
      <c r="I17" s="38">
        <f t="shared" si="3"/>
        <v>0.69104683540165834</v>
      </c>
      <c r="J17" s="38">
        <f t="shared" si="4"/>
        <v>0.45326298485083177</v>
      </c>
      <c r="K17" s="38">
        <f t="shared" si="5"/>
        <v>0.85862584736514957</v>
      </c>
      <c r="L17" s="38">
        <f t="shared" si="6"/>
        <v>0.49450659781406531</v>
      </c>
      <c r="M17" s="38">
        <f t="shared" si="7"/>
        <v>5.8226210170192971E-2</v>
      </c>
      <c r="N17" s="38">
        <f t="shared" si="8"/>
        <v>3.1815479269970498E-2</v>
      </c>
      <c r="O17" s="38">
        <f t="shared" si="9"/>
        <v>1.5428805745664738</v>
      </c>
      <c r="P17" s="38">
        <f t="shared" si="10"/>
        <v>2.5643912694459114</v>
      </c>
    </row>
    <row r="18" spans="1:16" ht="13" customHeight="1" x14ac:dyDescent="0.35">
      <c r="A18" t="s">
        <v>2244</v>
      </c>
      <c r="B18" t="s">
        <v>2254</v>
      </c>
      <c r="C18">
        <v>7</v>
      </c>
      <c r="D18">
        <v>2</v>
      </c>
      <c r="E18" s="37">
        <f t="shared" si="0"/>
        <v>0.77777777777777779</v>
      </c>
      <c r="F18" s="37">
        <f t="shared" si="11"/>
        <v>0.22222222222222221</v>
      </c>
      <c r="G18" s="33">
        <f t="shared" si="1"/>
        <v>0.30434782608695654</v>
      </c>
      <c r="H18" s="33">
        <f t="shared" si="2"/>
        <v>0.13333333333333333</v>
      </c>
      <c r="I18" s="38">
        <f t="shared" si="3"/>
        <v>0.3721021421393545</v>
      </c>
      <c r="J18" s="38">
        <f t="shared" si="4"/>
        <v>5.0362553872314642E-2</v>
      </c>
      <c r="K18" s="38">
        <f t="shared" si="5"/>
        <v>0.46233699473508055</v>
      </c>
      <c r="L18" s="38">
        <f t="shared" si="6"/>
        <v>5.4945177534896146E-2</v>
      </c>
      <c r="M18" s="38">
        <f t="shared" si="7"/>
        <v>3.1352574707026987E-2</v>
      </c>
      <c r="N18" s="38">
        <f t="shared" si="8"/>
        <v>3.5350532522189439E-3</v>
      </c>
      <c r="O18" s="38">
        <f t="shared" si="9"/>
        <v>0.83078184784348585</v>
      </c>
      <c r="P18" s="38">
        <f t="shared" si="10"/>
        <v>0.28493236327176796</v>
      </c>
    </row>
    <row r="19" spans="1:16" ht="13" customHeight="1" x14ac:dyDescent="0.35">
      <c r="A19" t="s">
        <v>2244</v>
      </c>
      <c r="B19" t="s">
        <v>2255</v>
      </c>
      <c r="C19">
        <v>2</v>
      </c>
      <c r="D19">
        <v>2</v>
      </c>
      <c r="E19" s="37">
        <f t="shared" si="0"/>
        <v>0.5</v>
      </c>
      <c r="F19" s="37">
        <f t="shared" si="11"/>
        <v>0.5</v>
      </c>
      <c r="G19" s="33">
        <f t="shared" si="1"/>
        <v>8.6956521739130432E-2</v>
      </c>
      <c r="H19" s="33">
        <f t="shared" si="2"/>
        <v>0.13333333333333333</v>
      </c>
      <c r="I19" s="38">
        <f t="shared" si="3"/>
        <v>0.10631489775410129</v>
      </c>
      <c r="J19" s="38">
        <f t="shared" si="4"/>
        <v>5.0362553872314642E-2</v>
      </c>
      <c r="K19" s="38">
        <f t="shared" si="5"/>
        <v>0.13209628421002301</v>
      </c>
      <c r="L19" s="38">
        <f t="shared" si="6"/>
        <v>5.4945177534896146E-2</v>
      </c>
      <c r="M19" s="38">
        <f t="shared" si="7"/>
        <v>8.9578784877219955E-3</v>
      </c>
      <c r="N19" s="38">
        <f t="shared" si="8"/>
        <v>3.5350532522189439E-3</v>
      </c>
      <c r="O19" s="38">
        <f t="shared" si="9"/>
        <v>0.23736624224099595</v>
      </c>
      <c r="P19" s="38">
        <f t="shared" si="10"/>
        <v>0.28493236327176796</v>
      </c>
    </row>
    <row r="20" spans="1:16" ht="13" customHeight="1" x14ac:dyDescent="0.35">
      <c r="A20" t="s">
        <v>2244</v>
      </c>
      <c r="B20" t="s">
        <v>2256</v>
      </c>
      <c r="C20">
        <v>4</v>
      </c>
      <c r="D20">
        <v>4</v>
      </c>
      <c r="E20" s="37">
        <f t="shared" si="0"/>
        <v>0.5</v>
      </c>
      <c r="F20" s="37">
        <f t="shared" si="11"/>
        <v>0.5</v>
      </c>
      <c r="G20" s="33">
        <f t="shared" si="1"/>
        <v>0.17391304347826086</v>
      </c>
      <c r="H20" s="33">
        <f t="shared" si="2"/>
        <v>0.26666666666666666</v>
      </c>
      <c r="I20" s="38">
        <f t="shared" si="3"/>
        <v>0.21262979550820257</v>
      </c>
      <c r="J20" s="38">
        <f t="shared" si="4"/>
        <v>0.10072510774462928</v>
      </c>
      <c r="K20" s="38">
        <f t="shared" si="5"/>
        <v>0.26419256842004601</v>
      </c>
      <c r="L20" s="38">
        <f t="shared" si="6"/>
        <v>0.10989035506979229</v>
      </c>
      <c r="M20" s="38">
        <f t="shared" si="7"/>
        <v>1.7915756975443991E-2</v>
      </c>
      <c r="N20" s="38">
        <f t="shared" si="8"/>
        <v>7.0701065044378878E-3</v>
      </c>
      <c r="O20" s="38">
        <f t="shared" si="9"/>
        <v>0.4747324844819919</v>
      </c>
      <c r="P20" s="38">
        <f t="shared" si="10"/>
        <v>0.56986472654353593</v>
      </c>
    </row>
    <row r="21" spans="1:16" ht="13" customHeight="1" x14ac:dyDescent="0.35">
      <c r="A21" t="s">
        <v>2244</v>
      </c>
      <c r="B21" t="s">
        <v>2257</v>
      </c>
      <c r="C21">
        <v>2</v>
      </c>
      <c r="D21">
        <v>4</v>
      </c>
      <c r="E21" s="37">
        <f t="shared" si="0"/>
        <v>0.33333333333333331</v>
      </c>
      <c r="F21" s="37">
        <f t="shared" si="11"/>
        <v>0.66666666666666674</v>
      </c>
      <c r="G21" s="33">
        <f t="shared" si="1"/>
        <v>8.6956521739130432E-2</v>
      </c>
      <c r="H21" s="33">
        <f t="shared" si="2"/>
        <v>0.26666666666666666</v>
      </c>
      <c r="I21" s="38">
        <f t="shared" si="3"/>
        <v>0.10631489775410129</v>
      </c>
      <c r="J21" s="38">
        <f t="shared" si="4"/>
        <v>0.10072510774462928</v>
      </c>
      <c r="K21" s="38">
        <f t="shared" si="5"/>
        <v>0.13209628421002301</v>
      </c>
      <c r="L21" s="38">
        <f t="shared" si="6"/>
        <v>0.10989035506979229</v>
      </c>
      <c r="M21" s="38">
        <f t="shared" si="7"/>
        <v>8.9578784877219955E-3</v>
      </c>
      <c r="N21" s="38">
        <f t="shared" si="8"/>
        <v>7.0701065044378878E-3</v>
      </c>
      <c r="O21" s="38">
        <f t="shared" si="9"/>
        <v>0.23736624224099595</v>
      </c>
      <c r="P21" s="38">
        <f t="shared" si="10"/>
        <v>0.56986472654353593</v>
      </c>
    </row>
    <row r="22" spans="1:16" ht="13" customHeight="1" x14ac:dyDescent="0.35">
      <c r="A22" t="s">
        <v>2244</v>
      </c>
      <c r="B22" t="s">
        <v>206</v>
      </c>
      <c r="C22">
        <v>16</v>
      </c>
      <c r="D22">
        <v>9</v>
      </c>
      <c r="E22" s="37">
        <f t="shared" si="0"/>
        <v>0.64</v>
      </c>
      <c r="F22" s="37">
        <f t="shared" si="11"/>
        <v>0.36</v>
      </c>
      <c r="G22" s="33">
        <f t="shared" si="1"/>
        <v>0.69565217391304346</v>
      </c>
      <c r="H22" s="33">
        <f t="shared" si="2"/>
        <v>0.6</v>
      </c>
      <c r="I22" s="38">
        <f t="shared" si="3"/>
        <v>0.85051918203281029</v>
      </c>
      <c r="J22" s="38">
        <f t="shared" si="4"/>
        <v>0.22663149242541589</v>
      </c>
      <c r="K22" s="38">
        <f t="shared" si="5"/>
        <v>1.0567702736801841</v>
      </c>
      <c r="L22" s="38">
        <f t="shared" si="6"/>
        <v>0.24725329890703265</v>
      </c>
      <c r="M22" s="38">
        <f t="shared" si="7"/>
        <v>7.1663027901775964E-2</v>
      </c>
      <c r="N22" s="38">
        <f t="shared" si="8"/>
        <v>1.5907739634985249E-2</v>
      </c>
      <c r="O22" s="38">
        <f t="shared" si="9"/>
        <v>1.8989299379279676</v>
      </c>
      <c r="P22" s="38">
        <f t="shared" si="10"/>
        <v>1.2821956347229557</v>
      </c>
    </row>
    <row r="23" spans="1:16" ht="13" customHeight="1" x14ac:dyDescent="0.35">
      <c r="A23" t="s">
        <v>2245</v>
      </c>
      <c r="B23" t="s">
        <v>2258</v>
      </c>
      <c r="C23">
        <v>6</v>
      </c>
      <c r="D23">
        <v>10</v>
      </c>
      <c r="E23" s="37">
        <f t="shared" si="0"/>
        <v>0.375</v>
      </c>
      <c r="F23" s="37">
        <f t="shared" si="11"/>
        <v>0.625</v>
      </c>
      <c r="G23" s="33">
        <f t="shared" si="1"/>
        <v>0.2608695652173913</v>
      </c>
      <c r="H23" s="33">
        <f t="shared" si="2"/>
        <v>0.66666666666666663</v>
      </c>
      <c r="I23" s="38">
        <f t="shared" si="3"/>
        <v>0.31894469326230385</v>
      </c>
      <c r="J23" s="38">
        <f t="shared" si="4"/>
        <v>0.25181276936157315</v>
      </c>
      <c r="K23" s="38">
        <f t="shared" si="5"/>
        <v>0.39628885263006902</v>
      </c>
      <c r="L23" s="38">
        <f t="shared" si="6"/>
        <v>0.2747258876744807</v>
      </c>
      <c r="M23" s="38">
        <f t="shared" si="7"/>
        <v>2.6873635463165985E-2</v>
      </c>
      <c r="N23" s="38">
        <f t="shared" si="8"/>
        <v>1.7675266261094721E-2</v>
      </c>
      <c r="O23" s="38">
        <f t="shared" si="9"/>
        <v>0.71209872672298791</v>
      </c>
      <c r="P23" s="38">
        <f t="shared" si="10"/>
        <v>1.4246618163588398</v>
      </c>
    </row>
    <row r="24" spans="1:16" ht="13" customHeight="1" x14ac:dyDescent="0.35">
      <c r="A24" t="s">
        <v>2245</v>
      </c>
      <c r="B24" t="s">
        <v>206</v>
      </c>
      <c r="C24">
        <v>19</v>
      </c>
      <c r="D24">
        <v>18</v>
      </c>
      <c r="E24" s="37">
        <f t="shared" si="0"/>
        <v>0.51351351351351349</v>
      </c>
      <c r="F24" s="37">
        <f t="shared" si="11"/>
        <v>0.48648648648648651</v>
      </c>
      <c r="G24" s="33">
        <f t="shared" si="1"/>
        <v>0.82608695652173914</v>
      </c>
      <c r="H24" s="33">
        <f t="shared" si="2"/>
        <v>1.2</v>
      </c>
      <c r="I24" s="38">
        <f t="shared" si="3"/>
        <v>1.0099915286639622</v>
      </c>
      <c r="J24" s="38">
        <f t="shared" si="4"/>
        <v>0.45326298485083177</v>
      </c>
      <c r="K24" s="38">
        <f t="shared" si="5"/>
        <v>1.2549146999952188</v>
      </c>
      <c r="L24" s="38">
        <f t="shared" si="6"/>
        <v>0.49450659781406531</v>
      </c>
      <c r="M24" s="38">
        <f t="shared" si="7"/>
        <v>8.5099845633358956E-2</v>
      </c>
      <c r="N24" s="38">
        <f t="shared" si="8"/>
        <v>3.1815479269970498E-2</v>
      </c>
      <c r="O24" s="38">
        <f t="shared" si="9"/>
        <v>2.2549793012894614</v>
      </c>
      <c r="P24" s="38">
        <f t="shared" si="10"/>
        <v>2.5643912694459114</v>
      </c>
    </row>
    <row r="25" spans="1:16" ht="13" customHeight="1" x14ac:dyDescent="0.35">
      <c r="A25" t="s">
        <v>2246</v>
      </c>
      <c r="B25" t="s">
        <v>2259</v>
      </c>
      <c r="C25">
        <v>18</v>
      </c>
      <c r="D25">
        <v>17</v>
      </c>
      <c r="E25" s="37">
        <f t="shared" si="0"/>
        <v>0.51428571428571423</v>
      </c>
      <c r="F25" s="37">
        <f t="shared" si="11"/>
        <v>0.48571428571428577</v>
      </c>
      <c r="G25" s="33">
        <f t="shared" si="1"/>
        <v>0.78260869565217395</v>
      </c>
      <c r="H25" s="33">
        <f t="shared" si="2"/>
        <v>1.1333333333333333</v>
      </c>
      <c r="I25" s="38">
        <f t="shared" si="3"/>
        <v>0.9568340797869116</v>
      </c>
      <c r="J25" s="38">
        <f t="shared" si="4"/>
        <v>0.42808170791467443</v>
      </c>
      <c r="K25" s="38">
        <f t="shared" si="5"/>
        <v>1.1888665578902071</v>
      </c>
      <c r="L25" s="38">
        <f t="shared" si="6"/>
        <v>0.46703400904661718</v>
      </c>
      <c r="M25" s="38">
        <f t="shared" si="7"/>
        <v>8.0620906389497968E-2</v>
      </c>
      <c r="N25" s="38">
        <f t="shared" si="8"/>
        <v>3.0047952643861026E-2</v>
      </c>
      <c r="O25" s="38">
        <f t="shared" si="9"/>
        <v>2.1362961801689635</v>
      </c>
      <c r="P25" s="38">
        <f t="shared" si="10"/>
        <v>2.4219250878100276</v>
      </c>
    </row>
    <row r="26" spans="1:16" ht="13" customHeight="1" x14ac:dyDescent="0.35">
      <c r="A26" t="s">
        <v>2246</v>
      </c>
      <c r="B26" t="s">
        <v>206</v>
      </c>
      <c r="C26">
        <v>2</v>
      </c>
      <c r="D26">
        <v>5</v>
      </c>
      <c r="E26" s="37">
        <f t="shared" si="0"/>
        <v>0.2857142857142857</v>
      </c>
      <c r="F26" s="37">
        <f t="shared" si="11"/>
        <v>0.7142857142857143</v>
      </c>
      <c r="G26" s="33">
        <f t="shared" si="1"/>
        <v>8.6956521739130432E-2</v>
      </c>
      <c r="H26" s="33">
        <f t="shared" si="2"/>
        <v>0.33333333333333331</v>
      </c>
      <c r="I26" s="38">
        <f t="shared" si="3"/>
        <v>0.10631489775410129</v>
      </c>
      <c r="J26" s="38">
        <f t="shared" si="4"/>
        <v>0.12590638468078658</v>
      </c>
      <c r="K26" s="38">
        <f t="shared" si="5"/>
        <v>0.13209628421002301</v>
      </c>
      <c r="L26" s="38">
        <f t="shared" si="6"/>
        <v>0.13736294383724035</v>
      </c>
      <c r="M26" s="38">
        <f t="shared" si="7"/>
        <v>8.9578784877219955E-3</v>
      </c>
      <c r="N26" s="38">
        <f t="shared" si="8"/>
        <v>8.8376331305473604E-3</v>
      </c>
      <c r="O26" s="38">
        <f t="shared" si="9"/>
        <v>0.23736624224099595</v>
      </c>
      <c r="P26" s="38">
        <f t="shared" si="10"/>
        <v>0.71233090817941991</v>
      </c>
    </row>
    <row r="27" spans="1:16" ht="12" customHeight="1" x14ac:dyDescent="0.35">
      <c r="A27" t="s">
        <v>2246</v>
      </c>
      <c r="B27" t="s">
        <v>201</v>
      </c>
      <c r="C27">
        <v>23</v>
      </c>
      <c r="D27">
        <v>13</v>
      </c>
      <c r="E27" s="37">
        <f t="shared" si="0"/>
        <v>0.63888888888888884</v>
      </c>
      <c r="F27" s="37">
        <f t="shared" si="11"/>
        <v>0.36111111111111116</v>
      </c>
      <c r="G27" s="33">
        <f t="shared" si="1"/>
        <v>1</v>
      </c>
      <c r="H27" s="33">
        <f t="shared" si="2"/>
        <v>0.8666666666666667</v>
      </c>
      <c r="I27" s="38">
        <f t="shared" si="3"/>
        <v>1.2226213241721646</v>
      </c>
      <c r="J27" s="38">
        <f t="shared" si="4"/>
        <v>0.3273566001700452</v>
      </c>
      <c r="K27" s="38">
        <f t="shared" si="5"/>
        <v>1.5191072684152647</v>
      </c>
      <c r="L27" s="38">
        <f t="shared" si="6"/>
        <v>0.3571436539768249</v>
      </c>
      <c r="M27" s="38">
        <f t="shared" si="7"/>
        <v>0.10301560260880294</v>
      </c>
      <c r="N27" s="38">
        <f t="shared" si="8"/>
        <v>2.2977846139423136E-2</v>
      </c>
      <c r="O27" s="38">
        <f t="shared" si="9"/>
        <v>2.7297117857714537</v>
      </c>
      <c r="P27" s="38">
        <f t="shared" si="10"/>
        <v>1.8520603612664917</v>
      </c>
    </row>
    <row r="28" spans="1:16" ht="13" customHeight="1" x14ac:dyDescent="0.35">
      <c r="A28" t="s">
        <v>2247</v>
      </c>
      <c r="B28" t="s">
        <v>2260</v>
      </c>
      <c r="C28">
        <v>4</v>
      </c>
      <c r="D28">
        <v>5</v>
      </c>
      <c r="E28" s="37">
        <f t="shared" si="0"/>
        <v>0.44444444444444442</v>
      </c>
      <c r="F28" s="37">
        <f t="shared" si="11"/>
        <v>0.55555555555555558</v>
      </c>
      <c r="G28" s="33">
        <f t="shared" si="1"/>
        <v>0.17391304347826086</v>
      </c>
      <c r="H28" s="33">
        <f t="shared" si="2"/>
        <v>0.33333333333333331</v>
      </c>
      <c r="I28" s="38">
        <f t="shared" si="3"/>
        <v>0.21262979550820257</v>
      </c>
      <c r="J28" s="38">
        <f t="shared" si="4"/>
        <v>0.12590638468078658</v>
      </c>
      <c r="K28" s="38">
        <f t="shared" si="5"/>
        <v>0.26419256842004601</v>
      </c>
      <c r="L28" s="38">
        <f t="shared" si="6"/>
        <v>0.13736294383724035</v>
      </c>
      <c r="M28" s="38">
        <f t="shared" si="7"/>
        <v>1.7915756975443991E-2</v>
      </c>
      <c r="N28" s="38">
        <f t="shared" si="8"/>
        <v>8.8376331305473604E-3</v>
      </c>
      <c r="O28" s="38">
        <f t="shared" si="9"/>
        <v>0.4747324844819919</v>
      </c>
      <c r="P28" s="38">
        <f t="shared" si="10"/>
        <v>0.71233090817941991</v>
      </c>
    </row>
    <row r="29" spans="1:16" ht="13" customHeight="1" x14ac:dyDescent="0.35">
      <c r="A29" t="s">
        <v>2247</v>
      </c>
      <c r="B29" t="s">
        <v>2261</v>
      </c>
      <c r="C29">
        <v>3</v>
      </c>
      <c r="D29">
        <v>4</v>
      </c>
      <c r="E29" s="37">
        <f t="shared" si="0"/>
        <v>0.42857142857142855</v>
      </c>
      <c r="F29" s="37">
        <f t="shared" si="11"/>
        <v>0.5714285714285714</v>
      </c>
      <c r="G29" s="33">
        <f t="shared" si="1"/>
        <v>0.13043478260869565</v>
      </c>
      <c r="H29" s="33">
        <f t="shared" si="2"/>
        <v>0.26666666666666666</v>
      </c>
      <c r="I29" s="38">
        <f t="shared" si="3"/>
        <v>0.15947234663115192</v>
      </c>
      <c r="J29" s="38">
        <f t="shared" si="4"/>
        <v>0.10072510774462928</v>
      </c>
      <c r="K29" s="38">
        <f t="shared" si="5"/>
        <v>0.19814442631503451</v>
      </c>
      <c r="L29" s="38">
        <f t="shared" si="6"/>
        <v>0.10989035506979229</v>
      </c>
      <c r="M29" s="38">
        <f t="shared" si="7"/>
        <v>1.3436817731582992E-2</v>
      </c>
      <c r="N29" s="38">
        <f t="shared" si="8"/>
        <v>7.0701065044378878E-3</v>
      </c>
      <c r="O29" s="38">
        <f t="shared" si="9"/>
        <v>0.35604936336149395</v>
      </c>
      <c r="P29" s="38">
        <f t="shared" si="10"/>
        <v>0.56986472654353593</v>
      </c>
    </row>
    <row r="30" spans="1:16" ht="13" customHeight="1" x14ac:dyDescent="0.35">
      <c r="A30" t="s">
        <v>2247</v>
      </c>
      <c r="B30" t="s">
        <v>2262</v>
      </c>
      <c r="C30">
        <v>4</v>
      </c>
      <c r="D30">
        <v>9</v>
      </c>
      <c r="E30" s="37">
        <f t="shared" si="0"/>
        <v>0.30769230769230771</v>
      </c>
      <c r="F30" s="37">
        <f t="shared" si="11"/>
        <v>0.69230769230769229</v>
      </c>
      <c r="G30" s="33">
        <f t="shared" si="1"/>
        <v>0.17391304347826086</v>
      </c>
      <c r="H30" s="33">
        <f t="shared" si="2"/>
        <v>0.6</v>
      </c>
      <c r="I30" s="38">
        <f t="shared" si="3"/>
        <v>0.21262979550820257</v>
      </c>
      <c r="J30" s="38">
        <f t="shared" si="4"/>
        <v>0.22663149242541589</v>
      </c>
      <c r="K30" s="38">
        <f t="shared" si="5"/>
        <v>0.26419256842004601</v>
      </c>
      <c r="L30" s="38">
        <f t="shared" si="6"/>
        <v>0.24725329890703265</v>
      </c>
      <c r="M30" s="38">
        <f t="shared" si="7"/>
        <v>1.7915756975443991E-2</v>
      </c>
      <c r="N30" s="38">
        <f t="shared" si="8"/>
        <v>1.5907739634985249E-2</v>
      </c>
      <c r="O30" s="38">
        <f t="shared" si="9"/>
        <v>0.4747324844819919</v>
      </c>
      <c r="P30" s="38">
        <f t="shared" si="10"/>
        <v>1.2821956347229557</v>
      </c>
    </row>
    <row r="31" spans="1:16" ht="13" customHeight="1" x14ac:dyDescent="0.35">
      <c r="A31" t="s">
        <v>2247</v>
      </c>
      <c r="B31" t="s">
        <v>2263</v>
      </c>
      <c r="C31">
        <v>3</v>
      </c>
      <c r="D31">
        <v>10</v>
      </c>
      <c r="E31" s="37">
        <f t="shared" si="0"/>
        <v>0.23076923076923078</v>
      </c>
      <c r="F31" s="37">
        <f t="shared" si="11"/>
        <v>0.76923076923076916</v>
      </c>
      <c r="G31" s="33">
        <f t="shared" si="1"/>
        <v>0.13043478260869565</v>
      </c>
      <c r="H31" s="33">
        <f t="shared" si="2"/>
        <v>0.66666666666666663</v>
      </c>
      <c r="I31" s="38">
        <f t="shared" si="3"/>
        <v>0.15947234663115192</v>
      </c>
      <c r="J31" s="38">
        <f t="shared" si="4"/>
        <v>0.25181276936157315</v>
      </c>
      <c r="K31" s="38">
        <f t="shared" si="5"/>
        <v>0.19814442631503451</v>
      </c>
      <c r="L31" s="38">
        <f t="shared" si="6"/>
        <v>0.2747258876744807</v>
      </c>
      <c r="M31" s="38">
        <f t="shared" si="7"/>
        <v>1.3436817731582992E-2</v>
      </c>
      <c r="N31" s="38">
        <f t="shared" si="8"/>
        <v>1.7675266261094721E-2</v>
      </c>
      <c r="O31" s="38">
        <f t="shared" si="9"/>
        <v>0.35604936336149395</v>
      </c>
      <c r="P31" s="38">
        <f t="shared" si="10"/>
        <v>1.4246618163588398</v>
      </c>
    </row>
    <row r="32" spans="1:16" ht="13" customHeight="1" x14ac:dyDescent="0.35">
      <c r="A32" t="s">
        <v>2247</v>
      </c>
      <c r="B32" t="s">
        <v>204</v>
      </c>
      <c r="C32">
        <v>35</v>
      </c>
      <c r="D32">
        <v>21</v>
      </c>
      <c r="E32" s="37">
        <f t="shared" si="0"/>
        <v>0.625</v>
      </c>
      <c r="F32" s="37">
        <f t="shared" si="11"/>
        <v>0.375</v>
      </c>
      <c r="G32" s="33">
        <f t="shared" si="1"/>
        <v>1.5217391304347827</v>
      </c>
      <c r="H32" s="33">
        <f t="shared" si="2"/>
        <v>1.4</v>
      </c>
      <c r="I32" s="38">
        <f t="shared" si="3"/>
        <v>1.8605107106967727</v>
      </c>
      <c r="J32" s="38">
        <f t="shared" si="4"/>
        <v>0.52880681565930376</v>
      </c>
      <c r="K32" s="38">
        <f t="shared" si="5"/>
        <v>2.3116849736754026</v>
      </c>
      <c r="L32" s="38">
        <f t="shared" si="6"/>
        <v>0.57692436411640946</v>
      </c>
      <c r="M32" s="38">
        <f t="shared" si="7"/>
        <v>0.15676287353513493</v>
      </c>
      <c r="N32" s="38">
        <f t="shared" si="8"/>
        <v>3.7118059148298917E-2</v>
      </c>
      <c r="O32" s="38">
        <f t="shared" si="9"/>
        <v>4.1539092392174295</v>
      </c>
      <c r="P32" s="38">
        <f t="shared" si="10"/>
        <v>2.9917898143535635</v>
      </c>
    </row>
    <row r="33" spans="1:16" ht="13" customHeight="1" x14ac:dyDescent="0.35">
      <c r="A33" t="s">
        <v>2248</v>
      </c>
      <c r="B33" t="s">
        <v>2264</v>
      </c>
      <c r="C33">
        <v>28</v>
      </c>
      <c r="D33">
        <v>42</v>
      </c>
      <c r="E33" s="37">
        <f t="shared" si="0"/>
        <v>0.4</v>
      </c>
      <c r="F33" s="37">
        <f t="shared" si="11"/>
        <v>0.6</v>
      </c>
      <c r="G33" s="33">
        <f t="shared" si="1"/>
        <v>1.2173913043478262</v>
      </c>
      <c r="H33" s="33">
        <f t="shared" si="2"/>
        <v>2.8</v>
      </c>
      <c r="I33" s="38">
        <f t="shared" si="3"/>
        <v>1.488408568557418</v>
      </c>
      <c r="J33" s="38">
        <f t="shared" si="4"/>
        <v>1.0576136313186075</v>
      </c>
      <c r="K33" s="38">
        <f t="shared" si="5"/>
        <v>1.8493479789403222</v>
      </c>
      <c r="L33" s="38">
        <f t="shared" si="6"/>
        <v>1.1538487282328189</v>
      </c>
      <c r="M33" s="38">
        <f t="shared" si="7"/>
        <v>0.12541029882810795</v>
      </c>
      <c r="N33" s="38">
        <f t="shared" si="8"/>
        <v>7.4236118296597833E-2</v>
      </c>
      <c r="O33" s="38">
        <f t="shared" si="9"/>
        <v>3.3231273913739434</v>
      </c>
      <c r="P33" s="38">
        <f t="shared" si="10"/>
        <v>5.983579628707127</v>
      </c>
    </row>
    <row r="34" spans="1:16" ht="13" customHeight="1" x14ac:dyDescent="0.35">
      <c r="A34" t="s">
        <v>2248</v>
      </c>
      <c r="B34" t="s">
        <v>2265</v>
      </c>
      <c r="C34">
        <v>29</v>
      </c>
      <c r="D34">
        <v>20</v>
      </c>
      <c r="E34" s="37">
        <f t="shared" si="0"/>
        <v>0.59183673469387754</v>
      </c>
      <c r="F34" s="37">
        <f t="shared" si="11"/>
        <v>0.40816326530612246</v>
      </c>
      <c r="G34" s="33">
        <f t="shared" si="1"/>
        <v>1.2608695652173914</v>
      </c>
      <c r="H34" s="33">
        <f t="shared" si="2"/>
        <v>1.3333333333333333</v>
      </c>
      <c r="I34" s="38">
        <f t="shared" si="3"/>
        <v>1.5415660174344687</v>
      </c>
      <c r="J34" s="38">
        <f t="shared" si="4"/>
        <v>0.5036255387231463</v>
      </c>
      <c r="K34" s="38">
        <f t="shared" si="5"/>
        <v>1.9153961210453336</v>
      </c>
      <c r="L34" s="38">
        <f t="shared" si="6"/>
        <v>0.54945177534896139</v>
      </c>
      <c r="M34" s="38">
        <f t="shared" si="7"/>
        <v>0.12988923807196895</v>
      </c>
      <c r="N34" s="38">
        <f t="shared" si="8"/>
        <v>3.5350532522189441E-2</v>
      </c>
      <c r="O34" s="38">
        <f t="shared" si="9"/>
        <v>3.4418105124944414</v>
      </c>
      <c r="P34" s="38">
        <f t="shared" si="10"/>
        <v>2.8493236327176796</v>
      </c>
    </row>
    <row r="35" spans="1:16" ht="13" customHeight="1" x14ac:dyDescent="0.35">
      <c r="A35" t="s">
        <v>2248</v>
      </c>
      <c r="B35" t="s">
        <v>2266</v>
      </c>
      <c r="C35">
        <v>18</v>
      </c>
      <c r="D35">
        <v>26</v>
      </c>
      <c r="E35" s="37">
        <f t="shared" si="0"/>
        <v>0.40909090909090912</v>
      </c>
      <c r="F35" s="37">
        <f t="shared" si="11"/>
        <v>0.59090909090909083</v>
      </c>
      <c r="G35" s="33">
        <f t="shared" si="1"/>
        <v>0.78260869565217395</v>
      </c>
      <c r="H35" s="33">
        <f t="shared" si="2"/>
        <v>1.7333333333333334</v>
      </c>
      <c r="I35" s="38">
        <f t="shared" si="3"/>
        <v>0.9568340797869116</v>
      </c>
      <c r="J35" s="38">
        <f t="shared" si="4"/>
        <v>0.6547132003400904</v>
      </c>
      <c r="K35" s="38">
        <f t="shared" si="5"/>
        <v>1.1888665578902071</v>
      </c>
      <c r="L35" s="38">
        <f t="shared" si="6"/>
        <v>0.71428730795364981</v>
      </c>
      <c r="M35" s="38">
        <f t="shared" si="7"/>
        <v>8.0620906389497968E-2</v>
      </c>
      <c r="N35" s="38">
        <f t="shared" si="8"/>
        <v>4.5955692278846272E-2</v>
      </c>
      <c r="O35" s="38">
        <f t="shared" si="9"/>
        <v>2.1362961801689635</v>
      </c>
      <c r="P35" s="38">
        <f t="shared" si="10"/>
        <v>3.7041207225329833</v>
      </c>
    </row>
    <row r="36" spans="1:16" ht="13" customHeight="1" x14ac:dyDescent="0.35">
      <c r="A36" t="s">
        <v>2248</v>
      </c>
      <c r="B36" t="s">
        <v>2267</v>
      </c>
      <c r="C36">
        <v>36</v>
      </c>
      <c r="D36">
        <v>48</v>
      </c>
      <c r="E36" s="37">
        <f t="shared" si="0"/>
        <v>0.42857142857142855</v>
      </c>
      <c r="F36" s="37">
        <f t="shared" si="11"/>
        <v>0.5714285714285714</v>
      </c>
      <c r="G36" s="33">
        <f t="shared" si="1"/>
        <v>1.5652173913043479</v>
      </c>
      <c r="H36" s="33">
        <f t="shared" si="2"/>
        <v>3.2</v>
      </c>
      <c r="I36" s="38">
        <f t="shared" si="3"/>
        <v>1.9136681595738232</v>
      </c>
      <c r="J36" s="38">
        <f t="shared" si="4"/>
        <v>1.2087012929355514</v>
      </c>
      <c r="K36" s="38">
        <f t="shared" si="5"/>
        <v>2.3777331157804142</v>
      </c>
      <c r="L36" s="38">
        <f t="shared" si="6"/>
        <v>1.3186842608375076</v>
      </c>
      <c r="M36" s="38">
        <f t="shared" si="7"/>
        <v>0.16124181277899594</v>
      </c>
      <c r="N36" s="38">
        <f t="shared" si="8"/>
        <v>8.4841278053254657E-2</v>
      </c>
      <c r="O36" s="38">
        <f t="shared" si="9"/>
        <v>4.272592360337927</v>
      </c>
      <c r="P36" s="38">
        <f t="shared" si="10"/>
        <v>6.8383767185224311</v>
      </c>
    </row>
    <row r="37" spans="1:16" ht="13" customHeight="1" x14ac:dyDescent="0.35">
      <c r="A37" t="s">
        <v>2248</v>
      </c>
      <c r="B37" t="s">
        <v>2268</v>
      </c>
      <c r="C37">
        <v>86</v>
      </c>
      <c r="D37">
        <v>55</v>
      </c>
      <c r="E37" s="37">
        <f t="shared" si="0"/>
        <v>0.60992907801418439</v>
      </c>
      <c r="F37" s="37">
        <f t="shared" si="11"/>
        <v>0.39007092198581561</v>
      </c>
      <c r="G37" s="33">
        <f t="shared" si="1"/>
        <v>3.7391304347826089</v>
      </c>
      <c r="H37" s="33">
        <f t="shared" si="2"/>
        <v>3.6666666666666665</v>
      </c>
      <c r="I37" s="38">
        <f t="shared" si="3"/>
        <v>4.5715406034263557</v>
      </c>
      <c r="J37" s="38">
        <f t="shared" si="4"/>
        <v>1.3849702314886525</v>
      </c>
      <c r="K37" s="38">
        <f t="shared" si="5"/>
        <v>5.6801402210309897</v>
      </c>
      <c r="L37" s="38">
        <f t="shared" si="6"/>
        <v>1.510992382209644</v>
      </c>
      <c r="M37" s="38">
        <f t="shared" si="7"/>
        <v>0.38518877497204579</v>
      </c>
      <c r="N37" s="38">
        <f t="shared" si="8"/>
        <v>9.7213964436020969E-2</v>
      </c>
      <c r="O37" s="38">
        <f t="shared" si="9"/>
        <v>10.206748416362826</v>
      </c>
      <c r="P37" s="38">
        <f t="shared" si="10"/>
        <v>7.8356399899736182</v>
      </c>
    </row>
    <row r="38" spans="1:16" ht="13" customHeight="1" x14ac:dyDescent="0.35">
      <c r="A38" t="s">
        <v>2248</v>
      </c>
      <c r="B38" t="s">
        <v>201</v>
      </c>
      <c r="C38">
        <v>0</v>
      </c>
      <c r="D38">
        <v>2</v>
      </c>
      <c r="E38" s="37">
        <f t="shared" si="0"/>
        <v>0</v>
      </c>
      <c r="F38" s="37">
        <f t="shared" si="11"/>
        <v>1</v>
      </c>
      <c r="G38" s="33">
        <f t="shared" si="1"/>
        <v>0</v>
      </c>
      <c r="H38" s="33">
        <f t="shared" si="2"/>
        <v>0.13333333333333333</v>
      </c>
      <c r="I38" s="38">
        <f t="shared" si="3"/>
        <v>0</v>
      </c>
      <c r="J38" s="38">
        <f t="shared" si="4"/>
        <v>5.0362553872314642E-2</v>
      </c>
      <c r="K38" s="38">
        <f t="shared" si="5"/>
        <v>0</v>
      </c>
      <c r="L38" s="38">
        <f t="shared" si="6"/>
        <v>5.4945177534896146E-2</v>
      </c>
      <c r="M38" s="38">
        <f t="shared" si="7"/>
        <v>0</v>
      </c>
      <c r="N38" s="38">
        <f t="shared" si="8"/>
        <v>3.5350532522189439E-3</v>
      </c>
      <c r="O38" s="38">
        <f t="shared" si="9"/>
        <v>0</v>
      </c>
      <c r="P38" s="38">
        <f t="shared" si="10"/>
        <v>0.28493236327176796</v>
      </c>
    </row>
    <row r="39" spans="1:16" ht="13" customHeight="1" x14ac:dyDescent="0.35">
      <c r="A39" t="s">
        <v>2249</v>
      </c>
      <c r="B39" t="s">
        <v>2270</v>
      </c>
      <c r="C39">
        <v>106</v>
      </c>
      <c r="D39">
        <v>72</v>
      </c>
      <c r="E39" s="37">
        <f t="shared" si="0"/>
        <v>0.5955056179775281</v>
      </c>
      <c r="F39" s="37">
        <f t="shared" si="11"/>
        <v>0.4044943820224719</v>
      </c>
      <c r="G39" s="33">
        <f t="shared" si="1"/>
        <v>4.6086956521739131</v>
      </c>
      <c r="H39" s="33">
        <f t="shared" si="2"/>
        <v>4.8</v>
      </c>
      <c r="I39" s="38">
        <f t="shared" si="3"/>
        <v>5.6346895809673683</v>
      </c>
      <c r="J39" s="38">
        <f t="shared" si="4"/>
        <v>1.8130519394033271</v>
      </c>
      <c r="K39" s="38">
        <f t="shared" si="5"/>
        <v>7.0011030631312199</v>
      </c>
      <c r="L39" s="38">
        <f t="shared" si="6"/>
        <v>1.9780263912562612</v>
      </c>
      <c r="M39" s="38">
        <f t="shared" si="7"/>
        <v>0.47476755984926583</v>
      </c>
      <c r="N39" s="38">
        <f t="shared" si="8"/>
        <v>0.12726191707988199</v>
      </c>
      <c r="O39" s="38">
        <f t="shared" si="9"/>
        <v>12.580410838772785</v>
      </c>
      <c r="P39" s="38">
        <f t="shared" si="10"/>
        <v>10.257565077783646</v>
      </c>
    </row>
    <row r="40" spans="1:16" ht="13" customHeight="1" x14ac:dyDescent="0.35">
      <c r="A40" t="s">
        <v>2249</v>
      </c>
      <c r="B40" t="s">
        <v>2271</v>
      </c>
      <c r="C40">
        <v>30</v>
      </c>
      <c r="D40">
        <v>22</v>
      </c>
      <c r="E40" s="37">
        <f t="shared" si="0"/>
        <v>0.57692307692307687</v>
      </c>
      <c r="F40" s="37">
        <f t="shared" si="11"/>
        <v>0.42307692307692313</v>
      </c>
      <c r="G40" s="33">
        <f t="shared" si="1"/>
        <v>1.3043478260869565</v>
      </c>
      <c r="H40" s="33">
        <f t="shared" si="2"/>
        <v>1.4666666666666666</v>
      </c>
      <c r="I40" s="38">
        <f t="shared" si="3"/>
        <v>1.5947234663115193</v>
      </c>
      <c r="J40" s="38">
        <f t="shared" si="4"/>
        <v>0.553988092595461</v>
      </c>
      <c r="K40" s="38">
        <f t="shared" si="5"/>
        <v>1.9814442631503451</v>
      </c>
      <c r="L40" s="38">
        <f t="shared" si="6"/>
        <v>0.60439695288385764</v>
      </c>
      <c r="M40" s="38">
        <f t="shared" si="7"/>
        <v>0.13436817731582995</v>
      </c>
      <c r="N40" s="38">
        <f t="shared" si="8"/>
        <v>3.8885585774408385E-2</v>
      </c>
      <c r="O40" s="38">
        <f t="shared" si="9"/>
        <v>3.5604936336149393</v>
      </c>
      <c r="P40" s="38">
        <f t="shared" si="10"/>
        <v>3.1342559959894474</v>
      </c>
    </row>
    <row r="41" spans="1:16" ht="13" customHeight="1" x14ac:dyDescent="0.35">
      <c r="A41" t="s">
        <v>2249</v>
      </c>
      <c r="B41" t="s">
        <v>2272</v>
      </c>
      <c r="C41">
        <v>5</v>
      </c>
      <c r="D41">
        <v>9</v>
      </c>
      <c r="E41" s="37">
        <f t="shared" si="0"/>
        <v>0.35714285714285715</v>
      </c>
      <c r="F41" s="37">
        <f t="shared" si="11"/>
        <v>0.64285714285714279</v>
      </c>
      <c r="G41" s="33">
        <f t="shared" si="1"/>
        <v>0.21739130434782608</v>
      </c>
      <c r="H41" s="33">
        <f t="shared" si="2"/>
        <v>0.6</v>
      </c>
      <c r="I41" s="38">
        <f t="shared" si="3"/>
        <v>0.2657872443852532</v>
      </c>
      <c r="J41" s="38">
        <f t="shared" si="4"/>
        <v>0.22663149242541589</v>
      </c>
      <c r="K41" s="38">
        <f t="shared" si="5"/>
        <v>0.33024071052505749</v>
      </c>
      <c r="L41" s="38">
        <f t="shared" si="6"/>
        <v>0.24725329890703265</v>
      </c>
      <c r="M41" s="38">
        <f t="shared" si="7"/>
        <v>2.2394696219304989E-2</v>
      </c>
      <c r="N41" s="38">
        <f t="shared" si="8"/>
        <v>1.5907739634985249E-2</v>
      </c>
      <c r="O41" s="38">
        <f t="shared" si="9"/>
        <v>0.59341560560248985</v>
      </c>
      <c r="P41" s="38">
        <f t="shared" si="10"/>
        <v>1.2821956347229557</v>
      </c>
    </row>
    <row r="42" spans="1:16" ht="13" customHeight="1" x14ac:dyDescent="0.35">
      <c r="A42" t="s">
        <v>2249</v>
      </c>
      <c r="B42" t="s">
        <v>201</v>
      </c>
      <c r="C42">
        <v>12</v>
      </c>
      <c r="D42">
        <v>7</v>
      </c>
      <c r="E42" s="37">
        <f t="shared" si="0"/>
        <v>0.63157894736842102</v>
      </c>
      <c r="F42" s="37">
        <f t="shared" si="11"/>
        <v>0.36842105263157898</v>
      </c>
      <c r="G42" s="33">
        <f t="shared" si="1"/>
        <v>0.52173913043478259</v>
      </c>
      <c r="H42" s="33">
        <f t="shared" si="2"/>
        <v>0.46666666666666667</v>
      </c>
      <c r="I42" s="38">
        <f t="shared" si="3"/>
        <v>0.63788938652460769</v>
      </c>
      <c r="J42" s="38">
        <f t="shared" si="4"/>
        <v>0.17626893855310125</v>
      </c>
      <c r="K42" s="38">
        <f t="shared" si="5"/>
        <v>0.79257770526013804</v>
      </c>
      <c r="L42" s="38">
        <f t="shared" si="6"/>
        <v>0.19230812137213649</v>
      </c>
      <c r="M42" s="38">
        <f t="shared" si="7"/>
        <v>5.3747270926331969E-2</v>
      </c>
      <c r="N42" s="38">
        <f t="shared" si="8"/>
        <v>1.2372686382766304E-2</v>
      </c>
      <c r="O42" s="38">
        <f t="shared" si="9"/>
        <v>1.4241974534459758</v>
      </c>
      <c r="P42" s="38">
        <f t="shared" si="10"/>
        <v>0.99726327145118787</v>
      </c>
    </row>
    <row r="43" spans="1:16" ht="13" customHeight="1" x14ac:dyDescent="0.35">
      <c r="A43" t="s">
        <v>2250</v>
      </c>
      <c r="B43" t="s">
        <v>2273</v>
      </c>
      <c r="C43">
        <v>3</v>
      </c>
      <c r="D43">
        <v>3</v>
      </c>
      <c r="E43" s="37">
        <f t="shared" si="0"/>
        <v>0.5</v>
      </c>
      <c r="F43" s="37">
        <f t="shared" si="11"/>
        <v>0.5</v>
      </c>
      <c r="G43" s="33">
        <f t="shared" si="1"/>
        <v>0.13043478260869565</v>
      </c>
      <c r="H43" s="33">
        <f t="shared" si="2"/>
        <v>0.2</v>
      </c>
      <c r="I43" s="38">
        <f t="shared" si="3"/>
        <v>0.15947234663115192</v>
      </c>
      <c r="J43" s="38">
        <f t="shared" si="4"/>
        <v>7.5543830808471962E-2</v>
      </c>
      <c r="K43" s="38">
        <f t="shared" si="5"/>
        <v>0.19814442631503451</v>
      </c>
      <c r="L43" s="38">
        <f t="shared" si="6"/>
        <v>8.2417766302344223E-2</v>
      </c>
      <c r="M43" s="38">
        <f t="shared" si="7"/>
        <v>1.3436817731582992E-2</v>
      </c>
      <c r="N43" s="38">
        <f t="shared" si="8"/>
        <v>5.302579878328416E-3</v>
      </c>
      <c r="O43" s="38">
        <f t="shared" si="9"/>
        <v>0.35604936336149395</v>
      </c>
      <c r="P43" s="38">
        <f t="shared" si="10"/>
        <v>0.42739854490765194</v>
      </c>
    </row>
    <row r="44" spans="1:16" ht="13" customHeight="1" x14ac:dyDescent="0.35">
      <c r="A44" t="s">
        <v>2251</v>
      </c>
      <c r="B44" t="s">
        <v>2269</v>
      </c>
      <c r="C44">
        <v>96</v>
      </c>
      <c r="D44">
        <v>62</v>
      </c>
      <c r="E44" s="37">
        <f t="shared" si="0"/>
        <v>0.60759493670886078</v>
      </c>
      <c r="F44" s="37">
        <f t="shared" si="11"/>
        <v>0.39240506329113922</v>
      </c>
      <c r="G44" s="33">
        <f t="shared" si="1"/>
        <v>4.1739130434782608</v>
      </c>
      <c r="H44" s="33">
        <f t="shared" si="2"/>
        <v>4.1333333333333337</v>
      </c>
      <c r="I44" s="38">
        <f t="shared" si="3"/>
        <v>5.1031150921968615</v>
      </c>
      <c r="J44" s="38">
        <f t="shared" si="4"/>
        <v>1.5612391700417538</v>
      </c>
      <c r="K44" s="38">
        <f t="shared" si="5"/>
        <v>6.3406216420811043</v>
      </c>
      <c r="L44" s="38">
        <f t="shared" si="6"/>
        <v>1.7033005035817805</v>
      </c>
      <c r="M44" s="38">
        <f t="shared" si="7"/>
        <v>0.42997816741065575</v>
      </c>
      <c r="N44" s="38">
        <f t="shared" si="8"/>
        <v>0.10958665081878728</v>
      </c>
      <c r="O44" s="38">
        <f t="shared" si="9"/>
        <v>11.393579627567807</v>
      </c>
      <c r="P44" s="38">
        <f t="shared" si="10"/>
        <v>8.8329032614248071</v>
      </c>
    </row>
    <row r="45" spans="1:16" ht="13" customHeight="1" x14ac:dyDescent="0.35">
      <c r="A45" t="s">
        <v>201</v>
      </c>
      <c r="B45" t="s">
        <v>201</v>
      </c>
      <c r="C45">
        <v>1</v>
      </c>
      <c r="D45">
        <v>1</v>
      </c>
      <c r="E45" s="37">
        <f t="shared" ref="E45" si="12">C45/(C45+D45)</f>
        <v>0.5</v>
      </c>
      <c r="F45" s="37">
        <f t="shared" si="11"/>
        <v>0.5</v>
      </c>
      <c r="G45" s="33">
        <f t="shared" ref="G45" si="13">C45/23</f>
        <v>4.3478260869565216E-2</v>
      </c>
      <c r="H45" s="33">
        <f t="shared" ref="H45" si="14">D45/15</f>
        <v>6.6666666666666666E-2</v>
      </c>
      <c r="I45" s="38">
        <f t="shared" si="3"/>
        <v>5.3157448877050643E-2</v>
      </c>
      <c r="J45" s="38">
        <f t="shared" si="4"/>
        <v>2.5181276936157321E-2</v>
      </c>
      <c r="K45" s="38">
        <f t="shared" si="5"/>
        <v>6.6048142105011504E-2</v>
      </c>
      <c r="L45" s="38">
        <f t="shared" si="6"/>
        <v>2.7472588767448073E-2</v>
      </c>
      <c r="M45" s="38">
        <f t="shared" si="7"/>
        <v>4.4789392438609977E-3</v>
      </c>
      <c r="N45" s="38">
        <f t="shared" si="8"/>
        <v>1.7675266261094719E-3</v>
      </c>
      <c r="O45" s="38">
        <f t="shared" si="9"/>
        <v>0.11868312112049798</v>
      </c>
      <c r="P45" s="38">
        <f t="shared" si="10"/>
        <v>0.14246618163588398</v>
      </c>
    </row>
    <row r="46" spans="1:16" ht="13" customHeight="1" x14ac:dyDescent="0.35">
      <c r="A46"/>
      <c r="B46"/>
      <c r="C46"/>
      <c r="D46"/>
      <c r="E46" s="37"/>
      <c r="F46" s="37"/>
      <c r="I46" s="38"/>
      <c r="J46" s="38"/>
      <c r="K46" s="38"/>
      <c r="L46" s="38"/>
      <c r="M46" s="38"/>
      <c r="N46" s="38"/>
      <c r="O46" s="38"/>
      <c r="P46" s="38"/>
    </row>
    <row r="47" spans="1:16" ht="13" customHeight="1" x14ac:dyDescent="0.35">
      <c r="A47"/>
      <c r="B47"/>
      <c r="C47"/>
      <c r="D47"/>
      <c r="E47" s="37"/>
      <c r="F47" s="37"/>
      <c r="I47" s="38"/>
      <c r="J47" s="38"/>
      <c r="K47" s="38"/>
      <c r="L47" s="38"/>
      <c r="M47" s="38"/>
      <c r="N47" s="38"/>
      <c r="O47" s="38"/>
      <c r="P47" s="38"/>
    </row>
    <row r="48" spans="1:16" ht="13" customHeight="1" x14ac:dyDescent="0.35">
      <c r="A48"/>
      <c r="B48"/>
      <c r="C48"/>
      <c r="D48"/>
      <c r="E48" s="37"/>
      <c r="F48" s="37"/>
      <c r="I48" s="38"/>
      <c r="J48" s="38"/>
      <c r="K48" s="38"/>
      <c r="L48" s="38"/>
      <c r="M48" s="38"/>
      <c r="N48" s="38"/>
      <c r="O48" s="38"/>
      <c r="P48" s="38"/>
    </row>
    <row r="49" spans="1:16" ht="13" customHeight="1" x14ac:dyDescent="0.35">
      <c r="A49"/>
      <c r="B49"/>
      <c r="C49"/>
      <c r="D49"/>
      <c r="E49" s="37"/>
      <c r="F49" s="37"/>
      <c r="I49" s="38"/>
      <c r="J49" s="38"/>
      <c r="K49" s="38"/>
      <c r="L49" s="38"/>
      <c r="M49" s="38"/>
      <c r="N49" s="38"/>
      <c r="O49" s="38"/>
      <c r="P49" s="38"/>
    </row>
    <row r="50" spans="1:16" ht="13" customHeight="1" x14ac:dyDescent="0.35">
      <c r="A50"/>
      <c r="B50"/>
      <c r="C50"/>
      <c r="D50"/>
      <c r="E50" s="37"/>
      <c r="F50" s="37"/>
      <c r="I50" s="38"/>
      <c r="J50" s="38"/>
      <c r="K50" s="38"/>
      <c r="L50" s="38"/>
      <c r="M50" s="38"/>
      <c r="N50" s="38"/>
      <c r="O50" s="38"/>
      <c r="P50" s="38"/>
    </row>
    <row r="51" spans="1:16" ht="13" customHeight="1" x14ac:dyDescent="0.35">
      <c r="A51"/>
      <c r="B51"/>
      <c r="C51"/>
      <c r="D51"/>
      <c r="E51" s="37"/>
      <c r="F51" s="37"/>
      <c r="I51" s="38"/>
      <c r="J51" s="38"/>
      <c r="K51" s="38"/>
      <c r="L51" s="38"/>
      <c r="M51" s="38"/>
      <c r="N51" s="38"/>
      <c r="O51" s="38"/>
      <c r="P51" s="38"/>
    </row>
    <row r="52" spans="1:16" ht="13" customHeight="1" x14ac:dyDescent="0.35">
      <c r="A52"/>
      <c r="B52"/>
      <c r="C52"/>
      <c r="D52"/>
      <c r="E52" s="37"/>
      <c r="F52" s="37"/>
      <c r="I52" s="38"/>
      <c r="J52" s="38"/>
      <c r="K52" s="38"/>
      <c r="L52" s="38"/>
      <c r="M52" s="38"/>
      <c r="N52" s="38"/>
      <c r="O52" s="38"/>
      <c r="P52" s="38"/>
    </row>
    <row r="53" spans="1:16" ht="13" customHeight="1" x14ac:dyDescent="0.35">
      <c r="A53"/>
      <c r="B53"/>
      <c r="C53"/>
      <c r="D53"/>
      <c r="E53" s="37"/>
      <c r="F53" s="37"/>
      <c r="I53" s="38"/>
      <c r="J53" s="38"/>
      <c r="K53" s="38"/>
      <c r="L53" s="38"/>
      <c r="M53" s="38"/>
      <c r="N53" s="38"/>
      <c r="O53" s="38"/>
      <c r="P53" s="38"/>
    </row>
    <row r="54" spans="1:16" ht="13" customHeight="1" x14ac:dyDescent="0.35">
      <c r="A54"/>
      <c r="B54"/>
      <c r="C54"/>
      <c r="D54"/>
      <c r="E54" s="37"/>
      <c r="F54" s="37"/>
      <c r="I54" s="38"/>
      <c r="J54" s="38"/>
      <c r="K54" s="38"/>
      <c r="L54" s="38"/>
      <c r="M54" s="38"/>
      <c r="N54" s="38"/>
      <c r="O54" s="38"/>
      <c r="P54" s="38"/>
    </row>
    <row r="55" spans="1:16" ht="13" customHeight="1" x14ac:dyDescent="0.35">
      <c r="A55"/>
      <c r="B55"/>
      <c r="C55"/>
      <c r="D55"/>
      <c r="E55" s="37"/>
      <c r="F55" s="37"/>
      <c r="I55" s="38"/>
      <c r="J55" s="38"/>
      <c r="K55" s="38"/>
      <c r="L55" s="38"/>
      <c r="M55" s="38"/>
      <c r="N55" s="38"/>
      <c r="O55" s="38"/>
      <c r="P55" s="38"/>
    </row>
    <row r="56" spans="1:16" ht="13" customHeight="1" x14ac:dyDescent="0.35">
      <c r="A56"/>
      <c r="B56"/>
      <c r="C56"/>
      <c r="D56"/>
      <c r="E56" s="37"/>
      <c r="F56" s="37"/>
      <c r="I56" s="38"/>
      <c r="J56" s="38"/>
      <c r="K56" s="38"/>
      <c r="L56" s="38"/>
      <c r="M56" s="38"/>
      <c r="N56" s="38"/>
      <c r="O56" s="38"/>
      <c r="P56" s="38"/>
    </row>
    <row r="57" spans="1:16" ht="13" customHeight="1" x14ac:dyDescent="0.35">
      <c r="A57"/>
      <c r="B57"/>
      <c r="C57"/>
      <c r="D57"/>
      <c r="E57" s="37"/>
      <c r="F57" s="37"/>
      <c r="I57" s="38"/>
      <c r="J57" s="38"/>
      <c r="K57" s="38"/>
      <c r="L57" s="38"/>
      <c r="M57" s="38"/>
      <c r="N57" s="38"/>
      <c r="O57" s="38"/>
      <c r="P57" s="38"/>
    </row>
    <row r="58" spans="1:16" ht="13" customHeight="1" x14ac:dyDescent="0.35">
      <c r="A58"/>
      <c r="B58"/>
      <c r="C58"/>
      <c r="D58"/>
      <c r="E58" s="37"/>
      <c r="F58" s="37"/>
      <c r="I58" s="38"/>
      <c r="J58" s="38"/>
      <c r="K58" s="38"/>
      <c r="L58" s="38"/>
      <c r="M58" s="38"/>
      <c r="N58" s="38"/>
      <c r="O58" s="38"/>
      <c r="P58" s="38"/>
    </row>
    <row r="59" spans="1:16" ht="13" customHeight="1" x14ac:dyDescent="0.35">
      <c r="A59"/>
      <c r="B59"/>
      <c r="C59"/>
      <c r="D59"/>
      <c r="E59" s="37"/>
      <c r="F59" s="37"/>
      <c r="I59" s="38"/>
      <c r="J59" s="38"/>
      <c r="K59" s="38"/>
      <c r="L59" s="38"/>
      <c r="M59" s="38"/>
      <c r="N59" s="38"/>
      <c r="O59" s="38"/>
      <c r="P59" s="38"/>
    </row>
    <row r="60" spans="1:16" ht="13" customHeight="1" x14ac:dyDescent="0.35">
      <c r="A60"/>
      <c r="B60"/>
      <c r="C60"/>
      <c r="D60"/>
      <c r="E60" s="37"/>
      <c r="F60" s="37"/>
      <c r="I60" s="38"/>
      <c r="J60" s="38"/>
      <c r="K60" s="38"/>
      <c r="L60" s="38"/>
      <c r="M60" s="38"/>
      <c r="N60" s="38"/>
      <c r="O60" s="38"/>
      <c r="P60" s="38"/>
    </row>
    <row r="61" spans="1:16" ht="13" customHeight="1" x14ac:dyDescent="0.35">
      <c r="A61"/>
      <c r="B61"/>
      <c r="C61"/>
      <c r="D61"/>
      <c r="E61" s="37"/>
      <c r="F61" s="37"/>
      <c r="I61" s="38"/>
      <c r="J61" s="38"/>
      <c r="K61" s="38"/>
      <c r="L61" s="38"/>
      <c r="M61" s="38"/>
      <c r="N61" s="38"/>
      <c r="O61" s="38"/>
      <c r="P61" s="38"/>
    </row>
    <row r="62" spans="1:16" ht="13" customHeight="1" x14ac:dyDescent="0.35">
      <c r="A62"/>
      <c r="B62"/>
      <c r="C62"/>
      <c r="D62"/>
      <c r="E62" s="37"/>
      <c r="F62" s="37"/>
      <c r="I62" s="38"/>
      <c r="J62" s="38"/>
      <c r="K62" s="38"/>
      <c r="L62" s="38"/>
      <c r="M62" s="38"/>
      <c r="N62" s="38"/>
      <c r="O62" s="38"/>
      <c r="P62" s="38"/>
    </row>
    <row r="63" spans="1:16" ht="13" customHeight="1" x14ac:dyDescent="0.35">
      <c r="A63"/>
      <c r="B63"/>
      <c r="C63"/>
      <c r="D63"/>
      <c r="E63" s="37"/>
      <c r="F63" s="37"/>
      <c r="I63" s="38"/>
      <c r="J63" s="38"/>
      <c r="K63" s="38"/>
      <c r="L63" s="38"/>
      <c r="M63" s="38"/>
      <c r="N63" s="38"/>
      <c r="O63" s="38"/>
      <c r="P63" s="38"/>
    </row>
    <row r="64" spans="1:16" ht="13" customHeight="1" x14ac:dyDescent="0.35">
      <c r="A64"/>
      <c r="B64"/>
      <c r="C64"/>
      <c r="D64"/>
      <c r="E64" s="37"/>
      <c r="F64" s="37"/>
      <c r="I64" s="38"/>
      <c r="J64" s="38"/>
      <c r="K64" s="38"/>
      <c r="L64" s="38"/>
      <c r="M64" s="38"/>
      <c r="N64" s="38"/>
      <c r="O64" s="38"/>
      <c r="P64" s="38"/>
    </row>
    <row r="65" spans="1:16" ht="13" customHeight="1" x14ac:dyDescent="0.35">
      <c r="A65"/>
      <c r="B65"/>
      <c r="C65"/>
      <c r="D65"/>
      <c r="E65" s="37"/>
      <c r="F65" s="37"/>
      <c r="I65" s="38"/>
      <c r="J65" s="38"/>
      <c r="K65" s="38"/>
      <c r="L65" s="38"/>
      <c r="M65" s="38"/>
      <c r="N65" s="38"/>
      <c r="O65" s="38"/>
      <c r="P65" s="38"/>
    </row>
    <row r="66" spans="1:16" ht="13" customHeight="1" x14ac:dyDescent="0.35">
      <c r="A66"/>
      <c r="B66"/>
      <c r="C66"/>
      <c r="D66"/>
      <c r="E66" s="37"/>
      <c r="F66" s="37"/>
      <c r="I66" s="38"/>
      <c r="J66" s="38"/>
      <c r="K66" s="38"/>
      <c r="L66" s="38"/>
      <c r="M66" s="38"/>
      <c r="N66" s="38"/>
      <c r="O66" s="38"/>
      <c r="P66" s="38"/>
    </row>
    <row r="67" spans="1:16" ht="13" customHeight="1" x14ac:dyDescent="0.35">
      <c r="A67"/>
      <c r="B67"/>
      <c r="C67"/>
      <c r="D67"/>
      <c r="E67" s="37"/>
      <c r="F67" s="37"/>
      <c r="I67" s="38"/>
      <c r="J67" s="38"/>
      <c r="K67" s="38"/>
      <c r="L67" s="38"/>
      <c r="M67" s="38"/>
      <c r="N67" s="38"/>
      <c r="O67" s="38"/>
      <c r="P67" s="38"/>
    </row>
    <row r="68" spans="1:16" ht="13" customHeight="1" x14ac:dyDescent="0.35">
      <c r="A68"/>
      <c r="B68"/>
      <c r="C68"/>
      <c r="D68"/>
      <c r="E68" s="37"/>
      <c r="F68" s="37"/>
      <c r="I68" s="38"/>
      <c r="J68" s="38"/>
      <c r="K68" s="38"/>
      <c r="L68" s="38"/>
      <c r="M68" s="38"/>
      <c r="N68" s="38"/>
      <c r="O68" s="38"/>
      <c r="P68" s="38"/>
    </row>
    <row r="69" spans="1:16" ht="13" customHeight="1" x14ac:dyDescent="0.35">
      <c r="A69"/>
      <c r="B69"/>
      <c r="C69"/>
      <c r="D69"/>
      <c r="E69" s="37"/>
      <c r="F69" s="37"/>
      <c r="I69" s="38"/>
      <c r="J69" s="38"/>
      <c r="K69" s="38"/>
      <c r="L69" s="38"/>
      <c r="M69" s="38"/>
      <c r="N69" s="38"/>
      <c r="O69" s="38"/>
      <c r="P69" s="38"/>
    </row>
    <row r="70" spans="1:16" ht="13" customHeight="1" x14ac:dyDescent="0.35">
      <c r="A70"/>
      <c r="B70"/>
      <c r="C70"/>
      <c r="D70"/>
      <c r="E70" s="37"/>
      <c r="F70" s="37"/>
      <c r="I70" s="38"/>
      <c r="J70" s="38"/>
      <c r="K70" s="38"/>
      <c r="L70" s="38"/>
      <c r="M70" s="38"/>
      <c r="N70" s="38"/>
      <c r="O70" s="38"/>
      <c r="P70" s="38"/>
    </row>
    <row r="71" spans="1:16" ht="13" customHeight="1" x14ac:dyDescent="0.35">
      <c r="A71"/>
      <c r="B71"/>
      <c r="C71"/>
      <c r="D71"/>
      <c r="E71" s="37"/>
      <c r="F71" s="37"/>
      <c r="I71" s="38"/>
      <c r="J71" s="38"/>
      <c r="K71" s="38"/>
      <c r="L71" s="38"/>
      <c r="M71" s="38"/>
      <c r="N71" s="38"/>
      <c r="O71" s="38"/>
      <c r="P71" s="38"/>
    </row>
    <row r="72" spans="1:16" ht="13" customHeight="1" x14ac:dyDescent="0.35">
      <c r="A72"/>
      <c r="B72"/>
      <c r="C72"/>
      <c r="D72"/>
      <c r="E72" s="37"/>
      <c r="F72" s="37"/>
      <c r="I72" s="38"/>
      <c r="J72" s="38"/>
      <c r="K72" s="38"/>
      <c r="L72" s="38"/>
      <c r="M72" s="38"/>
      <c r="N72" s="38"/>
      <c r="O72" s="38"/>
      <c r="P72" s="38"/>
    </row>
    <row r="73" spans="1:16" ht="13" customHeight="1" x14ac:dyDescent="0.35">
      <c r="A73"/>
      <c r="B73"/>
      <c r="C73"/>
      <c r="D73"/>
      <c r="E73" s="37"/>
      <c r="F73" s="37"/>
      <c r="I73" s="38"/>
      <c r="J73" s="38"/>
      <c r="K73" s="38"/>
      <c r="L73" s="38"/>
      <c r="M73" s="38"/>
      <c r="N73" s="38"/>
      <c r="O73" s="38"/>
      <c r="P73" s="38"/>
    </row>
    <row r="74" spans="1:16" ht="13" customHeight="1" x14ac:dyDescent="0.35">
      <c r="A74" s="28"/>
      <c r="B74" s="28"/>
      <c r="C74" s="64"/>
      <c r="D74" s="64"/>
      <c r="E74" s="37"/>
      <c r="F74" s="37"/>
      <c r="I74" s="38"/>
      <c r="J74" s="38"/>
      <c r="K74" s="38"/>
      <c r="L74" s="38"/>
      <c r="M74" s="38"/>
      <c r="N74" s="38"/>
      <c r="O74" s="38"/>
      <c r="P74" s="38"/>
    </row>
    <row r="75" spans="1:16" ht="13" customHeight="1" x14ac:dyDescent="0.35">
      <c r="A75" s="28"/>
      <c r="B75" s="28"/>
      <c r="C75" s="64"/>
      <c r="D75" s="64"/>
      <c r="E75" s="37"/>
      <c r="F75" s="37"/>
      <c r="I75" s="38"/>
      <c r="J75" s="38"/>
      <c r="K75" s="38"/>
      <c r="L75" s="38"/>
      <c r="M75" s="38"/>
      <c r="N75" s="38"/>
      <c r="O75" s="38"/>
      <c r="P75" s="38"/>
    </row>
    <row r="76" spans="1:16" ht="13" customHeight="1" x14ac:dyDescent="0.35">
      <c r="C76" s="65">
        <f>C77/23</f>
        <v>37.173913043478258</v>
      </c>
      <c r="D76" s="66">
        <f>D77/15</f>
        <v>49.133333333333333</v>
      </c>
      <c r="I76" s="38"/>
      <c r="J76" s="38"/>
      <c r="K76" s="38"/>
      <c r="L76" s="38"/>
      <c r="M76" s="38"/>
      <c r="N76" s="38"/>
      <c r="O76" s="38"/>
      <c r="P76" s="38"/>
    </row>
    <row r="77" spans="1:16" ht="13" customHeight="1" x14ac:dyDescent="0.35">
      <c r="C77" s="65">
        <f>SUM(C2:C44)</f>
        <v>855</v>
      </c>
      <c r="D77" s="65">
        <f>SUM(D2:D44)</f>
        <v>737</v>
      </c>
      <c r="I77" s="38"/>
      <c r="J77" s="38"/>
      <c r="K77" s="38"/>
      <c r="L77" s="38"/>
      <c r="M77" s="38"/>
      <c r="N77" s="38"/>
    </row>
    <row r="78" spans="1:16" ht="13" customHeight="1" x14ac:dyDescent="0.35">
      <c r="B78" s="32" t="s">
        <v>1684</v>
      </c>
    </row>
    <row r="79" spans="1:16" ht="13" customHeight="1" x14ac:dyDescent="0.35">
      <c r="A79" s="33" t="s">
        <v>1670</v>
      </c>
      <c r="B79" s="33" t="s">
        <v>1671</v>
      </c>
      <c r="C79" s="65" t="s">
        <v>1672</v>
      </c>
      <c r="E79" s="33" t="s">
        <v>1682</v>
      </c>
      <c r="F79" s="33" t="s">
        <v>1683</v>
      </c>
    </row>
    <row r="80" spans="1:16" ht="13" customHeight="1" x14ac:dyDescent="0.35">
      <c r="A80" s="33">
        <v>0</v>
      </c>
      <c r="B80" s="39">
        <v>18812.038973369999</v>
      </c>
      <c r="D80" s="65">
        <v>15140.471300617</v>
      </c>
      <c r="E80" s="33">
        <f>(B80/C84)*10000</f>
        <v>8.4257979614869445</v>
      </c>
      <c r="F80" s="33">
        <f>B80/D84</f>
        <v>3.325077977684057E-4</v>
      </c>
    </row>
    <row r="81" spans="1:6" ht="13" customHeight="1" x14ac:dyDescent="0.35">
      <c r="A81" s="33">
        <v>1</v>
      </c>
      <c r="B81" s="39">
        <v>39712.044886973898</v>
      </c>
      <c r="D81" s="65">
        <v>36399.9187868632</v>
      </c>
      <c r="E81" s="33">
        <f>(B81/D84)*10000</f>
        <v>7.0192096714980874</v>
      </c>
      <c r="F81" s="33">
        <f>D81/D84</f>
        <v>6.43378256440031E-4</v>
      </c>
    </row>
    <row r="83" spans="1:6" ht="13" customHeight="1" x14ac:dyDescent="0.35">
      <c r="A83" s="40" t="s">
        <v>950</v>
      </c>
      <c r="B83" s="41">
        <v>25334826</v>
      </c>
      <c r="C83" s="65" t="s">
        <v>1678</v>
      </c>
      <c r="D83" s="65" t="s">
        <v>1679</v>
      </c>
    </row>
    <row r="84" spans="1:6" ht="13" customHeight="1" x14ac:dyDescent="0.35">
      <c r="A84" s="40" t="s">
        <v>951</v>
      </c>
      <c r="B84" s="41">
        <v>8877637</v>
      </c>
      <c r="C84" s="67">
        <v>22326715</v>
      </c>
      <c r="D84" s="68">
        <v>56576234</v>
      </c>
    </row>
    <row r="85" spans="1:6" ht="13" customHeight="1" x14ac:dyDescent="0.35">
      <c r="A85" s="40" t="s">
        <v>952</v>
      </c>
      <c r="B85" s="41">
        <v>11489000</v>
      </c>
    </row>
    <row r="86" spans="1:6" ht="13" customHeight="1" x14ac:dyDescent="0.35">
      <c r="A86" s="40" t="s">
        <v>953</v>
      </c>
      <c r="B86" s="41">
        <v>37618495</v>
      </c>
    </row>
    <row r="87" spans="1:6" ht="13" customHeight="1" x14ac:dyDescent="0.35">
      <c r="A87" s="40" t="s">
        <v>954</v>
      </c>
      <c r="B87" s="41">
        <v>8575280</v>
      </c>
    </row>
    <row r="88" spans="1:6" ht="13" customHeight="1" x14ac:dyDescent="0.35">
      <c r="A88" s="40" t="s">
        <v>955</v>
      </c>
      <c r="B88" s="41">
        <v>19107216</v>
      </c>
    </row>
    <row r="89" spans="1:6" ht="13" customHeight="1" x14ac:dyDescent="0.35">
      <c r="A89" s="40" t="s">
        <v>956</v>
      </c>
      <c r="B89" s="41">
        <v>48322807</v>
      </c>
    </row>
    <row r="90" spans="1:6" ht="13" customHeight="1" x14ac:dyDescent="0.35">
      <c r="A90" s="40" t="s">
        <v>957</v>
      </c>
      <c r="B90" s="41">
        <v>5055238</v>
      </c>
    </row>
    <row r="91" spans="1:6" ht="13" customHeight="1" x14ac:dyDescent="0.35">
      <c r="A91" s="40" t="s">
        <v>958</v>
      </c>
      <c r="B91" s="41">
        <v>10550313</v>
      </c>
    </row>
    <row r="92" spans="1:6" ht="13" customHeight="1" x14ac:dyDescent="0.35">
      <c r="A92" s="40" t="s">
        <v>959</v>
      </c>
      <c r="B92" s="41">
        <v>83093000</v>
      </c>
    </row>
    <row r="93" spans="1:6" ht="13" customHeight="1" x14ac:dyDescent="0.35">
      <c r="A93" s="40" t="s">
        <v>960</v>
      </c>
      <c r="B93" s="41">
        <v>5816940</v>
      </c>
    </row>
    <row r="94" spans="1:6" ht="13" customHeight="1" x14ac:dyDescent="0.35">
      <c r="A94" s="40" t="s">
        <v>961</v>
      </c>
      <c r="B94" s="41">
        <v>47105358</v>
      </c>
    </row>
    <row r="95" spans="1:6" ht="13" customHeight="1" x14ac:dyDescent="0.35">
      <c r="A95" s="40" t="s">
        <v>962</v>
      </c>
      <c r="B95" s="41">
        <v>1324820</v>
      </c>
    </row>
    <row r="96" spans="1:6" ht="13" customHeight="1" x14ac:dyDescent="0.35">
      <c r="A96" s="40" t="s">
        <v>963</v>
      </c>
      <c r="B96" s="41">
        <v>5521600</v>
      </c>
    </row>
    <row r="97" spans="1:2" ht="13" customHeight="1" x14ac:dyDescent="0.35">
      <c r="A97" s="40" t="s">
        <v>964</v>
      </c>
      <c r="B97" s="41">
        <v>67396275</v>
      </c>
    </row>
    <row r="98" spans="1:2" ht="13" customHeight="1" x14ac:dyDescent="0.35">
      <c r="A98" s="40" t="s">
        <v>965</v>
      </c>
      <c r="B98" s="41">
        <v>66797000</v>
      </c>
    </row>
    <row r="99" spans="1:2" ht="13" customHeight="1" x14ac:dyDescent="0.35">
      <c r="A99" s="40" t="s">
        <v>966</v>
      </c>
      <c r="B99" s="41">
        <v>10721566</v>
      </c>
    </row>
    <row r="100" spans="1:2" ht="13" customHeight="1" x14ac:dyDescent="0.35">
      <c r="A100" s="40" t="s">
        <v>967</v>
      </c>
      <c r="B100" s="41">
        <v>9771141</v>
      </c>
    </row>
    <row r="101" spans="1:2" ht="13" customHeight="1" x14ac:dyDescent="0.35">
      <c r="A101" s="40" t="s">
        <v>968</v>
      </c>
      <c r="B101" s="41">
        <v>4967462</v>
      </c>
    </row>
    <row r="102" spans="1:2" ht="13" customHeight="1" x14ac:dyDescent="0.35">
      <c r="A102" s="40" t="s">
        <v>969</v>
      </c>
      <c r="B102" s="41">
        <v>351800</v>
      </c>
    </row>
    <row r="103" spans="1:2" ht="13" customHeight="1" x14ac:dyDescent="0.35">
      <c r="A103" s="40" t="s">
        <v>970</v>
      </c>
      <c r="B103" s="41">
        <v>9051050</v>
      </c>
    </row>
    <row r="104" spans="1:2" ht="13" customHeight="1" x14ac:dyDescent="0.35">
      <c r="A104" s="40" t="s">
        <v>971</v>
      </c>
      <c r="B104" s="41">
        <v>59729100</v>
      </c>
    </row>
    <row r="105" spans="1:2" ht="13" customHeight="1" x14ac:dyDescent="0.35">
      <c r="A105" s="40" t="s">
        <v>972</v>
      </c>
      <c r="B105" s="41">
        <v>126166900</v>
      </c>
    </row>
    <row r="106" spans="1:2" ht="13" customHeight="1" x14ac:dyDescent="0.35">
      <c r="A106" s="40" t="s">
        <v>973</v>
      </c>
      <c r="B106" s="41">
        <v>51765000</v>
      </c>
    </row>
    <row r="107" spans="1:2" ht="13" customHeight="1" x14ac:dyDescent="0.35">
      <c r="A107" s="40" t="s">
        <v>974</v>
      </c>
      <c r="B107" s="41">
        <v>2794137</v>
      </c>
    </row>
    <row r="108" spans="1:2" ht="13" customHeight="1" x14ac:dyDescent="0.35">
      <c r="A108" s="40" t="s">
        <v>975</v>
      </c>
      <c r="B108" s="41">
        <v>621527</v>
      </c>
    </row>
    <row r="109" spans="1:2" ht="13" customHeight="1" x14ac:dyDescent="0.35">
      <c r="A109" s="40" t="s">
        <v>976</v>
      </c>
      <c r="B109" s="41">
        <v>1913188</v>
      </c>
    </row>
    <row r="110" spans="1:2" ht="13" customHeight="1" x14ac:dyDescent="0.35">
      <c r="A110" s="40" t="s">
        <v>977</v>
      </c>
      <c r="B110" s="41">
        <v>124960089</v>
      </c>
    </row>
    <row r="111" spans="1:2" ht="13" customHeight="1" x14ac:dyDescent="0.35">
      <c r="A111" s="40" t="s">
        <v>978</v>
      </c>
      <c r="B111" s="41">
        <v>17345000</v>
      </c>
    </row>
    <row r="112" spans="1:2" ht="13" customHeight="1" x14ac:dyDescent="0.35">
      <c r="A112" s="40" t="s">
        <v>979</v>
      </c>
      <c r="B112" s="41">
        <v>5348000</v>
      </c>
    </row>
    <row r="113" spans="1:3" ht="13" customHeight="1" x14ac:dyDescent="0.35">
      <c r="A113" s="40" t="s">
        <v>980</v>
      </c>
      <c r="B113" s="41">
        <v>5012600</v>
      </c>
    </row>
    <row r="114" spans="1:3" ht="13" customHeight="1" x14ac:dyDescent="0.35">
      <c r="A114" s="40" t="s">
        <v>981</v>
      </c>
      <c r="B114" s="41">
        <v>38386000</v>
      </c>
    </row>
    <row r="115" spans="1:3" ht="13" customHeight="1" x14ac:dyDescent="0.35">
      <c r="A115" s="40" t="s">
        <v>982</v>
      </c>
      <c r="B115" s="41">
        <v>10354446</v>
      </c>
    </row>
    <row r="116" spans="1:3" ht="13" customHeight="1" x14ac:dyDescent="0.35">
      <c r="A116" s="40" t="s">
        <v>983</v>
      </c>
      <c r="B116" s="41">
        <v>5453244</v>
      </c>
    </row>
    <row r="117" spans="1:3" ht="13" customHeight="1" x14ac:dyDescent="0.35">
      <c r="A117" s="40" t="s">
        <v>984</v>
      </c>
      <c r="B117" s="41">
        <v>2089014</v>
      </c>
    </row>
    <row r="118" spans="1:3" ht="13" customHeight="1" x14ac:dyDescent="0.35">
      <c r="A118" s="40" t="s">
        <v>985</v>
      </c>
      <c r="B118" s="41">
        <v>10278890</v>
      </c>
    </row>
    <row r="119" spans="1:3" ht="13" customHeight="1" x14ac:dyDescent="0.35">
      <c r="A119" s="40" t="s">
        <v>986</v>
      </c>
      <c r="B119" s="41">
        <v>82579000</v>
      </c>
    </row>
    <row r="120" spans="1:3" ht="13" customHeight="1" x14ac:dyDescent="0.35">
      <c r="A120" s="40" t="s">
        <v>987</v>
      </c>
      <c r="B120" s="41">
        <v>330513000</v>
      </c>
    </row>
    <row r="121" spans="1:3" ht="13" customHeight="1" x14ac:dyDescent="0.35">
      <c r="A121" s="42"/>
      <c r="B121" s="43"/>
      <c r="C121" s="69"/>
    </row>
    <row r="122" spans="1:3" ht="13" customHeight="1" x14ac:dyDescent="0.35">
      <c r="A122" s="45" t="s">
        <v>1677</v>
      </c>
      <c r="C122" s="69"/>
    </row>
  </sheetData>
  <conditionalFormatting sqref="F1 F76:F77 F79 F81:F1048576">
    <cfRule type="expression" dxfId="13" priority="9">
      <formula>F2&gt;E2</formula>
    </cfRule>
  </conditionalFormatting>
  <conditionalFormatting sqref="F2:F75 P2:P76 J2:J77 L2:L77 N2:N77">
    <cfRule type="expression" dxfId="12" priority="3">
      <formula>F2&gt;E2</formula>
    </cfRule>
  </conditionalFormatting>
  <conditionalFormatting sqref="H2:H75">
    <cfRule type="expression" dxfId="11" priority="4">
      <formula>H2&gt;G2</formula>
    </cfRule>
    <cfRule type="expression" priority="5">
      <formula>H2&gt;G2</formula>
    </cfRule>
  </conditionalFormatting>
  <conditionalFormatting sqref="H76:H1048576">
    <cfRule type="expression" dxfId="10" priority="10">
      <formula>H77&gt;G77</formula>
    </cfRule>
  </conditionalFormatting>
  <conditionalFormatting sqref="J1:J12 J16:J22 J24:J26 J29:J30 J78:J1048576">
    <cfRule type="expression" priority="8">
      <formula>J2&gt;L2</formula>
    </cfRule>
  </conditionalFormatting>
  <conditionalFormatting sqref="J13:J15 J23 J27:J28">
    <cfRule type="expression" priority="172">
      <formula>#REF!&gt;#REF!</formula>
    </cfRule>
  </conditionalFormatting>
  <conditionalFormatting sqref="J31:J32">
    <cfRule type="expression" priority="155">
      <formula>J76&gt;L76</formula>
    </cfRule>
  </conditionalFormatting>
  <conditionalFormatting sqref="J33:J34">
    <cfRule type="expression" priority="180">
      <formula>J80&gt;L80</formula>
    </cfRule>
  </conditionalFormatting>
  <conditionalFormatting sqref="J35:J39 J52">
    <cfRule type="expression" priority="231">
      <formula>J85&gt;L85</formula>
    </cfRule>
  </conditionalFormatting>
  <conditionalFormatting sqref="J40:J41 J49">
    <cfRule type="expression" priority="40">
      <formula>J92&gt;L92</formula>
    </cfRule>
  </conditionalFormatting>
  <conditionalFormatting sqref="J42:J44">
    <cfRule type="expression" priority="95">
      <formula>J95&gt;L95</formula>
    </cfRule>
  </conditionalFormatting>
  <conditionalFormatting sqref="J45:J46">
    <cfRule type="expression" priority="140">
      <formula>J100&gt;L100</formula>
    </cfRule>
  </conditionalFormatting>
  <conditionalFormatting sqref="J47">
    <cfRule type="expression" priority="125">
      <formula>J107&gt;L107</formula>
    </cfRule>
  </conditionalFormatting>
  <conditionalFormatting sqref="J48">
    <cfRule type="expression" priority="50">
      <formula>J110&gt;L110</formula>
    </cfRule>
  </conditionalFormatting>
  <conditionalFormatting sqref="J50:J51">
    <cfRule type="expression" priority="234">
      <formula>J101&gt;L101</formula>
    </cfRule>
  </conditionalFormatting>
  <conditionalFormatting sqref="J53">
    <cfRule type="expression" priority="228">
      <formula>J102&gt;L102</formula>
    </cfRule>
  </conditionalFormatting>
  <conditionalFormatting sqref="J54">
    <cfRule type="expression" priority="225">
      <formula>J102&gt;L102</formula>
    </cfRule>
  </conditionalFormatting>
  <conditionalFormatting sqref="J55">
    <cfRule type="expression" priority="222">
      <formula>J102&gt;L102</formula>
    </cfRule>
  </conditionalFormatting>
  <conditionalFormatting sqref="J56">
    <cfRule type="expression" priority="219">
      <formula>J102&gt;L102</formula>
    </cfRule>
  </conditionalFormatting>
  <conditionalFormatting sqref="J57">
    <cfRule type="expression" priority="216">
      <formula>J102&gt;L102</formula>
    </cfRule>
  </conditionalFormatting>
  <conditionalFormatting sqref="J58">
    <cfRule type="expression" priority="213">
      <formula>J102&gt;L102</formula>
    </cfRule>
  </conditionalFormatting>
  <conditionalFormatting sqref="J59">
    <cfRule type="expression" priority="210">
      <formula>J102&gt;L102</formula>
    </cfRule>
  </conditionalFormatting>
  <conditionalFormatting sqref="J60">
    <cfRule type="expression" priority="207">
      <formula>J102&gt;L102</formula>
    </cfRule>
  </conditionalFormatting>
  <conditionalFormatting sqref="J61">
    <cfRule type="expression" priority="204">
      <formula>J102&gt;L102</formula>
    </cfRule>
  </conditionalFormatting>
  <conditionalFormatting sqref="J62">
    <cfRule type="expression" priority="201">
      <formula>J102&gt;L102</formula>
    </cfRule>
  </conditionalFormatting>
  <conditionalFormatting sqref="J63">
    <cfRule type="expression" priority="198">
      <formula>J102&gt;L102</formula>
    </cfRule>
  </conditionalFormatting>
  <conditionalFormatting sqref="J64">
    <cfRule type="expression" priority="195">
      <formula>J102&gt;L102</formula>
    </cfRule>
  </conditionalFormatting>
  <conditionalFormatting sqref="J65">
    <cfRule type="expression" priority="192">
      <formula>J102&gt;L102</formula>
    </cfRule>
  </conditionalFormatting>
  <conditionalFormatting sqref="J66">
    <cfRule type="expression" priority="189">
      <formula>J102&gt;L102</formula>
    </cfRule>
  </conditionalFormatting>
  <conditionalFormatting sqref="J67">
    <cfRule type="expression" priority="186">
      <formula>J102&gt;L102</formula>
    </cfRule>
  </conditionalFormatting>
  <conditionalFormatting sqref="J68">
    <cfRule type="expression" priority="183">
      <formula>J102&gt;L102</formula>
    </cfRule>
  </conditionalFormatting>
  <conditionalFormatting sqref="J69">
    <cfRule type="expression" priority="179">
      <formula>J102&gt;L102</formula>
    </cfRule>
  </conditionalFormatting>
  <conditionalFormatting sqref="J70">
    <cfRule type="expression" priority="174">
      <formula>J102&gt;L102</formula>
    </cfRule>
  </conditionalFormatting>
  <conditionalFormatting sqref="J71">
    <cfRule type="expression" priority="39">
      <formula>J102&gt;L102</formula>
    </cfRule>
  </conditionalFormatting>
  <conditionalFormatting sqref="J72">
    <cfRule type="expression" priority="38">
      <formula>J101&gt;L101</formula>
    </cfRule>
  </conditionalFormatting>
  <conditionalFormatting sqref="J73">
    <cfRule type="expression" priority="37">
      <formula>J101&gt;L101</formula>
    </cfRule>
  </conditionalFormatting>
  <conditionalFormatting sqref="J74">
    <cfRule type="expression" priority="36">
      <formula>J101&gt;L101</formula>
    </cfRule>
  </conditionalFormatting>
  <conditionalFormatting sqref="J75:J77">
    <cfRule type="expression" priority="35">
      <formula>J101&gt;L101</formula>
    </cfRule>
  </conditionalFormatting>
  <conditionalFormatting sqref="L1 L78:L1048576">
    <cfRule type="expression" dxfId="9" priority="11">
      <formula>L2&gt;K2</formula>
    </cfRule>
  </conditionalFormatting>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8A63C-C74B-43D2-9546-B87D67E4D8E6}">
  <dimension ref="A1:R87"/>
  <sheetViews>
    <sheetView workbookViewId="0">
      <selection activeCell="B32" sqref="B32"/>
    </sheetView>
  </sheetViews>
  <sheetFormatPr defaultColWidth="10.90625" defaultRowHeight="13" customHeight="1" x14ac:dyDescent="0.35"/>
  <cols>
    <col min="1" max="1" width="26.7265625" style="33" customWidth="1"/>
    <col min="2" max="2" width="34.81640625" style="33" customWidth="1"/>
    <col min="3" max="3" width="10.90625" style="33"/>
    <col min="4" max="4" width="13.453125" style="33" customWidth="1"/>
    <col min="5" max="5" width="14.7265625" style="33" customWidth="1"/>
    <col min="6" max="6" width="15.453125" style="33" customWidth="1"/>
    <col min="7" max="7" width="17.7265625" style="33" customWidth="1"/>
    <col min="8" max="8" width="18.453125" style="33" customWidth="1"/>
    <col min="9" max="9" width="27.6328125" style="33" customWidth="1"/>
    <col min="10" max="10" width="25.81640625" style="33" customWidth="1"/>
    <col min="11" max="11" width="26.08984375" style="33" customWidth="1"/>
    <col min="12" max="12" width="25.6328125" style="33" customWidth="1"/>
    <col min="13" max="13" width="30.7265625" style="33" customWidth="1"/>
    <col min="14" max="14" width="33.6328125" style="33" customWidth="1"/>
    <col min="15" max="15" width="26.453125" style="33" customWidth="1"/>
    <col min="16" max="16" width="21.7265625" style="33" customWidth="1"/>
    <col min="17" max="18" width="15.54296875" style="33" customWidth="1"/>
    <col min="19" max="16384" width="10.90625" style="33"/>
  </cols>
  <sheetData>
    <row r="1" spans="1:18" ht="13" customHeight="1" thickBot="1" x14ac:dyDescent="0.4">
      <c r="A1" s="30" t="s">
        <v>203</v>
      </c>
      <c r="B1" s="30" t="s">
        <v>1637</v>
      </c>
      <c r="C1" s="31" t="s">
        <v>1638</v>
      </c>
      <c r="D1" s="31" t="s">
        <v>1639</v>
      </c>
      <c r="E1" s="36" t="s">
        <v>1666</v>
      </c>
      <c r="F1" s="36" t="s">
        <v>1667</v>
      </c>
      <c r="G1" s="36" t="s">
        <v>1669</v>
      </c>
      <c r="H1" s="36" t="s">
        <v>1668</v>
      </c>
      <c r="I1" s="36" t="s">
        <v>1674</v>
      </c>
      <c r="J1" s="36" t="s">
        <v>1675</v>
      </c>
      <c r="K1" s="36" t="s">
        <v>1676</v>
      </c>
      <c r="L1" s="36" t="s">
        <v>1673</v>
      </c>
      <c r="M1" s="33" t="s">
        <v>1680</v>
      </c>
      <c r="N1" s="33" t="s">
        <v>1681</v>
      </c>
      <c r="O1" s="33" t="s">
        <v>1686</v>
      </c>
      <c r="P1" s="33" t="s">
        <v>1685</v>
      </c>
    </row>
    <row r="2" spans="1:18" ht="13" customHeight="1" x14ac:dyDescent="0.35">
      <c r="A2" s="28" t="s">
        <v>201</v>
      </c>
      <c r="B2" s="28" t="s">
        <v>1640</v>
      </c>
      <c r="C2" s="29">
        <v>112</v>
      </c>
      <c r="D2" s="29">
        <v>83</v>
      </c>
      <c r="E2" s="37">
        <f>C2/(C2+D2)</f>
        <v>0.57435897435897432</v>
      </c>
      <c r="F2" s="37">
        <f>1-E2</f>
        <v>0.42564102564102568</v>
      </c>
      <c r="G2" s="33">
        <f>C2/23</f>
        <v>4.8695652173913047</v>
      </c>
      <c r="H2" s="33">
        <f>D2/15</f>
        <v>5.5333333333333332</v>
      </c>
      <c r="I2" s="38">
        <f>(C2/B$45)*1000</f>
        <v>5.953634274229672</v>
      </c>
      <c r="J2" s="38">
        <f>(D2/B$46)*1000</f>
        <v>2.0900459857010576</v>
      </c>
      <c r="K2" s="38">
        <f>(C2/D$45)*1000</f>
        <v>7.3973919157612888</v>
      </c>
      <c r="L2" s="38">
        <f>(D2/D$46)*1000</f>
        <v>2.2802248676981902</v>
      </c>
      <c r="M2" s="38">
        <f>(C2/C$49)*100000</f>
        <v>0.50164119531243179</v>
      </c>
      <c r="N2" s="38">
        <f>(D2/D$49)*100000</f>
        <v>0.14670470996708618</v>
      </c>
      <c r="O2" s="38">
        <f>C2/E$45</f>
        <v>13.292509565495774</v>
      </c>
      <c r="P2" s="38">
        <f>D2/E$46</f>
        <v>11.82469307577837</v>
      </c>
      <c r="Q2" s="38"/>
      <c r="R2" s="38"/>
    </row>
    <row r="3" spans="1:18" ht="13" customHeight="1" x14ac:dyDescent="0.35">
      <c r="A3" s="28">
        <v>30</v>
      </c>
      <c r="B3" s="28" t="s">
        <v>1641</v>
      </c>
      <c r="C3" s="29">
        <v>92</v>
      </c>
      <c r="D3" s="29">
        <v>54</v>
      </c>
      <c r="E3" s="37">
        <f t="shared" ref="E3:E40" si="0">C3/(C3+D3)</f>
        <v>0.63013698630136983</v>
      </c>
      <c r="F3" s="37">
        <f t="shared" ref="F3:F40" si="1">1-E3</f>
        <v>0.36986301369863017</v>
      </c>
      <c r="G3" s="33">
        <f t="shared" ref="G3:G40" si="2">C3/23</f>
        <v>4</v>
      </c>
      <c r="H3" s="33">
        <f t="shared" ref="H3:H39" si="3">D3/15</f>
        <v>3.6</v>
      </c>
      <c r="I3" s="38">
        <f t="shared" ref="I3:I40" si="4">(C3/B$45)*1000</f>
        <v>4.8904852966886585</v>
      </c>
      <c r="J3" s="38">
        <f t="shared" ref="J3:J40" si="5">(D3/B$46)*1000</f>
        <v>1.3597889545524953</v>
      </c>
      <c r="K3" s="38">
        <f t="shared" ref="K3:K40" si="6">(C3/D$45)*1000</f>
        <v>6.0764290736610587</v>
      </c>
      <c r="L3" s="38">
        <f t="shared" ref="L3:L40" si="7">(D3/D$46)*1000</f>
        <v>1.4835197934421958</v>
      </c>
      <c r="M3" s="38">
        <f t="shared" ref="M3:M40" si="8">(C3/C$49)*100000</f>
        <v>0.41206241043521175</v>
      </c>
      <c r="N3" s="38">
        <f t="shared" ref="N3:N40" si="9">(D3/D$49)*100000</f>
        <v>9.544643780991148E-2</v>
      </c>
      <c r="O3" s="38">
        <f t="shared" ref="O3:O40" si="10">C3/E$45</f>
        <v>10.918847143085815</v>
      </c>
      <c r="P3" s="38">
        <f t="shared" ref="P3:P40" si="11">D3/E$46</f>
        <v>7.6931738083377343</v>
      </c>
    </row>
    <row r="4" spans="1:18" ht="13" customHeight="1" x14ac:dyDescent="0.35">
      <c r="A4" s="28">
        <v>6</v>
      </c>
      <c r="B4" s="28" t="s">
        <v>1642</v>
      </c>
      <c r="C4" s="29">
        <v>68</v>
      </c>
      <c r="D4" s="29">
        <v>55</v>
      </c>
      <c r="E4" s="37">
        <f t="shared" si="0"/>
        <v>0.55284552845528456</v>
      </c>
      <c r="F4" s="37">
        <f t="shared" si="1"/>
        <v>0.44715447154471544</v>
      </c>
      <c r="G4" s="33">
        <f t="shared" si="2"/>
        <v>2.9565217391304346</v>
      </c>
      <c r="H4" s="33">
        <f t="shared" si="3"/>
        <v>3.6666666666666665</v>
      </c>
      <c r="I4" s="38">
        <f t="shared" si="4"/>
        <v>3.6147065236394433</v>
      </c>
      <c r="J4" s="38">
        <f t="shared" si="5"/>
        <v>1.3849702314886525</v>
      </c>
      <c r="K4" s="38">
        <f t="shared" si="6"/>
        <v>4.4912736631407828</v>
      </c>
      <c r="L4" s="38">
        <f t="shared" si="7"/>
        <v>1.510992382209644</v>
      </c>
      <c r="M4" s="38">
        <f t="shared" si="8"/>
        <v>0.30456786858254786</v>
      </c>
      <c r="N4" s="38">
        <f t="shared" si="9"/>
        <v>9.7213964436020969E-2</v>
      </c>
      <c r="O4" s="38">
        <f t="shared" si="10"/>
        <v>8.0704522361938622</v>
      </c>
      <c r="P4" s="38">
        <f t="shared" si="11"/>
        <v>7.8356399899736182</v>
      </c>
    </row>
    <row r="5" spans="1:18" ht="13" customHeight="1" x14ac:dyDescent="0.35">
      <c r="A5" s="28" t="s">
        <v>206</v>
      </c>
      <c r="B5" s="28" t="s">
        <v>1643</v>
      </c>
      <c r="C5" s="29">
        <v>59</v>
      </c>
      <c r="D5" s="29">
        <v>46</v>
      </c>
      <c r="E5" s="37">
        <f t="shared" si="0"/>
        <v>0.56190476190476191</v>
      </c>
      <c r="F5" s="37">
        <f t="shared" si="1"/>
        <v>0.43809523809523809</v>
      </c>
      <c r="G5" s="33">
        <f t="shared" si="2"/>
        <v>2.5652173913043477</v>
      </c>
      <c r="H5" s="33">
        <f t="shared" si="3"/>
        <v>3.0666666666666669</v>
      </c>
      <c r="I5" s="38">
        <f t="shared" si="4"/>
        <v>3.1362894837459878</v>
      </c>
      <c r="J5" s="38">
        <f t="shared" si="5"/>
        <v>1.1583387390632367</v>
      </c>
      <c r="K5" s="38">
        <f t="shared" si="6"/>
        <v>3.8968403841956785</v>
      </c>
      <c r="L5" s="38">
        <f t="shared" si="7"/>
        <v>1.2637390833026114</v>
      </c>
      <c r="M5" s="38">
        <f t="shared" si="8"/>
        <v>0.26425741538779884</v>
      </c>
      <c r="N5" s="38">
        <f t="shared" si="9"/>
        <v>8.130622480103572E-2</v>
      </c>
      <c r="O5" s="38">
        <f t="shared" si="10"/>
        <v>7.0023041461093811</v>
      </c>
      <c r="P5" s="38">
        <f t="shared" si="11"/>
        <v>6.5534443552506625</v>
      </c>
    </row>
    <row r="6" spans="1:18" ht="13" customHeight="1" x14ac:dyDescent="0.35">
      <c r="A6" s="28">
        <v>29</v>
      </c>
      <c r="B6" s="28" t="s">
        <v>1644</v>
      </c>
      <c r="C6" s="29">
        <v>63</v>
      </c>
      <c r="D6" s="29">
        <v>38</v>
      </c>
      <c r="E6" s="37">
        <f t="shared" si="0"/>
        <v>0.62376237623762376</v>
      </c>
      <c r="F6" s="37">
        <f t="shared" si="1"/>
        <v>0.37623762376237624</v>
      </c>
      <c r="G6" s="33">
        <f t="shared" si="2"/>
        <v>2.7391304347826089</v>
      </c>
      <c r="H6" s="33">
        <f t="shared" si="3"/>
        <v>2.5333333333333332</v>
      </c>
      <c r="I6" s="38">
        <f t="shared" si="4"/>
        <v>3.3489192792541904</v>
      </c>
      <c r="J6" s="38">
        <f t="shared" si="5"/>
        <v>0.95688852357397813</v>
      </c>
      <c r="K6" s="38">
        <f t="shared" si="6"/>
        <v>4.1610329526157246</v>
      </c>
      <c r="L6" s="38">
        <f t="shared" si="7"/>
        <v>1.0439583731630266</v>
      </c>
      <c r="M6" s="38">
        <f t="shared" si="8"/>
        <v>0.28217317236324285</v>
      </c>
      <c r="N6" s="38">
        <f t="shared" si="9"/>
        <v>6.7166011792159946E-2</v>
      </c>
      <c r="O6" s="38">
        <f t="shared" si="10"/>
        <v>7.4770366305913729</v>
      </c>
      <c r="P6" s="38">
        <f t="shared" si="11"/>
        <v>5.4137149021635906</v>
      </c>
    </row>
    <row r="7" spans="1:18" ht="13" customHeight="1" x14ac:dyDescent="0.35">
      <c r="A7" s="28">
        <v>28</v>
      </c>
      <c r="B7" s="28" t="s">
        <v>1645</v>
      </c>
      <c r="C7" s="29">
        <v>33</v>
      </c>
      <c r="D7" s="29">
        <v>33</v>
      </c>
      <c r="E7" s="37">
        <f t="shared" si="0"/>
        <v>0.5</v>
      </c>
      <c r="F7" s="37">
        <f t="shared" si="1"/>
        <v>0.5</v>
      </c>
      <c r="G7" s="33">
        <f t="shared" si="2"/>
        <v>1.4347826086956521</v>
      </c>
      <c r="H7" s="33">
        <f t="shared" si="3"/>
        <v>2.2000000000000002</v>
      </c>
      <c r="I7" s="38">
        <f t="shared" si="4"/>
        <v>1.7541958129426711</v>
      </c>
      <c r="J7" s="38">
        <f t="shared" si="5"/>
        <v>0.8309821388931915</v>
      </c>
      <c r="K7" s="38">
        <f t="shared" si="6"/>
        <v>2.1795886894653798</v>
      </c>
      <c r="L7" s="38">
        <f t="shared" si="7"/>
        <v>0.9065954293257863</v>
      </c>
      <c r="M7" s="38">
        <f t="shared" si="8"/>
        <v>0.14780499504741293</v>
      </c>
      <c r="N7" s="38">
        <f t="shared" si="9"/>
        <v>5.8328378661612577E-2</v>
      </c>
      <c r="O7" s="38">
        <f t="shared" si="10"/>
        <v>3.9165429969764332</v>
      </c>
      <c r="P7" s="38">
        <f t="shared" si="11"/>
        <v>4.7013839939841713</v>
      </c>
    </row>
    <row r="8" spans="1:18" ht="13" customHeight="1" x14ac:dyDescent="0.35">
      <c r="A8" s="28">
        <v>34</v>
      </c>
      <c r="B8" s="28" t="s">
        <v>1646</v>
      </c>
      <c r="C8" s="29">
        <v>48</v>
      </c>
      <c r="D8" s="29">
        <v>17</v>
      </c>
      <c r="E8" s="37">
        <f t="shared" si="0"/>
        <v>0.7384615384615385</v>
      </c>
      <c r="F8" s="37">
        <f t="shared" si="1"/>
        <v>0.2615384615384615</v>
      </c>
      <c r="G8" s="33">
        <f t="shared" si="2"/>
        <v>2.0869565217391304</v>
      </c>
      <c r="H8" s="33">
        <f t="shared" si="3"/>
        <v>1.1333333333333333</v>
      </c>
      <c r="I8" s="38">
        <f t="shared" si="4"/>
        <v>2.5515575460984308</v>
      </c>
      <c r="J8" s="38">
        <f t="shared" si="5"/>
        <v>0.42808170791467443</v>
      </c>
      <c r="K8" s="38">
        <f t="shared" si="6"/>
        <v>3.1703108210405522</v>
      </c>
      <c r="L8" s="38">
        <f t="shared" si="7"/>
        <v>0.46703400904661718</v>
      </c>
      <c r="M8" s="38">
        <f t="shared" si="8"/>
        <v>0.21498908370532788</v>
      </c>
      <c r="N8" s="38">
        <f t="shared" si="9"/>
        <v>3.0047952643861026E-2</v>
      </c>
      <c r="O8" s="38">
        <f t="shared" si="10"/>
        <v>5.6967898137839033</v>
      </c>
      <c r="P8" s="38">
        <f t="shared" si="11"/>
        <v>2.4219250878100276</v>
      </c>
    </row>
    <row r="9" spans="1:18" ht="13" customHeight="1" x14ac:dyDescent="0.35">
      <c r="A9" s="28" t="s">
        <v>204</v>
      </c>
      <c r="B9" s="28" t="s">
        <v>1647</v>
      </c>
      <c r="C9" s="29">
        <v>27</v>
      </c>
      <c r="D9" s="29">
        <v>26</v>
      </c>
      <c r="E9" s="37">
        <f t="shared" si="0"/>
        <v>0.50943396226415094</v>
      </c>
      <c r="F9" s="37">
        <f t="shared" si="1"/>
        <v>0.49056603773584906</v>
      </c>
      <c r="G9" s="33">
        <f t="shared" si="2"/>
        <v>1.173913043478261</v>
      </c>
      <c r="H9" s="33">
        <f t="shared" si="3"/>
        <v>1.7333333333333334</v>
      </c>
      <c r="I9" s="38">
        <f t="shared" si="4"/>
        <v>1.4352511196803674</v>
      </c>
      <c r="J9" s="38">
        <f t="shared" si="5"/>
        <v>0.6547132003400904</v>
      </c>
      <c r="K9" s="38">
        <f t="shared" si="6"/>
        <v>1.7832998368353106</v>
      </c>
      <c r="L9" s="38">
        <f t="shared" si="7"/>
        <v>0.71428730795364981</v>
      </c>
      <c r="M9" s="38">
        <f t="shared" si="8"/>
        <v>0.12093135958424694</v>
      </c>
      <c r="N9" s="38">
        <f t="shared" si="9"/>
        <v>4.5955692278846272E-2</v>
      </c>
      <c r="O9" s="38">
        <f t="shared" si="10"/>
        <v>3.2044442702534455</v>
      </c>
      <c r="P9" s="38">
        <f t="shared" si="11"/>
        <v>3.7041207225329833</v>
      </c>
    </row>
    <row r="10" spans="1:18" ht="13" customHeight="1" x14ac:dyDescent="0.35">
      <c r="A10" s="28">
        <v>25</v>
      </c>
      <c r="B10" s="28" t="s">
        <v>1648</v>
      </c>
      <c r="C10" s="29">
        <v>21</v>
      </c>
      <c r="D10" s="29">
        <v>30</v>
      </c>
      <c r="E10" s="37">
        <f t="shared" si="0"/>
        <v>0.41176470588235292</v>
      </c>
      <c r="F10" s="37">
        <f t="shared" si="1"/>
        <v>0.58823529411764708</v>
      </c>
      <c r="G10" s="33">
        <f t="shared" si="2"/>
        <v>0.91304347826086951</v>
      </c>
      <c r="H10" s="33">
        <f t="shared" si="3"/>
        <v>2</v>
      </c>
      <c r="I10" s="38">
        <f t="shared" si="4"/>
        <v>1.1163064264180635</v>
      </c>
      <c r="J10" s="38">
        <f t="shared" si="5"/>
        <v>0.75543830808471957</v>
      </c>
      <c r="K10" s="38">
        <f t="shared" si="6"/>
        <v>1.3870109842052416</v>
      </c>
      <c r="L10" s="38">
        <f t="shared" si="7"/>
        <v>0.8241776630234422</v>
      </c>
      <c r="M10" s="38">
        <f t="shared" si="8"/>
        <v>9.4057724121080946E-2</v>
      </c>
      <c r="N10" s="38">
        <f t="shared" si="9"/>
        <v>5.3025798783284166E-2</v>
      </c>
      <c r="O10" s="38">
        <f t="shared" si="10"/>
        <v>2.4923455435304573</v>
      </c>
      <c r="P10" s="38">
        <f t="shared" si="11"/>
        <v>4.2739854490765188</v>
      </c>
    </row>
    <row r="11" spans="1:18" ht="13" customHeight="1" x14ac:dyDescent="0.35">
      <c r="A11" s="28">
        <v>26</v>
      </c>
      <c r="B11" s="28" t="s">
        <v>1649</v>
      </c>
      <c r="C11" s="29">
        <v>28</v>
      </c>
      <c r="D11" s="29">
        <v>18</v>
      </c>
      <c r="E11" s="37">
        <f t="shared" si="0"/>
        <v>0.60869565217391308</v>
      </c>
      <c r="F11" s="37">
        <f t="shared" si="1"/>
        <v>0.39130434782608692</v>
      </c>
      <c r="G11" s="33">
        <f t="shared" si="2"/>
        <v>1.2173913043478262</v>
      </c>
      <c r="H11" s="33">
        <f t="shared" si="3"/>
        <v>1.2</v>
      </c>
      <c r="I11" s="38">
        <f t="shared" si="4"/>
        <v>1.488408568557418</v>
      </c>
      <c r="J11" s="38">
        <f t="shared" si="5"/>
        <v>0.45326298485083177</v>
      </c>
      <c r="K11" s="38">
        <f t="shared" si="6"/>
        <v>1.8493479789403222</v>
      </c>
      <c r="L11" s="38">
        <f t="shared" si="7"/>
        <v>0.49450659781406531</v>
      </c>
      <c r="M11" s="38">
        <f t="shared" si="8"/>
        <v>0.12541029882810795</v>
      </c>
      <c r="N11" s="38">
        <f t="shared" si="9"/>
        <v>3.1815479269970498E-2</v>
      </c>
      <c r="O11" s="38">
        <f t="shared" si="10"/>
        <v>3.3231273913739434</v>
      </c>
      <c r="P11" s="38">
        <f t="shared" si="11"/>
        <v>2.5643912694459114</v>
      </c>
    </row>
    <row r="12" spans="1:18" ht="13" customHeight="1" x14ac:dyDescent="0.35">
      <c r="A12" s="28">
        <v>27</v>
      </c>
      <c r="B12" s="28" t="s">
        <v>1650</v>
      </c>
      <c r="C12" s="29">
        <v>17</v>
      </c>
      <c r="D12" s="29">
        <v>21</v>
      </c>
      <c r="E12" s="37">
        <f t="shared" si="0"/>
        <v>0.44736842105263158</v>
      </c>
      <c r="F12" s="37">
        <f t="shared" si="1"/>
        <v>0.55263157894736836</v>
      </c>
      <c r="G12" s="33">
        <f t="shared" si="2"/>
        <v>0.73913043478260865</v>
      </c>
      <c r="H12" s="33">
        <f t="shared" si="3"/>
        <v>1.4</v>
      </c>
      <c r="I12" s="38">
        <f t="shared" si="4"/>
        <v>0.90367663090986083</v>
      </c>
      <c r="J12" s="38">
        <f t="shared" si="5"/>
        <v>0.52880681565930376</v>
      </c>
      <c r="K12" s="38">
        <f t="shared" si="6"/>
        <v>1.1228184157851957</v>
      </c>
      <c r="L12" s="38">
        <f t="shared" si="7"/>
        <v>0.57692436411640946</v>
      </c>
      <c r="M12" s="38">
        <f t="shared" si="8"/>
        <v>7.6141967145636966E-2</v>
      </c>
      <c r="N12" s="38">
        <f t="shared" si="9"/>
        <v>3.7118059148298917E-2</v>
      </c>
      <c r="O12" s="38">
        <f t="shared" si="10"/>
        <v>2.0176130590484656</v>
      </c>
      <c r="P12" s="38">
        <f t="shared" si="11"/>
        <v>2.9917898143535635</v>
      </c>
    </row>
    <row r="13" spans="1:18" ht="13" customHeight="1" x14ac:dyDescent="0.35">
      <c r="A13" s="28">
        <v>20</v>
      </c>
      <c r="B13" s="28" t="s">
        <v>1651</v>
      </c>
      <c r="C13" s="29">
        <v>14</v>
      </c>
      <c r="D13" s="29">
        <v>15</v>
      </c>
      <c r="E13" s="37">
        <f t="shared" si="0"/>
        <v>0.48275862068965519</v>
      </c>
      <c r="F13" s="37">
        <f t="shared" si="1"/>
        <v>0.51724137931034475</v>
      </c>
      <c r="G13" s="33">
        <f t="shared" si="2"/>
        <v>0.60869565217391308</v>
      </c>
      <c r="H13" s="33">
        <f t="shared" si="3"/>
        <v>1</v>
      </c>
      <c r="I13" s="38">
        <f t="shared" si="4"/>
        <v>0.74420428427870899</v>
      </c>
      <c r="J13" s="38">
        <f t="shared" si="5"/>
        <v>0.37771915404235978</v>
      </c>
      <c r="K13" s="38">
        <f t="shared" si="6"/>
        <v>0.92467398947016111</v>
      </c>
      <c r="L13" s="38">
        <f t="shared" si="7"/>
        <v>0.4120888315117211</v>
      </c>
      <c r="M13" s="38">
        <f t="shared" si="8"/>
        <v>6.2705149414053973E-2</v>
      </c>
      <c r="N13" s="38">
        <f t="shared" si="9"/>
        <v>2.6512899391642083E-2</v>
      </c>
      <c r="O13" s="38">
        <f t="shared" si="10"/>
        <v>1.6615636956869717</v>
      </c>
      <c r="P13" s="38">
        <f t="shared" si="11"/>
        <v>2.1369927245382594</v>
      </c>
    </row>
    <row r="14" spans="1:18" ht="13" customHeight="1" x14ac:dyDescent="0.35">
      <c r="A14" s="28">
        <v>7</v>
      </c>
      <c r="B14" s="28" t="s">
        <v>1652</v>
      </c>
      <c r="C14" s="29">
        <v>16</v>
      </c>
      <c r="D14" s="29">
        <v>13</v>
      </c>
      <c r="E14" s="37">
        <f t="shared" si="0"/>
        <v>0.55172413793103448</v>
      </c>
      <c r="F14" s="37">
        <f t="shared" si="1"/>
        <v>0.44827586206896552</v>
      </c>
      <c r="G14" s="33">
        <f t="shared" si="2"/>
        <v>0.69565217391304346</v>
      </c>
      <c r="H14" s="33">
        <f t="shared" si="3"/>
        <v>0.8666666666666667</v>
      </c>
      <c r="I14" s="38">
        <f t="shared" si="4"/>
        <v>0.85051918203281029</v>
      </c>
      <c r="J14" s="38">
        <f t="shared" si="5"/>
        <v>0.3273566001700452</v>
      </c>
      <c r="K14" s="38">
        <f t="shared" si="6"/>
        <v>1.0567702736801841</v>
      </c>
      <c r="L14" s="38">
        <f t="shared" si="7"/>
        <v>0.3571436539768249</v>
      </c>
      <c r="M14" s="38">
        <f t="shared" si="8"/>
        <v>7.1663027901775964E-2</v>
      </c>
      <c r="N14" s="38">
        <f t="shared" si="9"/>
        <v>2.2977846139423136E-2</v>
      </c>
      <c r="O14" s="38">
        <f t="shared" si="10"/>
        <v>1.8989299379279676</v>
      </c>
      <c r="P14" s="38">
        <f t="shared" si="11"/>
        <v>1.8520603612664917</v>
      </c>
    </row>
    <row r="15" spans="1:18" ht="13" customHeight="1" x14ac:dyDescent="0.35">
      <c r="A15" s="28">
        <v>14</v>
      </c>
      <c r="B15" s="28" t="s">
        <v>1652</v>
      </c>
      <c r="C15" s="29">
        <v>12</v>
      </c>
      <c r="D15" s="29">
        <v>14</v>
      </c>
      <c r="E15" s="37">
        <f t="shared" si="0"/>
        <v>0.46153846153846156</v>
      </c>
      <c r="F15" s="37">
        <f t="shared" si="1"/>
        <v>0.53846153846153844</v>
      </c>
      <c r="G15" s="33">
        <f t="shared" si="2"/>
        <v>0.52173913043478259</v>
      </c>
      <c r="H15" s="33">
        <f t="shared" si="3"/>
        <v>0.93333333333333335</v>
      </c>
      <c r="I15" s="38">
        <f t="shared" si="4"/>
        <v>0.63788938652460769</v>
      </c>
      <c r="J15" s="38">
        <f t="shared" si="5"/>
        <v>0.35253787710620249</v>
      </c>
      <c r="K15" s="38">
        <f t="shared" si="6"/>
        <v>0.79257770526013804</v>
      </c>
      <c r="L15" s="38">
        <f t="shared" si="7"/>
        <v>0.38461624274427297</v>
      </c>
      <c r="M15" s="38">
        <f t="shared" si="8"/>
        <v>5.3747270926331969E-2</v>
      </c>
      <c r="N15" s="38">
        <f t="shared" si="9"/>
        <v>2.4745372765532608E-2</v>
      </c>
      <c r="O15" s="38">
        <f t="shared" si="10"/>
        <v>1.4241974534459758</v>
      </c>
      <c r="P15" s="38">
        <f t="shared" si="11"/>
        <v>1.9945265429023757</v>
      </c>
    </row>
    <row r="16" spans="1:18" ht="13" customHeight="1" x14ac:dyDescent="0.35">
      <c r="A16" s="28">
        <v>31</v>
      </c>
      <c r="B16" s="28" t="s">
        <v>1653</v>
      </c>
      <c r="C16" s="29">
        <v>11</v>
      </c>
      <c r="D16" s="29">
        <v>14</v>
      </c>
      <c r="E16" s="37">
        <f t="shared" si="0"/>
        <v>0.44</v>
      </c>
      <c r="F16" s="37">
        <f t="shared" si="1"/>
        <v>0.56000000000000005</v>
      </c>
      <c r="G16" s="33">
        <f t="shared" si="2"/>
        <v>0.47826086956521741</v>
      </c>
      <c r="H16" s="33">
        <f t="shared" si="3"/>
        <v>0.93333333333333335</v>
      </c>
      <c r="I16" s="38">
        <f t="shared" si="4"/>
        <v>0.58473193764755704</v>
      </c>
      <c r="J16" s="38">
        <f t="shared" si="5"/>
        <v>0.35253787710620249</v>
      </c>
      <c r="K16" s="38">
        <f t="shared" si="6"/>
        <v>0.72652956315512651</v>
      </c>
      <c r="L16" s="38">
        <f t="shared" si="7"/>
        <v>0.38461624274427297</v>
      </c>
      <c r="M16" s="38">
        <f t="shared" si="8"/>
        <v>4.9268331682470981E-2</v>
      </c>
      <c r="N16" s="38">
        <f t="shared" si="9"/>
        <v>2.4745372765532608E-2</v>
      </c>
      <c r="O16" s="38">
        <f t="shared" si="10"/>
        <v>1.3055143323254779</v>
      </c>
      <c r="P16" s="38">
        <f t="shared" si="11"/>
        <v>1.9945265429023757</v>
      </c>
    </row>
    <row r="17" spans="1:16" ht="13" customHeight="1" x14ac:dyDescent="0.35">
      <c r="A17" s="28">
        <v>3</v>
      </c>
      <c r="B17" s="28" t="s">
        <v>1652</v>
      </c>
      <c r="C17" s="29">
        <v>16</v>
      </c>
      <c r="D17" s="29">
        <v>9</v>
      </c>
      <c r="E17" s="37">
        <f t="shared" si="0"/>
        <v>0.64</v>
      </c>
      <c r="F17" s="37">
        <f t="shared" si="1"/>
        <v>0.36</v>
      </c>
      <c r="G17" s="33">
        <f t="shared" si="2"/>
        <v>0.69565217391304346</v>
      </c>
      <c r="H17" s="33">
        <f t="shared" si="3"/>
        <v>0.6</v>
      </c>
      <c r="I17" s="38">
        <f t="shared" si="4"/>
        <v>0.85051918203281029</v>
      </c>
      <c r="J17" s="38">
        <f t="shared" si="5"/>
        <v>0.22663149242541589</v>
      </c>
      <c r="K17" s="38">
        <f t="shared" si="6"/>
        <v>1.0567702736801841</v>
      </c>
      <c r="L17" s="38">
        <f t="shared" si="7"/>
        <v>0.24725329890703265</v>
      </c>
      <c r="M17" s="38">
        <f t="shared" si="8"/>
        <v>7.1663027901775964E-2</v>
      </c>
      <c r="N17" s="38">
        <f t="shared" si="9"/>
        <v>1.5907739634985249E-2</v>
      </c>
      <c r="O17" s="38">
        <f t="shared" si="10"/>
        <v>1.8989299379279676</v>
      </c>
      <c r="P17" s="38">
        <f t="shared" si="11"/>
        <v>1.2821956347229557</v>
      </c>
    </row>
    <row r="18" spans="1:16" ht="13" customHeight="1" x14ac:dyDescent="0.35">
      <c r="A18" s="28">
        <v>10</v>
      </c>
      <c r="B18" s="28" t="s">
        <v>1652</v>
      </c>
      <c r="C18" s="29">
        <v>12</v>
      </c>
      <c r="D18" s="29">
        <v>11</v>
      </c>
      <c r="E18" s="37">
        <f t="shared" si="0"/>
        <v>0.52173913043478259</v>
      </c>
      <c r="F18" s="37">
        <f t="shared" si="1"/>
        <v>0.47826086956521741</v>
      </c>
      <c r="G18" s="33">
        <f t="shared" si="2"/>
        <v>0.52173913043478259</v>
      </c>
      <c r="H18" s="33">
        <f t="shared" si="3"/>
        <v>0.73333333333333328</v>
      </c>
      <c r="I18" s="38">
        <f t="shared" si="4"/>
        <v>0.63788938652460769</v>
      </c>
      <c r="J18" s="38">
        <f t="shared" si="5"/>
        <v>0.2769940462977305</v>
      </c>
      <c r="K18" s="38">
        <f t="shared" si="6"/>
        <v>0.79257770526013804</v>
      </c>
      <c r="L18" s="38">
        <f t="shared" si="7"/>
        <v>0.30219847644192882</v>
      </c>
      <c r="M18" s="38">
        <f t="shared" si="8"/>
        <v>5.3747270926331969E-2</v>
      </c>
      <c r="N18" s="38">
        <f t="shared" si="9"/>
        <v>1.9442792887204192E-2</v>
      </c>
      <c r="O18" s="38">
        <f t="shared" si="10"/>
        <v>1.4241974534459758</v>
      </c>
      <c r="P18" s="38">
        <f t="shared" si="11"/>
        <v>1.5671279979947237</v>
      </c>
    </row>
    <row r="19" spans="1:16" ht="13" customHeight="1" x14ac:dyDescent="0.35">
      <c r="A19" s="28">
        <v>5</v>
      </c>
      <c r="B19" s="28" t="s">
        <v>1652</v>
      </c>
      <c r="C19" s="29">
        <v>10</v>
      </c>
      <c r="D19" s="29">
        <v>10</v>
      </c>
      <c r="E19" s="37">
        <f t="shared" si="0"/>
        <v>0.5</v>
      </c>
      <c r="F19" s="37">
        <f t="shared" si="1"/>
        <v>0.5</v>
      </c>
      <c r="G19" s="33">
        <f t="shared" si="2"/>
        <v>0.43478260869565216</v>
      </c>
      <c r="H19" s="33">
        <f t="shared" si="3"/>
        <v>0.66666666666666663</v>
      </c>
      <c r="I19" s="38">
        <f t="shared" si="4"/>
        <v>0.53157448877050639</v>
      </c>
      <c r="J19" s="38">
        <f t="shared" si="5"/>
        <v>0.25181276936157315</v>
      </c>
      <c r="K19" s="38">
        <f t="shared" si="6"/>
        <v>0.66048142105011498</v>
      </c>
      <c r="L19" s="38">
        <f>(D19/D$46)*1000</f>
        <v>0.2747258876744807</v>
      </c>
      <c r="M19" s="38">
        <f t="shared" si="8"/>
        <v>4.4789392438609979E-2</v>
      </c>
      <c r="N19" s="38">
        <f t="shared" si="9"/>
        <v>1.7675266261094721E-2</v>
      </c>
      <c r="O19" s="38">
        <f t="shared" si="10"/>
        <v>1.1868312112049797</v>
      </c>
      <c r="P19" s="38">
        <f t="shared" si="11"/>
        <v>1.4246618163588398</v>
      </c>
    </row>
    <row r="20" spans="1:16" ht="13" customHeight="1" x14ac:dyDescent="0.35">
      <c r="A20" s="28">
        <v>4</v>
      </c>
      <c r="B20" s="28" t="s">
        <v>1652</v>
      </c>
      <c r="C20" s="29">
        <v>5</v>
      </c>
      <c r="D20" s="29">
        <v>14</v>
      </c>
      <c r="E20" s="37">
        <f t="shared" si="0"/>
        <v>0.26315789473684209</v>
      </c>
      <c r="F20" s="37">
        <f t="shared" si="1"/>
        <v>0.73684210526315796</v>
      </c>
      <c r="G20" s="33">
        <f t="shared" si="2"/>
        <v>0.21739130434782608</v>
      </c>
      <c r="H20" s="33">
        <f t="shared" si="3"/>
        <v>0.93333333333333335</v>
      </c>
      <c r="I20" s="38">
        <f t="shared" si="4"/>
        <v>0.2657872443852532</v>
      </c>
      <c r="J20" s="38">
        <f t="shared" si="5"/>
        <v>0.35253787710620249</v>
      </c>
      <c r="K20" s="38">
        <f t="shared" si="6"/>
        <v>0.33024071052505749</v>
      </c>
      <c r="L20" s="38">
        <f t="shared" si="7"/>
        <v>0.38461624274427297</v>
      </c>
      <c r="M20" s="38">
        <f t="shared" si="8"/>
        <v>2.2394696219304989E-2</v>
      </c>
      <c r="N20" s="38">
        <f t="shared" si="9"/>
        <v>2.4745372765532608E-2</v>
      </c>
      <c r="O20" s="38">
        <f t="shared" si="10"/>
        <v>0.59341560560248985</v>
      </c>
      <c r="P20" s="38">
        <f t="shared" si="11"/>
        <v>1.9945265429023757</v>
      </c>
    </row>
    <row r="21" spans="1:16" ht="13" customHeight="1" x14ac:dyDescent="0.35">
      <c r="A21" s="28">
        <v>9</v>
      </c>
      <c r="B21" s="28" t="s">
        <v>1654</v>
      </c>
      <c r="C21" s="29">
        <v>12</v>
      </c>
      <c r="D21" s="29">
        <v>6</v>
      </c>
      <c r="E21" s="37">
        <f t="shared" si="0"/>
        <v>0.66666666666666663</v>
      </c>
      <c r="F21" s="37">
        <f t="shared" si="1"/>
        <v>0.33333333333333337</v>
      </c>
      <c r="G21" s="33">
        <f t="shared" si="2"/>
        <v>0.52173913043478259</v>
      </c>
      <c r="H21" s="33">
        <f t="shared" si="3"/>
        <v>0.4</v>
      </c>
      <c r="I21" s="38">
        <f t="shared" si="4"/>
        <v>0.63788938652460769</v>
      </c>
      <c r="J21" s="38">
        <f t="shared" si="5"/>
        <v>0.15108766161694392</v>
      </c>
      <c r="K21" s="38">
        <f t="shared" si="6"/>
        <v>0.79257770526013804</v>
      </c>
      <c r="L21" s="38">
        <f t="shared" si="7"/>
        <v>0.16483553260468845</v>
      </c>
      <c r="M21" s="38">
        <f t="shared" si="8"/>
        <v>5.3747270926331969E-2</v>
      </c>
      <c r="N21" s="38">
        <f t="shared" si="9"/>
        <v>1.0605159756656832E-2</v>
      </c>
      <c r="O21" s="38">
        <f t="shared" si="10"/>
        <v>1.4241974534459758</v>
      </c>
      <c r="P21" s="38">
        <f t="shared" si="11"/>
        <v>0.85479708981530389</v>
      </c>
    </row>
    <row r="22" spans="1:16" ht="13" customHeight="1" x14ac:dyDescent="0.35">
      <c r="A22" s="28">
        <v>11</v>
      </c>
      <c r="B22" s="28" t="s">
        <v>1652</v>
      </c>
      <c r="C22" s="29">
        <v>3</v>
      </c>
      <c r="D22" s="29">
        <v>12</v>
      </c>
      <c r="E22" s="37">
        <f t="shared" si="0"/>
        <v>0.2</v>
      </c>
      <c r="F22" s="37">
        <f t="shared" si="1"/>
        <v>0.8</v>
      </c>
      <c r="G22" s="33">
        <f t="shared" si="2"/>
        <v>0.13043478260869565</v>
      </c>
      <c r="H22" s="33">
        <f t="shared" si="3"/>
        <v>0.8</v>
      </c>
      <c r="I22" s="38">
        <f t="shared" si="4"/>
        <v>0.15947234663115192</v>
      </c>
      <c r="J22" s="38">
        <f t="shared" si="5"/>
        <v>0.30217532323388785</v>
      </c>
      <c r="K22" s="38">
        <f t="shared" si="6"/>
        <v>0.19814442631503451</v>
      </c>
      <c r="L22" s="38">
        <f t="shared" si="7"/>
        <v>0.32967106520937689</v>
      </c>
      <c r="M22" s="38">
        <f t="shared" si="8"/>
        <v>1.3436817731582992E-2</v>
      </c>
      <c r="N22" s="38">
        <f t="shared" si="9"/>
        <v>2.1210319513313664E-2</v>
      </c>
      <c r="O22" s="38">
        <f t="shared" si="10"/>
        <v>0.35604936336149395</v>
      </c>
      <c r="P22" s="38">
        <f t="shared" si="11"/>
        <v>1.7095941796306078</v>
      </c>
    </row>
    <row r="23" spans="1:16" ht="13" customHeight="1" x14ac:dyDescent="0.35">
      <c r="A23" s="28">
        <v>19</v>
      </c>
      <c r="B23" s="28" t="s">
        <v>1655</v>
      </c>
      <c r="C23" s="29">
        <v>5</v>
      </c>
      <c r="D23" s="29">
        <v>8</v>
      </c>
      <c r="E23" s="37">
        <f t="shared" si="0"/>
        <v>0.38461538461538464</v>
      </c>
      <c r="F23" s="37">
        <f t="shared" si="1"/>
        <v>0.61538461538461542</v>
      </c>
      <c r="G23" s="33">
        <f t="shared" si="2"/>
        <v>0.21739130434782608</v>
      </c>
      <c r="H23" s="33">
        <f t="shared" si="3"/>
        <v>0.53333333333333333</v>
      </c>
      <c r="I23" s="38">
        <f t="shared" si="4"/>
        <v>0.2657872443852532</v>
      </c>
      <c r="J23" s="38">
        <f t="shared" si="5"/>
        <v>0.20145021548925857</v>
      </c>
      <c r="K23" s="38">
        <f t="shared" si="6"/>
        <v>0.33024071052505749</v>
      </c>
      <c r="L23" s="38">
        <f t="shared" si="7"/>
        <v>0.21978071013958458</v>
      </c>
      <c r="M23" s="38">
        <f t="shared" si="8"/>
        <v>2.2394696219304989E-2</v>
      </c>
      <c r="N23" s="38">
        <f t="shared" si="9"/>
        <v>1.4140213008875776E-2</v>
      </c>
      <c r="O23" s="38">
        <f t="shared" si="10"/>
        <v>0.59341560560248985</v>
      </c>
      <c r="P23" s="38">
        <f t="shared" si="11"/>
        <v>1.1397294530870719</v>
      </c>
    </row>
    <row r="24" spans="1:16" ht="13" customHeight="1" x14ac:dyDescent="0.35">
      <c r="A24" s="28">
        <v>12</v>
      </c>
      <c r="B24" s="28" t="s">
        <v>1652</v>
      </c>
      <c r="C24" s="29">
        <v>6</v>
      </c>
      <c r="D24" s="29">
        <v>6</v>
      </c>
      <c r="E24" s="37">
        <f t="shared" si="0"/>
        <v>0.5</v>
      </c>
      <c r="F24" s="37">
        <f t="shared" si="1"/>
        <v>0.5</v>
      </c>
      <c r="G24" s="33">
        <f t="shared" si="2"/>
        <v>0.2608695652173913</v>
      </c>
      <c r="H24" s="33">
        <f t="shared" si="3"/>
        <v>0.4</v>
      </c>
      <c r="I24" s="38">
        <f t="shared" si="4"/>
        <v>0.31894469326230385</v>
      </c>
      <c r="J24" s="38">
        <f t="shared" si="5"/>
        <v>0.15108766161694392</v>
      </c>
      <c r="K24" s="38">
        <f t="shared" si="6"/>
        <v>0.39628885263006902</v>
      </c>
      <c r="L24" s="38">
        <f t="shared" si="7"/>
        <v>0.16483553260468845</v>
      </c>
      <c r="M24" s="38">
        <f t="shared" si="8"/>
        <v>2.6873635463165985E-2</v>
      </c>
      <c r="N24" s="38">
        <f t="shared" si="9"/>
        <v>1.0605159756656832E-2</v>
      </c>
      <c r="O24" s="38">
        <f t="shared" si="10"/>
        <v>0.71209872672298791</v>
      </c>
      <c r="P24" s="38">
        <f t="shared" si="11"/>
        <v>0.85479708981530389</v>
      </c>
    </row>
    <row r="25" spans="1:16" ht="13" customHeight="1" x14ac:dyDescent="0.35">
      <c r="A25" s="28">
        <v>8</v>
      </c>
      <c r="B25" s="28" t="s">
        <v>1652</v>
      </c>
      <c r="C25" s="29">
        <v>9</v>
      </c>
      <c r="D25" s="29">
        <v>3</v>
      </c>
      <c r="E25" s="37">
        <f t="shared" si="0"/>
        <v>0.75</v>
      </c>
      <c r="F25" s="37">
        <f t="shared" si="1"/>
        <v>0.25</v>
      </c>
      <c r="G25" s="33">
        <f t="shared" si="2"/>
        <v>0.39130434782608697</v>
      </c>
      <c r="H25" s="33">
        <f t="shared" si="3"/>
        <v>0.2</v>
      </c>
      <c r="I25" s="38">
        <f t="shared" si="4"/>
        <v>0.4784170398934558</v>
      </c>
      <c r="J25" s="38">
        <f t="shared" si="5"/>
        <v>7.5543830808471962E-2</v>
      </c>
      <c r="K25" s="38">
        <f t="shared" si="6"/>
        <v>0.59443327894510356</v>
      </c>
      <c r="L25" s="38">
        <f t="shared" si="7"/>
        <v>8.2417766302344223E-2</v>
      </c>
      <c r="M25" s="38">
        <f t="shared" si="8"/>
        <v>4.0310453194748984E-2</v>
      </c>
      <c r="N25" s="38">
        <f t="shared" si="9"/>
        <v>5.302579878328416E-3</v>
      </c>
      <c r="O25" s="38">
        <f t="shared" si="10"/>
        <v>1.0681480900844817</v>
      </c>
      <c r="P25" s="38">
        <f t="shared" si="11"/>
        <v>0.42739854490765194</v>
      </c>
    </row>
    <row r="26" spans="1:16" ht="13" customHeight="1" x14ac:dyDescent="0.35">
      <c r="A26" s="28">
        <v>2</v>
      </c>
      <c r="B26" s="28" t="s">
        <v>1652</v>
      </c>
      <c r="C26" s="29">
        <v>5</v>
      </c>
      <c r="D26" s="29">
        <v>7</v>
      </c>
      <c r="E26" s="37">
        <f t="shared" si="0"/>
        <v>0.41666666666666669</v>
      </c>
      <c r="F26" s="37">
        <f t="shared" si="1"/>
        <v>0.58333333333333326</v>
      </c>
      <c r="G26" s="33">
        <f t="shared" si="2"/>
        <v>0.21739130434782608</v>
      </c>
      <c r="H26" s="33">
        <f t="shared" si="3"/>
        <v>0.46666666666666667</v>
      </c>
      <c r="I26" s="38">
        <f t="shared" si="4"/>
        <v>0.2657872443852532</v>
      </c>
      <c r="J26" s="38">
        <f t="shared" si="5"/>
        <v>0.17626893855310125</v>
      </c>
      <c r="K26" s="38">
        <f t="shared" si="6"/>
        <v>0.33024071052505749</v>
      </c>
      <c r="L26" s="38">
        <f t="shared" si="7"/>
        <v>0.19230812137213649</v>
      </c>
      <c r="M26" s="38">
        <f t="shared" si="8"/>
        <v>2.2394696219304989E-2</v>
      </c>
      <c r="N26" s="38">
        <f t="shared" si="9"/>
        <v>1.2372686382766304E-2</v>
      </c>
      <c r="O26" s="38">
        <f t="shared" si="10"/>
        <v>0.59341560560248985</v>
      </c>
      <c r="P26" s="38">
        <f t="shared" si="11"/>
        <v>0.99726327145118787</v>
      </c>
    </row>
    <row r="27" spans="1:16" ht="13" customHeight="1" x14ac:dyDescent="0.35">
      <c r="A27" s="28">
        <v>32</v>
      </c>
      <c r="B27" s="28" t="s">
        <v>1656</v>
      </c>
      <c r="C27" s="29">
        <v>4</v>
      </c>
      <c r="D27" s="29">
        <v>6</v>
      </c>
      <c r="E27" s="37">
        <f t="shared" si="0"/>
        <v>0.4</v>
      </c>
      <c r="F27" s="37">
        <f t="shared" si="1"/>
        <v>0.6</v>
      </c>
      <c r="G27" s="33">
        <f t="shared" si="2"/>
        <v>0.17391304347826086</v>
      </c>
      <c r="H27" s="33">
        <f t="shared" si="3"/>
        <v>0.4</v>
      </c>
      <c r="I27" s="38">
        <f t="shared" si="4"/>
        <v>0.21262979550820257</v>
      </c>
      <c r="J27" s="38">
        <f t="shared" si="5"/>
        <v>0.15108766161694392</v>
      </c>
      <c r="K27" s="38">
        <f t="shared" si="6"/>
        <v>0.26419256842004601</v>
      </c>
      <c r="L27" s="38">
        <f t="shared" si="7"/>
        <v>0.16483553260468845</v>
      </c>
      <c r="M27" s="38">
        <f t="shared" si="8"/>
        <v>1.7915756975443991E-2</v>
      </c>
      <c r="N27" s="38">
        <f t="shared" si="9"/>
        <v>1.0605159756656832E-2</v>
      </c>
      <c r="O27" s="38">
        <f t="shared" si="10"/>
        <v>0.4747324844819919</v>
      </c>
      <c r="P27" s="38">
        <f t="shared" si="11"/>
        <v>0.85479708981530389</v>
      </c>
    </row>
    <row r="28" spans="1:16" ht="13" customHeight="1" x14ac:dyDescent="0.35">
      <c r="A28" s="28">
        <v>23</v>
      </c>
      <c r="B28" s="28" t="s">
        <v>1657</v>
      </c>
      <c r="C28" s="29">
        <v>0</v>
      </c>
      <c r="D28" s="29">
        <v>8</v>
      </c>
      <c r="E28" s="37">
        <f t="shared" si="0"/>
        <v>0</v>
      </c>
      <c r="F28" s="37">
        <f t="shared" si="1"/>
        <v>1</v>
      </c>
      <c r="G28" s="33">
        <f t="shared" si="2"/>
        <v>0</v>
      </c>
      <c r="H28" s="33">
        <f t="shared" si="3"/>
        <v>0.53333333333333333</v>
      </c>
      <c r="I28" s="38">
        <f t="shared" si="4"/>
        <v>0</v>
      </c>
      <c r="J28" s="38">
        <f t="shared" si="5"/>
        <v>0.20145021548925857</v>
      </c>
      <c r="K28" s="38">
        <f t="shared" si="6"/>
        <v>0</v>
      </c>
      <c r="L28" s="38">
        <f t="shared" si="7"/>
        <v>0.21978071013958458</v>
      </c>
      <c r="M28" s="38">
        <f t="shared" si="8"/>
        <v>0</v>
      </c>
      <c r="N28" s="38">
        <f t="shared" si="9"/>
        <v>1.4140213008875776E-2</v>
      </c>
      <c r="O28" s="38">
        <f t="shared" si="10"/>
        <v>0</v>
      </c>
      <c r="P28" s="38">
        <f t="shared" si="11"/>
        <v>1.1397294530870719</v>
      </c>
    </row>
    <row r="29" spans="1:16" ht="13" customHeight="1" x14ac:dyDescent="0.35">
      <c r="A29" s="28">
        <v>1</v>
      </c>
      <c r="B29" s="28" t="s">
        <v>1652</v>
      </c>
      <c r="C29" s="29">
        <v>2</v>
      </c>
      <c r="D29" s="29">
        <v>5</v>
      </c>
      <c r="E29" s="37">
        <f t="shared" si="0"/>
        <v>0.2857142857142857</v>
      </c>
      <c r="F29" s="37">
        <f t="shared" si="1"/>
        <v>0.7142857142857143</v>
      </c>
      <c r="G29" s="33">
        <f t="shared" si="2"/>
        <v>8.6956521739130432E-2</v>
      </c>
      <c r="H29" s="33">
        <f t="shared" si="3"/>
        <v>0.33333333333333331</v>
      </c>
      <c r="I29" s="38">
        <f t="shared" si="4"/>
        <v>0.10631489775410129</v>
      </c>
      <c r="J29" s="38">
        <f t="shared" si="5"/>
        <v>0.12590638468078658</v>
      </c>
      <c r="K29" s="38">
        <f t="shared" si="6"/>
        <v>0.13209628421002301</v>
      </c>
      <c r="L29" s="38">
        <f t="shared" si="7"/>
        <v>0.13736294383724035</v>
      </c>
      <c r="M29" s="38">
        <f t="shared" si="8"/>
        <v>8.9578784877219955E-3</v>
      </c>
      <c r="N29" s="38">
        <f t="shared" si="9"/>
        <v>8.8376331305473604E-3</v>
      </c>
      <c r="O29" s="38">
        <f t="shared" si="10"/>
        <v>0.23736624224099595</v>
      </c>
      <c r="P29" s="38">
        <f t="shared" si="11"/>
        <v>0.71233090817941991</v>
      </c>
    </row>
    <row r="30" spans="1:16" ht="13" customHeight="1" x14ac:dyDescent="0.35">
      <c r="A30" s="28">
        <v>13</v>
      </c>
      <c r="B30" s="28" t="s">
        <v>1652</v>
      </c>
      <c r="C30" s="29">
        <v>4</v>
      </c>
      <c r="D30" s="29">
        <v>3</v>
      </c>
      <c r="E30" s="37">
        <f t="shared" si="0"/>
        <v>0.5714285714285714</v>
      </c>
      <c r="F30" s="37">
        <f t="shared" si="1"/>
        <v>0.4285714285714286</v>
      </c>
      <c r="G30" s="33">
        <f t="shared" si="2"/>
        <v>0.17391304347826086</v>
      </c>
      <c r="H30" s="33">
        <f t="shared" si="3"/>
        <v>0.2</v>
      </c>
      <c r="I30" s="38">
        <f t="shared" si="4"/>
        <v>0.21262979550820257</v>
      </c>
      <c r="J30" s="38">
        <f t="shared" si="5"/>
        <v>7.5543830808471962E-2</v>
      </c>
      <c r="K30" s="38">
        <f t="shared" si="6"/>
        <v>0.26419256842004601</v>
      </c>
      <c r="L30" s="38">
        <f t="shared" si="7"/>
        <v>8.2417766302344223E-2</v>
      </c>
      <c r="M30" s="38">
        <f t="shared" si="8"/>
        <v>1.7915756975443991E-2</v>
      </c>
      <c r="N30" s="38">
        <f t="shared" si="9"/>
        <v>5.302579878328416E-3</v>
      </c>
      <c r="O30" s="38">
        <f t="shared" si="10"/>
        <v>0.4747324844819919</v>
      </c>
      <c r="P30" s="38">
        <f t="shared" si="11"/>
        <v>0.42739854490765194</v>
      </c>
    </row>
    <row r="31" spans="1:16" ht="13" customHeight="1" x14ac:dyDescent="0.35">
      <c r="A31" s="28">
        <v>24</v>
      </c>
      <c r="B31" s="28" t="s">
        <v>1658</v>
      </c>
      <c r="C31" s="29">
        <v>2</v>
      </c>
      <c r="D31" s="29">
        <v>4</v>
      </c>
      <c r="E31" s="37">
        <f t="shared" si="0"/>
        <v>0.33333333333333331</v>
      </c>
      <c r="F31" s="37">
        <f t="shared" si="1"/>
        <v>0.66666666666666674</v>
      </c>
      <c r="G31" s="33">
        <f t="shared" si="2"/>
        <v>8.6956521739130432E-2</v>
      </c>
      <c r="H31" s="33">
        <f t="shared" si="3"/>
        <v>0.26666666666666666</v>
      </c>
      <c r="I31" s="38">
        <f t="shared" si="4"/>
        <v>0.10631489775410129</v>
      </c>
      <c r="J31" s="38">
        <f t="shared" si="5"/>
        <v>0.10072510774462928</v>
      </c>
      <c r="K31" s="38">
        <f t="shared" si="6"/>
        <v>0.13209628421002301</v>
      </c>
      <c r="L31" s="38">
        <f t="shared" si="7"/>
        <v>0.10989035506979229</v>
      </c>
      <c r="M31" s="38">
        <f t="shared" si="8"/>
        <v>8.9578784877219955E-3</v>
      </c>
      <c r="N31" s="38">
        <f t="shared" si="9"/>
        <v>7.0701065044378878E-3</v>
      </c>
      <c r="O31" s="38">
        <f t="shared" si="10"/>
        <v>0.23736624224099595</v>
      </c>
      <c r="P31" s="38">
        <f t="shared" si="11"/>
        <v>0.56986472654353593</v>
      </c>
    </row>
    <row r="32" spans="1:16" ht="13" customHeight="1" x14ac:dyDescent="0.35">
      <c r="A32" s="28">
        <v>17</v>
      </c>
      <c r="B32" s="28" t="s">
        <v>1652</v>
      </c>
      <c r="C32" s="29">
        <v>4</v>
      </c>
      <c r="D32" s="29">
        <v>2</v>
      </c>
      <c r="E32" s="37">
        <f t="shared" si="0"/>
        <v>0.66666666666666663</v>
      </c>
      <c r="F32" s="37">
        <f t="shared" si="1"/>
        <v>0.33333333333333337</v>
      </c>
      <c r="G32" s="33">
        <f t="shared" si="2"/>
        <v>0.17391304347826086</v>
      </c>
      <c r="H32" s="33">
        <f t="shared" si="3"/>
        <v>0.13333333333333333</v>
      </c>
      <c r="I32" s="38">
        <f t="shared" si="4"/>
        <v>0.21262979550820257</v>
      </c>
      <c r="J32" s="38">
        <f t="shared" si="5"/>
        <v>5.0362553872314642E-2</v>
      </c>
      <c r="K32" s="38">
        <f t="shared" si="6"/>
        <v>0.26419256842004601</v>
      </c>
      <c r="L32" s="38">
        <f t="shared" si="7"/>
        <v>5.4945177534896146E-2</v>
      </c>
      <c r="M32" s="38">
        <f t="shared" si="8"/>
        <v>1.7915756975443991E-2</v>
      </c>
      <c r="N32" s="38">
        <f t="shared" si="9"/>
        <v>3.5350532522189439E-3</v>
      </c>
      <c r="O32" s="38">
        <f t="shared" si="10"/>
        <v>0.4747324844819919</v>
      </c>
      <c r="P32" s="38">
        <f t="shared" si="11"/>
        <v>0.28493236327176796</v>
      </c>
    </row>
    <row r="33" spans="1:16" ht="13" customHeight="1" x14ac:dyDescent="0.35">
      <c r="A33" s="28">
        <v>15</v>
      </c>
      <c r="B33" s="28" t="s">
        <v>1659</v>
      </c>
      <c r="C33" s="29">
        <v>6</v>
      </c>
      <c r="D33" s="29">
        <v>0</v>
      </c>
      <c r="E33" s="37">
        <f t="shared" si="0"/>
        <v>1</v>
      </c>
      <c r="F33" s="37">
        <f t="shared" si="1"/>
        <v>0</v>
      </c>
      <c r="G33" s="33">
        <f t="shared" si="2"/>
        <v>0.2608695652173913</v>
      </c>
      <c r="H33" s="33">
        <f t="shared" si="3"/>
        <v>0</v>
      </c>
      <c r="I33" s="38">
        <f t="shared" si="4"/>
        <v>0.31894469326230385</v>
      </c>
      <c r="J33" s="38">
        <f t="shared" si="5"/>
        <v>0</v>
      </c>
      <c r="K33" s="38">
        <f t="shared" si="6"/>
        <v>0.39628885263006902</v>
      </c>
      <c r="L33" s="38">
        <f t="shared" si="7"/>
        <v>0</v>
      </c>
      <c r="M33" s="38">
        <f t="shared" si="8"/>
        <v>2.6873635463165985E-2</v>
      </c>
      <c r="N33" s="38">
        <f t="shared" si="9"/>
        <v>0</v>
      </c>
      <c r="O33" s="38">
        <f t="shared" si="10"/>
        <v>0.71209872672298791</v>
      </c>
      <c r="P33" s="38">
        <f t="shared" si="11"/>
        <v>0</v>
      </c>
    </row>
    <row r="34" spans="1:16" ht="13" customHeight="1" x14ac:dyDescent="0.35">
      <c r="A34" s="28" t="s">
        <v>205</v>
      </c>
      <c r="B34" s="28" t="s">
        <v>1660</v>
      </c>
      <c r="C34" s="29">
        <v>4</v>
      </c>
      <c r="D34" s="29">
        <v>0</v>
      </c>
      <c r="E34" s="37">
        <f t="shared" si="0"/>
        <v>1</v>
      </c>
      <c r="F34" s="37">
        <f t="shared" si="1"/>
        <v>0</v>
      </c>
      <c r="G34" s="33">
        <f t="shared" si="2"/>
        <v>0.17391304347826086</v>
      </c>
      <c r="H34" s="33">
        <f t="shared" si="3"/>
        <v>0</v>
      </c>
      <c r="I34" s="38">
        <f t="shared" si="4"/>
        <v>0.21262979550820257</v>
      </c>
      <c r="J34" s="38">
        <f t="shared" si="5"/>
        <v>0</v>
      </c>
      <c r="K34" s="38">
        <f t="shared" si="6"/>
        <v>0.26419256842004601</v>
      </c>
      <c r="L34" s="38">
        <f t="shared" si="7"/>
        <v>0</v>
      </c>
      <c r="M34" s="38">
        <f t="shared" si="8"/>
        <v>1.7915756975443991E-2</v>
      </c>
      <c r="N34" s="38">
        <f t="shared" si="9"/>
        <v>0</v>
      </c>
      <c r="O34" s="38">
        <f t="shared" si="10"/>
        <v>0.4747324844819919</v>
      </c>
      <c r="P34" s="38">
        <f t="shared" si="11"/>
        <v>0</v>
      </c>
    </row>
    <row r="35" spans="1:16" ht="13" customHeight="1" x14ac:dyDescent="0.35">
      <c r="A35" s="28">
        <v>33</v>
      </c>
      <c r="B35" s="28" t="s">
        <v>1661</v>
      </c>
      <c r="C35" s="29">
        <v>1</v>
      </c>
      <c r="D35" s="29">
        <v>2</v>
      </c>
      <c r="E35" s="37">
        <f t="shared" si="0"/>
        <v>0.33333333333333331</v>
      </c>
      <c r="F35" s="37">
        <f t="shared" si="1"/>
        <v>0.66666666666666674</v>
      </c>
      <c r="G35" s="33">
        <f t="shared" si="2"/>
        <v>4.3478260869565216E-2</v>
      </c>
      <c r="H35" s="33">
        <f t="shared" si="3"/>
        <v>0.13333333333333333</v>
      </c>
      <c r="I35" s="38">
        <f t="shared" si="4"/>
        <v>5.3157448877050643E-2</v>
      </c>
      <c r="J35" s="38">
        <f t="shared" si="5"/>
        <v>5.0362553872314642E-2</v>
      </c>
      <c r="K35" s="38">
        <f t="shared" si="6"/>
        <v>6.6048142105011504E-2</v>
      </c>
      <c r="L35" s="38">
        <f t="shared" si="7"/>
        <v>5.4945177534896146E-2</v>
      </c>
      <c r="M35" s="38">
        <f t="shared" si="8"/>
        <v>4.4789392438609977E-3</v>
      </c>
      <c r="N35" s="38">
        <f t="shared" si="9"/>
        <v>3.5350532522189439E-3</v>
      </c>
      <c r="O35" s="38">
        <f t="shared" si="10"/>
        <v>0.11868312112049798</v>
      </c>
      <c r="P35" s="38">
        <f t="shared" si="11"/>
        <v>0.28493236327176796</v>
      </c>
    </row>
    <row r="36" spans="1:16" ht="13" customHeight="1" x14ac:dyDescent="0.35">
      <c r="A36" s="28">
        <v>16</v>
      </c>
      <c r="B36" s="28" t="s">
        <v>1652</v>
      </c>
      <c r="C36" s="29">
        <v>1</v>
      </c>
      <c r="D36" s="29">
        <v>2</v>
      </c>
      <c r="E36" s="37">
        <f t="shared" si="0"/>
        <v>0.33333333333333331</v>
      </c>
      <c r="F36" s="37">
        <f t="shared" si="1"/>
        <v>0.66666666666666674</v>
      </c>
      <c r="G36" s="33">
        <f t="shared" si="2"/>
        <v>4.3478260869565216E-2</v>
      </c>
      <c r="H36" s="33">
        <f t="shared" si="3"/>
        <v>0.13333333333333333</v>
      </c>
      <c r="I36" s="38">
        <f t="shared" si="4"/>
        <v>5.3157448877050643E-2</v>
      </c>
      <c r="J36" s="38">
        <f t="shared" si="5"/>
        <v>5.0362553872314642E-2</v>
      </c>
      <c r="K36" s="38">
        <f t="shared" si="6"/>
        <v>6.6048142105011504E-2</v>
      </c>
      <c r="L36" s="38">
        <f t="shared" si="7"/>
        <v>5.4945177534896146E-2</v>
      </c>
      <c r="M36" s="38">
        <f t="shared" si="8"/>
        <v>4.4789392438609977E-3</v>
      </c>
      <c r="N36" s="38">
        <f t="shared" si="9"/>
        <v>3.5350532522189439E-3</v>
      </c>
      <c r="O36" s="38">
        <f t="shared" si="10"/>
        <v>0.11868312112049798</v>
      </c>
      <c r="P36" s="38">
        <f t="shared" si="11"/>
        <v>0.28493236327176796</v>
      </c>
    </row>
    <row r="37" spans="1:16" ht="13" customHeight="1" x14ac:dyDescent="0.35">
      <c r="A37" s="28">
        <v>18</v>
      </c>
      <c r="B37" s="28" t="s">
        <v>1662</v>
      </c>
      <c r="C37" s="29">
        <v>2</v>
      </c>
      <c r="D37" s="29">
        <v>0</v>
      </c>
      <c r="E37" s="37">
        <f t="shared" si="0"/>
        <v>1</v>
      </c>
      <c r="F37" s="37">
        <f t="shared" si="1"/>
        <v>0</v>
      </c>
      <c r="G37" s="33">
        <f t="shared" si="2"/>
        <v>8.6956521739130432E-2</v>
      </c>
      <c r="H37" s="33">
        <f t="shared" si="3"/>
        <v>0</v>
      </c>
      <c r="I37" s="38">
        <f t="shared" si="4"/>
        <v>0.10631489775410129</v>
      </c>
      <c r="J37" s="38">
        <f t="shared" si="5"/>
        <v>0</v>
      </c>
      <c r="K37" s="38">
        <f t="shared" si="6"/>
        <v>0.13209628421002301</v>
      </c>
      <c r="L37" s="38">
        <f t="shared" si="7"/>
        <v>0</v>
      </c>
      <c r="M37" s="38">
        <f t="shared" si="8"/>
        <v>8.9578784877219955E-3</v>
      </c>
      <c r="N37" s="38">
        <f t="shared" si="9"/>
        <v>0</v>
      </c>
      <c r="O37" s="38">
        <f t="shared" si="10"/>
        <v>0.23736624224099595</v>
      </c>
      <c r="P37" s="38">
        <f t="shared" si="11"/>
        <v>0</v>
      </c>
    </row>
    <row r="38" spans="1:16" ht="13" customHeight="1" x14ac:dyDescent="0.35">
      <c r="A38" s="28">
        <v>22</v>
      </c>
      <c r="B38" s="28" t="s">
        <v>1663</v>
      </c>
      <c r="C38" s="29">
        <v>0</v>
      </c>
      <c r="D38" s="29">
        <v>1</v>
      </c>
      <c r="E38" s="37">
        <f t="shared" si="0"/>
        <v>0</v>
      </c>
      <c r="F38" s="37">
        <f t="shared" si="1"/>
        <v>1</v>
      </c>
      <c r="G38" s="33">
        <f t="shared" si="2"/>
        <v>0</v>
      </c>
      <c r="H38" s="33">
        <f t="shared" si="3"/>
        <v>6.6666666666666666E-2</v>
      </c>
      <c r="I38" s="38">
        <f t="shared" si="4"/>
        <v>0</v>
      </c>
      <c r="J38" s="38">
        <f t="shared" si="5"/>
        <v>2.5181276936157321E-2</v>
      </c>
      <c r="K38" s="38">
        <f t="shared" si="6"/>
        <v>0</v>
      </c>
      <c r="L38" s="38">
        <f t="shared" si="7"/>
        <v>2.7472588767448073E-2</v>
      </c>
      <c r="M38" s="38">
        <f t="shared" si="8"/>
        <v>0</v>
      </c>
      <c r="N38" s="38">
        <f t="shared" si="9"/>
        <v>1.7675266261094719E-3</v>
      </c>
      <c r="O38" s="38">
        <f t="shared" si="10"/>
        <v>0</v>
      </c>
      <c r="P38" s="38">
        <f t="shared" si="11"/>
        <v>0.14246618163588398</v>
      </c>
    </row>
    <row r="39" spans="1:16" ht="13" customHeight="1" x14ac:dyDescent="0.35">
      <c r="A39" s="28">
        <v>21</v>
      </c>
      <c r="B39" s="28" t="s">
        <v>1664</v>
      </c>
      <c r="C39" s="29">
        <v>1</v>
      </c>
      <c r="D39" s="29">
        <v>0</v>
      </c>
      <c r="E39" s="37">
        <f t="shared" si="0"/>
        <v>1</v>
      </c>
      <c r="F39" s="37">
        <f t="shared" si="1"/>
        <v>0</v>
      </c>
      <c r="G39" s="33">
        <f t="shared" si="2"/>
        <v>4.3478260869565216E-2</v>
      </c>
      <c r="H39" s="33">
        <f t="shared" si="3"/>
        <v>0</v>
      </c>
      <c r="I39" s="38">
        <f t="shared" si="4"/>
        <v>5.3157448877050643E-2</v>
      </c>
      <c r="J39" s="38">
        <f t="shared" si="5"/>
        <v>0</v>
      </c>
      <c r="K39" s="38">
        <f t="shared" si="6"/>
        <v>6.6048142105011504E-2</v>
      </c>
      <c r="L39" s="38">
        <f t="shared" si="7"/>
        <v>0</v>
      </c>
      <c r="M39" s="38">
        <f t="shared" si="8"/>
        <v>4.4789392438609977E-3</v>
      </c>
      <c r="N39" s="38">
        <f t="shared" si="9"/>
        <v>0</v>
      </c>
      <c r="O39" s="38">
        <f t="shared" si="10"/>
        <v>0.11868312112049798</v>
      </c>
      <c r="P39" s="38">
        <f t="shared" si="11"/>
        <v>0</v>
      </c>
    </row>
    <row r="40" spans="1:16" ht="13" customHeight="1" x14ac:dyDescent="0.35">
      <c r="A40" s="28" t="s">
        <v>207</v>
      </c>
      <c r="B40" s="28" t="s">
        <v>1665</v>
      </c>
      <c r="C40" s="29">
        <v>0</v>
      </c>
      <c r="D40" s="29">
        <v>1</v>
      </c>
      <c r="E40" s="37">
        <f t="shared" si="0"/>
        <v>0</v>
      </c>
      <c r="F40" s="37">
        <f t="shared" si="1"/>
        <v>1</v>
      </c>
      <c r="G40" s="33">
        <f t="shared" si="2"/>
        <v>0</v>
      </c>
      <c r="H40" s="33">
        <f>D40/15</f>
        <v>6.6666666666666666E-2</v>
      </c>
      <c r="I40" s="38">
        <f t="shared" si="4"/>
        <v>0</v>
      </c>
      <c r="J40" s="38">
        <f t="shared" si="5"/>
        <v>2.5181276936157321E-2</v>
      </c>
      <c r="K40" s="38">
        <f t="shared" si="6"/>
        <v>0</v>
      </c>
      <c r="L40" s="38">
        <f t="shared" si="7"/>
        <v>2.7472588767448073E-2</v>
      </c>
      <c r="M40" s="38">
        <f t="shared" si="8"/>
        <v>0</v>
      </c>
      <c r="N40" s="38">
        <f t="shared" si="9"/>
        <v>1.7675266261094719E-3</v>
      </c>
      <c r="O40" s="38">
        <f t="shared" si="10"/>
        <v>0</v>
      </c>
      <c r="P40" s="38">
        <f t="shared" si="11"/>
        <v>0.14246618163588398</v>
      </c>
    </row>
    <row r="42" spans="1:16" ht="13" customHeight="1" x14ac:dyDescent="0.35">
      <c r="C42" s="33">
        <f>SUM(C2:C40)</f>
        <v>735</v>
      </c>
      <c r="D42" s="33">
        <f>SUM(D2:D40)</f>
        <v>597</v>
      </c>
    </row>
    <row r="43" spans="1:16" ht="13" customHeight="1" x14ac:dyDescent="0.35">
      <c r="B43" s="32" t="s">
        <v>1684</v>
      </c>
    </row>
    <row r="44" spans="1:16" ht="13" customHeight="1" x14ac:dyDescent="0.35">
      <c r="A44" s="33" t="s">
        <v>1670</v>
      </c>
      <c r="B44" s="33" t="s">
        <v>1671</v>
      </c>
      <c r="C44" s="33" t="s">
        <v>1672</v>
      </c>
      <c r="E44" s="33" t="s">
        <v>1682</v>
      </c>
      <c r="F44" s="33" t="s">
        <v>1683</v>
      </c>
    </row>
    <row r="45" spans="1:16" ht="13" customHeight="1" x14ac:dyDescent="0.35">
      <c r="A45" s="33">
        <v>0</v>
      </c>
      <c r="B45" s="39">
        <v>18812.038973369999</v>
      </c>
      <c r="D45" s="33">
        <v>15140.471300617</v>
      </c>
      <c r="E45" s="33">
        <f>(B45/C49)*10000</f>
        <v>8.4257979614869445</v>
      </c>
      <c r="F45" s="33">
        <f>B45/D49</f>
        <v>3.325077977684057E-4</v>
      </c>
    </row>
    <row r="46" spans="1:16" ht="13" customHeight="1" x14ac:dyDescent="0.35">
      <c r="A46" s="33">
        <v>1</v>
      </c>
      <c r="B46" s="39">
        <v>39712.044886973898</v>
      </c>
      <c r="D46" s="33">
        <v>36399.9187868632</v>
      </c>
      <c r="E46" s="33">
        <f>(B46/D49)*10000</f>
        <v>7.0192096714980874</v>
      </c>
      <c r="F46" s="33">
        <f>D46/D49</f>
        <v>6.43378256440031E-4</v>
      </c>
    </row>
    <row r="48" spans="1:16" ht="13" customHeight="1" x14ac:dyDescent="0.35">
      <c r="A48" s="40" t="s">
        <v>950</v>
      </c>
      <c r="B48" s="41">
        <v>25334826</v>
      </c>
      <c r="C48" s="33" t="s">
        <v>1678</v>
      </c>
      <c r="D48" s="33" t="s">
        <v>1679</v>
      </c>
    </row>
    <row r="49" spans="1:4" ht="13" customHeight="1" x14ac:dyDescent="0.35">
      <c r="A49" s="40" t="s">
        <v>951</v>
      </c>
      <c r="B49" s="41">
        <v>8877637</v>
      </c>
      <c r="C49" s="34">
        <v>22326715</v>
      </c>
      <c r="D49" s="35">
        <v>56576234</v>
      </c>
    </row>
    <row r="50" spans="1:4" ht="13" customHeight="1" x14ac:dyDescent="0.35">
      <c r="A50" s="40" t="s">
        <v>952</v>
      </c>
      <c r="B50" s="41">
        <v>11489000</v>
      </c>
    </row>
    <row r="51" spans="1:4" ht="13" customHeight="1" x14ac:dyDescent="0.35">
      <c r="A51" s="40" t="s">
        <v>953</v>
      </c>
      <c r="B51" s="41">
        <v>37618495</v>
      </c>
    </row>
    <row r="52" spans="1:4" ht="13" customHeight="1" x14ac:dyDescent="0.35">
      <c r="A52" s="40" t="s">
        <v>954</v>
      </c>
      <c r="B52" s="41">
        <v>8575280</v>
      </c>
    </row>
    <row r="53" spans="1:4" ht="13" customHeight="1" x14ac:dyDescent="0.35">
      <c r="A53" s="40" t="s">
        <v>955</v>
      </c>
      <c r="B53" s="41">
        <v>19107216</v>
      </c>
    </row>
    <row r="54" spans="1:4" ht="13" customHeight="1" x14ac:dyDescent="0.35">
      <c r="A54" s="40" t="s">
        <v>956</v>
      </c>
      <c r="B54" s="41">
        <v>48322807</v>
      </c>
    </row>
    <row r="55" spans="1:4" ht="13" customHeight="1" x14ac:dyDescent="0.35">
      <c r="A55" s="40" t="s">
        <v>957</v>
      </c>
      <c r="B55" s="41">
        <v>5055238</v>
      </c>
    </row>
    <row r="56" spans="1:4" ht="13" customHeight="1" x14ac:dyDescent="0.35">
      <c r="A56" s="40" t="s">
        <v>958</v>
      </c>
      <c r="B56" s="41">
        <v>10550313</v>
      </c>
    </row>
    <row r="57" spans="1:4" ht="13" customHeight="1" x14ac:dyDescent="0.35">
      <c r="A57" s="40" t="s">
        <v>959</v>
      </c>
      <c r="B57" s="41">
        <v>83093000</v>
      </c>
    </row>
    <row r="58" spans="1:4" ht="13" customHeight="1" x14ac:dyDescent="0.35">
      <c r="A58" s="40" t="s">
        <v>960</v>
      </c>
      <c r="B58" s="41">
        <v>5816940</v>
      </c>
    </row>
    <row r="59" spans="1:4" ht="13" customHeight="1" x14ac:dyDescent="0.35">
      <c r="A59" s="40" t="s">
        <v>961</v>
      </c>
      <c r="B59" s="41">
        <v>47105358</v>
      </c>
    </row>
    <row r="60" spans="1:4" ht="13" customHeight="1" x14ac:dyDescent="0.35">
      <c r="A60" s="40" t="s">
        <v>962</v>
      </c>
      <c r="B60" s="41">
        <v>1324820</v>
      </c>
    </row>
    <row r="61" spans="1:4" ht="13" customHeight="1" x14ac:dyDescent="0.35">
      <c r="A61" s="40" t="s">
        <v>963</v>
      </c>
      <c r="B61" s="41">
        <v>5521600</v>
      </c>
    </row>
    <row r="62" spans="1:4" ht="13" customHeight="1" x14ac:dyDescent="0.35">
      <c r="A62" s="40" t="s">
        <v>964</v>
      </c>
      <c r="B62" s="41">
        <v>67396275</v>
      </c>
    </row>
    <row r="63" spans="1:4" ht="13" customHeight="1" x14ac:dyDescent="0.35">
      <c r="A63" s="40" t="s">
        <v>965</v>
      </c>
      <c r="B63" s="41">
        <v>66797000</v>
      </c>
    </row>
    <row r="64" spans="1:4" ht="13" customHeight="1" x14ac:dyDescent="0.35">
      <c r="A64" s="40" t="s">
        <v>966</v>
      </c>
      <c r="B64" s="41">
        <v>10721566</v>
      </c>
    </row>
    <row r="65" spans="1:2" ht="13" customHeight="1" x14ac:dyDescent="0.35">
      <c r="A65" s="40" t="s">
        <v>967</v>
      </c>
      <c r="B65" s="41">
        <v>9771141</v>
      </c>
    </row>
    <row r="66" spans="1:2" ht="13" customHeight="1" x14ac:dyDescent="0.35">
      <c r="A66" s="40" t="s">
        <v>968</v>
      </c>
      <c r="B66" s="41">
        <v>4967462</v>
      </c>
    </row>
    <row r="67" spans="1:2" ht="13" customHeight="1" x14ac:dyDescent="0.35">
      <c r="A67" s="40" t="s">
        <v>969</v>
      </c>
      <c r="B67" s="41">
        <v>351800</v>
      </c>
    </row>
    <row r="68" spans="1:2" ht="13" customHeight="1" x14ac:dyDescent="0.35">
      <c r="A68" s="40" t="s">
        <v>970</v>
      </c>
      <c r="B68" s="41">
        <v>9051050</v>
      </c>
    </row>
    <row r="69" spans="1:2" ht="13" customHeight="1" x14ac:dyDescent="0.35">
      <c r="A69" s="40" t="s">
        <v>971</v>
      </c>
      <c r="B69" s="41">
        <v>59729100</v>
      </c>
    </row>
    <row r="70" spans="1:2" ht="13" customHeight="1" x14ac:dyDescent="0.35">
      <c r="A70" s="40" t="s">
        <v>972</v>
      </c>
      <c r="B70" s="41">
        <v>126166900</v>
      </c>
    </row>
    <row r="71" spans="1:2" ht="13" customHeight="1" x14ac:dyDescent="0.35">
      <c r="A71" s="40" t="s">
        <v>973</v>
      </c>
      <c r="B71" s="41">
        <v>51765000</v>
      </c>
    </row>
    <row r="72" spans="1:2" ht="13" customHeight="1" x14ac:dyDescent="0.35">
      <c r="A72" s="40" t="s">
        <v>974</v>
      </c>
      <c r="B72" s="41">
        <v>2794137</v>
      </c>
    </row>
    <row r="73" spans="1:2" ht="13" customHeight="1" x14ac:dyDescent="0.35">
      <c r="A73" s="40" t="s">
        <v>975</v>
      </c>
      <c r="B73" s="41">
        <v>621527</v>
      </c>
    </row>
    <row r="74" spans="1:2" ht="13" customHeight="1" x14ac:dyDescent="0.35">
      <c r="A74" s="40" t="s">
        <v>976</v>
      </c>
      <c r="B74" s="41">
        <v>1913188</v>
      </c>
    </row>
    <row r="75" spans="1:2" ht="13" customHeight="1" x14ac:dyDescent="0.35">
      <c r="A75" s="40" t="s">
        <v>977</v>
      </c>
      <c r="B75" s="41">
        <v>124960089</v>
      </c>
    </row>
    <row r="76" spans="1:2" ht="13" customHeight="1" x14ac:dyDescent="0.35">
      <c r="A76" s="40" t="s">
        <v>978</v>
      </c>
      <c r="B76" s="41">
        <v>17345000</v>
      </c>
    </row>
    <row r="77" spans="1:2" ht="13" customHeight="1" x14ac:dyDescent="0.35">
      <c r="A77" s="40" t="s">
        <v>979</v>
      </c>
      <c r="B77" s="41">
        <v>5348000</v>
      </c>
    </row>
    <row r="78" spans="1:2" ht="13" customHeight="1" x14ac:dyDescent="0.35">
      <c r="A78" s="40" t="s">
        <v>980</v>
      </c>
      <c r="B78" s="41">
        <v>5012600</v>
      </c>
    </row>
    <row r="79" spans="1:2" ht="13" customHeight="1" x14ac:dyDescent="0.35">
      <c r="A79" s="40" t="s">
        <v>981</v>
      </c>
      <c r="B79" s="41">
        <v>38386000</v>
      </c>
    </row>
    <row r="80" spans="1:2" ht="13" customHeight="1" x14ac:dyDescent="0.35">
      <c r="A80" s="40" t="s">
        <v>982</v>
      </c>
      <c r="B80" s="41">
        <v>10354446</v>
      </c>
    </row>
    <row r="81" spans="1:3" ht="13" customHeight="1" x14ac:dyDescent="0.35">
      <c r="A81" s="40" t="s">
        <v>983</v>
      </c>
      <c r="B81" s="41">
        <v>5453244</v>
      </c>
    </row>
    <row r="82" spans="1:3" ht="13" customHeight="1" x14ac:dyDescent="0.35">
      <c r="A82" s="40" t="s">
        <v>984</v>
      </c>
      <c r="B82" s="41">
        <v>2089014</v>
      </c>
    </row>
    <row r="83" spans="1:3" ht="13" customHeight="1" x14ac:dyDescent="0.35">
      <c r="A83" s="40" t="s">
        <v>985</v>
      </c>
      <c r="B83" s="41">
        <v>10278890</v>
      </c>
    </row>
    <row r="84" spans="1:3" ht="13" customHeight="1" x14ac:dyDescent="0.35">
      <c r="A84" s="40" t="s">
        <v>986</v>
      </c>
      <c r="B84" s="41">
        <v>82579000</v>
      </c>
    </row>
    <row r="85" spans="1:3" ht="13" customHeight="1" x14ac:dyDescent="0.35">
      <c r="A85" s="40" t="s">
        <v>987</v>
      </c>
      <c r="B85" s="41">
        <v>330513000</v>
      </c>
    </row>
    <row r="86" spans="1:3" ht="13" customHeight="1" x14ac:dyDescent="0.35">
      <c r="A86" s="42"/>
      <c r="B86" s="43"/>
      <c r="C86" s="44"/>
    </row>
    <row r="87" spans="1:3" ht="13" customHeight="1" x14ac:dyDescent="0.35">
      <c r="A87" s="45" t="s">
        <v>1677</v>
      </c>
      <c r="C87" s="44"/>
    </row>
  </sheetData>
  <conditionalFormatting sqref="F1 F41:F42 F44 F46:F1048576">
    <cfRule type="expression" dxfId="8" priority="10">
      <formula>F2&gt;E2</formula>
    </cfRule>
  </conditionalFormatting>
  <conditionalFormatting sqref="F2:F40">
    <cfRule type="expression" dxfId="7" priority="3">
      <formula>F2&gt;E2</formula>
    </cfRule>
  </conditionalFormatting>
  <conditionalFormatting sqref="H2:H40">
    <cfRule type="expression" dxfId="6" priority="4">
      <formula>H2&gt;G2</formula>
    </cfRule>
    <cfRule type="expression" priority="5">
      <formula>H2&gt;G2</formula>
    </cfRule>
  </conditionalFormatting>
  <conditionalFormatting sqref="H41:H1048576">
    <cfRule type="expression" dxfId="5" priority="11">
      <formula>H42&gt;G42</formula>
    </cfRule>
  </conditionalFormatting>
  <conditionalFormatting sqref="J1:J1048576">
    <cfRule type="expression" priority="9">
      <formula>J2&gt;L2</formula>
    </cfRule>
  </conditionalFormatting>
  <conditionalFormatting sqref="J2:J40">
    <cfRule type="expression" dxfId="4" priority="8">
      <formula>J2&gt;I2</formula>
    </cfRule>
  </conditionalFormatting>
  <conditionalFormatting sqref="L1 L41:L1048576">
    <cfRule type="expression" dxfId="3" priority="12">
      <formula>L2&gt;K2</formula>
    </cfRule>
  </conditionalFormatting>
  <conditionalFormatting sqref="L2:L40">
    <cfRule type="expression" dxfId="2" priority="6">
      <formula>L2&gt;K2</formula>
    </cfRule>
  </conditionalFormatting>
  <conditionalFormatting sqref="N2:N40">
    <cfRule type="expression" dxfId="1" priority="2">
      <formula>N2&gt;M2</formula>
    </cfRule>
  </conditionalFormatting>
  <conditionalFormatting sqref="P2:P40">
    <cfRule type="expression" dxfId="0" priority="1">
      <formula>P2&gt;O2</formula>
    </cfRule>
  </conditionalFormatting>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8654-4D54-40B0-9D2E-3C00C45CB6B5}">
  <dimension ref="A1:H46"/>
  <sheetViews>
    <sheetView topLeftCell="A6" workbookViewId="0">
      <selection sqref="A1:I47"/>
    </sheetView>
  </sheetViews>
  <sheetFormatPr defaultColWidth="10.90625" defaultRowHeight="14.5" x14ac:dyDescent="0.35"/>
  <cols>
    <col min="7" max="7" width="28.36328125" customWidth="1"/>
  </cols>
  <sheetData>
    <row r="1" spans="1:8" x14ac:dyDescent="0.35">
      <c r="A1" s="73" t="s">
        <v>203</v>
      </c>
      <c r="B1" s="73"/>
      <c r="C1" s="73"/>
      <c r="D1" s="73"/>
      <c r="E1" s="27"/>
      <c r="F1" s="74" t="s">
        <v>1687</v>
      </c>
      <c r="G1" s="75"/>
      <c r="H1" s="75"/>
    </row>
    <row r="2" spans="1:8" x14ac:dyDescent="0.35">
      <c r="A2">
        <v>1</v>
      </c>
      <c r="B2" t="s">
        <v>1033</v>
      </c>
      <c r="F2">
        <v>1</v>
      </c>
      <c r="G2" t="s">
        <v>1026</v>
      </c>
    </row>
    <row r="3" spans="1:8" x14ac:dyDescent="0.35">
      <c r="A3">
        <v>2</v>
      </c>
      <c r="B3" t="s">
        <v>1045</v>
      </c>
      <c r="F3">
        <v>1</v>
      </c>
      <c r="G3" t="s">
        <v>1026</v>
      </c>
    </row>
    <row r="4" spans="1:8" x14ac:dyDescent="0.35">
      <c r="A4">
        <v>3</v>
      </c>
      <c r="B4" t="s">
        <v>1053</v>
      </c>
      <c r="F4">
        <v>1</v>
      </c>
      <c r="G4" t="s">
        <v>1026</v>
      </c>
    </row>
    <row r="5" spans="1:8" x14ac:dyDescent="0.35">
      <c r="A5">
        <v>4</v>
      </c>
      <c r="B5" t="s">
        <v>1046</v>
      </c>
      <c r="F5">
        <v>1</v>
      </c>
      <c r="G5" t="s">
        <v>1026</v>
      </c>
    </row>
    <row r="6" spans="1:8" x14ac:dyDescent="0.35">
      <c r="A6">
        <v>5</v>
      </c>
      <c r="B6" t="s">
        <v>1047</v>
      </c>
      <c r="F6">
        <v>1</v>
      </c>
      <c r="G6" t="s">
        <v>1026</v>
      </c>
    </row>
    <row r="7" spans="1:8" x14ac:dyDescent="0.35">
      <c r="A7">
        <v>6</v>
      </c>
      <c r="B7" t="s">
        <v>1048</v>
      </c>
      <c r="F7">
        <v>1</v>
      </c>
      <c r="G7" t="s">
        <v>1026</v>
      </c>
    </row>
    <row r="8" spans="1:8" x14ac:dyDescent="0.35">
      <c r="A8">
        <v>7</v>
      </c>
      <c r="B8" t="s">
        <v>1049</v>
      </c>
      <c r="F8">
        <v>1</v>
      </c>
      <c r="G8" t="s">
        <v>1026</v>
      </c>
    </row>
    <row r="9" spans="1:8" x14ac:dyDescent="0.35">
      <c r="A9">
        <v>8</v>
      </c>
      <c r="B9" t="s">
        <v>1034</v>
      </c>
      <c r="F9">
        <v>1</v>
      </c>
      <c r="G9" t="s">
        <v>1026</v>
      </c>
    </row>
    <row r="10" spans="1:8" x14ac:dyDescent="0.35">
      <c r="A10">
        <v>9</v>
      </c>
      <c r="B10" t="s">
        <v>1050</v>
      </c>
      <c r="F10">
        <v>1</v>
      </c>
      <c r="G10" t="s">
        <v>1026</v>
      </c>
    </row>
    <row r="11" spans="1:8" x14ac:dyDescent="0.35">
      <c r="A11">
        <v>10</v>
      </c>
      <c r="B11" t="s">
        <v>1051</v>
      </c>
      <c r="F11">
        <v>1</v>
      </c>
      <c r="G11" t="s">
        <v>1026</v>
      </c>
    </row>
    <row r="12" spans="1:8" x14ac:dyDescent="0.35">
      <c r="A12">
        <v>11</v>
      </c>
      <c r="B12" t="s">
        <v>1052</v>
      </c>
      <c r="F12">
        <v>1</v>
      </c>
      <c r="G12" t="s">
        <v>1026</v>
      </c>
    </row>
    <row r="13" spans="1:8" x14ac:dyDescent="0.35">
      <c r="A13">
        <v>12</v>
      </c>
      <c r="B13" t="s">
        <v>1035</v>
      </c>
      <c r="F13">
        <v>1</v>
      </c>
      <c r="G13" t="s">
        <v>1026</v>
      </c>
    </row>
    <row r="14" spans="1:8" x14ac:dyDescent="0.35">
      <c r="A14" t="s">
        <v>206</v>
      </c>
      <c r="B14" t="s">
        <v>1068</v>
      </c>
      <c r="F14">
        <v>1</v>
      </c>
      <c r="G14" t="s">
        <v>1026</v>
      </c>
    </row>
    <row r="15" spans="1:8" x14ac:dyDescent="0.35">
      <c r="A15" t="s">
        <v>201</v>
      </c>
      <c r="B15" t="s">
        <v>1069</v>
      </c>
      <c r="F15">
        <v>1</v>
      </c>
      <c r="G15" t="s">
        <v>1026</v>
      </c>
    </row>
    <row r="16" spans="1:8" x14ac:dyDescent="0.35">
      <c r="A16">
        <v>13</v>
      </c>
      <c r="B16" t="s">
        <v>1047</v>
      </c>
      <c r="F16">
        <v>2</v>
      </c>
      <c r="G16" t="s">
        <v>1027</v>
      </c>
    </row>
    <row r="17" spans="1:7" x14ac:dyDescent="0.35">
      <c r="A17">
        <v>14</v>
      </c>
      <c r="B17" t="s">
        <v>1048</v>
      </c>
      <c r="F17">
        <v>2</v>
      </c>
      <c r="G17" t="s">
        <v>1027</v>
      </c>
    </row>
    <row r="18" spans="1:7" x14ac:dyDescent="0.35">
      <c r="A18">
        <v>15</v>
      </c>
      <c r="B18" t="s">
        <v>1049</v>
      </c>
      <c r="F18">
        <v>2</v>
      </c>
      <c r="G18" t="s">
        <v>1027</v>
      </c>
    </row>
    <row r="19" spans="1:7" x14ac:dyDescent="0.35">
      <c r="A19">
        <v>16</v>
      </c>
      <c r="B19" t="s">
        <v>1034</v>
      </c>
      <c r="F19">
        <v>2</v>
      </c>
      <c r="G19" t="s">
        <v>1027</v>
      </c>
    </row>
    <row r="20" spans="1:7" x14ac:dyDescent="0.35">
      <c r="A20">
        <v>17</v>
      </c>
      <c r="B20" t="s">
        <v>1053</v>
      </c>
      <c r="F20">
        <v>2</v>
      </c>
      <c r="G20" t="s">
        <v>1027</v>
      </c>
    </row>
    <row r="21" spans="1:7" x14ac:dyDescent="0.35">
      <c r="A21">
        <v>18</v>
      </c>
      <c r="B21" t="s">
        <v>1046</v>
      </c>
      <c r="F21">
        <v>2</v>
      </c>
      <c r="G21" t="s">
        <v>1027</v>
      </c>
    </row>
    <row r="22" spans="1:7" x14ac:dyDescent="0.35">
      <c r="A22" t="s">
        <v>206</v>
      </c>
      <c r="B22" t="s">
        <v>1068</v>
      </c>
      <c r="F22">
        <v>2</v>
      </c>
      <c r="G22" t="s">
        <v>1027</v>
      </c>
    </row>
    <row r="23" spans="1:7" x14ac:dyDescent="0.35">
      <c r="A23" t="s">
        <v>201</v>
      </c>
      <c r="B23" t="s">
        <v>1069</v>
      </c>
      <c r="F23">
        <v>2</v>
      </c>
      <c r="G23" t="s">
        <v>1027</v>
      </c>
    </row>
    <row r="24" spans="1:7" x14ac:dyDescent="0.35">
      <c r="A24">
        <v>19</v>
      </c>
      <c r="B24" t="s">
        <v>1054</v>
      </c>
      <c r="F24">
        <v>3</v>
      </c>
      <c r="G24" t="s">
        <v>1028</v>
      </c>
    </row>
    <row r="25" spans="1:7" x14ac:dyDescent="0.35">
      <c r="A25" t="s">
        <v>206</v>
      </c>
      <c r="B25" t="s">
        <v>1068</v>
      </c>
      <c r="F25">
        <v>3</v>
      </c>
      <c r="G25" t="s">
        <v>1028</v>
      </c>
    </row>
    <row r="26" spans="1:7" x14ac:dyDescent="0.35">
      <c r="A26" t="s">
        <v>201</v>
      </c>
      <c r="B26" t="s">
        <v>1069</v>
      </c>
      <c r="F26">
        <v>3</v>
      </c>
      <c r="G26" t="s">
        <v>1028</v>
      </c>
    </row>
    <row r="27" spans="1:7" x14ac:dyDescent="0.35">
      <c r="A27">
        <v>20</v>
      </c>
      <c r="B27" t="s">
        <v>1055</v>
      </c>
      <c r="F27">
        <v>4</v>
      </c>
      <c r="G27" t="s">
        <v>1029</v>
      </c>
    </row>
    <row r="28" spans="1:7" x14ac:dyDescent="0.35">
      <c r="A28" t="s">
        <v>206</v>
      </c>
      <c r="B28" t="s">
        <v>1068</v>
      </c>
      <c r="F28">
        <v>4</v>
      </c>
      <c r="G28" t="s">
        <v>1029</v>
      </c>
    </row>
    <row r="29" spans="1:7" x14ac:dyDescent="0.35">
      <c r="A29" t="s">
        <v>201</v>
      </c>
      <c r="B29" t="s">
        <v>1069</v>
      </c>
      <c r="F29">
        <v>4</v>
      </c>
      <c r="G29" t="s">
        <v>1029</v>
      </c>
    </row>
    <row r="30" spans="1:7" x14ac:dyDescent="0.35">
      <c r="A30">
        <v>21</v>
      </c>
      <c r="B30" t="s">
        <v>1056</v>
      </c>
      <c r="F30">
        <v>5</v>
      </c>
      <c r="G30" t="s">
        <v>1030</v>
      </c>
    </row>
    <row r="31" spans="1:7" x14ac:dyDescent="0.35">
      <c r="A31">
        <v>22</v>
      </c>
      <c r="B31" t="s">
        <v>1057</v>
      </c>
      <c r="F31">
        <v>5</v>
      </c>
      <c r="G31" t="s">
        <v>1030</v>
      </c>
    </row>
    <row r="32" spans="1:7" x14ac:dyDescent="0.35">
      <c r="A32">
        <v>23</v>
      </c>
      <c r="B32" t="s">
        <v>1058</v>
      </c>
      <c r="F32">
        <v>5</v>
      </c>
      <c r="G32" t="s">
        <v>1030</v>
      </c>
    </row>
    <row r="33" spans="1:7" x14ac:dyDescent="0.35">
      <c r="A33">
        <v>24</v>
      </c>
      <c r="B33" t="s">
        <v>1036</v>
      </c>
      <c r="F33">
        <v>5</v>
      </c>
      <c r="G33" t="s">
        <v>1030</v>
      </c>
    </row>
    <row r="34" spans="1:7" x14ac:dyDescent="0.35">
      <c r="A34" t="s">
        <v>204</v>
      </c>
      <c r="B34" t="s">
        <v>1070</v>
      </c>
      <c r="F34">
        <v>5</v>
      </c>
      <c r="G34" t="s">
        <v>1030</v>
      </c>
    </row>
    <row r="35" spans="1:7" x14ac:dyDescent="0.35">
      <c r="A35">
        <v>25</v>
      </c>
      <c r="B35" t="s">
        <v>1037</v>
      </c>
      <c r="F35">
        <v>6</v>
      </c>
      <c r="G35" t="s">
        <v>1031</v>
      </c>
    </row>
    <row r="36" spans="1:7" x14ac:dyDescent="0.35">
      <c r="A36">
        <v>26</v>
      </c>
      <c r="B36" t="s">
        <v>1059</v>
      </c>
      <c r="F36">
        <v>6</v>
      </c>
      <c r="G36" t="s">
        <v>1031</v>
      </c>
    </row>
    <row r="37" spans="1:7" x14ac:dyDescent="0.35">
      <c r="A37">
        <v>27</v>
      </c>
      <c r="B37" t="s">
        <v>1060</v>
      </c>
      <c r="F37">
        <v>6</v>
      </c>
      <c r="G37" t="s">
        <v>1031</v>
      </c>
    </row>
    <row r="38" spans="1:7" x14ac:dyDescent="0.35">
      <c r="A38">
        <v>28</v>
      </c>
      <c r="B38" t="s">
        <v>1061</v>
      </c>
      <c r="F38">
        <v>6</v>
      </c>
      <c r="G38" t="s">
        <v>1031</v>
      </c>
    </row>
    <row r="39" spans="1:7" x14ac:dyDescent="0.35">
      <c r="A39">
        <v>29</v>
      </c>
      <c r="B39" t="s">
        <v>1062</v>
      </c>
      <c r="F39">
        <v>6</v>
      </c>
      <c r="G39" t="s">
        <v>1031</v>
      </c>
    </row>
    <row r="40" spans="1:7" x14ac:dyDescent="0.35">
      <c r="A40" t="s">
        <v>201</v>
      </c>
      <c r="B40" t="s">
        <v>1069</v>
      </c>
      <c r="F40">
        <v>6</v>
      </c>
      <c r="G40" t="s">
        <v>1031</v>
      </c>
    </row>
    <row r="41" spans="1:7" x14ac:dyDescent="0.35">
      <c r="A41">
        <v>30</v>
      </c>
      <c r="B41" t="s">
        <v>1063</v>
      </c>
      <c r="F41">
        <v>7</v>
      </c>
      <c r="G41" t="s">
        <v>1032</v>
      </c>
    </row>
    <row r="42" spans="1:7" x14ac:dyDescent="0.35">
      <c r="A42">
        <v>31</v>
      </c>
      <c r="B42" t="s">
        <v>1064</v>
      </c>
      <c r="F42">
        <v>7</v>
      </c>
      <c r="G42" t="s">
        <v>1032</v>
      </c>
    </row>
    <row r="43" spans="1:7" x14ac:dyDescent="0.35">
      <c r="A43">
        <v>32</v>
      </c>
      <c r="B43" t="s">
        <v>1065</v>
      </c>
      <c r="F43">
        <v>7</v>
      </c>
      <c r="G43" t="s">
        <v>1032</v>
      </c>
    </row>
    <row r="44" spans="1:7" x14ac:dyDescent="0.35">
      <c r="A44" t="s">
        <v>201</v>
      </c>
      <c r="B44" t="s">
        <v>1069</v>
      </c>
      <c r="F44">
        <v>7</v>
      </c>
      <c r="G44" t="s">
        <v>1032</v>
      </c>
    </row>
    <row r="45" spans="1:7" x14ac:dyDescent="0.35">
      <c r="A45">
        <v>33</v>
      </c>
      <c r="B45" t="s">
        <v>1066</v>
      </c>
      <c r="F45">
        <v>8</v>
      </c>
      <c r="G45" t="s">
        <v>1039</v>
      </c>
    </row>
    <row r="46" spans="1:7" x14ac:dyDescent="0.35">
      <c r="A46">
        <v>34</v>
      </c>
      <c r="B46" t="s">
        <v>1067</v>
      </c>
      <c r="F46">
        <v>9</v>
      </c>
      <c r="G46" t="s">
        <v>1040</v>
      </c>
    </row>
  </sheetData>
  <mergeCells count="2">
    <mergeCell ref="A1:D1"/>
    <mergeCell ref="F1:H1"/>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8400-6A2D-4B1C-A3E7-E9263462122C}">
  <sheetPr>
    <tabColor rgb="FFDBFFEF"/>
  </sheetPr>
  <dimension ref="A1:X32"/>
  <sheetViews>
    <sheetView zoomScale="90" zoomScaleNormal="90" workbookViewId="0">
      <selection activeCell="V10" sqref="V10"/>
    </sheetView>
  </sheetViews>
  <sheetFormatPr defaultColWidth="8.7265625" defaultRowHeight="14.5" x14ac:dyDescent="0.35"/>
  <sheetData>
    <row r="1" spans="1:24" x14ac:dyDescent="0.35">
      <c r="A1" s="10"/>
      <c r="B1" s="10"/>
      <c r="C1" s="10"/>
      <c r="D1" s="10"/>
      <c r="E1" s="10"/>
      <c r="F1" s="10"/>
      <c r="G1" s="10"/>
      <c r="H1" s="10"/>
      <c r="I1" s="10"/>
      <c r="J1" s="10"/>
      <c r="K1" s="10"/>
      <c r="L1" s="10"/>
      <c r="M1" s="10"/>
      <c r="N1" s="10"/>
      <c r="O1" s="10"/>
      <c r="P1" s="10"/>
      <c r="Q1" s="10"/>
      <c r="R1" s="10"/>
      <c r="S1" s="10"/>
      <c r="T1" s="10"/>
      <c r="U1" s="10"/>
      <c r="V1" s="10"/>
      <c r="W1" s="10"/>
      <c r="X1" s="10"/>
    </row>
    <row r="2" spans="1:24" x14ac:dyDescent="0.35">
      <c r="A2" s="10"/>
      <c r="B2" s="10"/>
      <c r="C2" s="10"/>
      <c r="D2" s="10"/>
      <c r="E2" s="10"/>
      <c r="F2" s="10"/>
      <c r="G2" s="10"/>
      <c r="H2" s="10"/>
      <c r="I2" s="10"/>
      <c r="J2" s="10"/>
      <c r="K2" s="10"/>
      <c r="L2" s="10"/>
      <c r="M2" s="10"/>
      <c r="N2" s="10"/>
      <c r="O2" s="10"/>
      <c r="P2" s="10"/>
      <c r="Q2" s="10"/>
      <c r="R2" s="10"/>
      <c r="S2" s="10"/>
      <c r="T2" s="10"/>
      <c r="U2" s="10"/>
      <c r="V2" s="10"/>
      <c r="W2" s="10"/>
      <c r="X2" s="10"/>
    </row>
    <row r="3" spans="1:24" x14ac:dyDescent="0.35">
      <c r="A3" s="10"/>
      <c r="B3" s="10"/>
      <c r="C3" s="10"/>
      <c r="D3" s="10"/>
      <c r="E3" s="10"/>
      <c r="F3" s="10"/>
      <c r="G3" s="10"/>
      <c r="H3" s="10"/>
      <c r="I3" s="10"/>
      <c r="J3" s="10"/>
      <c r="K3" s="10"/>
      <c r="L3" s="10"/>
      <c r="M3" s="10"/>
      <c r="N3" s="10"/>
      <c r="O3" s="10"/>
      <c r="P3" s="10"/>
      <c r="Q3" s="10"/>
      <c r="R3" s="10"/>
      <c r="S3" s="10"/>
      <c r="T3" s="10"/>
      <c r="U3" s="10"/>
      <c r="V3" s="10"/>
      <c r="W3" s="10"/>
      <c r="X3" s="10"/>
    </row>
    <row r="4" spans="1:24" x14ac:dyDescent="0.35">
      <c r="A4" s="10"/>
      <c r="B4" s="10"/>
      <c r="C4" s="10"/>
      <c r="D4" s="10"/>
      <c r="E4" s="10"/>
      <c r="F4" s="10"/>
      <c r="G4" s="10"/>
      <c r="H4" s="10"/>
      <c r="I4" s="10"/>
      <c r="J4" s="10"/>
      <c r="K4" s="10"/>
      <c r="L4" s="10"/>
      <c r="M4" s="10"/>
      <c r="N4" s="10"/>
      <c r="O4" s="10"/>
      <c r="P4" s="10"/>
      <c r="Q4" s="10"/>
      <c r="R4" s="10"/>
      <c r="S4" s="10"/>
      <c r="T4" s="10"/>
      <c r="U4" s="10"/>
      <c r="V4" s="10"/>
      <c r="W4" s="10"/>
      <c r="X4" s="10"/>
    </row>
    <row r="5" spans="1:24" x14ac:dyDescent="0.35">
      <c r="A5" s="10"/>
      <c r="B5" s="10"/>
      <c r="C5" s="10"/>
      <c r="D5" s="10"/>
      <c r="E5" s="10"/>
      <c r="F5" s="10"/>
      <c r="G5" s="10"/>
      <c r="H5" s="10"/>
      <c r="I5" s="10"/>
      <c r="J5" s="10"/>
      <c r="K5" s="10"/>
      <c r="L5" s="10"/>
      <c r="M5" s="10"/>
      <c r="N5" s="10"/>
      <c r="O5" s="10"/>
      <c r="P5" s="10"/>
      <c r="Q5" s="10"/>
      <c r="R5" s="10"/>
      <c r="S5" s="10"/>
      <c r="T5" s="10"/>
      <c r="U5" s="10"/>
      <c r="V5" s="10"/>
      <c r="W5" s="10"/>
      <c r="X5" s="10"/>
    </row>
    <row r="6" spans="1:24" x14ac:dyDescent="0.35">
      <c r="A6" s="10"/>
      <c r="B6" s="10"/>
      <c r="C6" s="10"/>
      <c r="D6" s="10"/>
      <c r="E6" s="10"/>
      <c r="F6" s="10"/>
      <c r="G6" s="10"/>
      <c r="H6" s="10"/>
      <c r="I6" s="10"/>
      <c r="J6" s="10"/>
      <c r="K6" s="10"/>
      <c r="L6" s="10"/>
      <c r="M6" s="10"/>
      <c r="N6" s="10"/>
      <c r="O6" s="10"/>
      <c r="P6" s="10"/>
      <c r="Q6" s="10"/>
      <c r="R6" s="10"/>
      <c r="S6" s="10"/>
      <c r="T6" s="10"/>
      <c r="U6" s="10"/>
      <c r="V6" s="10"/>
      <c r="W6" s="10"/>
      <c r="X6" s="10"/>
    </row>
    <row r="7" spans="1:24" x14ac:dyDescent="0.35">
      <c r="A7" s="10"/>
      <c r="B7" s="10"/>
      <c r="C7" s="10"/>
      <c r="D7" s="10"/>
      <c r="E7" s="10"/>
      <c r="F7" s="10"/>
      <c r="G7" s="10"/>
      <c r="H7" s="10"/>
      <c r="I7" s="10"/>
      <c r="J7" s="10"/>
      <c r="K7" s="10"/>
      <c r="L7" s="10"/>
      <c r="M7" s="10"/>
      <c r="N7" s="10"/>
      <c r="O7" s="10"/>
      <c r="P7" s="10"/>
      <c r="Q7" s="10"/>
      <c r="R7" s="10"/>
      <c r="S7" s="10"/>
      <c r="T7" s="10"/>
      <c r="U7" s="10"/>
      <c r="V7" s="10"/>
      <c r="W7" s="10"/>
      <c r="X7" s="10"/>
    </row>
    <row r="8" spans="1:24" x14ac:dyDescent="0.35">
      <c r="A8" s="10"/>
      <c r="B8" s="10"/>
      <c r="C8" s="10"/>
      <c r="D8" s="10"/>
      <c r="E8" s="10"/>
      <c r="F8" s="10"/>
      <c r="G8" s="10"/>
      <c r="H8" s="10"/>
      <c r="I8" s="10"/>
      <c r="J8" s="10"/>
      <c r="K8" s="10"/>
      <c r="L8" s="10"/>
      <c r="M8" s="10"/>
      <c r="N8" s="10"/>
      <c r="O8" s="10"/>
      <c r="P8" s="10"/>
      <c r="Q8" s="10"/>
      <c r="R8" s="10"/>
      <c r="S8" s="10"/>
      <c r="T8" s="10"/>
      <c r="U8" s="10"/>
      <c r="V8" s="10"/>
      <c r="W8" s="10"/>
      <c r="X8" s="10"/>
    </row>
    <row r="9" spans="1:24" x14ac:dyDescent="0.35">
      <c r="A9" s="10"/>
      <c r="B9" s="10"/>
      <c r="C9" s="10"/>
      <c r="D9" s="10"/>
      <c r="E9" s="10"/>
      <c r="F9" s="10"/>
      <c r="G9" s="10"/>
      <c r="H9" s="10"/>
      <c r="I9" s="10"/>
      <c r="J9" s="10"/>
      <c r="K9" s="10"/>
      <c r="L9" s="10"/>
      <c r="M9" s="10"/>
      <c r="N9" s="10"/>
      <c r="O9" s="10"/>
      <c r="P9" s="10"/>
      <c r="Q9" s="10"/>
      <c r="R9" s="10"/>
      <c r="S9" s="10"/>
      <c r="T9" s="10"/>
      <c r="U9" s="10"/>
      <c r="V9" s="10"/>
      <c r="W9" s="10"/>
      <c r="X9" s="10"/>
    </row>
    <row r="10" spans="1:24"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x14ac:dyDescent="0.35">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2263-403B-4E26-AD08-CFDE327D8D21}">
  <sheetPr>
    <tabColor theme="2" tint="-0.249977111117893"/>
  </sheetPr>
  <dimension ref="A1:V243"/>
  <sheetViews>
    <sheetView workbookViewId="0">
      <selection activeCell="J22" sqref="J22"/>
    </sheetView>
  </sheetViews>
  <sheetFormatPr defaultColWidth="8.7265625" defaultRowHeight="14.5" x14ac:dyDescent="0.35"/>
  <cols>
    <col min="10" max="10" width="29.81640625" bestFit="1" customWidth="1"/>
  </cols>
  <sheetData>
    <row r="1" spans="1:22" ht="15" thickBot="1" x14ac:dyDescent="0.4">
      <c r="A1" s="10"/>
      <c r="B1" s="10"/>
      <c r="C1" s="10"/>
      <c r="D1" s="10"/>
      <c r="E1" s="10"/>
      <c r="F1" s="10"/>
      <c r="G1" s="10"/>
      <c r="H1" s="10"/>
      <c r="I1" s="10"/>
      <c r="J1" s="10"/>
      <c r="K1" s="10"/>
      <c r="L1" s="10"/>
      <c r="M1" s="10"/>
      <c r="N1" s="10"/>
      <c r="O1" s="10"/>
      <c r="P1" s="10"/>
      <c r="Q1" s="10"/>
      <c r="R1" s="10"/>
      <c r="S1" s="10"/>
      <c r="T1" s="10"/>
      <c r="U1" s="10"/>
      <c r="V1" s="10"/>
    </row>
    <row r="2" spans="1:22" x14ac:dyDescent="0.35">
      <c r="A2" s="10"/>
      <c r="B2" s="10"/>
      <c r="C2" s="10"/>
      <c r="D2" s="10"/>
      <c r="E2" s="10"/>
      <c r="F2" s="10"/>
      <c r="G2" s="10"/>
      <c r="H2" s="10"/>
      <c r="I2" s="12" t="s">
        <v>1044</v>
      </c>
      <c r="J2" s="13" t="s">
        <v>1043</v>
      </c>
      <c r="K2" s="10"/>
      <c r="L2" s="10"/>
      <c r="M2" s="10"/>
      <c r="N2" s="10"/>
      <c r="O2" s="10"/>
      <c r="P2" s="10"/>
      <c r="Q2" s="10"/>
      <c r="R2" s="10"/>
      <c r="S2" s="10"/>
      <c r="T2" s="10"/>
      <c r="U2" s="10"/>
      <c r="V2" s="10"/>
    </row>
    <row r="3" spans="1:22" x14ac:dyDescent="0.35">
      <c r="A3" s="10"/>
      <c r="B3" s="10"/>
      <c r="C3" s="10"/>
      <c r="D3" s="10"/>
      <c r="E3" s="10"/>
      <c r="F3" s="10"/>
      <c r="G3" s="10"/>
      <c r="H3" s="10"/>
      <c r="I3" s="14" t="e">
        <f>IF(MAX('Sample Select backend'!$K$4:$K$205)&gt;=ROW(I3)-2,ROW(I3)-2,"")</f>
        <v>#N/A</v>
      </c>
      <c r="J3" s="15" t="str">
        <f>IFERROR(VLOOKUP(I3,'Sample Select backend'!$K$4:$L$205,2,FALSE),"No countries selected!")</f>
        <v>No countries selected!</v>
      </c>
      <c r="K3" s="10"/>
      <c r="L3" s="10"/>
      <c r="M3" s="10"/>
      <c r="N3" s="10"/>
      <c r="O3" s="10"/>
      <c r="P3" s="10"/>
      <c r="Q3" s="10"/>
      <c r="R3" s="10"/>
      <c r="S3" s="10"/>
      <c r="T3" s="10"/>
      <c r="U3" s="10"/>
      <c r="V3" s="10"/>
    </row>
    <row r="4" spans="1:22" x14ac:dyDescent="0.35">
      <c r="A4" s="10"/>
      <c r="B4" s="10"/>
      <c r="C4" s="10"/>
      <c r="D4" s="10"/>
      <c r="E4" s="10"/>
      <c r="F4" s="10"/>
      <c r="G4" s="10"/>
      <c r="H4" s="10"/>
      <c r="I4" s="14" t="e">
        <f>IF(MAX('Sample Select backend'!$K$4:$K$205)&gt;=ROW(I4)-2,ROW(I4)-2,"")</f>
        <v>#N/A</v>
      </c>
      <c r="J4" s="15" t="str">
        <f>IFERROR(VLOOKUP(I4,'Sample Select backend'!$K$4:$L$205,2,FALSE),"")</f>
        <v/>
      </c>
      <c r="K4" s="10"/>
      <c r="L4" s="10"/>
      <c r="M4" s="10"/>
      <c r="N4" s="10"/>
      <c r="O4" s="10"/>
      <c r="P4" s="10"/>
      <c r="Q4" s="10"/>
      <c r="R4" s="10"/>
      <c r="S4" s="10"/>
      <c r="T4" s="10"/>
      <c r="U4" s="10"/>
      <c r="V4" s="10"/>
    </row>
    <row r="5" spans="1:22" x14ac:dyDescent="0.35">
      <c r="A5" s="10"/>
      <c r="B5" s="10"/>
      <c r="C5" s="10"/>
      <c r="D5" s="10"/>
      <c r="E5" s="10"/>
      <c r="F5" s="10"/>
      <c r="G5" s="10"/>
      <c r="H5" s="10"/>
      <c r="I5" s="14" t="e">
        <f>IF(MAX('Sample Select backend'!$K$4:$K$205)&gt;=ROW(I5)-2,ROW(I5)-2,"")</f>
        <v>#N/A</v>
      </c>
      <c r="J5" s="15" t="str">
        <f>IFERROR(VLOOKUP(I5,'Sample Select backend'!$K$4:$L$205,2,FALSE),"")</f>
        <v/>
      </c>
      <c r="K5" s="10"/>
      <c r="L5" s="10"/>
      <c r="M5" s="10"/>
      <c r="N5" s="10"/>
      <c r="O5" s="10"/>
      <c r="P5" s="10"/>
      <c r="Q5" s="10"/>
      <c r="R5" s="10"/>
      <c r="S5" s="10"/>
      <c r="T5" s="10"/>
      <c r="U5" s="10"/>
      <c r="V5" s="10"/>
    </row>
    <row r="6" spans="1:22" x14ac:dyDescent="0.35">
      <c r="A6" s="10"/>
      <c r="B6" s="10"/>
      <c r="C6" s="10"/>
      <c r="D6" s="10"/>
      <c r="E6" s="10"/>
      <c r="F6" s="10"/>
      <c r="G6" s="10"/>
      <c r="H6" s="10"/>
      <c r="I6" s="14" t="e">
        <f>IF(MAX('Sample Select backend'!$K$4:$K$205)&gt;=ROW(I6)-2,ROW(I6)-2,"")</f>
        <v>#N/A</v>
      </c>
      <c r="J6" s="15" t="str">
        <f>IFERROR(VLOOKUP(I6,'Sample Select backend'!$K$4:$L$205,2,FALSE),"")</f>
        <v/>
      </c>
      <c r="K6" s="10"/>
      <c r="L6" s="10"/>
      <c r="M6" s="10"/>
      <c r="N6" s="10"/>
      <c r="O6" s="10"/>
      <c r="P6" s="10"/>
      <c r="Q6" s="10"/>
      <c r="R6" s="10"/>
      <c r="S6" s="10"/>
      <c r="T6" s="10"/>
      <c r="U6" s="10"/>
      <c r="V6" s="10"/>
    </row>
    <row r="7" spans="1:22" x14ac:dyDescent="0.35">
      <c r="A7" s="10"/>
      <c r="B7" s="10"/>
      <c r="C7" s="10"/>
      <c r="D7" s="10"/>
      <c r="E7" s="10"/>
      <c r="F7" s="10"/>
      <c r="G7" s="10"/>
      <c r="H7" s="10"/>
      <c r="I7" s="14" t="e">
        <f>IF(MAX('Sample Select backend'!$K$4:$K$205)&gt;=ROW(I7)-2,ROW(I7)-2,"")</f>
        <v>#N/A</v>
      </c>
      <c r="J7" s="15" t="str">
        <f>IFERROR(VLOOKUP(I7,'Sample Select backend'!$K$4:$L$205,2,FALSE),"")</f>
        <v/>
      </c>
      <c r="K7" s="10"/>
      <c r="L7" s="10"/>
      <c r="M7" s="10"/>
      <c r="N7" s="10"/>
      <c r="O7" s="10"/>
      <c r="P7" s="10"/>
      <c r="Q7" s="10"/>
      <c r="R7" s="10"/>
      <c r="S7" s="10"/>
      <c r="T7" s="10"/>
      <c r="U7" s="10"/>
      <c r="V7" s="10"/>
    </row>
    <row r="8" spans="1:22" x14ac:dyDescent="0.35">
      <c r="A8" s="10"/>
      <c r="B8" s="10"/>
      <c r="C8" s="10"/>
      <c r="D8" s="10"/>
      <c r="E8" s="10"/>
      <c r="F8" s="10"/>
      <c r="G8" s="10"/>
      <c r="H8" s="10"/>
      <c r="I8" s="14" t="e">
        <f>IF(MAX('Sample Select backend'!$K$4:$K$205)&gt;=ROW(I8)-2,ROW(I8)-2,"")</f>
        <v>#N/A</v>
      </c>
      <c r="J8" s="15" t="str">
        <f>IFERROR(VLOOKUP(I8,'Sample Select backend'!$K$4:$L$205,2,FALSE),"")</f>
        <v/>
      </c>
      <c r="K8" s="10"/>
      <c r="L8" s="10"/>
      <c r="M8" s="10"/>
      <c r="N8" s="10"/>
      <c r="O8" s="10"/>
      <c r="P8" s="10"/>
      <c r="Q8" s="10"/>
      <c r="R8" s="10"/>
      <c r="S8" s="10"/>
      <c r="T8" s="10"/>
      <c r="U8" s="10"/>
      <c r="V8" s="10"/>
    </row>
    <row r="9" spans="1:22" x14ac:dyDescent="0.35">
      <c r="A9" s="10"/>
      <c r="B9" s="10"/>
      <c r="C9" s="10"/>
      <c r="D9" s="10"/>
      <c r="E9" s="10"/>
      <c r="F9" s="10"/>
      <c r="G9" s="10"/>
      <c r="H9" s="10"/>
      <c r="I9" s="14" t="e">
        <f>IF(MAX('Sample Select backend'!$K$4:$K$205)&gt;=ROW(I9)-2,ROW(I9)-2,"")</f>
        <v>#N/A</v>
      </c>
      <c r="J9" s="15" t="str">
        <f>IFERROR(VLOOKUP(I9,'Sample Select backend'!$K$4:$L$205,2,FALSE),"")</f>
        <v/>
      </c>
      <c r="K9" s="10"/>
      <c r="L9" s="10"/>
      <c r="M9" s="10"/>
      <c r="N9" s="10"/>
      <c r="O9" s="10"/>
      <c r="P9" s="10"/>
      <c r="Q9" s="10"/>
      <c r="R9" s="10"/>
      <c r="S9" s="10"/>
      <c r="T9" s="10"/>
      <c r="U9" s="10"/>
      <c r="V9" s="10"/>
    </row>
    <row r="10" spans="1:22" x14ac:dyDescent="0.35">
      <c r="A10" s="10"/>
      <c r="B10" s="10"/>
      <c r="C10" s="10"/>
      <c r="D10" s="10"/>
      <c r="E10" s="10"/>
      <c r="F10" s="10"/>
      <c r="G10" s="10"/>
      <c r="H10" s="10"/>
      <c r="I10" s="14" t="e">
        <f>IF(MAX('Sample Select backend'!$K$4:$K$205)&gt;=ROW(I10)-2,ROW(I10)-2,"")</f>
        <v>#N/A</v>
      </c>
      <c r="J10" s="15" t="str">
        <f>IFERROR(VLOOKUP(I10,'Sample Select backend'!$K$4:$L$205,2,FALSE),"")</f>
        <v/>
      </c>
      <c r="K10" s="10"/>
      <c r="L10" s="10"/>
      <c r="M10" s="10"/>
      <c r="N10" s="10"/>
      <c r="O10" s="10"/>
      <c r="P10" s="10"/>
      <c r="Q10" s="10"/>
      <c r="R10" s="10"/>
      <c r="S10" s="10"/>
      <c r="T10" s="10"/>
      <c r="U10" s="10"/>
      <c r="V10" s="10"/>
    </row>
    <row r="11" spans="1:22" x14ac:dyDescent="0.35">
      <c r="A11" s="10"/>
      <c r="B11" s="10"/>
      <c r="C11" s="10"/>
      <c r="D11" s="10"/>
      <c r="E11" s="10"/>
      <c r="F11" s="10"/>
      <c r="G11" s="10"/>
      <c r="H11" s="10"/>
      <c r="I11" s="14" t="e">
        <f>IF(MAX('Sample Select backend'!$K$4:$K$205)&gt;=ROW(I11)-2,ROW(I11)-2,"")</f>
        <v>#N/A</v>
      </c>
      <c r="J11" s="15" t="str">
        <f>IFERROR(VLOOKUP(I11,'Sample Select backend'!$K$4:$L$205,2,FALSE),"")</f>
        <v/>
      </c>
      <c r="K11" s="10"/>
      <c r="L11" s="10"/>
      <c r="M11" s="10"/>
      <c r="N11" s="10"/>
      <c r="O11" s="10"/>
      <c r="P11" s="10"/>
      <c r="Q11" s="10"/>
      <c r="R11" s="10"/>
      <c r="S11" s="10"/>
      <c r="T11" s="10"/>
      <c r="U11" s="10"/>
      <c r="V11" s="10"/>
    </row>
    <row r="12" spans="1:22" x14ac:dyDescent="0.35">
      <c r="A12" s="10"/>
      <c r="B12" s="10"/>
      <c r="C12" s="10"/>
      <c r="D12" s="10"/>
      <c r="E12" s="10"/>
      <c r="F12" s="10"/>
      <c r="G12" s="10"/>
      <c r="H12" s="10"/>
      <c r="I12" s="14" t="e">
        <f>IF(MAX('Sample Select backend'!$K$4:$K$205)&gt;=ROW(I12)-2,ROW(I12)-2,"")</f>
        <v>#N/A</v>
      </c>
      <c r="J12" s="15" t="str">
        <f>IFERROR(VLOOKUP(I12,'Sample Select backend'!$K$4:$L$205,2,FALSE),"")</f>
        <v/>
      </c>
      <c r="K12" s="10"/>
      <c r="L12" s="10"/>
      <c r="M12" s="10"/>
      <c r="N12" s="10"/>
      <c r="O12" s="10"/>
      <c r="P12" s="10"/>
      <c r="Q12" s="10"/>
      <c r="R12" s="10"/>
      <c r="S12" s="10"/>
      <c r="T12" s="10"/>
      <c r="U12" s="10"/>
      <c r="V12" s="10"/>
    </row>
    <row r="13" spans="1:22" x14ac:dyDescent="0.35">
      <c r="A13" s="10"/>
      <c r="B13" s="10"/>
      <c r="C13" s="10"/>
      <c r="D13" s="10"/>
      <c r="E13" s="10"/>
      <c r="F13" s="10"/>
      <c r="G13" s="10"/>
      <c r="H13" s="10"/>
      <c r="I13" s="14" t="e">
        <f>IF(MAX('Sample Select backend'!$K$4:$K$205)&gt;=ROW(I13)-2,ROW(I13)-2,"")</f>
        <v>#N/A</v>
      </c>
      <c r="J13" s="15" t="str">
        <f>IFERROR(VLOOKUP(I13,'Sample Select backend'!$K$4:$L$205,2,FALSE),"")</f>
        <v/>
      </c>
      <c r="K13" s="10"/>
      <c r="L13" s="10"/>
      <c r="M13" s="10"/>
      <c r="N13" s="10"/>
      <c r="O13" s="10"/>
      <c r="P13" s="10"/>
      <c r="Q13" s="10"/>
      <c r="R13" s="10"/>
      <c r="S13" s="10"/>
      <c r="T13" s="10"/>
      <c r="U13" s="10"/>
      <c r="V13" s="10"/>
    </row>
    <row r="14" spans="1:22" x14ac:dyDescent="0.35">
      <c r="A14" s="10"/>
      <c r="B14" s="10"/>
      <c r="C14" s="10"/>
      <c r="D14" s="10"/>
      <c r="E14" s="10"/>
      <c r="F14" s="10"/>
      <c r="G14" s="10"/>
      <c r="H14" s="10"/>
      <c r="I14" s="14" t="e">
        <f>IF(MAX('Sample Select backend'!$K$4:$K$205)&gt;=ROW(I14)-2,ROW(I14)-2,"")</f>
        <v>#N/A</v>
      </c>
      <c r="J14" s="15" t="str">
        <f>IFERROR(VLOOKUP(I14,'Sample Select backend'!$K$4:$L$205,2,FALSE),"")</f>
        <v/>
      </c>
      <c r="K14" s="10"/>
      <c r="L14" s="10"/>
      <c r="M14" s="10"/>
      <c r="N14" s="10"/>
      <c r="O14" s="10"/>
      <c r="P14" s="10"/>
      <c r="Q14" s="10"/>
      <c r="R14" s="10"/>
      <c r="S14" s="10"/>
      <c r="T14" s="10"/>
      <c r="U14" s="10"/>
      <c r="V14" s="10"/>
    </row>
    <row r="15" spans="1:22" x14ac:dyDescent="0.35">
      <c r="A15" s="10"/>
      <c r="B15" s="10"/>
      <c r="C15" s="10"/>
      <c r="D15" s="10"/>
      <c r="E15" s="10"/>
      <c r="F15" s="10"/>
      <c r="G15" s="10"/>
      <c r="H15" s="10"/>
      <c r="I15" s="14" t="e">
        <f>IF(MAX('Sample Select backend'!$K$4:$K$205)&gt;=ROW(I15)-2,ROW(I15)-2,"")</f>
        <v>#N/A</v>
      </c>
      <c r="J15" s="15" t="str">
        <f>IFERROR(VLOOKUP(I15,'Sample Select backend'!$K$4:$L$205,2,FALSE),"")</f>
        <v/>
      </c>
      <c r="K15" s="10"/>
      <c r="L15" s="10"/>
      <c r="M15" s="10"/>
      <c r="N15" s="10"/>
      <c r="O15" s="10"/>
      <c r="P15" s="10"/>
      <c r="Q15" s="10"/>
      <c r="R15" s="10"/>
      <c r="S15" s="10"/>
      <c r="T15" s="10"/>
      <c r="U15" s="10"/>
      <c r="V15" s="10"/>
    </row>
    <row r="16" spans="1:22" x14ac:dyDescent="0.35">
      <c r="A16" s="10"/>
      <c r="B16" s="10"/>
      <c r="C16" s="10"/>
      <c r="D16" s="10"/>
      <c r="E16" s="10"/>
      <c r="F16" s="10"/>
      <c r="G16" s="10"/>
      <c r="H16" s="10"/>
      <c r="I16" s="14" t="e">
        <f>IF(MAX('Sample Select backend'!$K$4:$K$205)&gt;=ROW(I16)-2,ROW(I16)-2,"")</f>
        <v>#N/A</v>
      </c>
      <c r="J16" s="15" t="str">
        <f>IFERROR(VLOOKUP(I16,'Sample Select backend'!$K$4:$L$205,2,FALSE),"")</f>
        <v/>
      </c>
      <c r="K16" s="10"/>
      <c r="L16" s="10"/>
      <c r="M16" s="10"/>
      <c r="N16" s="10"/>
      <c r="O16" s="10"/>
      <c r="P16" s="10"/>
      <c r="Q16" s="10"/>
      <c r="R16" s="10"/>
      <c r="S16" s="10"/>
      <c r="T16" s="10"/>
      <c r="U16" s="10"/>
      <c r="V16" s="10"/>
    </row>
    <row r="17" spans="1:22" x14ac:dyDescent="0.35">
      <c r="A17" s="10"/>
      <c r="B17" s="10"/>
      <c r="C17" s="10"/>
      <c r="D17" s="10"/>
      <c r="E17" s="10"/>
      <c r="F17" s="10"/>
      <c r="G17" s="10"/>
      <c r="H17" s="10"/>
      <c r="I17" s="14" t="e">
        <f>IF(MAX('Sample Select backend'!$K$4:$K$205)&gt;=ROW(I17)-2,ROW(I17)-2,"")</f>
        <v>#N/A</v>
      </c>
      <c r="J17" s="15" t="str">
        <f>IFERROR(VLOOKUP(I17,'Sample Select backend'!$K$4:$L$205,2,FALSE),"")</f>
        <v/>
      </c>
      <c r="K17" s="10"/>
      <c r="L17" s="10"/>
      <c r="M17" s="10"/>
      <c r="N17" s="10"/>
      <c r="O17" s="10"/>
      <c r="P17" s="10"/>
      <c r="Q17" s="10"/>
      <c r="R17" s="10"/>
      <c r="S17" s="10"/>
      <c r="T17" s="10"/>
      <c r="U17" s="10"/>
      <c r="V17" s="10"/>
    </row>
    <row r="18" spans="1:22" x14ac:dyDescent="0.35">
      <c r="A18" s="10"/>
      <c r="B18" s="10"/>
      <c r="C18" s="10"/>
      <c r="D18" s="10"/>
      <c r="E18" s="10"/>
      <c r="F18" s="10"/>
      <c r="G18" s="10"/>
      <c r="H18" s="10"/>
      <c r="I18" s="14" t="e">
        <f>IF(MAX('Sample Select backend'!$K$4:$K$205)&gt;=ROW(I18)-2,ROW(I18)-2,"")</f>
        <v>#N/A</v>
      </c>
      <c r="J18" s="15" t="str">
        <f>IFERROR(VLOOKUP(I18,'Sample Select backend'!$K$4:$L$205,2,FALSE),"")</f>
        <v/>
      </c>
      <c r="K18" s="10"/>
      <c r="L18" s="10"/>
      <c r="M18" s="10"/>
      <c r="N18" s="10"/>
      <c r="O18" s="10"/>
      <c r="P18" s="10"/>
      <c r="Q18" s="10"/>
      <c r="R18" s="10"/>
      <c r="S18" s="10"/>
      <c r="T18" s="10"/>
      <c r="U18" s="10"/>
      <c r="V18" s="10"/>
    </row>
    <row r="19" spans="1:22" x14ac:dyDescent="0.35">
      <c r="A19" s="10"/>
      <c r="B19" s="10"/>
      <c r="C19" s="11"/>
      <c r="D19" s="10"/>
      <c r="E19" s="10"/>
      <c r="F19" s="10"/>
      <c r="G19" s="10"/>
      <c r="H19" s="10"/>
      <c r="I19" s="14" t="e">
        <f>IF(MAX('Sample Select backend'!$K$4:$K$205)&gt;=ROW(I19)-2,ROW(I19)-2,"")</f>
        <v>#N/A</v>
      </c>
      <c r="J19" s="15" t="str">
        <f>IFERROR(VLOOKUP(I19,'Sample Select backend'!$K$4:$L$205,2,FALSE),"")</f>
        <v/>
      </c>
      <c r="K19" s="10"/>
      <c r="L19" s="10"/>
      <c r="M19" s="10"/>
      <c r="N19" s="10"/>
      <c r="O19" s="10"/>
      <c r="P19" s="10"/>
      <c r="Q19" s="10"/>
      <c r="R19" s="10"/>
      <c r="S19" s="10"/>
      <c r="T19" s="10"/>
      <c r="U19" s="10"/>
      <c r="V19" s="10"/>
    </row>
    <row r="20" spans="1:22" x14ac:dyDescent="0.35">
      <c r="A20" s="10"/>
      <c r="B20" s="10"/>
      <c r="C20" s="10"/>
      <c r="D20" s="10"/>
      <c r="E20" s="10"/>
      <c r="F20" s="10"/>
      <c r="G20" s="10"/>
      <c r="H20" s="10"/>
      <c r="I20" s="14" t="e">
        <f>IF(MAX('Sample Select backend'!$K$4:$K$205)&gt;=ROW(I20)-2,ROW(I20)-2,"")</f>
        <v>#N/A</v>
      </c>
      <c r="J20" s="15" t="str">
        <f>IFERROR(VLOOKUP(I20,'Sample Select backend'!$K$4:$L$205,2,FALSE),"")</f>
        <v/>
      </c>
      <c r="K20" s="10"/>
      <c r="L20" s="10"/>
      <c r="M20" s="10"/>
      <c r="N20" s="10"/>
      <c r="O20" s="10"/>
      <c r="P20" s="10"/>
      <c r="Q20" s="10"/>
      <c r="R20" s="10"/>
      <c r="S20" s="10"/>
      <c r="T20" s="10"/>
      <c r="U20" s="10"/>
      <c r="V20" s="10"/>
    </row>
    <row r="21" spans="1:22" x14ac:dyDescent="0.35">
      <c r="A21" s="10"/>
      <c r="B21" s="10"/>
      <c r="C21" s="10"/>
      <c r="D21" s="10"/>
      <c r="E21" s="10"/>
      <c r="F21" s="10"/>
      <c r="G21" s="10"/>
      <c r="H21" s="10"/>
      <c r="I21" s="14" t="e">
        <f>IF(MAX('Sample Select backend'!$K$4:$K$205)&gt;=ROW(I21)-2,ROW(I21)-2,"")</f>
        <v>#N/A</v>
      </c>
      <c r="J21" s="15" t="str">
        <f>IFERROR(VLOOKUP(I21,'Sample Select backend'!$K$4:$L$205,2,FALSE),"")</f>
        <v/>
      </c>
      <c r="K21" s="10"/>
      <c r="L21" s="10"/>
      <c r="M21" s="10"/>
      <c r="N21" s="10"/>
      <c r="O21" s="10"/>
      <c r="P21" s="10"/>
      <c r="Q21" s="10"/>
      <c r="R21" s="10"/>
      <c r="S21" s="10"/>
      <c r="T21" s="10"/>
      <c r="U21" s="10"/>
      <c r="V21" s="10"/>
    </row>
    <row r="22" spans="1:22" x14ac:dyDescent="0.35">
      <c r="A22" s="10"/>
      <c r="B22" s="10"/>
      <c r="C22" s="10"/>
      <c r="D22" s="10"/>
      <c r="E22" s="10"/>
      <c r="F22" s="10"/>
      <c r="G22" s="10"/>
      <c r="H22" s="10"/>
      <c r="I22" s="14" t="e">
        <f>IF(MAX('Sample Select backend'!$K$4:$K$205)&gt;=ROW(I22)-2,ROW(I22)-2,"")</f>
        <v>#N/A</v>
      </c>
      <c r="J22" s="15" t="str">
        <f>IFERROR(VLOOKUP(I22,'Sample Select backend'!$K$4:$L$205,2,FALSE),"")</f>
        <v/>
      </c>
      <c r="K22" s="10"/>
      <c r="L22" s="10"/>
      <c r="M22" s="10"/>
      <c r="N22" s="10"/>
      <c r="O22" s="10"/>
      <c r="P22" s="10"/>
      <c r="Q22" s="10"/>
      <c r="R22" s="10"/>
      <c r="S22" s="10"/>
      <c r="T22" s="10"/>
      <c r="U22" s="10"/>
      <c r="V22" s="10"/>
    </row>
    <row r="23" spans="1:22" x14ac:dyDescent="0.35">
      <c r="A23" s="10"/>
      <c r="B23" s="10"/>
      <c r="C23" s="10"/>
      <c r="D23" s="10"/>
      <c r="E23" s="10"/>
      <c r="F23" s="10"/>
      <c r="G23" s="10"/>
      <c r="H23" s="10"/>
      <c r="I23" s="14" t="e">
        <f>IF(MAX('Sample Select backend'!$K$4:$K$205)&gt;=ROW(I23)-2,ROW(I23)-2,"")</f>
        <v>#N/A</v>
      </c>
      <c r="J23" s="15" t="str">
        <f>IFERROR(VLOOKUP(I23,'Sample Select backend'!$K$4:$L$205,2,FALSE),"")</f>
        <v/>
      </c>
      <c r="K23" s="10"/>
      <c r="L23" s="10"/>
      <c r="M23" s="10"/>
      <c r="N23" s="10"/>
      <c r="O23" s="10"/>
      <c r="P23" s="10"/>
      <c r="Q23" s="10"/>
      <c r="R23" s="10"/>
      <c r="S23" s="10"/>
      <c r="T23" s="10"/>
      <c r="U23" s="10"/>
      <c r="V23" s="10"/>
    </row>
    <row r="24" spans="1:22" x14ac:dyDescent="0.35">
      <c r="A24" s="10"/>
      <c r="B24" s="10"/>
      <c r="C24" s="10"/>
      <c r="D24" s="10"/>
      <c r="E24" s="10"/>
      <c r="F24" s="10"/>
      <c r="G24" s="10"/>
      <c r="H24" s="10"/>
      <c r="I24" s="14" t="e">
        <f>IF(MAX('Sample Select backend'!$K$4:$K$205)&gt;=ROW(I24)-2,ROW(I24)-2,"")</f>
        <v>#N/A</v>
      </c>
      <c r="J24" s="15" t="str">
        <f>IFERROR(VLOOKUP(I24,'Sample Select backend'!$K$4:$L$205,2,FALSE),"")</f>
        <v/>
      </c>
      <c r="K24" s="10"/>
      <c r="L24" s="10"/>
      <c r="M24" s="10"/>
      <c r="N24" s="10"/>
      <c r="O24" s="10"/>
      <c r="P24" s="10"/>
      <c r="Q24" s="10"/>
      <c r="R24" s="10"/>
      <c r="S24" s="10"/>
      <c r="T24" s="10"/>
      <c r="U24" s="10"/>
      <c r="V24" s="10"/>
    </row>
    <row r="25" spans="1:22" x14ac:dyDescent="0.35">
      <c r="A25" s="10"/>
      <c r="B25" s="10"/>
      <c r="C25" s="10"/>
      <c r="D25" s="10"/>
      <c r="E25" s="10"/>
      <c r="F25" s="10"/>
      <c r="G25" s="10"/>
      <c r="H25" s="10"/>
      <c r="I25" s="14" t="e">
        <f>IF(MAX('Sample Select backend'!$K$4:$K$205)&gt;=ROW(I25)-2,ROW(I25)-2,"")</f>
        <v>#N/A</v>
      </c>
      <c r="J25" s="15" t="str">
        <f>IFERROR(VLOOKUP(I25,'Sample Select backend'!$K$4:$L$205,2,FALSE),"")</f>
        <v/>
      </c>
      <c r="K25" s="10"/>
      <c r="L25" s="10"/>
      <c r="M25" s="10"/>
      <c r="N25" s="10"/>
      <c r="O25" s="10"/>
      <c r="P25" s="10"/>
      <c r="Q25" s="10"/>
      <c r="R25" s="10"/>
      <c r="S25" s="10"/>
      <c r="T25" s="10"/>
      <c r="U25" s="10"/>
      <c r="V25" s="10"/>
    </row>
    <row r="26" spans="1:22" x14ac:dyDescent="0.35">
      <c r="A26" s="10"/>
      <c r="B26" s="10"/>
      <c r="C26" s="10"/>
      <c r="D26" s="10"/>
      <c r="E26" s="10"/>
      <c r="F26" s="10"/>
      <c r="G26" s="10"/>
      <c r="H26" s="10"/>
      <c r="I26" s="14" t="e">
        <f>IF(MAX('Sample Select backend'!$K$4:$K$205)&gt;=ROW(I26)-2,ROW(I26)-2,"")</f>
        <v>#N/A</v>
      </c>
      <c r="J26" s="15" t="str">
        <f>IFERROR(VLOOKUP(I26,'Sample Select backend'!$K$4:$L$205,2,FALSE),"")</f>
        <v/>
      </c>
      <c r="K26" s="10"/>
      <c r="L26" s="10"/>
      <c r="M26" s="10"/>
      <c r="N26" s="10"/>
      <c r="O26" s="10"/>
      <c r="P26" s="10"/>
      <c r="Q26" s="10"/>
      <c r="R26" s="10"/>
      <c r="S26" s="10"/>
      <c r="T26" s="10"/>
      <c r="U26" s="10"/>
      <c r="V26" s="10"/>
    </row>
    <row r="27" spans="1:22" x14ac:dyDescent="0.35">
      <c r="A27" s="10"/>
      <c r="B27" s="10"/>
      <c r="C27" s="10"/>
      <c r="D27" s="10"/>
      <c r="E27" s="10"/>
      <c r="F27" s="10"/>
      <c r="G27" s="10"/>
      <c r="H27" s="10"/>
      <c r="I27" s="14" t="e">
        <f>IF(MAX('Sample Select backend'!$K$4:$K$205)&gt;=ROW(I27)-2,ROW(I27)-2,"")</f>
        <v>#N/A</v>
      </c>
      <c r="J27" s="15" t="str">
        <f>IFERROR(VLOOKUP(I27,'Sample Select backend'!$K$4:$L$205,2,FALSE),"")</f>
        <v/>
      </c>
      <c r="K27" s="10"/>
      <c r="L27" s="10"/>
      <c r="M27" s="10"/>
      <c r="N27" s="10"/>
      <c r="O27" s="10"/>
      <c r="P27" s="10"/>
      <c r="Q27" s="10"/>
      <c r="R27" s="10"/>
      <c r="S27" s="10"/>
      <c r="T27" s="10"/>
      <c r="U27" s="10"/>
      <c r="V27" s="10"/>
    </row>
    <row r="28" spans="1:22" x14ac:dyDescent="0.35">
      <c r="A28" s="10"/>
      <c r="B28" s="10"/>
      <c r="C28" s="10"/>
      <c r="D28" s="10"/>
      <c r="E28" s="10"/>
      <c r="F28" s="10"/>
      <c r="G28" s="10"/>
      <c r="H28" s="10"/>
      <c r="I28" s="14" t="e">
        <f>IF(MAX('Sample Select backend'!$K$4:$K$205)&gt;=ROW(I28)-2,ROW(I28)-2,"")</f>
        <v>#N/A</v>
      </c>
      <c r="J28" s="15" t="str">
        <f>IFERROR(VLOOKUP(I28,'Sample Select backend'!$K$4:$L$205,2,FALSE),"")</f>
        <v/>
      </c>
      <c r="K28" s="10"/>
      <c r="L28" s="10"/>
      <c r="M28" s="10"/>
      <c r="N28" s="10"/>
      <c r="O28" s="10"/>
      <c r="P28" s="10"/>
      <c r="Q28" s="10"/>
      <c r="R28" s="10"/>
      <c r="S28" s="10"/>
      <c r="T28" s="10"/>
      <c r="U28" s="10"/>
      <c r="V28" s="10"/>
    </row>
    <row r="29" spans="1:22" x14ac:dyDescent="0.35">
      <c r="A29" s="10"/>
      <c r="B29" s="10"/>
      <c r="C29" s="10"/>
      <c r="D29" s="10"/>
      <c r="E29" s="10"/>
      <c r="F29" s="10"/>
      <c r="G29" s="10"/>
      <c r="H29" s="10"/>
      <c r="I29" s="14" t="e">
        <f>IF(MAX('Sample Select backend'!$K$4:$K$205)&gt;=ROW(I29)-2,ROW(I29)-2,"")</f>
        <v>#N/A</v>
      </c>
      <c r="J29" s="15" t="str">
        <f>IFERROR(VLOOKUP(I29,'Sample Select backend'!$K$4:$L$205,2,FALSE),"")</f>
        <v/>
      </c>
      <c r="K29" s="10"/>
      <c r="L29" s="10"/>
      <c r="M29" s="10"/>
      <c r="N29" s="10"/>
      <c r="O29" s="10"/>
      <c r="P29" s="10"/>
      <c r="Q29" s="10"/>
      <c r="R29" s="10"/>
      <c r="S29" s="10"/>
      <c r="T29" s="10"/>
      <c r="U29" s="10"/>
      <c r="V29" s="10"/>
    </row>
    <row r="30" spans="1:22" x14ac:dyDescent="0.35">
      <c r="A30" s="10"/>
      <c r="B30" s="10"/>
      <c r="C30" s="10"/>
      <c r="D30" s="10"/>
      <c r="E30" s="10"/>
      <c r="F30" s="10"/>
      <c r="G30" s="10"/>
      <c r="H30" s="10"/>
      <c r="I30" s="14" t="e">
        <f>IF(MAX('Sample Select backend'!$K$4:$K$205)&gt;=ROW(I30)-2,ROW(I30)-2,"")</f>
        <v>#N/A</v>
      </c>
      <c r="J30" s="15" t="str">
        <f>IFERROR(VLOOKUP(I30,'Sample Select backend'!$K$4:$L$205,2,FALSE),"")</f>
        <v/>
      </c>
      <c r="K30" s="10"/>
      <c r="L30" s="10"/>
      <c r="M30" s="10"/>
      <c r="N30" s="10"/>
      <c r="O30" s="10"/>
      <c r="P30" s="10"/>
      <c r="Q30" s="10"/>
      <c r="R30" s="10"/>
      <c r="S30" s="10"/>
      <c r="T30" s="10"/>
      <c r="U30" s="10"/>
      <c r="V30" s="10"/>
    </row>
    <row r="31" spans="1:22" x14ac:dyDescent="0.35">
      <c r="A31" s="10"/>
      <c r="B31" s="10"/>
      <c r="C31" s="10"/>
      <c r="D31" s="10"/>
      <c r="E31" s="10"/>
      <c r="F31" s="10"/>
      <c r="G31" s="10"/>
      <c r="H31" s="10"/>
      <c r="I31" s="14" t="e">
        <f>IF(MAX('Sample Select backend'!$K$4:$K$205)&gt;=ROW(I31)-2,ROW(I31)-2,"")</f>
        <v>#N/A</v>
      </c>
      <c r="J31" s="15" t="str">
        <f>IFERROR(VLOOKUP(I31,'Sample Select backend'!$K$4:$L$205,2,FALSE),"")</f>
        <v/>
      </c>
      <c r="K31" s="10"/>
      <c r="L31" s="10"/>
      <c r="M31" s="10"/>
      <c r="N31" s="10"/>
      <c r="O31" s="10"/>
      <c r="P31" s="10"/>
      <c r="Q31" s="10"/>
      <c r="R31" s="10"/>
      <c r="S31" s="10"/>
      <c r="T31" s="10"/>
      <c r="U31" s="10"/>
      <c r="V31" s="10"/>
    </row>
    <row r="32" spans="1:22" x14ac:dyDescent="0.35">
      <c r="A32" s="10"/>
      <c r="B32" s="10"/>
      <c r="C32" s="10"/>
      <c r="D32" s="10"/>
      <c r="E32" s="10"/>
      <c r="F32" s="10"/>
      <c r="G32" s="10"/>
      <c r="H32" s="10"/>
      <c r="I32" s="14" t="e">
        <f>IF(MAX('Sample Select backend'!$K$4:$K$205)&gt;=ROW(I32)-2,ROW(I32)-2,"")</f>
        <v>#N/A</v>
      </c>
      <c r="J32" s="15" t="str">
        <f>IFERROR(VLOOKUP(I32,'Sample Select backend'!$K$4:$L$205,2,FALSE),"")</f>
        <v/>
      </c>
      <c r="K32" s="10"/>
      <c r="L32" s="10"/>
      <c r="M32" s="10"/>
      <c r="N32" s="10"/>
      <c r="O32" s="10"/>
      <c r="P32" s="10"/>
      <c r="Q32" s="10"/>
      <c r="R32" s="10"/>
      <c r="S32" s="10"/>
      <c r="T32" s="10"/>
      <c r="U32" s="10"/>
      <c r="V32" s="10"/>
    </row>
    <row r="33" spans="1:22" x14ac:dyDescent="0.35">
      <c r="A33" s="10"/>
      <c r="B33" s="10"/>
      <c r="C33" s="10"/>
      <c r="D33" s="10"/>
      <c r="E33" s="10"/>
      <c r="F33" s="10"/>
      <c r="G33" s="10"/>
      <c r="H33" s="10"/>
      <c r="I33" s="14" t="e">
        <f>IF(MAX('Sample Select backend'!$K$4:$K$205)&gt;=ROW(I33)-2,ROW(I33)-2,"")</f>
        <v>#N/A</v>
      </c>
      <c r="J33" s="15" t="str">
        <f>IFERROR(VLOOKUP(I33,'Sample Select backend'!$K$4:$L$205,2,FALSE),"")</f>
        <v/>
      </c>
      <c r="K33" s="10"/>
      <c r="L33" s="10"/>
      <c r="M33" s="10"/>
      <c r="N33" s="10"/>
      <c r="O33" s="10"/>
      <c r="P33" s="10"/>
      <c r="Q33" s="10"/>
      <c r="R33" s="10"/>
      <c r="S33" s="10"/>
      <c r="T33" s="10"/>
      <c r="U33" s="10"/>
      <c r="V33" s="10"/>
    </row>
    <row r="34" spans="1:22" x14ac:dyDescent="0.35">
      <c r="A34" s="10"/>
      <c r="B34" s="10"/>
      <c r="C34" s="10"/>
      <c r="D34" s="10"/>
      <c r="E34" s="10"/>
      <c r="F34" s="10"/>
      <c r="G34" s="10"/>
      <c r="H34" s="10"/>
      <c r="I34" s="14" t="e">
        <f>IF(MAX('Sample Select backend'!$K$4:$K$205)&gt;=ROW(I34)-2,ROW(I34)-2,"")</f>
        <v>#N/A</v>
      </c>
      <c r="J34" s="15" t="str">
        <f>IFERROR(VLOOKUP(I34,'Sample Select backend'!$K$4:$L$205,2,FALSE),"")</f>
        <v/>
      </c>
      <c r="K34" s="10"/>
      <c r="L34" s="10"/>
      <c r="M34" s="10"/>
      <c r="N34" s="10"/>
      <c r="O34" s="10"/>
      <c r="P34" s="10"/>
      <c r="Q34" s="10"/>
      <c r="R34" s="10"/>
      <c r="S34" s="10"/>
      <c r="T34" s="10"/>
      <c r="U34" s="10"/>
      <c r="V34" s="10"/>
    </row>
    <row r="35" spans="1:22" x14ac:dyDescent="0.35">
      <c r="A35" s="10"/>
      <c r="B35" s="10"/>
      <c r="C35" s="10"/>
      <c r="D35" s="10"/>
      <c r="E35" s="10"/>
      <c r="F35" s="10"/>
      <c r="G35" s="10"/>
      <c r="H35" s="10"/>
      <c r="I35" s="14" t="e">
        <f>IF(MAX('Sample Select backend'!$K$4:$K$205)&gt;=ROW(I35)-2,ROW(I35)-2,"")</f>
        <v>#N/A</v>
      </c>
      <c r="J35" s="15" t="str">
        <f>IFERROR(VLOOKUP(I35,'Sample Select backend'!$K$4:$L$205,2,FALSE),"")</f>
        <v/>
      </c>
      <c r="K35" s="10"/>
      <c r="L35" s="10"/>
      <c r="M35" s="10"/>
      <c r="N35" s="10"/>
      <c r="O35" s="10"/>
      <c r="P35" s="10"/>
      <c r="Q35" s="10"/>
      <c r="R35" s="10"/>
      <c r="S35" s="10"/>
      <c r="T35" s="10"/>
      <c r="U35" s="10"/>
      <c r="V35" s="10"/>
    </row>
    <row r="36" spans="1:22" x14ac:dyDescent="0.35">
      <c r="A36" s="10"/>
      <c r="B36" s="10"/>
      <c r="C36" s="10"/>
      <c r="D36" s="10"/>
      <c r="E36" s="10"/>
      <c r="F36" s="10"/>
      <c r="G36" s="10"/>
      <c r="H36" s="10"/>
      <c r="I36" s="14" t="e">
        <f>IF(MAX('Sample Select backend'!$K$4:$K$205)&gt;=ROW(I36)-2,ROW(I36)-2,"")</f>
        <v>#N/A</v>
      </c>
      <c r="J36" s="15" t="str">
        <f>IFERROR(VLOOKUP(I36,'Sample Select backend'!$K$4:$L$205,2,FALSE),"")</f>
        <v/>
      </c>
      <c r="K36" s="10"/>
      <c r="L36" s="10"/>
      <c r="M36" s="10"/>
      <c r="N36" s="10"/>
      <c r="O36" s="10"/>
      <c r="P36" s="10"/>
      <c r="Q36" s="10"/>
      <c r="R36" s="10"/>
      <c r="S36" s="10"/>
      <c r="T36" s="10"/>
      <c r="U36" s="10"/>
      <c r="V36" s="10"/>
    </row>
    <row r="37" spans="1:22" x14ac:dyDescent="0.35">
      <c r="A37" s="10"/>
      <c r="B37" s="10"/>
      <c r="C37" s="10"/>
      <c r="D37" s="10"/>
      <c r="E37" s="10"/>
      <c r="F37" s="10"/>
      <c r="G37" s="10"/>
      <c r="H37" s="10"/>
      <c r="I37" s="14" t="e">
        <f>IF(MAX('Sample Select backend'!$K$4:$K$205)&gt;=ROW(I37)-2,ROW(I37)-2,"")</f>
        <v>#N/A</v>
      </c>
      <c r="J37" s="15" t="str">
        <f>IFERROR(VLOOKUP(I37,'Sample Select backend'!$K$4:$L$205,2,FALSE),"")</f>
        <v/>
      </c>
      <c r="K37" s="10"/>
      <c r="L37" s="10"/>
      <c r="M37" s="10"/>
      <c r="N37" s="10"/>
      <c r="O37" s="10"/>
      <c r="P37" s="10"/>
      <c r="Q37" s="10"/>
      <c r="R37" s="10"/>
      <c r="S37" s="10"/>
      <c r="T37" s="10"/>
      <c r="U37" s="10"/>
      <c r="V37" s="10"/>
    </row>
    <row r="38" spans="1:22" x14ac:dyDescent="0.35">
      <c r="A38" s="10"/>
      <c r="B38" s="10"/>
      <c r="C38" s="10"/>
      <c r="D38" s="10"/>
      <c r="E38" s="10"/>
      <c r="F38" s="10"/>
      <c r="G38" s="10"/>
      <c r="H38" s="10"/>
      <c r="I38" s="14" t="e">
        <f>IF(MAX('Sample Select backend'!$K$4:$K$205)&gt;=ROW(I38)-2,ROW(I38)-2,"")</f>
        <v>#N/A</v>
      </c>
      <c r="J38" s="15" t="str">
        <f>IFERROR(VLOOKUP(I38,'Sample Select backend'!$K$4:$L$205,2,FALSE),"")</f>
        <v/>
      </c>
      <c r="K38" s="10"/>
      <c r="L38" s="10"/>
      <c r="M38" s="10"/>
      <c r="N38" s="10"/>
      <c r="O38" s="10"/>
      <c r="P38" s="10"/>
      <c r="Q38" s="10"/>
      <c r="R38" s="10"/>
      <c r="S38" s="10"/>
      <c r="T38" s="10"/>
      <c r="U38" s="10"/>
      <c r="V38" s="10"/>
    </row>
    <row r="39" spans="1:22" x14ac:dyDescent="0.35">
      <c r="A39" s="10"/>
      <c r="B39" s="10"/>
      <c r="C39" s="10"/>
      <c r="D39" s="10"/>
      <c r="E39" s="10"/>
      <c r="F39" s="10"/>
      <c r="G39" s="10"/>
      <c r="H39" s="10"/>
      <c r="I39" s="14" t="e">
        <f>IF(MAX('Sample Select backend'!$K$4:$K$205)&gt;=ROW(I39)-2,ROW(I39)-2,"")</f>
        <v>#N/A</v>
      </c>
      <c r="J39" s="15" t="str">
        <f>IFERROR(VLOOKUP(I39,'Sample Select backend'!$K$4:$L$205,2,FALSE),"")</f>
        <v/>
      </c>
      <c r="K39" s="10"/>
      <c r="L39" s="10"/>
      <c r="M39" s="10"/>
      <c r="N39" s="10"/>
      <c r="O39" s="10"/>
      <c r="P39" s="10"/>
      <c r="Q39" s="10"/>
      <c r="R39" s="10"/>
      <c r="S39" s="10"/>
      <c r="T39" s="10"/>
      <c r="U39" s="10"/>
      <c r="V39" s="10"/>
    </row>
    <row r="40" spans="1:22" x14ac:dyDescent="0.35">
      <c r="A40" s="10"/>
      <c r="B40" s="10"/>
      <c r="C40" s="10"/>
      <c r="D40" s="10"/>
      <c r="E40" s="10"/>
      <c r="F40" s="10"/>
      <c r="G40" s="10"/>
      <c r="H40" s="10"/>
      <c r="I40" s="14" t="e">
        <f>IF(MAX('Sample Select backend'!$K$4:$K$205)&gt;=ROW(I40)-2,ROW(I40)-2,"")</f>
        <v>#N/A</v>
      </c>
      <c r="J40" s="15" t="str">
        <f>IFERROR(VLOOKUP(I40,'Sample Select backend'!$K$4:$L$205,2,FALSE),"")</f>
        <v/>
      </c>
      <c r="K40" s="10"/>
      <c r="L40" s="10"/>
      <c r="M40" s="10"/>
      <c r="N40" s="10"/>
      <c r="O40" s="10"/>
      <c r="P40" s="10"/>
      <c r="Q40" s="10"/>
      <c r="R40" s="10"/>
      <c r="S40" s="10"/>
      <c r="T40" s="10"/>
      <c r="U40" s="10"/>
      <c r="V40" s="10"/>
    </row>
    <row r="41" spans="1:22" x14ac:dyDescent="0.35">
      <c r="A41" s="10"/>
      <c r="B41" s="10"/>
      <c r="C41" s="10"/>
      <c r="D41" s="10"/>
      <c r="E41" s="10"/>
      <c r="F41" s="10"/>
      <c r="G41" s="10"/>
      <c r="H41" s="10"/>
      <c r="I41" s="14" t="e">
        <f>IF(MAX('Sample Select backend'!$K$4:$K$205)&gt;=ROW(I41)-2,ROW(I41)-2,"")</f>
        <v>#N/A</v>
      </c>
      <c r="J41" s="15" t="str">
        <f>IFERROR(VLOOKUP(I41,'Sample Select backend'!$K$4:$L$205,2,FALSE),"")</f>
        <v/>
      </c>
      <c r="K41" s="10"/>
      <c r="L41" s="10"/>
      <c r="M41" s="10"/>
      <c r="N41" s="10"/>
      <c r="O41" s="10"/>
      <c r="P41" s="10"/>
      <c r="Q41" s="10"/>
      <c r="R41" s="10"/>
      <c r="S41" s="10"/>
      <c r="T41" s="10"/>
      <c r="U41" s="10"/>
      <c r="V41" s="10"/>
    </row>
    <row r="42" spans="1:22" x14ac:dyDescent="0.35">
      <c r="A42" s="10"/>
      <c r="B42" s="10"/>
      <c r="C42" s="10"/>
      <c r="D42" s="10"/>
      <c r="E42" s="10"/>
      <c r="F42" s="10"/>
      <c r="G42" s="10"/>
      <c r="H42" s="10"/>
      <c r="I42" s="14" t="e">
        <f>IF(MAX('Sample Select backend'!$K$4:$K$205)&gt;=ROW(I42)-2,ROW(I42)-2,"")</f>
        <v>#N/A</v>
      </c>
      <c r="J42" s="15" t="str">
        <f>IFERROR(VLOOKUP(I42,'Sample Select backend'!$K$4:$L$205,2,FALSE),"")</f>
        <v/>
      </c>
      <c r="K42" s="10"/>
      <c r="L42" s="10"/>
      <c r="M42" s="10"/>
      <c r="N42" s="10"/>
      <c r="O42" s="10"/>
      <c r="P42" s="10"/>
      <c r="Q42" s="10"/>
      <c r="R42" s="10"/>
      <c r="S42" s="10"/>
      <c r="T42" s="10"/>
      <c r="U42" s="10"/>
      <c r="V42" s="10"/>
    </row>
    <row r="43" spans="1:22" x14ac:dyDescent="0.35">
      <c r="A43" s="10"/>
      <c r="B43" s="10"/>
      <c r="C43" s="10"/>
      <c r="D43" s="10"/>
      <c r="E43" s="10"/>
      <c r="F43" s="10"/>
      <c r="G43" s="10"/>
      <c r="H43" s="10"/>
      <c r="I43" s="14" t="e">
        <f>IF(MAX('Sample Select backend'!$K$4:$K$205)&gt;=ROW(I43)-2,ROW(I43)-2,"")</f>
        <v>#N/A</v>
      </c>
      <c r="J43" s="15" t="str">
        <f>IFERROR(VLOOKUP(I43,'Sample Select backend'!$K$4:$L$205,2,FALSE),"")</f>
        <v/>
      </c>
      <c r="K43" s="10"/>
      <c r="L43" s="10"/>
      <c r="M43" s="10"/>
      <c r="N43" s="10"/>
      <c r="O43" s="10"/>
      <c r="P43" s="10"/>
      <c r="Q43" s="10"/>
      <c r="R43" s="10"/>
      <c r="S43" s="10"/>
      <c r="T43" s="10"/>
      <c r="U43" s="10"/>
      <c r="V43" s="10"/>
    </row>
    <row r="44" spans="1:22" x14ac:dyDescent="0.35">
      <c r="A44" s="10"/>
      <c r="B44" s="10"/>
      <c r="C44" s="10"/>
      <c r="D44" s="10"/>
      <c r="E44" s="10"/>
      <c r="F44" s="10"/>
      <c r="G44" s="10"/>
      <c r="H44" s="10"/>
      <c r="I44" s="14" t="e">
        <f>IF(MAX('Sample Select backend'!$K$4:$K$205)&gt;=ROW(I44)-2,ROW(I44)-2,"")</f>
        <v>#N/A</v>
      </c>
      <c r="J44" s="15" t="str">
        <f>IFERROR(VLOOKUP(I44,'Sample Select backend'!$K$4:$L$205,2,FALSE),"")</f>
        <v/>
      </c>
      <c r="K44" s="10"/>
      <c r="L44" s="10"/>
      <c r="M44" s="10"/>
      <c r="N44" s="10"/>
      <c r="O44" s="10"/>
      <c r="P44" s="10"/>
      <c r="Q44" s="10"/>
      <c r="R44" s="10"/>
      <c r="S44" s="10"/>
      <c r="T44" s="10"/>
      <c r="U44" s="10"/>
      <c r="V44" s="10"/>
    </row>
    <row r="45" spans="1:22" x14ac:dyDescent="0.35">
      <c r="A45" s="10"/>
      <c r="B45" s="10"/>
      <c r="C45" s="10"/>
      <c r="D45" s="10"/>
      <c r="E45" s="10"/>
      <c r="F45" s="10"/>
      <c r="G45" s="10"/>
      <c r="H45" s="10"/>
      <c r="I45" s="14" t="e">
        <f>IF(MAX('Sample Select backend'!$K$4:$K$205)&gt;=ROW(I45)-2,ROW(I45)-2,"")</f>
        <v>#N/A</v>
      </c>
      <c r="J45" s="15" t="str">
        <f>IFERROR(VLOOKUP(I45,'Sample Select backend'!$K$4:$L$205,2,FALSE),"")</f>
        <v/>
      </c>
      <c r="K45" s="10"/>
      <c r="L45" s="10"/>
      <c r="M45" s="10"/>
      <c r="N45" s="10"/>
      <c r="O45" s="10"/>
      <c r="P45" s="10"/>
      <c r="Q45" s="10"/>
      <c r="R45" s="10"/>
      <c r="S45" s="10"/>
      <c r="T45" s="10"/>
      <c r="U45" s="10"/>
      <c r="V45" s="10"/>
    </row>
    <row r="46" spans="1:22" x14ac:dyDescent="0.35">
      <c r="A46" s="10"/>
      <c r="B46" s="10"/>
      <c r="C46" s="10"/>
      <c r="D46" s="10"/>
      <c r="E46" s="10"/>
      <c r="F46" s="10"/>
      <c r="G46" s="10"/>
      <c r="H46" s="10"/>
      <c r="I46" s="14" t="e">
        <f>IF(MAX('Sample Select backend'!$K$4:$K$205)&gt;=ROW(I46)-2,ROW(I46)-2,"")</f>
        <v>#N/A</v>
      </c>
      <c r="J46" s="15" t="str">
        <f>IFERROR(VLOOKUP(I46,'Sample Select backend'!$K$4:$L$205,2,FALSE),"")</f>
        <v/>
      </c>
      <c r="K46" s="10"/>
      <c r="L46" s="10"/>
      <c r="M46" s="10"/>
      <c r="N46" s="10"/>
      <c r="O46" s="10"/>
      <c r="P46" s="10"/>
      <c r="Q46" s="10"/>
      <c r="R46" s="10"/>
      <c r="S46" s="10"/>
      <c r="T46" s="10"/>
      <c r="U46" s="10"/>
      <c r="V46" s="10"/>
    </row>
    <row r="47" spans="1:22" x14ac:dyDescent="0.35">
      <c r="A47" s="10"/>
      <c r="B47" s="10"/>
      <c r="C47" s="10"/>
      <c r="D47" s="10"/>
      <c r="E47" s="10"/>
      <c r="F47" s="10"/>
      <c r="G47" s="10"/>
      <c r="H47" s="10"/>
      <c r="I47" s="14" t="e">
        <f>IF(MAX('Sample Select backend'!$K$4:$K$205)&gt;=ROW(I47)-2,ROW(I47)-2,"")</f>
        <v>#N/A</v>
      </c>
      <c r="J47" s="15" t="str">
        <f>IFERROR(VLOOKUP(I47,'Sample Select backend'!$K$4:$L$205,2,FALSE),"")</f>
        <v/>
      </c>
      <c r="K47" s="10"/>
      <c r="L47" s="10"/>
      <c r="M47" s="10"/>
      <c r="N47" s="10"/>
      <c r="O47" s="10"/>
      <c r="P47" s="10"/>
      <c r="Q47" s="10"/>
      <c r="R47" s="10"/>
      <c r="S47" s="10"/>
      <c r="T47" s="10"/>
      <c r="U47" s="10"/>
      <c r="V47" s="10"/>
    </row>
    <row r="48" spans="1:22" x14ac:dyDescent="0.35">
      <c r="A48" s="10"/>
      <c r="B48" s="10"/>
      <c r="C48" s="10"/>
      <c r="D48" s="10"/>
      <c r="E48" s="10"/>
      <c r="F48" s="10"/>
      <c r="G48" s="10"/>
      <c r="H48" s="10"/>
      <c r="I48" s="14" t="e">
        <f>IF(MAX('Sample Select backend'!$K$4:$K$205)&gt;=ROW(I48)-2,ROW(I48)-2,"")</f>
        <v>#N/A</v>
      </c>
      <c r="J48" s="15" t="str">
        <f>IFERROR(VLOOKUP(I48,'Sample Select backend'!$K$4:$L$205,2,FALSE),"")</f>
        <v/>
      </c>
      <c r="K48" s="10"/>
      <c r="L48" s="10"/>
      <c r="M48" s="10"/>
      <c r="N48" s="10"/>
      <c r="O48" s="10"/>
      <c r="P48" s="10"/>
      <c r="Q48" s="10"/>
      <c r="R48" s="10"/>
      <c r="S48" s="10"/>
      <c r="T48" s="10"/>
      <c r="U48" s="10"/>
      <c r="V48" s="10"/>
    </row>
    <row r="49" spans="1:22" x14ac:dyDescent="0.35">
      <c r="A49" s="10"/>
      <c r="B49" s="10"/>
      <c r="C49" s="10"/>
      <c r="D49" s="10"/>
      <c r="E49" s="10"/>
      <c r="F49" s="10"/>
      <c r="G49" s="10"/>
      <c r="H49" s="10"/>
      <c r="I49" s="14" t="e">
        <f>IF(MAX('Sample Select backend'!$K$4:$K$205)&gt;=ROW(I49)-2,ROW(I49)-2,"")</f>
        <v>#N/A</v>
      </c>
      <c r="J49" s="15" t="str">
        <f>IFERROR(VLOOKUP(I49,'Sample Select backend'!$K$4:$L$205,2,FALSE),"")</f>
        <v/>
      </c>
      <c r="K49" s="10"/>
      <c r="L49" s="10"/>
      <c r="M49" s="10"/>
      <c r="N49" s="10"/>
      <c r="O49" s="10"/>
      <c r="P49" s="10"/>
      <c r="Q49" s="10"/>
      <c r="R49" s="10"/>
      <c r="S49" s="10"/>
      <c r="T49" s="10"/>
      <c r="U49" s="10"/>
      <c r="V49" s="10"/>
    </row>
    <row r="50" spans="1:22" x14ac:dyDescent="0.35">
      <c r="A50" s="10"/>
      <c r="B50" s="10"/>
      <c r="C50" s="10"/>
      <c r="D50" s="10"/>
      <c r="E50" s="10"/>
      <c r="F50" s="10"/>
      <c r="G50" s="10"/>
      <c r="H50" s="10"/>
      <c r="I50" s="14" t="e">
        <f>IF(MAX('Sample Select backend'!$K$4:$K$205)&gt;=ROW(I50)-2,ROW(I50)-2,"")</f>
        <v>#N/A</v>
      </c>
      <c r="J50" s="15" t="str">
        <f>IFERROR(VLOOKUP(I50,'Sample Select backend'!$K$4:$L$205,2,FALSE),"")</f>
        <v/>
      </c>
      <c r="K50" s="10"/>
      <c r="L50" s="10"/>
      <c r="M50" s="10"/>
      <c r="N50" s="10"/>
      <c r="O50" s="10"/>
      <c r="P50" s="10"/>
      <c r="Q50" s="10"/>
      <c r="R50" s="10"/>
      <c r="S50" s="10"/>
      <c r="T50" s="10"/>
      <c r="U50" s="10"/>
      <c r="V50" s="10"/>
    </row>
    <row r="51" spans="1:22" x14ac:dyDescent="0.35">
      <c r="A51" s="10"/>
      <c r="B51" s="10"/>
      <c r="C51" s="10"/>
      <c r="D51" s="10"/>
      <c r="E51" s="10"/>
      <c r="F51" s="10"/>
      <c r="G51" s="10"/>
      <c r="H51" s="10"/>
      <c r="I51" s="14" t="e">
        <f>IF(MAX('Sample Select backend'!$K$4:$K$205)&gt;=ROW(I51)-2,ROW(I51)-2,"")</f>
        <v>#N/A</v>
      </c>
      <c r="J51" s="15" t="str">
        <f>IFERROR(VLOOKUP(I51,'Sample Select backend'!$K$4:$L$205,2,FALSE),"")</f>
        <v/>
      </c>
      <c r="K51" s="10"/>
      <c r="L51" s="10"/>
      <c r="M51" s="10"/>
      <c r="N51" s="10"/>
      <c r="O51" s="10"/>
      <c r="P51" s="10"/>
      <c r="Q51" s="10"/>
      <c r="R51" s="10"/>
      <c r="S51" s="10"/>
      <c r="T51" s="10"/>
      <c r="U51" s="10"/>
      <c r="V51" s="10"/>
    </row>
    <row r="52" spans="1:22" x14ac:dyDescent="0.35">
      <c r="A52" s="10"/>
      <c r="B52" s="10"/>
      <c r="C52" s="10"/>
      <c r="D52" s="10"/>
      <c r="E52" s="10"/>
      <c r="F52" s="10"/>
      <c r="G52" s="10"/>
      <c r="H52" s="10"/>
      <c r="I52" s="14" t="e">
        <f>IF(MAX('Sample Select backend'!$K$4:$K$205)&gt;=ROW(I52)-2,ROW(I52)-2,"")</f>
        <v>#N/A</v>
      </c>
      <c r="J52" s="15" t="str">
        <f>IFERROR(VLOOKUP(I52,'Sample Select backend'!$K$4:$L$205,2,FALSE),"")</f>
        <v/>
      </c>
      <c r="K52" s="10"/>
      <c r="L52" s="10"/>
      <c r="M52" s="10"/>
      <c r="N52" s="10"/>
      <c r="O52" s="10"/>
      <c r="P52" s="10"/>
      <c r="Q52" s="10"/>
      <c r="R52" s="10"/>
      <c r="S52" s="10"/>
      <c r="T52" s="10"/>
      <c r="U52" s="10"/>
      <c r="V52" s="10"/>
    </row>
    <row r="53" spans="1:22" x14ac:dyDescent="0.35">
      <c r="A53" s="10"/>
      <c r="B53" s="10"/>
      <c r="C53" s="10"/>
      <c r="D53" s="10"/>
      <c r="E53" s="10"/>
      <c r="F53" s="10"/>
      <c r="G53" s="10"/>
      <c r="H53" s="10"/>
      <c r="I53" s="14" t="e">
        <f>IF(MAX('Sample Select backend'!$K$4:$K$205)&gt;=ROW(I53)-2,ROW(I53)-2,"")</f>
        <v>#N/A</v>
      </c>
      <c r="J53" s="15" t="str">
        <f>IFERROR(VLOOKUP(I53,'Sample Select backend'!$K$4:$L$205,2,FALSE),"")</f>
        <v/>
      </c>
      <c r="K53" s="10"/>
      <c r="L53" s="10"/>
      <c r="M53" s="10"/>
      <c r="N53" s="10"/>
      <c r="O53" s="10"/>
      <c r="P53" s="10"/>
      <c r="Q53" s="10"/>
      <c r="R53" s="10"/>
      <c r="S53" s="10"/>
      <c r="T53" s="10"/>
      <c r="U53" s="10"/>
      <c r="V53" s="10"/>
    </row>
    <row r="54" spans="1:22" x14ac:dyDescent="0.35">
      <c r="A54" s="10"/>
      <c r="B54" s="10"/>
      <c r="C54" s="10"/>
      <c r="D54" s="10"/>
      <c r="E54" s="10"/>
      <c r="F54" s="10"/>
      <c r="G54" s="10"/>
      <c r="H54" s="10"/>
      <c r="I54" s="14" t="e">
        <f>IF(MAX('Sample Select backend'!$K$4:$K$205)&gt;=ROW(I54)-2,ROW(I54)-2,"")</f>
        <v>#N/A</v>
      </c>
      <c r="J54" s="15" t="str">
        <f>IFERROR(VLOOKUP(I54,'Sample Select backend'!$K$4:$L$205,2,FALSE),"")</f>
        <v/>
      </c>
      <c r="K54" s="10"/>
      <c r="L54" s="10"/>
      <c r="M54" s="10"/>
      <c r="N54" s="10"/>
      <c r="O54" s="10"/>
      <c r="P54" s="10"/>
      <c r="Q54" s="10"/>
      <c r="R54" s="10"/>
      <c r="S54" s="10"/>
      <c r="T54" s="10"/>
      <c r="U54" s="10"/>
      <c r="V54" s="10"/>
    </row>
    <row r="55" spans="1:22" x14ac:dyDescent="0.35">
      <c r="A55" s="10"/>
      <c r="B55" s="10"/>
      <c r="C55" s="10"/>
      <c r="D55" s="10"/>
      <c r="E55" s="10"/>
      <c r="F55" s="10"/>
      <c r="G55" s="10"/>
      <c r="H55" s="10"/>
      <c r="I55" s="14" t="e">
        <f>IF(MAX('Sample Select backend'!$K$4:$K$205)&gt;=ROW(I55)-2,ROW(I55)-2,"")</f>
        <v>#N/A</v>
      </c>
      <c r="J55" s="15" t="str">
        <f>IFERROR(VLOOKUP(I55,'Sample Select backend'!$K$4:$L$205,2,FALSE),"")</f>
        <v/>
      </c>
      <c r="K55" s="10"/>
      <c r="L55" s="10"/>
      <c r="M55" s="10"/>
      <c r="N55" s="10"/>
      <c r="O55" s="10"/>
      <c r="P55" s="10"/>
      <c r="Q55" s="10"/>
      <c r="R55" s="10"/>
      <c r="S55" s="10"/>
      <c r="T55" s="10"/>
      <c r="U55" s="10"/>
      <c r="V55" s="10"/>
    </row>
    <row r="56" spans="1:22" x14ac:dyDescent="0.35">
      <c r="A56" s="10"/>
      <c r="B56" s="10"/>
      <c r="C56" s="10"/>
      <c r="D56" s="10"/>
      <c r="E56" s="10"/>
      <c r="F56" s="10"/>
      <c r="G56" s="10"/>
      <c r="H56" s="10"/>
      <c r="I56" s="14" t="e">
        <f>IF(MAX('Sample Select backend'!$K$4:$K$205)&gt;=ROW(I56)-2,ROW(I56)-2,"")</f>
        <v>#N/A</v>
      </c>
      <c r="J56" s="15" t="str">
        <f>IFERROR(VLOOKUP(I56,'Sample Select backend'!$K$4:$L$205,2,FALSE),"")</f>
        <v/>
      </c>
      <c r="K56" s="10"/>
      <c r="L56" s="10"/>
      <c r="M56" s="10"/>
      <c r="N56" s="10"/>
      <c r="O56" s="10"/>
      <c r="P56" s="10"/>
      <c r="Q56" s="10"/>
      <c r="R56" s="10"/>
      <c r="S56" s="10"/>
      <c r="T56" s="10"/>
      <c r="U56" s="10"/>
      <c r="V56" s="10"/>
    </row>
    <row r="57" spans="1:22" x14ac:dyDescent="0.35">
      <c r="A57" s="10"/>
      <c r="B57" s="10"/>
      <c r="C57" s="10"/>
      <c r="D57" s="10"/>
      <c r="E57" s="10"/>
      <c r="F57" s="10"/>
      <c r="G57" s="10"/>
      <c r="H57" s="10"/>
      <c r="I57" s="14" t="e">
        <f>IF(MAX('Sample Select backend'!$K$4:$K$205)&gt;=ROW(I57)-2,ROW(I57)-2,"")</f>
        <v>#N/A</v>
      </c>
      <c r="J57" s="15" t="str">
        <f>IFERROR(VLOOKUP(I57,'Sample Select backend'!$K$4:$L$205,2,FALSE),"")</f>
        <v/>
      </c>
      <c r="K57" s="10"/>
      <c r="L57" s="10"/>
      <c r="M57" s="10"/>
      <c r="N57" s="10"/>
      <c r="O57" s="10"/>
      <c r="P57" s="10"/>
      <c r="Q57" s="10"/>
      <c r="R57" s="10"/>
      <c r="S57" s="10"/>
      <c r="T57" s="10"/>
      <c r="U57" s="10"/>
      <c r="V57" s="10"/>
    </row>
    <row r="58" spans="1:22" x14ac:dyDescent="0.35">
      <c r="A58" s="10"/>
      <c r="B58" s="10"/>
      <c r="C58" s="10"/>
      <c r="D58" s="10"/>
      <c r="E58" s="10"/>
      <c r="F58" s="10"/>
      <c r="G58" s="10"/>
      <c r="H58" s="10"/>
      <c r="I58" s="14" t="e">
        <f>IF(MAX('Sample Select backend'!$K$4:$K$205)&gt;=ROW(I58)-2,ROW(I58)-2,"")</f>
        <v>#N/A</v>
      </c>
      <c r="J58" s="15" t="str">
        <f>IFERROR(VLOOKUP(I58,'Sample Select backend'!$K$4:$L$205,2,FALSE),"")</f>
        <v/>
      </c>
      <c r="K58" s="10"/>
      <c r="L58" s="10"/>
      <c r="M58" s="10"/>
      <c r="N58" s="10"/>
      <c r="O58" s="10"/>
      <c r="P58" s="10"/>
      <c r="Q58" s="10"/>
      <c r="R58" s="10"/>
      <c r="S58" s="10"/>
      <c r="T58" s="10"/>
      <c r="U58" s="10"/>
      <c r="V58" s="10"/>
    </row>
    <row r="59" spans="1:22" x14ac:dyDescent="0.35">
      <c r="A59" s="10"/>
      <c r="B59" s="10"/>
      <c r="C59" s="10"/>
      <c r="D59" s="10"/>
      <c r="E59" s="10"/>
      <c r="F59" s="10"/>
      <c r="G59" s="10"/>
      <c r="H59" s="10"/>
      <c r="I59" s="14" t="e">
        <f>IF(MAX('Sample Select backend'!$K$4:$K$205)&gt;=ROW(I59)-2,ROW(I59)-2,"")</f>
        <v>#N/A</v>
      </c>
      <c r="J59" s="15" t="str">
        <f>IFERROR(VLOOKUP(I59,'Sample Select backend'!$K$4:$L$205,2,FALSE),"")</f>
        <v/>
      </c>
      <c r="K59" s="10"/>
      <c r="L59" s="10"/>
      <c r="M59" s="10"/>
      <c r="N59" s="10"/>
      <c r="O59" s="10"/>
      <c r="P59" s="10"/>
      <c r="Q59" s="10"/>
      <c r="R59" s="10"/>
      <c r="S59" s="10"/>
      <c r="T59" s="10"/>
      <c r="U59" s="10"/>
      <c r="V59" s="10"/>
    </row>
    <row r="60" spans="1:22" x14ac:dyDescent="0.35">
      <c r="A60" s="10"/>
      <c r="B60" s="10"/>
      <c r="C60" s="10"/>
      <c r="D60" s="10"/>
      <c r="E60" s="10"/>
      <c r="F60" s="10"/>
      <c r="G60" s="10"/>
      <c r="H60" s="10"/>
      <c r="I60" s="14" t="e">
        <f>IF(MAX('Sample Select backend'!$K$4:$K$205)&gt;=ROW(I60)-2,ROW(I60)-2,"")</f>
        <v>#N/A</v>
      </c>
      <c r="J60" s="15" t="str">
        <f>IFERROR(VLOOKUP(I60,'Sample Select backend'!$K$4:$L$205,2,FALSE),"")</f>
        <v/>
      </c>
      <c r="K60" s="10"/>
      <c r="L60" s="10"/>
      <c r="M60" s="10"/>
      <c r="N60" s="10"/>
      <c r="O60" s="10"/>
      <c r="P60" s="10"/>
      <c r="Q60" s="10"/>
      <c r="R60" s="10"/>
      <c r="S60" s="10"/>
      <c r="T60" s="10"/>
      <c r="U60" s="10"/>
      <c r="V60" s="10"/>
    </row>
    <row r="61" spans="1:22" x14ac:dyDescent="0.35">
      <c r="A61" s="10"/>
      <c r="B61" s="10"/>
      <c r="C61" s="10"/>
      <c r="D61" s="10"/>
      <c r="E61" s="10"/>
      <c r="F61" s="10"/>
      <c r="G61" s="10"/>
      <c r="H61" s="10"/>
      <c r="I61" s="14" t="e">
        <f>IF(MAX('Sample Select backend'!$K$4:$K$205)&gt;=ROW(I61)-2,ROW(I61)-2,"")</f>
        <v>#N/A</v>
      </c>
      <c r="J61" s="15" t="str">
        <f>IFERROR(VLOOKUP(I61,'Sample Select backend'!$K$4:$L$205,2,FALSE),"")</f>
        <v/>
      </c>
      <c r="K61" s="10"/>
      <c r="L61" s="10"/>
      <c r="M61" s="10"/>
      <c r="N61" s="10"/>
      <c r="O61" s="10"/>
      <c r="P61" s="10"/>
      <c r="Q61" s="10"/>
      <c r="R61" s="10"/>
      <c r="S61" s="10"/>
      <c r="T61" s="10"/>
      <c r="U61" s="10"/>
      <c r="V61" s="10"/>
    </row>
    <row r="62" spans="1:22" x14ac:dyDescent="0.35">
      <c r="A62" s="10"/>
      <c r="B62" s="10"/>
      <c r="C62" s="10"/>
      <c r="D62" s="10"/>
      <c r="E62" s="10"/>
      <c r="F62" s="10"/>
      <c r="G62" s="10"/>
      <c r="H62" s="10"/>
      <c r="I62" s="14" t="e">
        <f>IF(MAX('Sample Select backend'!$K$4:$K$205)&gt;=ROW(I62)-2,ROW(I62)-2,"")</f>
        <v>#N/A</v>
      </c>
      <c r="J62" s="15" t="str">
        <f>IFERROR(VLOOKUP(I62,'Sample Select backend'!$K$4:$L$205,2,FALSE),"")</f>
        <v/>
      </c>
      <c r="K62" s="10"/>
      <c r="L62" s="10"/>
      <c r="M62" s="10"/>
      <c r="N62" s="10"/>
      <c r="O62" s="10"/>
      <c r="P62" s="10"/>
      <c r="Q62" s="10"/>
      <c r="R62" s="10"/>
      <c r="S62" s="10"/>
      <c r="T62" s="10"/>
      <c r="U62" s="10"/>
      <c r="V62" s="10"/>
    </row>
    <row r="63" spans="1:22" x14ac:dyDescent="0.35">
      <c r="A63" s="10"/>
      <c r="B63" s="10"/>
      <c r="C63" s="10"/>
      <c r="D63" s="10"/>
      <c r="E63" s="10"/>
      <c r="F63" s="10"/>
      <c r="G63" s="10"/>
      <c r="H63" s="10"/>
      <c r="I63" s="14" t="e">
        <f>IF(MAX('Sample Select backend'!$K$4:$K$205)&gt;=ROW(I63)-2,ROW(I63)-2,"")</f>
        <v>#N/A</v>
      </c>
      <c r="J63" s="15" t="str">
        <f>IFERROR(VLOOKUP(I63,'Sample Select backend'!$K$4:$L$205,2,FALSE),"")</f>
        <v/>
      </c>
      <c r="K63" s="10"/>
      <c r="L63" s="10"/>
      <c r="M63" s="10"/>
      <c r="N63" s="10"/>
      <c r="O63" s="10"/>
      <c r="P63" s="10"/>
      <c r="Q63" s="10"/>
      <c r="R63" s="10"/>
      <c r="S63" s="10"/>
      <c r="T63" s="10"/>
      <c r="U63" s="10"/>
      <c r="V63" s="10"/>
    </row>
    <row r="64" spans="1:22" x14ac:dyDescent="0.35">
      <c r="A64" s="10"/>
      <c r="B64" s="10"/>
      <c r="C64" s="10"/>
      <c r="D64" s="10"/>
      <c r="E64" s="10"/>
      <c r="F64" s="10"/>
      <c r="G64" s="10"/>
      <c r="H64" s="10"/>
      <c r="I64" s="14" t="e">
        <f>IF(MAX('Sample Select backend'!$K$4:$K$205)&gt;=ROW(I64)-2,ROW(I64)-2,"")</f>
        <v>#N/A</v>
      </c>
      <c r="J64" s="15" t="str">
        <f>IFERROR(VLOOKUP(I64,'Sample Select backend'!$K$4:$L$205,2,FALSE),"")</f>
        <v/>
      </c>
      <c r="K64" s="10"/>
      <c r="L64" s="10"/>
      <c r="M64" s="10"/>
      <c r="N64" s="10"/>
      <c r="O64" s="10"/>
      <c r="P64" s="10"/>
      <c r="Q64" s="10"/>
      <c r="R64" s="10"/>
      <c r="S64" s="10"/>
      <c r="T64" s="10"/>
      <c r="U64" s="10"/>
      <c r="V64" s="10"/>
    </row>
    <row r="65" spans="1:22" x14ac:dyDescent="0.35">
      <c r="A65" s="10"/>
      <c r="B65" s="10"/>
      <c r="C65" s="10"/>
      <c r="D65" s="10"/>
      <c r="E65" s="10"/>
      <c r="F65" s="10"/>
      <c r="G65" s="10"/>
      <c r="H65" s="10"/>
      <c r="I65" s="14" t="e">
        <f>IF(MAX('Sample Select backend'!$K$4:$K$205)&gt;=ROW(I65)-2,ROW(I65)-2,"")</f>
        <v>#N/A</v>
      </c>
      <c r="J65" s="15" t="str">
        <f>IFERROR(VLOOKUP(I65,'Sample Select backend'!$K$4:$L$205,2,FALSE),"")</f>
        <v/>
      </c>
      <c r="K65" s="10"/>
      <c r="L65" s="10"/>
      <c r="M65" s="10"/>
      <c r="N65" s="10"/>
      <c r="O65" s="10"/>
      <c r="P65" s="10"/>
      <c r="Q65" s="10"/>
      <c r="R65" s="10"/>
      <c r="S65" s="10"/>
      <c r="T65" s="10"/>
      <c r="U65" s="10"/>
      <c r="V65" s="10"/>
    </row>
    <row r="66" spans="1:22" x14ac:dyDescent="0.35">
      <c r="A66" s="10"/>
      <c r="B66" s="10"/>
      <c r="C66" s="10"/>
      <c r="D66" s="10"/>
      <c r="E66" s="10"/>
      <c r="F66" s="10"/>
      <c r="G66" s="10"/>
      <c r="H66" s="10"/>
      <c r="I66" s="14" t="e">
        <f>IF(MAX('Sample Select backend'!$K$4:$K$205)&gt;=ROW(I66)-2,ROW(I66)-2,"")</f>
        <v>#N/A</v>
      </c>
      <c r="J66" s="15" t="str">
        <f>IFERROR(VLOOKUP(I66,'Sample Select backend'!$K$4:$L$205,2,FALSE),"")</f>
        <v/>
      </c>
      <c r="K66" s="10"/>
      <c r="L66" s="10"/>
      <c r="M66" s="10"/>
      <c r="N66" s="10"/>
      <c r="O66" s="10"/>
      <c r="P66" s="10"/>
      <c r="Q66" s="10"/>
      <c r="R66" s="10"/>
      <c r="S66" s="10"/>
      <c r="T66" s="10"/>
      <c r="U66" s="10"/>
      <c r="V66" s="10"/>
    </row>
    <row r="67" spans="1:22" x14ac:dyDescent="0.35">
      <c r="A67" s="10"/>
      <c r="B67" s="10"/>
      <c r="C67" s="10"/>
      <c r="D67" s="10"/>
      <c r="E67" s="10"/>
      <c r="F67" s="10"/>
      <c r="G67" s="10"/>
      <c r="H67" s="10"/>
      <c r="I67" s="14" t="e">
        <f>IF(MAX('Sample Select backend'!$K$4:$K$205)&gt;=ROW(I67)-2,ROW(I67)-2,"")</f>
        <v>#N/A</v>
      </c>
      <c r="J67" s="15" t="str">
        <f>IFERROR(VLOOKUP(I67,'Sample Select backend'!$K$4:$L$205,2,FALSE),"")</f>
        <v/>
      </c>
      <c r="K67" s="10"/>
      <c r="L67" s="10"/>
      <c r="M67" s="10"/>
      <c r="N67" s="10"/>
      <c r="O67" s="10"/>
      <c r="P67" s="10"/>
      <c r="Q67" s="10"/>
      <c r="R67" s="10"/>
      <c r="S67" s="10"/>
      <c r="T67" s="10"/>
      <c r="U67" s="10"/>
      <c r="V67" s="10"/>
    </row>
    <row r="68" spans="1:22" x14ac:dyDescent="0.35">
      <c r="A68" s="10"/>
      <c r="B68" s="10"/>
      <c r="C68" s="10"/>
      <c r="D68" s="10"/>
      <c r="E68" s="10"/>
      <c r="F68" s="10"/>
      <c r="G68" s="10"/>
      <c r="H68" s="10"/>
      <c r="I68" s="14" t="e">
        <f>IF(MAX('Sample Select backend'!$K$4:$K$205)&gt;=ROW(I68)-2,ROW(I68)-2,"")</f>
        <v>#N/A</v>
      </c>
      <c r="J68" s="15" t="str">
        <f>IFERROR(VLOOKUP(I68,'Sample Select backend'!$K$4:$L$205,2,FALSE),"")</f>
        <v/>
      </c>
      <c r="K68" s="10"/>
      <c r="L68" s="10"/>
      <c r="M68" s="10"/>
      <c r="N68" s="10"/>
      <c r="O68" s="10"/>
      <c r="P68" s="10"/>
      <c r="Q68" s="10"/>
      <c r="R68" s="10"/>
      <c r="S68" s="10"/>
      <c r="T68" s="10"/>
      <c r="U68" s="10"/>
      <c r="V68" s="10"/>
    </row>
    <row r="69" spans="1:22" x14ac:dyDescent="0.35">
      <c r="A69" s="10"/>
      <c r="B69" s="10"/>
      <c r="C69" s="10"/>
      <c r="D69" s="10"/>
      <c r="E69" s="10"/>
      <c r="F69" s="10"/>
      <c r="G69" s="10"/>
      <c r="H69" s="10"/>
      <c r="I69" s="14" t="e">
        <f>IF(MAX('Sample Select backend'!$K$4:$K$205)&gt;=ROW(I69)-2,ROW(I69)-2,"")</f>
        <v>#N/A</v>
      </c>
      <c r="J69" s="15" t="str">
        <f>IFERROR(VLOOKUP(I69,'Sample Select backend'!$K$4:$L$205,2,FALSE),"")</f>
        <v/>
      </c>
      <c r="K69" s="10"/>
      <c r="L69" s="10"/>
      <c r="M69" s="10"/>
      <c r="N69" s="10"/>
      <c r="O69" s="10"/>
      <c r="P69" s="10"/>
      <c r="Q69" s="10"/>
      <c r="R69" s="10"/>
      <c r="S69" s="10"/>
      <c r="T69" s="10"/>
      <c r="U69" s="10"/>
      <c r="V69" s="10"/>
    </row>
    <row r="70" spans="1:22" x14ac:dyDescent="0.35">
      <c r="A70" s="10"/>
      <c r="B70" s="10"/>
      <c r="C70" s="10"/>
      <c r="D70" s="10"/>
      <c r="E70" s="10"/>
      <c r="F70" s="10"/>
      <c r="G70" s="10"/>
      <c r="H70" s="10"/>
      <c r="I70" s="14" t="e">
        <f>IF(MAX('Sample Select backend'!$K$4:$K$205)&gt;=ROW(I70)-2,ROW(I70)-2,"")</f>
        <v>#N/A</v>
      </c>
      <c r="J70" s="15" t="str">
        <f>IFERROR(VLOOKUP(I70,'Sample Select backend'!$K$4:$L$205,2,FALSE),"")</f>
        <v/>
      </c>
      <c r="K70" s="10"/>
      <c r="L70" s="10"/>
      <c r="M70" s="10"/>
      <c r="N70" s="10"/>
      <c r="O70" s="10"/>
      <c r="P70" s="10"/>
      <c r="Q70" s="10"/>
      <c r="R70" s="10"/>
      <c r="S70" s="10"/>
      <c r="T70" s="10"/>
      <c r="U70" s="10"/>
      <c r="V70" s="10"/>
    </row>
    <row r="71" spans="1:22" x14ac:dyDescent="0.35">
      <c r="A71" s="10"/>
      <c r="B71" s="10"/>
      <c r="C71" s="10"/>
      <c r="D71" s="10"/>
      <c r="E71" s="10"/>
      <c r="F71" s="10"/>
      <c r="G71" s="10"/>
      <c r="H71" s="10"/>
      <c r="I71" s="14" t="e">
        <f>IF(MAX('Sample Select backend'!$K$4:$K$205)&gt;=ROW(I71)-2,ROW(I71)-2,"")</f>
        <v>#N/A</v>
      </c>
      <c r="J71" s="15" t="str">
        <f>IFERROR(VLOOKUP(I71,'Sample Select backend'!$K$4:$L$205,2,FALSE),"")</f>
        <v/>
      </c>
      <c r="K71" s="10"/>
      <c r="L71" s="10"/>
      <c r="M71" s="10"/>
      <c r="N71" s="10"/>
      <c r="O71" s="10"/>
      <c r="P71" s="10"/>
      <c r="Q71" s="10"/>
      <c r="R71" s="10"/>
      <c r="S71" s="10"/>
      <c r="T71" s="10"/>
      <c r="U71" s="10"/>
      <c r="V71" s="10"/>
    </row>
    <row r="72" spans="1:22" x14ac:dyDescent="0.35">
      <c r="A72" s="10"/>
      <c r="B72" s="10"/>
      <c r="C72" s="10"/>
      <c r="D72" s="10"/>
      <c r="E72" s="10"/>
      <c r="F72" s="10"/>
      <c r="G72" s="10"/>
      <c r="H72" s="10"/>
      <c r="I72" s="14" t="e">
        <f>IF(MAX('Sample Select backend'!$K$4:$K$205)&gt;=ROW(I72)-2,ROW(I72)-2,"")</f>
        <v>#N/A</v>
      </c>
      <c r="J72" s="15" t="str">
        <f>IFERROR(VLOOKUP(I72,'Sample Select backend'!$K$4:$L$205,2,FALSE),"")</f>
        <v/>
      </c>
      <c r="K72" s="10"/>
      <c r="L72" s="10"/>
      <c r="M72" s="10"/>
      <c r="N72" s="10"/>
      <c r="O72" s="10"/>
      <c r="P72" s="10"/>
      <c r="Q72" s="10"/>
      <c r="R72" s="10"/>
      <c r="S72" s="10"/>
      <c r="T72" s="10"/>
      <c r="U72" s="10"/>
      <c r="V72" s="10"/>
    </row>
    <row r="73" spans="1:22" x14ac:dyDescent="0.35">
      <c r="A73" s="10"/>
      <c r="B73" s="10"/>
      <c r="C73" s="10"/>
      <c r="D73" s="10"/>
      <c r="E73" s="10"/>
      <c r="F73" s="10"/>
      <c r="G73" s="10"/>
      <c r="H73" s="10"/>
      <c r="I73" s="14" t="e">
        <f>IF(MAX('Sample Select backend'!$K$4:$K$205)&gt;=ROW(I73)-2,ROW(I73)-2,"")</f>
        <v>#N/A</v>
      </c>
      <c r="J73" s="15" t="str">
        <f>IFERROR(VLOOKUP(I73,'Sample Select backend'!$K$4:$L$205,2,FALSE),"")</f>
        <v/>
      </c>
      <c r="K73" s="10"/>
      <c r="L73" s="10"/>
      <c r="M73" s="10"/>
      <c r="N73" s="10"/>
      <c r="O73" s="10"/>
      <c r="P73" s="10"/>
      <c r="Q73" s="10"/>
      <c r="R73" s="10"/>
      <c r="S73" s="10"/>
      <c r="T73" s="10"/>
      <c r="U73" s="10"/>
      <c r="V73" s="10"/>
    </row>
    <row r="74" spans="1:22" x14ac:dyDescent="0.35">
      <c r="A74" s="10"/>
      <c r="B74" s="10"/>
      <c r="C74" s="10"/>
      <c r="D74" s="10"/>
      <c r="E74" s="10"/>
      <c r="F74" s="10"/>
      <c r="G74" s="10"/>
      <c r="H74" s="10"/>
      <c r="I74" s="14" t="e">
        <f>IF(MAX('Sample Select backend'!$K$4:$K$205)&gt;=ROW(I74)-2,ROW(I74)-2,"")</f>
        <v>#N/A</v>
      </c>
      <c r="J74" s="15" t="str">
        <f>IFERROR(VLOOKUP(I74,'Sample Select backend'!$K$4:$L$205,2,FALSE),"")</f>
        <v/>
      </c>
      <c r="K74" s="10"/>
      <c r="L74" s="10"/>
      <c r="M74" s="10"/>
      <c r="N74" s="10"/>
      <c r="O74" s="10"/>
      <c r="P74" s="10"/>
      <c r="Q74" s="10"/>
      <c r="R74" s="10"/>
      <c r="S74" s="10"/>
      <c r="T74" s="10"/>
      <c r="U74" s="10"/>
      <c r="V74" s="10"/>
    </row>
    <row r="75" spans="1:22" x14ac:dyDescent="0.35">
      <c r="A75" s="10"/>
      <c r="B75" s="10"/>
      <c r="C75" s="10"/>
      <c r="D75" s="10"/>
      <c r="E75" s="10"/>
      <c r="F75" s="10"/>
      <c r="G75" s="10"/>
      <c r="H75" s="10"/>
      <c r="I75" s="14" t="e">
        <f>IF(MAX('Sample Select backend'!$K$4:$K$205)&gt;=ROW(I75)-2,ROW(I75)-2,"")</f>
        <v>#N/A</v>
      </c>
      <c r="J75" s="15" t="str">
        <f>IFERROR(VLOOKUP(I75,'Sample Select backend'!$K$4:$L$205,2,FALSE),"")</f>
        <v/>
      </c>
      <c r="K75" s="10"/>
      <c r="L75" s="10"/>
      <c r="M75" s="10"/>
      <c r="N75" s="10"/>
      <c r="O75" s="10"/>
      <c r="P75" s="10"/>
      <c r="Q75" s="10"/>
      <c r="R75" s="10"/>
      <c r="S75" s="10"/>
      <c r="T75" s="10"/>
      <c r="U75" s="10"/>
      <c r="V75" s="10"/>
    </row>
    <row r="76" spans="1:22" x14ac:dyDescent="0.35">
      <c r="A76" s="10"/>
      <c r="B76" s="10"/>
      <c r="C76" s="10"/>
      <c r="D76" s="10"/>
      <c r="E76" s="10"/>
      <c r="F76" s="10"/>
      <c r="G76" s="10"/>
      <c r="H76" s="10"/>
      <c r="I76" s="14" t="e">
        <f>IF(MAX('Sample Select backend'!$K$4:$K$205)&gt;=ROW(I76)-2,ROW(I76)-2,"")</f>
        <v>#N/A</v>
      </c>
      <c r="J76" s="15" t="str">
        <f>IFERROR(VLOOKUP(I76,'Sample Select backend'!$K$4:$L$205,2,FALSE),"")</f>
        <v/>
      </c>
      <c r="K76" s="10"/>
      <c r="L76" s="10"/>
      <c r="M76" s="10"/>
      <c r="N76" s="10"/>
      <c r="O76" s="10"/>
      <c r="P76" s="10"/>
      <c r="Q76" s="10"/>
      <c r="R76" s="10"/>
      <c r="S76" s="10"/>
      <c r="T76" s="10"/>
      <c r="U76" s="10"/>
      <c r="V76" s="10"/>
    </row>
    <row r="77" spans="1:22" x14ac:dyDescent="0.35">
      <c r="A77" s="10"/>
      <c r="B77" s="10"/>
      <c r="C77" s="10"/>
      <c r="D77" s="10"/>
      <c r="E77" s="10"/>
      <c r="F77" s="10"/>
      <c r="G77" s="10"/>
      <c r="H77" s="10"/>
      <c r="I77" s="14" t="e">
        <f>IF(MAX('Sample Select backend'!$K$4:$K$205)&gt;=ROW(I77)-2,ROW(I77)-2,"")</f>
        <v>#N/A</v>
      </c>
      <c r="J77" s="15" t="str">
        <f>IFERROR(VLOOKUP(I77,'Sample Select backend'!$K$4:$L$205,2,FALSE),"")</f>
        <v/>
      </c>
      <c r="K77" s="10"/>
      <c r="L77" s="10"/>
      <c r="M77" s="10"/>
      <c r="N77" s="10"/>
      <c r="O77" s="10"/>
      <c r="P77" s="10"/>
      <c r="Q77" s="10"/>
      <c r="R77" s="10"/>
      <c r="S77" s="10"/>
      <c r="T77" s="10"/>
      <c r="U77" s="10"/>
      <c r="V77" s="10"/>
    </row>
    <row r="78" spans="1:22" x14ac:dyDescent="0.35">
      <c r="A78" s="10"/>
      <c r="B78" s="10"/>
      <c r="C78" s="10"/>
      <c r="D78" s="10"/>
      <c r="E78" s="10"/>
      <c r="F78" s="10"/>
      <c r="G78" s="10"/>
      <c r="H78" s="10"/>
      <c r="I78" s="14" t="e">
        <f>IF(MAX('Sample Select backend'!$K$4:$K$205)&gt;=ROW(I78)-2,ROW(I78)-2,"")</f>
        <v>#N/A</v>
      </c>
      <c r="J78" s="15" t="str">
        <f>IFERROR(VLOOKUP(I78,'Sample Select backend'!$K$4:$L$205,2,FALSE),"")</f>
        <v/>
      </c>
      <c r="K78" s="10"/>
      <c r="L78" s="10"/>
      <c r="M78" s="10"/>
      <c r="N78" s="10"/>
      <c r="O78" s="10"/>
      <c r="P78" s="10"/>
      <c r="Q78" s="10"/>
      <c r="R78" s="10"/>
      <c r="S78" s="10"/>
      <c r="T78" s="10"/>
      <c r="U78" s="10"/>
      <c r="V78" s="10"/>
    </row>
    <row r="79" spans="1:22" x14ac:dyDescent="0.35">
      <c r="A79" s="10"/>
      <c r="B79" s="10"/>
      <c r="C79" s="10"/>
      <c r="D79" s="10"/>
      <c r="E79" s="10"/>
      <c r="F79" s="10"/>
      <c r="G79" s="10"/>
      <c r="H79" s="10"/>
      <c r="I79" s="14" t="e">
        <f>IF(MAX('Sample Select backend'!$K$4:$K$205)&gt;=ROW(I79)-2,ROW(I79)-2,"")</f>
        <v>#N/A</v>
      </c>
      <c r="J79" s="15" t="str">
        <f>IFERROR(VLOOKUP(I79,'Sample Select backend'!$K$4:$L$205,2,FALSE),"")</f>
        <v/>
      </c>
      <c r="K79" s="10"/>
      <c r="L79" s="10"/>
      <c r="M79" s="10"/>
      <c r="N79" s="10"/>
      <c r="O79" s="10"/>
      <c r="P79" s="10"/>
      <c r="Q79" s="10"/>
      <c r="R79" s="10"/>
      <c r="S79" s="10"/>
      <c r="T79" s="10"/>
      <c r="U79" s="10"/>
      <c r="V79" s="10"/>
    </row>
    <row r="80" spans="1:22" x14ac:dyDescent="0.35">
      <c r="A80" s="10"/>
      <c r="B80" s="10"/>
      <c r="C80" s="10"/>
      <c r="D80" s="10"/>
      <c r="E80" s="10"/>
      <c r="F80" s="10"/>
      <c r="G80" s="10"/>
      <c r="H80" s="10"/>
      <c r="I80" s="14" t="e">
        <f>IF(MAX('Sample Select backend'!$K$4:$K$205)&gt;=ROW(I80)-2,ROW(I80)-2,"")</f>
        <v>#N/A</v>
      </c>
      <c r="J80" s="15" t="str">
        <f>IFERROR(VLOOKUP(I80,'Sample Select backend'!$K$4:$L$205,2,FALSE),"")</f>
        <v/>
      </c>
      <c r="K80" s="10"/>
      <c r="L80" s="10"/>
      <c r="M80" s="10"/>
      <c r="N80" s="10"/>
      <c r="O80" s="10"/>
      <c r="P80" s="10"/>
      <c r="Q80" s="10"/>
      <c r="R80" s="10"/>
      <c r="S80" s="10"/>
      <c r="T80" s="10"/>
      <c r="U80" s="10"/>
      <c r="V80" s="10"/>
    </row>
    <row r="81" spans="1:22" x14ac:dyDescent="0.35">
      <c r="A81" s="10"/>
      <c r="B81" s="10"/>
      <c r="C81" s="10"/>
      <c r="D81" s="10"/>
      <c r="E81" s="10"/>
      <c r="F81" s="10"/>
      <c r="G81" s="10"/>
      <c r="H81" s="10"/>
      <c r="I81" s="14" t="e">
        <f>IF(MAX('Sample Select backend'!$K$4:$K$205)&gt;=ROW(I81)-2,ROW(I81)-2,"")</f>
        <v>#N/A</v>
      </c>
      <c r="J81" s="15" t="str">
        <f>IFERROR(VLOOKUP(I81,'Sample Select backend'!$K$4:$L$205,2,FALSE),"")</f>
        <v/>
      </c>
      <c r="K81" s="10"/>
      <c r="L81" s="10"/>
      <c r="M81" s="10"/>
      <c r="N81" s="10"/>
      <c r="O81" s="10"/>
      <c r="P81" s="10"/>
      <c r="Q81" s="10"/>
      <c r="R81" s="10"/>
      <c r="S81" s="10"/>
      <c r="T81" s="10"/>
      <c r="U81" s="10"/>
      <c r="V81" s="10"/>
    </row>
    <row r="82" spans="1:22" x14ac:dyDescent="0.35">
      <c r="A82" s="10"/>
      <c r="B82" s="10"/>
      <c r="C82" s="10"/>
      <c r="D82" s="10"/>
      <c r="E82" s="10"/>
      <c r="F82" s="10"/>
      <c r="G82" s="10"/>
      <c r="H82" s="10"/>
      <c r="I82" s="14" t="e">
        <f>IF(MAX('Sample Select backend'!$K$4:$K$205)&gt;=ROW(I82)-2,ROW(I82)-2,"")</f>
        <v>#N/A</v>
      </c>
      <c r="J82" s="15" t="str">
        <f>IFERROR(VLOOKUP(I82,'Sample Select backend'!$K$4:$L$205,2,FALSE),"")</f>
        <v/>
      </c>
      <c r="K82" s="10"/>
      <c r="L82" s="10"/>
      <c r="M82" s="10"/>
      <c r="N82" s="10"/>
      <c r="O82" s="10"/>
      <c r="P82" s="10"/>
      <c r="Q82" s="10"/>
      <c r="R82" s="10"/>
      <c r="S82" s="10"/>
      <c r="T82" s="10"/>
      <c r="U82" s="10"/>
      <c r="V82" s="10"/>
    </row>
    <row r="83" spans="1:22" x14ac:dyDescent="0.35">
      <c r="A83" s="10"/>
      <c r="B83" s="10"/>
      <c r="C83" s="10"/>
      <c r="D83" s="10"/>
      <c r="E83" s="10"/>
      <c r="F83" s="10"/>
      <c r="G83" s="10"/>
      <c r="H83" s="10"/>
      <c r="I83" s="14" t="e">
        <f>IF(MAX('Sample Select backend'!$K$4:$K$205)&gt;=ROW(I83)-2,ROW(I83)-2,"")</f>
        <v>#N/A</v>
      </c>
      <c r="J83" s="15" t="str">
        <f>IFERROR(VLOOKUP(I83,'Sample Select backend'!$K$4:$L$205,2,FALSE),"")</f>
        <v/>
      </c>
      <c r="K83" s="10"/>
      <c r="L83" s="10"/>
      <c r="M83" s="10"/>
      <c r="N83" s="10"/>
      <c r="O83" s="10"/>
      <c r="P83" s="10"/>
      <c r="Q83" s="10"/>
      <c r="R83" s="10"/>
      <c r="S83" s="10"/>
      <c r="T83" s="10"/>
      <c r="U83" s="10"/>
      <c r="V83" s="10"/>
    </row>
    <row r="84" spans="1:22" x14ac:dyDescent="0.35">
      <c r="A84" s="10"/>
      <c r="B84" s="10"/>
      <c r="C84" s="10"/>
      <c r="D84" s="10"/>
      <c r="E84" s="10"/>
      <c r="F84" s="10"/>
      <c r="G84" s="10"/>
      <c r="H84" s="10"/>
      <c r="I84" s="14" t="e">
        <f>IF(MAX('Sample Select backend'!$K$4:$K$205)&gt;=ROW(I84)-2,ROW(I84)-2,"")</f>
        <v>#N/A</v>
      </c>
      <c r="J84" s="15" t="str">
        <f>IFERROR(VLOOKUP(I84,'Sample Select backend'!$K$4:$L$205,2,FALSE),"")</f>
        <v/>
      </c>
      <c r="K84" s="10"/>
      <c r="L84" s="10"/>
      <c r="M84" s="10"/>
      <c r="N84" s="10"/>
      <c r="O84" s="10"/>
      <c r="P84" s="10"/>
      <c r="Q84" s="10"/>
      <c r="R84" s="10"/>
      <c r="S84" s="10"/>
      <c r="T84" s="10"/>
      <c r="U84" s="10"/>
      <c r="V84" s="10"/>
    </row>
    <row r="85" spans="1:22" x14ac:dyDescent="0.35">
      <c r="A85" s="10"/>
      <c r="B85" s="10"/>
      <c r="C85" s="10"/>
      <c r="D85" s="10"/>
      <c r="E85" s="10"/>
      <c r="F85" s="10"/>
      <c r="G85" s="10"/>
      <c r="H85" s="10"/>
      <c r="I85" s="14" t="e">
        <f>IF(MAX('Sample Select backend'!$K$4:$K$205)&gt;=ROW(I85)-2,ROW(I85)-2,"")</f>
        <v>#N/A</v>
      </c>
      <c r="J85" s="15" t="str">
        <f>IFERROR(VLOOKUP(I85,'Sample Select backend'!$K$4:$L$205,2,FALSE),"")</f>
        <v/>
      </c>
      <c r="K85" s="10"/>
      <c r="L85" s="10"/>
      <c r="M85" s="10"/>
      <c r="N85" s="10"/>
      <c r="O85" s="10"/>
      <c r="P85" s="10"/>
      <c r="Q85" s="10"/>
      <c r="R85" s="10"/>
      <c r="S85" s="10"/>
      <c r="T85" s="10"/>
      <c r="U85" s="10"/>
      <c r="V85" s="10"/>
    </row>
    <row r="86" spans="1:22" x14ac:dyDescent="0.35">
      <c r="A86" s="10"/>
      <c r="B86" s="10"/>
      <c r="C86" s="10"/>
      <c r="D86" s="10"/>
      <c r="E86" s="10"/>
      <c r="F86" s="10"/>
      <c r="G86" s="10"/>
      <c r="H86" s="10"/>
      <c r="I86" s="14" t="e">
        <f>IF(MAX('Sample Select backend'!$K$4:$K$205)&gt;=ROW(I86)-2,ROW(I86)-2,"")</f>
        <v>#N/A</v>
      </c>
      <c r="J86" s="15" t="str">
        <f>IFERROR(VLOOKUP(I86,'Sample Select backend'!$K$4:$L$205,2,FALSE),"")</f>
        <v/>
      </c>
      <c r="K86" s="10"/>
      <c r="L86" s="10"/>
      <c r="M86" s="10"/>
      <c r="N86" s="10"/>
      <c r="O86" s="10"/>
      <c r="P86" s="10"/>
      <c r="Q86" s="10"/>
      <c r="R86" s="10"/>
      <c r="S86" s="10"/>
      <c r="T86" s="10"/>
      <c r="U86" s="10"/>
      <c r="V86" s="10"/>
    </row>
    <row r="87" spans="1:22" x14ac:dyDescent="0.35">
      <c r="A87" s="10"/>
      <c r="B87" s="10"/>
      <c r="C87" s="10"/>
      <c r="D87" s="10"/>
      <c r="E87" s="10"/>
      <c r="F87" s="10"/>
      <c r="G87" s="10"/>
      <c r="H87" s="10"/>
      <c r="I87" s="14" t="e">
        <f>IF(MAX('Sample Select backend'!$K$4:$K$205)&gt;=ROW(I87)-2,ROW(I87)-2,"")</f>
        <v>#N/A</v>
      </c>
      <c r="J87" s="15" t="str">
        <f>IFERROR(VLOOKUP(I87,'Sample Select backend'!$K$4:$L$205,2,FALSE),"")</f>
        <v/>
      </c>
      <c r="K87" s="10"/>
      <c r="L87" s="10"/>
      <c r="M87" s="10"/>
      <c r="N87" s="10"/>
      <c r="O87" s="10"/>
      <c r="P87" s="10"/>
      <c r="Q87" s="10"/>
      <c r="R87" s="10"/>
      <c r="S87" s="10"/>
      <c r="T87" s="10"/>
      <c r="U87" s="10"/>
      <c r="V87" s="10"/>
    </row>
    <row r="88" spans="1:22" x14ac:dyDescent="0.35">
      <c r="A88" s="10"/>
      <c r="B88" s="10"/>
      <c r="C88" s="10"/>
      <c r="D88" s="10"/>
      <c r="E88" s="10"/>
      <c r="F88" s="10"/>
      <c r="G88" s="10"/>
      <c r="H88" s="10"/>
      <c r="I88" s="14" t="e">
        <f>IF(MAX('Sample Select backend'!$K$4:$K$205)&gt;=ROW(I88)-2,ROW(I88)-2,"")</f>
        <v>#N/A</v>
      </c>
      <c r="J88" s="15" t="str">
        <f>IFERROR(VLOOKUP(I88,'Sample Select backend'!$K$4:$L$205,2,FALSE),"")</f>
        <v/>
      </c>
      <c r="K88" s="10"/>
      <c r="L88" s="10"/>
      <c r="M88" s="10"/>
      <c r="N88" s="10"/>
      <c r="O88" s="10"/>
      <c r="P88" s="10"/>
      <c r="Q88" s="10"/>
      <c r="R88" s="10"/>
      <c r="S88" s="10"/>
      <c r="T88" s="10"/>
      <c r="U88" s="10"/>
      <c r="V88" s="10"/>
    </row>
    <row r="89" spans="1:22" x14ac:dyDescent="0.35">
      <c r="A89" s="10"/>
      <c r="B89" s="10"/>
      <c r="C89" s="10"/>
      <c r="D89" s="10"/>
      <c r="E89" s="10"/>
      <c r="F89" s="10"/>
      <c r="G89" s="10"/>
      <c r="H89" s="10"/>
      <c r="I89" s="14" t="e">
        <f>IF(MAX('Sample Select backend'!$K$4:$K$205)&gt;=ROW(I89)-2,ROW(I89)-2,"")</f>
        <v>#N/A</v>
      </c>
      <c r="J89" s="15" t="str">
        <f>IFERROR(VLOOKUP(I89,'Sample Select backend'!$K$4:$L$205,2,FALSE),"")</f>
        <v/>
      </c>
      <c r="K89" s="10"/>
      <c r="L89" s="10"/>
      <c r="M89" s="10"/>
      <c r="N89" s="10"/>
      <c r="O89" s="10"/>
      <c r="P89" s="10"/>
      <c r="Q89" s="10"/>
      <c r="R89" s="10"/>
      <c r="S89" s="10"/>
      <c r="T89" s="10"/>
      <c r="U89" s="10"/>
      <c r="V89" s="10"/>
    </row>
    <row r="90" spans="1:22" x14ac:dyDescent="0.35">
      <c r="A90" s="10"/>
      <c r="B90" s="10"/>
      <c r="C90" s="10"/>
      <c r="D90" s="10"/>
      <c r="E90" s="10"/>
      <c r="F90" s="10"/>
      <c r="G90" s="10"/>
      <c r="H90" s="10"/>
      <c r="I90" s="14" t="e">
        <f>IF(MAX('Sample Select backend'!$K$4:$K$205)&gt;=ROW(I90)-2,ROW(I90)-2,"")</f>
        <v>#N/A</v>
      </c>
      <c r="J90" s="15" t="str">
        <f>IFERROR(VLOOKUP(I90,'Sample Select backend'!$K$4:$L$205,2,FALSE),"")</f>
        <v/>
      </c>
      <c r="K90" s="10"/>
      <c r="L90" s="10"/>
      <c r="M90" s="10"/>
      <c r="N90" s="10"/>
      <c r="O90" s="10"/>
      <c r="P90" s="10"/>
      <c r="Q90" s="10"/>
      <c r="R90" s="10"/>
      <c r="S90" s="10"/>
      <c r="T90" s="10"/>
      <c r="U90" s="10"/>
      <c r="V90" s="10"/>
    </row>
    <row r="91" spans="1:22" x14ac:dyDescent="0.35">
      <c r="A91" s="10"/>
      <c r="B91" s="10"/>
      <c r="C91" s="10"/>
      <c r="D91" s="10"/>
      <c r="E91" s="10"/>
      <c r="F91" s="10"/>
      <c r="G91" s="10"/>
      <c r="H91" s="10"/>
      <c r="I91" s="14" t="e">
        <f>IF(MAX('Sample Select backend'!$K$4:$K$205)&gt;=ROW(I91)-2,ROW(I91)-2,"")</f>
        <v>#N/A</v>
      </c>
      <c r="J91" s="15" t="str">
        <f>IFERROR(VLOOKUP(I91,'Sample Select backend'!$K$4:$L$205,2,FALSE),"")</f>
        <v/>
      </c>
      <c r="K91" s="10"/>
      <c r="L91" s="10"/>
      <c r="M91" s="10"/>
      <c r="N91" s="10"/>
      <c r="O91" s="10"/>
      <c r="P91" s="10"/>
      <c r="Q91" s="10"/>
      <c r="R91" s="10"/>
      <c r="S91" s="10"/>
      <c r="T91" s="10"/>
      <c r="U91" s="10"/>
      <c r="V91" s="10"/>
    </row>
    <row r="92" spans="1:22" x14ac:dyDescent="0.35">
      <c r="A92" s="10"/>
      <c r="B92" s="10"/>
      <c r="C92" s="10"/>
      <c r="D92" s="10"/>
      <c r="E92" s="10"/>
      <c r="F92" s="10"/>
      <c r="G92" s="10"/>
      <c r="H92" s="10"/>
      <c r="I92" s="14" t="e">
        <f>IF(MAX('Sample Select backend'!$K$4:$K$205)&gt;=ROW(I92)-2,ROW(I92)-2,"")</f>
        <v>#N/A</v>
      </c>
      <c r="J92" s="15" t="str">
        <f>IFERROR(VLOOKUP(I92,'Sample Select backend'!$K$4:$L$205,2,FALSE),"")</f>
        <v/>
      </c>
      <c r="K92" s="10"/>
      <c r="L92" s="10"/>
      <c r="M92" s="10"/>
      <c r="N92" s="10"/>
      <c r="O92" s="10"/>
      <c r="P92" s="10"/>
      <c r="Q92" s="10"/>
      <c r="R92" s="10"/>
      <c r="S92" s="10"/>
      <c r="T92" s="10"/>
      <c r="U92" s="10"/>
      <c r="V92" s="10"/>
    </row>
    <row r="93" spans="1:22" x14ac:dyDescent="0.35">
      <c r="A93" s="10"/>
      <c r="B93" s="10"/>
      <c r="C93" s="10"/>
      <c r="D93" s="10"/>
      <c r="E93" s="10"/>
      <c r="F93" s="10"/>
      <c r="G93" s="10"/>
      <c r="H93" s="10"/>
      <c r="I93" s="14" t="e">
        <f>IF(MAX('Sample Select backend'!$K$4:$K$205)&gt;=ROW(I93)-2,ROW(I93)-2,"")</f>
        <v>#N/A</v>
      </c>
      <c r="J93" s="15" t="str">
        <f>IFERROR(VLOOKUP(I93,'Sample Select backend'!$K$4:$L$205,2,FALSE),"")</f>
        <v/>
      </c>
      <c r="K93" s="10"/>
      <c r="L93" s="10"/>
      <c r="M93" s="10"/>
      <c r="N93" s="10"/>
      <c r="O93" s="10"/>
      <c r="P93" s="10"/>
      <c r="Q93" s="10"/>
      <c r="R93" s="10"/>
      <c r="S93" s="10"/>
      <c r="T93" s="10"/>
      <c r="U93" s="10"/>
      <c r="V93" s="10"/>
    </row>
    <row r="94" spans="1:22" x14ac:dyDescent="0.35">
      <c r="A94" s="10"/>
      <c r="B94" s="10"/>
      <c r="C94" s="10"/>
      <c r="D94" s="10"/>
      <c r="E94" s="10"/>
      <c r="F94" s="10"/>
      <c r="G94" s="10"/>
      <c r="H94" s="10"/>
      <c r="I94" s="14" t="e">
        <f>IF(MAX('Sample Select backend'!$K$4:$K$205)&gt;=ROW(I94)-2,ROW(I94)-2,"")</f>
        <v>#N/A</v>
      </c>
      <c r="J94" s="15" t="str">
        <f>IFERROR(VLOOKUP(I94,'Sample Select backend'!$K$4:$L$205,2,FALSE),"")</f>
        <v/>
      </c>
      <c r="K94" s="10"/>
      <c r="L94" s="10"/>
      <c r="M94" s="10"/>
      <c r="N94" s="10"/>
      <c r="O94" s="10"/>
      <c r="P94" s="10"/>
      <c r="Q94" s="10"/>
      <c r="R94" s="10"/>
      <c r="S94" s="10"/>
      <c r="T94" s="10"/>
      <c r="U94" s="10"/>
      <c r="V94" s="10"/>
    </row>
    <row r="95" spans="1:22" x14ac:dyDescent="0.35">
      <c r="A95" s="10"/>
      <c r="B95" s="10"/>
      <c r="C95" s="10"/>
      <c r="D95" s="10"/>
      <c r="E95" s="10"/>
      <c r="F95" s="10"/>
      <c r="G95" s="10"/>
      <c r="H95" s="10"/>
      <c r="I95" s="14" t="e">
        <f>IF(MAX('Sample Select backend'!$K$4:$K$205)&gt;=ROW(I95)-2,ROW(I95)-2,"")</f>
        <v>#N/A</v>
      </c>
      <c r="J95" s="15" t="str">
        <f>IFERROR(VLOOKUP(I95,'Sample Select backend'!$K$4:$L$205,2,FALSE),"")</f>
        <v/>
      </c>
      <c r="K95" s="10"/>
      <c r="L95" s="10"/>
      <c r="M95" s="10"/>
      <c r="N95" s="10"/>
      <c r="O95" s="10"/>
      <c r="P95" s="10"/>
      <c r="Q95" s="10"/>
      <c r="R95" s="10"/>
      <c r="S95" s="10"/>
      <c r="T95" s="10"/>
      <c r="U95" s="10"/>
      <c r="V95" s="10"/>
    </row>
    <row r="96" spans="1:22" x14ac:dyDescent="0.35">
      <c r="A96" s="10"/>
      <c r="B96" s="10"/>
      <c r="C96" s="10"/>
      <c r="D96" s="10"/>
      <c r="E96" s="10"/>
      <c r="F96" s="10"/>
      <c r="G96" s="10"/>
      <c r="H96" s="10"/>
      <c r="I96" s="14" t="e">
        <f>IF(MAX('Sample Select backend'!$K$4:$K$205)&gt;=ROW(I96)-2,ROW(I96)-2,"")</f>
        <v>#N/A</v>
      </c>
      <c r="J96" s="15" t="str">
        <f>IFERROR(VLOOKUP(I96,'Sample Select backend'!$K$4:$L$205,2,FALSE),"")</f>
        <v/>
      </c>
      <c r="K96" s="10"/>
      <c r="L96" s="10"/>
      <c r="M96" s="10"/>
      <c r="N96" s="10"/>
      <c r="O96" s="10"/>
      <c r="P96" s="10"/>
      <c r="Q96" s="10"/>
      <c r="R96" s="10"/>
      <c r="S96" s="10"/>
      <c r="T96" s="10"/>
      <c r="U96" s="10"/>
      <c r="V96" s="10"/>
    </row>
    <row r="97" spans="1:22" x14ac:dyDescent="0.35">
      <c r="A97" s="10"/>
      <c r="B97" s="10"/>
      <c r="C97" s="10"/>
      <c r="D97" s="10"/>
      <c r="E97" s="10"/>
      <c r="F97" s="10"/>
      <c r="G97" s="10"/>
      <c r="H97" s="10"/>
      <c r="I97" s="14" t="e">
        <f>IF(MAX('Sample Select backend'!$K$4:$K$205)&gt;=ROW(I97)-2,ROW(I97)-2,"")</f>
        <v>#N/A</v>
      </c>
      <c r="J97" s="15" t="str">
        <f>IFERROR(VLOOKUP(I97,'Sample Select backend'!$K$4:$L$205,2,FALSE),"")</f>
        <v/>
      </c>
      <c r="K97" s="10"/>
      <c r="L97" s="10"/>
      <c r="M97" s="10"/>
      <c r="N97" s="10"/>
      <c r="O97" s="10"/>
      <c r="P97" s="10"/>
      <c r="Q97" s="10"/>
      <c r="R97" s="10"/>
      <c r="S97" s="10"/>
      <c r="T97" s="10"/>
      <c r="U97" s="10"/>
      <c r="V97" s="10"/>
    </row>
    <row r="98" spans="1:22" x14ac:dyDescent="0.35">
      <c r="A98" s="10"/>
      <c r="B98" s="10"/>
      <c r="C98" s="10"/>
      <c r="D98" s="10"/>
      <c r="E98" s="10"/>
      <c r="F98" s="10"/>
      <c r="G98" s="10"/>
      <c r="H98" s="10"/>
      <c r="I98" s="14" t="e">
        <f>IF(MAX('Sample Select backend'!$K$4:$K$205)&gt;=ROW(I98)-2,ROW(I98)-2,"")</f>
        <v>#N/A</v>
      </c>
      <c r="J98" s="15" t="str">
        <f>IFERROR(VLOOKUP(I98,'Sample Select backend'!$K$4:$L$205,2,FALSE),"")</f>
        <v/>
      </c>
      <c r="K98" s="10"/>
      <c r="L98" s="10"/>
      <c r="M98" s="10"/>
      <c r="N98" s="10"/>
      <c r="O98" s="10"/>
      <c r="P98" s="10"/>
      <c r="Q98" s="10"/>
      <c r="R98" s="10"/>
      <c r="S98" s="10"/>
      <c r="T98" s="10"/>
      <c r="U98" s="10"/>
      <c r="V98" s="10"/>
    </row>
    <row r="99" spans="1:22" x14ac:dyDescent="0.35">
      <c r="A99" s="10"/>
      <c r="B99" s="10"/>
      <c r="C99" s="10"/>
      <c r="D99" s="10"/>
      <c r="E99" s="10"/>
      <c r="F99" s="10"/>
      <c r="G99" s="10"/>
      <c r="H99" s="10"/>
      <c r="I99" s="14" t="e">
        <f>IF(MAX('Sample Select backend'!$K$4:$K$205)&gt;=ROW(I99)-2,ROW(I99)-2,"")</f>
        <v>#N/A</v>
      </c>
      <c r="J99" s="15" t="str">
        <f>IFERROR(VLOOKUP(I99,'Sample Select backend'!$K$4:$L$205,2,FALSE),"")</f>
        <v/>
      </c>
      <c r="K99" s="10"/>
      <c r="L99" s="10"/>
      <c r="M99" s="10"/>
      <c r="N99" s="10"/>
      <c r="O99" s="10"/>
      <c r="P99" s="10"/>
      <c r="Q99" s="10"/>
      <c r="R99" s="10"/>
      <c r="S99" s="10"/>
      <c r="T99" s="10"/>
      <c r="U99" s="10"/>
      <c r="V99" s="10"/>
    </row>
    <row r="100" spans="1:22" x14ac:dyDescent="0.35">
      <c r="A100" s="10"/>
      <c r="B100" s="10"/>
      <c r="C100" s="10"/>
      <c r="D100" s="10"/>
      <c r="E100" s="10"/>
      <c r="F100" s="10"/>
      <c r="G100" s="10"/>
      <c r="H100" s="10"/>
      <c r="I100" s="14" t="e">
        <f>IF(MAX('Sample Select backend'!$K$4:$K$205)&gt;=ROW(I100)-2,ROW(I100)-2,"")</f>
        <v>#N/A</v>
      </c>
      <c r="J100" s="15" t="str">
        <f>IFERROR(VLOOKUP(I100,'Sample Select backend'!$K$4:$L$205,2,FALSE),"")</f>
        <v/>
      </c>
      <c r="K100" s="10"/>
      <c r="L100" s="10"/>
      <c r="M100" s="10"/>
      <c r="N100" s="10"/>
      <c r="O100" s="10"/>
      <c r="P100" s="10"/>
      <c r="Q100" s="10"/>
      <c r="R100" s="10"/>
      <c r="S100" s="10"/>
      <c r="T100" s="10"/>
      <c r="U100" s="10"/>
      <c r="V100" s="10"/>
    </row>
    <row r="101" spans="1:22" x14ac:dyDescent="0.35">
      <c r="A101" s="10"/>
      <c r="B101" s="10"/>
      <c r="C101" s="10"/>
      <c r="D101" s="10"/>
      <c r="E101" s="10"/>
      <c r="F101" s="10"/>
      <c r="G101" s="10"/>
      <c r="H101" s="10"/>
      <c r="I101" s="14" t="e">
        <f>IF(MAX('Sample Select backend'!$K$4:$K$205)&gt;=ROW(I101)-2,ROW(I101)-2,"")</f>
        <v>#N/A</v>
      </c>
      <c r="J101" s="15" t="str">
        <f>IFERROR(VLOOKUP(I101,'Sample Select backend'!$K$4:$L$205,2,FALSE),"")</f>
        <v/>
      </c>
      <c r="K101" s="10"/>
      <c r="L101" s="10"/>
      <c r="M101" s="10"/>
      <c r="N101" s="10"/>
      <c r="O101" s="10"/>
      <c r="P101" s="10"/>
      <c r="Q101" s="10"/>
      <c r="R101" s="10"/>
      <c r="S101" s="10"/>
      <c r="T101" s="10"/>
      <c r="U101" s="10"/>
      <c r="V101" s="10"/>
    </row>
    <row r="102" spans="1:22" x14ac:dyDescent="0.35">
      <c r="A102" s="10"/>
      <c r="B102" s="10"/>
      <c r="C102" s="10"/>
      <c r="D102" s="10"/>
      <c r="E102" s="10"/>
      <c r="F102" s="10"/>
      <c r="G102" s="10"/>
      <c r="H102" s="10"/>
      <c r="I102" s="14" t="e">
        <f>IF(MAX('Sample Select backend'!$K$4:$K$205)&gt;=ROW(I102)-2,ROW(I102)-2,"")</f>
        <v>#N/A</v>
      </c>
      <c r="J102" s="15" t="str">
        <f>IFERROR(VLOOKUP(I102,'Sample Select backend'!$K$4:$L$205,2,FALSE),"")</f>
        <v/>
      </c>
      <c r="K102" s="10"/>
      <c r="L102" s="10"/>
      <c r="M102" s="10"/>
      <c r="N102" s="10"/>
      <c r="O102" s="10"/>
      <c r="P102" s="10"/>
      <c r="Q102" s="10"/>
      <c r="R102" s="10"/>
      <c r="S102" s="10"/>
      <c r="T102" s="10"/>
      <c r="U102" s="10"/>
      <c r="V102" s="10"/>
    </row>
    <row r="103" spans="1:22" x14ac:dyDescent="0.35">
      <c r="A103" s="10"/>
      <c r="B103" s="10"/>
      <c r="C103" s="10"/>
      <c r="D103" s="10"/>
      <c r="E103" s="10"/>
      <c r="F103" s="10"/>
      <c r="G103" s="10"/>
      <c r="H103" s="10"/>
      <c r="I103" s="14" t="e">
        <f>IF(MAX('Sample Select backend'!$K$4:$K$205)&gt;=ROW(I103)-2,ROW(I103)-2,"")</f>
        <v>#N/A</v>
      </c>
      <c r="J103" s="15" t="str">
        <f>IFERROR(VLOOKUP(I103,'Sample Select backend'!$K$4:$L$205,2,FALSE),"")</f>
        <v/>
      </c>
      <c r="K103" s="10"/>
      <c r="L103" s="10"/>
      <c r="M103" s="10"/>
      <c r="N103" s="10"/>
      <c r="O103" s="10"/>
      <c r="P103" s="10"/>
      <c r="Q103" s="10"/>
      <c r="R103" s="10"/>
      <c r="S103" s="10"/>
      <c r="T103" s="10"/>
      <c r="U103" s="10"/>
      <c r="V103" s="10"/>
    </row>
    <row r="104" spans="1:22" x14ac:dyDescent="0.35">
      <c r="A104" s="10"/>
      <c r="B104" s="10"/>
      <c r="C104" s="10"/>
      <c r="D104" s="10"/>
      <c r="E104" s="10"/>
      <c r="F104" s="10"/>
      <c r="G104" s="10"/>
      <c r="H104" s="10"/>
      <c r="I104" s="14" t="e">
        <f>IF(MAX('Sample Select backend'!$K$4:$K$205)&gt;=ROW(I104)-2,ROW(I104)-2,"")</f>
        <v>#N/A</v>
      </c>
      <c r="J104" s="15" t="str">
        <f>IFERROR(VLOOKUP(I104,'Sample Select backend'!$K$4:$L$205,2,FALSE),"")</f>
        <v/>
      </c>
      <c r="K104" s="10"/>
      <c r="L104" s="10"/>
      <c r="M104" s="10"/>
      <c r="N104" s="10"/>
      <c r="O104" s="10"/>
      <c r="P104" s="10"/>
      <c r="Q104" s="10"/>
      <c r="R104" s="10"/>
      <c r="S104" s="10"/>
      <c r="T104" s="10"/>
      <c r="U104" s="10"/>
      <c r="V104" s="10"/>
    </row>
    <row r="105" spans="1:22" x14ac:dyDescent="0.35">
      <c r="A105" s="10"/>
      <c r="B105" s="10"/>
      <c r="C105" s="10"/>
      <c r="D105" s="10"/>
      <c r="E105" s="10"/>
      <c r="F105" s="10"/>
      <c r="G105" s="10"/>
      <c r="H105" s="10"/>
      <c r="I105" s="14" t="e">
        <f>IF(MAX('Sample Select backend'!$K$4:$K$205)&gt;=ROW(I105)-2,ROW(I105)-2,"")</f>
        <v>#N/A</v>
      </c>
      <c r="J105" s="15" t="str">
        <f>IFERROR(VLOOKUP(I105,'Sample Select backend'!$K$4:$L$205,2,FALSE),"")</f>
        <v/>
      </c>
      <c r="K105" s="10"/>
      <c r="L105" s="10"/>
      <c r="M105" s="10"/>
      <c r="N105" s="10"/>
      <c r="O105" s="10"/>
      <c r="P105" s="10"/>
      <c r="Q105" s="10"/>
      <c r="R105" s="10"/>
      <c r="S105" s="10"/>
      <c r="T105" s="10"/>
      <c r="U105" s="10"/>
      <c r="V105" s="10"/>
    </row>
    <row r="106" spans="1:22" x14ac:dyDescent="0.35">
      <c r="A106" s="10"/>
      <c r="B106" s="10"/>
      <c r="C106" s="10"/>
      <c r="D106" s="10"/>
      <c r="E106" s="10"/>
      <c r="F106" s="10"/>
      <c r="G106" s="10"/>
      <c r="H106" s="10"/>
      <c r="I106" s="14" t="e">
        <f>IF(MAX('Sample Select backend'!$K$4:$K$205)&gt;=ROW(I106)-2,ROW(I106)-2,"")</f>
        <v>#N/A</v>
      </c>
      <c r="J106" s="15" t="str">
        <f>IFERROR(VLOOKUP(I106,'Sample Select backend'!$K$4:$L$205,2,FALSE),"")</f>
        <v/>
      </c>
      <c r="K106" s="10"/>
      <c r="L106" s="10"/>
      <c r="M106" s="10"/>
      <c r="N106" s="10"/>
      <c r="O106" s="10"/>
      <c r="P106" s="10"/>
      <c r="Q106" s="10"/>
      <c r="R106" s="10"/>
      <c r="S106" s="10"/>
      <c r="T106" s="10"/>
      <c r="U106" s="10"/>
      <c r="V106" s="10"/>
    </row>
    <row r="107" spans="1:22" x14ac:dyDescent="0.35">
      <c r="A107" s="10"/>
      <c r="B107" s="10"/>
      <c r="C107" s="10"/>
      <c r="D107" s="10"/>
      <c r="E107" s="10"/>
      <c r="F107" s="10"/>
      <c r="G107" s="10"/>
      <c r="H107" s="10"/>
      <c r="I107" s="14" t="e">
        <f>IF(MAX('Sample Select backend'!$K$4:$K$205)&gt;=ROW(I107)-2,ROW(I107)-2,"")</f>
        <v>#N/A</v>
      </c>
      <c r="J107" s="15" t="str">
        <f>IFERROR(VLOOKUP(I107,'Sample Select backend'!$K$4:$L$205,2,FALSE),"")</f>
        <v/>
      </c>
      <c r="K107" s="10"/>
      <c r="L107" s="10"/>
      <c r="M107" s="10"/>
      <c r="N107" s="10"/>
      <c r="O107" s="10"/>
      <c r="P107" s="10"/>
      <c r="Q107" s="10"/>
      <c r="R107" s="10"/>
      <c r="S107" s="10"/>
      <c r="T107" s="10"/>
      <c r="U107" s="10"/>
      <c r="V107" s="10"/>
    </row>
    <row r="108" spans="1:22" x14ac:dyDescent="0.35">
      <c r="A108" s="10"/>
      <c r="B108" s="10"/>
      <c r="C108" s="10"/>
      <c r="D108" s="10"/>
      <c r="E108" s="10"/>
      <c r="F108" s="10"/>
      <c r="G108" s="10"/>
      <c r="H108" s="10"/>
      <c r="I108" s="14" t="e">
        <f>IF(MAX('Sample Select backend'!$K$4:$K$205)&gt;=ROW(I108)-2,ROW(I108)-2,"")</f>
        <v>#N/A</v>
      </c>
      <c r="J108" s="15" t="str">
        <f>IFERROR(VLOOKUP(I108,'Sample Select backend'!$K$4:$L$205,2,FALSE),"")</f>
        <v/>
      </c>
      <c r="K108" s="10"/>
      <c r="L108" s="10"/>
      <c r="M108" s="10"/>
      <c r="N108" s="10"/>
      <c r="O108" s="10"/>
      <c r="P108" s="10"/>
      <c r="Q108" s="10"/>
      <c r="R108" s="10"/>
      <c r="S108" s="10"/>
      <c r="T108" s="10"/>
      <c r="U108" s="10"/>
      <c r="V108" s="10"/>
    </row>
    <row r="109" spans="1:22" x14ac:dyDescent="0.35">
      <c r="A109" s="10"/>
      <c r="B109" s="10"/>
      <c r="C109" s="10"/>
      <c r="D109" s="10"/>
      <c r="E109" s="10"/>
      <c r="F109" s="10"/>
      <c r="G109" s="10"/>
      <c r="H109" s="10"/>
      <c r="I109" s="14" t="e">
        <f>IF(MAX('Sample Select backend'!$K$4:$K$205)&gt;=ROW(I109)-2,ROW(I109)-2,"")</f>
        <v>#N/A</v>
      </c>
      <c r="J109" s="15" t="str">
        <f>IFERROR(VLOOKUP(I109,'Sample Select backend'!$K$4:$L$205,2,FALSE),"")</f>
        <v/>
      </c>
      <c r="K109" s="10"/>
      <c r="L109" s="10"/>
      <c r="M109" s="10"/>
      <c r="N109" s="10"/>
      <c r="O109" s="10"/>
      <c r="P109" s="10"/>
      <c r="Q109" s="10"/>
      <c r="R109" s="10"/>
      <c r="S109" s="10"/>
      <c r="T109" s="10"/>
      <c r="U109" s="10"/>
      <c r="V109" s="10"/>
    </row>
    <row r="110" spans="1:22" x14ac:dyDescent="0.35">
      <c r="A110" s="10"/>
      <c r="B110" s="10"/>
      <c r="C110" s="10"/>
      <c r="D110" s="10"/>
      <c r="E110" s="10"/>
      <c r="F110" s="10"/>
      <c r="G110" s="10"/>
      <c r="H110" s="10"/>
      <c r="I110" s="14" t="e">
        <f>IF(MAX('Sample Select backend'!$K$4:$K$205)&gt;=ROW(I110)-2,ROW(I110)-2,"")</f>
        <v>#N/A</v>
      </c>
      <c r="J110" s="15" t="str">
        <f>IFERROR(VLOOKUP(I110,'Sample Select backend'!$K$4:$L$205,2,FALSE),"")</f>
        <v/>
      </c>
      <c r="K110" s="10"/>
      <c r="L110" s="10"/>
      <c r="M110" s="10"/>
      <c r="N110" s="10"/>
      <c r="O110" s="10"/>
      <c r="P110" s="10"/>
      <c r="Q110" s="10"/>
      <c r="R110" s="10"/>
      <c r="S110" s="10"/>
      <c r="T110" s="10"/>
      <c r="U110" s="10"/>
      <c r="V110" s="10"/>
    </row>
    <row r="111" spans="1:22" x14ac:dyDescent="0.35">
      <c r="A111" s="10"/>
      <c r="B111" s="10"/>
      <c r="C111" s="10"/>
      <c r="D111" s="10"/>
      <c r="E111" s="10"/>
      <c r="F111" s="10"/>
      <c r="G111" s="10"/>
      <c r="H111" s="10"/>
      <c r="I111" s="14" t="e">
        <f>IF(MAX('Sample Select backend'!$K$4:$K$205)&gt;=ROW(I111)-2,ROW(I111)-2,"")</f>
        <v>#N/A</v>
      </c>
      <c r="J111" s="15" t="str">
        <f>IFERROR(VLOOKUP(I111,'Sample Select backend'!$K$4:$L$205,2,FALSE),"")</f>
        <v/>
      </c>
      <c r="K111" s="10"/>
      <c r="L111" s="10"/>
      <c r="M111" s="10"/>
      <c r="N111" s="10"/>
      <c r="O111" s="10"/>
      <c r="P111" s="10"/>
      <c r="Q111" s="10"/>
      <c r="R111" s="10"/>
      <c r="S111" s="10"/>
      <c r="T111" s="10"/>
      <c r="U111" s="10"/>
      <c r="V111" s="10"/>
    </row>
    <row r="112" spans="1:22" x14ac:dyDescent="0.35">
      <c r="A112" s="10"/>
      <c r="B112" s="10"/>
      <c r="C112" s="10"/>
      <c r="D112" s="10"/>
      <c r="E112" s="10"/>
      <c r="F112" s="10"/>
      <c r="G112" s="10"/>
      <c r="H112" s="10"/>
      <c r="I112" s="14" t="e">
        <f>IF(MAX('Sample Select backend'!$K$4:$K$205)&gt;=ROW(I112)-2,ROW(I112)-2,"")</f>
        <v>#N/A</v>
      </c>
      <c r="J112" s="15" t="str">
        <f>IFERROR(VLOOKUP(I112,'Sample Select backend'!$K$4:$L$205,2,FALSE),"")</f>
        <v/>
      </c>
      <c r="K112" s="10"/>
      <c r="L112" s="10"/>
      <c r="M112" s="10"/>
      <c r="N112" s="10"/>
      <c r="O112" s="10"/>
      <c r="P112" s="10"/>
      <c r="Q112" s="10"/>
      <c r="R112" s="10"/>
      <c r="S112" s="10"/>
      <c r="T112" s="10"/>
      <c r="U112" s="10"/>
      <c r="V112" s="10"/>
    </row>
    <row r="113" spans="1:22" x14ac:dyDescent="0.35">
      <c r="A113" s="10"/>
      <c r="B113" s="10"/>
      <c r="C113" s="10"/>
      <c r="D113" s="10"/>
      <c r="E113" s="10"/>
      <c r="F113" s="10"/>
      <c r="G113" s="10"/>
      <c r="H113" s="10"/>
      <c r="I113" s="14" t="e">
        <f>IF(MAX('Sample Select backend'!$K$4:$K$205)&gt;=ROW(I113)-2,ROW(I113)-2,"")</f>
        <v>#N/A</v>
      </c>
      <c r="J113" s="15" t="str">
        <f>IFERROR(VLOOKUP(I113,'Sample Select backend'!$K$4:$L$205,2,FALSE),"")</f>
        <v/>
      </c>
      <c r="K113" s="10"/>
      <c r="L113" s="10"/>
      <c r="M113" s="10"/>
      <c r="N113" s="10"/>
      <c r="O113" s="10"/>
      <c r="P113" s="10"/>
      <c r="Q113" s="10"/>
      <c r="R113" s="10"/>
      <c r="S113" s="10"/>
      <c r="T113" s="10"/>
      <c r="U113" s="10"/>
      <c r="V113" s="10"/>
    </row>
    <row r="114" spans="1:22" x14ac:dyDescent="0.35">
      <c r="A114" s="10"/>
      <c r="B114" s="10"/>
      <c r="C114" s="10"/>
      <c r="D114" s="10"/>
      <c r="E114" s="10"/>
      <c r="F114" s="10"/>
      <c r="G114" s="10"/>
      <c r="H114" s="10"/>
      <c r="I114" s="14" t="e">
        <f>IF(MAX('Sample Select backend'!$K$4:$K$205)&gt;=ROW(I114)-2,ROW(I114)-2,"")</f>
        <v>#N/A</v>
      </c>
      <c r="J114" s="15" t="str">
        <f>IFERROR(VLOOKUP(I114,'Sample Select backend'!$K$4:$L$205,2,FALSE),"")</f>
        <v/>
      </c>
      <c r="K114" s="10"/>
      <c r="L114" s="10"/>
      <c r="M114" s="10"/>
      <c r="N114" s="10"/>
      <c r="O114" s="10"/>
      <c r="P114" s="10"/>
      <c r="Q114" s="10"/>
      <c r="R114" s="10"/>
      <c r="S114" s="10"/>
      <c r="T114" s="10"/>
      <c r="U114" s="10"/>
      <c r="V114" s="10"/>
    </row>
    <row r="115" spans="1:22" x14ac:dyDescent="0.35">
      <c r="A115" s="10"/>
      <c r="B115" s="10"/>
      <c r="C115" s="10"/>
      <c r="D115" s="10"/>
      <c r="E115" s="10"/>
      <c r="F115" s="10"/>
      <c r="G115" s="10"/>
      <c r="H115" s="10"/>
      <c r="I115" s="14" t="e">
        <f>IF(MAX('Sample Select backend'!$K$4:$K$205)&gt;=ROW(I115)-2,ROW(I115)-2,"")</f>
        <v>#N/A</v>
      </c>
      <c r="J115" s="15" t="str">
        <f>IFERROR(VLOOKUP(I115,'Sample Select backend'!$K$4:$L$205,2,FALSE),"")</f>
        <v/>
      </c>
      <c r="K115" s="10"/>
      <c r="L115" s="10"/>
      <c r="M115" s="10"/>
      <c r="N115" s="10"/>
      <c r="O115" s="10"/>
      <c r="P115" s="10"/>
      <c r="Q115" s="10"/>
      <c r="R115" s="10"/>
      <c r="S115" s="10"/>
      <c r="T115" s="10"/>
      <c r="U115" s="10"/>
      <c r="V115" s="10"/>
    </row>
    <row r="116" spans="1:22" x14ac:dyDescent="0.35">
      <c r="A116" s="10"/>
      <c r="B116" s="10"/>
      <c r="C116" s="10"/>
      <c r="D116" s="10"/>
      <c r="E116" s="10"/>
      <c r="F116" s="10"/>
      <c r="G116" s="10"/>
      <c r="H116" s="10"/>
      <c r="I116" s="14" t="e">
        <f>IF(MAX('Sample Select backend'!$K$4:$K$205)&gt;=ROW(I116)-2,ROW(I116)-2,"")</f>
        <v>#N/A</v>
      </c>
      <c r="J116" s="15" t="str">
        <f>IFERROR(VLOOKUP(I116,'Sample Select backend'!$K$4:$L$205,2,FALSE),"")</f>
        <v/>
      </c>
      <c r="K116" s="10"/>
      <c r="L116" s="10"/>
      <c r="M116" s="10"/>
      <c r="N116" s="10"/>
      <c r="O116" s="10"/>
      <c r="P116" s="10"/>
      <c r="Q116" s="10"/>
      <c r="R116" s="10"/>
      <c r="S116" s="10"/>
      <c r="T116" s="10"/>
      <c r="U116" s="10"/>
      <c r="V116" s="10"/>
    </row>
    <row r="117" spans="1:22" x14ac:dyDescent="0.35">
      <c r="A117" s="10"/>
      <c r="B117" s="10"/>
      <c r="C117" s="10"/>
      <c r="D117" s="10"/>
      <c r="E117" s="10"/>
      <c r="F117" s="10"/>
      <c r="G117" s="10"/>
      <c r="H117" s="10"/>
      <c r="I117" s="14" t="e">
        <f>IF(MAX('Sample Select backend'!$K$4:$K$205)&gt;=ROW(I117)-2,ROW(I117)-2,"")</f>
        <v>#N/A</v>
      </c>
      <c r="J117" s="15" t="str">
        <f>IFERROR(VLOOKUP(I117,'Sample Select backend'!$K$4:$L$205,2,FALSE),"")</f>
        <v/>
      </c>
      <c r="K117" s="10"/>
      <c r="L117" s="10"/>
      <c r="M117" s="10"/>
      <c r="N117" s="10"/>
      <c r="O117" s="10"/>
      <c r="P117" s="10"/>
      <c r="Q117" s="10"/>
      <c r="R117" s="10"/>
      <c r="S117" s="10"/>
      <c r="T117" s="10"/>
      <c r="U117" s="10"/>
      <c r="V117" s="10"/>
    </row>
    <row r="118" spans="1:22" x14ac:dyDescent="0.35">
      <c r="A118" s="10"/>
      <c r="B118" s="10"/>
      <c r="C118" s="10"/>
      <c r="D118" s="10"/>
      <c r="E118" s="10"/>
      <c r="F118" s="10"/>
      <c r="G118" s="10"/>
      <c r="H118" s="10"/>
      <c r="I118" s="14" t="e">
        <f>IF(MAX('Sample Select backend'!$K$4:$K$205)&gt;=ROW(I118)-2,ROW(I118)-2,"")</f>
        <v>#N/A</v>
      </c>
      <c r="J118" s="15" t="str">
        <f>IFERROR(VLOOKUP(I118,'Sample Select backend'!$K$4:$L$205,2,FALSE),"")</f>
        <v/>
      </c>
      <c r="K118" s="10"/>
      <c r="L118" s="10"/>
      <c r="M118" s="10"/>
      <c r="N118" s="10"/>
      <c r="O118" s="10"/>
      <c r="P118" s="10"/>
      <c r="Q118" s="10"/>
      <c r="R118" s="10"/>
      <c r="S118" s="10"/>
      <c r="T118" s="10"/>
      <c r="U118" s="10"/>
      <c r="V118" s="10"/>
    </row>
    <row r="119" spans="1:22" x14ac:dyDescent="0.35">
      <c r="A119" s="10"/>
      <c r="B119" s="10"/>
      <c r="C119" s="10"/>
      <c r="D119" s="10"/>
      <c r="E119" s="10"/>
      <c r="F119" s="10"/>
      <c r="G119" s="10"/>
      <c r="H119" s="10"/>
      <c r="I119" s="14" t="e">
        <f>IF(MAX('Sample Select backend'!$K$4:$K$205)&gt;=ROW(I119)-2,ROW(I119)-2,"")</f>
        <v>#N/A</v>
      </c>
      <c r="J119" s="15" t="str">
        <f>IFERROR(VLOOKUP(I119,'Sample Select backend'!$K$4:$L$205,2,FALSE),"")</f>
        <v/>
      </c>
      <c r="K119" s="10"/>
      <c r="L119" s="10"/>
      <c r="M119" s="10"/>
      <c r="N119" s="10"/>
      <c r="O119" s="10"/>
      <c r="P119" s="10"/>
      <c r="Q119" s="10"/>
      <c r="R119" s="10"/>
      <c r="S119" s="10"/>
      <c r="T119" s="10"/>
      <c r="U119" s="10"/>
      <c r="V119" s="10"/>
    </row>
    <row r="120" spans="1:22" x14ac:dyDescent="0.35">
      <c r="A120" s="10"/>
      <c r="B120" s="10"/>
      <c r="C120" s="10"/>
      <c r="D120" s="10"/>
      <c r="E120" s="10"/>
      <c r="F120" s="10"/>
      <c r="G120" s="10"/>
      <c r="H120" s="10"/>
      <c r="I120" s="14" t="e">
        <f>IF(MAX('Sample Select backend'!$K$4:$K$205)&gt;=ROW(I120)-2,ROW(I120)-2,"")</f>
        <v>#N/A</v>
      </c>
      <c r="J120" s="15" t="str">
        <f>IFERROR(VLOOKUP(I120,'Sample Select backend'!$K$4:$L$205,2,FALSE),"")</f>
        <v/>
      </c>
      <c r="K120" s="10"/>
      <c r="L120" s="10"/>
      <c r="M120" s="10"/>
      <c r="N120" s="10"/>
      <c r="O120" s="10"/>
      <c r="P120" s="10"/>
      <c r="Q120" s="10"/>
      <c r="R120" s="10"/>
      <c r="S120" s="10"/>
      <c r="T120" s="10"/>
      <c r="U120" s="10"/>
      <c r="V120" s="10"/>
    </row>
    <row r="121" spans="1:22" x14ac:dyDescent="0.35">
      <c r="A121" s="10"/>
      <c r="B121" s="10"/>
      <c r="C121" s="10"/>
      <c r="D121" s="10"/>
      <c r="E121" s="10"/>
      <c r="F121" s="10"/>
      <c r="G121" s="10"/>
      <c r="H121" s="10"/>
      <c r="I121" s="14" t="e">
        <f>IF(MAX('Sample Select backend'!$K$4:$K$205)&gt;=ROW(I121)-2,ROW(I121)-2,"")</f>
        <v>#N/A</v>
      </c>
      <c r="J121" s="15" t="str">
        <f>IFERROR(VLOOKUP(I121,'Sample Select backend'!$K$4:$L$205,2,FALSE),"")</f>
        <v/>
      </c>
      <c r="K121" s="10"/>
      <c r="L121" s="10"/>
      <c r="M121" s="10"/>
      <c r="N121" s="10"/>
      <c r="O121" s="10"/>
      <c r="P121" s="10"/>
      <c r="Q121" s="10"/>
      <c r="R121" s="10"/>
      <c r="S121" s="10"/>
      <c r="T121" s="10"/>
      <c r="U121" s="10"/>
      <c r="V121" s="10"/>
    </row>
    <row r="122" spans="1:22" x14ac:dyDescent="0.35">
      <c r="A122" s="10"/>
      <c r="B122" s="10"/>
      <c r="C122" s="10"/>
      <c r="D122" s="10"/>
      <c r="E122" s="10"/>
      <c r="F122" s="10"/>
      <c r="G122" s="10"/>
      <c r="H122" s="10"/>
      <c r="I122" s="14" t="e">
        <f>IF(MAX('Sample Select backend'!$K$4:$K$205)&gt;=ROW(I122)-2,ROW(I122)-2,"")</f>
        <v>#N/A</v>
      </c>
      <c r="J122" s="15" t="str">
        <f>IFERROR(VLOOKUP(I122,'Sample Select backend'!$K$4:$L$205,2,FALSE),"")</f>
        <v/>
      </c>
      <c r="K122" s="10"/>
      <c r="L122" s="10"/>
      <c r="M122" s="10"/>
      <c r="N122" s="10"/>
      <c r="O122" s="10"/>
      <c r="P122" s="10"/>
      <c r="Q122" s="10"/>
      <c r="R122" s="10"/>
      <c r="S122" s="10"/>
      <c r="T122" s="10"/>
      <c r="U122" s="10"/>
      <c r="V122" s="10"/>
    </row>
    <row r="123" spans="1:22" x14ac:dyDescent="0.35">
      <c r="A123" s="10"/>
      <c r="B123" s="10"/>
      <c r="C123" s="10"/>
      <c r="D123" s="10"/>
      <c r="E123" s="10"/>
      <c r="F123" s="10"/>
      <c r="G123" s="10"/>
      <c r="H123" s="10"/>
      <c r="I123" s="14" t="e">
        <f>IF(MAX('Sample Select backend'!$K$4:$K$205)&gt;=ROW(I123)-2,ROW(I123)-2,"")</f>
        <v>#N/A</v>
      </c>
      <c r="J123" s="15" t="str">
        <f>IFERROR(VLOOKUP(I123,'Sample Select backend'!$K$4:$L$205,2,FALSE),"")</f>
        <v/>
      </c>
      <c r="K123" s="10"/>
      <c r="L123" s="10"/>
      <c r="M123" s="10"/>
      <c r="N123" s="10"/>
      <c r="O123" s="10"/>
      <c r="P123" s="10"/>
      <c r="Q123" s="10"/>
      <c r="R123" s="10"/>
      <c r="S123" s="10"/>
      <c r="T123" s="10"/>
      <c r="U123" s="10"/>
      <c r="V123" s="10"/>
    </row>
    <row r="124" spans="1:22" x14ac:dyDescent="0.35">
      <c r="A124" s="10"/>
      <c r="B124" s="10"/>
      <c r="C124" s="10"/>
      <c r="D124" s="10"/>
      <c r="E124" s="10"/>
      <c r="F124" s="10"/>
      <c r="G124" s="10"/>
      <c r="H124" s="10"/>
      <c r="I124" s="14" t="e">
        <f>IF(MAX('Sample Select backend'!$K$4:$K$205)&gt;=ROW(I124)-2,ROW(I124)-2,"")</f>
        <v>#N/A</v>
      </c>
      <c r="J124" s="15" t="str">
        <f>IFERROR(VLOOKUP(I124,'Sample Select backend'!$K$4:$L$205,2,FALSE),"")</f>
        <v/>
      </c>
      <c r="K124" s="10"/>
      <c r="L124" s="10"/>
      <c r="M124" s="10"/>
      <c r="N124" s="10"/>
      <c r="O124" s="10"/>
      <c r="P124" s="10"/>
      <c r="Q124" s="10"/>
      <c r="R124" s="10"/>
      <c r="S124" s="10"/>
      <c r="T124" s="10"/>
      <c r="U124" s="10"/>
      <c r="V124" s="10"/>
    </row>
    <row r="125" spans="1:22" x14ac:dyDescent="0.35">
      <c r="A125" s="10"/>
      <c r="B125" s="10"/>
      <c r="C125" s="10"/>
      <c r="D125" s="10"/>
      <c r="E125" s="10"/>
      <c r="F125" s="10"/>
      <c r="G125" s="10"/>
      <c r="H125" s="10"/>
      <c r="I125" s="14" t="e">
        <f>IF(MAX('Sample Select backend'!$K$4:$K$205)&gt;=ROW(I125)-2,ROW(I125)-2,"")</f>
        <v>#N/A</v>
      </c>
      <c r="J125" s="15" t="str">
        <f>IFERROR(VLOOKUP(I125,'Sample Select backend'!$K$4:$L$205,2,FALSE),"")</f>
        <v/>
      </c>
      <c r="K125" s="10"/>
      <c r="L125" s="10"/>
      <c r="M125" s="10"/>
      <c r="N125" s="10"/>
      <c r="O125" s="10"/>
      <c r="P125" s="10"/>
      <c r="Q125" s="10"/>
      <c r="R125" s="10"/>
      <c r="S125" s="10"/>
      <c r="T125" s="10"/>
      <c r="U125" s="10"/>
      <c r="V125" s="10"/>
    </row>
    <row r="126" spans="1:22" x14ac:dyDescent="0.35">
      <c r="A126" s="10"/>
      <c r="B126" s="10"/>
      <c r="C126" s="10"/>
      <c r="D126" s="10"/>
      <c r="E126" s="10"/>
      <c r="F126" s="10"/>
      <c r="G126" s="10"/>
      <c r="H126" s="10"/>
      <c r="I126" s="14" t="e">
        <f>IF(MAX('Sample Select backend'!$K$4:$K$205)&gt;=ROW(I126)-2,ROW(I126)-2,"")</f>
        <v>#N/A</v>
      </c>
      <c r="J126" s="15" t="str">
        <f>IFERROR(VLOOKUP(I126,'Sample Select backend'!$K$4:$L$205,2,FALSE),"")</f>
        <v/>
      </c>
      <c r="K126" s="10"/>
      <c r="L126" s="10"/>
      <c r="M126" s="10"/>
      <c r="N126" s="10"/>
      <c r="O126" s="10"/>
      <c r="P126" s="10"/>
      <c r="Q126" s="10"/>
      <c r="R126" s="10"/>
      <c r="S126" s="10"/>
      <c r="T126" s="10"/>
      <c r="U126" s="10"/>
      <c r="V126" s="10"/>
    </row>
    <row r="127" spans="1:22" x14ac:dyDescent="0.35">
      <c r="A127" s="10"/>
      <c r="B127" s="10"/>
      <c r="C127" s="10"/>
      <c r="D127" s="10"/>
      <c r="E127" s="10"/>
      <c r="F127" s="10"/>
      <c r="G127" s="10"/>
      <c r="H127" s="10"/>
      <c r="I127" s="14" t="e">
        <f>IF(MAX('Sample Select backend'!$K$4:$K$205)&gt;=ROW(I127)-2,ROW(I127)-2,"")</f>
        <v>#N/A</v>
      </c>
      <c r="J127" s="15" t="str">
        <f>IFERROR(VLOOKUP(I127,'Sample Select backend'!$K$4:$L$205,2,FALSE),"")</f>
        <v/>
      </c>
      <c r="K127" s="10"/>
      <c r="L127" s="10"/>
      <c r="M127" s="10"/>
      <c r="N127" s="10"/>
      <c r="O127" s="10"/>
      <c r="P127" s="10"/>
      <c r="Q127" s="10"/>
      <c r="R127" s="10"/>
      <c r="S127" s="10"/>
      <c r="T127" s="10"/>
      <c r="U127" s="10"/>
      <c r="V127" s="10"/>
    </row>
    <row r="128" spans="1:22" x14ac:dyDescent="0.35">
      <c r="A128" s="10"/>
      <c r="B128" s="10"/>
      <c r="C128" s="10"/>
      <c r="D128" s="10"/>
      <c r="E128" s="10"/>
      <c r="F128" s="10"/>
      <c r="G128" s="10"/>
      <c r="H128" s="10"/>
      <c r="I128" s="14" t="e">
        <f>IF(MAX('Sample Select backend'!$K$4:$K$205)&gt;=ROW(I128)-2,ROW(I128)-2,"")</f>
        <v>#N/A</v>
      </c>
      <c r="J128" s="15" t="str">
        <f>IFERROR(VLOOKUP(I128,'Sample Select backend'!$K$4:$L$205,2,FALSE),"")</f>
        <v/>
      </c>
      <c r="K128" s="10"/>
      <c r="L128" s="10"/>
      <c r="M128" s="10"/>
      <c r="N128" s="10"/>
      <c r="O128" s="10"/>
      <c r="P128" s="10"/>
      <c r="Q128" s="10"/>
      <c r="R128" s="10"/>
      <c r="S128" s="10"/>
      <c r="T128" s="10"/>
      <c r="U128" s="10"/>
      <c r="V128" s="10"/>
    </row>
    <row r="129" spans="1:22" x14ac:dyDescent="0.35">
      <c r="A129" s="10"/>
      <c r="B129" s="10"/>
      <c r="C129" s="10"/>
      <c r="D129" s="10"/>
      <c r="E129" s="10"/>
      <c r="F129" s="10"/>
      <c r="G129" s="10"/>
      <c r="H129" s="10"/>
      <c r="I129" s="14" t="e">
        <f>IF(MAX('Sample Select backend'!$K$4:$K$205)&gt;=ROW(I129)-2,ROW(I129)-2,"")</f>
        <v>#N/A</v>
      </c>
      <c r="J129" s="15" t="str">
        <f>IFERROR(VLOOKUP(I129,'Sample Select backend'!$K$4:$L$205,2,FALSE),"")</f>
        <v/>
      </c>
      <c r="K129" s="10"/>
      <c r="L129" s="10"/>
      <c r="M129" s="10"/>
      <c r="N129" s="10"/>
      <c r="O129" s="10"/>
      <c r="P129" s="10"/>
      <c r="Q129" s="10"/>
      <c r="R129" s="10"/>
      <c r="S129" s="10"/>
      <c r="T129" s="10"/>
      <c r="U129" s="10"/>
      <c r="V129" s="10"/>
    </row>
    <row r="130" spans="1:22" x14ac:dyDescent="0.35">
      <c r="A130" s="10"/>
      <c r="B130" s="10"/>
      <c r="C130" s="10"/>
      <c r="D130" s="10"/>
      <c r="E130" s="10"/>
      <c r="F130" s="10"/>
      <c r="G130" s="10"/>
      <c r="H130" s="10"/>
      <c r="I130" s="14" t="e">
        <f>IF(MAX('Sample Select backend'!$K$4:$K$205)&gt;=ROW(I130)-2,ROW(I130)-2,"")</f>
        <v>#N/A</v>
      </c>
      <c r="J130" s="15" t="str">
        <f>IFERROR(VLOOKUP(I130,'Sample Select backend'!$K$4:$L$205,2,FALSE),"")</f>
        <v/>
      </c>
      <c r="K130" s="10"/>
      <c r="L130" s="10"/>
      <c r="M130" s="10"/>
      <c r="N130" s="10"/>
      <c r="O130" s="10"/>
      <c r="P130" s="10"/>
      <c r="Q130" s="10"/>
      <c r="R130" s="10"/>
      <c r="S130" s="10"/>
      <c r="T130" s="10"/>
      <c r="U130" s="10"/>
      <c r="V130" s="10"/>
    </row>
    <row r="131" spans="1:22" x14ac:dyDescent="0.35">
      <c r="A131" s="10"/>
      <c r="B131" s="10"/>
      <c r="C131" s="10"/>
      <c r="D131" s="10"/>
      <c r="E131" s="10"/>
      <c r="F131" s="10"/>
      <c r="G131" s="10"/>
      <c r="H131" s="10"/>
      <c r="I131" s="14" t="e">
        <f>IF(MAX('Sample Select backend'!$K$4:$K$205)&gt;=ROW(I131)-2,ROW(I131)-2,"")</f>
        <v>#N/A</v>
      </c>
      <c r="J131" s="15" t="str">
        <f>IFERROR(VLOOKUP(I131,'Sample Select backend'!$K$4:$L$205,2,FALSE),"")</f>
        <v/>
      </c>
      <c r="K131" s="10"/>
      <c r="L131" s="10"/>
      <c r="M131" s="10"/>
      <c r="N131" s="10"/>
      <c r="O131" s="10"/>
      <c r="P131" s="10"/>
      <c r="Q131" s="10"/>
      <c r="R131" s="10"/>
      <c r="S131" s="10"/>
      <c r="T131" s="10"/>
      <c r="U131" s="10"/>
      <c r="V131" s="10"/>
    </row>
    <row r="132" spans="1:22" x14ac:dyDescent="0.35">
      <c r="A132" s="10"/>
      <c r="B132" s="10"/>
      <c r="C132" s="10"/>
      <c r="D132" s="10"/>
      <c r="E132" s="10"/>
      <c r="F132" s="10"/>
      <c r="G132" s="10"/>
      <c r="H132" s="10"/>
      <c r="I132" s="14" t="e">
        <f>IF(MAX('Sample Select backend'!$K$4:$K$205)&gt;=ROW(I132)-2,ROW(I132)-2,"")</f>
        <v>#N/A</v>
      </c>
      <c r="J132" s="15" t="str">
        <f>IFERROR(VLOOKUP(I132,'Sample Select backend'!$K$4:$L$205,2,FALSE),"")</f>
        <v/>
      </c>
      <c r="K132" s="10"/>
      <c r="L132" s="10"/>
      <c r="M132" s="10"/>
      <c r="N132" s="10"/>
      <c r="O132" s="10"/>
      <c r="P132" s="10"/>
      <c r="Q132" s="10"/>
      <c r="R132" s="10"/>
      <c r="S132" s="10"/>
      <c r="T132" s="10"/>
      <c r="U132" s="10"/>
      <c r="V132" s="10"/>
    </row>
    <row r="133" spans="1:22" x14ac:dyDescent="0.35">
      <c r="A133" s="10"/>
      <c r="B133" s="10"/>
      <c r="C133" s="10"/>
      <c r="D133" s="10"/>
      <c r="E133" s="10"/>
      <c r="F133" s="10"/>
      <c r="G133" s="10"/>
      <c r="H133" s="10"/>
      <c r="I133" s="14" t="e">
        <f>IF(MAX('Sample Select backend'!$K$4:$K$205)&gt;=ROW(I133)-2,ROW(I133)-2,"")</f>
        <v>#N/A</v>
      </c>
      <c r="J133" s="15" t="str">
        <f>IFERROR(VLOOKUP(I133,'Sample Select backend'!$K$4:$L$205,2,FALSE),"")</f>
        <v/>
      </c>
      <c r="K133" s="10"/>
      <c r="L133" s="10"/>
      <c r="M133" s="10"/>
      <c r="N133" s="10"/>
      <c r="O133" s="10"/>
      <c r="P133" s="10"/>
      <c r="Q133" s="10"/>
      <c r="R133" s="10"/>
      <c r="S133" s="10"/>
      <c r="T133" s="10"/>
      <c r="U133" s="10"/>
      <c r="V133" s="10"/>
    </row>
    <row r="134" spans="1:22" x14ac:dyDescent="0.35">
      <c r="A134" s="10"/>
      <c r="B134" s="10"/>
      <c r="C134" s="10"/>
      <c r="D134" s="10"/>
      <c r="E134" s="10"/>
      <c r="F134" s="10"/>
      <c r="G134" s="10"/>
      <c r="H134" s="10"/>
      <c r="I134" s="14" t="e">
        <f>IF(MAX('Sample Select backend'!$K$4:$K$205)&gt;=ROW(I134)-2,ROW(I134)-2,"")</f>
        <v>#N/A</v>
      </c>
      <c r="J134" s="15" t="str">
        <f>IFERROR(VLOOKUP(I134,'Sample Select backend'!$K$4:$L$205,2,FALSE),"")</f>
        <v/>
      </c>
      <c r="K134" s="10"/>
      <c r="L134" s="10"/>
      <c r="M134" s="10"/>
      <c r="N134" s="10"/>
      <c r="O134" s="10"/>
      <c r="P134" s="10"/>
      <c r="Q134" s="10"/>
      <c r="R134" s="10"/>
      <c r="S134" s="10"/>
      <c r="T134" s="10"/>
      <c r="U134" s="10"/>
      <c r="V134" s="10"/>
    </row>
    <row r="135" spans="1:22" x14ac:dyDescent="0.35">
      <c r="A135" s="10"/>
      <c r="B135" s="10"/>
      <c r="C135" s="10"/>
      <c r="D135" s="10"/>
      <c r="E135" s="10"/>
      <c r="F135" s="10"/>
      <c r="G135" s="10"/>
      <c r="H135" s="10"/>
      <c r="I135" s="14" t="e">
        <f>IF(MAX('Sample Select backend'!$K$4:$K$205)&gt;=ROW(I135)-2,ROW(I135)-2,"")</f>
        <v>#N/A</v>
      </c>
      <c r="J135" s="15" t="str">
        <f>IFERROR(VLOOKUP(I135,'Sample Select backend'!$K$4:$L$205,2,FALSE),"")</f>
        <v/>
      </c>
      <c r="K135" s="10"/>
      <c r="L135" s="10"/>
      <c r="M135" s="10"/>
      <c r="N135" s="10"/>
      <c r="O135" s="10"/>
      <c r="P135" s="10"/>
      <c r="Q135" s="10"/>
      <c r="R135" s="10"/>
      <c r="S135" s="10"/>
      <c r="T135" s="10"/>
      <c r="U135" s="10"/>
      <c r="V135" s="10"/>
    </row>
    <row r="136" spans="1:22" x14ac:dyDescent="0.35">
      <c r="A136" s="10"/>
      <c r="B136" s="10"/>
      <c r="C136" s="10"/>
      <c r="D136" s="10"/>
      <c r="E136" s="10"/>
      <c r="F136" s="10"/>
      <c r="G136" s="10"/>
      <c r="H136" s="10"/>
      <c r="I136" s="14" t="e">
        <f>IF(MAX('Sample Select backend'!$K$4:$K$205)&gt;=ROW(I136)-2,ROW(I136)-2,"")</f>
        <v>#N/A</v>
      </c>
      <c r="J136" s="15" t="str">
        <f>IFERROR(VLOOKUP(I136,'Sample Select backend'!$K$4:$L$205,2,FALSE),"")</f>
        <v/>
      </c>
      <c r="K136" s="10"/>
      <c r="L136" s="10"/>
      <c r="M136" s="10"/>
      <c r="N136" s="10"/>
      <c r="O136" s="10"/>
      <c r="P136" s="10"/>
      <c r="Q136" s="10"/>
      <c r="R136" s="10"/>
      <c r="S136" s="10"/>
      <c r="T136" s="10"/>
      <c r="U136" s="10"/>
      <c r="V136" s="10"/>
    </row>
    <row r="137" spans="1:22" x14ac:dyDescent="0.35">
      <c r="A137" s="10"/>
      <c r="B137" s="10"/>
      <c r="C137" s="10"/>
      <c r="D137" s="10"/>
      <c r="E137" s="10"/>
      <c r="F137" s="10"/>
      <c r="G137" s="10"/>
      <c r="H137" s="10"/>
      <c r="I137" s="14" t="e">
        <f>IF(MAX('Sample Select backend'!$K$4:$K$205)&gt;=ROW(I137)-2,ROW(I137)-2,"")</f>
        <v>#N/A</v>
      </c>
      <c r="J137" s="15" t="str">
        <f>IFERROR(VLOOKUP(I137,'Sample Select backend'!$K$4:$L$205,2,FALSE),"")</f>
        <v/>
      </c>
      <c r="K137" s="10"/>
      <c r="L137" s="10"/>
      <c r="M137" s="10"/>
      <c r="N137" s="10"/>
      <c r="O137" s="10"/>
      <c r="P137" s="10"/>
      <c r="Q137" s="10"/>
      <c r="R137" s="10"/>
      <c r="S137" s="10"/>
      <c r="T137" s="10"/>
      <c r="U137" s="10"/>
      <c r="V137" s="10"/>
    </row>
    <row r="138" spans="1:22" x14ac:dyDescent="0.35">
      <c r="A138" s="10"/>
      <c r="B138" s="10"/>
      <c r="C138" s="10"/>
      <c r="D138" s="10"/>
      <c r="E138" s="10"/>
      <c r="F138" s="10"/>
      <c r="G138" s="10"/>
      <c r="H138" s="10"/>
      <c r="I138" s="14" t="e">
        <f>IF(MAX('Sample Select backend'!$K$4:$K$205)&gt;=ROW(I138)-2,ROW(I138)-2,"")</f>
        <v>#N/A</v>
      </c>
      <c r="J138" s="15" t="str">
        <f>IFERROR(VLOOKUP(I138,'Sample Select backend'!$K$4:$L$205,2,FALSE),"")</f>
        <v/>
      </c>
      <c r="K138" s="10"/>
      <c r="L138" s="10"/>
      <c r="M138" s="10"/>
      <c r="N138" s="10"/>
      <c r="O138" s="10"/>
      <c r="P138" s="10"/>
      <c r="Q138" s="10"/>
      <c r="R138" s="10"/>
      <c r="S138" s="10"/>
      <c r="T138" s="10"/>
      <c r="U138" s="10"/>
      <c r="V138" s="10"/>
    </row>
    <row r="139" spans="1:22" x14ac:dyDescent="0.35">
      <c r="A139" s="10"/>
      <c r="B139" s="10"/>
      <c r="C139" s="10"/>
      <c r="D139" s="10"/>
      <c r="E139" s="10"/>
      <c r="F139" s="10"/>
      <c r="G139" s="10"/>
      <c r="H139" s="10"/>
      <c r="I139" s="14" t="e">
        <f>IF(MAX('Sample Select backend'!$K$4:$K$205)&gt;=ROW(I139)-2,ROW(I139)-2,"")</f>
        <v>#N/A</v>
      </c>
      <c r="J139" s="15" t="str">
        <f>IFERROR(VLOOKUP(I139,'Sample Select backend'!$K$4:$L$205,2,FALSE),"")</f>
        <v/>
      </c>
      <c r="K139" s="10"/>
      <c r="L139" s="10"/>
      <c r="M139" s="10"/>
      <c r="N139" s="10"/>
      <c r="O139" s="10"/>
      <c r="P139" s="10"/>
      <c r="Q139" s="10"/>
      <c r="R139" s="10"/>
      <c r="S139" s="10"/>
      <c r="T139" s="10"/>
      <c r="U139" s="10"/>
      <c r="V139" s="10"/>
    </row>
    <row r="140" spans="1:22" x14ac:dyDescent="0.35">
      <c r="A140" s="10"/>
      <c r="B140" s="10"/>
      <c r="C140" s="10"/>
      <c r="D140" s="10"/>
      <c r="E140" s="10"/>
      <c r="F140" s="10"/>
      <c r="G140" s="10"/>
      <c r="H140" s="10"/>
      <c r="I140" s="14" t="e">
        <f>IF(MAX('Sample Select backend'!$K$4:$K$205)&gt;=ROW(I140)-2,ROW(I140)-2,"")</f>
        <v>#N/A</v>
      </c>
      <c r="J140" s="15" t="str">
        <f>IFERROR(VLOOKUP(I140,'Sample Select backend'!$K$4:$L$205,2,FALSE),"")</f>
        <v/>
      </c>
      <c r="K140" s="10"/>
      <c r="L140" s="10"/>
      <c r="M140" s="10"/>
      <c r="N140" s="10"/>
      <c r="O140" s="10"/>
      <c r="P140" s="10"/>
      <c r="Q140" s="10"/>
      <c r="R140" s="10"/>
      <c r="S140" s="10"/>
      <c r="T140" s="10"/>
      <c r="U140" s="10"/>
      <c r="V140" s="10"/>
    </row>
    <row r="141" spans="1:22" x14ac:dyDescent="0.35">
      <c r="A141" s="10"/>
      <c r="B141" s="10"/>
      <c r="C141" s="10"/>
      <c r="D141" s="10"/>
      <c r="E141" s="10"/>
      <c r="F141" s="10"/>
      <c r="G141" s="10"/>
      <c r="H141" s="10"/>
      <c r="I141" s="14" t="e">
        <f>IF(MAX('Sample Select backend'!$K$4:$K$205)&gt;=ROW(I141)-2,ROW(I141)-2,"")</f>
        <v>#N/A</v>
      </c>
      <c r="J141" s="15" t="str">
        <f>IFERROR(VLOOKUP(I141,'Sample Select backend'!$K$4:$L$205,2,FALSE),"")</f>
        <v/>
      </c>
      <c r="K141" s="10"/>
      <c r="L141" s="10"/>
      <c r="M141" s="10"/>
      <c r="N141" s="10"/>
      <c r="O141" s="10"/>
      <c r="P141" s="10"/>
      <c r="Q141" s="10"/>
      <c r="R141" s="10"/>
      <c r="S141" s="10"/>
      <c r="T141" s="10"/>
      <c r="U141" s="10"/>
      <c r="V141" s="10"/>
    </row>
    <row r="142" spans="1:22" x14ac:dyDescent="0.35">
      <c r="A142" s="10"/>
      <c r="B142" s="10"/>
      <c r="C142" s="10"/>
      <c r="D142" s="10"/>
      <c r="E142" s="10"/>
      <c r="F142" s="10"/>
      <c r="G142" s="10"/>
      <c r="H142" s="10"/>
      <c r="I142" s="14" t="e">
        <f>IF(MAX('Sample Select backend'!$K$4:$K$205)&gt;=ROW(I142)-2,ROW(I142)-2,"")</f>
        <v>#N/A</v>
      </c>
      <c r="J142" s="15" t="str">
        <f>IFERROR(VLOOKUP(I142,'Sample Select backend'!$K$4:$L$205,2,FALSE),"")</f>
        <v/>
      </c>
      <c r="K142" s="10"/>
      <c r="L142" s="10"/>
      <c r="M142" s="10"/>
      <c r="N142" s="10"/>
      <c r="O142" s="10"/>
      <c r="P142" s="10"/>
      <c r="Q142" s="10"/>
      <c r="R142" s="10"/>
      <c r="S142" s="10"/>
      <c r="T142" s="10"/>
      <c r="U142" s="10"/>
      <c r="V142" s="10"/>
    </row>
    <row r="143" spans="1:22" x14ac:dyDescent="0.35">
      <c r="A143" s="10"/>
      <c r="B143" s="10"/>
      <c r="C143" s="10"/>
      <c r="D143" s="10"/>
      <c r="E143" s="10"/>
      <c r="F143" s="10"/>
      <c r="G143" s="10"/>
      <c r="H143" s="10"/>
      <c r="I143" s="14" t="e">
        <f>IF(MAX('Sample Select backend'!$K$4:$K$205)&gt;=ROW(I143)-2,ROW(I143)-2,"")</f>
        <v>#N/A</v>
      </c>
      <c r="J143" s="15" t="str">
        <f>IFERROR(VLOOKUP(I143,'Sample Select backend'!$K$4:$L$205,2,FALSE),"")</f>
        <v/>
      </c>
      <c r="K143" s="10"/>
      <c r="L143" s="10"/>
      <c r="M143" s="10"/>
      <c r="N143" s="10"/>
      <c r="O143" s="10"/>
      <c r="P143" s="10"/>
      <c r="Q143" s="10"/>
      <c r="R143" s="10"/>
      <c r="S143" s="10"/>
      <c r="T143" s="10"/>
      <c r="U143" s="10"/>
      <c r="V143" s="10"/>
    </row>
    <row r="144" spans="1:22" x14ac:dyDescent="0.35">
      <c r="A144" s="10"/>
      <c r="B144" s="10"/>
      <c r="C144" s="10"/>
      <c r="D144" s="10"/>
      <c r="E144" s="10"/>
      <c r="F144" s="10"/>
      <c r="G144" s="10"/>
      <c r="H144" s="10"/>
      <c r="I144" s="14" t="e">
        <f>IF(MAX('Sample Select backend'!$K$4:$K$205)&gt;=ROW(I144)-2,ROW(I144)-2,"")</f>
        <v>#N/A</v>
      </c>
      <c r="J144" s="15" t="str">
        <f>IFERROR(VLOOKUP(I144,'Sample Select backend'!$K$4:$L$205,2,FALSE),"")</f>
        <v/>
      </c>
      <c r="K144" s="10"/>
      <c r="L144" s="10"/>
      <c r="M144" s="10"/>
      <c r="N144" s="10"/>
      <c r="O144" s="10"/>
      <c r="P144" s="10"/>
      <c r="Q144" s="10"/>
      <c r="R144" s="10"/>
      <c r="S144" s="10"/>
      <c r="T144" s="10"/>
      <c r="U144" s="10"/>
      <c r="V144" s="10"/>
    </row>
    <row r="145" spans="1:22" x14ac:dyDescent="0.35">
      <c r="A145" s="10"/>
      <c r="B145" s="10"/>
      <c r="C145" s="10"/>
      <c r="D145" s="10"/>
      <c r="E145" s="10"/>
      <c r="F145" s="10"/>
      <c r="G145" s="10"/>
      <c r="H145" s="10"/>
      <c r="I145" s="14" t="e">
        <f>IF(MAX('Sample Select backend'!$K$4:$K$205)&gt;=ROW(I145)-2,ROW(I145)-2,"")</f>
        <v>#N/A</v>
      </c>
      <c r="J145" s="15" t="str">
        <f>IFERROR(VLOOKUP(I145,'Sample Select backend'!$K$4:$L$205,2,FALSE),"")</f>
        <v/>
      </c>
      <c r="K145" s="10"/>
      <c r="L145" s="10"/>
      <c r="M145" s="10"/>
      <c r="N145" s="10"/>
      <c r="O145" s="10"/>
      <c r="P145" s="10"/>
      <c r="Q145" s="10"/>
      <c r="R145" s="10"/>
      <c r="S145" s="10"/>
      <c r="T145" s="10"/>
      <c r="U145" s="10"/>
      <c r="V145" s="10"/>
    </row>
    <row r="146" spans="1:22" x14ac:dyDescent="0.35">
      <c r="A146" s="10"/>
      <c r="B146" s="10"/>
      <c r="C146" s="10"/>
      <c r="D146" s="10"/>
      <c r="E146" s="10"/>
      <c r="F146" s="10"/>
      <c r="G146" s="10"/>
      <c r="H146" s="10"/>
      <c r="I146" s="14" t="e">
        <f>IF(MAX('Sample Select backend'!$K$4:$K$205)&gt;=ROW(I146)-2,ROW(I146)-2,"")</f>
        <v>#N/A</v>
      </c>
      <c r="J146" s="15" t="str">
        <f>IFERROR(VLOOKUP(I146,'Sample Select backend'!$K$4:$L$205,2,FALSE),"")</f>
        <v/>
      </c>
      <c r="K146" s="10"/>
      <c r="L146" s="10"/>
      <c r="M146" s="10"/>
      <c r="N146" s="10"/>
      <c r="O146" s="10"/>
      <c r="P146" s="10"/>
      <c r="Q146" s="10"/>
      <c r="R146" s="10"/>
      <c r="S146" s="10"/>
      <c r="T146" s="10"/>
      <c r="U146" s="10"/>
      <c r="V146" s="10"/>
    </row>
    <row r="147" spans="1:22" x14ac:dyDescent="0.35">
      <c r="A147" s="10"/>
      <c r="B147" s="10"/>
      <c r="C147" s="10"/>
      <c r="D147" s="10"/>
      <c r="E147" s="10"/>
      <c r="F147" s="10"/>
      <c r="G147" s="10"/>
      <c r="H147" s="10"/>
      <c r="I147" s="14" t="e">
        <f>IF(MAX('Sample Select backend'!$K$4:$K$205)&gt;=ROW(I147)-2,ROW(I147)-2,"")</f>
        <v>#N/A</v>
      </c>
      <c r="J147" s="15" t="str">
        <f>IFERROR(VLOOKUP(I147,'Sample Select backend'!$K$4:$L$205,2,FALSE),"")</f>
        <v/>
      </c>
      <c r="K147" s="10"/>
      <c r="L147" s="10"/>
      <c r="M147" s="10"/>
      <c r="N147" s="10"/>
      <c r="O147" s="10"/>
      <c r="P147" s="10"/>
      <c r="Q147" s="10"/>
      <c r="R147" s="10"/>
      <c r="S147" s="10"/>
      <c r="T147" s="10"/>
      <c r="U147" s="10"/>
      <c r="V147" s="10"/>
    </row>
    <row r="148" spans="1:22" x14ac:dyDescent="0.35">
      <c r="A148" s="10"/>
      <c r="B148" s="10"/>
      <c r="C148" s="10"/>
      <c r="D148" s="10"/>
      <c r="E148" s="10"/>
      <c r="F148" s="10"/>
      <c r="G148" s="10"/>
      <c r="H148" s="10"/>
      <c r="I148" s="14" t="e">
        <f>IF(MAX('Sample Select backend'!$K$4:$K$205)&gt;=ROW(I148)-2,ROW(I148)-2,"")</f>
        <v>#N/A</v>
      </c>
      <c r="J148" s="15" t="str">
        <f>IFERROR(VLOOKUP(I148,'Sample Select backend'!$K$4:$L$205,2,FALSE),"")</f>
        <v/>
      </c>
      <c r="K148" s="10"/>
      <c r="L148" s="10"/>
      <c r="M148" s="10"/>
      <c r="N148" s="10"/>
      <c r="O148" s="10"/>
      <c r="P148" s="10"/>
      <c r="Q148" s="10"/>
      <c r="R148" s="10"/>
      <c r="S148" s="10"/>
      <c r="T148" s="10"/>
      <c r="U148" s="10"/>
      <c r="V148" s="10"/>
    </row>
    <row r="149" spans="1:22" x14ac:dyDescent="0.35">
      <c r="A149" s="10"/>
      <c r="B149" s="10"/>
      <c r="C149" s="10"/>
      <c r="D149" s="10"/>
      <c r="E149" s="10"/>
      <c r="F149" s="10"/>
      <c r="G149" s="10"/>
      <c r="H149" s="10"/>
      <c r="I149" s="14" t="e">
        <f>IF(MAX('Sample Select backend'!$K$4:$K$205)&gt;=ROW(I149)-2,ROW(I149)-2,"")</f>
        <v>#N/A</v>
      </c>
      <c r="J149" s="15" t="str">
        <f>IFERROR(VLOOKUP(I149,'Sample Select backend'!$K$4:$L$205,2,FALSE),"")</f>
        <v/>
      </c>
      <c r="K149" s="10"/>
      <c r="L149" s="10"/>
      <c r="M149" s="10"/>
      <c r="N149" s="10"/>
      <c r="O149" s="10"/>
      <c r="P149" s="10"/>
      <c r="Q149" s="10"/>
      <c r="R149" s="10"/>
      <c r="S149" s="10"/>
      <c r="T149" s="10"/>
      <c r="U149" s="10"/>
      <c r="V149" s="10"/>
    </row>
    <row r="150" spans="1:22" x14ac:dyDescent="0.35">
      <c r="A150" s="10"/>
      <c r="B150" s="10"/>
      <c r="C150" s="10"/>
      <c r="D150" s="10"/>
      <c r="E150" s="10"/>
      <c r="F150" s="10"/>
      <c r="G150" s="10"/>
      <c r="H150" s="10"/>
      <c r="I150" s="14" t="e">
        <f>IF(MAX('Sample Select backend'!$K$4:$K$205)&gt;=ROW(I150)-2,ROW(I150)-2,"")</f>
        <v>#N/A</v>
      </c>
      <c r="J150" s="15" t="str">
        <f>IFERROR(VLOOKUP(I150,'Sample Select backend'!$K$4:$L$205,2,FALSE),"")</f>
        <v/>
      </c>
      <c r="K150" s="10"/>
      <c r="L150" s="10"/>
      <c r="M150" s="10"/>
      <c r="N150" s="10"/>
      <c r="O150" s="10"/>
      <c r="P150" s="10"/>
      <c r="Q150" s="10"/>
      <c r="R150" s="10"/>
      <c r="S150" s="10"/>
      <c r="T150" s="10"/>
      <c r="U150" s="10"/>
      <c r="V150" s="10"/>
    </row>
    <row r="151" spans="1:22" x14ac:dyDescent="0.35">
      <c r="A151" s="10"/>
      <c r="B151" s="10"/>
      <c r="C151" s="10"/>
      <c r="D151" s="10"/>
      <c r="E151" s="10"/>
      <c r="F151" s="10"/>
      <c r="G151" s="10"/>
      <c r="H151" s="10"/>
      <c r="I151" s="14" t="e">
        <f>IF(MAX('Sample Select backend'!$K$4:$K$205)&gt;=ROW(I151)-2,ROW(I151)-2,"")</f>
        <v>#N/A</v>
      </c>
      <c r="J151" s="15" t="str">
        <f>IFERROR(VLOOKUP(I151,'Sample Select backend'!$K$4:$L$205,2,FALSE),"")</f>
        <v/>
      </c>
      <c r="K151" s="10"/>
      <c r="L151" s="10"/>
      <c r="M151" s="10"/>
      <c r="N151" s="10"/>
      <c r="O151" s="10"/>
      <c r="P151" s="10"/>
      <c r="Q151" s="10"/>
      <c r="R151" s="10"/>
      <c r="S151" s="10"/>
      <c r="T151" s="10"/>
      <c r="U151" s="10"/>
      <c r="V151" s="10"/>
    </row>
    <row r="152" spans="1:22" x14ac:dyDescent="0.35">
      <c r="A152" s="10"/>
      <c r="B152" s="10"/>
      <c r="C152" s="10"/>
      <c r="D152" s="10"/>
      <c r="E152" s="10"/>
      <c r="F152" s="10"/>
      <c r="G152" s="10"/>
      <c r="H152" s="10"/>
      <c r="I152" s="14" t="e">
        <f>IF(MAX('Sample Select backend'!$K$4:$K$205)&gt;=ROW(I152)-2,ROW(I152)-2,"")</f>
        <v>#N/A</v>
      </c>
      <c r="J152" s="15" t="str">
        <f>IFERROR(VLOOKUP(I152,'Sample Select backend'!$K$4:$L$205,2,FALSE),"")</f>
        <v/>
      </c>
      <c r="K152" s="10"/>
      <c r="L152" s="10"/>
      <c r="M152" s="10"/>
      <c r="N152" s="10"/>
      <c r="O152" s="10"/>
      <c r="P152" s="10"/>
      <c r="Q152" s="10"/>
      <c r="R152" s="10"/>
      <c r="S152" s="10"/>
      <c r="T152" s="10"/>
      <c r="U152" s="10"/>
      <c r="V152" s="10"/>
    </row>
    <row r="153" spans="1:22" x14ac:dyDescent="0.35">
      <c r="A153" s="10"/>
      <c r="B153" s="10"/>
      <c r="C153" s="10"/>
      <c r="D153" s="10"/>
      <c r="E153" s="10"/>
      <c r="F153" s="10"/>
      <c r="G153" s="10"/>
      <c r="H153" s="10"/>
      <c r="I153" s="14" t="e">
        <f>IF(MAX('Sample Select backend'!$K$4:$K$205)&gt;=ROW(I153)-2,ROW(I153)-2,"")</f>
        <v>#N/A</v>
      </c>
      <c r="J153" s="15" t="str">
        <f>IFERROR(VLOOKUP(I153,'Sample Select backend'!$K$4:$L$205,2,FALSE),"")</f>
        <v/>
      </c>
      <c r="K153" s="10"/>
      <c r="L153" s="10"/>
      <c r="M153" s="10"/>
      <c r="N153" s="10"/>
      <c r="O153" s="10"/>
      <c r="P153" s="10"/>
      <c r="Q153" s="10"/>
      <c r="R153" s="10"/>
      <c r="S153" s="10"/>
      <c r="T153" s="10"/>
      <c r="U153" s="10"/>
      <c r="V153" s="10"/>
    </row>
    <row r="154" spans="1:22" x14ac:dyDescent="0.35">
      <c r="A154" s="10"/>
      <c r="B154" s="10"/>
      <c r="C154" s="10"/>
      <c r="D154" s="10"/>
      <c r="E154" s="10"/>
      <c r="F154" s="10"/>
      <c r="G154" s="10"/>
      <c r="H154" s="10"/>
      <c r="I154" s="14" t="e">
        <f>IF(MAX('Sample Select backend'!$K$4:$K$205)&gt;=ROW(I154)-2,ROW(I154)-2,"")</f>
        <v>#N/A</v>
      </c>
      <c r="J154" s="15" t="str">
        <f>IFERROR(VLOOKUP(I154,'Sample Select backend'!$K$4:$L$205,2,FALSE),"")</f>
        <v/>
      </c>
      <c r="K154" s="10"/>
      <c r="L154" s="10"/>
      <c r="M154" s="10"/>
      <c r="N154" s="10"/>
      <c r="O154" s="10"/>
      <c r="P154" s="10"/>
      <c r="Q154" s="10"/>
      <c r="R154" s="10"/>
      <c r="S154" s="10"/>
      <c r="T154" s="10"/>
      <c r="U154" s="10"/>
      <c r="V154" s="10"/>
    </row>
    <row r="155" spans="1:22" x14ac:dyDescent="0.35">
      <c r="A155" s="10"/>
      <c r="B155" s="10"/>
      <c r="C155" s="10"/>
      <c r="D155" s="10"/>
      <c r="E155" s="10"/>
      <c r="F155" s="10"/>
      <c r="G155" s="10"/>
      <c r="H155" s="10"/>
      <c r="I155" s="14" t="e">
        <f>IF(MAX('Sample Select backend'!$K$4:$K$205)&gt;=ROW(I155)-2,ROW(I155)-2,"")</f>
        <v>#N/A</v>
      </c>
      <c r="J155" s="15" t="str">
        <f>IFERROR(VLOOKUP(I155,'Sample Select backend'!$K$4:$L$205,2,FALSE),"")</f>
        <v/>
      </c>
      <c r="K155" s="10"/>
      <c r="L155" s="10"/>
      <c r="M155" s="10"/>
      <c r="N155" s="10"/>
      <c r="O155" s="10"/>
      <c r="P155" s="10"/>
      <c r="Q155" s="10"/>
      <c r="R155" s="10"/>
      <c r="S155" s="10"/>
      <c r="T155" s="10"/>
      <c r="U155" s="10"/>
      <c r="V155" s="10"/>
    </row>
    <row r="156" spans="1:22" x14ac:dyDescent="0.35">
      <c r="A156" s="10"/>
      <c r="B156" s="10"/>
      <c r="C156" s="10"/>
      <c r="D156" s="10"/>
      <c r="E156" s="10"/>
      <c r="F156" s="10"/>
      <c r="G156" s="10"/>
      <c r="H156" s="10"/>
      <c r="I156" s="14" t="e">
        <f>IF(MAX('Sample Select backend'!$K$4:$K$205)&gt;=ROW(I156)-2,ROW(I156)-2,"")</f>
        <v>#N/A</v>
      </c>
      <c r="J156" s="15" t="str">
        <f>IFERROR(VLOOKUP(I156,'Sample Select backend'!$K$4:$L$205,2,FALSE),"")</f>
        <v/>
      </c>
      <c r="K156" s="10"/>
      <c r="L156" s="10"/>
      <c r="M156" s="10"/>
      <c r="N156" s="10"/>
      <c r="O156" s="10"/>
      <c r="P156" s="10"/>
      <c r="Q156" s="10"/>
      <c r="R156" s="10"/>
      <c r="S156" s="10"/>
      <c r="T156" s="10"/>
      <c r="U156" s="10"/>
      <c r="V156" s="10"/>
    </row>
    <row r="157" spans="1:22" x14ac:dyDescent="0.35">
      <c r="A157" s="10"/>
      <c r="B157" s="10"/>
      <c r="C157" s="10"/>
      <c r="D157" s="10"/>
      <c r="E157" s="10"/>
      <c r="F157" s="10"/>
      <c r="G157" s="10"/>
      <c r="H157" s="10"/>
      <c r="I157" s="14" t="e">
        <f>IF(MAX('Sample Select backend'!$K$4:$K$205)&gt;=ROW(I157)-2,ROW(I157)-2,"")</f>
        <v>#N/A</v>
      </c>
      <c r="J157" s="15" t="str">
        <f>IFERROR(VLOOKUP(I157,'Sample Select backend'!$K$4:$L$205,2,FALSE),"")</f>
        <v/>
      </c>
      <c r="K157" s="10"/>
      <c r="L157" s="10"/>
      <c r="M157" s="10"/>
      <c r="N157" s="10"/>
      <c r="O157" s="10"/>
      <c r="P157" s="10"/>
      <c r="Q157" s="10"/>
      <c r="R157" s="10"/>
      <c r="S157" s="10"/>
      <c r="T157" s="10"/>
      <c r="U157" s="10"/>
      <c r="V157" s="10"/>
    </row>
    <row r="158" spans="1:22" x14ac:dyDescent="0.35">
      <c r="A158" s="10"/>
      <c r="B158" s="10"/>
      <c r="C158" s="10"/>
      <c r="D158" s="10"/>
      <c r="E158" s="10"/>
      <c r="F158" s="10"/>
      <c r="G158" s="10"/>
      <c r="H158" s="10"/>
      <c r="I158" s="14" t="e">
        <f>IF(MAX('Sample Select backend'!$K$4:$K$205)&gt;=ROW(I158)-2,ROW(I158)-2,"")</f>
        <v>#N/A</v>
      </c>
      <c r="J158" s="15" t="str">
        <f>IFERROR(VLOOKUP(I158,'Sample Select backend'!$K$4:$L$205,2,FALSE),"")</f>
        <v/>
      </c>
      <c r="K158" s="10"/>
      <c r="L158" s="10"/>
      <c r="M158" s="10"/>
      <c r="N158" s="10"/>
      <c r="O158" s="10"/>
      <c r="P158" s="10"/>
      <c r="Q158" s="10"/>
      <c r="R158" s="10"/>
      <c r="S158" s="10"/>
      <c r="T158" s="10"/>
      <c r="U158" s="10"/>
      <c r="V158" s="10"/>
    </row>
    <row r="159" spans="1:22" x14ac:dyDescent="0.35">
      <c r="A159" s="10"/>
      <c r="B159" s="10"/>
      <c r="C159" s="10"/>
      <c r="D159" s="10"/>
      <c r="E159" s="10"/>
      <c r="F159" s="10"/>
      <c r="G159" s="10"/>
      <c r="H159" s="10"/>
      <c r="I159" s="14" t="e">
        <f>IF(MAX('Sample Select backend'!$K$4:$K$205)&gt;=ROW(I159)-2,ROW(I159)-2,"")</f>
        <v>#N/A</v>
      </c>
      <c r="J159" s="15" t="str">
        <f>IFERROR(VLOOKUP(I159,'Sample Select backend'!$K$4:$L$205,2,FALSE),"")</f>
        <v/>
      </c>
      <c r="K159" s="10"/>
      <c r="L159" s="10"/>
      <c r="M159" s="10"/>
      <c r="N159" s="10"/>
      <c r="O159" s="10"/>
      <c r="P159" s="10"/>
      <c r="Q159" s="10"/>
      <c r="R159" s="10"/>
      <c r="S159" s="10"/>
      <c r="T159" s="10"/>
      <c r="U159" s="10"/>
      <c r="V159" s="10"/>
    </row>
    <row r="160" spans="1:22" x14ac:dyDescent="0.35">
      <c r="A160" s="10"/>
      <c r="B160" s="10"/>
      <c r="C160" s="10"/>
      <c r="D160" s="10"/>
      <c r="E160" s="10"/>
      <c r="F160" s="10"/>
      <c r="G160" s="10"/>
      <c r="H160" s="10"/>
      <c r="I160" s="14" t="e">
        <f>IF(MAX('Sample Select backend'!$K$4:$K$205)&gt;=ROW(I160)-2,ROW(I160)-2,"")</f>
        <v>#N/A</v>
      </c>
      <c r="J160" s="15" t="str">
        <f>IFERROR(VLOOKUP(I160,'Sample Select backend'!$K$4:$L$205,2,FALSE),"")</f>
        <v/>
      </c>
      <c r="K160" s="10"/>
      <c r="L160" s="10"/>
      <c r="M160" s="10"/>
      <c r="N160" s="10"/>
      <c r="O160" s="10"/>
      <c r="P160" s="10"/>
      <c r="Q160" s="10"/>
      <c r="R160" s="10"/>
      <c r="S160" s="10"/>
      <c r="T160" s="10"/>
      <c r="U160" s="10"/>
      <c r="V160" s="10"/>
    </row>
    <row r="161" spans="1:22" x14ac:dyDescent="0.35">
      <c r="A161" s="10"/>
      <c r="B161" s="10"/>
      <c r="C161" s="10"/>
      <c r="D161" s="10"/>
      <c r="E161" s="10"/>
      <c r="F161" s="10"/>
      <c r="G161" s="10"/>
      <c r="H161" s="10"/>
      <c r="I161" s="14" t="e">
        <f>IF(MAX('Sample Select backend'!$K$4:$K$205)&gt;=ROW(I161)-2,ROW(I161)-2,"")</f>
        <v>#N/A</v>
      </c>
      <c r="J161" s="15" t="str">
        <f>IFERROR(VLOOKUP(I161,'Sample Select backend'!$K$4:$L$205,2,FALSE),"")</f>
        <v/>
      </c>
      <c r="K161" s="10"/>
      <c r="L161" s="10"/>
      <c r="M161" s="10"/>
      <c r="N161" s="10"/>
      <c r="O161" s="10"/>
      <c r="P161" s="10"/>
      <c r="Q161" s="10"/>
      <c r="R161" s="10"/>
      <c r="S161" s="10"/>
      <c r="T161" s="10"/>
      <c r="U161" s="10"/>
      <c r="V161" s="10"/>
    </row>
    <row r="162" spans="1:22" x14ac:dyDescent="0.35">
      <c r="A162" s="10"/>
      <c r="B162" s="10"/>
      <c r="C162" s="10"/>
      <c r="D162" s="10"/>
      <c r="E162" s="10"/>
      <c r="F162" s="10"/>
      <c r="G162" s="10"/>
      <c r="H162" s="10"/>
      <c r="I162" s="14" t="e">
        <f>IF(MAX('Sample Select backend'!$K$4:$K$205)&gt;=ROW(I162)-2,ROW(I162)-2,"")</f>
        <v>#N/A</v>
      </c>
      <c r="J162" s="15" t="str">
        <f>IFERROR(VLOOKUP(I162,'Sample Select backend'!$K$4:$L$205,2,FALSE),"")</f>
        <v/>
      </c>
      <c r="K162" s="10"/>
      <c r="L162" s="10"/>
      <c r="M162" s="10"/>
      <c r="N162" s="10"/>
      <c r="O162" s="10"/>
      <c r="P162" s="10"/>
      <c r="Q162" s="10"/>
      <c r="R162" s="10"/>
      <c r="S162" s="10"/>
      <c r="T162" s="10"/>
      <c r="U162" s="10"/>
      <c r="V162" s="10"/>
    </row>
    <row r="163" spans="1:22" x14ac:dyDescent="0.35">
      <c r="A163" s="10"/>
      <c r="B163" s="10"/>
      <c r="C163" s="10"/>
      <c r="D163" s="10"/>
      <c r="E163" s="10"/>
      <c r="F163" s="10"/>
      <c r="G163" s="10"/>
      <c r="H163" s="10"/>
      <c r="I163" s="14" t="e">
        <f>IF(MAX('Sample Select backend'!$K$4:$K$205)&gt;=ROW(I163)-2,ROW(I163)-2,"")</f>
        <v>#N/A</v>
      </c>
      <c r="J163" s="15" t="str">
        <f>IFERROR(VLOOKUP(I163,'Sample Select backend'!$K$4:$L$205,2,FALSE),"")</f>
        <v/>
      </c>
      <c r="K163" s="10"/>
      <c r="L163" s="10"/>
      <c r="M163" s="10"/>
      <c r="N163" s="10"/>
      <c r="O163" s="10"/>
      <c r="P163" s="10"/>
      <c r="Q163" s="10"/>
      <c r="R163" s="10"/>
      <c r="S163" s="10"/>
      <c r="T163" s="10"/>
      <c r="U163" s="10"/>
      <c r="V163" s="10"/>
    </row>
    <row r="164" spans="1:22" x14ac:dyDescent="0.35">
      <c r="A164" s="10"/>
      <c r="B164" s="10"/>
      <c r="C164" s="10"/>
      <c r="D164" s="10"/>
      <c r="E164" s="10"/>
      <c r="F164" s="10"/>
      <c r="G164" s="10"/>
      <c r="H164" s="10"/>
      <c r="I164" s="14" t="e">
        <f>IF(MAX('Sample Select backend'!$K$4:$K$205)&gt;=ROW(I164)-2,ROW(I164)-2,"")</f>
        <v>#N/A</v>
      </c>
      <c r="J164" s="15" t="str">
        <f>IFERROR(VLOOKUP(I164,'Sample Select backend'!$K$4:$L$205,2,FALSE),"")</f>
        <v/>
      </c>
      <c r="K164" s="10"/>
      <c r="L164" s="10"/>
      <c r="M164" s="10"/>
      <c r="N164" s="10"/>
      <c r="O164" s="10"/>
      <c r="P164" s="10"/>
      <c r="Q164" s="10"/>
      <c r="R164" s="10"/>
      <c r="S164" s="10"/>
      <c r="T164" s="10"/>
      <c r="U164" s="10"/>
      <c r="V164" s="10"/>
    </row>
    <row r="165" spans="1:22" x14ac:dyDescent="0.35">
      <c r="A165" s="10"/>
      <c r="B165" s="10"/>
      <c r="C165" s="10"/>
      <c r="D165" s="10"/>
      <c r="E165" s="10"/>
      <c r="F165" s="10"/>
      <c r="G165" s="10"/>
      <c r="H165" s="10"/>
      <c r="I165" s="14" t="e">
        <f>IF(MAX('Sample Select backend'!$K$4:$K$205)&gt;=ROW(I165)-2,ROW(I165)-2,"")</f>
        <v>#N/A</v>
      </c>
      <c r="J165" s="15" t="str">
        <f>IFERROR(VLOOKUP(I165,'Sample Select backend'!$K$4:$L$205,2,FALSE),"")</f>
        <v/>
      </c>
      <c r="K165" s="10"/>
      <c r="L165" s="10"/>
      <c r="M165" s="10"/>
      <c r="N165" s="10"/>
      <c r="O165" s="10"/>
      <c r="P165" s="10"/>
      <c r="Q165" s="10"/>
      <c r="R165" s="10"/>
      <c r="S165" s="10"/>
      <c r="T165" s="10"/>
      <c r="U165" s="10"/>
      <c r="V165" s="10"/>
    </row>
    <row r="166" spans="1:22" x14ac:dyDescent="0.35">
      <c r="A166" s="10"/>
      <c r="B166" s="10"/>
      <c r="C166" s="10"/>
      <c r="D166" s="10"/>
      <c r="E166" s="10"/>
      <c r="F166" s="10"/>
      <c r="G166" s="10"/>
      <c r="H166" s="10"/>
      <c r="I166" s="14" t="e">
        <f>IF(MAX('Sample Select backend'!$K$4:$K$205)&gt;=ROW(I166)-2,ROW(I166)-2,"")</f>
        <v>#N/A</v>
      </c>
      <c r="J166" s="15" t="str">
        <f>IFERROR(VLOOKUP(I166,'Sample Select backend'!$K$4:$L$205,2,FALSE),"")</f>
        <v/>
      </c>
      <c r="K166" s="10"/>
      <c r="L166" s="10"/>
      <c r="M166" s="10"/>
      <c r="N166" s="10"/>
      <c r="O166" s="10"/>
      <c r="P166" s="10"/>
      <c r="Q166" s="10"/>
      <c r="R166" s="10"/>
      <c r="S166" s="10"/>
      <c r="T166" s="10"/>
      <c r="U166" s="10"/>
      <c r="V166" s="10"/>
    </row>
    <row r="167" spans="1:22" x14ac:dyDescent="0.35">
      <c r="A167" s="10"/>
      <c r="B167" s="10"/>
      <c r="C167" s="10"/>
      <c r="D167" s="10"/>
      <c r="E167" s="10"/>
      <c r="F167" s="10"/>
      <c r="G167" s="10"/>
      <c r="H167" s="10"/>
      <c r="I167" s="14" t="e">
        <f>IF(MAX('Sample Select backend'!$K$4:$K$205)&gt;=ROW(I167)-2,ROW(I167)-2,"")</f>
        <v>#N/A</v>
      </c>
      <c r="J167" s="15" t="str">
        <f>IFERROR(VLOOKUP(I167,'Sample Select backend'!$K$4:$L$205,2,FALSE),"")</f>
        <v/>
      </c>
      <c r="K167" s="10"/>
      <c r="L167" s="10"/>
      <c r="M167" s="10"/>
      <c r="N167" s="10"/>
      <c r="O167" s="10"/>
      <c r="P167" s="10"/>
      <c r="Q167" s="10"/>
      <c r="R167" s="10"/>
      <c r="S167" s="10"/>
      <c r="T167" s="10"/>
      <c r="U167" s="10"/>
      <c r="V167" s="10"/>
    </row>
    <row r="168" spans="1:22" x14ac:dyDescent="0.35">
      <c r="A168" s="10"/>
      <c r="B168" s="10"/>
      <c r="C168" s="10"/>
      <c r="D168" s="10"/>
      <c r="E168" s="10"/>
      <c r="F168" s="10"/>
      <c r="G168" s="10"/>
      <c r="H168" s="10"/>
      <c r="I168" s="14" t="e">
        <f>IF(MAX('Sample Select backend'!$K$4:$K$205)&gt;=ROW(I168)-2,ROW(I168)-2,"")</f>
        <v>#N/A</v>
      </c>
      <c r="J168" s="15" t="str">
        <f>IFERROR(VLOOKUP(I168,'Sample Select backend'!$K$4:$L$205,2,FALSE),"")</f>
        <v/>
      </c>
      <c r="K168" s="10"/>
      <c r="L168" s="10"/>
      <c r="M168" s="10"/>
      <c r="N168" s="10"/>
      <c r="O168" s="10"/>
      <c r="P168" s="10"/>
      <c r="Q168" s="10"/>
      <c r="R168" s="10"/>
      <c r="S168" s="10"/>
      <c r="T168" s="10"/>
      <c r="U168" s="10"/>
      <c r="V168" s="10"/>
    </row>
    <row r="169" spans="1:22" x14ac:dyDescent="0.35">
      <c r="A169" s="10"/>
      <c r="B169" s="10"/>
      <c r="C169" s="10"/>
      <c r="D169" s="10"/>
      <c r="E169" s="10"/>
      <c r="F169" s="10"/>
      <c r="G169" s="10"/>
      <c r="H169" s="10"/>
      <c r="I169" s="14" t="e">
        <f>IF(MAX('Sample Select backend'!$K$4:$K$205)&gt;=ROW(I169)-2,ROW(I169)-2,"")</f>
        <v>#N/A</v>
      </c>
      <c r="J169" s="15" t="str">
        <f>IFERROR(VLOOKUP(I169,'Sample Select backend'!$K$4:$L$205,2,FALSE),"")</f>
        <v/>
      </c>
      <c r="K169" s="10"/>
      <c r="L169" s="10"/>
      <c r="M169" s="10"/>
      <c r="N169" s="10"/>
      <c r="O169" s="10"/>
      <c r="P169" s="10"/>
      <c r="Q169" s="10"/>
      <c r="R169" s="10"/>
      <c r="S169" s="10"/>
      <c r="T169" s="10"/>
      <c r="U169" s="10"/>
      <c r="V169" s="10"/>
    </row>
    <row r="170" spans="1:22" x14ac:dyDescent="0.35">
      <c r="A170" s="10"/>
      <c r="B170" s="10"/>
      <c r="C170" s="10"/>
      <c r="D170" s="10"/>
      <c r="E170" s="10"/>
      <c r="F170" s="10"/>
      <c r="G170" s="10"/>
      <c r="H170" s="10"/>
      <c r="I170" s="14" t="e">
        <f>IF(MAX('Sample Select backend'!$K$4:$K$205)&gt;=ROW(I170)-2,ROW(I170)-2,"")</f>
        <v>#N/A</v>
      </c>
      <c r="J170" s="15" t="str">
        <f>IFERROR(VLOOKUP(I170,'Sample Select backend'!$K$4:$L$205,2,FALSE),"")</f>
        <v/>
      </c>
      <c r="K170" s="10"/>
      <c r="L170" s="10"/>
      <c r="M170" s="10"/>
      <c r="N170" s="10"/>
      <c r="O170" s="10"/>
      <c r="P170" s="10"/>
      <c r="Q170" s="10"/>
      <c r="R170" s="10"/>
      <c r="S170" s="10"/>
      <c r="T170" s="10"/>
      <c r="U170" s="10"/>
      <c r="V170" s="10"/>
    </row>
    <row r="171" spans="1:22" x14ac:dyDescent="0.35">
      <c r="A171" s="10"/>
      <c r="B171" s="10"/>
      <c r="C171" s="10"/>
      <c r="D171" s="10"/>
      <c r="E171" s="10"/>
      <c r="F171" s="10"/>
      <c r="G171" s="10"/>
      <c r="H171" s="10"/>
      <c r="I171" s="14" t="e">
        <f>IF(MAX('Sample Select backend'!$K$4:$K$205)&gt;=ROW(I171)-2,ROW(I171)-2,"")</f>
        <v>#N/A</v>
      </c>
      <c r="J171" s="15" t="str">
        <f>IFERROR(VLOOKUP(I171,'Sample Select backend'!$K$4:$L$205,2,FALSE),"")</f>
        <v/>
      </c>
      <c r="K171" s="10"/>
      <c r="L171" s="10"/>
      <c r="M171" s="10"/>
      <c r="N171" s="10"/>
      <c r="O171" s="10"/>
      <c r="P171" s="10"/>
      <c r="Q171" s="10"/>
      <c r="R171" s="10"/>
      <c r="S171" s="10"/>
      <c r="T171" s="10"/>
      <c r="U171" s="10"/>
      <c r="V171" s="10"/>
    </row>
    <row r="172" spans="1:22" x14ac:dyDescent="0.35">
      <c r="A172" s="10"/>
      <c r="B172" s="10"/>
      <c r="C172" s="10"/>
      <c r="D172" s="10"/>
      <c r="E172" s="10"/>
      <c r="F172" s="10"/>
      <c r="G172" s="10"/>
      <c r="H172" s="10"/>
      <c r="I172" s="14" t="e">
        <f>IF(MAX('Sample Select backend'!$K$4:$K$205)&gt;=ROW(I172)-2,ROW(I172)-2,"")</f>
        <v>#N/A</v>
      </c>
      <c r="J172" s="15" t="str">
        <f>IFERROR(VLOOKUP(I172,'Sample Select backend'!$K$4:$L$205,2,FALSE),"")</f>
        <v/>
      </c>
      <c r="K172" s="10"/>
      <c r="L172" s="10"/>
      <c r="M172" s="10"/>
      <c r="N172" s="10"/>
      <c r="O172" s="10"/>
      <c r="P172" s="10"/>
      <c r="Q172" s="10"/>
      <c r="R172" s="10"/>
      <c r="S172" s="10"/>
      <c r="T172" s="10"/>
      <c r="U172" s="10"/>
      <c r="V172" s="10"/>
    </row>
    <row r="173" spans="1:22" x14ac:dyDescent="0.35">
      <c r="A173" s="10"/>
      <c r="B173" s="10"/>
      <c r="C173" s="10"/>
      <c r="D173" s="10"/>
      <c r="E173" s="10"/>
      <c r="F173" s="10"/>
      <c r="G173" s="10"/>
      <c r="H173" s="10"/>
      <c r="I173" s="14" t="e">
        <f>IF(MAX('Sample Select backend'!$K$4:$K$205)&gt;=ROW(I173)-2,ROW(I173)-2,"")</f>
        <v>#N/A</v>
      </c>
      <c r="J173" s="15" t="str">
        <f>IFERROR(VLOOKUP(I173,'Sample Select backend'!$K$4:$L$205,2,FALSE),"")</f>
        <v/>
      </c>
      <c r="K173" s="10"/>
      <c r="L173" s="10"/>
      <c r="M173" s="10"/>
      <c r="N173" s="10"/>
      <c r="O173" s="10"/>
      <c r="P173" s="10"/>
      <c r="Q173" s="10"/>
      <c r="R173" s="10"/>
      <c r="S173" s="10"/>
      <c r="T173" s="10"/>
      <c r="U173" s="10"/>
      <c r="V173" s="10"/>
    </row>
    <row r="174" spans="1:22" x14ac:dyDescent="0.35">
      <c r="A174" s="10"/>
      <c r="B174" s="10"/>
      <c r="C174" s="10"/>
      <c r="D174" s="10"/>
      <c r="E174" s="10"/>
      <c r="F174" s="10"/>
      <c r="G174" s="10"/>
      <c r="H174" s="10"/>
      <c r="I174" s="14" t="e">
        <f>IF(MAX('Sample Select backend'!$K$4:$K$205)&gt;=ROW(I174)-2,ROW(I174)-2,"")</f>
        <v>#N/A</v>
      </c>
      <c r="J174" s="15" t="str">
        <f>IFERROR(VLOOKUP(I174,'Sample Select backend'!$K$4:$L$205,2,FALSE),"")</f>
        <v/>
      </c>
      <c r="K174" s="10"/>
      <c r="L174" s="10"/>
      <c r="M174" s="10"/>
      <c r="N174" s="10"/>
      <c r="O174" s="10"/>
      <c r="P174" s="10"/>
      <c r="Q174" s="10"/>
      <c r="R174" s="10"/>
      <c r="S174" s="10"/>
      <c r="T174" s="10"/>
      <c r="U174" s="10"/>
      <c r="V174" s="10"/>
    </row>
    <row r="175" spans="1:22" x14ac:dyDescent="0.35">
      <c r="A175" s="10"/>
      <c r="B175" s="10"/>
      <c r="C175" s="10"/>
      <c r="D175" s="10"/>
      <c r="E175" s="10"/>
      <c r="F175" s="10"/>
      <c r="G175" s="10"/>
      <c r="H175" s="10"/>
      <c r="I175" s="14" t="e">
        <f>IF(MAX('Sample Select backend'!$K$4:$K$205)&gt;=ROW(I175)-2,ROW(I175)-2,"")</f>
        <v>#N/A</v>
      </c>
      <c r="J175" s="15" t="str">
        <f>IFERROR(VLOOKUP(I175,'Sample Select backend'!$K$4:$L$205,2,FALSE),"")</f>
        <v/>
      </c>
      <c r="K175" s="10"/>
      <c r="L175" s="10"/>
      <c r="M175" s="10"/>
      <c r="N175" s="10"/>
      <c r="O175" s="10"/>
      <c r="P175" s="10"/>
      <c r="Q175" s="10"/>
      <c r="R175" s="10"/>
      <c r="S175" s="10"/>
      <c r="T175" s="10"/>
      <c r="U175" s="10"/>
      <c r="V175" s="10"/>
    </row>
    <row r="176" spans="1:22" x14ac:dyDescent="0.35">
      <c r="A176" s="10"/>
      <c r="B176" s="10"/>
      <c r="C176" s="10"/>
      <c r="D176" s="10"/>
      <c r="E176" s="10"/>
      <c r="F176" s="10"/>
      <c r="G176" s="10"/>
      <c r="H176" s="10"/>
      <c r="I176" s="14" t="e">
        <f>IF(MAX('Sample Select backend'!$K$4:$K$205)&gt;=ROW(I176)-2,ROW(I176)-2,"")</f>
        <v>#N/A</v>
      </c>
      <c r="J176" s="15" t="str">
        <f>IFERROR(VLOOKUP(I176,'Sample Select backend'!$K$4:$L$205,2,FALSE),"")</f>
        <v/>
      </c>
      <c r="K176" s="10"/>
      <c r="L176" s="10"/>
      <c r="M176" s="10"/>
      <c r="N176" s="10"/>
      <c r="O176" s="10"/>
      <c r="P176" s="10"/>
      <c r="Q176" s="10"/>
      <c r="R176" s="10"/>
      <c r="S176" s="10"/>
      <c r="T176" s="10"/>
      <c r="U176" s="10"/>
      <c r="V176" s="10"/>
    </row>
    <row r="177" spans="1:22" x14ac:dyDescent="0.35">
      <c r="A177" s="10"/>
      <c r="B177" s="10"/>
      <c r="C177" s="10"/>
      <c r="D177" s="10"/>
      <c r="E177" s="10"/>
      <c r="F177" s="10"/>
      <c r="G177" s="10"/>
      <c r="H177" s="10"/>
      <c r="I177" s="14" t="e">
        <f>IF(MAX('Sample Select backend'!$K$4:$K$205)&gt;=ROW(I177)-2,ROW(I177)-2,"")</f>
        <v>#N/A</v>
      </c>
      <c r="J177" s="15" t="str">
        <f>IFERROR(VLOOKUP(I177,'Sample Select backend'!$K$4:$L$205,2,FALSE),"")</f>
        <v/>
      </c>
      <c r="K177" s="10"/>
      <c r="L177" s="10"/>
      <c r="M177" s="10"/>
      <c r="N177" s="10"/>
      <c r="O177" s="10"/>
      <c r="P177" s="10"/>
      <c r="Q177" s="10"/>
      <c r="R177" s="10"/>
      <c r="S177" s="10"/>
      <c r="T177" s="10"/>
      <c r="U177" s="10"/>
      <c r="V177" s="10"/>
    </row>
    <row r="178" spans="1:22" x14ac:dyDescent="0.35">
      <c r="A178" s="10"/>
      <c r="B178" s="10"/>
      <c r="C178" s="10"/>
      <c r="D178" s="10"/>
      <c r="E178" s="10"/>
      <c r="F178" s="10"/>
      <c r="G178" s="10"/>
      <c r="H178" s="10"/>
      <c r="I178" s="14" t="e">
        <f>IF(MAX('Sample Select backend'!$K$4:$K$205)&gt;=ROW(I178)-2,ROW(I178)-2,"")</f>
        <v>#N/A</v>
      </c>
      <c r="J178" s="15" t="str">
        <f>IFERROR(VLOOKUP(I178,'Sample Select backend'!$K$4:$L$205,2,FALSE),"")</f>
        <v/>
      </c>
      <c r="K178" s="10"/>
      <c r="L178" s="10"/>
      <c r="M178" s="10"/>
      <c r="N178" s="10"/>
      <c r="O178" s="10"/>
      <c r="P178" s="10"/>
      <c r="Q178" s="10"/>
      <c r="R178" s="10"/>
      <c r="S178" s="10"/>
      <c r="T178" s="10"/>
      <c r="U178" s="10"/>
      <c r="V178" s="10"/>
    </row>
    <row r="179" spans="1:22" x14ac:dyDescent="0.35">
      <c r="A179" s="10"/>
      <c r="B179" s="10"/>
      <c r="C179" s="10"/>
      <c r="D179" s="10"/>
      <c r="E179" s="10"/>
      <c r="F179" s="10"/>
      <c r="G179" s="10"/>
      <c r="H179" s="10"/>
      <c r="I179" s="14" t="e">
        <f>IF(MAX('Sample Select backend'!$K$4:$K$205)&gt;=ROW(I179)-2,ROW(I179)-2,"")</f>
        <v>#N/A</v>
      </c>
      <c r="J179" s="15" t="str">
        <f>IFERROR(VLOOKUP(I179,'Sample Select backend'!$K$4:$L$205,2,FALSE),"")</f>
        <v/>
      </c>
      <c r="K179" s="10"/>
      <c r="L179" s="10"/>
      <c r="M179" s="10"/>
      <c r="N179" s="10"/>
      <c r="O179" s="10"/>
      <c r="P179" s="10"/>
      <c r="Q179" s="10"/>
      <c r="R179" s="10"/>
      <c r="S179" s="10"/>
      <c r="T179" s="10"/>
      <c r="U179" s="10"/>
      <c r="V179" s="10"/>
    </row>
    <row r="180" spans="1:22" x14ac:dyDescent="0.35">
      <c r="A180" s="10"/>
      <c r="B180" s="10"/>
      <c r="C180" s="10"/>
      <c r="D180" s="10"/>
      <c r="E180" s="10"/>
      <c r="F180" s="10"/>
      <c r="G180" s="10"/>
      <c r="H180" s="10"/>
      <c r="I180" s="14" t="e">
        <f>IF(MAX('Sample Select backend'!$K$4:$K$205)&gt;=ROW(I180)-2,ROW(I180)-2,"")</f>
        <v>#N/A</v>
      </c>
      <c r="J180" s="15" t="str">
        <f>IFERROR(VLOOKUP(I180,'Sample Select backend'!$K$4:$L$205,2,FALSE),"")</f>
        <v/>
      </c>
      <c r="K180" s="10"/>
      <c r="L180" s="10"/>
      <c r="M180" s="10"/>
      <c r="N180" s="10"/>
      <c r="O180" s="10"/>
      <c r="P180" s="10"/>
      <c r="Q180" s="10"/>
      <c r="R180" s="10"/>
      <c r="S180" s="10"/>
      <c r="T180" s="10"/>
      <c r="U180" s="10"/>
      <c r="V180" s="10"/>
    </row>
    <row r="181" spans="1:22" x14ac:dyDescent="0.35">
      <c r="A181" s="10"/>
      <c r="B181" s="10"/>
      <c r="C181" s="10"/>
      <c r="D181" s="10"/>
      <c r="E181" s="10"/>
      <c r="F181" s="10"/>
      <c r="G181" s="10"/>
      <c r="H181" s="10"/>
      <c r="I181" s="14" t="e">
        <f>IF(MAX('Sample Select backend'!$K$4:$K$205)&gt;=ROW(I181)-2,ROW(I181)-2,"")</f>
        <v>#N/A</v>
      </c>
      <c r="J181" s="15" t="str">
        <f>IFERROR(VLOOKUP(I181,'Sample Select backend'!$K$4:$L$205,2,FALSE),"")</f>
        <v/>
      </c>
      <c r="K181" s="10"/>
      <c r="L181" s="10"/>
      <c r="M181" s="10"/>
      <c r="N181" s="10"/>
      <c r="O181" s="10"/>
      <c r="P181" s="10"/>
      <c r="Q181" s="10"/>
      <c r="R181" s="10"/>
      <c r="S181" s="10"/>
      <c r="T181" s="10"/>
      <c r="U181" s="10"/>
      <c r="V181" s="10"/>
    </row>
    <row r="182" spans="1:22" x14ac:dyDescent="0.35">
      <c r="A182" s="10"/>
      <c r="B182" s="10"/>
      <c r="C182" s="10"/>
      <c r="D182" s="10"/>
      <c r="E182" s="10"/>
      <c r="F182" s="10"/>
      <c r="G182" s="10"/>
      <c r="H182" s="10"/>
      <c r="I182" s="14" t="e">
        <f>IF(MAX('Sample Select backend'!$K$4:$K$205)&gt;=ROW(I182)-2,ROW(I182)-2,"")</f>
        <v>#N/A</v>
      </c>
      <c r="J182" s="15" t="str">
        <f>IFERROR(VLOOKUP(I182,'Sample Select backend'!$K$4:$L$205,2,FALSE),"")</f>
        <v/>
      </c>
      <c r="K182" s="10"/>
      <c r="L182" s="10"/>
      <c r="M182" s="10"/>
      <c r="N182" s="10"/>
      <c r="O182" s="10"/>
      <c r="P182" s="10"/>
      <c r="Q182" s="10"/>
      <c r="R182" s="10"/>
      <c r="S182" s="10"/>
      <c r="T182" s="10"/>
      <c r="U182" s="10"/>
      <c r="V182" s="10"/>
    </row>
    <row r="183" spans="1:22" x14ac:dyDescent="0.35">
      <c r="A183" s="10"/>
      <c r="B183" s="10"/>
      <c r="C183" s="10"/>
      <c r="D183" s="10"/>
      <c r="E183" s="10"/>
      <c r="F183" s="10"/>
      <c r="G183" s="10"/>
      <c r="H183" s="10"/>
      <c r="I183" s="14" t="e">
        <f>IF(MAX('Sample Select backend'!$K$4:$K$205)&gt;=ROW(I183)-2,ROW(I183)-2,"")</f>
        <v>#N/A</v>
      </c>
      <c r="J183" s="15" t="str">
        <f>IFERROR(VLOOKUP(I183,'Sample Select backend'!$K$4:$L$205,2,FALSE),"")</f>
        <v/>
      </c>
      <c r="K183" s="10"/>
      <c r="L183" s="10"/>
      <c r="M183" s="10"/>
      <c r="N183" s="10"/>
      <c r="O183" s="10"/>
      <c r="P183" s="10"/>
      <c r="Q183" s="10"/>
      <c r="R183" s="10"/>
      <c r="S183" s="10"/>
      <c r="T183" s="10"/>
      <c r="U183" s="10"/>
      <c r="V183" s="10"/>
    </row>
    <row r="184" spans="1:22" x14ac:dyDescent="0.35">
      <c r="A184" s="10"/>
      <c r="B184" s="10"/>
      <c r="C184" s="10"/>
      <c r="D184" s="10"/>
      <c r="E184" s="10"/>
      <c r="F184" s="10"/>
      <c r="G184" s="10"/>
      <c r="H184" s="10"/>
      <c r="I184" s="14" t="e">
        <f>IF(MAX('Sample Select backend'!$K$4:$K$205)&gt;=ROW(I184)-2,ROW(I184)-2,"")</f>
        <v>#N/A</v>
      </c>
      <c r="J184" s="15" t="str">
        <f>IFERROR(VLOOKUP(I184,'Sample Select backend'!$K$4:$L$205,2,FALSE),"")</f>
        <v/>
      </c>
      <c r="K184" s="10"/>
      <c r="L184" s="10"/>
      <c r="M184" s="10"/>
      <c r="N184" s="10"/>
      <c r="O184" s="10"/>
      <c r="P184" s="10"/>
      <c r="Q184" s="10"/>
      <c r="R184" s="10"/>
      <c r="S184" s="10"/>
      <c r="T184" s="10"/>
      <c r="U184" s="10"/>
      <c r="V184" s="10"/>
    </row>
    <row r="185" spans="1:22" x14ac:dyDescent="0.35">
      <c r="A185" s="10"/>
      <c r="B185" s="10"/>
      <c r="C185" s="10"/>
      <c r="D185" s="10"/>
      <c r="E185" s="10"/>
      <c r="F185" s="10"/>
      <c r="G185" s="10"/>
      <c r="H185" s="10"/>
      <c r="I185" s="14" t="e">
        <f>IF(MAX('Sample Select backend'!$K$4:$K$205)&gt;=ROW(I185)-2,ROW(I185)-2,"")</f>
        <v>#N/A</v>
      </c>
      <c r="J185" s="15" t="str">
        <f>IFERROR(VLOOKUP(I185,'Sample Select backend'!$K$4:$L$205,2,FALSE),"")</f>
        <v/>
      </c>
      <c r="K185" s="10"/>
      <c r="L185" s="10"/>
      <c r="M185" s="10"/>
      <c r="N185" s="10"/>
      <c r="O185" s="10"/>
      <c r="P185" s="10"/>
      <c r="Q185" s="10"/>
      <c r="R185" s="10"/>
      <c r="S185" s="10"/>
      <c r="T185" s="10"/>
      <c r="U185" s="10"/>
      <c r="V185" s="10"/>
    </row>
    <row r="186" spans="1:22" x14ac:dyDescent="0.35">
      <c r="A186" s="10"/>
      <c r="B186" s="10"/>
      <c r="C186" s="10"/>
      <c r="D186" s="10"/>
      <c r="E186" s="10"/>
      <c r="F186" s="10"/>
      <c r="G186" s="10"/>
      <c r="H186" s="10"/>
      <c r="I186" s="14" t="e">
        <f>IF(MAX('Sample Select backend'!$K$4:$K$205)&gt;=ROW(I186)-2,ROW(I186)-2,"")</f>
        <v>#N/A</v>
      </c>
      <c r="J186" s="15" t="str">
        <f>IFERROR(VLOOKUP(I186,'Sample Select backend'!$K$4:$L$205,2,FALSE),"")</f>
        <v/>
      </c>
      <c r="K186" s="10"/>
      <c r="L186" s="10"/>
      <c r="M186" s="10"/>
      <c r="N186" s="10"/>
      <c r="O186" s="10"/>
      <c r="P186" s="10"/>
      <c r="Q186" s="10"/>
      <c r="R186" s="10"/>
      <c r="S186" s="10"/>
      <c r="T186" s="10"/>
      <c r="U186" s="10"/>
      <c r="V186" s="10"/>
    </row>
    <row r="187" spans="1:22" x14ac:dyDescent="0.35">
      <c r="A187" s="10"/>
      <c r="B187" s="10"/>
      <c r="C187" s="10"/>
      <c r="D187" s="10"/>
      <c r="E187" s="10"/>
      <c r="F187" s="10"/>
      <c r="G187" s="10"/>
      <c r="H187" s="10"/>
      <c r="I187" s="14" t="e">
        <f>IF(MAX('Sample Select backend'!$K$4:$K$205)&gt;=ROW(I187)-2,ROW(I187)-2,"")</f>
        <v>#N/A</v>
      </c>
      <c r="J187" s="15" t="str">
        <f>IFERROR(VLOOKUP(I187,'Sample Select backend'!$K$4:$L$205,2,FALSE),"")</f>
        <v/>
      </c>
      <c r="K187" s="10"/>
      <c r="L187" s="10"/>
      <c r="M187" s="10"/>
      <c r="N187" s="10"/>
      <c r="O187" s="10"/>
      <c r="P187" s="10"/>
      <c r="Q187" s="10"/>
      <c r="R187" s="10"/>
      <c r="S187" s="10"/>
      <c r="T187" s="10"/>
      <c r="U187" s="10"/>
      <c r="V187" s="10"/>
    </row>
    <row r="188" spans="1:22" x14ac:dyDescent="0.35">
      <c r="A188" s="10"/>
      <c r="B188" s="10"/>
      <c r="C188" s="10"/>
      <c r="D188" s="10"/>
      <c r="E188" s="10"/>
      <c r="F188" s="10"/>
      <c r="G188" s="10"/>
      <c r="H188" s="10"/>
      <c r="I188" s="14" t="e">
        <f>IF(MAX('Sample Select backend'!$K$4:$K$205)&gt;=ROW(I188)-2,ROW(I188)-2,"")</f>
        <v>#N/A</v>
      </c>
      <c r="J188" s="15" t="str">
        <f>IFERROR(VLOOKUP(I188,'Sample Select backend'!$K$4:$L$205,2,FALSE),"")</f>
        <v/>
      </c>
      <c r="K188" s="10"/>
      <c r="L188" s="10"/>
      <c r="M188" s="10"/>
      <c r="N188" s="10"/>
      <c r="O188" s="10"/>
      <c r="P188" s="10"/>
      <c r="Q188" s="10"/>
      <c r="R188" s="10"/>
      <c r="S188" s="10"/>
      <c r="T188" s="10"/>
      <c r="U188" s="10"/>
      <c r="V188" s="10"/>
    </row>
    <row r="189" spans="1:22" x14ac:dyDescent="0.35">
      <c r="A189" s="10"/>
      <c r="B189" s="10"/>
      <c r="C189" s="10"/>
      <c r="D189" s="10"/>
      <c r="E189" s="10"/>
      <c r="F189" s="10"/>
      <c r="G189" s="10"/>
      <c r="H189" s="10"/>
      <c r="I189" s="14" t="e">
        <f>IF(MAX('Sample Select backend'!$K$4:$K$205)&gt;=ROW(I189)-2,ROW(I189)-2,"")</f>
        <v>#N/A</v>
      </c>
      <c r="J189" s="15" t="str">
        <f>IFERROR(VLOOKUP(I189,'Sample Select backend'!$K$4:$L$205,2,FALSE),"")</f>
        <v/>
      </c>
      <c r="K189" s="10"/>
      <c r="L189" s="10"/>
      <c r="M189" s="10"/>
      <c r="N189" s="10"/>
      <c r="O189" s="10"/>
      <c r="P189" s="10"/>
      <c r="Q189" s="10"/>
      <c r="R189" s="10"/>
      <c r="S189" s="10"/>
      <c r="T189" s="10"/>
      <c r="U189" s="10"/>
      <c r="V189" s="10"/>
    </row>
    <row r="190" spans="1:22" x14ac:dyDescent="0.35">
      <c r="A190" s="10"/>
      <c r="B190" s="10"/>
      <c r="C190" s="10"/>
      <c r="D190" s="10"/>
      <c r="E190" s="10"/>
      <c r="F190" s="10"/>
      <c r="G190" s="10"/>
      <c r="H190" s="10"/>
      <c r="I190" s="14" t="e">
        <f>IF(MAX('Sample Select backend'!$K$4:$K$205)&gt;=ROW(I190)-2,ROW(I190)-2,"")</f>
        <v>#N/A</v>
      </c>
      <c r="J190" s="15" t="str">
        <f>IFERROR(VLOOKUP(I190,'Sample Select backend'!$K$4:$L$205,2,FALSE),"")</f>
        <v/>
      </c>
      <c r="K190" s="10"/>
      <c r="L190" s="10"/>
      <c r="M190" s="10"/>
      <c r="N190" s="10"/>
      <c r="O190" s="10"/>
      <c r="P190" s="10"/>
      <c r="Q190" s="10"/>
      <c r="R190" s="10"/>
      <c r="S190" s="10"/>
      <c r="T190" s="10"/>
      <c r="U190" s="10"/>
      <c r="V190" s="10"/>
    </row>
    <row r="191" spans="1:22" x14ac:dyDescent="0.35">
      <c r="A191" s="10"/>
      <c r="B191" s="10"/>
      <c r="C191" s="10"/>
      <c r="D191" s="10"/>
      <c r="E191" s="10"/>
      <c r="F191" s="10"/>
      <c r="G191" s="10"/>
      <c r="H191" s="10"/>
      <c r="I191" s="14" t="e">
        <f>IF(MAX('Sample Select backend'!$K$4:$K$205)&gt;=ROW(I191)-2,ROW(I191)-2,"")</f>
        <v>#N/A</v>
      </c>
      <c r="J191" s="15" t="str">
        <f>IFERROR(VLOOKUP(I191,'Sample Select backend'!$K$4:$L$205,2,FALSE),"")</f>
        <v/>
      </c>
      <c r="K191" s="10"/>
      <c r="L191" s="10"/>
      <c r="M191" s="10"/>
      <c r="N191" s="10"/>
      <c r="O191" s="10"/>
      <c r="P191" s="10"/>
      <c r="Q191" s="10"/>
      <c r="R191" s="10"/>
      <c r="S191" s="10"/>
      <c r="T191" s="10"/>
      <c r="U191" s="10"/>
      <c r="V191" s="10"/>
    </row>
    <row r="192" spans="1:22" x14ac:dyDescent="0.35">
      <c r="A192" s="10"/>
      <c r="B192" s="10"/>
      <c r="C192" s="10"/>
      <c r="D192" s="10"/>
      <c r="E192" s="10"/>
      <c r="F192" s="10"/>
      <c r="G192" s="10"/>
      <c r="H192" s="10"/>
      <c r="I192" s="14" t="e">
        <f>IF(MAX('Sample Select backend'!$K$4:$K$205)&gt;=ROW(I192)-2,ROW(I192)-2,"")</f>
        <v>#N/A</v>
      </c>
      <c r="J192" s="15" t="str">
        <f>IFERROR(VLOOKUP(I192,'Sample Select backend'!$K$4:$L$205,2,FALSE),"")</f>
        <v/>
      </c>
      <c r="K192" s="10"/>
      <c r="L192" s="10"/>
      <c r="M192" s="10"/>
      <c r="N192" s="10"/>
      <c r="O192" s="10"/>
      <c r="P192" s="10"/>
      <c r="Q192" s="10"/>
      <c r="R192" s="10"/>
      <c r="S192" s="10"/>
      <c r="T192" s="10"/>
      <c r="U192" s="10"/>
      <c r="V192" s="10"/>
    </row>
    <row r="193" spans="1:22" x14ac:dyDescent="0.35">
      <c r="A193" s="10"/>
      <c r="B193" s="10"/>
      <c r="C193" s="10"/>
      <c r="D193" s="10"/>
      <c r="E193" s="10"/>
      <c r="F193" s="10"/>
      <c r="G193" s="10"/>
      <c r="H193" s="10"/>
      <c r="I193" s="14" t="e">
        <f>IF(MAX('Sample Select backend'!$K$4:$K$205)&gt;=ROW(I193)-2,ROW(I193)-2,"")</f>
        <v>#N/A</v>
      </c>
      <c r="J193" s="15" t="str">
        <f>IFERROR(VLOOKUP(I193,'Sample Select backend'!$K$4:$L$205,2,FALSE),"")</f>
        <v/>
      </c>
      <c r="K193" s="10"/>
      <c r="L193" s="10"/>
      <c r="M193" s="10"/>
      <c r="N193" s="10"/>
      <c r="O193" s="10"/>
      <c r="P193" s="10"/>
      <c r="Q193" s="10"/>
      <c r="R193" s="10"/>
      <c r="S193" s="10"/>
      <c r="T193" s="10"/>
      <c r="U193" s="10"/>
      <c r="V193" s="10"/>
    </row>
    <row r="194" spans="1:22" x14ac:dyDescent="0.35">
      <c r="A194" s="10"/>
      <c r="B194" s="10"/>
      <c r="C194" s="10"/>
      <c r="D194" s="10"/>
      <c r="E194" s="10"/>
      <c r="F194" s="10"/>
      <c r="G194" s="10"/>
      <c r="H194" s="10"/>
      <c r="I194" s="14" t="e">
        <f>IF(MAX('Sample Select backend'!$K$4:$K$205)&gt;=ROW(I194)-2,ROW(I194)-2,"")</f>
        <v>#N/A</v>
      </c>
      <c r="J194" s="15" t="str">
        <f>IFERROR(VLOOKUP(I194,'Sample Select backend'!$K$4:$L$205,2,FALSE),"")</f>
        <v/>
      </c>
      <c r="K194" s="10"/>
      <c r="L194" s="10"/>
      <c r="M194" s="10"/>
      <c r="N194" s="10"/>
      <c r="O194" s="10"/>
      <c r="P194" s="10"/>
      <c r="Q194" s="10"/>
      <c r="R194" s="10"/>
      <c r="S194" s="10"/>
      <c r="T194" s="10"/>
      <c r="U194" s="10"/>
      <c r="V194" s="10"/>
    </row>
    <row r="195" spans="1:22" x14ac:dyDescent="0.35">
      <c r="A195" s="10"/>
      <c r="B195" s="10"/>
      <c r="C195" s="10"/>
      <c r="D195" s="10"/>
      <c r="E195" s="10"/>
      <c r="F195" s="10"/>
      <c r="G195" s="10"/>
      <c r="H195" s="10"/>
      <c r="I195" s="14" t="e">
        <f>IF(MAX('Sample Select backend'!$K$4:$K$205)&gt;=ROW(I195)-2,ROW(I195)-2,"")</f>
        <v>#N/A</v>
      </c>
      <c r="J195" s="15" t="str">
        <f>IFERROR(VLOOKUP(I195,'Sample Select backend'!$K$4:$L$205,2,FALSE),"")</f>
        <v/>
      </c>
      <c r="K195" s="10"/>
      <c r="L195" s="10"/>
      <c r="M195" s="10"/>
      <c r="N195" s="10"/>
      <c r="O195" s="10"/>
      <c r="P195" s="10"/>
      <c r="Q195" s="10"/>
      <c r="R195" s="10"/>
      <c r="S195" s="10"/>
      <c r="T195" s="10"/>
      <c r="U195" s="10"/>
      <c r="V195" s="10"/>
    </row>
    <row r="196" spans="1:22" x14ac:dyDescent="0.35">
      <c r="A196" s="10"/>
      <c r="B196" s="10"/>
      <c r="C196" s="10"/>
      <c r="D196" s="10"/>
      <c r="E196" s="10"/>
      <c r="F196" s="10"/>
      <c r="G196" s="10"/>
      <c r="H196" s="10"/>
      <c r="I196" s="14" t="e">
        <f>IF(MAX('Sample Select backend'!$K$4:$K$205)&gt;=ROW(I196)-2,ROW(I196)-2,"")</f>
        <v>#N/A</v>
      </c>
      <c r="J196" s="15" t="str">
        <f>IFERROR(VLOOKUP(I196,'Sample Select backend'!$K$4:$L$205,2,FALSE),"")</f>
        <v/>
      </c>
      <c r="K196" s="10"/>
      <c r="L196" s="10"/>
      <c r="M196" s="10"/>
      <c r="N196" s="10"/>
      <c r="O196" s="10"/>
      <c r="P196" s="10"/>
      <c r="Q196" s="10"/>
      <c r="R196" s="10"/>
      <c r="S196" s="10"/>
      <c r="T196" s="10"/>
      <c r="U196" s="10"/>
      <c r="V196" s="10"/>
    </row>
    <row r="197" spans="1:22" x14ac:dyDescent="0.35">
      <c r="A197" s="10"/>
      <c r="B197" s="10"/>
      <c r="C197" s="10"/>
      <c r="D197" s="10"/>
      <c r="E197" s="10"/>
      <c r="F197" s="10"/>
      <c r="G197" s="10"/>
      <c r="H197" s="10"/>
      <c r="I197" s="14" t="e">
        <f>IF(MAX('Sample Select backend'!$K$4:$K$205)&gt;=ROW(I197)-2,ROW(I197)-2,"")</f>
        <v>#N/A</v>
      </c>
      <c r="J197" s="15" t="str">
        <f>IFERROR(VLOOKUP(I197,'Sample Select backend'!$K$4:$L$205,2,FALSE),"")</f>
        <v/>
      </c>
      <c r="K197" s="10"/>
      <c r="L197" s="10"/>
      <c r="M197" s="10"/>
      <c r="N197" s="10"/>
      <c r="O197" s="10"/>
      <c r="P197" s="10"/>
      <c r="Q197" s="10"/>
      <c r="R197" s="10"/>
      <c r="S197" s="10"/>
      <c r="T197" s="10"/>
      <c r="U197" s="10"/>
      <c r="V197" s="10"/>
    </row>
    <row r="198" spans="1:22" x14ac:dyDescent="0.35">
      <c r="A198" s="10"/>
      <c r="B198" s="10"/>
      <c r="C198" s="10"/>
      <c r="D198" s="10"/>
      <c r="E198" s="10"/>
      <c r="F198" s="10"/>
      <c r="G198" s="10"/>
      <c r="H198" s="10"/>
      <c r="I198" s="14" t="e">
        <f>IF(MAX('Sample Select backend'!$K$4:$K$205)&gt;=ROW(I198)-2,ROW(I198)-2,"")</f>
        <v>#N/A</v>
      </c>
      <c r="J198" s="15" t="str">
        <f>IFERROR(VLOOKUP(I198,'Sample Select backend'!$K$4:$L$205,2,FALSE),"")</f>
        <v/>
      </c>
      <c r="K198" s="10"/>
      <c r="L198" s="10"/>
      <c r="M198" s="10"/>
      <c r="N198" s="10"/>
      <c r="O198" s="10"/>
      <c r="P198" s="10"/>
      <c r="Q198" s="10"/>
      <c r="R198" s="10"/>
      <c r="S198" s="10"/>
      <c r="T198" s="10"/>
      <c r="U198" s="10"/>
      <c r="V198" s="10"/>
    </row>
    <row r="199" spans="1:22" x14ac:dyDescent="0.35">
      <c r="A199" s="10"/>
      <c r="B199" s="10"/>
      <c r="C199" s="10"/>
      <c r="D199" s="10"/>
      <c r="E199" s="10"/>
      <c r="F199" s="10"/>
      <c r="G199" s="10"/>
      <c r="H199" s="10"/>
      <c r="I199" s="14" t="e">
        <f>IF(MAX('Sample Select backend'!$K$4:$K$205)&gt;=ROW(I199)-2,ROW(I199)-2,"")</f>
        <v>#N/A</v>
      </c>
      <c r="J199" s="15" t="str">
        <f>IFERROR(VLOOKUP(I199,'Sample Select backend'!$K$4:$L$205,2,FALSE),"")</f>
        <v/>
      </c>
      <c r="K199" s="10"/>
      <c r="L199" s="10"/>
      <c r="M199" s="10"/>
      <c r="N199" s="10"/>
      <c r="O199" s="10"/>
      <c r="P199" s="10"/>
      <c r="Q199" s="10"/>
      <c r="R199" s="10"/>
      <c r="S199" s="10"/>
      <c r="T199" s="10"/>
      <c r="U199" s="10"/>
      <c r="V199" s="10"/>
    </row>
    <row r="200" spans="1:22" x14ac:dyDescent="0.35">
      <c r="A200" s="10"/>
      <c r="B200" s="10"/>
      <c r="C200" s="10"/>
      <c r="D200" s="10"/>
      <c r="E200" s="10"/>
      <c r="F200" s="10"/>
      <c r="G200" s="10"/>
      <c r="H200" s="10"/>
      <c r="I200" s="14" t="e">
        <f>IF(MAX('Sample Select backend'!$K$4:$K$205)&gt;=ROW(I200)-2,ROW(I200)-2,"")</f>
        <v>#N/A</v>
      </c>
      <c r="J200" s="15" t="str">
        <f>IFERROR(VLOOKUP(I200,'Sample Select backend'!$K$4:$L$205,2,FALSE),"")</f>
        <v/>
      </c>
      <c r="K200" s="10"/>
      <c r="L200" s="10"/>
      <c r="M200" s="10"/>
      <c r="N200" s="10"/>
      <c r="O200" s="10"/>
      <c r="P200" s="10"/>
      <c r="Q200" s="10"/>
      <c r="R200" s="10"/>
      <c r="S200" s="10"/>
      <c r="T200" s="10"/>
      <c r="U200" s="10"/>
      <c r="V200" s="10"/>
    </row>
    <row r="201" spans="1:22" x14ac:dyDescent="0.35">
      <c r="A201" s="10"/>
      <c r="B201" s="10"/>
      <c r="C201" s="10"/>
      <c r="D201" s="10"/>
      <c r="E201" s="10"/>
      <c r="F201" s="10"/>
      <c r="G201" s="10"/>
      <c r="H201" s="10"/>
      <c r="I201" s="14" t="e">
        <f>IF(MAX('Sample Select backend'!$K$4:$K$205)&gt;=ROW(I201)-2,ROW(I201)-2,"")</f>
        <v>#N/A</v>
      </c>
      <c r="J201" s="15" t="str">
        <f>IFERROR(VLOOKUP(I201,'Sample Select backend'!$K$4:$L$205,2,FALSE),"")</f>
        <v/>
      </c>
      <c r="K201" s="10"/>
      <c r="L201" s="10"/>
      <c r="M201" s="10"/>
      <c r="N201" s="10"/>
      <c r="O201" s="10"/>
      <c r="P201" s="10"/>
      <c r="Q201" s="10"/>
      <c r="R201" s="10"/>
      <c r="S201" s="10"/>
      <c r="T201" s="10"/>
      <c r="U201" s="10"/>
      <c r="V201" s="10"/>
    </row>
    <row r="202" spans="1:22" x14ac:dyDescent="0.35">
      <c r="A202" s="10"/>
      <c r="B202" s="10"/>
      <c r="C202" s="10"/>
      <c r="D202" s="10"/>
      <c r="E202" s="10"/>
      <c r="F202" s="10"/>
      <c r="G202" s="10"/>
      <c r="H202" s="10"/>
      <c r="I202" s="14" t="e">
        <f>IF(MAX('Sample Select backend'!$K$4:$K$205)&gt;=ROW(I202)-2,ROW(I202)-2,"")</f>
        <v>#N/A</v>
      </c>
      <c r="J202" s="15" t="str">
        <f>IFERROR(VLOOKUP(I202,'Sample Select backend'!$K$4:$L$205,2,FALSE),"")</f>
        <v/>
      </c>
      <c r="K202" s="10"/>
      <c r="L202" s="10"/>
      <c r="M202" s="10"/>
      <c r="N202" s="10"/>
      <c r="O202" s="10"/>
      <c r="P202" s="10"/>
      <c r="Q202" s="10"/>
      <c r="R202" s="10"/>
      <c r="S202" s="10"/>
      <c r="T202" s="10"/>
      <c r="U202" s="10"/>
      <c r="V202" s="10"/>
    </row>
    <row r="203" spans="1:22" x14ac:dyDescent="0.35">
      <c r="A203" s="10"/>
      <c r="B203" s="10"/>
      <c r="C203" s="10"/>
      <c r="D203" s="10"/>
      <c r="E203" s="10"/>
      <c r="F203" s="10"/>
      <c r="G203" s="10"/>
      <c r="H203" s="10"/>
      <c r="I203" s="14" t="e">
        <f>IF(MAX('Sample Select backend'!$K$4:$K$205)&gt;=ROW(I203)-2,ROW(I203)-2,"")</f>
        <v>#N/A</v>
      </c>
      <c r="J203" s="15" t="str">
        <f>IFERROR(VLOOKUP(I203,'Sample Select backend'!$K$4:$L$205,2,FALSE),"")</f>
        <v/>
      </c>
      <c r="K203" s="10"/>
      <c r="L203" s="10"/>
      <c r="M203" s="10"/>
      <c r="N203" s="10"/>
      <c r="O203" s="10"/>
      <c r="P203" s="10"/>
      <c r="Q203" s="10"/>
      <c r="R203" s="10"/>
      <c r="S203" s="10"/>
      <c r="T203" s="10"/>
      <c r="U203" s="10"/>
      <c r="V203" s="10"/>
    </row>
    <row r="204" spans="1:22" ht="15" thickBot="1" x14ac:dyDescent="0.4">
      <c r="A204" s="10"/>
      <c r="B204" s="10"/>
      <c r="C204" s="10"/>
      <c r="D204" s="10"/>
      <c r="E204" s="10"/>
      <c r="F204" s="10"/>
      <c r="G204" s="10"/>
      <c r="H204" s="10"/>
      <c r="I204" s="16" t="e">
        <f>IF(MAX('Sample Select backend'!$K$4:$K$205)&gt;=ROW(I204)-2,ROW(I204)-2,"")</f>
        <v>#N/A</v>
      </c>
      <c r="J204" s="17" t="str">
        <f>IFERROR(VLOOKUP(I204,'Sample Select backend'!$K$4:$L$205,2,FALSE),"")</f>
        <v/>
      </c>
      <c r="K204" s="10"/>
      <c r="L204" s="10"/>
      <c r="M204" s="10"/>
      <c r="N204" s="10"/>
      <c r="O204" s="10"/>
      <c r="P204" s="10"/>
      <c r="Q204" s="10"/>
      <c r="R204" s="10"/>
      <c r="S204" s="10"/>
      <c r="T204" s="10"/>
      <c r="U204" s="10"/>
      <c r="V204" s="10"/>
    </row>
    <row r="205" spans="1:22" x14ac:dyDescent="0.35">
      <c r="A205" s="10"/>
      <c r="B205" s="10"/>
      <c r="C205" s="10"/>
      <c r="D205" s="10"/>
      <c r="E205" s="10"/>
      <c r="F205" s="10"/>
      <c r="G205" s="10"/>
      <c r="H205" s="10"/>
      <c r="I205" s="10"/>
      <c r="J205" s="10"/>
      <c r="K205" s="10"/>
      <c r="L205" s="10"/>
      <c r="M205" s="10"/>
      <c r="N205" s="10"/>
      <c r="O205" s="10"/>
      <c r="P205" s="10"/>
      <c r="Q205" s="10"/>
      <c r="R205" s="10"/>
      <c r="S205" s="10"/>
      <c r="T205" s="10"/>
      <c r="U205" s="10"/>
      <c r="V205" s="10"/>
    </row>
    <row r="206" spans="1:22" x14ac:dyDescent="0.35">
      <c r="A206" s="10"/>
      <c r="B206" s="10"/>
      <c r="C206" s="10"/>
      <c r="D206" s="10"/>
      <c r="E206" s="10"/>
      <c r="F206" s="10"/>
      <c r="G206" s="10"/>
      <c r="H206" s="10"/>
      <c r="I206" s="10"/>
      <c r="J206" s="10"/>
      <c r="K206" s="10"/>
      <c r="L206" s="10"/>
      <c r="M206" s="10"/>
      <c r="N206" s="10"/>
      <c r="O206" s="10"/>
      <c r="P206" s="10"/>
      <c r="Q206" s="10"/>
      <c r="R206" s="10"/>
      <c r="S206" s="10"/>
      <c r="T206" s="10"/>
      <c r="U206" s="10"/>
      <c r="V206" s="10"/>
    </row>
    <row r="207" spans="1:22" x14ac:dyDescent="0.35">
      <c r="A207" s="10"/>
      <c r="B207" s="10"/>
      <c r="C207" s="10"/>
      <c r="D207" s="10"/>
      <c r="E207" s="10"/>
      <c r="F207" s="10"/>
      <c r="G207" s="10"/>
      <c r="H207" s="10"/>
      <c r="I207" s="10"/>
      <c r="J207" s="10"/>
      <c r="K207" s="10"/>
      <c r="L207" s="10"/>
      <c r="M207" s="10"/>
      <c r="N207" s="10"/>
      <c r="O207" s="10"/>
      <c r="P207" s="10"/>
      <c r="Q207" s="10"/>
      <c r="R207" s="10"/>
      <c r="S207" s="10"/>
      <c r="T207" s="10"/>
      <c r="U207" s="10"/>
      <c r="V207" s="10"/>
    </row>
    <row r="208" spans="1:22" x14ac:dyDescent="0.35">
      <c r="A208" s="10"/>
      <c r="B208" s="10"/>
      <c r="C208" s="10"/>
      <c r="D208" s="10"/>
      <c r="E208" s="10"/>
      <c r="F208" s="10"/>
      <c r="G208" s="10"/>
      <c r="H208" s="10"/>
      <c r="I208" s="10"/>
      <c r="J208" s="10"/>
      <c r="K208" s="10"/>
      <c r="L208" s="10"/>
      <c r="M208" s="10"/>
      <c r="N208" s="10"/>
      <c r="O208" s="10"/>
      <c r="P208" s="10"/>
      <c r="Q208" s="10"/>
      <c r="R208" s="10"/>
      <c r="S208" s="10"/>
      <c r="T208" s="10"/>
      <c r="U208" s="10"/>
      <c r="V208" s="10"/>
    </row>
    <row r="209" spans="1:22" x14ac:dyDescent="0.35">
      <c r="A209" s="10"/>
      <c r="B209" s="10"/>
      <c r="C209" s="10"/>
      <c r="D209" s="10"/>
      <c r="E209" s="10"/>
      <c r="F209" s="10"/>
      <c r="G209" s="10"/>
      <c r="H209" s="10"/>
      <c r="I209" s="10"/>
      <c r="J209" s="10"/>
      <c r="K209" s="10"/>
      <c r="L209" s="10"/>
      <c r="M209" s="10"/>
      <c r="N209" s="10"/>
      <c r="O209" s="10"/>
      <c r="P209" s="10"/>
      <c r="Q209" s="10"/>
      <c r="R209" s="10"/>
      <c r="S209" s="10"/>
      <c r="T209" s="10"/>
      <c r="U209" s="10"/>
      <c r="V209" s="10"/>
    </row>
    <row r="210" spans="1:22" x14ac:dyDescent="0.35">
      <c r="A210" s="10"/>
      <c r="B210" s="10"/>
      <c r="C210" s="10"/>
      <c r="D210" s="10"/>
      <c r="E210" s="10"/>
      <c r="F210" s="10"/>
      <c r="G210" s="10"/>
      <c r="H210" s="10"/>
      <c r="I210" s="10"/>
      <c r="J210" s="10"/>
      <c r="K210" s="10"/>
      <c r="L210" s="10"/>
      <c r="M210" s="10"/>
      <c r="N210" s="10"/>
      <c r="O210" s="10"/>
      <c r="P210" s="10"/>
      <c r="Q210" s="10"/>
      <c r="R210" s="10"/>
      <c r="S210" s="10"/>
      <c r="T210" s="10"/>
      <c r="U210" s="10"/>
      <c r="V210" s="10"/>
    </row>
    <row r="211" spans="1:22" x14ac:dyDescent="0.35">
      <c r="A211" s="10"/>
      <c r="B211" s="10"/>
      <c r="C211" s="10"/>
      <c r="D211" s="10"/>
      <c r="E211" s="10"/>
      <c r="F211" s="10"/>
      <c r="G211" s="10"/>
      <c r="H211" s="10"/>
      <c r="I211" s="10"/>
      <c r="J211" s="10"/>
      <c r="K211" s="10"/>
      <c r="L211" s="10"/>
      <c r="M211" s="10"/>
      <c r="N211" s="10"/>
      <c r="O211" s="10"/>
      <c r="P211" s="10"/>
      <c r="Q211" s="10"/>
      <c r="R211" s="10"/>
      <c r="S211" s="10"/>
      <c r="T211" s="10"/>
      <c r="U211" s="10"/>
      <c r="V211" s="10"/>
    </row>
    <row r="212" spans="1:22" x14ac:dyDescent="0.35">
      <c r="A212" s="10"/>
      <c r="B212" s="10"/>
      <c r="C212" s="10"/>
      <c r="D212" s="10"/>
      <c r="E212" s="10"/>
      <c r="F212" s="10"/>
      <c r="G212" s="10"/>
      <c r="H212" s="10"/>
      <c r="I212" s="10"/>
      <c r="J212" s="10"/>
      <c r="K212" s="10"/>
      <c r="L212" s="10"/>
      <c r="M212" s="10"/>
      <c r="N212" s="10"/>
      <c r="O212" s="10"/>
      <c r="P212" s="10"/>
      <c r="Q212" s="10"/>
      <c r="R212" s="10"/>
      <c r="S212" s="10"/>
      <c r="T212" s="10"/>
      <c r="U212" s="10"/>
      <c r="V212" s="10"/>
    </row>
    <row r="213" spans="1:22" x14ac:dyDescent="0.35">
      <c r="A213" s="10"/>
      <c r="B213" s="10"/>
      <c r="C213" s="10"/>
      <c r="D213" s="10"/>
      <c r="E213" s="10"/>
      <c r="F213" s="10"/>
      <c r="G213" s="10"/>
      <c r="H213" s="10"/>
      <c r="I213" s="10"/>
      <c r="J213" s="10"/>
      <c r="K213" s="10"/>
      <c r="L213" s="10"/>
      <c r="M213" s="10"/>
      <c r="N213" s="10"/>
      <c r="O213" s="10"/>
      <c r="P213" s="10"/>
      <c r="Q213" s="10"/>
      <c r="R213" s="10"/>
      <c r="S213" s="10"/>
      <c r="T213" s="10"/>
      <c r="U213" s="10"/>
      <c r="V213" s="10"/>
    </row>
    <row r="214" spans="1:22" x14ac:dyDescent="0.35">
      <c r="A214" s="10"/>
      <c r="B214" s="10"/>
      <c r="C214" s="10"/>
      <c r="D214" s="10"/>
      <c r="E214" s="10"/>
      <c r="F214" s="10"/>
      <c r="G214" s="10"/>
      <c r="H214" s="10"/>
      <c r="I214" s="10"/>
      <c r="J214" s="10"/>
      <c r="K214" s="10"/>
      <c r="L214" s="10"/>
      <c r="M214" s="10"/>
      <c r="N214" s="10"/>
      <c r="O214" s="10"/>
      <c r="P214" s="10"/>
      <c r="Q214" s="10"/>
      <c r="R214" s="10"/>
      <c r="S214" s="10"/>
      <c r="T214" s="10"/>
      <c r="U214" s="10"/>
      <c r="V214" s="10"/>
    </row>
    <row r="215" spans="1:22" x14ac:dyDescent="0.35">
      <c r="A215" s="10"/>
      <c r="B215" s="10"/>
      <c r="C215" s="10"/>
      <c r="D215" s="10"/>
      <c r="E215" s="10"/>
      <c r="F215" s="10"/>
      <c r="G215" s="10"/>
      <c r="H215" s="10"/>
      <c r="I215" s="10"/>
      <c r="J215" s="10"/>
      <c r="K215" s="10"/>
      <c r="L215" s="10"/>
      <c r="M215" s="10"/>
      <c r="N215" s="10"/>
      <c r="O215" s="10"/>
      <c r="P215" s="10"/>
      <c r="Q215" s="10"/>
      <c r="R215" s="10"/>
      <c r="S215" s="10"/>
      <c r="T215" s="10"/>
      <c r="U215" s="10"/>
      <c r="V215" s="10"/>
    </row>
    <row r="216" spans="1:22" x14ac:dyDescent="0.35">
      <c r="A216" s="10"/>
      <c r="B216" s="10"/>
      <c r="C216" s="10"/>
      <c r="D216" s="10"/>
      <c r="E216" s="10"/>
      <c r="F216" s="10"/>
      <c r="G216" s="10"/>
      <c r="H216" s="10"/>
      <c r="I216" s="10"/>
      <c r="J216" s="10"/>
      <c r="K216" s="10"/>
      <c r="L216" s="10"/>
      <c r="M216" s="10"/>
      <c r="N216" s="10"/>
      <c r="O216" s="10"/>
      <c r="P216" s="10"/>
      <c r="Q216" s="10"/>
      <c r="R216" s="10"/>
      <c r="S216" s="10"/>
      <c r="T216" s="10"/>
      <c r="U216" s="10"/>
      <c r="V216" s="10"/>
    </row>
    <row r="217" spans="1:22" x14ac:dyDescent="0.35">
      <c r="A217" s="10"/>
      <c r="B217" s="10"/>
      <c r="C217" s="10"/>
      <c r="D217" s="10"/>
      <c r="E217" s="10"/>
      <c r="F217" s="10"/>
      <c r="G217" s="10"/>
      <c r="H217" s="10"/>
      <c r="I217" s="10"/>
      <c r="J217" s="10"/>
      <c r="K217" s="10"/>
      <c r="L217" s="10"/>
      <c r="M217" s="10"/>
      <c r="N217" s="10"/>
      <c r="O217" s="10"/>
      <c r="P217" s="10"/>
      <c r="Q217" s="10"/>
      <c r="R217" s="10"/>
      <c r="S217" s="10"/>
      <c r="T217" s="10"/>
      <c r="U217" s="10"/>
      <c r="V217" s="10"/>
    </row>
    <row r="218" spans="1:22" x14ac:dyDescent="0.35">
      <c r="A218" s="10"/>
      <c r="B218" s="10"/>
      <c r="C218" s="10"/>
      <c r="D218" s="10"/>
      <c r="E218" s="10"/>
      <c r="F218" s="10"/>
      <c r="G218" s="10"/>
      <c r="H218" s="10"/>
      <c r="I218" s="10"/>
      <c r="J218" s="10"/>
      <c r="K218" s="10"/>
      <c r="L218" s="10"/>
      <c r="M218" s="10"/>
      <c r="N218" s="10"/>
      <c r="O218" s="10"/>
      <c r="P218" s="10"/>
      <c r="Q218" s="10"/>
      <c r="R218" s="10"/>
      <c r="S218" s="10"/>
      <c r="T218" s="10"/>
      <c r="U218" s="10"/>
      <c r="V218" s="10"/>
    </row>
    <row r="219" spans="1:22" x14ac:dyDescent="0.35">
      <c r="A219" s="10"/>
      <c r="B219" s="10"/>
      <c r="C219" s="10"/>
      <c r="D219" s="10"/>
      <c r="E219" s="10"/>
      <c r="F219" s="10"/>
      <c r="G219" s="10"/>
      <c r="H219" s="10"/>
      <c r="I219" s="10"/>
      <c r="J219" s="10"/>
      <c r="K219" s="10"/>
      <c r="L219" s="10"/>
      <c r="M219" s="10"/>
      <c r="N219" s="10"/>
      <c r="O219" s="10"/>
      <c r="P219" s="10"/>
      <c r="Q219" s="10"/>
      <c r="R219" s="10"/>
      <c r="S219" s="10"/>
      <c r="T219" s="10"/>
      <c r="U219" s="10"/>
      <c r="V219" s="10"/>
    </row>
    <row r="220" spans="1:22" x14ac:dyDescent="0.35">
      <c r="A220" s="10"/>
      <c r="B220" s="10"/>
      <c r="C220" s="10"/>
      <c r="D220" s="10"/>
      <c r="E220" s="10"/>
      <c r="F220" s="10"/>
      <c r="G220" s="10"/>
      <c r="H220" s="10"/>
      <c r="I220" s="10"/>
      <c r="J220" s="10"/>
      <c r="K220" s="10"/>
      <c r="L220" s="10"/>
      <c r="M220" s="10"/>
      <c r="N220" s="10"/>
      <c r="O220" s="10"/>
      <c r="P220" s="10"/>
      <c r="Q220" s="10"/>
      <c r="R220" s="10"/>
      <c r="S220" s="10"/>
      <c r="T220" s="10"/>
      <c r="U220" s="10"/>
      <c r="V220" s="10"/>
    </row>
    <row r="221" spans="1:22" x14ac:dyDescent="0.35">
      <c r="A221" s="10"/>
      <c r="B221" s="10"/>
      <c r="C221" s="10"/>
      <c r="D221" s="10"/>
      <c r="E221" s="10"/>
      <c r="F221" s="10"/>
      <c r="G221" s="10"/>
      <c r="H221" s="10"/>
      <c r="I221" s="10"/>
      <c r="J221" s="10"/>
      <c r="K221" s="10"/>
      <c r="L221" s="10"/>
      <c r="M221" s="10"/>
      <c r="N221" s="10"/>
      <c r="O221" s="10"/>
      <c r="P221" s="10"/>
      <c r="Q221" s="10"/>
      <c r="R221" s="10"/>
      <c r="S221" s="10"/>
      <c r="T221" s="10"/>
      <c r="U221" s="10"/>
      <c r="V221" s="10"/>
    </row>
    <row r="222" spans="1:22" x14ac:dyDescent="0.35">
      <c r="A222" s="10"/>
      <c r="B222" s="10"/>
      <c r="C222" s="10"/>
      <c r="D222" s="10"/>
      <c r="E222" s="10"/>
      <c r="F222" s="10"/>
      <c r="G222" s="10"/>
      <c r="H222" s="10"/>
      <c r="I222" s="10"/>
      <c r="J222" s="10"/>
      <c r="K222" s="10"/>
      <c r="L222" s="10"/>
      <c r="M222" s="10"/>
      <c r="N222" s="10"/>
      <c r="O222" s="10"/>
      <c r="P222" s="10"/>
      <c r="Q222" s="10"/>
      <c r="R222" s="10"/>
      <c r="S222" s="10"/>
      <c r="T222" s="10"/>
      <c r="U222" s="10"/>
      <c r="V222" s="10"/>
    </row>
    <row r="223" spans="1:22" x14ac:dyDescent="0.35">
      <c r="A223" s="10"/>
      <c r="B223" s="10"/>
      <c r="C223" s="10"/>
      <c r="D223" s="10"/>
      <c r="E223" s="10"/>
      <c r="F223" s="10"/>
      <c r="G223" s="10"/>
      <c r="H223" s="10"/>
      <c r="I223" s="10"/>
      <c r="J223" s="10"/>
      <c r="K223" s="10"/>
      <c r="L223" s="10"/>
      <c r="M223" s="10"/>
      <c r="N223" s="10"/>
      <c r="O223" s="10"/>
      <c r="P223" s="10"/>
      <c r="Q223" s="10"/>
      <c r="R223" s="10"/>
      <c r="S223" s="10"/>
      <c r="T223" s="10"/>
      <c r="U223" s="10"/>
      <c r="V223" s="10"/>
    </row>
    <row r="224" spans="1:22" x14ac:dyDescent="0.35">
      <c r="A224" s="10"/>
      <c r="B224" s="10"/>
      <c r="C224" s="10"/>
      <c r="D224" s="10"/>
      <c r="E224" s="10"/>
      <c r="F224" s="10"/>
      <c r="G224" s="10"/>
      <c r="H224" s="10"/>
      <c r="I224" s="10"/>
      <c r="J224" s="10"/>
      <c r="K224" s="10"/>
      <c r="L224" s="10"/>
      <c r="M224" s="10"/>
      <c r="N224" s="10"/>
      <c r="O224" s="10"/>
      <c r="P224" s="10"/>
      <c r="Q224" s="10"/>
      <c r="R224" s="10"/>
      <c r="S224" s="10"/>
      <c r="T224" s="10"/>
      <c r="U224" s="10"/>
      <c r="V224" s="10"/>
    </row>
    <row r="225" spans="1:22" x14ac:dyDescent="0.35">
      <c r="A225" s="10"/>
      <c r="B225" s="10"/>
      <c r="C225" s="10"/>
      <c r="D225" s="10"/>
      <c r="E225" s="10"/>
      <c r="F225" s="10"/>
      <c r="G225" s="10"/>
      <c r="H225" s="10"/>
      <c r="I225" s="10"/>
      <c r="J225" s="10"/>
      <c r="K225" s="10"/>
      <c r="L225" s="10"/>
      <c r="M225" s="10"/>
      <c r="N225" s="10"/>
      <c r="O225" s="10"/>
      <c r="P225" s="10"/>
      <c r="Q225" s="10"/>
      <c r="R225" s="10"/>
      <c r="S225" s="10"/>
      <c r="T225" s="10"/>
      <c r="U225" s="10"/>
      <c r="V225" s="10"/>
    </row>
    <row r="226" spans="1:22" x14ac:dyDescent="0.35">
      <c r="A226" s="10"/>
      <c r="B226" s="10"/>
      <c r="C226" s="10"/>
      <c r="D226" s="10"/>
      <c r="E226" s="10"/>
      <c r="F226" s="10"/>
      <c r="G226" s="10"/>
      <c r="H226" s="10"/>
      <c r="I226" s="10"/>
      <c r="J226" s="10"/>
      <c r="K226" s="10"/>
      <c r="L226" s="10"/>
      <c r="M226" s="10"/>
      <c r="N226" s="10"/>
      <c r="O226" s="10"/>
      <c r="P226" s="10"/>
      <c r="Q226" s="10"/>
      <c r="R226" s="10"/>
      <c r="S226" s="10"/>
      <c r="T226" s="10"/>
      <c r="U226" s="10"/>
      <c r="V226" s="10"/>
    </row>
    <row r="227" spans="1:22" x14ac:dyDescent="0.35">
      <c r="A227" s="10"/>
      <c r="B227" s="10"/>
      <c r="C227" s="10"/>
      <c r="D227" s="10"/>
      <c r="E227" s="10"/>
      <c r="F227" s="10"/>
      <c r="G227" s="10"/>
      <c r="H227" s="10"/>
      <c r="I227" s="10"/>
      <c r="J227" s="10"/>
      <c r="K227" s="10"/>
      <c r="L227" s="10"/>
      <c r="M227" s="10"/>
      <c r="N227" s="10"/>
      <c r="O227" s="10"/>
      <c r="P227" s="10"/>
      <c r="Q227" s="10"/>
      <c r="R227" s="10"/>
      <c r="S227" s="10"/>
      <c r="T227" s="10"/>
      <c r="U227" s="10"/>
      <c r="V227" s="10"/>
    </row>
    <row r="228" spans="1:22" x14ac:dyDescent="0.35">
      <c r="A228" s="10"/>
      <c r="B228" s="10"/>
      <c r="C228" s="10"/>
      <c r="D228" s="10"/>
      <c r="E228" s="10"/>
      <c r="F228" s="10"/>
      <c r="G228" s="10"/>
      <c r="H228" s="10"/>
      <c r="I228" s="10"/>
      <c r="J228" s="10"/>
      <c r="K228" s="10"/>
      <c r="L228" s="10"/>
      <c r="M228" s="10"/>
      <c r="N228" s="10"/>
      <c r="O228" s="10"/>
      <c r="P228" s="10"/>
      <c r="Q228" s="10"/>
      <c r="R228" s="10"/>
      <c r="S228" s="10"/>
      <c r="T228" s="10"/>
      <c r="U228" s="10"/>
      <c r="V228" s="10"/>
    </row>
    <row r="229" spans="1:22" x14ac:dyDescent="0.35">
      <c r="A229" s="10"/>
      <c r="B229" s="10"/>
      <c r="C229" s="10"/>
      <c r="D229" s="10"/>
      <c r="E229" s="10"/>
      <c r="F229" s="10"/>
      <c r="G229" s="10"/>
      <c r="H229" s="10"/>
      <c r="I229" s="10"/>
      <c r="J229" s="10"/>
      <c r="K229" s="10"/>
      <c r="L229" s="10"/>
      <c r="M229" s="10"/>
      <c r="N229" s="10"/>
      <c r="O229" s="10"/>
      <c r="P229" s="10"/>
      <c r="Q229" s="10"/>
      <c r="R229" s="10"/>
      <c r="S229" s="10"/>
      <c r="T229" s="10"/>
      <c r="U229" s="10"/>
      <c r="V229" s="10"/>
    </row>
    <row r="230" spans="1:22" x14ac:dyDescent="0.35">
      <c r="A230" s="10"/>
      <c r="B230" s="10"/>
      <c r="C230" s="10"/>
      <c r="D230" s="10"/>
      <c r="E230" s="10"/>
      <c r="F230" s="10"/>
      <c r="G230" s="10"/>
      <c r="H230" s="10"/>
      <c r="I230" s="10"/>
      <c r="J230" s="10"/>
      <c r="K230" s="10"/>
      <c r="L230" s="10"/>
      <c r="M230" s="10"/>
      <c r="N230" s="10"/>
      <c r="O230" s="10"/>
      <c r="P230" s="10"/>
      <c r="Q230" s="10"/>
      <c r="R230" s="10"/>
      <c r="S230" s="10"/>
      <c r="T230" s="10"/>
      <c r="U230" s="10"/>
      <c r="V230" s="10"/>
    </row>
    <row r="231" spans="1:22" x14ac:dyDescent="0.35">
      <c r="A231" s="10"/>
      <c r="B231" s="10"/>
      <c r="C231" s="10"/>
      <c r="D231" s="10"/>
      <c r="E231" s="10"/>
      <c r="F231" s="10"/>
      <c r="G231" s="10"/>
      <c r="H231" s="10"/>
      <c r="I231" s="10"/>
      <c r="J231" s="10"/>
      <c r="K231" s="10"/>
      <c r="L231" s="10"/>
      <c r="M231" s="10"/>
      <c r="N231" s="10"/>
      <c r="O231" s="10"/>
      <c r="P231" s="10"/>
      <c r="Q231" s="10"/>
      <c r="R231" s="10"/>
      <c r="S231" s="10"/>
      <c r="T231" s="10"/>
      <c r="U231" s="10"/>
      <c r="V231" s="10"/>
    </row>
    <row r="232" spans="1:22" x14ac:dyDescent="0.35">
      <c r="A232" s="10"/>
      <c r="B232" s="10"/>
      <c r="C232" s="10"/>
      <c r="D232" s="10"/>
      <c r="E232" s="10"/>
      <c r="F232" s="10"/>
      <c r="G232" s="10"/>
      <c r="H232" s="10"/>
      <c r="I232" s="10"/>
      <c r="J232" s="10"/>
      <c r="K232" s="10"/>
      <c r="L232" s="10"/>
      <c r="M232" s="10"/>
      <c r="N232" s="10"/>
      <c r="O232" s="10"/>
      <c r="P232" s="10"/>
      <c r="Q232" s="10"/>
      <c r="R232" s="10"/>
      <c r="S232" s="10"/>
      <c r="T232" s="10"/>
      <c r="U232" s="10"/>
      <c r="V232" s="10"/>
    </row>
    <row r="233" spans="1:22" x14ac:dyDescent="0.35">
      <c r="A233" s="10"/>
      <c r="B233" s="10"/>
      <c r="C233" s="10"/>
      <c r="D233" s="10"/>
      <c r="E233" s="10"/>
      <c r="F233" s="10"/>
      <c r="G233" s="10"/>
      <c r="H233" s="10"/>
      <c r="I233" s="10"/>
      <c r="J233" s="10"/>
      <c r="K233" s="10"/>
      <c r="L233" s="10"/>
      <c r="M233" s="10"/>
      <c r="N233" s="10"/>
      <c r="O233" s="10"/>
      <c r="P233" s="10"/>
      <c r="Q233" s="10"/>
      <c r="R233" s="10"/>
      <c r="S233" s="10"/>
      <c r="T233" s="10"/>
      <c r="U233" s="10"/>
      <c r="V233" s="10"/>
    </row>
    <row r="234" spans="1:22" x14ac:dyDescent="0.35">
      <c r="A234" s="10"/>
      <c r="B234" s="10"/>
      <c r="C234" s="10"/>
      <c r="D234" s="10"/>
      <c r="E234" s="10"/>
      <c r="F234" s="10"/>
      <c r="G234" s="10"/>
      <c r="H234" s="10"/>
      <c r="I234" s="10"/>
      <c r="J234" s="10"/>
      <c r="K234" s="10"/>
      <c r="L234" s="10"/>
      <c r="M234" s="10"/>
      <c r="N234" s="10"/>
      <c r="O234" s="10"/>
      <c r="P234" s="10"/>
      <c r="Q234" s="10"/>
      <c r="R234" s="10"/>
      <c r="S234" s="10"/>
      <c r="T234" s="10"/>
      <c r="U234" s="10"/>
      <c r="V234" s="10"/>
    </row>
    <row r="235" spans="1:22" x14ac:dyDescent="0.35">
      <c r="A235" s="10"/>
      <c r="B235" s="10"/>
      <c r="C235" s="10"/>
      <c r="D235" s="10"/>
      <c r="E235" s="10"/>
      <c r="F235" s="10"/>
      <c r="G235" s="10"/>
      <c r="H235" s="10"/>
      <c r="I235" s="10"/>
      <c r="J235" s="10"/>
      <c r="K235" s="10"/>
      <c r="L235" s="10"/>
      <c r="M235" s="10"/>
      <c r="N235" s="10"/>
      <c r="O235" s="10"/>
      <c r="P235" s="10"/>
      <c r="Q235" s="10"/>
      <c r="R235" s="10"/>
      <c r="S235" s="10"/>
      <c r="T235" s="10"/>
      <c r="U235" s="10"/>
      <c r="V235" s="10"/>
    </row>
    <row r="236" spans="1:22" x14ac:dyDescent="0.35">
      <c r="A236" s="10"/>
      <c r="B236" s="10"/>
      <c r="C236" s="10"/>
      <c r="D236" s="10"/>
      <c r="E236" s="10"/>
      <c r="F236" s="10"/>
      <c r="G236" s="10"/>
      <c r="H236" s="10"/>
      <c r="I236" s="10"/>
      <c r="J236" s="10"/>
      <c r="K236" s="10"/>
      <c r="L236" s="10"/>
      <c r="M236" s="10"/>
      <c r="N236" s="10"/>
      <c r="O236" s="10"/>
      <c r="P236" s="10"/>
      <c r="Q236" s="10"/>
      <c r="R236" s="10"/>
      <c r="S236" s="10"/>
      <c r="T236" s="10"/>
      <c r="U236" s="10"/>
      <c r="V236" s="10"/>
    </row>
    <row r="237" spans="1:22" x14ac:dyDescent="0.35">
      <c r="A237" s="10"/>
      <c r="B237" s="10"/>
      <c r="C237" s="10"/>
      <c r="D237" s="10"/>
      <c r="E237" s="10"/>
      <c r="F237" s="10"/>
      <c r="G237" s="10"/>
      <c r="H237" s="10"/>
      <c r="I237" s="10"/>
      <c r="J237" s="10"/>
      <c r="K237" s="10"/>
      <c r="L237" s="10"/>
      <c r="M237" s="10"/>
      <c r="N237" s="10"/>
      <c r="O237" s="10"/>
      <c r="P237" s="10"/>
      <c r="Q237" s="10"/>
      <c r="R237" s="10"/>
      <c r="S237" s="10"/>
      <c r="T237" s="10"/>
      <c r="U237" s="10"/>
      <c r="V237" s="10"/>
    </row>
    <row r="238" spans="1:22" x14ac:dyDescent="0.35">
      <c r="A238" s="10"/>
      <c r="B238" s="10"/>
      <c r="C238" s="10"/>
      <c r="D238" s="10"/>
      <c r="E238" s="10"/>
      <c r="F238" s="10"/>
      <c r="G238" s="10"/>
      <c r="H238" s="10"/>
      <c r="I238" s="10"/>
      <c r="J238" s="10"/>
      <c r="K238" s="10"/>
      <c r="L238" s="10"/>
      <c r="M238" s="10"/>
      <c r="N238" s="10"/>
      <c r="O238" s="10"/>
      <c r="P238" s="10"/>
      <c r="Q238" s="10"/>
      <c r="R238" s="10"/>
      <c r="S238" s="10"/>
      <c r="T238" s="10"/>
      <c r="U238" s="10"/>
      <c r="V238" s="10"/>
    </row>
    <row r="239" spans="1:22" x14ac:dyDescent="0.35">
      <c r="A239" s="10"/>
      <c r="B239" s="10"/>
      <c r="C239" s="10"/>
      <c r="D239" s="10"/>
      <c r="E239" s="10"/>
      <c r="F239" s="10"/>
      <c r="G239" s="10"/>
      <c r="H239" s="10"/>
      <c r="I239" s="10"/>
      <c r="J239" s="10"/>
      <c r="K239" s="10"/>
      <c r="L239" s="10"/>
      <c r="M239" s="10"/>
      <c r="N239" s="10"/>
      <c r="O239" s="10"/>
      <c r="P239" s="10"/>
      <c r="Q239" s="10"/>
      <c r="R239" s="10"/>
      <c r="S239" s="10"/>
      <c r="T239" s="10"/>
      <c r="U239" s="10"/>
      <c r="V239" s="10"/>
    </row>
    <row r="240" spans="1:22" x14ac:dyDescent="0.35">
      <c r="A240" s="10"/>
      <c r="B240" s="10"/>
      <c r="C240" s="10"/>
      <c r="D240" s="10"/>
      <c r="E240" s="10"/>
      <c r="F240" s="10"/>
      <c r="G240" s="10"/>
      <c r="H240" s="10"/>
      <c r="I240" s="10"/>
      <c r="J240" s="10"/>
      <c r="K240" s="10"/>
      <c r="L240" s="10"/>
      <c r="M240" s="10"/>
      <c r="N240" s="10"/>
      <c r="O240" s="10"/>
      <c r="P240" s="10"/>
      <c r="Q240" s="10"/>
      <c r="R240" s="10"/>
      <c r="S240" s="10"/>
      <c r="T240" s="10"/>
      <c r="U240" s="10"/>
      <c r="V240" s="10"/>
    </row>
    <row r="241" spans="1:22" x14ac:dyDescent="0.35">
      <c r="A241" s="10"/>
      <c r="B241" s="10"/>
      <c r="C241" s="10"/>
      <c r="D241" s="10"/>
      <c r="E241" s="10"/>
      <c r="F241" s="10"/>
      <c r="G241" s="10"/>
      <c r="H241" s="10"/>
      <c r="I241" s="10"/>
      <c r="J241" s="10"/>
      <c r="K241" s="10"/>
      <c r="L241" s="10"/>
      <c r="M241" s="10"/>
      <c r="N241" s="10"/>
      <c r="O241" s="10"/>
      <c r="P241" s="10"/>
      <c r="Q241" s="10"/>
      <c r="R241" s="10"/>
      <c r="S241" s="10"/>
      <c r="T241" s="10"/>
      <c r="U241" s="10"/>
      <c r="V241" s="10"/>
    </row>
    <row r="242" spans="1:22" x14ac:dyDescent="0.35">
      <c r="A242" s="10"/>
      <c r="B242" s="10"/>
      <c r="C242" s="10"/>
      <c r="D242" s="10"/>
      <c r="E242" s="10"/>
      <c r="F242" s="10"/>
      <c r="G242" s="10"/>
      <c r="H242" s="10"/>
      <c r="I242" s="10"/>
      <c r="J242" s="10"/>
      <c r="K242" s="10"/>
      <c r="L242" s="10"/>
      <c r="M242" s="10"/>
      <c r="N242" s="10"/>
      <c r="O242" s="10"/>
      <c r="P242" s="10"/>
      <c r="Q242" s="10"/>
      <c r="R242" s="10"/>
      <c r="S242" s="10"/>
      <c r="T242" s="10"/>
      <c r="U242" s="10"/>
      <c r="V242" s="10"/>
    </row>
    <row r="243" spans="1:22" x14ac:dyDescent="0.35">
      <c r="A243" s="10"/>
      <c r="B243" s="10"/>
      <c r="C243" s="10"/>
      <c r="D243" s="10"/>
      <c r="E243" s="10"/>
      <c r="F243" s="10"/>
      <c r="G243" s="10"/>
      <c r="H243" s="10"/>
      <c r="I243" s="10"/>
      <c r="J243" s="10"/>
      <c r="K243" s="10"/>
      <c r="L243" s="10"/>
      <c r="M243" s="10"/>
      <c r="N243" s="10"/>
      <c r="O243" s="10"/>
      <c r="P243" s="10"/>
      <c r="Q243" s="10"/>
      <c r="R243" s="10"/>
      <c r="S243" s="10"/>
      <c r="T243" s="10"/>
      <c r="U243" s="10"/>
      <c r="V243"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1" r:id="rId4" name="Check Box 3">
              <controlPr defaultSize="0" autoFill="0" autoLine="0" autoPict="0">
                <anchor moveWithCells="1">
                  <from>
                    <xdr:col>2</xdr:col>
                    <xdr:colOff>558800</xdr:colOff>
                    <xdr:row>4</xdr:row>
                    <xdr:rowOff>25400</xdr:rowOff>
                  </from>
                  <to>
                    <xdr:col>4</xdr:col>
                    <xdr:colOff>25400</xdr:colOff>
                    <xdr:row>5</xdr:row>
                    <xdr:rowOff>63500</xdr:rowOff>
                  </to>
                </anchor>
              </controlPr>
            </control>
          </mc:Choice>
        </mc:AlternateContent>
        <mc:AlternateContent xmlns:mc="http://schemas.openxmlformats.org/markup-compatibility/2006">
          <mc:Choice Requires="x14">
            <control shapeId="2052" r:id="rId5" name="Drop Down 4">
              <controlPr defaultSize="0" autoLine="0" autoPict="0">
                <anchor moveWithCells="1">
                  <from>
                    <xdr:col>2</xdr:col>
                    <xdr:colOff>69850</xdr:colOff>
                    <xdr:row>7</xdr:row>
                    <xdr:rowOff>44450</xdr:rowOff>
                  </from>
                  <to>
                    <xdr:col>4</xdr:col>
                    <xdr:colOff>444500</xdr:colOff>
                    <xdr:row>8</xdr:row>
                    <xdr:rowOff>31750</xdr:rowOff>
                  </to>
                </anchor>
              </controlPr>
            </control>
          </mc:Choice>
        </mc:AlternateContent>
        <mc:AlternateContent xmlns:mc="http://schemas.openxmlformats.org/markup-compatibility/2006">
          <mc:Choice Requires="x14">
            <control shapeId="2053" r:id="rId6" name="Drop Down 5">
              <controlPr defaultSize="0" autoLine="0" autoPict="0">
                <anchor moveWithCells="1">
                  <from>
                    <xdr:col>2</xdr:col>
                    <xdr:colOff>69850</xdr:colOff>
                    <xdr:row>8</xdr:row>
                    <xdr:rowOff>120650</xdr:rowOff>
                  </from>
                  <to>
                    <xdr:col>4</xdr:col>
                    <xdr:colOff>444500</xdr:colOff>
                    <xdr:row>9</xdr:row>
                    <xdr:rowOff>120650</xdr:rowOff>
                  </to>
                </anchor>
              </controlPr>
            </control>
          </mc:Choice>
        </mc:AlternateContent>
        <mc:AlternateContent xmlns:mc="http://schemas.openxmlformats.org/markup-compatibility/2006">
          <mc:Choice Requires="x14">
            <control shapeId="2054" r:id="rId7" name="Drop Down 6">
              <controlPr defaultSize="0" autoLine="0" autoPict="0">
                <anchor moveWithCells="1">
                  <from>
                    <xdr:col>2</xdr:col>
                    <xdr:colOff>76200</xdr:colOff>
                    <xdr:row>5</xdr:row>
                    <xdr:rowOff>152400</xdr:rowOff>
                  </from>
                  <to>
                    <xdr:col>4</xdr:col>
                    <xdr:colOff>444500</xdr:colOff>
                    <xdr:row>6</xdr:row>
                    <xdr:rowOff>139700</xdr:rowOff>
                  </to>
                </anchor>
              </controlPr>
            </control>
          </mc:Choice>
        </mc:AlternateContent>
        <mc:AlternateContent xmlns:mc="http://schemas.openxmlformats.org/markup-compatibility/2006">
          <mc:Choice Requires="x14">
            <control shapeId="2055" r:id="rId8" name="Drop Down 7">
              <controlPr defaultSize="0" autoLine="0" autoPict="0">
                <anchor moveWithCells="1">
                  <from>
                    <xdr:col>2</xdr:col>
                    <xdr:colOff>63500</xdr:colOff>
                    <xdr:row>14</xdr:row>
                    <xdr:rowOff>0</xdr:rowOff>
                  </from>
                  <to>
                    <xdr:col>4</xdr:col>
                    <xdr:colOff>450850</xdr:colOff>
                    <xdr:row>15</xdr:row>
                    <xdr:rowOff>6350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1D8A0-E8DB-4229-BF23-260ED4A4EABB}">
  <dimension ref="B1:AU205"/>
  <sheetViews>
    <sheetView topLeftCell="AI1" zoomScaleNormal="100" workbookViewId="0">
      <selection activeCell="S15" sqref="S15"/>
    </sheetView>
  </sheetViews>
  <sheetFormatPr defaultColWidth="8.7265625" defaultRowHeight="14.5" x14ac:dyDescent="0.35"/>
  <cols>
    <col min="17" max="17" width="50.81640625" bestFit="1" customWidth="1"/>
    <col min="18" max="18" width="32.453125" customWidth="1"/>
    <col min="28" max="28" width="36.81640625" bestFit="1" customWidth="1"/>
    <col min="29" max="29" width="10.81640625" customWidth="1"/>
    <col min="41" max="41" width="51.81640625" bestFit="1" customWidth="1"/>
    <col min="42" max="42" width="46" customWidth="1"/>
  </cols>
  <sheetData>
    <row r="1" spans="2:47" ht="15" thickBot="1" x14ac:dyDescent="0.4"/>
    <row r="2" spans="2:47" x14ac:dyDescent="0.35">
      <c r="B2" s="1">
        <v>4</v>
      </c>
      <c r="C2" s="2" t="str">
        <f ca="1">OFFSET(B2,B2,0)</f>
        <v>South Asia</v>
      </c>
      <c r="D2" s="2"/>
      <c r="E2" s="2">
        <v>1</v>
      </c>
      <c r="F2" s="2" t="str">
        <f ca="1">OFFSET(E2,E2,0)</f>
        <v>All Income Levels</v>
      </c>
      <c r="G2" s="2"/>
      <c r="H2" s="2">
        <v>1</v>
      </c>
      <c r="I2" s="2" t="str">
        <f ca="1">OFFSET(H2,H2,1)</f>
        <v>Data!$AJ:$AJ</v>
      </c>
      <c r="J2" s="2" t="str">
        <f ca="1">RIGHT(OFFSET(H2,H2,1),2)</f>
        <v>AJ</v>
      </c>
      <c r="K2" s="2"/>
      <c r="L2" s="2">
        <v>1</v>
      </c>
      <c r="M2" s="2" t="str">
        <f ca="1">OFFSET(L2,L2,0)</f>
        <v>All Countries</v>
      </c>
      <c r="N2" s="3"/>
      <c r="AC2" t="s">
        <v>1192</v>
      </c>
      <c r="AD2" s="9" t="s">
        <v>1185</v>
      </c>
      <c r="AE2" t="s">
        <v>1186</v>
      </c>
      <c r="AF2" t="s">
        <v>1187</v>
      </c>
      <c r="AG2" t="s">
        <v>1194</v>
      </c>
    </row>
    <row r="3" spans="2:47" x14ac:dyDescent="0.35">
      <c r="B3" s="4" t="s">
        <v>1015</v>
      </c>
      <c r="C3" t="str">
        <f>IF(B2&gt;1,"Data!$O:$O","Data!$AE:$AE")</f>
        <v>Data!$O:$O</v>
      </c>
      <c r="E3" s="9" t="s">
        <v>1016</v>
      </c>
      <c r="F3" t="str">
        <f>IF(E2&gt;1,"Data!$Q:$Q","Data!$AF:$AF")</f>
        <v>Data!$AF:$AF</v>
      </c>
      <c r="H3" s="9" t="s">
        <v>1017</v>
      </c>
      <c r="I3" s="9" t="s">
        <v>1020</v>
      </c>
      <c r="L3" s="9" t="s">
        <v>1025</v>
      </c>
      <c r="M3" t="str">
        <f>IF(L2&gt;1,"Data!$A:$A","Data!$AK:$AK")</f>
        <v>Data!$AK:$AK</v>
      </c>
      <c r="N3" s="5"/>
      <c r="P3">
        <v>1</v>
      </c>
      <c r="Q3" t="s">
        <v>1026</v>
      </c>
      <c r="R3">
        <v>1</v>
      </c>
      <c r="S3" t="s">
        <v>1033</v>
      </c>
      <c r="Y3">
        <v>7</v>
      </c>
      <c r="Z3" t="s">
        <v>1032</v>
      </c>
      <c r="AA3" t="s">
        <v>1069</v>
      </c>
      <c r="AB3" t="s">
        <v>1069</v>
      </c>
      <c r="AC3">
        <f ca="1">COUNTIFS(Data!$J:$J,$Y3,Data!$AJ:$AJ,$AA3,INDIRECT($C$3),$C$2,INDIRECT($F$3),$F$2,INDIRECT($I$2),1,INDIRECT($M$3),$M$2,INDIRECT($I$9),1)</f>
        <v>0</v>
      </c>
      <c r="AD3" t="e">
        <f ca="1">IF(AC3&gt;0,RANK(AC3,AC$3:AC$55),#N/A)</f>
        <v>#N/A</v>
      </c>
      <c r="AE3">
        <f>ROW(AE3)</f>
        <v>3</v>
      </c>
      <c r="AF3">
        <f ca="1">COUNTIF(AD$3:AD3,AD3)</f>
        <v>1</v>
      </c>
      <c r="AG3" s="19" t="e">
        <f ca="1">AC3/$AH$17*100</f>
        <v>#REF!</v>
      </c>
      <c r="AO3" s="76" t="str">
        <f>Z3</f>
        <v>Credit and equity measures</v>
      </c>
      <c r="AP3" t="str">
        <f>AB3</f>
        <v>Other</v>
      </c>
      <c r="AQ3">
        <f ca="1">AC3</f>
        <v>0</v>
      </c>
    </row>
    <row r="4" spans="2:47" x14ac:dyDescent="0.35">
      <c r="B4" s="4" t="s">
        <v>989</v>
      </c>
      <c r="C4" t="str">
        <f>IF(B2&gt;1,"O","AE")</f>
        <v>O</v>
      </c>
      <c r="E4" s="9" t="s">
        <v>1001</v>
      </c>
      <c r="F4" t="str">
        <f>IF(E2&gt;1,"Q","AF")</f>
        <v>AF</v>
      </c>
      <c r="H4" s="9" t="s">
        <v>1018</v>
      </c>
      <c r="I4" s="9" t="s">
        <v>1021</v>
      </c>
      <c r="K4" t="e">
        <f>IF(VLOOKUP($L4,Data!$B$2:$AI$1588,39,FALSE)=1,1+MAX($K$3:K3),0)</f>
        <v>#N/A</v>
      </c>
      <c r="L4" t="s">
        <v>3</v>
      </c>
      <c r="M4" t="str">
        <f>IF(L2&gt;1,"A","AK")</f>
        <v>AK</v>
      </c>
      <c r="N4" s="5"/>
      <c r="P4">
        <v>1</v>
      </c>
      <c r="Q4" t="s">
        <v>1026</v>
      </c>
      <c r="R4">
        <v>2</v>
      </c>
      <c r="S4" t="s">
        <v>1045</v>
      </c>
      <c r="Y4">
        <v>7</v>
      </c>
      <c r="Z4" t="s">
        <v>1032</v>
      </c>
      <c r="AA4">
        <v>32</v>
      </c>
      <c r="AB4" t="s">
        <v>1065</v>
      </c>
      <c r="AC4">
        <f ca="1">COUNTIFS(Data!$J:$J,$Y4,Data!$AJ:$AJ,$AA4,INDIRECT($C$3),$C$2,INDIRECT($F$3),$F$2,INDIRECT($I$2),1,INDIRECT($M$3),$M$2,INDIRECT($I$9),1)</f>
        <v>0</v>
      </c>
      <c r="AD4" t="e">
        <f t="shared" ref="AD4:AD55" ca="1" si="0">IF(AC4&gt;0,RANK(AC4,AC$3:AC$55),#N/A)</f>
        <v>#N/A</v>
      </c>
      <c r="AE4">
        <f t="shared" ref="AE4:AE55" si="1">ROW(AE4)</f>
        <v>4</v>
      </c>
      <c r="AF4">
        <f ca="1">COUNTIF(AD$3:AD4,AD4)</f>
        <v>2</v>
      </c>
      <c r="AG4" s="19" t="e">
        <f t="shared" ref="AG4:AG6" ca="1" si="2">AC4/$AH$17*100</f>
        <v>#REF!</v>
      </c>
      <c r="AO4" s="76"/>
      <c r="AP4" t="str">
        <f t="shared" ref="AP4:AP6" si="3">AB4</f>
        <v>Preferential loans to households</v>
      </c>
      <c r="AQ4">
        <f t="shared" ref="AQ4:AQ6" ca="1" si="4">AC4</f>
        <v>0</v>
      </c>
    </row>
    <row r="5" spans="2:47" x14ac:dyDescent="0.35">
      <c r="B5" s="4" t="s">
        <v>990</v>
      </c>
      <c r="E5" s="9" t="s">
        <v>1002</v>
      </c>
      <c r="H5" s="9" t="s">
        <v>1019</v>
      </c>
      <c r="I5" s="9" t="s">
        <v>1022</v>
      </c>
      <c r="K5" t="e">
        <f>IF(VLOOKUP($L5,Data!$B$2:$AI$1588,39,FALSE)=1,1+MAX($K$3:K4),0)</f>
        <v>#N/A</v>
      </c>
      <c r="L5" t="s">
        <v>6</v>
      </c>
      <c r="N5" s="5"/>
      <c r="P5">
        <v>1</v>
      </c>
      <c r="Q5" t="s">
        <v>1026</v>
      </c>
      <c r="R5">
        <v>3</v>
      </c>
      <c r="S5" t="s">
        <v>1053</v>
      </c>
      <c r="Y5">
        <v>7</v>
      </c>
      <c r="Z5" t="s">
        <v>1032</v>
      </c>
      <c r="AA5">
        <v>31</v>
      </c>
      <c r="AB5" t="s">
        <v>1064</v>
      </c>
      <c r="AC5">
        <f ca="1">COUNTIFS(Data!$J:$J,$Y5,Data!$AJ:$AJ,$AA5,INDIRECT($C$3),$C$2,INDIRECT($F$3),$F$2,INDIRECT($I$2),1,INDIRECT($M$3),$M$2,INDIRECT($I$9),1)</f>
        <v>0</v>
      </c>
      <c r="AD5" t="e">
        <f t="shared" ca="1" si="0"/>
        <v>#N/A</v>
      </c>
      <c r="AE5">
        <f t="shared" si="1"/>
        <v>5</v>
      </c>
      <c r="AF5">
        <f ca="1">COUNTIF(AD$3:AD5,AD5)</f>
        <v>3</v>
      </c>
      <c r="AG5" s="19" t="e">
        <f t="shared" ca="1" si="2"/>
        <v>#REF!</v>
      </c>
      <c r="AO5" s="76"/>
      <c r="AP5" t="str">
        <f t="shared" si="3"/>
        <v>One-off grants</v>
      </c>
      <c r="AQ5">
        <f t="shared" ca="1" si="4"/>
        <v>0</v>
      </c>
      <c r="AT5" t="s">
        <v>1612</v>
      </c>
      <c r="AU5" t="s">
        <v>1613</v>
      </c>
    </row>
    <row r="6" spans="2:47" x14ac:dyDescent="0.35">
      <c r="B6" s="4" t="s">
        <v>991</v>
      </c>
      <c r="E6" s="9" t="s">
        <v>1003</v>
      </c>
      <c r="H6" s="9" t="s">
        <v>1024</v>
      </c>
      <c r="I6" s="9" t="s">
        <v>1023</v>
      </c>
      <c r="K6" t="e">
        <f>IF(VLOOKUP($L6,Data!$B$2:$AI$1588,39,FALSE)=1,1+MAX($K$3:K5),0)</f>
        <v>#N/A</v>
      </c>
      <c r="L6" t="s">
        <v>52</v>
      </c>
      <c r="N6" s="5"/>
      <c r="P6">
        <v>1</v>
      </c>
      <c r="Q6" t="s">
        <v>1026</v>
      </c>
      <c r="R6">
        <v>4</v>
      </c>
      <c r="S6" t="s">
        <v>1046</v>
      </c>
      <c r="Y6">
        <v>7</v>
      </c>
      <c r="Z6" t="s">
        <v>1032</v>
      </c>
      <c r="AA6">
        <v>30</v>
      </c>
      <c r="AB6" t="s">
        <v>1063</v>
      </c>
      <c r="AC6">
        <f ca="1">COUNTIFS(Data!$J:$J,$Y6,Data!$AJ:$AJ,$AA6,INDIRECT($C$3),$C$2,INDIRECT($F$3),$F$2,INDIRECT($I$2),1,INDIRECT($M$3),$M$2,INDIRECT($I$9),1)</f>
        <v>0</v>
      </c>
      <c r="AD6" t="e">
        <f t="shared" ca="1" si="0"/>
        <v>#N/A</v>
      </c>
      <c r="AE6">
        <f t="shared" si="1"/>
        <v>6</v>
      </c>
      <c r="AF6">
        <f ca="1">COUNTIF(AD$3:AD6,AD6)</f>
        <v>4</v>
      </c>
      <c r="AG6" s="19" t="e">
        <f t="shared" ca="1" si="2"/>
        <v>#REF!</v>
      </c>
      <c r="AH6" t="str">
        <f ca="1">_xlfn.CONCAT("Total revenue measures: ",AH7)</f>
        <v>Total revenue measures: 0</v>
      </c>
      <c r="AO6" s="76"/>
      <c r="AP6" t="str">
        <f t="shared" si="3"/>
        <v>Preferential loans to firms</v>
      </c>
      <c r="AQ6">
        <f t="shared" ca="1" si="4"/>
        <v>0</v>
      </c>
      <c r="AT6" t="e">
        <f>COUNTIFS(Data!#REF!,1,Data!$AL:$AL,1)</f>
        <v>#REF!</v>
      </c>
      <c r="AU6" t="e">
        <f ca="1">AH17-AT6</f>
        <v>#REF!</v>
      </c>
    </row>
    <row r="7" spans="2:47" x14ac:dyDescent="0.35">
      <c r="B7" s="4" t="s">
        <v>992</v>
      </c>
      <c r="E7" s="9" t="s">
        <v>1000</v>
      </c>
      <c r="I7" t="str">
        <f ca="1">OFFSET(H2,H2,0)</f>
        <v>All Lending Categories</v>
      </c>
      <c r="K7" t="e">
        <f>IF(VLOOKUP($L7,Data!$B$2:$AI$1588,39,FALSE)=1,1+MAX($K$3:K6),0)</f>
        <v>#N/A</v>
      </c>
      <c r="L7" t="s">
        <v>4</v>
      </c>
      <c r="N7" s="5"/>
      <c r="P7">
        <v>1</v>
      </c>
      <c r="Q7" t="s">
        <v>1026</v>
      </c>
      <c r="R7">
        <v>5</v>
      </c>
      <c r="S7" t="s">
        <v>1047</v>
      </c>
      <c r="AG7" s="18"/>
      <c r="AH7">
        <f ca="1">SUM(Q57:Q61)</f>
        <v>0</v>
      </c>
      <c r="AO7" s="76" t="str">
        <f>Z8</f>
        <v>Expenditure Measures for cash transfers to individuals</v>
      </c>
      <c r="AP7" t="str">
        <f t="shared" ref="AP7:AQ12" si="5">AB8</f>
        <v>Other</v>
      </c>
      <c r="AQ7">
        <f t="shared" ca="1" si="5"/>
        <v>0</v>
      </c>
    </row>
    <row r="8" spans="2:47" x14ac:dyDescent="0.35">
      <c r="B8" s="4" t="s">
        <v>993</v>
      </c>
      <c r="K8" t="e">
        <f>IF(VLOOKUP($L8,Data!$B$2:$AI$1588,39,FALSE)=1,1+MAX($K$3:K7),0)</f>
        <v>#N/A</v>
      </c>
      <c r="L8" t="s">
        <v>5</v>
      </c>
      <c r="N8" s="5"/>
      <c r="P8">
        <v>1</v>
      </c>
      <c r="Q8" t="s">
        <v>1026</v>
      </c>
      <c r="R8">
        <v>6</v>
      </c>
      <c r="S8" t="s">
        <v>1048</v>
      </c>
      <c r="Y8">
        <v>6</v>
      </c>
      <c r="Z8" t="s">
        <v>1031</v>
      </c>
      <c r="AA8" t="s">
        <v>1069</v>
      </c>
      <c r="AB8" t="s">
        <v>1069</v>
      </c>
      <c r="AC8">
        <f ca="1">COUNTIFS(Data!$J:$J,$Y8,Data!$AJ:$AJ,$AA8,INDIRECT($C$3),$C$2,INDIRECT($F$3),$F$2,INDIRECT($I$2),1,INDIRECT($M$3),$M$2,INDIRECT($I$9),1)</f>
        <v>0</v>
      </c>
      <c r="AD8" t="e">
        <f t="shared" ca="1" si="0"/>
        <v>#N/A</v>
      </c>
      <c r="AE8">
        <f t="shared" si="1"/>
        <v>8</v>
      </c>
      <c r="AF8">
        <f ca="1">COUNTIF(AD$3:AD8,AD8)</f>
        <v>5</v>
      </c>
      <c r="AG8" s="19" t="e">
        <f t="shared" ref="AG8:AG13" ca="1" si="6">AC8/$AH$17*100</f>
        <v>#REF!</v>
      </c>
      <c r="AO8" s="76"/>
      <c r="AP8" t="str">
        <f t="shared" si="5"/>
        <v>Wage compensation/ enhanced paid leave</v>
      </c>
      <c r="AQ8">
        <f t="shared" ca="1" si="5"/>
        <v>0</v>
      </c>
    </row>
    <row r="9" spans="2:47" x14ac:dyDescent="0.35">
      <c r="B9" s="4" t="s">
        <v>994</v>
      </c>
      <c r="G9" s="9" t="s">
        <v>1042</v>
      </c>
      <c r="H9" t="b">
        <v>0</v>
      </c>
      <c r="I9" t="str">
        <f>IF(H9,"Data!$R:$R","Data!$AJ:$AJ")</f>
        <v>Data!$AJ:$AJ</v>
      </c>
      <c r="K9" t="e">
        <f>IF(VLOOKUP($L9,Data!$B$2:$AI$1588,39,FALSE)=1,1+MAX($K$3:K8),0)</f>
        <v>#N/A</v>
      </c>
      <c r="L9" t="s">
        <v>10</v>
      </c>
      <c r="N9" s="5"/>
      <c r="P9">
        <v>1</v>
      </c>
      <c r="Q9" t="s">
        <v>1026</v>
      </c>
      <c r="R9">
        <v>7</v>
      </c>
      <c r="S9" t="s">
        <v>1049</v>
      </c>
      <c r="Y9">
        <v>6</v>
      </c>
      <c r="Z9" t="s">
        <v>1031</v>
      </c>
      <c r="AA9">
        <v>29</v>
      </c>
      <c r="AB9" t="s">
        <v>1062</v>
      </c>
      <c r="AC9">
        <f ca="1">COUNTIFS(Data!$J:$J,$Y9,Data!$AJ:$AJ,$AA9,INDIRECT($C$3),$C$2,INDIRECT($F$3),$F$2,INDIRECT($I$2),1,INDIRECT($M$3),$M$2,INDIRECT($I$9),1)</f>
        <v>0</v>
      </c>
      <c r="AD9" t="e">
        <f t="shared" ca="1" si="0"/>
        <v>#N/A</v>
      </c>
      <c r="AE9">
        <f t="shared" si="1"/>
        <v>9</v>
      </c>
      <c r="AF9">
        <f ca="1">COUNTIF(AD$3:AD9,AD9)</f>
        <v>6</v>
      </c>
      <c r="AG9" s="19" t="e">
        <f t="shared" ca="1" si="6"/>
        <v>#REF!</v>
      </c>
      <c r="AH9" t="str">
        <f ca="1">_xlfn.CONCAT("Total expenditure measures: ",AH10)</f>
        <v>Total expenditure measures: 0</v>
      </c>
      <c r="AO9" s="76"/>
      <c r="AP9" t="str">
        <f t="shared" si="5"/>
        <v>Supplementary ad hoc programs</v>
      </c>
      <c r="AQ9">
        <f t="shared" ca="1" si="5"/>
        <v>0</v>
      </c>
    </row>
    <row r="10" spans="2:47" x14ac:dyDescent="0.35">
      <c r="B10" s="4" t="s">
        <v>995</v>
      </c>
      <c r="G10" t="str">
        <f>IF(H9,"FCV","both FCV and Non-FCV")</f>
        <v>both FCV and Non-FCV</v>
      </c>
      <c r="I10" t="str">
        <f>IF(H9,"R","AJ")</f>
        <v>AJ</v>
      </c>
      <c r="K10" t="e">
        <f>IF(VLOOKUP($L10,Data!$B$2:$AI$1588,39,FALSE)=1,1+MAX($K$3:K9),0)</f>
        <v>#N/A</v>
      </c>
      <c r="L10" t="s">
        <v>8</v>
      </c>
      <c r="N10" s="5"/>
      <c r="P10">
        <v>1</v>
      </c>
      <c r="Q10" t="s">
        <v>1026</v>
      </c>
      <c r="R10">
        <v>8</v>
      </c>
      <c r="S10" t="s">
        <v>1034</v>
      </c>
      <c r="Y10">
        <v>6</v>
      </c>
      <c r="Z10" t="s">
        <v>1031</v>
      </c>
      <c r="AA10">
        <v>28</v>
      </c>
      <c r="AB10" t="s">
        <v>1061</v>
      </c>
      <c r="AC10">
        <f ca="1">COUNTIFS(Data!$J:$J,$Y10,Data!$AJ:$AJ,$AA10,INDIRECT($C$3),$C$2,INDIRECT($F$3),$F$2,INDIRECT($I$2),1,INDIRECT($M$3),$M$2,INDIRECT($I$9),1)</f>
        <v>0</v>
      </c>
      <c r="AD10" t="e">
        <f t="shared" ca="1" si="0"/>
        <v>#N/A</v>
      </c>
      <c r="AE10">
        <f t="shared" si="1"/>
        <v>10</v>
      </c>
      <c r="AF10">
        <f ca="1">COUNTIF(AD$3:AD10,AD10)</f>
        <v>7</v>
      </c>
      <c r="AG10" s="19" t="e">
        <f t="shared" ca="1" si="6"/>
        <v>#REF!</v>
      </c>
      <c r="AH10">
        <f ca="1">SUM(Q54:Q56)</f>
        <v>0</v>
      </c>
      <c r="AO10" s="76"/>
      <c r="AP10" t="str">
        <f t="shared" si="5"/>
        <v>Temporary expansion of existing benefits</v>
      </c>
      <c r="AQ10">
        <f t="shared" ca="1" si="5"/>
        <v>0</v>
      </c>
    </row>
    <row r="11" spans="2:47" x14ac:dyDescent="0.35">
      <c r="B11" s="4"/>
      <c r="K11" t="e">
        <f>IF(VLOOKUP($L11,Data!$B$2:$AI$1588,39,FALSE)=1,1+MAX($K$3:K10),0)</f>
        <v>#N/A</v>
      </c>
      <c r="L11" t="s">
        <v>9</v>
      </c>
      <c r="N11" s="5"/>
      <c r="P11">
        <v>1</v>
      </c>
      <c r="Q11" t="s">
        <v>1026</v>
      </c>
      <c r="R11">
        <v>9</v>
      </c>
      <c r="S11" t="s">
        <v>1050</v>
      </c>
      <c r="Y11">
        <v>6</v>
      </c>
      <c r="Z11" t="s">
        <v>1031</v>
      </c>
      <c r="AA11">
        <v>27</v>
      </c>
      <c r="AB11" t="s">
        <v>1060</v>
      </c>
      <c r="AC11">
        <f ca="1">COUNTIFS(Data!$J:$J,$Y11,Data!$AJ:$AJ,$AA11,INDIRECT($C$3),$C$2,INDIRECT($F$3),$F$2,INDIRECT($I$2),1,INDIRECT($M$3),$M$2,INDIRECT($I$9),1)</f>
        <v>0</v>
      </c>
      <c r="AD11" t="e">
        <f t="shared" ca="1" si="0"/>
        <v>#N/A</v>
      </c>
      <c r="AE11">
        <f t="shared" si="1"/>
        <v>11</v>
      </c>
      <c r="AF11">
        <f ca="1">COUNTIF(AD$3:AD11,AD11)</f>
        <v>8</v>
      </c>
      <c r="AG11" s="19" t="e">
        <f t="shared" ca="1" si="6"/>
        <v>#REF!</v>
      </c>
      <c r="AO11" s="76"/>
      <c r="AP11" t="str">
        <f t="shared" si="5"/>
        <v>Expansion of unemployment benefits</v>
      </c>
      <c r="AQ11">
        <f t="shared" ca="1" si="5"/>
        <v>0</v>
      </c>
    </row>
    <row r="12" spans="2:47" x14ac:dyDescent="0.35">
      <c r="B12" s="4"/>
      <c r="K12" t="e">
        <f>IF(VLOOKUP($L12,Data!$B$2:$AI$1588,39,FALSE)=1,1+MAX($K$3:K11),0)</f>
        <v>#N/A</v>
      </c>
      <c r="L12" t="s">
        <v>2</v>
      </c>
      <c r="N12" s="5"/>
      <c r="P12">
        <v>1</v>
      </c>
      <c r="Q12" t="s">
        <v>1026</v>
      </c>
      <c r="R12">
        <v>10</v>
      </c>
      <c r="S12" t="s">
        <v>1051</v>
      </c>
      <c r="Y12">
        <v>6</v>
      </c>
      <c r="Z12" t="s">
        <v>1031</v>
      </c>
      <c r="AA12">
        <v>26</v>
      </c>
      <c r="AB12" t="s">
        <v>1059</v>
      </c>
      <c r="AC12">
        <f ca="1">COUNTIFS(Data!$J:$J,$Y12,Data!$AJ:$AJ,$AA12,INDIRECT($C$3),$C$2,INDIRECT($F$3),$F$2,INDIRECT($I$2),1,INDIRECT($M$3),$M$2,INDIRECT($I$9),1)</f>
        <v>0</v>
      </c>
      <c r="AD12" t="e">
        <f t="shared" ca="1" si="0"/>
        <v>#N/A</v>
      </c>
      <c r="AE12">
        <f t="shared" si="1"/>
        <v>12</v>
      </c>
      <c r="AF12">
        <f ca="1">COUNTIF(AD$3:AD12,AD12)</f>
        <v>9</v>
      </c>
      <c r="AG12" s="19" t="e">
        <f t="shared" ca="1" si="6"/>
        <v>#REF!</v>
      </c>
      <c r="AH12" t="str">
        <f ca="1">_xlfn.CONCAT("Total credit and equity measures: ",Q53)</f>
        <v>Total credit and equity measures: 0</v>
      </c>
      <c r="AO12" s="76"/>
      <c r="AP12" t="str">
        <f t="shared" si="5"/>
        <v>Direct cash transfers for individuals</v>
      </c>
      <c r="AQ12">
        <f t="shared" ca="1" si="5"/>
        <v>0</v>
      </c>
    </row>
    <row r="13" spans="2:47" x14ac:dyDescent="0.35">
      <c r="B13" s="4"/>
      <c r="K13" t="e">
        <f>IF(VLOOKUP($L13,Data!$B$2:$AI$1588,39,FALSE)=1,1+MAX($K$3:K12),0)</f>
        <v>#REF!</v>
      </c>
      <c r="L13" t="s">
        <v>11</v>
      </c>
      <c r="N13" s="5"/>
      <c r="P13">
        <v>1</v>
      </c>
      <c r="Q13" t="s">
        <v>1026</v>
      </c>
      <c r="R13">
        <v>11</v>
      </c>
      <c r="S13" t="s">
        <v>1052</v>
      </c>
      <c r="Y13">
        <v>6</v>
      </c>
      <c r="Z13" t="s">
        <v>1031</v>
      </c>
      <c r="AA13">
        <v>25</v>
      </c>
      <c r="AB13" t="s">
        <v>1037</v>
      </c>
      <c r="AC13">
        <f ca="1">COUNTIFS(Data!$J:$J,$Y13,Data!$AJ:$AJ,$AA13,INDIRECT($C$3),$C$2,INDIRECT($F$3),$F$2,INDIRECT($I$2),1,INDIRECT($M$3),$M$2,INDIRECT($I$9),1)</f>
        <v>0</v>
      </c>
      <c r="AD13" t="e">
        <f t="shared" ca="1" si="0"/>
        <v>#N/A</v>
      </c>
      <c r="AE13">
        <f t="shared" si="1"/>
        <v>13</v>
      </c>
      <c r="AF13">
        <f ca="1">COUNTIF(AD$3:AD13,AD13)</f>
        <v>10</v>
      </c>
      <c r="AG13" s="19" t="e">
        <f t="shared" ca="1" si="6"/>
        <v>#REF!</v>
      </c>
      <c r="AO13" s="76" t="str">
        <f>Z15</f>
        <v>Health Expenditures measures</v>
      </c>
      <c r="AP13" t="str">
        <f t="shared" ref="AP13:AQ17" si="7">AB15</f>
        <v>General</v>
      </c>
      <c r="AQ13">
        <f t="shared" ca="1" si="7"/>
        <v>0</v>
      </c>
    </row>
    <row r="14" spans="2:47" x14ac:dyDescent="0.35">
      <c r="B14" s="4"/>
      <c r="K14" t="e">
        <f>IF(VLOOKUP($L14,Data!$B$2:$AI$1588,39,FALSE)=1,1+MAX($K$3:K13),0)</f>
        <v>#REF!</v>
      </c>
      <c r="L14" t="s">
        <v>12</v>
      </c>
      <c r="N14" s="5"/>
      <c r="P14">
        <v>1</v>
      </c>
      <c r="Q14" t="s">
        <v>1026</v>
      </c>
      <c r="R14">
        <v>12</v>
      </c>
      <c r="S14" t="s">
        <v>1035</v>
      </c>
      <c r="AG14" s="18"/>
      <c r="AH14" s="9" t="e">
        <f ca="1">_xlfn.CONCAT("Total other measures: ",Q52)</f>
        <v>#REF!</v>
      </c>
      <c r="AO14" s="76"/>
      <c r="AP14" t="str">
        <f t="shared" si="7"/>
        <v>Expansion of human resources</v>
      </c>
      <c r="AQ14">
        <f t="shared" ca="1" si="7"/>
        <v>0</v>
      </c>
    </row>
    <row r="15" spans="2:47" x14ac:dyDescent="0.35">
      <c r="B15" s="4"/>
      <c r="K15" t="e">
        <f>IF(VLOOKUP($L15,Data!$B$2:$AI$1588,39,FALSE)=1,1+MAX($K$3:K14),0)</f>
        <v>#N/A</v>
      </c>
      <c r="L15" t="s">
        <v>13</v>
      </c>
      <c r="N15" s="5"/>
      <c r="P15">
        <v>1</v>
      </c>
      <c r="Q15" t="s">
        <v>1026</v>
      </c>
      <c r="R15" t="s">
        <v>206</v>
      </c>
      <c r="S15" t="s">
        <v>1068</v>
      </c>
      <c r="Y15">
        <v>5</v>
      </c>
      <c r="Z15" t="s">
        <v>1030</v>
      </c>
      <c r="AA15" t="s">
        <v>1070</v>
      </c>
      <c r="AB15" t="s">
        <v>1070</v>
      </c>
      <c r="AC15">
        <f ca="1">COUNTIFS(Data!$J:$J,$Y15,Data!$AJ:$AJ,$AA15,INDIRECT($C$3),$C$2,INDIRECT($F$3),$F$2,INDIRECT($I$2),1,INDIRECT($M$3),$M$2,INDIRECT($I$9),1)</f>
        <v>0</v>
      </c>
      <c r="AD15" t="e">
        <f t="shared" ca="1" si="0"/>
        <v>#N/A</v>
      </c>
      <c r="AE15">
        <f t="shared" si="1"/>
        <v>15</v>
      </c>
      <c r="AF15">
        <f ca="1">COUNTIF(AD$3:AD15,AD15)</f>
        <v>11</v>
      </c>
      <c r="AG15" s="19" t="e">
        <f t="shared" ref="AG15:AG19" ca="1" si="8">AC15/$AH$17*100</f>
        <v>#REF!</v>
      </c>
      <c r="AO15" s="76"/>
      <c r="AP15" t="str">
        <f t="shared" si="7"/>
        <v>Targeted infrastructure investments</v>
      </c>
      <c r="AQ15">
        <f t="shared" ca="1" si="7"/>
        <v>0</v>
      </c>
    </row>
    <row r="16" spans="2:47" x14ac:dyDescent="0.35">
      <c r="B16" s="4"/>
      <c r="K16" t="e">
        <f>IF(VLOOKUP($L16,Data!$B$2:$AI$1588,39,FALSE)=1,1+MAX($K$3:K15),0)</f>
        <v>#N/A</v>
      </c>
      <c r="L16" t="s">
        <v>20</v>
      </c>
      <c r="N16" s="5"/>
      <c r="P16">
        <v>1</v>
      </c>
      <c r="Q16" t="s">
        <v>1026</v>
      </c>
      <c r="R16" t="s">
        <v>201</v>
      </c>
      <c r="S16" t="s">
        <v>1069</v>
      </c>
      <c r="Y16">
        <v>5</v>
      </c>
      <c r="Z16" t="s">
        <v>1030</v>
      </c>
      <c r="AA16">
        <v>24</v>
      </c>
      <c r="AB16" t="s">
        <v>1036</v>
      </c>
      <c r="AC16">
        <f ca="1">COUNTIFS(Data!$J:$J,$Y16,Data!$AJ:$AJ,$AA16,INDIRECT($C$3),$C$2,INDIRECT($F$3),$F$2,INDIRECT($I$2),1,INDIRECT($M$3),$M$2,INDIRECT($I$9),1)</f>
        <v>0</v>
      </c>
      <c r="AD16" t="e">
        <f t="shared" ca="1" si="0"/>
        <v>#N/A</v>
      </c>
      <c r="AE16">
        <f t="shared" si="1"/>
        <v>16</v>
      </c>
      <c r="AF16">
        <f ca="1">COUNTIF(AD$3:AD16,AD16)</f>
        <v>12</v>
      </c>
      <c r="AG16" s="19" t="e">
        <f t="shared" ca="1" si="8"/>
        <v>#REF!</v>
      </c>
      <c r="AH16" s="9" t="e">
        <f ca="1">_xlfn.CONCAT("Total measures: ",AH17)</f>
        <v>#REF!</v>
      </c>
      <c r="AO16" s="76"/>
      <c r="AP16" t="str">
        <f t="shared" si="7"/>
        <v>Supply of high cost medical items</v>
      </c>
      <c r="AQ16">
        <f t="shared" ca="1" si="7"/>
        <v>0</v>
      </c>
    </row>
    <row r="17" spans="2:43" x14ac:dyDescent="0.35">
      <c r="B17" s="4"/>
      <c r="K17" t="e">
        <f>IF(VLOOKUP($L17,Data!$B$2:$AI$1588,39,FALSE)=1,1+MAX($K$3:K16),0)</f>
        <v>#N/A</v>
      </c>
      <c r="L17" t="s">
        <v>19</v>
      </c>
      <c r="N17" s="5"/>
      <c r="P17">
        <v>2</v>
      </c>
      <c r="Q17" t="s">
        <v>1027</v>
      </c>
      <c r="R17">
        <v>13</v>
      </c>
      <c r="S17" t="s">
        <v>1047</v>
      </c>
      <c r="Y17">
        <v>5</v>
      </c>
      <c r="Z17" t="s">
        <v>1030</v>
      </c>
      <c r="AA17">
        <v>23</v>
      </c>
      <c r="AB17" t="s">
        <v>1058</v>
      </c>
      <c r="AC17">
        <f ca="1">COUNTIFS(Data!$J:$J,$Y17,Data!$AJ:$AJ,$AA17,INDIRECT($C$3),$C$2,INDIRECT($F$3),$F$2,INDIRECT($I$2),1,INDIRECT($M$3),$M$2,INDIRECT($I$9),1)</f>
        <v>0</v>
      </c>
      <c r="AD17" t="e">
        <f t="shared" ca="1" si="0"/>
        <v>#N/A</v>
      </c>
      <c r="AE17">
        <f t="shared" si="1"/>
        <v>17</v>
      </c>
      <c r="AF17">
        <f ca="1">COUNTIF(AD$3:AD17,AD17)</f>
        <v>13</v>
      </c>
      <c r="AG17" s="19" t="e">
        <f t="shared" ca="1" si="8"/>
        <v>#REF!</v>
      </c>
      <c r="AH17" t="e">
        <f ca="1">SUM(AH7,AH10,Q52,Q53)</f>
        <v>#REF!</v>
      </c>
      <c r="AO17" s="76"/>
      <c r="AP17" t="str">
        <f t="shared" si="7"/>
        <v>Supply of low cost medical items</v>
      </c>
      <c r="AQ17">
        <f t="shared" ca="1" si="7"/>
        <v>0</v>
      </c>
    </row>
    <row r="18" spans="2:43" x14ac:dyDescent="0.35">
      <c r="B18" s="4"/>
      <c r="C18" t="e">
        <f>_xlfn.CONCAT("Current sample: ",IF(MAX(K4:K202)=0,"No countries",IF(L2&gt;1,M2,_xlfn.CONCAT(F2,", ",I7,", ",G10,", from ",C2))))</f>
        <v>#N/A</v>
      </c>
      <c r="I18" s="9"/>
      <c r="K18" t="e">
        <f>IF(VLOOKUP($L18,Data!$B$2:$AI$1588,39,FALSE)=1,1+MAX($K$3:K17),0)</f>
        <v>#N/A</v>
      </c>
      <c r="L18" t="s">
        <v>17</v>
      </c>
      <c r="N18" s="5"/>
      <c r="P18">
        <v>2</v>
      </c>
      <c r="Q18" t="s">
        <v>1027</v>
      </c>
      <c r="R18">
        <v>14</v>
      </c>
      <c r="S18" t="s">
        <v>1048</v>
      </c>
      <c r="Y18">
        <v>5</v>
      </c>
      <c r="Z18" t="s">
        <v>1030</v>
      </c>
      <c r="AA18">
        <v>22</v>
      </c>
      <c r="AB18" t="s">
        <v>1057</v>
      </c>
      <c r="AC18">
        <f ca="1">COUNTIFS(Data!$J:$J,$Y18,Data!$AJ:$AJ,$AA18,INDIRECT($C$3),$C$2,INDIRECT($F$3),$F$2,INDIRECT($I$2),1,INDIRECT($M$3),$M$2,INDIRECT($I$9),1)</f>
        <v>0</v>
      </c>
      <c r="AD18" t="e">
        <f t="shared" ca="1" si="0"/>
        <v>#N/A</v>
      </c>
      <c r="AE18">
        <f t="shared" si="1"/>
        <v>18</v>
      </c>
      <c r="AF18">
        <f ca="1">COUNTIF(AD$3:AD18,AD18)</f>
        <v>14</v>
      </c>
      <c r="AG18" s="19" t="e">
        <f t="shared" ca="1" si="8"/>
        <v>#REF!</v>
      </c>
      <c r="AO18" s="76" t="str">
        <f>Z21</f>
        <v>Revenue Measures to boost consumption / demand</v>
      </c>
      <c r="AP18" t="str">
        <f t="shared" ref="AP18:AQ20" si="9">AB21</f>
        <v>Other</v>
      </c>
      <c r="AQ18">
        <f t="shared" ca="1" si="9"/>
        <v>0</v>
      </c>
    </row>
    <row r="19" spans="2:43" x14ac:dyDescent="0.35">
      <c r="B19" s="4"/>
      <c r="I19" s="9"/>
      <c r="K19" t="e">
        <f>IF(VLOOKUP($L19,Data!$B$2:$AI$1588,39,FALSE)=1,1+MAX($K$3:K18),0)</f>
        <v>#N/A</v>
      </c>
      <c r="L19" t="s">
        <v>27</v>
      </c>
      <c r="N19" s="5"/>
      <c r="P19">
        <v>2</v>
      </c>
      <c r="Q19" t="s">
        <v>1027</v>
      </c>
      <c r="R19">
        <v>15</v>
      </c>
      <c r="S19" t="s">
        <v>1049</v>
      </c>
      <c r="Y19">
        <v>5</v>
      </c>
      <c r="Z19" t="s">
        <v>1030</v>
      </c>
      <c r="AA19">
        <v>21</v>
      </c>
      <c r="AB19" t="s">
        <v>1056</v>
      </c>
      <c r="AC19">
        <f ca="1">COUNTIFS(Data!$J:$J,$Y19,Data!$AJ:$AJ,$AA19,INDIRECT($C$3),$C$2,INDIRECT($F$3),$F$2,INDIRECT($I$2),1,INDIRECT($M$3),$M$2,INDIRECT($I$9),1)</f>
        <v>0</v>
      </c>
      <c r="AD19" t="e">
        <f t="shared" ca="1" si="0"/>
        <v>#N/A</v>
      </c>
      <c r="AE19">
        <f t="shared" si="1"/>
        <v>19</v>
      </c>
      <c r="AF19">
        <f ca="1">COUNTIF(AD$3:AD19,AD19)</f>
        <v>15</v>
      </c>
      <c r="AG19" s="19" t="e">
        <f t="shared" ca="1" si="8"/>
        <v>#REF!</v>
      </c>
      <c r="AH19" t="s">
        <v>1203</v>
      </c>
      <c r="AO19" s="76"/>
      <c r="AP19" t="str">
        <f t="shared" si="9"/>
        <v>Tax exemption/waiver/suspension</v>
      </c>
      <c r="AQ19">
        <f t="shared" ca="1" si="9"/>
        <v>0</v>
      </c>
    </row>
    <row r="20" spans="2:43" x14ac:dyDescent="0.35">
      <c r="B20" s="4"/>
      <c r="K20" t="e">
        <f>IF(VLOOKUP($L20,Data!$B$2:$AI$1588,39,FALSE)=1,1+MAX($K$3:K19),0)</f>
        <v>#N/A</v>
      </c>
      <c r="L20" t="s">
        <v>22</v>
      </c>
      <c r="N20" s="5"/>
      <c r="P20">
        <v>2</v>
      </c>
      <c r="Q20" t="s">
        <v>1027</v>
      </c>
      <c r="R20">
        <v>16</v>
      </c>
      <c r="S20" t="s">
        <v>1034</v>
      </c>
      <c r="AG20" s="18"/>
      <c r="AH20" t="e">
        <f ca="1">AH17-Q56</f>
        <v>#REF!</v>
      </c>
      <c r="AO20" s="76"/>
      <c r="AP20" t="str">
        <f t="shared" si="9"/>
        <v>Lower tax rates</v>
      </c>
      <c r="AQ20">
        <f t="shared" ca="1" si="9"/>
        <v>0</v>
      </c>
    </row>
    <row r="21" spans="2:43" x14ac:dyDescent="0.35">
      <c r="B21" s="4"/>
      <c r="K21" t="e">
        <f>IF(VLOOKUP($L21,Data!$B$2:$AI$1588,39,FALSE)=1,1+MAX($K$3:K20),0)</f>
        <v>#REF!</v>
      </c>
      <c r="L21" t="s">
        <v>14</v>
      </c>
      <c r="N21" s="5"/>
      <c r="P21">
        <v>2</v>
      </c>
      <c r="Q21" t="s">
        <v>1027</v>
      </c>
      <c r="R21">
        <v>17</v>
      </c>
      <c r="S21" t="s">
        <v>1053</v>
      </c>
      <c r="Y21">
        <v>4</v>
      </c>
      <c r="Z21" t="s">
        <v>1029</v>
      </c>
      <c r="AA21" t="s">
        <v>1069</v>
      </c>
      <c r="AB21" t="s">
        <v>1069</v>
      </c>
      <c r="AC21">
        <f ca="1">COUNTIFS(Data!$J:$J,$Y21,Data!$AJ:$AJ,$AA21,INDIRECT($C$3),$C$2,INDIRECT($F$3),$F$2,INDIRECT($I$2),1,INDIRECT($M$3),$M$2,INDIRECT($I$9),1)</f>
        <v>0</v>
      </c>
      <c r="AD21" t="e">
        <f t="shared" ca="1" si="0"/>
        <v>#N/A</v>
      </c>
      <c r="AE21">
        <f t="shared" si="1"/>
        <v>21</v>
      </c>
      <c r="AF21">
        <f ca="1">COUNTIF(AD$3:AD21,AD21)</f>
        <v>16</v>
      </c>
      <c r="AG21" s="19" t="e">
        <f t="shared" ref="AG21:AG23" ca="1" si="10">AC21/$AH$17*100</f>
        <v>#REF!</v>
      </c>
      <c r="AO21" s="76" t="str">
        <f>Z25</f>
        <v>Revenue Measures to promote availability of medical items</v>
      </c>
      <c r="AP21" t="str">
        <f t="shared" ref="AP21:AQ23" si="11">AB25</f>
        <v>Other</v>
      </c>
      <c r="AQ21">
        <f t="shared" ca="1" si="11"/>
        <v>0</v>
      </c>
    </row>
    <row r="22" spans="2:43" x14ac:dyDescent="0.35">
      <c r="B22" s="4" t="s">
        <v>1614</v>
      </c>
      <c r="K22" t="e">
        <f>IF(VLOOKUP($L22,Data!$B$2:$AI$1588,39,FALSE)=1,1+MAX($K$3:K21),0)</f>
        <v>#N/A</v>
      </c>
      <c r="L22" t="s">
        <v>23</v>
      </c>
      <c r="N22" s="5"/>
      <c r="P22">
        <v>2</v>
      </c>
      <c r="Q22" t="s">
        <v>1027</v>
      </c>
      <c r="R22">
        <v>18</v>
      </c>
      <c r="S22" t="s">
        <v>1046</v>
      </c>
      <c r="Y22">
        <v>4</v>
      </c>
      <c r="Z22" t="s">
        <v>1029</v>
      </c>
      <c r="AA22" t="s">
        <v>1068</v>
      </c>
      <c r="AB22" t="s">
        <v>1068</v>
      </c>
      <c r="AC22">
        <f ca="1">COUNTIFS(Data!$J:$J,$Y22,Data!$AJ:$AJ,$AA22,INDIRECT($C$3),$C$2,INDIRECT($F$3),$F$2,INDIRECT($I$2),1,INDIRECT($M$3),$M$2,INDIRECT($I$9),1)</f>
        <v>0</v>
      </c>
      <c r="AD22" t="e">
        <f t="shared" ca="1" si="0"/>
        <v>#N/A</v>
      </c>
      <c r="AE22">
        <f t="shared" si="1"/>
        <v>22</v>
      </c>
      <c r="AF22">
        <f ca="1">COUNTIF(AD$3:AD22,AD22)</f>
        <v>17</v>
      </c>
      <c r="AG22" s="19" t="e">
        <f t="shared" ca="1" si="10"/>
        <v>#REF!</v>
      </c>
      <c r="AO22" s="76"/>
      <c r="AP22" t="str">
        <f t="shared" si="11"/>
        <v>Tax exemption/waiver/suspension</v>
      </c>
      <c r="AQ22">
        <f t="shared" ca="1" si="11"/>
        <v>0</v>
      </c>
    </row>
    <row r="23" spans="2:43" x14ac:dyDescent="0.35">
      <c r="B23" s="4"/>
      <c r="C23" t="s">
        <v>1615</v>
      </c>
      <c r="D23" t="s">
        <v>1170</v>
      </c>
      <c r="E23" t="s">
        <v>1169</v>
      </c>
      <c r="F23" t="s">
        <v>1004</v>
      </c>
      <c r="G23" t="s">
        <v>0</v>
      </c>
      <c r="K23" t="e">
        <f>IF(VLOOKUP($L23,Data!$B$2:$AI$1588,39,FALSE)=1,1+MAX($K$3:K22),0)</f>
        <v>#N/A</v>
      </c>
      <c r="L23" t="s">
        <v>15</v>
      </c>
      <c r="N23" s="5"/>
      <c r="P23">
        <v>2</v>
      </c>
      <c r="Q23" t="s">
        <v>1027</v>
      </c>
      <c r="R23" t="s">
        <v>206</v>
      </c>
      <c r="S23" t="s">
        <v>1068</v>
      </c>
      <c r="Y23">
        <v>4</v>
      </c>
      <c r="Z23" t="s">
        <v>1029</v>
      </c>
      <c r="AA23">
        <v>20</v>
      </c>
      <c r="AB23" t="s">
        <v>1055</v>
      </c>
      <c r="AC23">
        <f ca="1">COUNTIFS(Data!$J:$J,$Y23,Data!$AJ:$AJ,$AA23,INDIRECT($C$3),$C$2,INDIRECT($F$3),$F$2,INDIRECT($I$2),1,INDIRECT($M$3),$M$2,INDIRECT($I$9),1)</f>
        <v>0</v>
      </c>
      <c r="AD23" t="e">
        <f t="shared" ca="1" si="0"/>
        <v>#N/A</v>
      </c>
      <c r="AE23">
        <f t="shared" si="1"/>
        <v>23</v>
      </c>
      <c r="AF23">
        <f ca="1">COUNTIF(AD$3:AD23,AD23)</f>
        <v>18</v>
      </c>
      <c r="AG23" s="19" t="e">
        <f t="shared" ca="1" si="10"/>
        <v>#REF!</v>
      </c>
      <c r="AO23" s="76"/>
      <c r="AP23" t="str">
        <f t="shared" si="11"/>
        <v>Lower tax rates for medical items</v>
      </c>
      <c r="AQ23">
        <f t="shared" ca="1" si="11"/>
        <v>0</v>
      </c>
    </row>
    <row r="24" spans="2:43" x14ac:dyDescent="0.35">
      <c r="B24" s="4" t="s">
        <v>1617</v>
      </c>
      <c r="C24">
        <v>1</v>
      </c>
      <c r="D24">
        <v>2</v>
      </c>
      <c r="E24">
        <v>2</v>
      </c>
      <c r="F24" t="b">
        <v>0</v>
      </c>
      <c r="G24">
        <v>1</v>
      </c>
      <c r="K24" t="e">
        <f>IF(VLOOKUP($L24,Data!$B$2:$AI$1588,39,FALSE)=1,1+MAX($K$3:K23),0)</f>
        <v>#N/A</v>
      </c>
      <c r="L24" t="s">
        <v>24</v>
      </c>
      <c r="N24" s="5"/>
      <c r="P24">
        <v>2</v>
      </c>
      <c r="Q24" t="s">
        <v>1027</v>
      </c>
      <c r="R24" t="s">
        <v>201</v>
      </c>
      <c r="S24" t="s">
        <v>1069</v>
      </c>
      <c r="AG24" s="18"/>
      <c r="AO24" s="76" t="str">
        <f>Z29</f>
        <v>Revenue Measures to protect individuals</v>
      </c>
      <c r="AP24" t="str">
        <f t="shared" ref="AP24:AQ31" si="12">AB29</f>
        <v>Other</v>
      </c>
      <c r="AQ24">
        <f t="shared" ca="1" si="12"/>
        <v>0</v>
      </c>
    </row>
    <row r="25" spans="2:43" x14ac:dyDescent="0.35">
      <c r="B25" s="4" t="s">
        <v>1618</v>
      </c>
      <c r="C25" t="str">
        <f ca="1">OFFSET(B2,C24,0)</f>
        <v>All Regions</v>
      </c>
      <c r="D25" t="str">
        <f ca="1">OFFSET(E2,D24,0)</f>
        <v>Low Income</v>
      </c>
      <c r="E25">
        <v>1</v>
      </c>
      <c r="F25">
        <v>1</v>
      </c>
      <c r="G25" t="str">
        <f ca="1">OFFSET(L2,G24,0)</f>
        <v>All Countries</v>
      </c>
      <c r="K25" t="e">
        <f>IF(VLOOKUP($L25,Data!$B$2:$AI$1588,39,FALSE)=1,1+MAX($K$3:K24),0)</f>
        <v>#N/A</v>
      </c>
      <c r="L25" t="s">
        <v>29</v>
      </c>
      <c r="N25" s="5"/>
      <c r="P25">
        <v>3</v>
      </c>
      <c r="Q25" t="s">
        <v>1028</v>
      </c>
      <c r="R25">
        <v>19</v>
      </c>
      <c r="S25" t="s">
        <v>1054</v>
      </c>
      <c r="Y25">
        <v>3</v>
      </c>
      <c r="Z25" t="s">
        <v>1028</v>
      </c>
      <c r="AA25" t="s">
        <v>1069</v>
      </c>
      <c r="AB25" t="s">
        <v>1069</v>
      </c>
      <c r="AC25">
        <f ca="1">COUNTIFS(Data!$J:$J,$Y25,Data!$AJ:$AJ,$AA25,INDIRECT($C$3),$C$2,INDIRECT($F$3),$F$2,INDIRECT($I$2),1,INDIRECT($M$3),$M$2,INDIRECT($I$9),1)</f>
        <v>0</v>
      </c>
      <c r="AD25" t="e">
        <f t="shared" ca="1" si="0"/>
        <v>#N/A</v>
      </c>
      <c r="AE25">
        <f t="shared" si="1"/>
        <v>25</v>
      </c>
      <c r="AF25">
        <f ca="1">COUNTIF(AD$3:AD25,AD25)</f>
        <v>19</v>
      </c>
      <c r="AG25" s="19" t="e">
        <f t="shared" ref="AG25:AG27" ca="1" si="13">AC25/$AH$17*100</f>
        <v>#REF!</v>
      </c>
      <c r="AO25" s="76"/>
      <c r="AP25" t="str">
        <f t="shared" si="12"/>
        <v>Tax exemption/waiver/suspension</v>
      </c>
      <c r="AQ25">
        <f t="shared" ca="1" si="12"/>
        <v>0</v>
      </c>
    </row>
    <row r="26" spans="2:43" x14ac:dyDescent="0.35">
      <c r="B26" s="4" t="s">
        <v>1616</v>
      </c>
      <c r="C26" t="str">
        <f>IF(C24&gt;1,"Data!$O:$O","Data!$AE:$AE")</f>
        <v>Data!$AE:$AE</v>
      </c>
      <c r="D26" t="str">
        <f>IF(D24&gt;1,"Data!$Q:$Q","Data!$AF:$AF")</f>
        <v>Data!$Q:$Q</v>
      </c>
      <c r="E26" t="str">
        <f ca="1">OFFSET(H2,E24,1)</f>
        <v>Data!$AG:$AG</v>
      </c>
      <c r="F26" t="str">
        <f>IF(F24,"Data!$R:$R","Data!$AJ:$AJ")</f>
        <v>Data!$AJ:$AJ</v>
      </c>
      <c r="G26" t="str">
        <f>IF(G24&gt;1,"Data!$A:$A","Data!$AK:$AK")</f>
        <v>Data!$AK:$AK</v>
      </c>
      <c r="K26" t="e">
        <f>IF(VLOOKUP($L26,Data!$B$2:$AI$1588,39,FALSE)=1,1+MAX($K$3:K25),0)</f>
        <v>#N/A</v>
      </c>
      <c r="L26" t="s">
        <v>25</v>
      </c>
      <c r="N26" s="5"/>
      <c r="P26">
        <v>3</v>
      </c>
      <c r="Q26" t="s">
        <v>1028</v>
      </c>
      <c r="R26" t="s">
        <v>206</v>
      </c>
      <c r="S26" t="s">
        <v>1068</v>
      </c>
      <c r="Y26">
        <v>3</v>
      </c>
      <c r="Z26" t="s">
        <v>1028</v>
      </c>
      <c r="AA26" t="s">
        <v>1068</v>
      </c>
      <c r="AB26" t="s">
        <v>1068</v>
      </c>
      <c r="AC26">
        <f ca="1">COUNTIFS(Data!$J:$J,$Y26,Data!$AJ:$AJ,$AA26,INDIRECT($C$3),$C$2,INDIRECT($F$3),$F$2,INDIRECT($I$2),1,INDIRECT($M$3),$M$2,INDIRECT($I$9),1)</f>
        <v>0</v>
      </c>
      <c r="AD26" t="e">
        <f t="shared" ca="1" si="0"/>
        <v>#N/A</v>
      </c>
      <c r="AE26">
        <f t="shared" si="1"/>
        <v>26</v>
      </c>
      <c r="AF26">
        <f ca="1">COUNTIF(AD$3:AD26,AD26)</f>
        <v>20</v>
      </c>
      <c r="AG26" s="19" t="e">
        <f t="shared" ca="1" si="13"/>
        <v>#REF!</v>
      </c>
      <c r="AO26" s="76"/>
      <c r="AP26" t="str">
        <f t="shared" si="12"/>
        <v>Tax credits</v>
      </c>
      <c r="AQ26">
        <f t="shared" ca="1" si="12"/>
        <v>0</v>
      </c>
    </row>
    <row r="27" spans="2:43" x14ac:dyDescent="0.35">
      <c r="B27" s="4"/>
      <c r="K27" t="e">
        <f>IF(VLOOKUP($L27,Data!$B$2:$AI$1588,39,FALSE)=1,1+MAX($K$3:K26),0)</f>
        <v>#N/A</v>
      </c>
      <c r="L27" t="s">
        <v>21</v>
      </c>
      <c r="N27" s="5"/>
      <c r="P27">
        <v>3</v>
      </c>
      <c r="Q27" t="s">
        <v>1028</v>
      </c>
      <c r="R27" t="s">
        <v>201</v>
      </c>
      <c r="S27" t="s">
        <v>1069</v>
      </c>
      <c r="Y27">
        <v>3</v>
      </c>
      <c r="Z27" t="s">
        <v>1028</v>
      </c>
      <c r="AA27">
        <v>19</v>
      </c>
      <c r="AB27" t="s">
        <v>1054</v>
      </c>
      <c r="AC27">
        <f ca="1">COUNTIFS(Data!$J:$J,$Y27,Data!$AJ:$AJ,$AA27,INDIRECT($C$3),$C$2,INDIRECT($F$3),$F$2,INDIRECT($I$2),1,INDIRECT($M$3),$M$2,INDIRECT($I$9),1)</f>
        <v>0</v>
      </c>
      <c r="AD27" t="e">
        <f t="shared" ca="1" si="0"/>
        <v>#N/A</v>
      </c>
      <c r="AE27">
        <f t="shared" si="1"/>
        <v>27</v>
      </c>
      <c r="AF27">
        <f ca="1">COUNTIF(AD$3:AD27,AD27)</f>
        <v>21</v>
      </c>
      <c r="AG27" s="19" t="e">
        <f t="shared" ca="1" si="13"/>
        <v>#REF!</v>
      </c>
      <c r="AO27" s="76"/>
      <c r="AP27" t="str">
        <f t="shared" si="12"/>
        <v>Broaden tax deductibility</v>
      </c>
      <c r="AQ27">
        <f t="shared" ca="1" si="12"/>
        <v>0</v>
      </c>
    </row>
    <row r="28" spans="2:43" x14ac:dyDescent="0.35">
      <c r="B28" s="4"/>
      <c r="K28" t="e">
        <f>IF(VLOOKUP($L28,Data!$B$2:$AI$1588,39,FALSE)=1,1+MAX($K$3:K27),0)</f>
        <v>#N/A</v>
      </c>
      <c r="L28" t="s">
        <v>30</v>
      </c>
      <c r="N28" s="5"/>
      <c r="P28">
        <v>4</v>
      </c>
      <c r="Q28" t="s">
        <v>1029</v>
      </c>
      <c r="R28">
        <v>20</v>
      </c>
      <c r="S28" t="s">
        <v>1055</v>
      </c>
      <c r="AG28" s="18"/>
      <c r="AO28" s="76"/>
      <c r="AP28" t="str">
        <f t="shared" si="12"/>
        <v>Tax amnesty / incentives</v>
      </c>
      <c r="AQ28">
        <f t="shared" ca="1" si="12"/>
        <v>0</v>
      </c>
    </row>
    <row r="29" spans="2:43" x14ac:dyDescent="0.35">
      <c r="B29" s="4"/>
      <c r="K29" t="e">
        <f>IF(VLOOKUP($L29,Data!$B$2:$AI$1588,39,FALSE)=1,1+MAX($K$3:K28),0)</f>
        <v>#N/A</v>
      </c>
      <c r="L29" t="s">
        <v>26</v>
      </c>
      <c r="N29" s="5"/>
      <c r="P29">
        <v>4</v>
      </c>
      <c r="Q29" t="s">
        <v>1029</v>
      </c>
      <c r="R29" t="s">
        <v>206</v>
      </c>
      <c r="S29" t="s">
        <v>1068</v>
      </c>
      <c r="Y29">
        <v>2</v>
      </c>
      <c r="Z29" t="s">
        <v>1027</v>
      </c>
      <c r="AA29" t="s">
        <v>1069</v>
      </c>
      <c r="AB29" t="s">
        <v>1069</v>
      </c>
      <c r="AC29">
        <f ca="1">COUNTIFS(Data!$J:$J,$Y29,Data!$AJ:$AJ,$AA29,INDIRECT($C$3),$C$2,INDIRECT($F$3),$F$2,INDIRECT($I$2),1,INDIRECT($M$3),$M$2,INDIRECT($I$9),1)</f>
        <v>0</v>
      </c>
      <c r="AD29" t="e">
        <f t="shared" ca="1" si="0"/>
        <v>#N/A</v>
      </c>
      <c r="AE29">
        <f t="shared" si="1"/>
        <v>29</v>
      </c>
      <c r="AF29">
        <f ca="1">COUNTIF(AD$3:AD29,AD29)</f>
        <v>22</v>
      </c>
      <c r="AG29" s="19" t="e">
        <f t="shared" ref="AG29:AG36" ca="1" si="14">AC29/$AH$17*100</f>
        <v>#REF!</v>
      </c>
      <c r="AO29" s="76"/>
      <c r="AP29" t="str">
        <f t="shared" si="12"/>
        <v>Tax rate reduction</v>
      </c>
      <c r="AQ29">
        <f t="shared" ca="1" si="12"/>
        <v>0</v>
      </c>
    </row>
    <row r="30" spans="2:43" x14ac:dyDescent="0.35">
      <c r="B30" s="4"/>
      <c r="K30" t="e">
        <f>IF(VLOOKUP($L30,Data!$B$2:$AI$1588,39,FALSE)=1,1+MAX($K$3:K29),0)</f>
        <v>#N/A</v>
      </c>
      <c r="L30" t="s">
        <v>191</v>
      </c>
      <c r="N30" s="5"/>
      <c r="P30">
        <v>4</v>
      </c>
      <c r="Q30" t="s">
        <v>1029</v>
      </c>
      <c r="R30" t="s">
        <v>201</v>
      </c>
      <c r="S30" t="s">
        <v>1069</v>
      </c>
      <c r="Y30">
        <v>2</v>
      </c>
      <c r="Z30" t="s">
        <v>1027</v>
      </c>
      <c r="AA30" t="s">
        <v>1068</v>
      </c>
      <c r="AB30" t="s">
        <v>1068</v>
      </c>
      <c r="AC30">
        <f ca="1">COUNTIFS(Data!$J:$J,$Y30,Data!$AJ:$AJ,$AA30,INDIRECT($C$3),$C$2,INDIRECT($F$3),$F$2,INDIRECT($I$2),1,INDIRECT($M$3),$M$2,INDIRECT($I$9),1)</f>
        <v>0</v>
      </c>
      <c r="AD30" t="e">
        <f t="shared" ca="1" si="0"/>
        <v>#N/A</v>
      </c>
      <c r="AE30">
        <f t="shared" si="1"/>
        <v>30</v>
      </c>
      <c r="AF30">
        <f ca="1">COUNTIF(AD$3:AD30,AD30)</f>
        <v>23</v>
      </c>
      <c r="AG30" s="19" t="e">
        <f t="shared" ca="1" si="14"/>
        <v>#REF!</v>
      </c>
      <c r="AO30" s="76"/>
      <c r="AP30" t="str">
        <f t="shared" si="12"/>
        <v>Deferral of tax payments</v>
      </c>
      <c r="AQ30">
        <f t="shared" ca="1" si="12"/>
        <v>0</v>
      </c>
    </row>
    <row r="31" spans="2:43" x14ac:dyDescent="0.35">
      <c r="B31" s="4"/>
      <c r="K31" t="e">
        <f>IF(VLOOKUP($L31,Data!$B$2:$AI$1588,39,FALSE)=1,1+MAX($K$3:K30),0)</f>
        <v>#N/A</v>
      </c>
      <c r="L31" t="s">
        <v>28</v>
      </c>
      <c r="N31" s="5"/>
      <c r="P31">
        <v>5</v>
      </c>
      <c r="Q31" t="s">
        <v>1030</v>
      </c>
      <c r="R31">
        <v>21</v>
      </c>
      <c r="S31" t="s">
        <v>1056</v>
      </c>
      <c r="Y31">
        <v>2</v>
      </c>
      <c r="Z31" t="s">
        <v>1027</v>
      </c>
      <c r="AA31">
        <v>18</v>
      </c>
      <c r="AB31" t="s">
        <v>1046</v>
      </c>
      <c r="AC31">
        <f ca="1">COUNTIFS(Data!$J:$J,$Y31,Data!$AJ:$AJ,$AA31,INDIRECT($C$3),$C$2,INDIRECT($F$3),$F$2,INDIRECT($I$2),1,INDIRECT($M$3),$M$2,INDIRECT($I$9),1)</f>
        <v>0</v>
      </c>
      <c r="AD31" t="e">
        <f t="shared" ca="1" si="0"/>
        <v>#N/A</v>
      </c>
      <c r="AE31">
        <f t="shared" si="1"/>
        <v>31</v>
      </c>
      <c r="AF31">
        <f ca="1">COUNTIF(AD$3:AD31,AD31)</f>
        <v>24</v>
      </c>
      <c r="AG31" s="19" t="e">
        <f t="shared" ca="1" si="14"/>
        <v>#REF!</v>
      </c>
      <c r="AO31" s="76"/>
      <c r="AP31" t="str">
        <f t="shared" si="12"/>
        <v>Deferral of tax filing</v>
      </c>
      <c r="AQ31">
        <f t="shared" ca="1" si="12"/>
        <v>0</v>
      </c>
    </row>
    <row r="32" spans="2:43" x14ac:dyDescent="0.35">
      <c r="B32" s="4"/>
      <c r="K32" t="e">
        <f>IF(VLOOKUP($L32,Data!$B$2:$AI$1588,39,FALSE)=1,1+MAX($K$3:K31),0)</f>
        <v>#N/A</v>
      </c>
      <c r="L32" t="s">
        <v>18</v>
      </c>
      <c r="N32" s="5"/>
      <c r="P32">
        <v>5</v>
      </c>
      <c r="Q32" t="s">
        <v>1030</v>
      </c>
      <c r="R32">
        <v>22</v>
      </c>
      <c r="S32" t="s">
        <v>1057</v>
      </c>
      <c r="Y32">
        <v>2</v>
      </c>
      <c r="Z32" t="s">
        <v>1027</v>
      </c>
      <c r="AA32">
        <v>17</v>
      </c>
      <c r="AB32" t="s">
        <v>1053</v>
      </c>
      <c r="AC32">
        <f ca="1">COUNTIFS(Data!$J:$J,$Y32,Data!$AJ:$AJ,$AA32,INDIRECT($C$3),$C$2,INDIRECT($F$3),$F$2,INDIRECT($I$2),1,INDIRECT($M$3),$M$2,INDIRECT($I$9),1)</f>
        <v>0</v>
      </c>
      <c r="AD32" t="e">
        <f t="shared" ca="1" si="0"/>
        <v>#N/A</v>
      </c>
      <c r="AE32">
        <f t="shared" si="1"/>
        <v>32</v>
      </c>
      <c r="AF32">
        <f ca="1">COUNTIF(AD$3:AD32,AD32)</f>
        <v>25</v>
      </c>
      <c r="AG32" s="19" t="e">
        <f t="shared" ca="1" si="14"/>
        <v>#REF!</v>
      </c>
      <c r="AO32" s="76" t="str">
        <f>Z38</f>
        <v>Revenue Measures to protect businesses</v>
      </c>
      <c r="AP32" t="str">
        <f t="shared" ref="AP32:AP45" si="15">AB38</f>
        <v>Other</v>
      </c>
      <c r="AQ32">
        <f t="shared" ref="AQ32:AQ45" ca="1" si="16">AC38</f>
        <v>0</v>
      </c>
    </row>
    <row r="33" spans="2:43" x14ac:dyDescent="0.35">
      <c r="B33" s="4"/>
      <c r="K33" t="e">
        <f>IF(VLOOKUP($L33,Data!$B$2:$AI$1588,39,FALSE)=1,1+MAX($K$3:K32),0)</f>
        <v>#N/A</v>
      </c>
      <c r="L33" t="s">
        <v>16</v>
      </c>
      <c r="N33" s="5"/>
      <c r="P33">
        <v>5</v>
      </c>
      <c r="Q33" t="s">
        <v>1030</v>
      </c>
      <c r="R33">
        <v>23</v>
      </c>
      <c r="S33" t="s">
        <v>1058</v>
      </c>
      <c r="Y33">
        <v>2</v>
      </c>
      <c r="Z33" t="s">
        <v>1027</v>
      </c>
      <c r="AA33">
        <v>16</v>
      </c>
      <c r="AB33" t="s">
        <v>1034</v>
      </c>
      <c r="AC33">
        <f ca="1">COUNTIFS(Data!$J:$J,$Y33,Data!$AJ:$AJ,$AA33,INDIRECT($C$3),$C$2,INDIRECT($F$3),$F$2,INDIRECT($I$2),1,INDIRECT($M$3),$M$2,INDIRECT($I$9),1)</f>
        <v>0</v>
      </c>
      <c r="AD33" t="e">
        <f t="shared" ca="1" si="0"/>
        <v>#N/A</v>
      </c>
      <c r="AE33">
        <f t="shared" si="1"/>
        <v>33</v>
      </c>
      <c r="AF33">
        <f ca="1">COUNTIF(AD$3:AD33,AD33)</f>
        <v>26</v>
      </c>
      <c r="AG33" s="19" t="e">
        <f t="shared" ca="1" si="14"/>
        <v>#REF!</v>
      </c>
      <c r="AO33" s="76"/>
      <c r="AP33" t="str">
        <f t="shared" si="15"/>
        <v>Tax exemption/waiver/suspension</v>
      </c>
      <c r="AQ33">
        <f t="shared" ca="1" si="16"/>
        <v>0</v>
      </c>
    </row>
    <row r="34" spans="2:43" x14ac:dyDescent="0.35">
      <c r="B34" s="4"/>
      <c r="K34" t="e">
        <f>IF(VLOOKUP($L34,Data!$B$2:$AI$1588,39,FALSE)=1,1+MAX($K$3:K33),0)</f>
        <v>#N/A</v>
      </c>
      <c r="L34" t="s">
        <v>95</v>
      </c>
      <c r="N34" s="5"/>
      <c r="P34">
        <v>5</v>
      </c>
      <c r="Q34" t="s">
        <v>1030</v>
      </c>
      <c r="R34">
        <v>24</v>
      </c>
      <c r="S34" t="s">
        <v>1036</v>
      </c>
      <c r="Y34">
        <v>2</v>
      </c>
      <c r="Z34" t="s">
        <v>1027</v>
      </c>
      <c r="AA34">
        <v>15</v>
      </c>
      <c r="AB34" t="s">
        <v>1049</v>
      </c>
      <c r="AC34">
        <f ca="1">COUNTIFS(Data!$J:$J,$Y34,Data!$AJ:$AJ,$AA34,INDIRECT($C$3),$C$2,INDIRECT($F$3),$F$2,INDIRECT($I$2),1,INDIRECT($M$3),$M$2,INDIRECT($I$9),1)</f>
        <v>0</v>
      </c>
      <c r="AD34" t="e">
        <f t="shared" ca="1" si="0"/>
        <v>#N/A</v>
      </c>
      <c r="AE34">
        <f t="shared" si="1"/>
        <v>34</v>
      </c>
      <c r="AF34">
        <f ca="1">COUNTIF(AD$3:AD34,AD34)</f>
        <v>27</v>
      </c>
      <c r="AG34" s="19" t="e">
        <f t="shared" ca="1" si="14"/>
        <v>#REF!</v>
      </c>
      <c r="AO34" s="76"/>
      <c r="AP34" t="str">
        <f t="shared" si="15"/>
        <v>Suspend audit activities</v>
      </c>
      <c r="AQ34">
        <f t="shared" ca="1" si="16"/>
        <v>0</v>
      </c>
    </row>
    <row r="35" spans="2:43" x14ac:dyDescent="0.35">
      <c r="B35" s="4"/>
      <c r="K35" t="e">
        <f>IF(VLOOKUP($L35,Data!$B$2:$AI$1588,39,FALSE)=1,1+MAX($K$3:K34),0)</f>
        <v>#N/A</v>
      </c>
      <c r="L35" t="s">
        <v>37</v>
      </c>
      <c r="N35" s="5"/>
      <c r="P35">
        <v>5</v>
      </c>
      <c r="Q35" t="s">
        <v>1030</v>
      </c>
      <c r="R35" t="s">
        <v>204</v>
      </c>
      <c r="S35" t="s">
        <v>1070</v>
      </c>
      <c r="Y35">
        <v>2</v>
      </c>
      <c r="Z35" t="s">
        <v>1027</v>
      </c>
      <c r="AA35">
        <v>14</v>
      </c>
      <c r="AB35" t="s">
        <v>1048</v>
      </c>
      <c r="AC35">
        <f ca="1">COUNTIFS(Data!$J:$J,$Y35,Data!$AJ:$AJ,$AA35,INDIRECT($C$3),$C$2,INDIRECT($F$3),$F$2,INDIRECT($I$2),1,INDIRECT($M$3),$M$2,INDIRECT($I$9),1)</f>
        <v>0</v>
      </c>
      <c r="AD35" t="e">
        <f t="shared" ca="1" si="0"/>
        <v>#N/A</v>
      </c>
      <c r="AE35">
        <f t="shared" si="1"/>
        <v>35</v>
      </c>
      <c r="AF35">
        <f ca="1">COUNTIF(AD$3:AD35,AD35)</f>
        <v>28</v>
      </c>
      <c r="AG35" s="19" t="e">
        <f t="shared" ca="1" si="14"/>
        <v>#REF!</v>
      </c>
      <c r="AO35" s="76"/>
      <c r="AP35" t="str">
        <f t="shared" si="15"/>
        <v>Suspend debt collection</v>
      </c>
      <c r="AQ35">
        <f t="shared" ca="1" si="16"/>
        <v>0</v>
      </c>
    </row>
    <row r="36" spans="2:43" x14ac:dyDescent="0.35">
      <c r="B36" s="4"/>
      <c r="K36" t="e">
        <f>IF(VLOOKUP($L36,Data!$B$2:$AI$1588,39,FALSE)=1,1+MAX($K$3:K35),0)</f>
        <v>#REF!</v>
      </c>
      <c r="L36" t="s">
        <v>32</v>
      </c>
      <c r="N36" s="5"/>
      <c r="P36">
        <v>6</v>
      </c>
      <c r="Q36" t="s">
        <v>1031</v>
      </c>
      <c r="R36">
        <v>25</v>
      </c>
      <c r="S36" t="s">
        <v>1037</v>
      </c>
      <c r="Y36">
        <v>2</v>
      </c>
      <c r="Z36" t="s">
        <v>1027</v>
      </c>
      <c r="AA36">
        <v>13</v>
      </c>
      <c r="AB36" t="s">
        <v>1047</v>
      </c>
      <c r="AC36">
        <f ca="1">COUNTIFS(Data!$J:$J,$Y36,Data!$AJ:$AJ,$AA36,INDIRECT($C$3),$C$2,INDIRECT($F$3),$F$2,INDIRECT($I$2),1,INDIRECT($M$3),$M$2,INDIRECT($I$9),1)</f>
        <v>0</v>
      </c>
      <c r="AD36" t="e">
        <f t="shared" ca="1" si="0"/>
        <v>#N/A</v>
      </c>
      <c r="AE36">
        <f t="shared" si="1"/>
        <v>36</v>
      </c>
      <c r="AF36">
        <f ca="1">COUNTIF(AD$3:AD36,AD36)</f>
        <v>29</v>
      </c>
      <c r="AG36" s="19" t="e">
        <f t="shared" ca="1" si="14"/>
        <v>#REF!</v>
      </c>
      <c r="AO36" s="76"/>
      <c r="AP36" t="str">
        <f t="shared" si="15"/>
        <v>Lower advance payment</v>
      </c>
      <c r="AQ36">
        <f t="shared" ca="1" si="16"/>
        <v>0</v>
      </c>
    </row>
    <row r="37" spans="2:43" x14ac:dyDescent="0.35">
      <c r="B37" s="4"/>
      <c r="K37" t="e">
        <f>IF(VLOOKUP($L37,Data!$B$2:$AI$1588,39,FALSE)=1,1+MAX($K$3:K36),0)</f>
        <v>#N/A</v>
      </c>
      <c r="L37" t="s">
        <v>43</v>
      </c>
      <c r="N37" s="5"/>
      <c r="P37">
        <v>6</v>
      </c>
      <c r="Q37" t="s">
        <v>1031</v>
      </c>
      <c r="R37">
        <v>26</v>
      </c>
      <c r="S37" t="s">
        <v>1059</v>
      </c>
      <c r="AG37" s="18"/>
      <c r="AO37" s="76"/>
      <c r="AP37" t="str">
        <f t="shared" si="15"/>
        <v>Accelerating refunds</v>
      </c>
      <c r="AQ37">
        <f t="shared" ca="1" si="16"/>
        <v>0</v>
      </c>
    </row>
    <row r="38" spans="2:43" x14ac:dyDescent="0.35">
      <c r="B38" s="4"/>
      <c r="K38" t="e">
        <f>IF(VLOOKUP($L38,Data!$B$2:$AI$1588,39,FALSE)=1,1+MAX($K$3:K37),0)</f>
        <v>#N/A</v>
      </c>
      <c r="L38" t="s">
        <v>45</v>
      </c>
      <c r="N38" s="5"/>
      <c r="P38">
        <v>6</v>
      </c>
      <c r="Q38" t="s">
        <v>1031</v>
      </c>
      <c r="R38">
        <v>27</v>
      </c>
      <c r="S38" t="s">
        <v>1060</v>
      </c>
      <c r="Y38">
        <v>1</v>
      </c>
      <c r="Z38" t="s">
        <v>1026</v>
      </c>
      <c r="AA38" t="s">
        <v>1069</v>
      </c>
      <c r="AB38" t="s">
        <v>1069</v>
      </c>
      <c r="AC38">
        <f ca="1">COUNTIFS(Data!$J:$J,$Y38,Data!$AJ:$AJ,$AA38,INDIRECT($C$3),$C$2,INDIRECT($F$3),$F$2,INDIRECT($I$2),1,INDIRECT($M$3),$M$2,INDIRECT($I$9),1)</f>
        <v>0</v>
      </c>
      <c r="AD38" t="e">
        <f t="shared" ca="1" si="0"/>
        <v>#N/A</v>
      </c>
      <c r="AE38">
        <f t="shared" si="1"/>
        <v>38</v>
      </c>
      <c r="AF38">
        <f ca="1">COUNTIF(AD$3:AD38,AD38)</f>
        <v>30</v>
      </c>
      <c r="AG38" s="19" t="e">
        <f t="shared" ref="AG38:AG51" ca="1" si="17">AC38/$AH$17*100</f>
        <v>#REF!</v>
      </c>
      <c r="AO38" s="76"/>
      <c r="AP38" t="str">
        <f t="shared" si="15"/>
        <v>Tax amnesty / incentives</v>
      </c>
      <c r="AQ38">
        <f t="shared" ca="1" si="16"/>
        <v>0</v>
      </c>
    </row>
    <row r="39" spans="2:43" x14ac:dyDescent="0.35">
      <c r="B39" s="4"/>
      <c r="K39" t="e">
        <f>IF(VLOOKUP($L39,Data!$B$2:$AI$1588,39,FALSE)=1,1+MAX($K$3:K38),0)</f>
        <v>#N/A</v>
      </c>
      <c r="L39" t="s">
        <v>31</v>
      </c>
      <c r="N39" s="5"/>
      <c r="P39">
        <v>6</v>
      </c>
      <c r="Q39" t="s">
        <v>1031</v>
      </c>
      <c r="R39">
        <v>28</v>
      </c>
      <c r="S39" t="s">
        <v>1061</v>
      </c>
      <c r="Y39">
        <v>1</v>
      </c>
      <c r="Z39" t="s">
        <v>1026</v>
      </c>
      <c r="AA39" t="s">
        <v>1068</v>
      </c>
      <c r="AB39" t="s">
        <v>1068</v>
      </c>
      <c r="AC39">
        <f ca="1">COUNTIFS(Data!$J:$J,$Y39,Data!$AJ:$AJ,$AA39,INDIRECT($C$3),$C$2,INDIRECT($F$3),$F$2,INDIRECT($I$2),1,INDIRECT($M$3),$M$2,INDIRECT($I$9),1)</f>
        <v>0</v>
      </c>
      <c r="AD39" t="e">
        <f t="shared" ca="1" si="0"/>
        <v>#N/A</v>
      </c>
      <c r="AE39">
        <f t="shared" si="1"/>
        <v>39</v>
      </c>
      <c r="AF39">
        <f ca="1">COUNTIF(AD$3:AD39,AD39)</f>
        <v>31</v>
      </c>
      <c r="AG39" s="19" t="e">
        <f t="shared" ca="1" si="17"/>
        <v>#REF!</v>
      </c>
      <c r="AO39" s="76"/>
      <c r="AP39" t="str">
        <f t="shared" si="15"/>
        <v>Tax rate reduction</v>
      </c>
      <c r="AQ39">
        <f t="shared" ca="1" si="16"/>
        <v>0</v>
      </c>
    </row>
    <row r="40" spans="2:43" x14ac:dyDescent="0.35">
      <c r="B40" s="4"/>
      <c r="K40" t="e">
        <f>IF(VLOOKUP($L40,Data!$B$2:$AI$1588,39,FALSE)=1,1+MAX($K$3:K39),0)</f>
        <v>#N/A</v>
      </c>
      <c r="L40" t="s">
        <v>173</v>
      </c>
      <c r="N40" s="5"/>
      <c r="P40">
        <v>6</v>
      </c>
      <c r="Q40" t="s">
        <v>1031</v>
      </c>
      <c r="R40">
        <v>29</v>
      </c>
      <c r="S40" t="s">
        <v>1062</v>
      </c>
      <c r="Y40">
        <v>1</v>
      </c>
      <c r="Z40" t="s">
        <v>1026</v>
      </c>
      <c r="AA40">
        <v>12</v>
      </c>
      <c r="AB40" t="s">
        <v>1035</v>
      </c>
      <c r="AC40">
        <f ca="1">COUNTIFS(Data!$J:$J,$Y40,Data!$AJ:$AJ,$AA40,INDIRECT($C$3),$C$2,INDIRECT($F$3),$F$2,INDIRECT($I$2),1,INDIRECT($M$3),$M$2,INDIRECT($I$9),1)</f>
        <v>0</v>
      </c>
      <c r="AD40" t="e">
        <f t="shared" ca="1" si="0"/>
        <v>#N/A</v>
      </c>
      <c r="AE40">
        <f t="shared" si="1"/>
        <v>40</v>
      </c>
      <c r="AF40">
        <f ca="1">COUNTIF(AD$3:AD40,AD40)</f>
        <v>32</v>
      </c>
      <c r="AG40" s="19" t="e">
        <f t="shared" ca="1" si="17"/>
        <v>#REF!</v>
      </c>
      <c r="AO40" s="76"/>
      <c r="AP40" t="str">
        <f t="shared" si="15"/>
        <v>Deferral of tax payments</v>
      </c>
      <c r="AQ40">
        <f t="shared" ca="1" si="16"/>
        <v>0</v>
      </c>
    </row>
    <row r="41" spans="2:43" x14ac:dyDescent="0.35">
      <c r="B41" s="4"/>
      <c r="K41" t="e">
        <f>IF(VLOOKUP($L41,Data!$B$2:$AI$1588,39,FALSE)=1,1+MAX($K$3:K40),0)</f>
        <v>#REF!</v>
      </c>
      <c r="L41" t="s">
        <v>34</v>
      </c>
      <c r="N41" s="5"/>
      <c r="P41">
        <v>6</v>
      </c>
      <c r="Q41" t="s">
        <v>1031</v>
      </c>
      <c r="R41" t="s">
        <v>201</v>
      </c>
      <c r="S41" t="s">
        <v>1069</v>
      </c>
      <c r="Y41">
        <v>1</v>
      </c>
      <c r="Z41" t="s">
        <v>1026</v>
      </c>
      <c r="AA41">
        <v>11</v>
      </c>
      <c r="AB41" t="s">
        <v>1052</v>
      </c>
      <c r="AC41">
        <f ca="1">COUNTIFS(Data!$J:$J,$Y41,Data!$AJ:$AJ,$AA41,INDIRECT($C$3),$C$2,INDIRECT($F$3),$F$2,INDIRECT($I$2),1,INDIRECT($M$3),$M$2,INDIRECT($I$9),1)</f>
        <v>0</v>
      </c>
      <c r="AD41" t="e">
        <f t="shared" ca="1" si="0"/>
        <v>#N/A</v>
      </c>
      <c r="AE41">
        <f t="shared" si="1"/>
        <v>41</v>
      </c>
      <c r="AF41">
        <f ca="1">COUNTIF(AD$3:AD41,AD41)</f>
        <v>33</v>
      </c>
      <c r="AG41" s="19" t="e">
        <f t="shared" ca="1" si="17"/>
        <v>#REF!</v>
      </c>
      <c r="AO41" s="76"/>
      <c r="AP41" t="str">
        <f t="shared" si="15"/>
        <v>Deferral of tax filing</v>
      </c>
      <c r="AQ41">
        <f t="shared" ca="1" si="16"/>
        <v>0</v>
      </c>
    </row>
    <row r="42" spans="2:43" x14ac:dyDescent="0.35">
      <c r="B42" s="4"/>
      <c r="K42" t="e">
        <f>IF(VLOOKUP($L42,Data!$B$2:$AI$1588,39,FALSE)=1,1+MAX($K$3:K41),0)</f>
        <v>#N/A</v>
      </c>
      <c r="L42" t="s">
        <v>35</v>
      </c>
      <c r="N42" s="5"/>
      <c r="P42">
        <v>7</v>
      </c>
      <c r="Q42" t="s">
        <v>1032</v>
      </c>
      <c r="R42">
        <v>30</v>
      </c>
      <c r="S42" t="s">
        <v>1063</v>
      </c>
      <c r="Y42">
        <v>1</v>
      </c>
      <c r="Z42" t="s">
        <v>1026</v>
      </c>
      <c r="AA42">
        <v>10</v>
      </c>
      <c r="AB42" t="s">
        <v>1051</v>
      </c>
      <c r="AC42">
        <f ca="1">COUNTIFS(Data!$J:$J,$Y42,Data!$AJ:$AJ,$AA42,INDIRECT($C$3),$C$2,INDIRECT($F$3),$F$2,INDIRECT($I$2),1,INDIRECT($M$3),$M$2,INDIRECT($I$9),1)</f>
        <v>0</v>
      </c>
      <c r="AD42" t="e">
        <f t="shared" ca="1" si="0"/>
        <v>#N/A</v>
      </c>
      <c r="AE42">
        <f t="shared" si="1"/>
        <v>42</v>
      </c>
      <c r="AF42">
        <f ca="1">COUNTIF(AD$3:AD42,AD42)</f>
        <v>34</v>
      </c>
      <c r="AG42" s="19" t="e">
        <f t="shared" ca="1" si="17"/>
        <v>#REF!</v>
      </c>
      <c r="AO42" s="76"/>
      <c r="AP42" t="str">
        <f t="shared" si="15"/>
        <v>Tax credits</v>
      </c>
      <c r="AQ42">
        <f t="shared" ca="1" si="16"/>
        <v>0</v>
      </c>
    </row>
    <row r="43" spans="2:43" x14ac:dyDescent="0.35">
      <c r="B43" s="4"/>
      <c r="K43" t="e">
        <f>IF(VLOOKUP($L43,Data!$B$2:$AI$1588,39,FALSE)=1,1+MAX($K$3:K42),0)</f>
        <v>#REF!</v>
      </c>
      <c r="L43" t="s">
        <v>41</v>
      </c>
      <c r="N43" s="5"/>
      <c r="P43">
        <v>7</v>
      </c>
      <c r="Q43" t="s">
        <v>1032</v>
      </c>
      <c r="R43">
        <v>31</v>
      </c>
      <c r="S43" t="s">
        <v>1064</v>
      </c>
      <c r="Y43">
        <v>1</v>
      </c>
      <c r="Z43" t="s">
        <v>1026</v>
      </c>
      <c r="AA43">
        <v>9</v>
      </c>
      <c r="AB43" t="s">
        <v>1050</v>
      </c>
      <c r="AC43">
        <f ca="1">COUNTIFS(Data!$J:$J,$Y43,Data!$AJ:$AJ,$AA43,INDIRECT($C$3),$C$2,INDIRECT($F$3),$F$2,INDIRECT($I$2),1,INDIRECT($M$3),$M$2,INDIRECT($I$9),1)</f>
        <v>0</v>
      </c>
      <c r="AD43" t="e">
        <f t="shared" ca="1" si="0"/>
        <v>#N/A</v>
      </c>
      <c r="AE43">
        <f t="shared" si="1"/>
        <v>43</v>
      </c>
      <c r="AF43">
        <f ca="1">COUNTIF(AD$3:AD43,AD43)</f>
        <v>35</v>
      </c>
      <c r="AG43" s="19" t="e">
        <f t="shared" ca="1" si="17"/>
        <v>#REF!</v>
      </c>
      <c r="AO43" s="76"/>
      <c r="AP43" t="str">
        <f t="shared" si="15"/>
        <v>Broaden tax deductibility</v>
      </c>
      <c r="AQ43">
        <f t="shared" ca="1" si="16"/>
        <v>0</v>
      </c>
    </row>
    <row r="44" spans="2:43" x14ac:dyDescent="0.35">
      <c r="B44" s="4"/>
      <c r="K44" t="e">
        <f>IF(VLOOKUP($L44,Data!$B$2:$AI$1588,39,FALSE)=1,1+MAX($K$3:K43),0)</f>
        <v>#N/A</v>
      </c>
      <c r="L44" t="s">
        <v>42</v>
      </c>
      <c r="N44" s="5"/>
      <c r="P44">
        <v>7</v>
      </c>
      <c r="Q44" t="s">
        <v>1032</v>
      </c>
      <c r="R44">
        <v>32</v>
      </c>
      <c r="S44" t="s">
        <v>1065</v>
      </c>
      <c r="Y44">
        <v>1</v>
      </c>
      <c r="Z44" t="s">
        <v>1026</v>
      </c>
      <c r="AA44">
        <v>8</v>
      </c>
      <c r="AB44" t="s">
        <v>1034</v>
      </c>
      <c r="AC44">
        <f ca="1">COUNTIFS(Data!$J:$J,$Y44,Data!$AJ:$AJ,$AA44,INDIRECT($C$3),$C$2,INDIRECT($F$3),$F$2,INDIRECT($I$2),1,INDIRECT($M$3),$M$2,INDIRECT($I$9),1)</f>
        <v>0</v>
      </c>
      <c r="AD44" t="e">
        <f t="shared" ca="1" si="0"/>
        <v>#N/A</v>
      </c>
      <c r="AE44">
        <f t="shared" si="1"/>
        <v>44</v>
      </c>
      <c r="AF44">
        <f ca="1">COUNTIF(AD$3:AD44,AD44)</f>
        <v>36</v>
      </c>
      <c r="AG44" s="19" t="e">
        <f t="shared" ca="1" si="17"/>
        <v>#REF!</v>
      </c>
      <c r="AO44" s="76"/>
      <c r="AP44" t="str">
        <f t="shared" si="15"/>
        <v>Extend loss carry-forward (CIT)</v>
      </c>
      <c r="AQ44">
        <f t="shared" ca="1" si="16"/>
        <v>0</v>
      </c>
    </row>
    <row r="45" spans="2:43" x14ac:dyDescent="0.35">
      <c r="B45" s="4"/>
      <c r="K45" t="e">
        <f>IF(VLOOKUP($L45,Data!$B$2:$AI$1588,39,FALSE)=1,1+MAX($K$3:K44),0)</f>
        <v>#N/A</v>
      </c>
      <c r="L45" t="s">
        <v>38</v>
      </c>
      <c r="N45" s="5"/>
      <c r="P45">
        <v>7</v>
      </c>
      <c r="Q45" t="s">
        <v>1032</v>
      </c>
      <c r="R45" t="s">
        <v>201</v>
      </c>
      <c r="S45" t="s">
        <v>1069</v>
      </c>
      <c r="Y45">
        <v>1</v>
      </c>
      <c r="Z45" t="s">
        <v>1026</v>
      </c>
      <c r="AA45">
        <v>7</v>
      </c>
      <c r="AB45" t="s">
        <v>1049</v>
      </c>
      <c r="AC45">
        <f ca="1">COUNTIFS(Data!$J:$J,$Y45,Data!$AJ:$AJ,$AA45,INDIRECT($C$3),$C$2,INDIRECT($F$3),$F$2,INDIRECT($I$2),1,INDIRECT($M$3),$M$2,INDIRECT($I$9),1)</f>
        <v>0</v>
      </c>
      <c r="AD45" t="e">
        <f t="shared" ca="1" si="0"/>
        <v>#N/A</v>
      </c>
      <c r="AE45">
        <f t="shared" si="1"/>
        <v>45</v>
      </c>
      <c r="AF45">
        <f ca="1">COUNTIF(AD$3:AD45,AD45)</f>
        <v>37</v>
      </c>
      <c r="AG45" s="19" t="e">
        <f t="shared" ca="1" si="17"/>
        <v>#REF!</v>
      </c>
      <c r="AO45" s="76"/>
      <c r="AP45" t="str">
        <f t="shared" si="15"/>
        <v>Accelerated asset depreciation (CIT)</v>
      </c>
      <c r="AQ45">
        <f t="shared" ca="1" si="16"/>
        <v>0</v>
      </c>
    </row>
    <row r="46" spans="2:43" x14ac:dyDescent="0.35">
      <c r="B46" s="4"/>
      <c r="K46" t="e">
        <f>IF(VLOOKUP($L46,Data!$B$2:$AI$1588,39,FALSE)=1,1+MAX($K$3:K45),0)</f>
        <v>#N/A</v>
      </c>
      <c r="L46" t="s">
        <v>39</v>
      </c>
      <c r="N46" s="5"/>
      <c r="P46">
        <v>8</v>
      </c>
      <c r="Q46" t="s">
        <v>1039</v>
      </c>
      <c r="R46">
        <v>33</v>
      </c>
      <c r="S46" t="s">
        <v>1066</v>
      </c>
      <c r="Y46">
        <v>1</v>
      </c>
      <c r="Z46" t="s">
        <v>1026</v>
      </c>
      <c r="AA46">
        <v>6</v>
      </c>
      <c r="AB46" t="s">
        <v>1048</v>
      </c>
      <c r="AC46">
        <f ca="1">COUNTIFS(Data!$J:$J,$Y46,Data!$AJ:$AJ,$AA46,INDIRECT($C$3),$C$2,INDIRECT($F$3),$F$2,INDIRECT($I$2),1,INDIRECT($M$3),$M$2,INDIRECT($I$9),1)</f>
        <v>0</v>
      </c>
      <c r="AD46" t="e">
        <f t="shared" ca="1" si="0"/>
        <v>#N/A</v>
      </c>
      <c r="AE46">
        <f t="shared" si="1"/>
        <v>46</v>
      </c>
      <c r="AF46">
        <f ca="1">COUNTIF(AD$3:AD46,AD46)</f>
        <v>38</v>
      </c>
      <c r="AG46" s="19" t="e">
        <f t="shared" ca="1" si="17"/>
        <v>#REF!</v>
      </c>
    </row>
    <row r="47" spans="2:43" x14ac:dyDescent="0.35">
      <c r="B47" s="4"/>
      <c r="K47" t="e">
        <f>IF(VLOOKUP($L47,Data!$B$2:$AI$1588,39,FALSE)=1,1+MAX($K$3:K46),0)</f>
        <v>#N/A</v>
      </c>
      <c r="L47" t="s">
        <v>40</v>
      </c>
      <c r="N47" s="5"/>
      <c r="P47">
        <v>9</v>
      </c>
      <c r="Q47" t="s">
        <v>1040</v>
      </c>
      <c r="R47">
        <v>34</v>
      </c>
      <c r="S47" t="s">
        <v>1067</v>
      </c>
      <c r="Y47">
        <v>1</v>
      </c>
      <c r="Z47" t="s">
        <v>1026</v>
      </c>
      <c r="AA47">
        <v>5</v>
      </c>
      <c r="AB47" t="s">
        <v>1047</v>
      </c>
      <c r="AC47">
        <f ca="1">COUNTIFS(Data!$J:$J,$Y47,Data!$AJ:$AJ,$AA47,INDIRECT($C$3),$C$2,INDIRECT($F$3),$F$2,INDIRECT($I$2),1,INDIRECT($M$3),$M$2,INDIRECT($I$9),1)</f>
        <v>0</v>
      </c>
      <c r="AD47" t="e">
        <f t="shared" ca="1" si="0"/>
        <v>#N/A</v>
      </c>
      <c r="AE47">
        <f t="shared" si="1"/>
        <v>47</v>
      </c>
      <c r="AF47">
        <f ca="1">COUNTIF(AD$3:AD47,AD47)</f>
        <v>39</v>
      </c>
      <c r="AG47" s="19" t="e">
        <f t="shared" ca="1" si="17"/>
        <v>#REF!</v>
      </c>
    </row>
    <row r="48" spans="2:43" x14ac:dyDescent="0.35">
      <c r="B48" s="4"/>
      <c r="K48" t="e">
        <f>IF(VLOOKUP($L48,Data!$B$2:$AI$1588,39,FALSE)=1,1+MAX($K$3:K47),0)</f>
        <v>#REF!</v>
      </c>
      <c r="L48" t="s">
        <v>44</v>
      </c>
      <c r="N48" s="5"/>
      <c r="Y48">
        <v>1</v>
      </c>
      <c r="Z48" t="s">
        <v>1026</v>
      </c>
      <c r="AA48">
        <v>4</v>
      </c>
      <c r="AB48" t="s">
        <v>1046</v>
      </c>
      <c r="AC48">
        <f ca="1">COUNTIFS(Data!$J:$J,$Y48,Data!$AJ:$AJ,$AA48,INDIRECT($C$3),$C$2,INDIRECT($F$3),$F$2,INDIRECT($I$2),1,INDIRECT($M$3),$M$2,INDIRECT($I$9),1)</f>
        <v>0</v>
      </c>
      <c r="AD48" t="e">
        <f t="shared" ca="1" si="0"/>
        <v>#N/A</v>
      </c>
      <c r="AE48">
        <f t="shared" si="1"/>
        <v>48</v>
      </c>
      <c r="AF48">
        <f ca="1">COUNTIF(AD$3:AD48,AD48)</f>
        <v>40</v>
      </c>
      <c r="AG48" s="19" t="e">
        <f t="shared" ca="1" si="17"/>
        <v>#REF!</v>
      </c>
    </row>
    <row r="49" spans="2:33" x14ac:dyDescent="0.35">
      <c r="B49" s="4"/>
      <c r="K49" t="e">
        <f>IF(VLOOKUP($L49,Data!$B$2:$AI$1588,39,FALSE)=1,1+MAX($K$3:K48),0)</f>
        <v>#N/A</v>
      </c>
      <c r="L49" t="s">
        <v>36</v>
      </c>
      <c r="N49" s="5"/>
      <c r="Y49">
        <v>1</v>
      </c>
      <c r="Z49" t="s">
        <v>1026</v>
      </c>
      <c r="AA49">
        <v>3</v>
      </c>
      <c r="AB49" t="s">
        <v>1053</v>
      </c>
      <c r="AC49">
        <f ca="1">COUNTIFS(Data!$J:$J,$Y49,Data!$AJ:$AJ,$AA49,INDIRECT($C$3),$C$2,INDIRECT($F$3),$F$2,INDIRECT($I$2),1,INDIRECT($M$3),$M$2,INDIRECT($I$9),1)</f>
        <v>0</v>
      </c>
      <c r="AD49" t="e">
        <f t="shared" ca="1" si="0"/>
        <v>#N/A</v>
      </c>
      <c r="AE49">
        <f t="shared" si="1"/>
        <v>49</v>
      </c>
      <c r="AF49">
        <f ca="1">COUNTIF(AD$3:AD49,AD49)</f>
        <v>41</v>
      </c>
      <c r="AG49" s="19" t="e">
        <f t="shared" ca="1" si="17"/>
        <v>#REF!</v>
      </c>
    </row>
    <row r="50" spans="2:33" x14ac:dyDescent="0.35">
      <c r="B50" s="4"/>
      <c r="K50" t="e">
        <f>IF(VLOOKUP($L50,Data!$B$2:$AI$1588,39,FALSE)=1,1+MAX($K$3:K49),0)</f>
        <v>#N/A</v>
      </c>
      <c r="L50" t="s">
        <v>76</v>
      </c>
      <c r="N50" s="5"/>
      <c r="Y50">
        <v>1</v>
      </c>
      <c r="Z50" t="s">
        <v>1026</v>
      </c>
      <c r="AA50">
        <v>2</v>
      </c>
      <c r="AB50" t="s">
        <v>1045</v>
      </c>
      <c r="AC50">
        <f ca="1">COUNTIFS(Data!$J:$J,$Y50,Data!$AJ:$AJ,$AA50,INDIRECT($C$3),$C$2,INDIRECT($F$3),$F$2,INDIRECT($I$2),1,INDIRECT($M$3),$M$2,INDIRECT($I$9),1)</f>
        <v>0</v>
      </c>
      <c r="AD50" t="e">
        <f t="shared" ca="1" si="0"/>
        <v>#N/A</v>
      </c>
      <c r="AE50">
        <f t="shared" si="1"/>
        <v>50</v>
      </c>
      <c r="AF50">
        <f ca="1">COUNTIF(AD$3:AD50,AD50)</f>
        <v>42</v>
      </c>
      <c r="AG50" s="19" t="e">
        <f t="shared" ca="1" si="17"/>
        <v>#REF!</v>
      </c>
    </row>
    <row r="51" spans="2:33" x14ac:dyDescent="0.35">
      <c r="B51" s="4"/>
      <c r="K51" t="e">
        <f>IF(VLOOKUP($L51,Data!$B$2:$AI$1588,39,FALSE)=1,1+MAX($K$3:K50),0)</f>
        <v>#N/A</v>
      </c>
      <c r="L51" t="s">
        <v>46</v>
      </c>
      <c r="N51" s="5"/>
      <c r="P51" s="9" t="s">
        <v>1038</v>
      </c>
      <c r="Y51">
        <v>1</v>
      </c>
      <c r="Z51" t="s">
        <v>1026</v>
      </c>
      <c r="AA51">
        <v>1</v>
      </c>
      <c r="AB51" t="s">
        <v>1033</v>
      </c>
      <c r="AC51">
        <f ca="1">COUNTIFS(Data!$J:$J,$Y51,Data!$AJ:$AJ,$AA51,INDIRECT($C$3),$C$2,INDIRECT($F$3),$F$2,INDIRECT($I$2),1,INDIRECT($M$3),$M$2,INDIRECT($I$9),1)</f>
        <v>0</v>
      </c>
      <c r="AD51" t="e">
        <f t="shared" ca="1" si="0"/>
        <v>#N/A</v>
      </c>
      <c r="AE51">
        <f t="shared" si="1"/>
        <v>51</v>
      </c>
      <c r="AF51">
        <f ca="1">COUNTIF(AD$3:AD51,AD51)</f>
        <v>43</v>
      </c>
      <c r="AG51" s="19" t="e">
        <f t="shared" ca="1" si="17"/>
        <v>#REF!</v>
      </c>
    </row>
    <row r="52" spans="2:33" x14ac:dyDescent="0.35">
      <c r="B52" s="4"/>
      <c r="K52" t="e">
        <f>IF(VLOOKUP($L52,Data!$B$2:$AI$1588,39,FALSE)=1,1+MAX($K$3:K51),0)</f>
        <v>#REF!</v>
      </c>
      <c r="L52" t="s">
        <v>47</v>
      </c>
      <c r="N52" s="5"/>
      <c r="P52" t="s">
        <v>201</v>
      </c>
      <c r="Q52" t="e">
        <f ca="1">COUNTIFS(Data!#REF!,1,INDIRECT($C$3),$C$2,INDIRECT($F$3),$F$2,INDIRECT($I$2),1,INDIRECT($M$3),$M$2,INDIRECT($I$9),1)</f>
        <v>#REF!</v>
      </c>
      <c r="R52" t="s">
        <v>1041</v>
      </c>
      <c r="AG52" s="18"/>
    </row>
    <row r="53" spans="2:33" x14ac:dyDescent="0.35">
      <c r="B53" s="4"/>
      <c r="K53" t="e">
        <f>IF(VLOOKUP($L53,Data!$B$2:$AI$1588,39,FALSE)=1,1+MAX($K$3:K52),0)</f>
        <v>#REF!</v>
      </c>
      <c r="L53" t="s">
        <v>50</v>
      </c>
      <c r="N53" s="5"/>
      <c r="P53">
        <v>7</v>
      </c>
      <c r="Q53">
        <f ca="1">COUNTIFS(Data!$J:$J,$P53,INDIRECT($C$3),$C$2,INDIRECT($F$3),$F$2,INDIRECT($I$2),1,INDIRECT($M$3),$M$2,INDIRECT($I$9),1)</f>
        <v>0</v>
      </c>
      <c r="R53" t="str">
        <f t="shared" ref="R53:R61" si="18">VLOOKUP(P53,$P$3:$Q$47,2,FALSE)</f>
        <v>Credit and equity measures</v>
      </c>
      <c r="Z53" t="s">
        <v>1040</v>
      </c>
      <c r="AC53">
        <f ca="1">Q54</f>
        <v>0</v>
      </c>
      <c r="AD53" t="e">
        <f t="shared" ca="1" si="0"/>
        <v>#N/A</v>
      </c>
      <c r="AE53">
        <f t="shared" si="1"/>
        <v>53</v>
      </c>
      <c r="AF53">
        <f ca="1">COUNTIF(AD$3:AD53,AD53)</f>
        <v>44</v>
      </c>
      <c r="AG53" s="19" t="e">
        <f t="shared" ref="AG53:AG55" ca="1" si="19">AC53/$AH$17*100</f>
        <v>#REF!</v>
      </c>
    </row>
    <row r="54" spans="2:33" x14ac:dyDescent="0.35">
      <c r="B54" s="4"/>
      <c r="K54" t="e">
        <f>IF(VLOOKUP($L54,Data!$B$2:$AI$1588,39,FALSE)=1,1+MAX($K$3:K53),0)</f>
        <v>#N/A</v>
      </c>
      <c r="L54" t="s">
        <v>49</v>
      </c>
      <c r="N54" s="5"/>
      <c r="P54">
        <v>9</v>
      </c>
      <c r="Q54">
        <f ca="1">COUNTIFS(Data!$J:$J,$P54,INDIRECT($C$3),$C$2,INDIRECT($F$3),$F$2,INDIRECT($I$2),1,INDIRECT($M$3),$M$2,INDIRECT($I$9),1)</f>
        <v>0</v>
      </c>
      <c r="R54" t="str">
        <f t="shared" si="18"/>
        <v>Expenditure Measures for businesses</v>
      </c>
      <c r="Z54" t="s">
        <v>1041</v>
      </c>
      <c r="AC54" t="e">
        <f ca="1">Q52</f>
        <v>#REF!</v>
      </c>
      <c r="AD54" t="e">
        <f t="shared" ca="1" si="0"/>
        <v>#REF!</v>
      </c>
      <c r="AE54">
        <f t="shared" si="1"/>
        <v>54</v>
      </c>
      <c r="AF54">
        <f ca="1">COUNTIF(AD$3:AD54,AD54)</f>
        <v>1</v>
      </c>
      <c r="AG54" s="19" t="e">
        <f t="shared" ca="1" si="19"/>
        <v>#REF!</v>
      </c>
    </row>
    <row r="55" spans="2:33" x14ac:dyDescent="0.35">
      <c r="B55" s="4"/>
      <c r="K55" t="e">
        <f>IF(VLOOKUP($L55,Data!$B$2:$AI$1588,39,FALSE)=1,1+MAX($K$3:K54),0)</f>
        <v>#N/A</v>
      </c>
      <c r="L55" t="s">
        <v>51</v>
      </c>
      <c r="N55" s="5"/>
      <c r="P55">
        <v>6</v>
      </c>
      <c r="Q55">
        <f ca="1">COUNTIFS(Data!$J:$J,$P55,INDIRECT($C$3),$C$2,INDIRECT($F$3),$F$2,INDIRECT($I$2),1,INDIRECT($M$3),$M$2,INDIRECT($I$9),1)</f>
        <v>0</v>
      </c>
      <c r="R55" t="str">
        <f t="shared" si="18"/>
        <v>Expenditure Measures for cash transfers to individuals</v>
      </c>
      <c r="Z55" t="s">
        <v>1039</v>
      </c>
      <c r="AC55">
        <f ca="1">Q57</f>
        <v>0</v>
      </c>
      <c r="AD55" t="e">
        <f t="shared" ca="1" si="0"/>
        <v>#N/A</v>
      </c>
      <c r="AE55">
        <f t="shared" si="1"/>
        <v>55</v>
      </c>
      <c r="AF55">
        <f ca="1">COUNTIF(AD$3:AD55,AD55)</f>
        <v>45</v>
      </c>
      <c r="AG55" s="19" t="e">
        <f t="shared" ca="1" si="19"/>
        <v>#REF!</v>
      </c>
    </row>
    <row r="56" spans="2:33" x14ac:dyDescent="0.35">
      <c r="B56" s="4"/>
      <c r="K56" t="e">
        <f>IF(VLOOKUP($L56,Data!$B$2:$AI$1588,39,FALSE)=1,1+MAX($K$3:K55),0)</f>
        <v>#N/A</v>
      </c>
      <c r="L56" t="s">
        <v>53</v>
      </c>
      <c r="N56" s="5"/>
      <c r="P56">
        <v>5</v>
      </c>
      <c r="Q56">
        <f ca="1">COUNTIFS(Data!$J:$J,$P56,INDIRECT($C$3),$C$2,INDIRECT($F$3),$F$2,INDIRECT($I$2),1,INDIRECT($M$3),$M$2,INDIRECT($I$9),1)</f>
        <v>0</v>
      </c>
      <c r="R56" t="str">
        <f t="shared" si="18"/>
        <v>Health Expenditures measures</v>
      </c>
    </row>
    <row r="57" spans="2:33" x14ac:dyDescent="0.35">
      <c r="B57" s="4"/>
      <c r="K57" t="e">
        <f>IF(VLOOKUP($L57,Data!$B$2:$AI$1588,39,FALSE)=1,1+MAX($K$3:K56),0)</f>
        <v>#N/A</v>
      </c>
      <c r="L57" t="s">
        <v>54</v>
      </c>
      <c r="N57" s="5"/>
      <c r="P57">
        <v>8</v>
      </c>
      <c r="Q57">
        <f ca="1">COUNTIFS(Data!$J:$J,$P57,INDIRECT($C$3),$C$2,INDIRECT($F$3),$F$2,INDIRECT($I$2),1,INDIRECT($M$3),$M$2,INDIRECT($I$9),1)</f>
        <v>0</v>
      </c>
      <c r="R57" t="str">
        <f t="shared" si="18"/>
        <v>Revenue Measures to raise revenue</v>
      </c>
    </row>
    <row r="58" spans="2:33" x14ac:dyDescent="0.35">
      <c r="B58" s="4"/>
      <c r="K58" t="e">
        <f>IF(VLOOKUP($L58,Data!$B$2:$AI$1588,39,FALSE)=1,1+MAX($K$3:K57),0)</f>
        <v>#N/A</v>
      </c>
      <c r="L58" t="s">
        <v>160</v>
      </c>
      <c r="N58" s="5"/>
      <c r="P58">
        <v>4</v>
      </c>
      <c r="Q58">
        <f ca="1">COUNTIFS(Data!$J:$J,$P58,INDIRECT($C$3),$C$2,INDIRECT($F$3),$F$2,INDIRECT($I$2),1,INDIRECT($M$3),$M$2,INDIRECT($I$9),1)</f>
        <v>0</v>
      </c>
      <c r="R58" t="str">
        <f t="shared" si="18"/>
        <v>Revenue Measures to boost consumption / demand</v>
      </c>
      <c r="Z58" t="s">
        <v>1187</v>
      </c>
    </row>
    <row r="59" spans="2:33" x14ac:dyDescent="0.35">
      <c r="B59" s="4"/>
      <c r="K59" t="e">
        <f>IF(VLOOKUP($L59,Data!$B$2:$AI$1588,39,FALSE)=1,1+MAX($K$3:K58),0)</f>
        <v>#N/A</v>
      </c>
      <c r="L59" t="s">
        <v>69</v>
      </c>
      <c r="N59" s="5"/>
      <c r="P59">
        <v>3</v>
      </c>
      <c r="Q59">
        <f ca="1">COUNTIFS(Data!$J:$J,$P59,INDIRECT($C$3),$C$2,INDIRECT($F$3),$F$2,INDIRECT($I$2),1,INDIRECT($M$3),$M$2,INDIRECT($I$9),1)</f>
        <v>0</v>
      </c>
      <c r="R59" t="str">
        <f t="shared" si="18"/>
        <v>Revenue Measures to promote availability of medical items</v>
      </c>
      <c r="Z59">
        <f>COUNTIF($AA$59:$AA59,$AA59)</f>
        <v>1</v>
      </c>
      <c r="AA59">
        <v>1</v>
      </c>
      <c r="AB59">
        <f ca="1">SUMIFS(AE:AE,AD:AD,AA59,AF:AF,Z59)</f>
        <v>0</v>
      </c>
      <c r="AC59" t="e">
        <f ca="1">_xlfn.CONCAT(INDIRECT(_xlfn.CONCAT("Z",AB59)),": ",INDIRECT(_xlfn.CONCAT("AB",AB59))," (n=",INDIRECT(_xlfn.CONCAT("AC",AB59)),", ",TEXT(INDIRECT(_xlfn.CONCAT("AG",AB59)),"#,###"),"% of total)")</f>
        <v>#REF!</v>
      </c>
    </row>
    <row r="60" spans="2:33" x14ac:dyDescent="0.35">
      <c r="B60" s="4"/>
      <c r="K60" t="e">
        <f>IF(VLOOKUP($L60,Data!$B$2:$AI$1588,39,FALSE)=1,1+MAX($K$3:K59),0)</f>
        <v>#REF!</v>
      </c>
      <c r="L60" t="s">
        <v>56</v>
      </c>
      <c r="N60" s="5"/>
      <c r="P60">
        <v>2</v>
      </c>
      <c r="Q60">
        <f ca="1">COUNTIFS(Data!$J:$J,$P60,INDIRECT($C$3),$C$2,INDIRECT($F$3),$F$2,INDIRECT($I$2),1,INDIRECT($M$3),$M$2,INDIRECT($I$9),1)</f>
        <v>0</v>
      </c>
      <c r="R60" t="str">
        <f t="shared" si="18"/>
        <v>Revenue Measures to protect individuals</v>
      </c>
      <c r="Z60">
        <f ca="1">COUNTIF($AA$59:$AA60,$AA60)</f>
        <v>1</v>
      </c>
      <c r="AA60">
        <f ca="1">IF(SUM(Z65:Z69)=1,"-",IF(Z65&gt;1,1,2))</f>
        <v>2</v>
      </c>
      <c r="AB60">
        <f t="shared" ref="AB60:AB63" ca="1" si="20">SUMIFS(AE:AE,AD:AD,AA60,AF:AF,Z60)</f>
        <v>0</v>
      </c>
      <c r="AC60" t="str">
        <f ca="1">IFERROR(_xlfn.CONCAT(INDIRECT(_xlfn.CONCAT("Z",AB60)),": ",INDIRECT(_xlfn.CONCAT("AB",AB60))," (n=",INDIRECT(_xlfn.CONCAT("AC",AB60)),", ",TEXT(INDIRECT(_xlfn.CONCAT("AG",AB60)),"#,###"),"% of total)"),"No further policies")</f>
        <v>No further policies</v>
      </c>
    </row>
    <row r="61" spans="2:33" x14ac:dyDescent="0.35">
      <c r="B61" s="4"/>
      <c r="K61" t="e">
        <f>IF(VLOOKUP($L61,Data!$B$2:$AI$1588,39,FALSE)=1,1+MAX($K$3:K60),0)</f>
        <v>#N/A</v>
      </c>
      <c r="L61" t="s">
        <v>169</v>
      </c>
      <c r="N61" s="5"/>
      <c r="P61">
        <v>1</v>
      </c>
      <c r="Q61">
        <f ca="1">COUNTIFS(Data!$J:$J,$P61,INDIRECT($C$3),$C$2,INDIRECT($F$3),$F$2,INDIRECT($I$2),1,INDIRECT($M$3),$M$2,INDIRECT($I$9),1)</f>
        <v>0</v>
      </c>
      <c r="R61" t="str">
        <f t="shared" si="18"/>
        <v>Revenue Measures to protect businesses</v>
      </c>
      <c r="Z61">
        <f ca="1">COUNTIF($AA$59:$AA61,$AA61)</f>
        <v>1</v>
      </c>
      <c r="AA61" t="str">
        <f ca="1">IF(SUM(Z65:Z69)&lt;3,"-",IF(Z65&gt;2,1,IF(Z66&gt;1,2,3)))</f>
        <v>-</v>
      </c>
      <c r="AB61">
        <f t="shared" ca="1" si="20"/>
        <v>0</v>
      </c>
      <c r="AC61" t="str">
        <f ca="1">IFERROR(_xlfn.CONCAT(INDIRECT(_xlfn.CONCAT("Z",AB61)),": ",INDIRECT(_xlfn.CONCAT("AB",AB61))," (n=",INDIRECT(_xlfn.CONCAT("AC",AB61)),", ",TEXT(INDIRECT(_xlfn.CONCAT("AG",AB61)),"#,###"),"% of total)"),"No further policies")</f>
        <v>No further policies</v>
      </c>
    </row>
    <row r="62" spans="2:33" x14ac:dyDescent="0.35">
      <c r="B62" s="4"/>
      <c r="K62" t="e">
        <f>IF(VLOOKUP($L62,Data!$B$2:$AI$1588,39,FALSE)=1,1+MAX($K$3:K61),0)</f>
        <v>#N/A</v>
      </c>
      <c r="L62" t="s">
        <v>57</v>
      </c>
      <c r="N62" s="5"/>
      <c r="Z62">
        <f ca="1">COUNTIF($AA$59:$AA62,$AA62)</f>
        <v>2</v>
      </c>
      <c r="AA62" t="str">
        <f ca="1">IF(SUM(Z65:Z69)&lt;4,"-",IF(Z65&gt;3,1,IF(Z66&gt;2,2,IF(Z67&gt;1,3,4))))</f>
        <v>-</v>
      </c>
      <c r="AB62">
        <f t="shared" ca="1" si="20"/>
        <v>0</v>
      </c>
      <c r="AC62" t="str">
        <f ca="1">IFERROR(_xlfn.CONCAT(INDIRECT(_xlfn.CONCAT("Z",AB62)),": ",INDIRECT(_xlfn.CONCAT("AB",AB62))," (n=",INDIRECT(_xlfn.CONCAT("AC",AB62)),", ",TEXT(INDIRECT(_xlfn.CONCAT("AG",AB62)),"#,###"),"% of total)"),"No further policies")</f>
        <v>No further policies</v>
      </c>
    </row>
    <row r="63" spans="2:33" x14ac:dyDescent="0.35">
      <c r="B63" s="4"/>
      <c r="K63" t="e">
        <f>IF(VLOOKUP($L63,Data!$B$2:$AI$1588,39,FALSE)=1,1+MAX($K$3:K62),0)</f>
        <v>#REF!</v>
      </c>
      <c r="L63" t="s">
        <v>1</v>
      </c>
      <c r="N63" s="5"/>
      <c r="Z63">
        <f ca="1">COUNTIF($AA$59:$AA63,$AA63)</f>
        <v>3</v>
      </c>
      <c r="AA63" t="str">
        <f ca="1">IF(SUM(Z65:Z69)&lt;5,"-",IF(Z65&gt;4,1,IF(Z66&gt;3,2,IF(Z67&gt;2,3,IF(Z68&gt;1,4,5)))))</f>
        <v>-</v>
      </c>
      <c r="AB63">
        <f t="shared" ca="1" si="20"/>
        <v>0</v>
      </c>
      <c r="AC63" t="str">
        <f ca="1">IFERROR(_xlfn.CONCAT(INDIRECT(_xlfn.CONCAT("Z",AB63)),": ",INDIRECT(_xlfn.CONCAT("AB",AB63))," (n=",INDIRECT(_xlfn.CONCAT("AC",AB63)),", ",TEXT(INDIRECT(_xlfn.CONCAT("AG",AB63)),"#,###"),"% of total)"),"No further policies")</f>
        <v>No further policies</v>
      </c>
    </row>
    <row r="64" spans="2:33" x14ac:dyDescent="0.35">
      <c r="B64" s="4"/>
      <c r="K64" t="e">
        <f>IF(VLOOKUP($L64,Data!$B$2:$AI$1588,39,FALSE)=1,1+MAX($K$3:K63),0)</f>
        <v>#N/A</v>
      </c>
      <c r="L64" t="s">
        <v>59</v>
      </c>
      <c r="N64" s="5"/>
    </row>
    <row r="65" spans="2:28" x14ac:dyDescent="0.35">
      <c r="B65" s="4"/>
      <c r="K65" t="e">
        <f>IF(VLOOKUP($L65,Data!$B$2:$AI$1588,39,FALSE)=1,1+MAX($K$3:K64),0)</f>
        <v>#REF!</v>
      </c>
      <c r="L65" t="s">
        <v>58</v>
      </c>
      <c r="N65" s="5"/>
      <c r="Y65" t="s">
        <v>1188</v>
      </c>
      <c r="Z65">
        <f ca="1">COUNTIF($AD$3:$AD$55,1)</f>
        <v>0</v>
      </c>
      <c r="AB65">
        <f>0.1114*100</f>
        <v>11.14</v>
      </c>
    </row>
    <row r="66" spans="2:28" x14ac:dyDescent="0.35">
      <c r="B66" s="4"/>
      <c r="K66" t="e">
        <f>IF(VLOOKUP($L66,Data!$B$2:$AI$1588,39,FALSE)=1,1+MAX($K$3:K65),0)</f>
        <v>#REF!</v>
      </c>
      <c r="L66" t="s">
        <v>60</v>
      </c>
      <c r="N66" s="5"/>
      <c r="Y66" t="s">
        <v>1189</v>
      </c>
      <c r="Z66">
        <f ca="1">COUNTIF($AD$3:$AD$55,2)</f>
        <v>0</v>
      </c>
      <c r="AB66" t="str">
        <f>TEXT(AB65, "#,###")</f>
        <v>11</v>
      </c>
    </row>
    <row r="67" spans="2:28" x14ac:dyDescent="0.35">
      <c r="B67" s="4"/>
      <c r="K67" t="e">
        <f>IF(VLOOKUP($L67,Data!$B$2:$AI$1588,39,FALSE)=1,1+MAX($K$3:K66),0)</f>
        <v>#N/A</v>
      </c>
      <c r="L67" t="s">
        <v>61</v>
      </c>
      <c r="N67" s="5"/>
      <c r="Y67" t="s">
        <v>1190</v>
      </c>
      <c r="Z67">
        <f ca="1">COUNTIF($AD$3:$AD$55,3)</f>
        <v>0</v>
      </c>
    </row>
    <row r="68" spans="2:28" x14ac:dyDescent="0.35">
      <c r="B68" s="4"/>
      <c r="K68" t="e">
        <f>IF(VLOOKUP($L68,Data!$B$2:$AI$1588,39,FALSE)=1,1+MAX($K$3:K67),0)</f>
        <v>#N/A</v>
      </c>
      <c r="L68" t="s">
        <v>67</v>
      </c>
      <c r="N68" s="5"/>
      <c r="Y68" t="s">
        <v>1191</v>
      </c>
      <c r="Z68">
        <f ca="1">COUNTIF($AD$3:$AD$55,4)</f>
        <v>0</v>
      </c>
    </row>
    <row r="69" spans="2:28" x14ac:dyDescent="0.35">
      <c r="B69" s="4"/>
      <c r="K69" t="e">
        <f>IF(VLOOKUP($L69,Data!$B$2:$AI$1588,39,FALSE)=1,1+MAX($K$3:K68),0)</f>
        <v>#N/A</v>
      </c>
      <c r="L69" t="s">
        <v>63</v>
      </c>
      <c r="N69" s="5"/>
      <c r="Y69" t="s">
        <v>1193</v>
      </c>
      <c r="Z69">
        <f ca="1">COUNTIF($AD$3:$AD$55,5)</f>
        <v>0</v>
      </c>
    </row>
    <row r="70" spans="2:28" x14ac:dyDescent="0.35">
      <c r="B70" s="4"/>
      <c r="K70" t="e">
        <f>IF(VLOOKUP($L70,Data!$B$2:$AI$1588,39,FALSE)=1,1+MAX($K$3:K69),0)</f>
        <v>#REF!</v>
      </c>
      <c r="L70" t="s">
        <v>48</v>
      </c>
      <c r="N70" s="5"/>
    </row>
    <row r="71" spans="2:28" x14ac:dyDescent="0.35">
      <c r="B71" s="4"/>
      <c r="K71" t="e">
        <f>IF(VLOOKUP($L71,Data!$B$2:$AI$1588,39,FALSE)=1,1+MAX($K$3:K70),0)</f>
        <v>#N/A</v>
      </c>
      <c r="L71" t="s">
        <v>65</v>
      </c>
      <c r="N71" s="5"/>
    </row>
    <row r="72" spans="2:28" x14ac:dyDescent="0.35">
      <c r="B72" s="4"/>
      <c r="K72" t="e">
        <f>IF(VLOOKUP($L72,Data!$B$2:$AI$1588,39,FALSE)=1,1+MAX($K$3:K71),0)</f>
        <v>#REF!</v>
      </c>
      <c r="L72" t="s">
        <v>70</v>
      </c>
      <c r="N72" s="5"/>
    </row>
    <row r="73" spans="2:28" x14ac:dyDescent="0.35">
      <c r="B73" s="4"/>
      <c r="K73" t="e">
        <f>IF(VLOOKUP($L73,Data!$B$2:$AI$1588,39,FALSE)=1,1+MAX($K$3:K72),0)</f>
        <v>#N/A</v>
      </c>
      <c r="L73" t="s">
        <v>71</v>
      </c>
      <c r="N73" s="5"/>
    </row>
    <row r="74" spans="2:28" x14ac:dyDescent="0.35">
      <c r="B74" s="4"/>
      <c r="K74" t="e">
        <f>IF(VLOOKUP($L74,Data!$B$2:$AI$1588,39,FALSE)=1,1+MAX($K$3:K73),0)</f>
        <v>#N/A</v>
      </c>
      <c r="L74" t="s">
        <v>72</v>
      </c>
      <c r="N74" s="5"/>
    </row>
    <row r="75" spans="2:28" x14ac:dyDescent="0.35">
      <c r="B75" s="4"/>
      <c r="K75" t="e">
        <f>IF(VLOOKUP($L75,Data!$B$2:$AI$1588,39,FALSE)=1,1+MAX($K$3:K74),0)</f>
        <v>#N/A</v>
      </c>
      <c r="L75" t="s">
        <v>64</v>
      </c>
      <c r="N75" s="5"/>
    </row>
    <row r="76" spans="2:28" x14ac:dyDescent="0.35">
      <c r="B76" s="4"/>
      <c r="K76" t="e">
        <f>IF(VLOOKUP($L76,Data!$B$2:$AI$1588,39,FALSE)=1,1+MAX($K$3:K75),0)</f>
        <v>#N/A</v>
      </c>
      <c r="L76" t="s">
        <v>66</v>
      </c>
      <c r="N76" s="5"/>
    </row>
    <row r="77" spans="2:28" x14ac:dyDescent="0.35">
      <c r="B77" s="4"/>
      <c r="K77" t="e">
        <f>IF(VLOOKUP($L77,Data!$B$2:$AI$1588,39,FALSE)=1,1+MAX($K$3:K76),0)</f>
        <v>#N/A</v>
      </c>
      <c r="L77" t="s">
        <v>68</v>
      </c>
      <c r="N77" s="5"/>
    </row>
    <row r="78" spans="2:28" x14ac:dyDescent="0.35">
      <c r="B78" s="4"/>
      <c r="K78" t="e">
        <f>IF(VLOOKUP($L78,Data!$B$2:$AI$1588,39,FALSE)=1,1+MAX($K$3:K77),0)</f>
        <v>#N/A</v>
      </c>
      <c r="L78" t="s">
        <v>73</v>
      </c>
      <c r="N78" s="5"/>
    </row>
    <row r="79" spans="2:28" x14ac:dyDescent="0.35">
      <c r="B79" s="4"/>
      <c r="K79" t="e">
        <f>IF(VLOOKUP($L79,Data!$B$2:$AI$1588,39,FALSE)=1,1+MAX($K$3:K78),0)</f>
        <v>#N/A</v>
      </c>
      <c r="L79" t="s">
        <v>77</v>
      </c>
      <c r="N79" s="5"/>
    </row>
    <row r="80" spans="2:28" x14ac:dyDescent="0.35">
      <c r="B80" s="4"/>
      <c r="K80" t="e">
        <f>IF(VLOOKUP($L80,Data!$B$2:$AI$1588,39,FALSE)=1,1+MAX($K$3:K79),0)</f>
        <v>#N/A</v>
      </c>
      <c r="L80" t="s">
        <v>75</v>
      </c>
      <c r="N80" s="5"/>
    </row>
    <row r="81" spans="2:14" x14ac:dyDescent="0.35">
      <c r="B81" s="4"/>
      <c r="K81" t="e">
        <f>IF(VLOOKUP($L81,Data!$B$2:$AI$1588,39,FALSE)=1,1+MAX($K$3:K80),0)</f>
        <v>#N/A</v>
      </c>
      <c r="L81" t="s">
        <v>74</v>
      </c>
      <c r="N81" s="5"/>
    </row>
    <row r="82" spans="2:14" x14ac:dyDescent="0.35">
      <c r="B82" s="4"/>
      <c r="K82" t="e">
        <f>IF(VLOOKUP($L82,Data!$B$2:$AI$1588,39,FALSE)=1,1+MAX($K$3:K81),0)</f>
        <v>#REF!</v>
      </c>
      <c r="L82" t="s">
        <v>78</v>
      </c>
      <c r="N82" s="5"/>
    </row>
    <row r="83" spans="2:14" x14ac:dyDescent="0.35">
      <c r="B83" s="4"/>
      <c r="K83" t="e">
        <f>IF(VLOOKUP($L83,Data!$B$2:$AI$1588,39,FALSE)=1,1+MAX($K$3:K82),0)</f>
        <v>#REF!</v>
      </c>
      <c r="L83" t="s">
        <v>85</v>
      </c>
      <c r="N83" s="5"/>
    </row>
    <row r="84" spans="2:14" x14ac:dyDescent="0.35">
      <c r="B84" s="4"/>
      <c r="K84" t="e">
        <f>IF(VLOOKUP($L84,Data!$B$2:$AI$1588,39,FALSE)=1,1+MAX($K$3:K83),0)</f>
        <v>#N/A</v>
      </c>
      <c r="L84" t="s">
        <v>81</v>
      </c>
      <c r="N84" s="5"/>
    </row>
    <row r="85" spans="2:14" x14ac:dyDescent="0.35">
      <c r="B85" s="4"/>
      <c r="K85" t="e">
        <f>IF(VLOOKUP($L85,Data!$B$2:$AI$1588,39,FALSE)=1,1+MAX($K$3:K84),0)</f>
        <v>#N/A</v>
      </c>
      <c r="L85" t="s">
        <v>79</v>
      </c>
      <c r="N85" s="5"/>
    </row>
    <row r="86" spans="2:14" x14ac:dyDescent="0.35">
      <c r="B86" s="4"/>
      <c r="K86" t="e">
        <f>IF(VLOOKUP($L86,Data!$B$2:$AI$1588,39,FALSE)=1,1+MAX($K$3:K85),0)</f>
        <v>#N/A</v>
      </c>
      <c r="L86" t="s">
        <v>83</v>
      </c>
      <c r="N86" s="5"/>
    </row>
    <row r="87" spans="2:14" x14ac:dyDescent="0.35">
      <c r="B87" s="4"/>
      <c r="K87" t="e">
        <f>IF(VLOOKUP($L87,Data!$B$2:$AI$1588,39,FALSE)=1,1+MAX($K$3:K86),0)</f>
        <v>#N/A</v>
      </c>
      <c r="L87" t="s">
        <v>84</v>
      </c>
      <c r="N87" s="5"/>
    </row>
    <row r="88" spans="2:14" x14ac:dyDescent="0.35">
      <c r="B88" s="4"/>
      <c r="K88" t="e">
        <f>IF(VLOOKUP($L88,Data!$B$2:$AI$1588,39,FALSE)=1,1+MAX($K$3:K87),0)</f>
        <v>#REF!</v>
      </c>
      <c r="L88" t="s">
        <v>82</v>
      </c>
      <c r="N88" s="5"/>
    </row>
    <row r="89" spans="2:14" x14ac:dyDescent="0.35">
      <c r="B89" s="4"/>
      <c r="K89" t="e">
        <f>IF(VLOOKUP($L89,Data!$B$2:$AI$1588,39,FALSE)=1,1+MAX($K$3:K88),0)</f>
        <v>#N/A</v>
      </c>
      <c r="L89" t="s">
        <v>80</v>
      </c>
      <c r="N89" s="5"/>
    </row>
    <row r="90" spans="2:14" x14ac:dyDescent="0.35">
      <c r="B90" s="4"/>
      <c r="K90" t="e">
        <f>IF(VLOOKUP($L90,Data!$B$2:$AI$1588,39,FALSE)=1,1+MAX($K$3:K89),0)</f>
        <v>#REF!</v>
      </c>
      <c r="L90" t="s">
        <v>86</v>
      </c>
      <c r="N90" s="5"/>
    </row>
    <row r="91" spans="2:14" x14ac:dyDescent="0.35">
      <c r="B91" s="4"/>
      <c r="K91" t="e">
        <f>IF(VLOOKUP($L91,Data!$B$2:$AI$1588,39,FALSE)=1,1+MAX($K$3:K90),0)</f>
        <v>#REF!</v>
      </c>
      <c r="L91" t="s">
        <v>87</v>
      </c>
      <c r="N91" s="5"/>
    </row>
    <row r="92" spans="2:14" x14ac:dyDescent="0.35">
      <c r="B92" s="4"/>
      <c r="K92" t="e">
        <f>IF(VLOOKUP($L92,Data!$B$2:$AI$1588,39,FALSE)=1,1+MAX($K$3:K91),0)</f>
        <v>#N/A</v>
      </c>
      <c r="L92" t="s">
        <v>88</v>
      </c>
      <c r="N92" s="5"/>
    </row>
    <row r="93" spans="2:14" x14ac:dyDescent="0.35">
      <c r="B93" s="4"/>
      <c r="K93" t="e">
        <f>IF(VLOOKUP($L93,Data!$B$2:$AI$1588,39,FALSE)=1,1+MAX($K$3:K92),0)</f>
        <v>#REF!</v>
      </c>
      <c r="L93" t="s">
        <v>91</v>
      </c>
      <c r="N93" s="5"/>
    </row>
    <row r="94" spans="2:14" x14ac:dyDescent="0.35">
      <c r="B94" s="4"/>
      <c r="K94" t="e">
        <f>IF(VLOOKUP($L94,Data!$B$2:$AI$1588,39,FALSE)=1,1+MAX($K$3:K93),0)</f>
        <v>#N/A</v>
      </c>
      <c r="L94" t="s">
        <v>89</v>
      </c>
      <c r="N94" s="5"/>
    </row>
    <row r="95" spans="2:14" x14ac:dyDescent="0.35">
      <c r="B95" s="4"/>
      <c r="K95" t="e">
        <f>IF(VLOOKUP($L95,Data!$B$2:$AI$1588,39,FALSE)=1,1+MAX($K$3:K94),0)</f>
        <v>#N/A</v>
      </c>
      <c r="L95" t="s">
        <v>90</v>
      </c>
      <c r="N95" s="5"/>
    </row>
    <row r="96" spans="2:14" x14ac:dyDescent="0.35">
      <c r="B96" s="4"/>
      <c r="K96" t="e">
        <f>IF(VLOOKUP($L96,Data!$B$2:$AI$1588,39,FALSE)=1,1+MAX($K$3:K95),0)</f>
        <v>#N/A</v>
      </c>
      <c r="L96" t="s">
        <v>92</v>
      </c>
      <c r="N96" s="5"/>
    </row>
    <row r="97" spans="2:14" x14ac:dyDescent="0.35">
      <c r="B97" s="4"/>
      <c r="K97" t="e">
        <f>IF(VLOOKUP($L97,Data!$B$2:$AI$1588,39,FALSE)=1,1+MAX($K$3:K96),0)</f>
        <v>#N/A</v>
      </c>
      <c r="L97" t="s">
        <v>93</v>
      </c>
      <c r="N97" s="5"/>
    </row>
    <row r="98" spans="2:14" x14ac:dyDescent="0.35">
      <c r="B98" s="4"/>
      <c r="K98" t="e">
        <f>IF(VLOOKUP($L98,Data!$B$2:$AI$1588,39,FALSE)=1,1+MAX($K$3:K97),0)</f>
        <v>#REF!</v>
      </c>
      <c r="L98" t="s">
        <v>97</v>
      </c>
      <c r="N98" s="5"/>
    </row>
    <row r="99" spans="2:14" x14ac:dyDescent="0.35">
      <c r="B99" s="4"/>
      <c r="K99" t="e">
        <f>IF(VLOOKUP($L99,Data!$B$2:$AI$1588,39,FALSE)=1,1+MAX($K$3:K98),0)</f>
        <v>#N/A</v>
      </c>
      <c r="L99" t="s">
        <v>195</v>
      </c>
      <c r="N99" s="5"/>
    </row>
    <row r="100" spans="2:14" x14ac:dyDescent="0.35">
      <c r="B100" s="4"/>
      <c r="K100" t="e">
        <f>IF(VLOOKUP($L100,Data!$B$2:$AI$1588,39,FALSE)=1,1+MAX($K$3:K99),0)</f>
        <v>#N/A</v>
      </c>
      <c r="L100" t="s">
        <v>98</v>
      </c>
      <c r="N100" s="5"/>
    </row>
    <row r="101" spans="2:14" x14ac:dyDescent="0.35">
      <c r="B101" s="4"/>
      <c r="K101" t="e">
        <f>IF(VLOOKUP($L101,Data!$B$2:$AI$1588,39,FALSE)=1,1+MAX($K$3:K100),0)</f>
        <v>#N/A</v>
      </c>
      <c r="L101" t="s">
        <v>94</v>
      </c>
      <c r="N101" s="5"/>
    </row>
    <row r="102" spans="2:14" x14ac:dyDescent="0.35">
      <c r="B102" s="4"/>
      <c r="K102" t="e">
        <f>IF(VLOOKUP($L102,Data!$B$2:$AI$1588,39,FALSE)=1,1+MAX($K$3:K101),0)</f>
        <v>#N/A</v>
      </c>
      <c r="L102" t="s">
        <v>99</v>
      </c>
      <c r="N102" s="5"/>
    </row>
    <row r="103" spans="2:14" x14ac:dyDescent="0.35">
      <c r="B103" s="4"/>
      <c r="K103" t="e">
        <f>IF(VLOOKUP($L103,Data!$B$2:$AI$1588,39,FALSE)=1,1+MAX($K$3:K102),0)</f>
        <v>#REF!</v>
      </c>
      <c r="L103" t="s">
        <v>108</v>
      </c>
      <c r="N103" s="5"/>
    </row>
    <row r="104" spans="2:14" x14ac:dyDescent="0.35">
      <c r="B104" s="4"/>
      <c r="K104" t="e">
        <f>IF(VLOOKUP($L104,Data!$B$2:$AI$1588,39,FALSE)=1,1+MAX($K$3:K103),0)</f>
        <v>#N/A</v>
      </c>
      <c r="L104" t="s">
        <v>100</v>
      </c>
      <c r="N104" s="5"/>
    </row>
    <row r="105" spans="2:14" x14ac:dyDescent="0.35">
      <c r="B105" s="4"/>
      <c r="K105" t="e">
        <f>IF(VLOOKUP($L105,Data!$B$2:$AI$1588,39,FALSE)=1,1+MAX($K$3:K104),0)</f>
        <v>#N/A</v>
      </c>
      <c r="L105" t="s">
        <v>105</v>
      </c>
      <c r="N105" s="5"/>
    </row>
    <row r="106" spans="2:14" x14ac:dyDescent="0.35">
      <c r="B106" s="4"/>
      <c r="K106" t="e">
        <f>IF(VLOOKUP($L106,Data!$B$2:$AI$1588,39,FALSE)=1,1+MAX($K$3:K105),0)</f>
        <v>#N/A</v>
      </c>
      <c r="L106" t="s">
        <v>101</v>
      </c>
      <c r="N106" s="5"/>
    </row>
    <row r="107" spans="2:14" x14ac:dyDescent="0.35">
      <c r="B107" s="4"/>
      <c r="K107" t="e">
        <f>IF(VLOOKUP($L107,Data!$B$2:$AI$1588,39,FALSE)=1,1+MAX($K$3:K106),0)</f>
        <v>#N/A</v>
      </c>
      <c r="L107" t="s">
        <v>102</v>
      </c>
      <c r="N107" s="5"/>
    </row>
    <row r="108" spans="2:14" x14ac:dyDescent="0.35">
      <c r="B108" s="4"/>
      <c r="K108" t="e">
        <f>IF(VLOOKUP($L108,Data!$B$2:$AI$1588,39,FALSE)=1,1+MAX($K$3:K107),0)</f>
        <v>#REF!</v>
      </c>
      <c r="L108" t="s">
        <v>106</v>
      </c>
      <c r="N108" s="5"/>
    </row>
    <row r="109" spans="2:14" x14ac:dyDescent="0.35">
      <c r="B109" s="4"/>
      <c r="K109" t="e">
        <f>IF(VLOOKUP($L109,Data!$B$2:$AI$1588,39,FALSE)=1,1+MAX($K$3:K108),0)</f>
        <v>#REF!</v>
      </c>
      <c r="L109" t="s">
        <v>107</v>
      </c>
      <c r="N109" s="5"/>
    </row>
    <row r="110" spans="2:14" x14ac:dyDescent="0.35">
      <c r="B110" s="4"/>
      <c r="K110" t="e">
        <f>IF(VLOOKUP($L110,Data!$B$2:$AI$1588,39,FALSE)=1,1+MAX($K$3:K109),0)</f>
        <v>#N/A</v>
      </c>
      <c r="L110" t="s">
        <v>109</v>
      </c>
      <c r="N110" s="5"/>
    </row>
    <row r="111" spans="2:14" x14ac:dyDescent="0.35">
      <c r="B111" s="4"/>
      <c r="K111" t="e">
        <f>IF(VLOOKUP($L111,Data!$B$2:$AI$1588,39,FALSE)=1,1+MAX($K$3:K110),0)</f>
        <v>#N/A</v>
      </c>
      <c r="L111" t="s">
        <v>113</v>
      </c>
      <c r="N111" s="5"/>
    </row>
    <row r="112" spans="2:14" x14ac:dyDescent="0.35">
      <c r="B112" s="4"/>
      <c r="K112" t="e">
        <f>IF(VLOOKUP($L112,Data!$B$2:$AI$1588,39,FALSE)=1,1+MAX($K$3:K111),0)</f>
        <v>#N/A</v>
      </c>
      <c r="L112" t="s">
        <v>127</v>
      </c>
      <c r="N112" s="5"/>
    </row>
    <row r="113" spans="2:14" x14ac:dyDescent="0.35">
      <c r="B113" s="4"/>
      <c r="K113" t="e">
        <f>IF(VLOOKUP($L113,Data!$B$2:$AI$1588,39,FALSE)=1,1+MAX($K$3:K112),0)</f>
        <v>#N/A</v>
      </c>
      <c r="L113" t="s">
        <v>128</v>
      </c>
      <c r="N113" s="5"/>
    </row>
    <row r="114" spans="2:14" x14ac:dyDescent="0.35">
      <c r="B114" s="4"/>
      <c r="K114" t="e">
        <f>IF(VLOOKUP($L114,Data!$B$2:$AI$1588,39,FALSE)=1,1+MAX($K$3:K113),0)</f>
        <v>#N/A</v>
      </c>
      <c r="L114" t="s">
        <v>114</v>
      </c>
      <c r="N114" s="5"/>
    </row>
    <row r="115" spans="2:14" x14ac:dyDescent="0.35">
      <c r="B115" s="4"/>
      <c r="K115" t="e">
        <f>IF(VLOOKUP($L115,Data!$B$2:$AI$1588,39,FALSE)=1,1+MAX($K$3:K114),0)</f>
        <v>#N/A</v>
      </c>
      <c r="L115" t="s">
        <v>118</v>
      </c>
      <c r="N115" s="5"/>
    </row>
    <row r="116" spans="2:14" x14ac:dyDescent="0.35">
      <c r="B116" s="4"/>
      <c r="K116" t="e">
        <f>IF(VLOOKUP($L116,Data!$B$2:$AI$1588,39,FALSE)=1,1+MAX($K$3:K115),0)</f>
        <v>#N/A</v>
      </c>
      <c r="L116" t="s">
        <v>119</v>
      </c>
      <c r="N116" s="5"/>
    </row>
    <row r="117" spans="2:14" x14ac:dyDescent="0.35">
      <c r="B117" s="4"/>
      <c r="K117" t="e">
        <f>IF(VLOOKUP($L117,Data!$B$2:$AI$1588,39,FALSE)=1,1+MAX($K$3:K116),0)</f>
        <v>#N/A</v>
      </c>
      <c r="L117" t="s">
        <v>116</v>
      </c>
      <c r="N117" s="5"/>
    </row>
    <row r="118" spans="2:14" x14ac:dyDescent="0.35">
      <c r="B118" s="4"/>
      <c r="K118" t="e">
        <f>IF(VLOOKUP($L118,Data!$B$2:$AI$1588,39,FALSE)=1,1+MAX($K$3:K117),0)</f>
        <v>#N/A</v>
      </c>
      <c r="L118" t="s">
        <v>124</v>
      </c>
      <c r="N118" s="5"/>
    </row>
    <row r="119" spans="2:14" x14ac:dyDescent="0.35">
      <c r="B119" s="4"/>
      <c r="K119" t="e">
        <f>IF(VLOOKUP($L119,Data!$B$2:$AI$1588,39,FALSE)=1,1+MAX($K$3:K118),0)</f>
        <v>#N/A</v>
      </c>
      <c r="L119" t="s">
        <v>126</v>
      </c>
      <c r="N119" s="5"/>
    </row>
    <row r="120" spans="2:14" x14ac:dyDescent="0.35">
      <c r="B120" s="4"/>
      <c r="K120" t="e">
        <f>IF(VLOOKUP($L120,Data!$B$2:$AI$1588,39,FALSE)=1,1+MAX($K$3:K119),0)</f>
        <v>#REF!</v>
      </c>
      <c r="L120" t="s">
        <v>115</v>
      </c>
      <c r="N120" s="5"/>
    </row>
    <row r="121" spans="2:14" x14ac:dyDescent="0.35">
      <c r="B121" s="4"/>
      <c r="K121" t="e">
        <f>IF(VLOOKUP($L121,Data!$B$2:$AI$1588,39,FALSE)=1,1+MAX($K$3:K120),0)</f>
        <v>#N/A</v>
      </c>
      <c r="L121" t="s">
        <v>112</v>
      </c>
      <c r="N121" s="5"/>
    </row>
    <row r="122" spans="2:14" x14ac:dyDescent="0.35">
      <c r="B122" s="4"/>
      <c r="K122" t="e">
        <f>IF(VLOOKUP($L122,Data!$B$2:$AI$1588,39,FALSE)=1,1+MAX($K$3:K121),0)</f>
        <v>#N/A</v>
      </c>
      <c r="L122" t="s">
        <v>111</v>
      </c>
      <c r="N122" s="5"/>
    </row>
    <row r="123" spans="2:14" x14ac:dyDescent="0.35">
      <c r="B123" s="4"/>
      <c r="K123" t="e">
        <f>IF(VLOOKUP($L123,Data!$B$2:$AI$1588,39,FALSE)=1,1+MAX($K$3:K122),0)</f>
        <v>#N/A</v>
      </c>
      <c r="L123" t="s">
        <v>122</v>
      </c>
      <c r="N123" s="5"/>
    </row>
    <row r="124" spans="2:14" x14ac:dyDescent="0.35">
      <c r="B124" s="4"/>
      <c r="K124" t="e">
        <f>IF(VLOOKUP($L124,Data!$B$2:$AI$1588,39,FALSE)=1,1+MAX($K$3:K123),0)</f>
        <v>#N/A</v>
      </c>
      <c r="L124" t="s">
        <v>121</v>
      </c>
      <c r="N124" s="5"/>
    </row>
    <row r="125" spans="2:14" x14ac:dyDescent="0.35">
      <c r="B125" s="4"/>
      <c r="K125" t="e">
        <f>IF(VLOOKUP($L125,Data!$B$2:$AI$1588,39,FALSE)=1,1+MAX($K$3:K124),0)</f>
        <v>#N/A</v>
      </c>
      <c r="L125" t="s">
        <v>125</v>
      </c>
      <c r="N125" s="5"/>
    </row>
    <row r="126" spans="2:14" x14ac:dyDescent="0.35">
      <c r="B126" s="4"/>
      <c r="K126" t="e">
        <f>IF(VLOOKUP($L126,Data!$B$2:$AI$1588,39,FALSE)=1,1+MAX($K$3:K125),0)</f>
        <v>#N/A</v>
      </c>
      <c r="L126" t="s">
        <v>110</v>
      </c>
      <c r="N126" s="5"/>
    </row>
    <row r="127" spans="2:14" x14ac:dyDescent="0.35">
      <c r="B127" s="4"/>
      <c r="K127" t="e">
        <f>IF(VLOOKUP($L127,Data!$B$2:$AI$1588,39,FALSE)=1,1+MAX($K$3:K126),0)</f>
        <v>#N/A</v>
      </c>
      <c r="L127" t="s">
        <v>123</v>
      </c>
      <c r="N127" s="5"/>
    </row>
    <row r="128" spans="2:14" x14ac:dyDescent="0.35">
      <c r="B128" s="4"/>
      <c r="K128" t="e">
        <f>IF(VLOOKUP($L128,Data!$B$2:$AI$1588,39,FALSE)=1,1+MAX($K$3:K127),0)</f>
        <v>#N/A</v>
      </c>
      <c r="L128" t="s">
        <v>120</v>
      </c>
      <c r="N128" s="5"/>
    </row>
    <row r="129" spans="2:14" x14ac:dyDescent="0.35">
      <c r="B129" s="4"/>
      <c r="K129" t="e">
        <f>IF(VLOOKUP($L129,Data!$B$2:$AI$1588,39,FALSE)=1,1+MAX($K$3:K128),0)</f>
        <v>#N/A</v>
      </c>
      <c r="L129" t="s">
        <v>129</v>
      </c>
      <c r="N129" s="5"/>
    </row>
    <row r="130" spans="2:14" x14ac:dyDescent="0.35">
      <c r="B130" s="4"/>
      <c r="K130" t="e">
        <f>IF(VLOOKUP($L130,Data!$B$2:$AI$1588,39,FALSE)=1,1+MAX($K$3:K129),0)</f>
        <v>#N/A</v>
      </c>
      <c r="L130" t="s">
        <v>136</v>
      </c>
      <c r="N130" s="5"/>
    </row>
    <row r="131" spans="2:14" x14ac:dyDescent="0.35">
      <c r="B131" s="4"/>
      <c r="K131" t="e">
        <f>IF(VLOOKUP($L131,Data!$B$2:$AI$1588,39,FALSE)=1,1+MAX($K$3:K130),0)</f>
        <v>#N/A</v>
      </c>
      <c r="L131" t="s">
        <v>135</v>
      </c>
      <c r="N131" s="5"/>
    </row>
    <row r="132" spans="2:14" x14ac:dyDescent="0.35">
      <c r="B132" s="4"/>
      <c r="K132" t="e">
        <f>IF(VLOOKUP($L132,Data!$B$2:$AI$1588,39,FALSE)=1,1+MAX($K$3:K131),0)</f>
        <v>#REF!</v>
      </c>
      <c r="L132" t="s">
        <v>133</v>
      </c>
      <c r="N132" s="5"/>
    </row>
    <row r="133" spans="2:14" x14ac:dyDescent="0.35">
      <c r="B133" s="4"/>
      <c r="K133" t="e">
        <f>IF(VLOOKUP($L133,Data!$B$2:$AI$1588,39,FALSE)=1,1+MAX($K$3:K132),0)</f>
        <v>#REF!</v>
      </c>
      <c r="L133" t="s">
        <v>137</v>
      </c>
      <c r="N133" s="5"/>
    </row>
    <row r="134" spans="2:14" x14ac:dyDescent="0.35">
      <c r="B134" s="4"/>
      <c r="K134" t="e">
        <f>IF(VLOOKUP($L134,Data!$B$2:$AI$1588,39,FALSE)=1,1+MAX($K$3:K133),0)</f>
        <v>#N/A</v>
      </c>
      <c r="L134" t="s">
        <v>132</v>
      </c>
      <c r="N134" s="5"/>
    </row>
    <row r="135" spans="2:14" x14ac:dyDescent="0.35">
      <c r="B135" s="4"/>
      <c r="K135" t="e">
        <f>IF(VLOOKUP($L135,Data!$B$2:$AI$1588,39,FALSE)=1,1+MAX($K$3:K134),0)</f>
        <v>#N/A</v>
      </c>
      <c r="L135" t="s">
        <v>130</v>
      </c>
      <c r="N135" s="5"/>
    </row>
    <row r="136" spans="2:14" x14ac:dyDescent="0.35">
      <c r="B136" s="4"/>
      <c r="K136" t="e">
        <f>IF(VLOOKUP($L136,Data!$B$2:$AI$1588,39,FALSE)=1,1+MAX($K$3:K135),0)</f>
        <v>#N/A</v>
      </c>
      <c r="L136" t="s">
        <v>131</v>
      </c>
      <c r="N136" s="5"/>
    </row>
    <row r="137" spans="2:14" x14ac:dyDescent="0.35">
      <c r="B137" s="4"/>
      <c r="K137" t="e">
        <f>IF(VLOOKUP($L137,Data!$B$2:$AI$1588,39,FALSE)=1,1+MAX($K$3:K136),0)</f>
        <v>#N/A</v>
      </c>
      <c r="L137" t="s">
        <v>117</v>
      </c>
      <c r="N137" s="5"/>
    </row>
    <row r="138" spans="2:14" x14ac:dyDescent="0.35">
      <c r="B138" s="4"/>
      <c r="K138" t="e">
        <f>IF(VLOOKUP($L138,Data!$B$2:$AI$1588,39,FALSE)=1,1+MAX($K$3:K137),0)</f>
        <v>#REF!</v>
      </c>
      <c r="L138" t="s">
        <v>134</v>
      </c>
      <c r="N138" s="5"/>
    </row>
    <row r="139" spans="2:14" x14ac:dyDescent="0.35">
      <c r="B139" s="4"/>
      <c r="K139" t="e">
        <f>IF(VLOOKUP($L139,Data!$B$2:$AI$1588,39,FALSE)=1,1+MAX($K$3:K138),0)</f>
        <v>#N/A</v>
      </c>
      <c r="L139" t="s">
        <v>138</v>
      </c>
      <c r="N139" s="5"/>
    </row>
    <row r="140" spans="2:14" x14ac:dyDescent="0.35">
      <c r="B140" s="4"/>
      <c r="K140" t="e">
        <f>IF(VLOOKUP($L140,Data!$B$2:$AI$1588,39,FALSE)=1,1+MAX($K$3:K139),0)</f>
        <v>#N/A</v>
      </c>
      <c r="L140" t="s">
        <v>139</v>
      </c>
      <c r="N140" s="5"/>
    </row>
    <row r="141" spans="2:14" x14ac:dyDescent="0.35">
      <c r="B141" s="4"/>
      <c r="K141" t="e">
        <f>IF(VLOOKUP($L141,Data!$B$2:$AI$1588,39,FALSE)=1,1+MAX($K$3:K140),0)</f>
        <v>#N/A</v>
      </c>
      <c r="L141" t="s">
        <v>143</v>
      </c>
      <c r="N141" s="5"/>
    </row>
    <row r="142" spans="2:14" x14ac:dyDescent="0.35">
      <c r="B142" s="4"/>
      <c r="K142" t="e">
        <f>IF(VLOOKUP($L142,Data!$B$2:$AI$1588,39,FALSE)=1,1+MAX($K$3:K141),0)</f>
        <v>#N/A</v>
      </c>
      <c r="L142" t="s">
        <v>140</v>
      </c>
      <c r="N142" s="5"/>
    </row>
    <row r="143" spans="2:14" x14ac:dyDescent="0.35">
      <c r="B143" s="4"/>
      <c r="K143" t="e">
        <f>IF(VLOOKUP($L143,Data!$B$2:$AI$1588,39,FALSE)=1,1+MAX($K$3:K142),0)</f>
        <v>#N/A</v>
      </c>
      <c r="L143" t="s">
        <v>144</v>
      </c>
      <c r="N143" s="5"/>
    </row>
    <row r="144" spans="2:14" x14ac:dyDescent="0.35">
      <c r="B144" s="4"/>
      <c r="K144" t="e">
        <f>IF(VLOOKUP($L144,Data!$B$2:$AI$1588,39,FALSE)=1,1+MAX($K$3:K143),0)</f>
        <v>#N/A</v>
      </c>
      <c r="L144" t="s">
        <v>148</v>
      </c>
      <c r="N144" s="5"/>
    </row>
    <row r="145" spans="2:14" x14ac:dyDescent="0.35">
      <c r="B145" s="4"/>
      <c r="K145" t="e">
        <f>IF(VLOOKUP($L145,Data!$B$2:$AI$1588,39,FALSE)=1,1+MAX($K$3:K144),0)</f>
        <v>#N/A</v>
      </c>
      <c r="L145" t="s">
        <v>141</v>
      </c>
      <c r="N145" s="5"/>
    </row>
    <row r="146" spans="2:14" x14ac:dyDescent="0.35">
      <c r="B146" s="4"/>
      <c r="K146" t="e">
        <f>IF(VLOOKUP($L146,Data!$B$2:$AI$1588,39,FALSE)=1,1+MAX($K$3:K145),0)</f>
        <v>#N/A</v>
      </c>
      <c r="L146" t="s">
        <v>142</v>
      </c>
      <c r="N146" s="5"/>
    </row>
    <row r="147" spans="2:14" x14ac:dyDescent="0.35">
      <c r="B147" s="4"/>
      <c r="K147" t="e">
        <f>IF(VLOOKUP($L147,Data!$B$2:$AI$1588,39,FALSE)=1,1+MAX($K$3:K146),0)</f>
        <v>#REF!</v>
      </c>
      <c r="L147" t="s">
        <v>145</v>
      </c>
      <c r="N147" s="5"/>
    </row>
    <row r="148" spans="2:14" x14ac:dyDescent="0.35">
      <c r="B148" s="4"/>
      <c r="K148" t="e">
        <f>IF(VLOOKUP($L148,Data!$B$2:$AI$1588,39,FALSE)=1,1+MAX($K$3:K147),0)</f>
        <v>#REF!</v>
      </c>
      <c r="L148" t="s">
        <v>147</v>
      </c>
      <c r="N148" s="5"/>
    </row>
    <row r="149" spans="2:14" x14ac:dyDescent="0.35">
      <c r="B149" s="4"/>
      <c r="K149" t="e">
        <f>IF(VLOOKUP($L149,Data!$B$2:$AI$1588,39,FALSE)=1,1+MAX($K$3:K148),0)</f>
        <v>#N/A</v>
      </c>
      <c r="L149" t="s">
        <v>146</v>
      </c>
      <c r="N149" s="5"/>
    </row>
    <row r="150" spans="2:14" x14ac:dyDescent="0.35">
      <c r="B150" s="4"/>
      <c r="K150" t="e">
        <f>IF(VLOOKUP($L150,Data!$B$2:$AI$1588,39,FALSE)=1,1+MAX($K$3:K149),0)</f>
        <v>#N/A</v>
      </c>
      <c r="L150" t="s">
        <v>150</v>
      </c>
      <c r="N150" s="5"/>
    </row>
    <row r="151" spans="2:14" x14ac:dyDescent="0.35">
      <c r="B151" s="4"/>
      <c r="K151" t="e">
        <f>IF(VLOOKUP($L151,Data!$B$2:$AI$1588,39,FALSE)=1,1+MAX($K$3:K150),0)</f>
        <v>#N/A</v>
      </c>
      <c r="L151" t="s">
        <v>151</v>
      </c>
      <c r="N151" s="5"/>
    </row>
    <row r="152" spans="2:14" x14ac:dyDescent="0.35">
      <c r="B152" s="4"/>
      <c r="K152" t="e">
        <f>IF(VLOOKUP($L152,Data!$B$2:$AI$1588,39,FALSE)=1,1+MAX($K$3:K151),0)</f>
        <v>#N/A</v>
      </c>
      <c r="L152" t="s">
        <v>152</v>
      </c>
      <c r="N152" s="5"/>
    </row>
    <row r="153" spans="2:14" x14ac:dyDescent="0.35">
      <c r="B153" s="4"/>
      <c r="K153" t="e">
        <f>IF(VLOOKUP($L153,Data!$B$2:$AI$1588,39,FALSE)=1,1+MAX($K$3:K152),0)</f>
        <v>#N/A</v>
      </c>
      <c r="L153" t="s">
        <v>153</v>
      </c>
      <c r="N153" s="5"/>
    </row>
    <row r="154" spans="2:14" x14ac:dyDescent="0.35">
      <c r="B154" s="4"/>
      <c r="K154" t="e">
        <f>IF(VLOOKUP($L154,Data!$B$2:$AI$1588,39,FALSE)=1,1+MAX($K$3:K153),0)</f>
        <v>#N/A</v>
      </c>
      <c r="L154" t="s">
        <v>96</v>
      </c>
      <c r="N154" s="5"/>
    </row>
    <row r="155" spans="2:14" x14ac:dyDescent="0.35">
      <c r="B155" s="4"/>
      <c r="K155" t="e">
        <f>IF(VLOOKUP($L155,Data!$B$2:$AI$1588,39,FALSE)=1,1+MAX($K$3:K154),0)</f>
        <v>#N/A</v>
      </c>
      <c r="L155" t="s">
        <v>103</v>
      </c>
      <c r="N155" s="5"/>
    </row>
    <row r="156" spans="2:14" x14ac:dyDescent="0.35">
      <c r="B156" s="4"/>
      <c r="K156" t="e">
        <f>IF(VLOOKUP($L156,Data!$B$2:$AI$1588,39,FALSE)=1,1+MAX($K$3:K155),0)</f>
        <v>#N/A</v>
      </c>
      <c r="L156" t="s">
        <v>189</v>
      </c>
      <c r="N156" s="5"/>
    </row>
    <row r="157" spans="2:14" x14ac:dyDescent="0.35">
      <c r="B157" s="4"/>
      <c r="K157" t="e">
        <f>IF(VLOOKUP($L157,Data!$B$2:$AI$1588,39,FALSE)=1,1+MAX($K$3:K156),0)</f>
        <v>#N/A</v>
      </c>
      <c r="L157" t="s">
        <v>194</v>
      </c>
      <c r="N157" s="5"/>
    </row>
    <row r="158" spans="2:14" x14ac:dyDescent="0.35">
      <c r="B158" s="4"/>
      <c r="K158" t="e">
        <f>IF(VLOOKUP($L158,Data!$B$2:$AI$1588,39,FALSE)=1,1+MAX($K$3:K157),0)</f>
        <v>#N/A</v>
      </c>
      <c r="L158" t="s">
        <v>161</v>
      </c>
      <c r="N158" s="5"/>
    </row>
    <row r="159" spans="2:14" x14ac:dyDescent="0.35">
      <c r="B159" s="4"/>
      <c r="K159" t="e">
        <f>IF(VLOOKUP($L159,Data!$B$2:$AI$1588,39,FALSE)=1,1+MAX($K$3:K158),0)</f>
        <v>#N/A</v>
      </c>
      <c r="L159" t="s">
        <v>164</v>
      </c>
      <c r="N159" s="5"/>
    </row>
    <row r="160" spans="2:14" x14ac:dyDescent="0.35">
      <c r="B160" s="4"/>
      <c r="K160" t="e">
        <f>IF(VLOOKUP($L160,Data!$B$2:$AI$1588,39,FALSE)=1,1+MAX($K$3:K159),0)</f>
        <v>#N/A</v>
      </c>
      <c r="L160" t="s">
        <v>154</v>
      </c>
      <c r="N160" s="5"/>
    </row>
    <row r="161" spans="2:14" x14ac:dyDescent="0.35">
      <c r="B161" s="4"/>
      <c r="K161" t="e">
        <f>IF(VLOOKUP($L161,Data!$B$2:$AI$1588,39,FALSE)=1,1+MAX($K$3:K160),0)</f>
        <v>#N/A</v>
      </c>
      <c r="L161" t="s">
        <v>156</v>
      </c>
      <c r="N161" s="5"/>
    </row>
    <row r="162" spans="2:14" x14ac:dyDescent="0.35">
      <c r="B162" s="4"/>
      <c r="K162" t="e">
        <f>IF(VLOOKUP($L162,Data!$B$2:$AI$1588,39,FALSE)=1,1+MAX($K$3:K161),0)</f>
        <v>#N/A</v>
      </c>
      <c r="L162" t="s">
        <v>163</v>
      </c>
      <c r="N162" s="5"/>
    </row>
    <row r="163" spans="2:14" x14ac:dyDescent="0.35">
      <c r="B163" s="4"/>
      <c r="K163" t="e">
        <f>IF(VLOOKUP($L163,Data!$B$2:$AI$1588,39,FALSE)=1,1+MAX($K$3:K162),0)</f>
        <v>#N/A</v>
      </c>
      <c r="L163" t="s">
        <v>171</v>
      </c>
      <c r="N163" s="5"/>
    </row>
    <row r="164" spans="2:14" x14ac:dyDescent="0.35">
      <c r="B164" s="4"/>
      <c r="K164" t="e">
        <f>IF(VLOOKUP($L164,Data!$B$2:$AI$1588,39,FALSE)=1,1+MAX($K$3:K163),0)</f>
        <v>#N/A</v>
      </c>
      <c r="L164" t="s">
        <v>159</v>
      </c>
      <c r="N164" s="5"/>
    </row>
    <row r="165" spans="2:14" x14ac:dyDescent="0.35">
      <c r="B165" s="4"/>
      <c r="K165" t="e">
        <f>IF(VLOOKUP($L165,Data!$B$2:$AI$1588,39,FALSE)=1,1+MAX($K$3:K164),0)</f>
        <v>#N/A</v>
      </c>
      <c r="L165" t="s">
        <v>157</v>
      </c>
      <c r="N165" s="5"/>
    </row>
    <row r="166" spans="2:14" x14ac:dyDescent="0.35">
      <c r="B166" s="4"/>
      <c r="K166" t="e">
        <f>IF(VLOOKUP($L166,Data!$B$2:$AI$1588,39,FALSE)=1,1+MAX($K$3:K165),0)</f>
        <v>#REF!</v>
      </c>
      <c r="L166" t="s">
        <v>166</v>
      </c>
      <c r="N166" s="5"/>
    </row>
    <row r="167" spans="2:14" x14ac:dyDescent="0.35">
      <c r="B167" s="4"/>
      <c r="K167" t="e">
        <f>IF(VLOOKUP($L167,Data!$B$2:$AI$1588,39,FALSE)=1,1+MAX($K$3:K166),0)</f>
        <v>#REF!</v>
      </c>
      <c r="L167" t="s">
        <v>167</v>
      </c>
      <c r="N167" s="5"/>
    </row>
    <row r="168" spans="2:14" x14ac:dyDescent="0.35">
      <c r="B168" s="4"/>
      <c r="K168" t="e">
        <f>IF(VLOOKUP($L168,Data!$B$2:$AI$1588,39,FALSE)=1,1+MAX($K$3:K167),0)</f>
        <v>#N/A</v>
      </c>
      <c r="L168" t="s">
        <v>158</v>
      </c>
      <c r="N168" s="5"/>
    </row>
    <row r="169" spans="2:14" x14ac:dyDescent="0.35">
      <c r="B169" s="4"/>
      <c r="K169" t="e">
        <f>IF(VLOOKUP($L169,Data!$B$2:$AI$1588,39,FALSE)=1,1+MAX($K$3:K168),0)</f>
        <v>#N/A</v>
      </c>
      <c r="L169" t="s">
        <v>162</v>
      </c>
      <c r="N169" s="5"/>
    </row>
    <row r="170" spans="2:14" x14ac:dyDescent="0.35">
      <c r="B170" s="4"/>
      <c r="K170" t="e">
        <f>IF(VLOOKUP($L170,Data!$B$2:$AI$1588,39,FALSE)=1,1+MAX($K$3:K169),0)</f>
        <v>#N/A</v>
      </c>
      <c r="L170" t="s">
        <v>197</v>
      </c>
      <c r="N170" s="5"/>
    </row>
    <row r="171" spans="2:14" x14ac:dyDescent="0.35">
      <c r="B171" s="4"/>
      <c r="K171" t="e">
        <f>IF(VLOOKUP($L171,Data!$B$2:$AI$1588,39,FALSE)=1,1+MAX($K$3:K170),0)</f>
        <v>#N/A</v>
      </c>
      <c r="L171" t="s">
        <v>1560</v>
      </c>
      <c r="N171" s="5"/>
    </row>
    <row r="172" spans="2:14" x14ac:dyDescent="0.35">
      <c r="B172" s="4"/>
      <c r="K172" t="e">
        <f>IF(VLOOKUP($L172,Data!$B$2:$AI$1588,39,FALSE)=1,1+MAX($K$3:K171),0)</f>
        <v>#REF!</v>
      </c>
      <c r="L172" t="s">
        <v>55</v>
      </c>
      <c r="N172" s="5"/>
    </row>
    <row r="173" spans="2:14" x14ac:dyDescent="0.35">
      <c r="B173" s="4"/>
      <c r="K173" t="e">
        <f>IF(VLOOKUP($L173,Data!$B$2:$AI$1588,39,FALSE)=1,1+MAX($K$3:K172),0)</f>
        <v>#N/A</v>
      </c>
      <c r="L173" t="s">
        <v>104</v>
      </c>
      <c r="N173" s="5"/>
    </row>
    <row r="174" spans="2:14" x14ac:dyDescent="0.35">
      <c r="B174" s="4"/>
      <c r="K174" t="e">
        <f>IF(VLOOKUP($L174,Data!$B$2:$AI$1588,39,FALSE)=1,1+MAX($K$3:K173),0)</f>
        <v>#N/A</v>
      </c>
      <c r="L174" t="s">
        <v>170</v>
      </c>
      <c r="N174" s="5"/>
    </row>
    <row r="175" spans="2:14" x14ac:dyDescent="0.35">
      <c r="B175" s="4"/>
      <c r="K175" t="e">
        <f>IF(VLOOKUP($L175,Data!$B$2:$AI$1588,39,FALSE)=1,1+MAX($K$3:K174),0)</f>
        <v>#N/A</v>
      </c>
      <c r="L175" t="s">
        <v>155</v>
      </c>
      <c r="N175" s="5"/>
    </row>
    <row r="176" spans="2:14" x14ac:dyDescent="0.35">
      <c r="B176" s="4"/>
      <c r="K176" t="e">
        <f>IF(VLOOKUP($L176,Data!$B$2:$AI$1588,39,FALSE)=1,1+MAX($K$3:K175),0)</f>
        <v>#N/A</v>
      </c>
      <c r="L176" t="s">
        <v>165</v>
      </c>
      <c r="N176" s="5"/>
    </row>
    <row r="177" spans="2:14" x14ac:dyDescent="0.35">
      <c r="B177" s="4"/>
      <c r="K177" t="e">
        <f>IF(VLOOKUP($L177,Data!$B$2:$AI$1588,39,FALSE)=1,1+MAX($K$3:K176),0)</f>
        <v>#REF!</v>
      </c>
      <c r="L177" t="s">
        <v>168</v>
      </c>
      <c r="N177" s="5"/>
    </row>
    <row r="178" spans="2:14" x14ac:dyDescent="0.35">
      <c r="B178" s="4"/>
      <c r="K178" t="e">
        <f>IF(VLOOKUP($L178,Data!$B$2:$AI$1588,39,FALSE)=1,1+MAX($K$3:K177),0)</f>
        <v>#REF!</v>
      </c>
      <c r="L178" t="s">
        <v>33</v>
      </c>
      <c r="N178" s="5"/>
    </row>
    <row r="179" spans="2:14" x14ac:dyDescent="0.35">
      <c r="B179" s="4"/>
      <c r="K179" t="e">
        <f>IF(VLOOKUP($L179,Data!$B$2:$AI$1588,39,FALSE)=1,1+MAX($K$3:K178),0)</f>
        <v>#N/A</v>
      </c>
      <c r="L179" t="s">
        <v>183</v>
      </c>
      <c r="N179" s="5"/>
    </row>
    <row r="180" spans="2:14" x14ac:dyDescent="0.35">
      <c r="B180" s="4"/>
      <c r="K180" t="e">
        <f>IF(VLOOKUP($L180,Data!$B$2:$AI$1588,39,FALSE)=1,1+MAX($K$3:K179),0)</f>
        <v>#N/A</v>
      </c>
      <c r="L180" t="s">
        <v>176</v>
      </c>
      <c r="N180" s="5"/>
    </row>
    <row r="181" spans="2:14" x14ac:dyDescent="0.35">
      <c r="B181" s="4"/>
      <c r="K181" t="e">
        <f>IF(VLOOKUP($L181,Data!$B$2:$AI$1588,39,FALSE)=1,1+MAX($K$3:K180),0)</f>
        <v>#N/A</v>
      </c>
      <c r="L181" t="s">
        <v>1574</v>
      </c>
      <c r="N181" s="5"/>
    </row>
    <row r="182" spans="2:14" x14ac:dyDescent="0.35">
      <c r="B182" s="4"/>
      <c r="K182" t="e">
        <f>IF(VLOOKUP($L182,Data!$B$2:$AI$1588,39,FALSE)=1,1+MAX($K$3:K181),0)</f>
        <v>#N/A</v>
      </c>
      <c r="L182" t="s">
        <v>175</v>
      </c>
      <c r="N182" s="5"/>
    </row>
    <row r="183" spans="2:14" x14ac:dyDescent="0.35">
      <c r="B183" s="4"/>
      <c r="K183" t="e">
        <f>IF(VLOOKUP($L183,Data!$B$2:$AI$1588,39,FALSE)=1,1+MAX($K$3:K182),0)</f>
        <v>#N/A</v>
      </c>
      <c r="L183" t="s">
        <v>177</v>
      </c>
      <c r="N183" s="5"/>
    </row>
    <row r="184" spans="2:14" x14ac:dyDescent="0.35">
      <c r="B184" s="4"/>
      <c r="K184" t="e">
        <f>IF(VLOOKUP($L184,Data!$B$2:$AI$1588,39,FALSE)=1,1+MAX($K$3:K183),0)</f>
        <v>#N/A</v>
      </c>
      <c r="L184" t="s">
        <v>174</v>
      </c>
      <c r="N184" s="5"/>
    </row>
    <row r="185" spans="2:14" x14ac:dyDescent="0.35">
      <c r="B185" s="4"/>
      <c r="K185" t="e">
        <f>IF(VLOOKUP($L185,Data!$B$2:$AI$1588,39,FALSE)=1,1+MAX($K$3:K184),0)</f>
        <v>#N/A</v>
      </c>
      <c r="L185" t="s">
        <v>178</v>
      </c>
      <c r="N185" s="5"/>
    </row>
    <row r="186" spans="2:14" x14ac:dyDescent="0.35">
      <c r="B186" s="4"/>
      <c r="K186" t="e">
        <f>IF(VLOOKUP($L186,Data!$B$2:$AI$1588,39,FALSE)=1,1+MAX($K$3:K185),0)</f>
        <v>#N/A</v>
      </c>
      <c r="L186" t="s">
        <v>179</v>
      </c>
      <c r="N186" s="5"/>
    </row>
    <row r="187" spans="2:14" x14ac:dyDescent="0.35">
      <c r="B187" s="4"/>
      <c r="K187" t="e">
        <f>IF(VLOOKUP($L187,Data!$B$2:$AI$1588,39,FALSE)=1,1+MAX($K$3:K186),0)</f>
        <v>#N/A</v>
      </c>
      <c r="L187" t="s">
        <v>180</v>
      </c>
      <c r="N187" s="5"/>
    </row>
    <row r="188" spans="2:14" x14ac:dyDescent="0.35">
      <c r="B188" s="4"/>
      <c r="K188" t="e">
        <f>IF(VLOOKUP($L188,Data!$B$2:$AI$1588,39,FALSE)=1,1+MAX($K$3:K187),0)</f>
        <v>#REF!</v>
      </c>
      <c r="L188" t="s">
        <v>181</v>
      </c>
      <c r="N188" s="5"/>
    </row>
    <row r="189" spans="2:14" x14ac:dyDescent="0.35">
      <c r="B189" s="4"/>
      <c r="K189" t="e">
        <f>IF(VLOOKUP($L189,Data!$B$2:$AI$1588,39,FALSE)=1,1+MAX($K$3:K188),0)</f>
        <v>#N/A</v>
      </c>
      <c r="L189" t="s">
        <v>1610</v>
      </c>
      <c r="N189" s="5"/>
    </row>
    <row r="190" spans="2:14" x14ac:dyDescent="0.35">
      <c r="B190" s="4"/>
      <c r="K190" t="e">
        <f>IF(VLOOKUP($L190,Data!$B$2:$AI$1588,39,FALSE)=1,1+MAX($K$3:K189),0)</f>
        <v>#N/A</v>
      </c>
      <c r="L190" t="s">
        <v>172</v>
      </c>
      <c r="N190" s="5"/>
    </row>
    <row r="191" spans="2:14" x14ac:dyDescent="0.35">
      <c r="B191" s="4"/>
      <c r="K191" t="e">
        <f>IF(VLOOKUP($L191,Data!$B$2:$AI$1588,39,FALSE)=1,1+MAX($K$3:K190),0)</f>
        <v>#N/A</v>
      </c>
      <c r="L191" t="s">
        <v>182</v>
      </c>
      <c r="N191" s="5"/>
    </row>
    <row r="192" spans="2:14" x14ac:dyDescent="0.35">
      <c r="B192" s="4"/>
      <c r="K192" t="e">
        <f>IF(VLOOKUP($L192,Data!$B$2:$AI$1588,39,FALSE)=1,1+MAX($K$3:K191),0)</f>
        <v>#N/A</v>
      </c>
      <c r="L192" t="s">
        <v>184</v>
      </c>
      <c r="N192" s="5"/>
    </row>
    <row r="193" spans="2:14" x14ac:dyDescent="0.35">
      <c r="B193" s="4"/>
      <c r="K193" t="e">
        <f>IF(VLOOKUP($L193,Data!$B$2:$AI$1588,39,FALSE)=1,1+MAX($K$3:K192),0)</f>
        <v>#N/A</v>
      </c>
      <c r="L193" t="s">
        <v>185</v>
      </c>
      <c r="N193" s="5"/>
    </row>
    <row r="194" spans="2:14" x14ac:dyDescent="0.35">
      <c r="B194" s="4"/>
      <c r="K194" t="e">
        <f>IF(VLOOKUP($L194,Data!$B$2:$AI$1588,39,FALSE)=1,1+MAX($K$3:K193),0)</f>
        <v>#N/A</v>
      </c>
      <c r="L194" t="s">
        <v>7</v>
      </c>
      <c r="N194" s="5"/>
    </row>
    <row r="195" spans="2:14" x14ac:dyDescent="0.35">
      <c r="B195" s="4"/>
      <c r="K195" t="e">
        <f>IF(VLOOKUP($L195,Data!$B$2:$AI$1588,39,FALSE)=1,1+MAX($K$3:K194),0)</f>
        <v>#REF!</v>
      </c>
      <c r="L195" t="s">
        <v>62</v>
      </c>
      <c r="N195" s="5"/>
    </row>
    <row r="196" spans="2:14" x14ac:dyDescent="0.35">
      <c r="B196" s="4"/>
      <c r="K196" t="e">
        <f>IF(VLOOKUP($L196,Data!$B$2:$AI$1588,39,FALSE)=1,1+MAX($K$3:K195),0)</f>
        <v>#REF!</v>
      </c>
      <c r="L196" t="s">
        <v>187</v>
      </c>
      <c r="N196" s="5"/>
    </row>
    <row r="197" spans="2:14" x14ac:dyDescent="0.35">
      <c r="B197" s="4"/>
      <c r="K197" t="e">
        <f>IF(VLOOKUP($L197,Data!$B$2:$AI$1588,39,FALSE)=1,1+MAX($K$3:K196),0)</f>
        <v>#N/A</v>
      </c>
      <c r="L197" t="s">
        <v>186</v>
      </c>
      <c r="N197" s="5"/>
    </row>
    <row r="198" spans="2:14" x14ac:dyDescent="0.35">
      <c r="B198" s="4"/>
      <c r="K198" t="e">
        <f>IF(VLOOKUP($L198,Data!$B$2:$AI$1588,39,FALSE)=1,1+MAX($K$3:K197),0)</f>
        <v>#N/A</v>
      </c>
      <c r="L198" t="s">
        <v>188</v>
      </c>
      <c r="N198" s="5"/>
    </row>
    <row r="199" spans="2:14" x14ac:dyDescent="0.35">
      <c r="B199" s="4"/>
      <c r="K199" t="e">
        <f>IF(VLOOKUP($L199,Data!$B$2:$AI$1588,39,FALSE)=1,1+MAX($K$3:K198),0)</f>
        <v>#N/A</v>
      </c>
      <c r="L199" t="s">
        <v>193</v>
      </c>
      <c r="N199" s="5"/>
    </row>
    <row r="200" spans="2:14" x14ac:dyDescent="0.35">
      <c r="B200" s="4"/>
      <c r="K200" t="e">
        <f>IF(VLOOKUP($L200,Data!$B$2:$AI$1588,39,FALSE)=1,1+MAX($K$3:K199),0)</f>
        <v>#N/A</v>
      </c>
      <c r="L200" t="s">
        <v>190</v>
      </c>
      <c r="N200" s="5"/>
    </row>
    <row r="201" spans="2:14" x14ac:dyDescent="0.35">
      <c r="B201" s="4"/>
      <c r="K201" t="e">
        <f>IF(VLOOKUP($L201,Data!$B$2:$AI$1588,39,FALSE)=1,1+MAX($K$3:K200),0)</f>
        <v>#N/A</v>
      </c>
      <c r="L201" t="s">
        <v>192</v>
      </c>
      <c r="N201" s="5"/>
    </row>
    <row r="202" spans="2:14" x14ac:dyDescent="0.35">
      <c r="B202" s="4"/>
      <c r="K202" t="e">
        <f>IF(VLOOKUP($L202,Data!$B$2:$AI$1588,39,FALSE)=1,1+MAX($K$3:K201),0)</f>
        <v>#N/A</v>
      </c>
      <c r="L202" t="s">
        <v>149</v>
      </c>
      <c r="N202" s="5"/>
    </row>
    <row r="203" spans="2:14" x14ac:dyDescent="0.35">
      <c r="B203" s="4"/>
      <c r="K203" t="e">
        <f>IF(VLOOKUP($L203,Data!$B$2:$AI$1588,39,FALSE)=1,1+MAX($K$3:K202),0)</f>
        <v>#N/A</v>
      </c>
      <c r="L203" t="s">
        <v>196</v>
      </c>
      <c r="N203" s="5"/>
    </row>
    <row r="204" spans="2:14" x14ac:dyDescent="0.35">
      <c r="B204" s="4"/>
      <c r="K204" t="e">
        <f>IF(VLOOKUP($L204,Data!$B$2:$AI$1588,39,FALSE)=1,1+MAX($K$3:K203),0)</f>
        <v>#N/A</v>
      </c>
      <c r="L204" t="s">
        <v>198</v>
      </c>
      <c r="N204" s="5"/>
    </row>
    <row r="205" spans="2:14" ht="15" thickBot="1" x14ac:dyDescent="0.4">
      <c r="B205" s="6"/>
      <c r="C205" s="7"/>
      <c r="D205" s="7"/>
      <c r="E205" s="7"/>
      <c r="F205" s="7"/>
      <c r="G205" s="7"/>
      <c r="H205" s="7"/>
      <c r="I205" s="7"/>
      <c r="J205" s="7"/>
      <c r="K205" s="7" t="e">
        <f>IF(VLOOKUP($L205,Data!$B$2:$AI$1588,39,FALSE)=1,1+MAX($K$3:K204),0)</f>
        <v>#N/A</v>
      </c>
      <c r="L205" s="7" t="s">
        <v>199</v>
      </c>
      <c r="M205" s="7"/>
      <c r="N205" s="8"/>
    </row>
  </sheetData>
  <sortState xmlns:xlrd2="http://schemas.microsoft.com/office/spreadsheetml/2017/richdata2" ref="Y38:AC51">
    <sortCondition descending="1" ref="AA38:AA51"/>
  </sortState>
  <mergeCells count="7">
    <mergeCell ref="AO32:AO45"/>
    <mergeCell ref="AO3:AO6"/>
    <mergeCell ref="AO7:AO12"/>
    <mergeCell ref="AO13:AO17"/>
    <mergeCell ref="AO18:AO20"/>
    <mergeCell ref="AO21:AO23"/>
    <mergeCell ref="AO24:AO3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D3C30-BD7B-4D4A-A9BC-6CC2C72B0591}">
  <dimension ref="A1:D148"/>
  <sheetViews>
    <sheetView topLeftCell="A55" workbookViewId="0">
      <selection activeCell="C95" sqref="C95"/>
    </sheetView>
  </sheetViews>
  <sheetFormatPr defaultColWidth="8.7265625" defaultRowHeight="14.5" x14ac:dyDescent="0.35"/>
  <cols>
    <col min="2" max="2" width="70.08984375" customWidth="1"/>
    <col min="3" max="3" width="56.08984375" customWidth="1"/>
  </cols>
  <sheetData>
    <row r="1" spans="1:4" x14ac:dyDescent="0.35">
      <c r="A1" t="s">
        <v>0</v>
      </c>
      <c r="B1" t="s">
        <v>1619</v>
      </c>
      <c r="C1" t="s">
        <v>1620</v>
      </c>
      <c r="D1" t="s">
        <v>1621</v>
      </c>
    </row>
    <row r="2" spans="1:4" x14ac:dyDescent="0.35">
      <c r="A2" t="s">
        <v>199</v>
      </c>
      <c r="B2" t="e">
        <v>#DIV/0!</v>
      </c>
      <c r="C2" t="e">
        <v>#DIV/0!</v>
      </c>
      <c r="D2" t="e">
        <v>#DIV/0!</v>
      </c>
    </row>
    <row r="3" spans="1:4" x14ac:dyDescent="0.35">
      <c r="A3" t="s">
        <v>198</v>
      </c>
      <c r="B3">
        <v>-1.21</v>
      </c>
      <c r="C3">
        <v>-6.95</v>
      </c>
      <c r="D3">
        <v>84.16</v>
      </c>
    </row>
    <row r="4" spans="1:4" x14ac:dyDescent="0.35">
      <c r="A4" t="s">
        <v>196</v>
      </c>
      <c r="B4">
        <v>-5</v>
      </c>
      <c r="C4" t="e">
        <v>#DIV/0!</v>
      </c>
      <c r="D4" t="e">
        <v>#DIV/0!</v>
      </c>
    </row>
    <row r="5" spans="1:4" x14ac:dyDescent="0.35">
      <c r="A5" t="s">
        <v>192</v>
      </c>
      <c r="B5">
        <v>2.92</v>
      </c>
      <c r="C5">
        <v>-2.64</v>
      </c>
      <c r="D5">
        <v>56.92</v>
      </c>
    </row>
    <row r="6" spans="1:4" x14ac:dyDescent="0.35">
      <c r="A6" t="s">
        <v>193</v>
      </c>
      <c r="B6">
        <v>-10</v>
      </c>
      <c r="C6" t="e">
        <v>#DIV/0!</v>
      </c>
      <c r="D6" t="e">
        <v>#DIV/0!</v>
      </c>
    </row>
    <row r="7" spans="1:4" x14ac:dyDescent="0.35">
      <c r="A7" t="s">
        <v>188</v>
      </c>
      <c r="B7">
        <v>1.6</v>
      </c>
      <c r="C7">
        <v>-3.82</v>
      </c>
      <c r="D7">
        <v>37.89</v>
      </c>
    </row>
    <row r="8" spans="1:4" x14ac:dyDescent="0.35">
      <c r="A8" t="s">
        <v>186</v>
      </c>
      <c r="B8">
        <v>-5.81</v>
      </c>
      <c r="C8">
        <v>-2.92</v>
      </c>
      <c r="D8">
        <v>66.3</v>
      </c>
    </row>
    <row r="9" spans="1:4" x14ac:dyDescent="0.35">
      <c r="A9" t="s">
        <v>7</v>
      </c>
      <c r="B9">
        <v>-6.32</v>
      </c>
      <c r="C9">
        <v>-7.68</v>
      </c>
      <c r="D9">
        <v>25</v>
      </c>
    </row>
    <row r="10" spans="1:4" x14ac:dyDescent="0.35">
      <c r="A10" t="s">
        <v>185</v>
      </c>
      <c r="B10">
        <v>-4.5199999999999996</v>
      </c>
      <c r="C10">
        <v>-2.39</v>
      </c>
      <c r="D10">
        <v>63.2</v>
      </c>
    </row>
    <row r="11" spans="1:4" x14ac:dyDescent="0.35">
      <c r="A11" t="s">
        <v>184</v>
      </c>
      <c r="B11">
        <v>2.91</v>
      </c>
      <c r="C11">
        <v>-4.5199999999999996</v>
      </c>
      <c r="D11">
        <v>41.11</v>
      </c>
    </row>
    <row r="12" spans="1:4" x14ac:dyDescent="0.35">
      <c r="A12" t="s">
        <v>178</v>
      </c>
      <c r="B12">
        <v>-1.5</v>
      </c>
      <c r="C12" t="e">
        <v>#DIV/0!</v>
      </c>
      <c r="D12" t="e">
        <v>#DIV/0!</v>
      </c>
    </row>
    <row r="13" spans="1:4" x14ac:dyDescent="0.35">
      <c r="A13" t="s">
        <v>174</v>
      </c>
      <c r="B13">
        <v>0.7</v>
      </c>
      <c r="C13">
        <v>-3.24</v>
      </c>
      <c r="D13">
        <v>57.48</v>
      </c>
    </row>
    <row r="14" spans="1:4" x14ac:dyDescent="0.35">
      <c r="A14" t="s">
        <v>177</v>
      </c>
      <c r="B14">
        <v>-7.34</v>
      </c>
      <c r="C14">
        <v>-25.65</v>
      </c>
      <c r="D14">
        <v>13.1</v>
      </c>
    </row>
    <row r="15" spans="1:4" x14ac:dyDescent="0.35">
      <c r="A15" t="s">
        <v>175</v>
      </c>
      <c r="B15">
        <v>-6.06</v>
      </c>
      <c r="C15">
        <v>-4.6900000000000004</v>
      </c>
      <c r="D15">
        <v>51.11</v>
      </c>
    </row>
    <row r="16" spans="1:4" x14ac:dyDescent="0.35">
      <c r="A16" t="s">
        <v>1574</v>
      </c>
      <c r="B16">
        <v>2</v>
      </c>
      <c r="C16">
        <v>0.19</v>
      </c>
      <c r="D16">
        <v>38.07</v>
      </c>
    </row>
    <row r="17" spans="1:4" x14ac:dyDescent="0.35">
      <c r="A17" t="s">
        <v>182</v>
      </c>
      <c r="B17">
        <v>-0.5</v>
      </c>
      <c r="C17" t="e">
        <v>#DIV/0!</v>
      </c>
      <c r="D17" t="e">
        <v>#DIV/0!</v>
      </c>
    </row>
    <row r="18" spans="1:4" x14ac:dyDescent="0.35">
      <c r="A18" t="s">
        <v>176</v>
      </c>
      <c r="B18">
        <v>4.53</v>
      </c>
      <c r="C18">
        <v>-2.35</v>
      </c>
      <c r="D18">
        <v>53.47</v>
      </c>
    </row>
    <row r="19" spans="1:4" x14ac:dyDescent="0.35">
      <c r="A19" t="s">
        <v>181</v>
      </c>
      <c r="B19">
        <v>1.76</v>
      </c>
      <c r="C19">
        <v>-1.03</v>
      </c>
      <c r="D19">
        <v>39.64</v>
      </c>
    </row>
    <row r="20" spans="1:4" x14ac:dyDescent="0.35">
      <c r="A20" t="s">
        <v>165</v>
      </c>
      <c r="B20">
        <v>-14.54</v>
      </c>
      <c r="C20">
        <v>-12.61</v>
      </c>
      <c r="D20">
        <v>148.30000000000001</v>
      </c>
    </row>
    <row r="21" spans="1:4" x14ac:dyDescent="0.35">
      <c r="A21" t="s">
        <v>155</v>
      </c>
      <c r="B21">
        <v>-3.63</v>
      </c>
      <c r="C21">
        <v>-5.86</v>
      </c>
      <c r="D21">
        <v>249.05</v>
      </c>
    </row>
    <row r="22" spans="1:4" x14ac:dyDescent="0.35">
      <c r="A22" t="s">
        <v>189</v>
      </c>
      <c r="B22">
        <v>-4.21</v>
      </c>
      <c r="C22">
        <v>-4.92</v>
      </c>
      <c r="D22">
        <v>87.86</v>
      </c>
    </row>
    <row r="23" spans="1:4" x14ac:dyDescent="0.35">
      <c r="A23" t="s">
        <v>103</v>
      </c>
      <c r="B23">
        <v>-20.36</v>
      </c>
      <c r="C23">
        <v>-7.95</v>
      </c>
      <c r="D23">
        <v>86.49</v>
      </c>
    </row>
    <row r="24" spans="1:4" x14ac:dyDescent="0.35">
      <c r="A24" t="s">
        <v>104</v>
      </c>
      <c r="B24">
        <v>-3.57</v>
      </c>
      <c r="C24">
        <v>-6.02</v>
      </c>
      <c r="D24">
        <v>109.75</v>
      </c>
    </row>
    <row r="25" spans="1:4" x14ac:dyDescent="0.35">
      <c r="A25" t="s">
        <v>180</v>
      </c>
      <c r="B25">
        <v>-8.82</v>
      </c>
      <c r="C25">
        <v>-6.18</v>
      </c>
      <c r="D25">
        <v>87.17</v>
      </c>
    </row>
    <row r="26" spans="1:4" x14ac:dyDescent="0.35">
      <c r="A26" t="s">
        <v>1560</v>
      </c>
      <c r="B26">
        <v>9.5</v>
      </c>
      <c r="C26">
        <v>-4.8099999999999996</v>
      </c>
      <c r="D26">
        <v>42.9</v>
      </c>
    </row>
    <row r="27" spans="1:4" x14ac:dyDescent="0.35">
      <c r="A27" t="s">
        <v>197</v>
      </c>
      <c r="B27">
        <v>-6.96</v>
      </c>
      <c r="C27">
        <v>-9.2799999999999994</v>
      </c>
      <c r="D27">
        <v>80.459999999999994</v>
      </c>
    </row>
    <row r="28" spans="1:4" x14ac:dyDescent="0.35">
      <c r="A28" t="s">
        <v>162</v>
      </c>
      <c r="B28">
        <v>-1.5</v>
      </c>
      <c r="C28">
        <v>0.25</v>
      </c>
      <c r="D28">
        <v>40.36</v>
      </c>
    </row>
    <row r="29" spans="1:4" x14ac:dyDescent="0.35">
      <c r="A29" t="s">
        <v>158</v>
      </c>
      <c r="B29">
        <v>-5</v>
      </c>
      <c r="C29" t="e">
        <v>#DIV/0!</v>
      </c>
      <c r="D29" t="e">
        <v>#DIV/0!</v>
      </c>
    </row>
    <row r="30" spans="1:4" x14ac:dyDescent="0.35">
      <c r="A30" t="s">
        <v>159</v>
      </c>
      <c r="B30">
        <v>-2.16</v>
      </c>
      <c r="C30">
        <v>-1.47</v>
      </c>
      <c r="D30">
        <v>72.03</v>
      </c>
    </row>
    <row r="31" spans="1:4" x14ac:dyDescent="0.35">
      <c r="A31" t="s">
        <v>171</v>
      </c>
      <c r="B31">
        <v>-13.33</v>
      </c>
      <c r="C31">
        <v>-14.28</v>
      </c>
      <c r="D31">
        <v>102.32</v>
      </c>
    </row>
    <row r="32" spans="1:4" x14ac:dyDescent="0.35">
      <c r="A32" t="s">
        <v>163</v>
      </c>
      <c r="B32">
        <v>-1</v>
      </c>
      <c r="C32">
        <v>-7.08</v>
      </c>
      <c r="D32">
        <v>58.18</v>
      </c>
    </row>
    <row r="33" spans="1:4" x14ac:dyDescent="0.35">
      <c r="A33" t="s">
        <v>156</v>
      </c>
      <c r="B33">
        <v>-0.7</v>
      </c>
      <c r="C33">
        <v>-4.32</v>
      </c>
      <c r="D33">
        <v>67.58</v>
      </c>
    </row>
    <row r="34" spans="1:4" x14ac:dyDescent="0.35">
      <c r="A34" t="s">
        <v>154</v>
      </c>
      <c r="B34">
        <v>-4.07</v>
      </c>
      <c r="C34">
        <v>-10.15</v>
      </c>
      <c r="D34">
        <v>32.76</v>
      </c>
    </row>
    <row r="35" spans="1:4" x14ac:dyDescent="0.35">
      <c r="A35" t="s">
        <v>164</v>
      </c>
      <c r="B35">
        <v>3.09</v>
      </c>
      <c r="C35">
        <v>-4.3099999999999996</v>
      </c>
      <c r="D35">
        <v>90.71</v>
      </c>
    </row>
    <row r="36" spans="1:4" x14ac:dyDescent="0.35">
      <c r="A36" t="s">
        <v>194</v>
      </c>
      <c r="B36">
        <v>-3.5</v>
      </c>
      <c r="C36" t="e">
        <v>#DIV/0!</v>
      </c>
      <c r="D36" t="e">
        <v>#DIV/0!</v>
      </c>
    </row>
    <row r="37" spans="1:4" x14ac:dyDescent="0.35">
      <c r="A37" t="s">
        <v>153</v>
      </c>
      <c r="B37">
        <v>-3.25</v>
      </c>
      <c r="C37">
        <v>-8.18</v>
      </c>
      <c r="D37">
        <v>67.459999999999994</v>
      </c>
    </row>
    <row r="38" spans="1:4" x14ac:dyDescent="0.35">
      <c r="A38" t="s">
        <v>152</v>
      </c>
      <c r="B38">
        <v>-3.06</v>
      </c>
      <c r="C38">
        <v>-3.08</v>
      </c>
      <c r="D38">
        <v>17.84</v>
      </c>
    </row>
    <row r="39" spans="1:4" x14ac:dyDescent="0.35">
      <c r="A39" t="s">
        <v>151</v>
      </c>
      <c r="B39">
        <v>-3.9</v>
      </c>
      <c r="C39">
        <v>-8.41</v>
      </c>
      <c r="D39">
        <v>47.7</v>
      </c>
    </row>
    <row r="40" spans="1:4" x14ac:dyDescent="0.35">
      <c r="A40" t="s">
        <v>150</v>
      </c>
      <c r="B40">
        <v>-3.19</v>
      </c>
      <c r="C40">
        <v>-1.71</v>
      </c>
      <c r="D40">
        <v>64.11</v>
      </c>
    </row>
    <row r="41" spans="1:4" x14ac:dyDescent="0.35">
      <c r="A41" t="s">
        <v>145</v>
      </c>
      <c r="B41">
        <v>-2.7</v>
      </c>
      <c r="C41">
        <v>-7.22</v>
      </c>
      <c r="D41">
        <v>58.2</v>
      </c>
    </row>
    <row r="42" spans="1:4" x14ac:dyDescent="0.35">
      <c r="A42" t="s">
        <v>142</v>
      </c>
      <c r="B42">
        <v>-9.51</v>
      </c>
      <c r="C42">
        <v>-5.5</v>
      </c>
      <c r="D42">
        <v>49</v>
      </c>
    </row>
    <row r="43" spans="1:4" x14ac:dyDescent="0.35">
      <c r="A43" t="s">
        <v>141</v>
      </c>
      <c r="B43">
        <v>-11.12</v>
      </c>
      <c r="C43">
        <v>-7.3</v>
      </c>
      <c r="D43">
        <v>35.020000000000003</v>
      </c>
    </row>
    <row r="44" spans="1:4" x14ac:dyDescent="0.35">
      <c r="A44" t="s">
        <v>148</v>
      </c>
      <c r="B44">
        <v>-1.05</v>
      </c>
      <c r="C44">
        <v>-4.96</v>
      </c>
      <c r="D44">
        <v>34.19</v>
      </c>
    </row>
    <row r="45" spans="1:4" x14ac:dyDescent="0.35">
      <c r="A45" t="s">
        <v>144</v>
      </c>
      <c r="B45">
        <v>-3.82</v>
      </c>
      <c r="C45" t="e">
        <v>#DIV/0!</v>
      </c>
      <c r="D45">
        <v>49.04</v>
      </c>
    </row>
    <row r="46" spans="1:4" x14ac:dyDescent="0.35">
      <c r="A46" t="s">
        <v>140</v>
      </c>
      <c r="B46">
        <v>-17.940000000000001</v>
      </c>
      <c r="C46">
        <v>-7.33</v>
      </c>
      <c r="D46">
        <v>64.38</v>
      </c>
    </row>
    <row r="47" spans="1:4" x14ac:dyDescent="0.35">
      <c r="A47" t="s">
        <v>149</v>
      </c>
      <c r="B47">
        <v>-11.5</v>
      </c>
      <c r="C47">
        <v>-7.26</v>
      </c>
      <c r="D47">
        <v>24.23</v>
      </c>
    </row>
    <row r="48" spans="1:4" x14ac:dyDescent="0.35">
      <c r="A48" t="s">
        <v>143</v>
      </c>
      <c r="B48">
        <v>-10</v>
      </c>
      <c r="C48" t="e">
        <v>#DIV/0!</v>
      </c>
      <c r="D48" t="e">
        <v>#DIV/0!</v>
      </c>
    </row>
    <row r="49" spans="1:4" x14ac:dyDescent="0.35">
      <c r="A49" t="s">
        <v>139</v>
      </c>
      <c r="B49">
        <v>-1.5</v>
      </c>
      <c r="C49">
        <v>-1.75</v>
      </c>
      <c r="D49">
        <v>93.59</v>
      </c>
    </row>
    <row r="50" spans="1:4" x14ac:dyDescent="0.35">
      <c r="A50" t="s">
        <v>138</v>
      </c>
      <c r="B50">
        <v>-6.29</v>
      </c>
      <c r="C50">
        <v>-14.66</v>
      </c>
      <c r="D50">
        <v>81.209999999999994</v>
      </c>
    </row>
    <row r="51" spans="1:4" x14ac:dyDescent="0.35">
      <c r="A51" t="s">
        <v>117</v>
      </c>
      <c r="B51">
        <v>-4.53</v>
      </c>
      <c r="C51">
        <v>-7.69</v>
      </c>
      <c r="D51">
        <v>60.24</v>
      </c>
    </row>
    <row r="52" spans="1:4" x14ac:dyDescent="0.35">
      <c r="A52" t="s">
        <v>131</v>
      </c>
      <c r="B52">
        <v>-1.77</v>
      </c>
      <c r="C52">
        <v>-4.05</v>
      </c>
      <c r="D52">
        <v>25.21</v>
      </c>
    </row>
    <row r="53" spans="1:4" x14ac:dyDescent="0.35">
      <c r="A53" t="s">
        <v>130</v>
      </c>
      <c r="B53">
        <v>0.75</v>
      </c>
      <c r="C53">
        <v>-4.3</v>
      </c>
      <c r="D53">
        <v>41.85</v>
      </c>
    </row>
    <row r="54" spans="1:4" x14ac:dyDescent="0.35">
      <c r="A54" t="s">
        <v>132</v>
      </c>
      <c r="B54">
        <v>-2.5</v>
      </c>
      <c r="C54">
        <v>-2.4700000000000002</v>
      </c>
      <c r="D54">
        <v>65.73</v>
      </c>
    </row>
    <row r="55" spans="1:4" x14ac:dyDescent="0.35">
      <c r="A55" t="s">
        <v>135</v>
      </c>
      <c r="B55">
        <v>-1.88</v>
      </c>
      <c r="C55">
        <v>-4.53</v>
      </c>
      <c r="D55">
        <v>35.99</v>
      </c>
    </row>
    <row r="56" spans="1:4" x14ac:dyDescent="0.35">
      <c r="A56" t="s">
        <v>136</v>
      </c>
      <c r="B56">
        <v>0.7</v>
      </c>
      <c r="C56" t="e">
        <v>#DIV/0!</v>
      </c>
      <c r="D56" t="e">
        <v>#DIV/0!</v>
      </c>
    </row>
    <row r="57" spans="1:4" x14ac:dyDescent="0.35">
      <c r="A57" t="s">
        <v>129</v>
      </c>
      <c r="B57">
        <v>-7.26</v>
      </c>
      <c r="C57">
        <v>-5.67</v>
      </c>
      <c r="D57">
        <v>74.349999999999994</v>
      </c>
    </row>
    <row r="58" spans="1:4" x14ac:dyDescent="0.35">
      <c r="A58" t="s">
        <v>120</v>
      </c>
      <c r="B58">
        <v>1.7</v>
      </c>
      <c r="C58">
        <v>-4.82</v>
      </c>
      <c r="D58">
        <v>40.61</v>
      </c>
    </row>
    <row r="59" spans="1:4" x14ac:dyDescent="0.35">
      <c r="A59" t="s">
        <v>123</v>
      </c>
      <c r="B59">
        <v>-1.34</v>
      </c>
      <c r="C59">
        <v>-1.25</v>
      </c>
      <c r="D59">
        <v>121.73</v>
      </c>
    </row>
    <row r="60" spans="1:4" x14ac:dyDescent="0.35">
      <c r="A60" t="s">
        <v>110</v>
      </c>
      <c r="B60">
        <v>-6.96</v>
      </c>
      <c r="C60">
        <v>-5.15</v>
      </c>
      <c r="D60">
        <v>77.77</v>
      </c>
    </row>
    <row r="61" spans="1:4" x14ac:dyDescent="0.35">
      <c r="A61" t="s">
        <v>121</v>
      </c>
      <c r="B61">
        <v>-14.9</v>
      </c>
      <c r="C61">
        <v>-8.27</v>
      </c>
      <c r="D61">
        <v>104.82</v>
      </c>
    </row>
    <row r="62" spans="1:4" x14ac:dyDescent="0.35">
      <c r="A62" t="s">
        <v>122</v>
      </c>
      <c r="B62">
        <v>-5.39</v>
      </c>
      <c r="C62">
        <v>-6.9</v>
      </c>
      <c r="D62">
        <v>78.44</v>
      </c>
    </row>
    <row r="63" spans="1:4" x14ac:dyDescent="0.35">
      <c r="A63" t="s">
        <v>112</v>
      </c>
      <c r="B63">
        <v>-7.02</v>
      </c>
      <c r="C63">
        <v>-4.32</v>
      </c>
      <c r="D63">
        <v>33.5</v>
      </c>
    </row>
    <row r="64" spans="1:4" x14ac:dyDescent="0.35">
      <c r="A64" t="s">
        <v>1622</v>
      </c>
      <c r="B64">
        <v>-1.5</v>
      </c>
      <c r="C64" t="e">
        <v>#DIV/0!</v>
      </c>
      <c r="D64" t="e">
        <v>#DIV/0!</v>
      </c>
    </row>
    <row r="65" spans="1:4" x14ac:dyDescent="0.35">
      <c r="A65" t="s">
        <v>115</v>
      </c>
      <c r="B65">
        <v>-8.24</v>
      </c>
      <c r="C65">
        <v>-0.91</v>
      </c>
      <c r="D65">
        <v>52.27</v>
      </c>
    </row>
    <row r="66" spans="1:4" x14ac:dyDescent="0.35">
      <c r="A66" t="s">
        <v>126</v>
      </c>
      <c r="B66">
        <v>-15.62</v>
      </c>
      <c r="C66">
        <v>-13.18</v>
      </c>
      <c r="D66">
        <v>90.19</v>
      </c>
    </row>
    <row r="67" spans="1:4" x14ac:dyDescent="0.35">
      <c r="A67" t="s">
        <v>124</v>
      </c>
      <c r="B67">
        <v>-1.55</v>
      </c>
      <c r="C67">
        <v>3.79</v>
      </c>
      <c r="D67">
        <v>73.48</v>
      </c>
    </row>
    <row r="68" spans="1:4" x14ac:dyDescent="0.35">
      <c r="A68" t="s">
        <v>116</v>
      </c>
      <c r="B68">
        <v>-4.5</v>
      </c>
      <c r="C68" t="e">
        <v>#DIV/0!</v>
      </c>
      <c r="D68" t="e">
        <v>#DIV/0!</v>
      </c>
    </row>
    <row r="69" spans="1:4" x14ac:dyDescent="0.35">
      <c r="A69" t="s">
        <v>118</v>
      </c>
      <c r="B69">
        <v>-2</v>
      </c>
      <c r="C69">
        <v>-4.3</v>
      </c>
      <c r="D69">
        <v>44.1</v>
      </c>
    </row>
    <row r="70" spans="1:4" x14ac:dyDescent="0.35">
      <c r="A70" t="s">
        <v>114</v>
      </c>
      <c r="B70">
        <v>-28.01</v>
      </c>
      <c r="C70">
        <v>-16.39</v>
      </c>
      <c r="D70">
        <v>139.29</v>
      </c>
    </row>
    <row r="71" spans="1:4" x14ac:dyDescent="0.35">
      <c r="A71" t="s">
        <v>128</v>
      </c>
      <c r="B71">
        <v>-5.59</v>
      </c>
      <c r="C71">
        <v>-3.76</v>
      </c>
      <c r="D71">
        <v>62.15</v>
      </c>
    </row>
    <row r="72" spans="1:4" x14ac:dyDescent="0.35">
      <c r="A72" t="s">
        <v>127</v>
      </c>
      <c r="B72">
        <v>0.77</v>
      </c>
      <c r="C72">
        <v>-5.05</v>
      </c>
      <c r="D72">
        <v>66.41</v>
      </c>
    </row>
    <row r="73" spans="1:4" x14ac:dyDescent="0.35">
      <c r="A73" t="s">
        <v>113</v>
      </c>
      <c r="B73">
        <v>-4.2</v>
      </c>
      <c r="C73">
        <v>-4.41</v>
      </c>
      <c r="D73">
        <v>45.05</v>
      </c>
    </row>
    <row r="74" spans="1:4" x14ac:dyDescent="0.35">
      <c r="A74" t="s">
        <v>102</v>
      </c>
      <c r="B74">
        <v>-31.3</v>
      </c>
      <c r="C74">
        <v>-45.4</v>
      </c>
      <c r="D74">
        <v>137.07</v>
      </c>
    </row>
    <row r="75" spans="1:4" x14ac:dyDescent="0.35">
      <c r="A75" t="s">
        <v>101</v>
      </c>
      <c r="B75">
        <v>-2.89</v>
      </c>
      <c r="C75">
        <v>-2.35</v>
      </c>
      <c r="D75">
        <v>56.65</v>
      </c>
    </row>
    <row r="76" spans="1:4" x14ac:dyDescent="0.35">
      <c r="A76" t="s">
        <v>105</v>
      </c>
      <c r="B76">
        <v>-5.79</v>
      </c>
      <c r="C76">
        <v>-3.46</v>
      </c>
      <c r="D76">
        <v>65.39</v>
      </c>
    </row>
    <row r="77" spans="1:4" x14ac:dyDescent="0.35">
      <c r="A77" t="s">
        <v>100</v>
      </c>
      <c r="B77">
        <v>-20.3</v>
      </c>
      <c r="C77">
        <v>-2.67</v>
      </c>
      <c r="D77">
        <v>186.74</v>
      </c>
    </row>
    <row r="78" spans="1:4" x14ac:dyDescent="0.35">
      <c r="A78" t="s">
        <v>99</v>
      </c>
      <c r="B78">
        <v>0.37</v>
      </c>
      <c r="C78">
        <v>-3.47</v>
      </c>
      <c r="D78">
        <v>64.489999999999995</v>
      </c>
    </row>
    <row r="79" spans="1:4" x14ac:dyDescent="0.35">
      <c r="A79" t="s">
        <v>94</v>
      </c>
      <c r="B79">
        <v>-8.6199999999999992</v>
      </c>
      <c r="C79">
        <v>-2.96</v>
      </c>
      <c r="D79">
        <v>68.14</v>
      </c>
    </row>
    <row r="80" spans="1:4" x14ac:dyDescent="0.35">
      <c r="A80" t="s">
        <v>98</v>
      </c>
      <c r="B80">
        <v>-5.4</v>
      </c>
      <c r="C80">
        <v>-25.42</v>
      </c>
      <c r="D80">
        <v>22.55</v>
      </c>
    </row>
    <row r="81" spans="1:4" x14ac:dyDescent="0.35">
      <c r="A81" t="s">
        <v>195</v>
      </c>
      <c r="B81">
        <v>-6.89</v>
      </c>
      <c r="C81">
        <v>-7.24</v>
      </c>
      <c r="D81">
        <v>22.28</v>
      </c>
    </row>
    <row r="82" spans="1:4" x14ac:dyDescent="0.35">
      <c r="A82" t="s">
        <v>1623</v>
      </c>
      <c r="B82">
        <v>-1.9</v>
      </c>
      <c r="C82" t="e">
        <v>#DIV/0!</v>
      </c>
      <c r="D82" t="e">
        <v>#DIV/0!</v>
      </c>
    </row>
    <row r="83" spans="1:4" x14ac:dyDescent="0.35">
      <c r="A83" t="s">
        <v>93</v>
      </c>
      <c r="B83">
        <v>-0.31</v>
      </c>
      <c r="C83">
        <v>-4.0599999999999996</v>
      </c>
      <c r="D83">
        <v>67.23</v>
      </c>
    </row>
    <row r="84" spans="1:4" x14ac:dyDescent="0.35">
      <c r="A84" t="s">
        <v>92</v>
      </c>
      <c r="B84">
        <v>-2.57</v>
      </c>
      <c r="C84">
        <v>-2.95</v>
      </c>
      <c r="D84">
        <v>24.35</v>
      </c>
    </row>
    <row r="85" spans="1:4" x14ac:dyDescent="0.35">
      <c r="A85" t="s">
        <v>90</v>
      </c>
      <c r="B85">
        <v>-1.76</v>
      </c>
      <c r="C85">
        <v>-2.5499999999999998</v>
      </c>
      <c r="D85">
        <v>108.98</v>
      </c>
    </row>
    <row r="86" spans="1:4" x14ac:dyDescent="0.35">
      <c r="A86" t="s">
        <v>88</v>
      </c>
      <c r="B86">
        <v>-10</v>
      </c>
      <c r="C86">
        <v>3</v>
      </c>
      <c r="D86">
        <v>110.11</v>
      </c>
    </row>
    <row r="87" spans="1:4" x14ac:dyDescent="0.35">
      <c r="A87" t="s">
        <v>84</v>
      </c>
      <c r="B87">
        <v>-11.86</v>
      </c>
      <c r="C87">
        <v>-3.24</v>
      </c>
      <c r="D87">
        <v>69.319999999999993</v>
      </c>
    </row>
    <row r="88" spans="1:4" x14ac:dyDescent="0.35">
      <c r="A88" t="s">
        <v>1624</v>
      </c>
      <c r="B88">
        <v>1.66</v>
      </c>
      <c r="C88">
        <v>-5.27</v>
      </c>
      <c r="D88">
        <v>50.27</v>
      </c>
    </row>
    <row r="89" spans="1:4" x14ac:dyDescent="0.35">
      <c r="A89" t="s">
        <v>79</v>
      </c>
      <c r="B89">
        <v>-2.0699999999999998</v>
      </c>
      <c r="C89">
        <v>-4.16</v>
      </c>
      <c r="D89">
        <v>39.36</v>
      </c>
    </row>
    <row r="90" spans="1:4" x14ac:dyDescent="0.35">
      <c r="A90" t="s">
        <v>81</v>
      </c>
      <c r="B90">
        <v>-8.51</v>
      </c>
      <c r="C90">
        <v>-8.49</v>
      </c>
      <c r="D90">
        <v>89.71</v>
      </c>
    </row>
    <row r="91" spans="1:4" x14ac:dyDescent="0.35">
      <c r="A91" t="s">
        <v>75</v>
      </c>
      <c r="B91">
        <v>-8.99</v>
      </c>
      <c r="C91">
        <v>-4.5199999999999996</v>
      </c>
      <c r="D91">
        <v>53.86</v>
      </c>
    </row>
    <row r="92" spans="1:4" x14ac:dyDescent="0.35">
      <c r="A92" t="s">
        <v>77</v>
      </c>
      <c r="B92">
        <v>-3.36</v>
      </c>
      <c r="C92">
        <v>-3.49</v>
      </c>
      <c r="D92">
        <v>28.8</v>
      </c>
    </row>
    <row r="93" spans="1:4" x14ac:dyDescent="0.35">
      <c r="A93" t="s">
        <v>73</v>
      </c>
      <c r="B93">
        <v>43.48</v>
      </c>
      <c r="C93">
        <v>-6.37</v>
      </c>
      <c r="D93">
        <v>47.45</v>
      </c>
    </row>
    <row r="94" spans="1:4" x14ac:dyDescent="0.35">
      <c r="A94" t="s">
        <v>68</v>
      </c>
      <c r="B94">
        <v>-2.4</v>
      </c>
      <c r="C94">
        <v>-7.49</v>
      </c>
      <c r="D94">
        <v>78.400000000000006</v>
      </c>
    </row>
    <row r="95" spans="1:4" x14ac:dyDescent="0.35">
      <c r="A95" t="s">
        <v>66</v>
      </c>
      <c r="B95">
        <v>4.7</v>
      </c>
      <c r="C95">
        <v>-2.09</v>
      </c>
      <c r="D95">
        <v>39.06</v>
      </c>
    </row>
    <row r="96" spans="1:4" x14ac:dyDescent="0.35">
      <c r="A96" t="s">
        <v>72</v>
      </c>
      <c r="B96">
        <v>-1.8</v>
      </c>
      <c r="C96">
        <v>-3.08</v>
      </c>
      <c r="D96">
        <v>31.43</v>
      </c>
    </row>
    <row r="97" spans="1:4" x14ac:dyDescent="0.35">
      <c r="A97" t="s">
        <v>71</v>
      </c>
      <c r="B97">
        <v>-12.59</v>
      </c>
      <c r="C97">
        <v>2.2599999999999998</v>
      </c>
      <c r="D97">
        <v>70.63</v>
      </c>
    </row>
    <row r="98" spans="1:4" x14ac:dyDescent="0.35">
      <c r="A98" t="s">
        <v>65</v>
      </c>
      <c r="B98">
        <v>1.1399999999999999</v>
      </c>
      <c r="C98">
        <v>-9.82</v>
      </c>
      <c r="D98">
        <v>78.7</v>
      </c>
    </row>
    <row r="99" spans="1:4" x14ac:dyDescent="0.35">
      <c r="A99" t="s">
        <v>63</v>
      </c>
      <c r="B99">
        <v>-6.16</v>
      </c>
      <c r="C99">
        <v>-8.19</v>
      </c>
      <c r="D99">
        <v>62.49</v>
      </c>
    </row>
    <row r="100" spans="1:4" x14ac:dyDescent="0.35">
      <c r="A100" t="s">
        <v>67</v>
      </c>
      <c r="B100">
        <v>0</v>
      </c>
      <c r="C100">
        <v>1.07</v>
      </c>
      <c r="D100">
        <v>75.849999999999994</v>
      </c>
    </row>
    <row r="101" spans="1:4" x14ac:dyDescent="0.35">
      <c r="A101" t="s">
        <v>61</v>
      </c>
      <c r="B101">
        <v>-1.9</v>
      </c>
      <c r="C101">
        <v>-0.14000000000000001</v>
      </c>
      <c r="D101">
        <v>74.959999999999994</v>
      </c>
    </row>
    <row r="102" spans="1:4" x14ac:dyDescent="0.35">
      <c r="A102" t="s">
        <v>59</v>
      </c>
      <c r="B102">
        <v>-19.05</v>
      </c>
      <c r="C102" t="e">
        <v>#DIV/0!</v>
      </c>
      <c r="D102" t="e">
        <v>#DIV/0!</v>
      </c>
    </row>
    <row r="103" spans="1:4" x14ac:dyDescent="0.35">
      <c r="A103" t="s">
        <v>57</v>
      </c>
      <c r="B103">
        <v>6.1</v>
      </c>
      <c r="C103">
        <v>-2.2999999999999998</v>
      </c>
      <c r="D103">
        <v>56.5</v>
      </c>
    </row>
    <row r="104" spans="1:4" x14ac:dyDescent="0.35">
      <c r="A104" t="s">
        <v>169</v>
      </c>
      <c r="B104">
        <v>-3.15</v>
      </c>
      <c r="C104">
        <v>-6.37</v>
      </c>
      <c r="D104">
        <v>45.73</v>
      </c>
    </row>
    <row r="105" spans="1:4" x14ac:dyDescent="0.35">
      <c r="A105" t="s">
        <v>1625</v>
      </c>
      <c r="B105">
        <v>-0.63</v>
      </c>
      <c r="C105">
        <v>-3.19</v>
      </c>
      <c r="D105">
        <v>263.10000000000002</v>
      </c>
    </row>
    <row r="106" spans="1:4" x14ac:dyDescent="0.35">
      <c r="A106" t="s">
        <v>69</v>
      </c>
      <c r="B106">
        <v>-4.93</v>
      </c>
      <c r="C106">
        <v>-1.96</v>
      </c>
      <c r="D106">
        <v>52.35</v>
      </c>
    </row>
    <row r="107" spans="1:4" x14ac:dyDescent="0.35">
      <c r="A107" t="s">
        <v>160</v>
      </c>
      <c r="B107">
        <v>-8.6300000000000008</v>
      </c>
      <c r="C107">
        <v>-4.76</v>
      </c>
      <c r="D107">
        <v>88.32</v>
      </c>
    </row>
    <row r="108" spans="1:4" x14ac:dyDescent="0.35">
      <c r="A108" t="s">
        <v>54</v>
      </c>
      <c r="B108">
        <v>3.57</v>
      </c>
      <c r="C108">
        <v>1.82</v>
      </c>
      <c r="D108">
        <v>87.53</v>
      </c>
    </row>
    <row r="109" spans="1:4" x14ac:dyDescent="0.35">
      <c r="A109" t="s">
        <v>53</v>
      </c>
      <c r="B109">
        <v>-6.76</v>
      </c>
      <c r="C109">
        <v>-3.64</v>
      </c>
      <c r="D109">
        <v>64.94</v>
      </c>
    </row>
    <row r="110" spans="1:4" x14ac:dyDescent="0.35">
      <c r="A110" t="s">
        <v>51</v>
      </c>
      <c r="B110">
        <v>-6.7</v>
      </c>
      <c r="C110">
        <v>-4.05</v>
      </c>
      <c r="D110">
        <v>56.75</v>
      </c>
    </row>
    <row r="111" spans="1:4" x14ac:dyDescent="0.35">
      <c r="A111" t="s">
        <v>49</v>
      </c>
      <c r="B111">
        <v>-10.039999999999999</v>
      </c>
      <c r="C111">
        <v>-7.9</v>
      </c>
      <c r="D111">
        <v>88.11</v>
      </c>
    </row>
    <row r="112" spans="1:4" x14ac:dyDescent="0.35">
      <c r="A112" t="s">
        <v>1626</v>
      </c>
      <c r="B112">
        <v>0.5</v>
      </c>
      <c r="C112">
        <v>-0.38</v>
      </c>
      <c r="D112">
        <v>69.989999999999995</v>
      </c>
    </row>
    <row r="113" spans="1:4" x14ac:dyDescent="0.35">
      <c r="A113" t="s">
        <v>76</v>
      </c>
      <c r="B113">
        <v>-8.36</v>
      </c>
      <c r="C113">
        <v>-5.0999999999999996</v>
      </c>
      <c r="D113">
        <v>87.21</v>
      </c>
    </row>
    <row r="114" spans="1:4" x14ac:dyDescent="0.35">
      <c r="A114" t="s">
        <v>36</v>
      </c>
      <c r="B114">
        <v>1.8</v>
      </c>
      <c r="C114">
        <v>-3.96</v>
      </c>
      <c r="D114">
        <v>45.75</v>
      </c>
    </row>
    <row r="115" spans="1:4" x14ac:dyDescent="0.35">
      <c r="A115" t="s">
        <v>44</v>
      </c>
      <c r="B115">
        <v>-4.6399999999999997</v>
      </c>
      <c r="C115">
        <v>-3.9</v>
      </c>
      <c r="D115">
        <v>67.87</v>
      </c>
    </row>
    <row r="116" spans="1:4" x14ac:dyDescent="0.35">
      <c r="A116" t="s">
        <v>39</v>
      </c>
      <c r="B116">
        <v>-7.95</v>
      </c>
      <c r="C116">
        <v>-0.01</v>
      </c>
      <c r="D116">
        <v>103.03</v>
      </c>
    </row>
    <row r="117" spans="1:4" x14ac:dyDescent="0.35">
      <c r="A117" t="s">
        <v>38</v>
      </c>
      <c r="B117">
        <v>0.79</v>
      </c>
      <c r="C117">
        <v>-1.61</v>
      </c>
      <c r="D117">
        <v>10.53</v>
      </c>
    </row>
    <row r="118" spans="1:4" x14ac:dyDescent="0.35">
      <c r="A118" t="s">
        <v>42</v>
      </c>
      <c r="B118">
        <v>-0.51</v>
      </c>
      <c r="C118">
        <v>0.26</v>
      </c>
      <c r="D118">
        <v>29.75</v>
      </c>
    </row>
    <row r="119" spans="1:4" x14ac:dyDescent="0.35">
      <c r="A119" t="s">
        <v>41</v>
      </c>
      <c r="B119">
        <v>-6.85</v>
      </c>
      <c r="C119">
        <v>-4.1100000000000003</v>
      </c>
      <c r="D119">
        <v>66.7</v>
      </c>
    </row>
    <row r="120" spans="1:4" x14ac:dyDescent="0.35">
      <c r="A120" t="s">
        <v>35</v>
      </c>
      <c r="B120">
        <v>2.29</v>
      </c>
      <c r="C120">
        <v>-10.66</v>
      </c>
      <c r="D120">
        <v>52.27</v>
      </c>
    </row>
    <row r="121" spans="1:4" x14ac:dyDescent="0.35">
      <c r="A121" t="s">
        <v>34</v>
      </c>
      <c r="B121">
        <v>-5.95</v>
      </c>
      <c r="C121">
        <v>-6.57</v>
      </c>
      <c r="D121">
        <v>32.979999999999997</v>
      </c>
    </row>
    <row r="122" spans="1:4" x14ac:dyDescent="0.35">
      <c r="A122" t="s">
        <v>173</v>
      </c>
      <c r="B122">
        <v>-0.89</v>
      </c>
      <c r="C122">
        <v>2.9</v>
      </c>
      <c r="D122">
        <v>47.31</v>
      </c>
    </row>
    <row r="123" spans="1:4" x14ac:dyDescent="0.35">
      <c r="A123" t="s">
        <v>31</v>
      </c>
      <c r="B123">
        <v>0</v>
      </c>
      <c r="C123">
        <v>-2.2799999999999998</v>
      </c>
      <c r="D123">
        <v>46.48</v>
      </c>
    </row>
    <row r="124" spans="1:4" x14ac:dyDescent="0.35">
      <c r="A124" t="s">
        <v>37</v>
      </c>
      <c r="B124">
        <v>-2.12</v>
      </c>
      <c r="C124">
        <v>-2.92</v>
      </c>
      <c r="D124">
        <v>43.35</v>
      </c>
    </row>
    <row r="125" spans="1:4" x14ac:dyDescent="0.35">
      <c r="A125" t="s">
        <v>95</v>
      </c>
      <c r="B125">
        <v>-3.1</v>
      </c>
      <c r="C125">
        <v>-5.86</v>
      </c>
      <c r="D125">
        <v>30.15</v>
      </c>
    </row>
    <row r="126" spans="1:4" x14ac:dyDescent="0.35">
      <c r="A126" t="s">
        <v>43</v>
      </c>
      <c r="B126">
        <v>-14</v>
      </c>
      <c r="C126">
        <v>-6.4</v>
      </c>
      <c r="D126">
        <v>141.12</v>
      </c>
    </row>
    <row r="127" spans="1:4" x14ac:dyDescent="0.35">
      <c r="A127" t="s">
        <v>1627</v>
      </c>
      <c r="B127">
        <v>0.33</v>
      </c>
      <c r="C127">
        <v>-3.94</v>
      </c>
      <c r="D127">
        <v>63.19</v>
      </c>
    </row>
    <row r="128" spans="1:4" x14ac:dyDescent="0.35">
      <c r="A128" t="s">
        <v>16</v>
      </c>
      <c r="B128">
        <v>0.61</v>
      </c>
      <c r="C128">
        <v>-4.32</v>
      </c>
      <c r="D128">
        <v>47.59</v>
      </c>
    </row>
    <row r="129" spans="1:4" x14ac:dyDescent="0.35">
      <c r="A129" t="s">
        <v>18</v>
      </c>
      <c r="B129">
        <v>-4.22</v>
      </c>
      <c r="C129">
        <v>-2.59</v>
      </c>
      <c r="D129">
        <v>25.34</v>
      </c>
    </row>
    <row r="130" spans="1:4" x14ac:dyDescent="0.35">
      <c r="A130" t="s">
        <v>26</v>
      </c>
      <c r="B130">
        <v>-4.08</v>
      </c>
      <c r="C130">
        <v>-9.48</v>
      </c>
      <c r="D130">
        <v>88.62</v>
      </c>
    </row>
    <row r="131" spans="1:4" x14ac:dyDescent="0.35">
      <c r="A131" t="s">
        <v>30</v>
      </c>
      <c r="B131">
        <v>-7.9</v>
      </c>
      <c r="C131">
        <v>-10.48</v>
      </c>
      <c r="D131">
        <v>25.27</v>
      </c>
    </row>
    <row r="132" spans="1:4" x14ac:dyDescent="0.35">
      <c r="A132" t="s">
        <v>21</v>
      </c>
      <c r="B132">
        <v>-4</v>
      </c>
      <c r="C132">
        <v>-4.1900000000000004</v>
      </c>
      <c r="D132">
        <v>40.61</v>
      </c>
    </row>
    <row r="133" spans="1:4" x14ac:dyDescent="0.35">
      <c r="A133" t="s">
        <v>25</v>
      </c>
      <c r="B133">
        <v>-7.82</v>
      </c>
      <c r="C133">
        <v>-10.33</v>
      </c>
      <c r="D133">
        <v>77.180000000000007</v>
      </c>
    </row>
    <row r="134" spans="1:4" x14ac:dyDescent="0.35">
      <c r="A134" t="s">
        <v>29</v>
      </c>
      <c r="B134">
        <v>-0.82</v>
      </c>
      <c r="C134">
        <v>-2.7</v>
      </c>
      <c r="D134">
        <v>120.74</v>
      </c>
    </row>
    <row r="135" spans="1:4" x14ac:dyDescent="0.35">
      <c r="A135" t="s">
        <v>15</v>
      </c>
      <c r="B135">
        <v>2</v>
      </c>
      <c r="C135">
        <v>-3.08</v>
      </c>
      <c r="D135">
        <v>46.08</v>
      </c>
    </row>
    <row r="136" spans="1:4" x14ac:dyDescent="0.35">
      <c r="A136" t="s">
        <v>23</v>
      </c>
      <c r="B136">
        <v>-14.09</v>
      </c>
      <c r="C136">
        <v>-8.31</v>
      </c>
      <c r="D136">
        <v>125.41</v>
      </c>
    </row>
    <row r="137" spans="1:4" x14ac:dyDescent="0.35">
      <c r="A137" t="s">
        <v>22</v>
      </c>
      <c r="B137">
        <v>-0.9</v>
      </c>
      <c r="C137">
        <v>0.85</v>
      </c>
      <c r="D137">
        <v>41.85</v>
      </c>
    </row>
    <row r="138" spans="1:4" x14ac:dyDescent="0.35">
      <c r="A138" t="s">
        <v>27</v>
      </c>
      <c r="B138">
        <v>-17.32</v>
      </c>
      <c r="C138">
        <v>-1.04</v>
      </c>
      <c r="D138">
        <v>148.94</v>
      </c>
    </row>
    <row r="139" spans="1:4" x14ac:dyDescent="0.35">
      <c r="A139" t="s">
        <v>17</v>
      </c>
      <c r="B139">
        <v>2.37</v>
      </c>
      <c r="C139">
        <v>-3.18</v>
      </c>
      <c r="D139">
        <v>37.630000000000003</v>
      </c>
    </row>
    <row r="140" spans="1:4" x14ac:dyDescent="0.35">
      <c r="A140" t="s">
        <v>19</v>
      </c>
      <c r="B140">
        <v>-5.44</v>
      </c>
      <c r="C140">
        <v>-12.64</v>
      </c>
      <c r="D140">
        <v>132.55000000000001</v>
      </c>
    </row>
    <row r="141" spans="1:4" x14ac:dyDescent="0.35">
      <c r="A141" t="s">
        <v>20</v>
      </c>
      <c r="B141">
        <v>-16.2</v>
      </c>
      <c r="C141">
        <v>-3.76</v>
      </c>
      <c r="D141">
        <v>69.13</v>
      </c>
    </row>
    <row r="142" spans="1:4" x14ac:dyDescent="0.35">
      <c r="A142" t="s">
        <v>13</v>
      </c>
      <c r="B142">
        <v>-4.3099999999999996</v>
      </c>
      <c r="C142">
        <v>-5.7</v>
      </c>
      <c r="D142">
        <v>18.23</v>
      </c>
    </row>
    <row r="143" spans="1:4" x14ac:dyDescent="0.35">
      <c r="A143" t="s">
        <v>9</v>
      </c>
      <c r="B143">
        <v>-7.62</v>
      </c>
      <c r="C143">
        <v>-2.4500000000000002</v>
      </c>
      <c r="D143">
        <v>67.34</v>
      </c>
    </row>
    <row r="144" spans="1:4" x14ac:dyDescent="0.35">
      <c r="A144" t="s">
        <v>8</v>
      </c>
      <c r="B144">
        <v>-10.029999999999999</v>
      </c>
      <c r="C144">
        <v>-6.56</v>
      </c>
      <c r="D144">
        <v>105.58</v>
      </c>
    </row>
    <row r="145" spans="1:4" x14ac:dyDescent="0.35">
      <c r="A145" t="s">
        <v>4</v>
      </c>
      <c r="B145">
        <v>-4.04</v>
      </c>
      <c r="C145">
        <v>4.75</v>
      </c>
      <c r="D145">
        <v>128.22</v>
      </c>
    </row>
    <row r="146" spans="1:4" x14ac:dyDescent="0.35">
      <c r="A146" t="s">
        <v>52</v>
      </c>
      <c r="B146">
        <v>-5.48</v>
      </c>
      <c r="C146">
        <v>-15.74</v>
      </c>
      <c r="D146">
        <v>51.4</v>
      </c>
    </row>
    <row r="147" spans="1:4" x14ac:dyDescent="0.35">
      <c r="A147" t="s">
        <v>6</v>
      </c>
      <c r="B147">
        <v>-4.74</v>
      </c>
      <c r="C147">
        <v>-4.7699999999999996</v>
      </c>
      <c r="D147">
        <v>80.040000000000006</v>
      </c>
    </row>
    <row r="148" spans="1:4" x14ac:dyDescent="0.35">
      <c r="A148" t="s">
        <v>3</v>
      </c>
      <c r="B148">
        <v>-1.89</v>
      </c>
      <c r="C148">
        <v>-2.16</v>
      </c>
      <c r="D148">
        <v>8.2100000000000009</v>
      </c>
    </row>
  </sheetData>
  <sortState xmlns:xlrd2="http://schemas.microsoft.com/office/spreadsheetml/2017/richdata2" ref="G3:G237">
    <sortCondition descending="1" ref="G3"/>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A5804-F284-4F9B-9E66-19DFC9B30554}">
  <sheetPr>
    <tabColor theme="4" tint="0.79998168889431442"/>
  </sheetPr>
  <dimension ref="A1:Y90"/>
  <sheetViews>
    <sheetView showGridLines="0" showRowColHeaders="0" zoomScale="72" zoomScaleNormal="100" workbookViewId="0">
      <selection activeCell="AC37" sqref="AC37"/>
    </sheetView>
  </sheetViews>
  <sheetFormatPr defaultColWidth="8.7265625" defaultRowHeight="14.5" x14ac:dyDescent="0.35"/>
  <sheetData>
    <row r="1" spans="1:25" x14ac:dyDescent="0.35">
      <c r="A1" s="11"/>
      <c r="B1" s="11"/>
      <c r="C1" s="11"/>
      <c r="D1" s="11"/>
      <c r="E1" s="11"/>
      <c r="F1" s="11"/>
      <c r="G1" s="11"/>
      <c r="H1" s="11"/>
      <c r="I1" s="11"/>
      <c r="J1" s="11"/>
      <c r="K1" s="11"/>
      <c r="L1" s="11"/>
      <c r="M1" s="11"/>
      <c r="N1" s="11"/>
      <c r="O1" s="11"/>
      <c r="P1" s="11"/>
      <c r="Q1" s="11"/>
      <c r="R1" s="11"/>
      <c r="S1" s="11"/>
      <c r="T1" s="11"/>
      <c r="U1" s="11"/>
      <c r="V1" s="11"/>
      <c r="W1" s="11"/>
      <c r="X1" s="11"/>
      <c r="Y1" s="11"/>
    </row>
    <row r="2" spans="1:25" x14ac:dyDescent="0.35">
      <c r="A2" s="11"/>
      <c r="B2" s="11"/>
      <c r="C2" s="11"/>
      <c r="D2" s="11"/>
      <c r="E2" s="11"/>
      <c r="F2" s="11"/>
      <c r="G2" s="11"/>
      <c r="H2" s="11"/>
      <c r="I2" s="11"/>
      <c r="J2" s="11"/>
      <c r="K2" s="11"/>
      <c r="L2" s="11"/>
      <c r="M2" s="11"/>
      <c r="N2" s="11"/>
      <c r="O2" s="11"/>
      <c r="P2" s="11"/>
      <c r="Q2" s="11"/>
      <c r="R2" s="11"/>
      <c r="S2" s="11"/>
      <c r="T2" s="11"/>
      <c r="U2" s="11"/>
      <c r="V2" s="11"/>
      <c r="W2" s="11"/>
      <c r="X2" s="11"/>
      <c r="Y2" s="11"/>
    </row>
    <row r="3" spans="1:25" x14ac:dyDescent="0.35">
      <c r="A3" s="11"/>
      <c r="B3" s="11"/>
      <c r="C3" s="11"/>
      <c r="D3" s="11"/>
      <c r="E3" s="11"/>
      <c r="F3" s="11"/>
      <c r="G3" s="11"/>
      <c r="H3" s="11"/>
      <c r="I3" s="11"/>
      <c r="J3" s="11"/>
      <c r="K3" s="11"/>
      <c r="L3" s="11"/>
      <c r="M3" s="11"/>
      <c r="N3" s="11"/>
      <c r="O3" s="11"/>
      <c r="P3" s="11"/>
      <c r="Q3" s="11"/>
      <c r="R3" s="11"/>
      <c r="S3" s="11"/>
      <c r="T3" s="11"/>
      <c r="U3" s="11"/>
      <c r="V3" s="11"/>
      <c r="W3" s="11"/>
      <c r="X3" s="11"/>
      <c r="Y3" s="11"/>
    </row>
    <row r="4" spans="1:25" x14ac:dyDescent="0.35">
      <c r="A4" s="11"/>
      <c r="B4" s="11"/>
      <c r="C4" s="11"/>
      <c r="D4" s="11"/>
      <c r="E4" s="11"/>
      <c r="F4" s="11"/>
      <c r="G4" s="11"/>
      <c r="H4" s="11"/>
      <c r="I4" s="11"/>
      <c r="J4" s="11"/>
      <c r="K4" s="11"/>
      <c r="L4" s="11"/>
      <c r="M4" s="11"/>
      <c r="N4" s="11"/>
      <c r="O4" s="11"/>
      <c r="P4" s="11"/>
      <c r="Q4" s="11"/>
      <c r="R4" s="11"/>
      <c r="S4" s="11"/>
      <c r="T4" s="11"/>
      <c r="U4" s="11"/>
      <c r="V4" s="11"/>
      <c r="W4" s="11"/>
      <c r="X4" s="11"/>
      <c r="Y4" s="11"/>
    </row>
    <row r="5" spans="1:25" x14ac:dyDescent="0.35">
      <c r="A5" s="11"/>
      <c r="B5" s="11"/>
      <c r="C5" s="11"/>
      <c r="D5" s="11"/>
      <c r="E5" s="11"/>
      <c r="F5" s="11"/>
      <c r="G5" s="11"/>
      <c r="H5" s="11"/>
      <c r="I5" s="11"/>
      <c r="J5" s="11"/>
      <c r="K5" s="11"/>
      <c r="L5" s="11"/>
      <c r="M5" s="11"/>
      <c r="N5" s="11"/>
      <c r="O5" s="11"/>
      <c r="P5" s="11"/>
      <c r="Q5" s="11"/>
      <c r="R5" s="11"/>
      <c r="S5" s="11"/>
      <c r="T5" s="11"/>
      <c r="U5" s="11"/>
      <c r="V5" s="11"/>
      <c r="W5" s="11"/>
      <c r="X5" s="11"/>
      <c r="Y5" s="11"/>
    </row>
    <row r="6" spans="1:25" x14ac:dyDescent="0.35">
      <c r="A6" s="11"/>
      <c r="B6" s="11"/>
      <c r="C6" s="11"/>
      <c r="D6" s="11"/>
      <c r="E6" s="11"/>
      <c r="F6" s="11"/>
      <c r="G6" s="11"/>
      <c r="H6" s="11"/>
      <c r="I6" s="11"/>
      <c r="J6" s="11"/>
      <c r="K6" s="11"/>
      <c r="L6" s="11"/>
      <c r="M6" s="11"/>
      <c r="N6" s="11"/>
      <c r="O6" s="11"/>
      <c r="P6" s="11"/>
      <c r="Q6" s="11"/>
      <c r="R6" s="11"/>
      <c r="S6" s="11"/>
      <c r="T6" s="11"/>
      <c r="U6" s="11"/>
      <c r="V6" s="11"/>
      <c r="W6" s="11"/>
      <c r="X6" s="11"/>
      <c r="Y6" s="11"/>
    </row>
    <row r="7" spans="1:25" x14ac:dyDescent="0.35">
      <c r="A7" s="11"/>
      <c r="B7" s="11"/>
      <c r="C7" s="11"/>
      <c r="D7" s="11"/>
      <c r="E7" s="11"/>
      <c r="F7" s="11"/>
      <c r="G7" s="11"/>
      <c r="H7" s="11"/>
      <c r="I7" s="11"/>
      <c r="J7" s="11"/>
      <c r="K7" s="11"/>
      <c r="L7" s="11"/>
      <c r="M7" s="11"/>
      <c r="N7" s="11"/>
      <c r="O7" s="11"/>
      <c r="P7" s="11"/>
      <c r="Q7" s="11"/>
      <c r="R7" s="11"/>
      <c r="S7" s="11"/>
      <c r="T7" s="11"/>
      <c r="U7" s="11"/>
      <c r="V7" s="11"/>
      <c r="W7" s="11"/>
      <c r="X7" s="11"/>
      <c r="Y7" s="11"/>
    </row>
    <row r="8" spans="1:25" x14ac:dyDescent="0.35">
      <c r="A8" s="11"/>
      <c r="B8" s="11"/>
      <c r="C8" s="11"/>
      <c r="D8" s="11"/>
      <c r="E8" s="11"/>
      <c r="F8" s="11"/>
      <c r="G8" s="11"/>
      <c r="H8" s="11"/>
      <c r="I8" s="11"/>
      <c r="J8" s="11"/>
      <c r="K8" s="11"/>
      <c r="L8" s="11"/>
      <c r="M8" s="11"/>
      <c r="N8" s="11"/>
      <c r="O8" s="11"/>
      <c r="P8" s="11"/>
      <c r="Q8" s="11"/>
      <c r="R8" s="11"/>
      <c r="S8" s="11"/>
      <c r="T8" s="11"/>
      <c r="U8" s="11"/>
      <c r="V8" s="11"/>
      <c r="W8" s="11"/>
      <c r="X8" s="11"/>
      <c r="Y8" s="11"/>
    </row>
    <row r="9" spans="1:25" x14ac:dyDescent="0.35">
      <c r="A9" s="11"/>
      <c r="B9" s="11"/>
      <c r="C9" s="11"/>
      <c r="D9" s="11"/>
      <c r="E9" s="11"/>
      <c r="F9" s="11"/>
      <c r="G9" s="11"/>
      <c r="H9" s="11"/>
      <c r="I9" s="11"/>
      <c r="J9" s="11"/>
      <c r="K9" s="11"/>
      <c r="L9" s="11"/>
      <c r="M9" s="11"/>
      <c r="N9" s="11"/>
      <c r="O9" s="11"/>
      <c r="P9" s="11"/>
      <c r="Q9" s="11"/>
      <c r="R9" s="11"/>
      <c r="S9" s="11"/>
      <c r="T9" s="11"/>
      <c r="U9" s="11"/>
      <c r="V9" s="11"/>
      <c r="W9" s="11"/>
      <c r="X9" s="11"/>
      <c r="Y9" s="11"/>
    </row>
    <row r="10" spans="1:25" x14ac:dyDescent="0.35">
      <c r="A10" s="11"/>
      <c r="B10" s="11"/>
      <c r="C10" s="11"/>
      <c r="D10" s="11"/>
      <c r="E10" s="11"/>
      <c r="F10" s="11"/>
      <c r="G10" s="11"/>
      <c r="H10" s="11"/>
      <c r="I10" s="11"/>
      <c r="J10" s="11"/>
      <c r="K10" s="11"/>
      <c r="L10" s="11"/>
      <c r="M10" s="11"/>
      <c r="N10" s="11"/>
      <c r="O10" s="11"/>
      <c r="P10" s="11"/>
      <c r="Q10" s="11"/>
      <c r="R10" s="11"/>
      <c r="S10" s="11"/>
      <c r="T10" s="11"/>
      <c r="U10" s="11"/>
      <c r="V10" s="11"/>
      <c r="W10" s="11"/>
      <c r="X10" s="11"/>
      <c r="Y10" s="11"/>
    </row>
    <row r="11" spans="1:25" x14ac:dyDescent="0.3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35">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x14ac:dyDescent="0.35">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spans="1:25"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spans="1:25" x14ac:dyDescent="0.3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spans="1:25" x14ac:dyDescent="0.35">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spans="1:25" x14ac:dyDescent="0.35">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spans="1:25"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spans="1:25" x14ac:dyDescent="0.35">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spans="1:25" x14ac:dyDescent="0.35">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spans="1:25" x14ac:dyDescent="0.35">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spans="1:25" x14ac:dyDescent="0.35">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spans="1:25" x14ac:dyDescent="0.35">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spans="1:25" x14ac:dyDescent="0.35">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spans="1:25" x14ac:dyDescent="0.3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spans="1:25" x14ac:dyDescent="0.35">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spans="1:25" x14ac:dyDescent="0.35">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spans="1:25" x14ac:dyDescent="0.35">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spans="1:25" x14ac:dyDescent="0.35">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spans="1:25" x14ac:dyDescent="0.35">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spans="1:25" x14ac:dyDescent="0.35">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spans="1:25" x14ac:dyDescent="0.35">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spans="1:25" x14ac:dyDescent="0.35">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spans="1:25" x14ac:dyDescent="0.35">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spans="1:25" x14ac:dyDescent="0.3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spans="1:25" x14ac:dyDescent="0.35">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spans="1:25" x14ac:dyDescent="0.35">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spans="1:25" x14ac:dyDescent="0.35">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spans="1:25" x14ac:dyDescent="0.35">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spans="1:25" x14ac:dyDescent="0.35">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spans="1:25" x14ac:dyDescent="0.35">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spans="1:25"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spans="1:25" x14ac:dyDescent="0.35">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spans="1:25" x14ac:dyDescent="0.35">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spans="1:25" x14ac:dyDescent="0.3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x14ac:dyDescent="0.35">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spans="1:25" x14ac:dyDescent="0.35">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spans="1:25" x14ac:dyDescent="0.35">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spans="1:25" x14ac:dyDescent="0.35">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spans="1:25" x14ac:dyDescent="0.35">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spans="1:25" x14ac:dyDescent="0.35">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spans="1:25" x14ac:dyDescent="0.35">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spans="1:25" x14ac:dyDescent="0.35">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spans="1:25" x14ac:dyDescent="0.35">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spans="1:25" x14ac:dyDescent="0.3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spans="1:25" x14ac:dyDescent="0.35">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spans="1:25" x14ac:dyDescent="0.35">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spans="1:25"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spans="1:25" x14ac:dyDescent="0.35">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spans="1:25"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spans="1:25" x14ac:dyDescent="0.35">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spans="1:25"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spans="1:25" x14ac:dyDescent="0.35">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spans="1:25" x14ac:dyDescent="0.35">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spans="1:25"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spans="1:25" x14ac:dyDescent="0.35">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spans="1:25"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spans="1:25"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spans="1:25" x14ac:dyDescent="0.35">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spans="1:25" x14ac:dyDescent="0.35">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spans="1:25" x14ac:dyDescent="0.35">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spans="1:25" x14ac:dyDescent="0.35">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spans="1:25" x14ac:dyDescent="0.35">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spans="1:25" x14ac:dyDescent="0.35">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spans="1:25" x14ac:dyDescent="0.3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spans="1:25" x14ac:dyDescent="0.35">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spans="1:25" x14ac:dyDescent="0.35">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spans="1:25" x14ac:dyDescent="0.3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3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spans="1:25" x14ac:dyDescent="0.35">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spans="1:25" x14ac:dyDescent="0.35">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spans="1:25" x14ac:dyDescent="0.35">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spans="1:25" x14ac:dyDescent="0.35">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spans="1:25" x14ac:dyDescent="0.3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spans="1:25"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spans="1:25" x14ac:dyDescent="0.35">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spans="1:25" x14ac:dyDescent="0.35">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spans="1:25" x14ac:dyDescent="0.35">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spans="1:25" x14ac:dyDescent="0.35">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FAAA-A90B-41BE-9CA7-9B9BD5530DC8}">
  <sheetPr>
    <tabColor theme="5" tint="0.79998168889431442"/>
  </sheetPr>
  <dimension ref="A1:X29"/>
  <sheetViews>
    <sheetView topLeftCell="A3" zoomScaleNormal="100" workbookViewId="0">
      <selection activeCell="S7" sqref="S7"/>
    </sheetView>
  </sheetViews>
  <sheetFormatPr defaultColWidth="8.7265625" defaultRowHeight="14.5" x14ac:dyDescent="0.35"/>
  <sheetData>
    <row r="1" spans="1:24" x14ac:dyDescent="0.35">
      <c r="A1" s="10"/>
      <c r="B1" s="10"/>
      <c r="C1" s="10"/>
      <c r="D1" s="10"/>
      <c r="E1" s="10"/>
      <c r="F1" s="10"/>
      <c r="G1" s="10"/>
      <c r="H1" s="10"/>
      <c r="I1" s="10"/>
      <c r="J1" s="10"/>
      <c r="K1" s="10"/>
      <c r="L1" s="10"/>
      <c r="M1" s="10"/>
      <c r="N1" s="10"/>
      <c r="O1" s="10"/>
      <c r="P1" s="10"/>
      <c r="Q1" s="10"/>
      <c r="R1" s="10"/>
      <c r="S1" s="10"/>
      <c r="T1" s="10"/>
      <c r="U1" s="10"/>
      <c r="V1" s="10"/>
      <c r="W1" s="10"/>
      <c r="X1" s="10"/>
    </row>
    <row r="2" spans="1:24" x14ac:dyDescent="0.35">
      <c r="A2" s="10"/>
      <c r="B2" s="10"/>
      <c r="C2" s="10"/>
      <c r="D2" s="10"/>
      <c r="E2" s="10"/>
      <c r="F2" s="10"/>
      <c r="G2" s="10"/>
      <c r="H2" s="10"/>
      <c r="I2" s="10"/>
      <c r="J2" s="10"/>
      <c r="K2" s="10"/>
      <c r="L2" s="10"/>
      <c r="M2" s="10"/>
      <c r="N2" s="10"/>
      <c r="O2" s="10"/>
      <c r="P2" s="10"/>
      <c r="Q2" s="10"/>
      <c r="R2" s="10"/>
      <c r="S2" s="10"/>
      <c r="T2" s="10"/>
      <c r="U2" s="10"/>
      <c r="V2" s="10"/>
      <c r="W2" s="10"/>
      <c r="X2" s="10"/>
    </row>
    <row r="3" spans="1:24" x14ac:dyDescent="0.35">
      <c r="A3" s="10"/>
      <c r="B3" s="10"/>
      <c r="C3" s="10"/>
      <c r="D3" s="10"/>
      <c r="E3" s="10"/>
      <c r="F3" s="10"/>
      <c r="G3" s="10"/>
      <c r="H3" s="10"/>
      <c r="I3" s="10"/>
      <c r="J3" s="10"/>
      <c r="K3" s="10"/>
      <c r="L3" s="10"/>
      <c r="M3" s="10"/>
      <c r="N3" s="10"/>
      <c r="O3" s="10"/>
      <c r="P3" s="10"/>
      <c r="Q3" s="10"/>
      <c r="R3" s="10"/>
      <c r="S3" s="10"/>
      <c r="T3" s="10"/>
      <c r="U3" s="10"/>
      <c r="V3" s="10"/>
      <c r="W3" s="10"/>
      <c r="X3" s="10"/>
    </row>
    <row r="4" spans="1:24" x14ac:dyDescent="0.35">
      <c r="A4" s="10"/>
      <c r="B4" s="10"/>
      <c r="C4" s="10"/>
      <c r="D4" s="10"/>
      <c r="E4" s="10"/>
      <c r="F4" s="10"/>
      <c r="G4" s="10"/>
      <c r="H4" s="10"/>
      <c r="I4" s="10"/>
      <c r="J4" s="10"/>
      <c r="K4" s="10"/>
      <c r="L4" s="10"/>
      <c r="M4" s="10"/>
      <c r="N4" s="10"/>
      <c r="O4" s="10"/>
      <c r="P4" s="10"/>
      <c r="Q4" s="10"/>
      <c r="R4" s="10"/>
      <c r="S4" s="10"/>
      <c r="T4" s="10"/>
      <c r="U4" s="10"/>
      <c r="V4" s="10"/>
      <c r="W4" s="10"/>
      <c r="X4" s="10"/>
    </row>
    <row r="5" spans="1:24" x14ac:dyDescent="0.35">
      <c r="A5" s="10"/>
      <c r="B5" s="10"/>
      <c r="C5" s="10"/>
      <c r="D5" s="10"/>
      <c r="E5" s="10"/>
      <c r="F5" s="10"/>
      <c r="G5" s="10"/>
      <c r="H5" s="10"/>
      <c r="I5" s="10"/>
      <c r="J5" s="10"/>
      <c r="K5" s="10"/>
      <c r="L5" s="10"/>
      <c r="M5" s="10"/>
      <c r="N5" s="10"/>
      <c r="O5" s="10"/>
      <c r="P5" s="10"/>
      <c r="Q5" s="10"/>
      <c r="R5" s="10"/>
      <c r="S5" s="10"/>
      <c r="T5" s="10"/>
      <c r="U5" s="10"/>
      <c r="V5" s="10"/>
      <c r="W5" s="10"/>
      <c r="X5" s="10"/>
    </row>
    <row r="6" spans="1:24" x14ac:dyDescent="0.35">
      <c r="A6" s="10"/>
      <c r="B6" s="10"/>
      <c r="C6" s="10"/>
      <c r="D6" s="10"/>
      <c r="E6" s="10"/>
      <c r="F6" s="10"/>
      <c r="G6" s="10"/>
      <c r="H6" s="10"/>
      <c r="I6" s="10"/>
      <c r="J6" s="10"/>
      <c r="K6" s="10"/>
      <c r="L6" s="10"/>
      <c r="M6" s="10"/>
      <c r="N6" s="10"/>
      <c r="O6" s="10"/>
      <c r="P6" s="10"/>
      <c r="Q6" s="10"/>
      <c r="R6" s="10"/>
      <c r="S6" s="10"/>
      <c r="T6" s="10"/>
      <c r="U6" s="10"/>
      <c r="V6" s="10"/>
      <c r="W6" s="10"/>
      <c r="X6" s="10"/>
    </row>
    <row r="7" spans="1:24" x14ac:dyDescent="0.35">
      <c r="A7" s="10"/>
      <c r="B7" s="10"/>
      <c r="C7" s="10"/>
      <c r="D7" s="10"/>
      <c r="E7" s="10"/>
      <c r="F7" s="10"/>
      <c r="G7" s="10"/>
      <c r="H7" s="10"/>
      <c r="I7" s="10"/>
      <c r="J7" s="10"/>
      <c r="K7" s="10"/>
      <c r="L7" s="10"/>
      <c r="M7" s="10"/>
      <c r="N7" s="10"/>
      <c r="O7" s="10"/>
      <c r="P7" s="10"/>
      <c r="Q7" s="10"/>
      <c r="R7" s="10"/>
      <c r="S7" s="10"/>
      <c r="T7" s="10"/>
      <c r="U7" s="10"/>
      <c r="V7" s="10"/>
      <c r="W7" s="10"/>
      <c r="X7" s="10"/>
    </row>
    <row r="8" spans="1:24" x14ac:dyDescent="0.35">
      <c r="A8" s="10"/>
      <c r="B8" s="10"/>
      <c r="C8" s="10"/>
      <c r="D8" s="10"/>
      <c r="E8" s="10"/>
      <c r="F8" s="10"/>
      <c r="G8" s="10"/>
      <c r="H8" s="10"/>
      <c r="I8" s="10"/>
      <c r="J8" s="10"/>
      <c r="K8" s="10"/>
      <c r="L8" s="10"/>
      <c r="M8" s="10"/>
      <c r="N8" s="10"/>
      <c r="O8" s="10"/>
      <c r="P8" s="10"/>
      <c r="Q8" s="10"/>
      <c r="R8" s="10"/>
      <c r="S8" s="10"/>
      <c r="T8" s="10"/>
      <c r="U8" s="10"/>
      <c r="V8" s="10"/>
      <c r="W8" s="10"/>
      <c r="X8" s="10"/>
    </row>
    <row r="9" spans="1:24" x14ac:dyDescent="0.35">
      <c r="A9" s="10"/>
      <c r="B9" s="10"/>
      <c r="C9" s="10"/>
      <c r="D9" s="10"/>
      <c r="E9" s="10"/>
      <c r="F9" s="10"/>
      <c r="G9" s="10"/>
      <c r="H9" s="10"/>
      <c r="I9" s="10"/>
      <c r="J9" s="10"/>
      <c r="K9" s="10"/>
      <c r="L9" s="10"/>
      <c r="M9" s="10"/>
      <c r="N9" s="10"/>
      <c r="O9" s="10"/>
      <c r="P9" s="10"/>
      <c r="Q9" s="10"/>
      <c r="R9" s="10"/>
      <c r="S9" s="10"/>
      <c r="T9" s="10"/>
      <c r="U9" s="10"/>
      <c r="V9" s="10"/>
      <c r="W9" s="10"/>
      <c r="X9" s="10"/>
    </row>
    <row r="10" spans="1:24"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Drop Down 1">
              <controlPr defaultSize="0" autoLine="0" autoPict="0">
                <anchor moveWithCells="1">
                  <from>
                    <xdr:col>0</xdr:col>
                    <xdr:colOff>254000</xdr:colOff>
                    <xdr:row>10</xdr:row>
                    <xdr:rowOff>38100</xdr:rowOff>
                  </from>
                  <to>
                    <xdr:col>7</xdr:col>
                    <xdr:colOff>558800</xdr:colOff>
                    <xdr:row>11</xdr:row>
                    <xdr:rowOff>101600</xdr:rowOff>
                  </to>
                </anchor>
              </controlPr>
            </control>
          </mc:Choice>
        </mc:AlternateContent>
        <mc:AlternateContent xmlns:mc="http://schemas.openxmlformats.org/markup-compatibility/2006">
          <mc:Choice Requires="x14">
            <control shapeId="6146" r:id="rId5" name="Drop Down 2">
              <controlPr defaultSize="0" autoLine="0" autoPict="0">
                <anchor moveWithCells="1">
                  <from>
                    <xdr:col>0</xdr:col>
                    <xdr:colOff>241300</xdr:colOff>
                    <xdr:row>15</xdr:row>
                    <xdr:rowOff>165100</xdr:rowOff>
                  </from>
                  <to>
                    <xdr:col>7</xdr:col>
                    <xdr:colOff>571500</xdr:colOff>
                    <xdr:row>17</xdr:row>
                    <xdr:rowOff>50800</xdr:rowOff>
                  </to>
                </anchor>
              </controlPr>
            </control>
          </mc:Choice>
        </mc:AlternateContent>
        <mc:AlternateContent xmlns:mc="http://schemas.openxmlformats.org/markup-compatibility/2006">
          <mc:Choice Requires="x14">
            <control shapeId="6147" r:id="rId6" name="Drop Down 3">
              <controlPr defaultSize="0" autoLine="0" autoPict="0">
                <anchor moveWithCells="1">
                  <from>
                    <xdr:col>2</xdr:col>
                    <xdr:colOff>190500</xdr:colOff>
                    <xdr:row>21</xdr:row>
                    <xdr:rowOff>76200</xdr:rowOff>
                  </from>
                  <to>
                    <xdr:col>6</xdr:col>
                    <xdr:colOff>31750</xdr:colOff>
                    <xdr:row>22</xdr:row>
                    <xdr:rowOff>107950</xdr:rowOff>
                  </to>
                </anchor>
              </controlPr>
            </control>
          </mc:Choice>
        </mc:AlternateContent>
        <mc:AlternateContent xmlns:mc="http://schemas.openxmlformats.org/markup-compatibility/2006">
          <mc:Choice Requires="x14">
            <control shapeId="6148" r:id="rId7" name="Check Box 4">
              <controlPr defaultSize="0" autoFill="0" autoLine="0" autoPict="0">
                <anchor moveWithCells="1">
                  <from>
                    <xdr:col>11</xdr:col>
                    <xdr:colOff>508000</xdr:colOff>
                    <xdr:row>3</xdr:row>
                    <xdr:rowOff>0</xdr:rowOff>
                  </from>
                  <to>
                    <xdr:col>14</xdr:col>
                    <xdr:colOff>482600</xdr:colOff>
                    <xdr:row>4</xdr:row>
                    <xdr:rowOff>6350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959F-2C5B-45B5-9D9E-B1B50002083C}">
  <sheetPr>
    <tabColor theme="7" tint="0.79998168889431442"/>
  </sheetPr>
  <dimension ref="A1:AA62"/>
  <sheetViews>
    <sheetView topLeftCell="A3" zoomScaleNormal="100" workbookViewId="0">
      <selection activeCell="T4" sqref="T4"/>
    </sheetView>
  </sheetViews>
  <sheetFormatPr defaultColWidth="8.7265625" defaultRowHeight="14.5" x14ac:dyDescent="0.35"/>
  <sheetData>
    <row r="1" spans="1:27" x14ac:dyDescent="0.35">
      <c r="A1" s="10"/>
      <c r="B1" s="10"/>
      <c r="C1" s="10"/>
      <c r="D1" s="10"/>
      <c r="E1" s="10"/>
      <c r="F1" s="10"/>
      <c r="G1" s="10"/>
      <c r="H1" s="10"/>
      <c r="I1" s="10"/>
      <c r="J1" s="10"/>
      <c r="K1" s="10"/>
      <c r="L1" s="10"/>
      <c r="M1" s="10"/>
      <c r="N1" s="10"/>
      <c r="O1" s="10"/>
      <c r="P1" s="10"/>
      <c r="Q1" s="10"/>
      <c r="R1" s="10"/>
      <c r="S1" s="10"/>
      <c r="T1" s="10"/>
      <c r="U1" s="10"/>
      <c r="V1" s="10"/>
      <c r="W1" s="10"/>
      <c r="X1" s="10"/>
      <c r="Y1" s="10"/>
      <c r="Z1" s="10"/>
      <c r="AA1" s="10"/>
    </row>
    <row r="2" spans="1:27"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row>
    <row r="3" spans="1:27" x14ac:dyDescent="0.35">
      <c r="A3" s="10"/>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x14ac:dyDescent="0.35">
      <c r="A4" s="10"/>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x14ac:dyDescent="0.35">
      <c r="A5" s="10"/>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x14ac:dyDescent="0.35">
      <c r="A6" s="10"/>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x14ac:dyDescent="0.35">
      <c r="A7" s="10"/>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x14ac:dyDescent="0.35">
      <c r="A8" s="10"/>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x14ac:dyDescent="0.35">
      <c r="A9" s="10"/>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3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3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3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x14ac:dyDescent="0.3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x14ac:dyDescent="0.3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x14ac:dyDescent="0.3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x14ac:dyDescent="0.3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x14ac:dyDescent="0.3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x14ac:dyDescent="0.3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x14ac:dyDescent="0.3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x14ac:dyDescent="0.3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x14ac:dyDescent="0.3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x14ac:dyDescent="0.3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x14ac:dyDescent="0.3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x14ac:dyDescent="0.3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x14ac:dyDescent="0.3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x14ac:dyDescent="0.3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x14ac:dyDescent="0.3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x14ac:dyDescent="0.3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x14ac:dyDescent="0.3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x14ac:dyDescent="0.3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x14ac:dyDescent="0.3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x14ac:dyDescent="0.3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x14ac:dyDescent="0.3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x14ac:dyDescent="0.3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x14ac:dyDescent="0.3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x14ac:dyDescent="0.3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x14ac:dyDescent="0.3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x14ac:dyDescent="0.3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8</xdr:col>
                    <xdr:colOff>6350</xdr:colOff>
                    <xdr:row>5</xdr:row>
                    <xdr:rowOff>31750</xdr:rowOff>
                  </from>
                  <to>
                    <xdr:col>11</xdr:col>
                    <xdr:colOff>152400</xdr:colOff>
                    <xdr:row>6</xdr:row>
                    <xdr:rowOff>107950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9</xdr:col>
                    <xdr:colOff>69850</xdr:colOff>
                    <xdr:row>9</xdr:row>
                    <xdr:rowOff>139700</xdr:rowOff>
                  </from>
                  <to>
                    <xdr:col>10</xdr:col>
                    <xdr:colOff>146050</xdr:colOff>
                    <xdr:row>10</xdr:row>
                    <xdr:rowOff>177800</xdr:rowOff>
                  </to>
                </anchor>
              </controlPr>
            </control>
          </mc:Choice>
        </mc:AlternateContent>
        <mc:AlternateContent xmlns:mc="http://schemas.openxmlformats.org/markup-compatibility/2006">
          <mc:Choice Requires="x14">
            <control shapeId="7171" r:id="rId6" name="Drop Down 3">
              <controlPr defaultSize="0" autoLine="0" autoPict="0">
                <anchor moveWithCells="1">
                  <from>
                    <xdr:col>8</xdr:col>
                    <xdr:colOff>190500</xdr:colOff>
                    <xdr:row>12</xdr:row>
                    <xdr:rowOff>158750</xdr:rowOff>
                  </from>
                  <to>
                    <xdr:col>10</xdr:col>
                    <xdr:colOff>565150</xdr:colOff>
                    <xdr:row>13</xdr:row>
                    <xdr:rowOff>146050</xdr:rowOff>
                  </to>
                </anchor>
              </controlPr>
            </control>
          </mc:Choice>
        </mc:AlternateContent>
        <mc:AlternateContent xmlns:mc="http://schemas.openxmlformats.org/markup-compatibility/2006">
          <mc:Choice Requires="x14">
            <control shapeId="7172" r:id="rId7" name="Drop Down 4">
              <controlPr defaultSize="0" autoLine="0" autoPict="0">
                <anchor moveWithCells="1">
                  <from>
                    <xdr:col>8</xdr:col>
                    <xdr:colOff>190500</xdr:colOff>
                    <xdr:row>14</xdr:row>
                    <xdr:rowOff>50800</xdr:rowOff>
                  </from>
                  <to>
                    <xdr:col>10</xdr:col>
                    <xdr:colOff>565150</xdr:colOff>
                    <xdr:row>15</xdr:row>
                    <xdr:rowOff>50800</xdr:rowOff>
                  </to>
                </anchor>
              </controlPr>
            </control>
          </mc:Choice>
        </mc:AlternateContent>
        <mc:AlternateContent xmlns:mc="http://schemas.openxmlformats.org/markup-compatibility/2006">
          <mc:Choice Requires="x14">
            <control shapeId="7173" r:id="rId8" name="Drop Down 5">
              <controlPr defaultSize="0" autoLine="0" autoPict="0">
                <anchor moveWithCells="1">
                  <from>
                    <xdr:col>8</xdr:col>
                    <xdr:colOff>196850</xdr:colOff>
                    <xdr:row>11</xdr:row>
                    <xdr:rowOff>82550</xdr:rowOff>
                  </from>
                  <to>
                    <xdr:col>10</xdr:col>
                    <xdr:colOff>565150</xdr:colOff>
                    <xdr:row>12</xdr:row>
                    <xdr:rowOff>69850</xdr:rowOff>
                  </to>
                </anchor>
              </controlPr>
            </control>
          </mc:Choice>
        </mc:AlternateContent>
        <mc:AlternateContent xmlns:mc="http://schemas.openxmlformats.org/markup-compatibility/2006">
          <mc:Choice Requires="x14">
            <control shapeId="7174" r:id="rId9" name="Drop Down 6">
              <controlPr defaultSize="0" autoLine="0" autoPict="0">
                <anchor moveWithCells="1">
                  <from>
                    <xdr:col>8</xdr:col>
                    <xdr:colOff>184150</xdr:colOff>
                    <xdr:row>19</xdr:row>
                    <xdr:rowOff>114300</xdr:rowOff>
                  </from>
                  <to>
                    <xdr:col>10</xdr:col>
                    <xdr:colOff>571500</xdr:colOff>
                    <xdr:row>20</xdr:row>
                    <xdr:rowOff>120650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1210-5841-4EE0-8DB7-0CE95467293E}">
  <dimension ref="A2:BV432"/>
  <sheetViews>
    <sheetView zoomScale="60" zoomScaleNormal="60" workbookViewId="0">
      <selection activeCell="H4" sqref="H4"/>
    </sheetView>
  </sheetViews>
  <sheetFormatPr defaultColWidth="8.7265625" defaultRowHeight="14.5" x14ac:dyDescent="0.35"/>
  <cols>
    <col min="1" max="1" width="22.453125" bestFit="1" customWidth="1"/>
    <col min="2" max="2" width="17.6328125" bestFit="1" customWidth="1"/>
    <col min="3" max="3" width="27" bestFit="1" customWidth="1"/>
    <col min="4" max="4" width="15.81640625" bestFit="1" customWidth="1"/>
    <col min="5" max="5" width="11.1796875" bestFit="1" customWidth="1"/>
    <col min="6" max="6" width="23.6328125" bestFit="1" customWidth="1"/>
    <col min="7" max="7" width="12.6328125" bestFit="1" customWidth="1"/>
    <col min="8" max="8" width="12.453125" bestFit="1" customWidth="1"/>
    <col min="9" max="9" width="23.453125" bestFit="1" customWidth="1"/>
    <col min="10" max="10" width="24.90625" bestFit="1" customWidth="1"/>
    <col min="11" max="17" width="8.81640625" customWidth="1"/>
    <col min="49" max="49" width="8.81640625" style="20"/>
    <col min="51" max="51" width="8.81640625" style="20"/>
    <col min="53" max="53" width="8.81640625" style="20"/>
    <col min="55" max="55" width="8.81640625" style="20"/>
    <col min="57" max="57" width="8.81640625" style="20"/>
    <col min="59" max="59" width="8.81640625" style="20"/>
    <col min="61" max="61" width="8.81640625" style="20"/>
    <col min="63" max="63" width="8.81640625" style="20"/>
    <col min="65" max="65" width="8.81640625" style="20"/>
  </cols>
  <sheetData>
    <row r="2" spans="1:74" x14ac:dyDescent="0.35">
      <c r="B2" t="s">
        <v>940</v>
      </c>
      <c r="C2" t="s">
        <v>941</v>
      </c>
      <c r="D2" t="s">
        <v>1153</v>
      </c>
      <c r="E2" t="s">
        <v>1211</v>
      </c>
      <c r="F2" t="s">
        <v>1154</v>
      </c>
      <c r="G2" t="s">
        <v>945</v>
      </c>
      <c r="H2" t="s">
        <v>946</v>
      </c>
      <c r="I2" t="s">
        <v>1155</v>
      </c>
      <c r="J2" t="s">
        <v>1156</v>
      </c>
    </row>
    <row r="3" spans="1:74" x14ac:dyDescent="0.35">
      <c r="B3" t="s">
        <v>1144</v>
      </c>
      <c r="C3" t="s">
        <v>1145</v>
      </c>
      <c r="D3" t="s">
        <v>1146</v>
      </c>
      <c r="E3" t="s">
        <v>1147</v>
      </c>
      <c r="F3" t="s">
        <v>1148</v>
      </c>
      <c r="G3" t="s">
        <v>1149</v>
      </c>
      <c r="H3" t="s">
        <v>1150</v>
      </c>
      <c r="I3" t="s">
        <v>1151</v>
      </c>
      <c r="J3" t="s">
        <v>1152</v>
      </c>
    </row>
    <row r="4" spans="1:74" x14ac:dyDescent="0.35">
      <c r="B4" t="e">
        <f ca="1">AVERAGEIFS(INDIRECT(B3),INDIRECT(B3),"&gt;=0",INDIRECT('Sample Select backend'!$C$3),'Sample Select backend'!$C$2,INDIRECT('Sample Select backend'!$F$3),'Sample Select backend'!$F$2,INDIRECT('Sample Select backend'!$I$2),1,INDIRECT('Sample Select backend'!$M$3),'Sample Select backend'!$M$2,INDIRECT('Sample Select backend'!$I$9),1,IF($A$20,Data!$J:$J,Data!#REF!),IF($A$20,"&lt;&gt;5",1))</f>
        <v>#DIV/0!</v>
      </c>
      <c r="C4" t="e">
        <f ca="1">AVERAGEIFS(INDIRECT(C3),INDIRECT(C3),"&gt;=0",INDIRECT('Sample Select backend'!$C$3),'Sample Select backend'!$C$2,INDIRECT('Sample Select backend'!$F$3),'Sample Select backend'!$F$2,INDIRECT('Sample Select backend'!$I$2),1,INDIRECT('Sample Select backend'!$M$3),'Sample Select backend'!$M$2,INDIRECT('Sample Select backend'!$I$9),1,IF($A$20,Data!$J:$J,Data!#REF!),IF($A$20,"&lt;&gt;5",1))</f>
        <v>#DIV/0!</v>
      </c>
      <c r="D4" t="e">
        <f ca="1">AVERAGEIFS(INDIRECT(D3),INDIRECT(D3),"&gt;=0",INDIRECT('Sample Select backend'!$C$3),'Sample Select backend'!$C$2,INDIRECT('Sample Select backend'!$F$3),'Sample Select backend'!$F$2,INDIRECT('Sample Select backend'!$I$2),1,INDIRECT('Sample Select backend'!$M$3),'Sample Select backend'!$M$2,INDIRECT('Sample Select backend'!$I$9),1,IF($A$20,Data!$J:$J,Data!#REF!),IF($A$20,"&lt;&gt;5",1))</f>
        <v>#DIV/0!</v>
      </c>
      <c r="E4" t="e">
        <f ca="1">AVERAGEIFS(INDIRECT(E3),INDIRECT(E3),"&gt;=0",INDIRECT('Sample Select backend'!$C$3),'Sample Select backend'!$C$2,INDIRECT('Sample Select backend'!$F$3),'Sample Select backend'!$F$2,INDIRECT('Sample Select backend'!$I$2),1,INDIRECT('Sample Select backend'!$M$3),'Sample Select backend'!$M$2,INDIRECT('Sample Select backend'!$I$9),1,IF($A$20,Data!$J:$J,Data!#REF!),IF($A$20,"&lt;&gt;5",1))</f>
        <v>#DIV/0!</v>
      </c>
      <c r="F4" t="e">
        <f ca="1">AVERAGEIFS(INDIRECT(F3),INDIRECT(F3),"&gt;=0",INDIRECT('Sample Select backend'!$C$3),'Sample Select backend'!$C$2,INDIRECT('Sample Select backend'!$F$3),'Sample Select backend'!$F$2,INDIRECT('Sample Select backend'!$I$2),1,INDIRECT('Sample Select backend'!$M$3),'Sample Select backend'!$M$2,INDIRECT('Sample Select backend'!$I$9),1,IF($A$20,Data!$J:$J,Data!#REF!),IF($A$20,"&lt;&gt;5",1))</f>
        <v>#DIV/0!</v>
      </c>
      <c r="G4" t="e">
        <f ca="1">AVERAGEIFS(INDIRECT(G3),INDIRECT(G3),"&gt;=0",INDIRECT('Sample Select backend'!$C$3),'Sample Select backend'!$C$2,INDIRECT('Sample Select backend'!$F$3),'Sample Select backend'!$F$2,INDIRECT('Sample Select backend'!$I$2),1,INDIRECT('Sample Select backend'!$M$3),'Sample Select backend'!$M$2,INDIRECT('Sample Select backend'!$I$9),1,IF($A$20,Data!$J:$J,Data!#REF!),IF($A$20,"&lt;&gt;5",1))</f>
        <v>#DIV/0!</v>
      </c>
      <c r="H4" t="e">
        <f ca="1">AVERAGEIFS(INDIRECT(H3),INDIRECT(H3),"&gt;=0",INDIRECT('Sample Select backend'!$C$3),'Sample Select backend'!$C$2,INDIRECT('Sample Select backend'!$F$3),'Sample Select backend'!$F$2,INDIRECT('Sample Select backend'!$I$2),1,INDIRECT('Sample Select backend'!$M$3),'Sample Select backend'!$M$2,INDIRECT('Sample Select backend'!$I$9),1,IF($A$20,Data!$J:$J,Data!#REF!),IF($A$20,"&lt;&gt;5",1))</f>
        <v>#DIV/0!</v>
      </c>
      <c r="I4" t="e">
        <f ca="1">AVERAGEIFS(INDIRECT(I3),INDIRECT(I3),"&gt;=0",INDIRECT('Sample Select backend'!$C$3),'Sample Select backend'!$C$2,INDIRECT('Sample Select backend'!$F$3),'Sample Select backend'!$F$2,INDIRECT('Sample Select backend'!$I$2),1,INDIRECT('Sample Select backend'!$M$3),'Sample Select backend'!$M$2,INDIRECT('Sample Select backend'!$I$9),1,IF($A$20,Data!$J:$J,Data!#REF!),IF($A$20,"&lt;&gt;5",1))</f>
        <v>#DIV/0!</v>
      </c>
      <c r="J4" t="e">
        <f ca="1">AVERAGEIFS(INDIRECT(J3),INDIRECT(J3),"&gt;=0",INDIRECT('Sample Select backend'!$C$3),'Sample Select backend'!$C$2,INDIRECT('Sample Select backend'!$F$3),'Sample Select backend'!$F$2,INDIRECT('Sample Select backend'!$I$2),1,INDIRECT('Sample Select backend'!$M$3),'Sample Select backend'!$M$2,INDIRECT('Sample Select backend'!$I$9),1,IF($A$20,Data!$J:$J,Data!#REF!),IF($A$20,"&lt;&gt;5",1))</f>
        <v>#DIV/0!</v>
      </c>
    </row>
    <row r="5" spans="1:74" x14ac:dyDescent="0.35">
      <c r="A5" t="s">
        <v>1197</v>
      </c>
      <c r="B5">
        <f ca="1">IF('Sample Select backend'!L2&gt;1,IF($A$20,VLOOKUP(B4,AW9:AX206,2,FALSE),VLOOKUP(B4,L9:M206,2,FALSE)),MAX(AL9:AL206))</f>
        <v>0</v>
      </c>
      <c r="C5">
        <f ca="1">IF('Sample Select backend'!L2&gt;1,IF($A$20,VLOOKUP(C4,AZ9:BA206,2,FALSE),VLOOKUP(C4,O9:P206,2,FALSE)),MAX(AM9:AM206))</f>
        <v>0</v>
      </c>
      <c r="D5">
        <f ca="1">IF('Sample Select backend'!L2&gt;1,IF($A$20,VLOOKUP(D4,BC9:BD206,2,FALSE),VLOOKUP(D4,R9:S206,2,FALSE)),MAX(AN9:AN206))</f>
        <v>0</v>
      </c>
      <c r="E5">
        <f ca="1">IF('Sample Select backend'!L2&gt;1,IF($A$20,VLOOKUP(E4,BF9:BG206,2,FALSE),VLOOKUP(E4,U9:V206,2,FALSE)),MAX(AO9:AO206))</f>
        <v>0</v>
      </c>
      <c r="F5">
        <f ca="1">IF('Sample Select backend'!L2&gt;1,IF($A$20,VLOOKUP(F4,BI9:BJ206,2,FALSE),VLOOKUP(F4,X9:Y206,2,FALSE)),MAX(AP9:AP206))</f>
        <v>0</v>
      </c>
      <c r="G5">
        <f ca="1">IF('Sample Select backend'!L2&gt;1,IF($A$20,VLOOKUP(G4,BL9:BM206,2,FALSE),VLOOKUP(G4,AA9:AB206,2,FALSE)),MAX(AQ9:AQ206))</f>
        <v>0</v>
      </c>
      <c r="H5">
        <f ca="1">IF('Sample Select backend'!L2&gt;1,IF($A$20,VLOOKUP(H4,BO9:BP206,2,FALSE),VLOOKUP(H4,AD9:AE206,2,FALSE)),MAX(AR9:AR206))</f>
        <v>0</v>
      </c>
      <c r="I5">
        <f ca="1">IF('Sample Select backend'!L2&gt;1,IF($A$20,VLOOKUP(I4,BR9:BS206,2,FALSE),VLOOKUP(I4,AG9:AH206,2,FALSE)),MAX(AS9:AS206))</f>
        <v>0</v>
      </c>
      <c r="J5">
        <f ca="1">IF('Sample Select backend'!L2&gt;1,IF($A$20,VLOOKUP(J4,BU9:BV206,2,FALSE),VLOOKUP(J4,AJ9:AK206,2,FALSE)),MAX(AT9:AT206))</f>
        <v>0</v>
      </c>
      <c r="AU5" s="76" t="s">
        <v>1202</v>
      </c>
      <c r="AV5" s="76"/>
      <c r="AW5" s="76"/>
      <c r="AX5" s="76"/>
      <c r="AY5" s="76"/>
      <c r="AZ5" s="76"/>
      <c r="BA5" s="76"/>
      <c r="BB5" s="76"/>
      <c r="BC5" s="76"/>
      <c r="BD5" s="76"/>
      <c r="BE5" s="76"/>
      <c r="BF5" s="76"/>
      <c r="BG5" s="76"/>
      <c r="BH5" s="76"/>
      <c r="BI5" s="76"/>
      <c r="BJ5" s="76"/>
      <c r="BK5" s="76"/>
      <c r="BL5" s="76"/>
      <c r="BM5" s="76"/>
      <c r="BN5" s="76"/>
      <c r="BO5" s="76"/>
      <c r="BP5" s="76"/>
      <c r="BQ5" s="76"/>
      <c r="BR5" s="76"/>
      <c r="BS5" s="76"/>
      <c r="BT5" s="76"/>
      <c r="BU5" s="76"/>
      <c r="BV5" s="76"/>
    </row>
    <row r="6" spans="1:74" x14ac:dyDescent="0.35">
      <c r="A6" t="s">
        <v>1160</v>
      </c>
      <c r="B6" t="str">
        <f ca="1">_xlfn.CONCAT(B5,IF(OR(B5=11,B5=111,B5=12,B5=112,B5=13,B5=113),"th",IF(RIGHT(B5,1)="1","st",IF(RIGHT(B5,1)="2","nd",IF(RIGHT(B5,1)="3","rd","th")))))</f>
        <v>0th</v>
      </c>
      <c r="C6" t="str">
        <f ca="1">IFERROR(_xlfn.CONCAT(C5,IF(OR(C5=11,C5=111,C5=12,C5=112,C5=13,C5=113),"th",IF(RIGHT(C5,1)="1","st",IF(RIGHT(C5,1)="2","nd",IF(RIGHT(C5,1)="3","rd","th"))))),"No data")</f>
        <v>0th</v>
      </c>
      <c r="D6" t="str">
        <f t="shared" ref="D6:J6" ca="1" si="0">_xlfn.CONCAT(D5,IF(OR(D5=11,D5=111,D5=12,D5=112,D5=13,D5=113),"th",IF(RIGHT(D5,1)="1","st",IF(RIGHT(D5,1)="2","nd",IF(RIGHT(D5,1)="3","rd","th")))))</f>
        <v>0th</v>
      </c>
      <c r="E6" t="str">
        <f t="shared" ca="1" si="0"/>
        <v>0th</v>
      </c>
      <c r="F6" t="str">
        <f t="shared" ca="1" si="0"/>
        <v>0th</v>
      </c>
      <c r="G6" t="str">
        <f t="shared" ca="1" si="0"/>
        <v>0th</v>
      </c>
      <c r="H6" t="str">
        <f t="shared" ca="1" si="0"/>
        <v>0th</v>
      </c>
      <c r="I6" t="str">
        <f t="shared" ca="1" si="0"/>
        <v>0th</v>
      </c>
      <c r="J6" t="str">
        <f t="shared" ca="1" si="0"/>
        <v>0th</v>
      </c>
      <c r="K6" s="76" t="s">
        <v>1201</v>
      </c>
      <c r="L6" s="76"/>
      <c r="M6" s="76"/>
      <c r="N6" s="76"/>
      <c r="O6" s="76"/>
      <c r="P6" s="76"/>
      <c r="Q6" s="76"/>
      <c r="R6" s="76"/>
      <c r="S6" s="76"/>
      <c r="T6" s="76"/>
      <c r="U6" s="76"/>
      <c r="V6" s="76"/>
      <c r="W6" s="76"/>
      <c r="X6" s="76"/>
      <c r="Y6" s="76"/>
      <c r="Z6" s="76"/>
      <c r="AA6" s="76"/>
      <c r="AB6" s="76"/>
      <c r="AC6" s="76"/>
      <c r="AD6" s="76"/>
      <c r="AE6" s="76"/>
      <c r="AF6" s="76"/>
      <c r="AG6" s="76"/>
      <c r="AH6" s="76"/>
      <c r="AI6" s="76"/>
      <c r="AJ6" s="76"/>
      <c r="AK6" s="76"/>
    </row>
    <row r="7" spans="1:74" x14ac:dyDescent="0.35">
      <c r="B7" t="s">
        <v>1629</v>
      </c>
      <c r="C7" t="s">
        <v>1628</v>
      </c>
      <c r="D7" t="s">
        <v>1630</v>
      </c>
      <c r="AL7" s="79" t="s">
        <v>1199</v>
      </c>
      <c r="AM7" s="76"/>
      <c r="AN7" s="76"/>
      <c r="AO7" s="76"/>
      <c r="AP7" s="76"/>
      <c r="AQ7" s="76"/>
      <c r="AR7" s="76"/>
      <c r="AS7" s="76"/>
      <c r="AT7" s="76"/>
    </row>
    <row r="8" spans="1:74" x14ac:dyDescent="0.35">
      <c r="B8" t="s">
        <v>1168</v>
      </c>
      <c r="C8" t="s">
        <v>1167</v>
      </c>
      <c r="D8" t="s">
        <v>1166</v>
      </c>
      <c r="J8" s="9" t="s">
        <v>1197</v>
      </c>
      <c r="K8" s="9" t="s">
        <v>0</v>
      </c>
      <c r="L8" t="s">
        <v>940</v>
      </c>
      <c r="M8" t="s">
        <v>1197</v>
      </c>
      <c r="N8" s="9" t="s">
        <v>0</v>
      </c>
      <c r="O8" t="s">
        <v>941</v>
      </c>
      <c r="Q8" s="9" t="s">
        <v>0</v>
      </c>
      <c r="R8" t="s">
        <v>1153</v>
      </c>
      <c r="T8" s="9" t="s">
        <v>0</v>
      </c>
      <c r="U8" t="s">
        <v>943</v>
      </c>
      <c r="W8" s="9" t="s">
        <v>0</v>
      </c>
      <c r="X8" t="s">
        <v>1154</v>
      </c>
      <c r="Z8" s="9" t="s">
        <v>0</v>
      </c>
      <c r="AA8" t="s">
        <v>945</v>
      </c>
      <c r="AC8" s="9" t="s">
        <v>0</v>
      </c>
      <c r="AD8" t="s">
        <v>946</v>
      </c>
      <c r="AF8" s="9" t="s">
        <v>0</v>
      </c>
      <c r="AG8" t="s">
        <v>1155</v>
      </c>
      <c r="AI8" s="9" t="s">
        <v>0</v>
      </c>
      <c r="AJ8" t="s">
        <v>1156</v>
      </c>
      <c r="AK8" s="9" t="s">
        <v>1197</v>
      </c>
      <c r="AL8" t="s">
        <v>940</v>
      </c>
      <c r="AM8" t="s">
        <v>941</v>
      </c>
      <c r="AN8" t="s">
        <v>1153</v>
      </c>
      <c r="AO8" t="s">
        <v>943</v>
      </c>
      <c r="AP8" t="s">
        <v>1154</v>
      </c>
      <c r="AQ8" t="s">
        <v>945</v>
      </c>
      <c r="AR8" t="s">
        <v>946</v>
      </c>
      <c r="AS8" t="s">
        <v>1155</v>
      </c>
      <c r="AT8" t="s">
        <v>1156</v>
      </c>
      <c r="AU8" s="9" t="s">
        <v>1197</v>
      </c>
      <c r="AV8" s="9" t="s">
        <v>0</v>
      </c>
      <c r="AW8" s="20" t="s">
        <v>940</v>
      </c>
      <c r="AX8" t="s">
        <v>1197</v>
      </c>
      <c r="AY8" s="21" t="s">
        <v>0</v>
      </c>
      <c r="AZ8" t="s">
        <v>941</v>
      </c>
      <c r="BB8" s="9" t="s">
        <v>0</v>
      </c>
      <c r="BC8" s="20" t="s">
        <v>1153</v>
      </c>
      <c r="BE8" s="21" t="s">
        <v>0</v>
      </c>
      <c r="BF8" t="s">
        <v>943</v>
      </c>
      <c r="BH8" s="9" t="s">
        <v>0</v>
      </c>
      <c r="BI8" s="20" t="s">
        <v>1154</v>
      </c>
      <c r="BK8" s="21" t="s">
        <v>0</v>
      </c>
      <c r="BL8" t="s">
        <v>945</v>
      </c>
      <c r="BN8" s="9" t="s">
        <v>0</v>
      </c>
      <c r="BO8" t="s">
        <v>946</v>
      </c>
      <c r="BQ8" s="9" t="s">
        <v>0</v>
      </c>
      <c r="BR8" t="s">
        <v>1155</v>
      </c>
      <c r="BT8" s="9" t="s">
        <v>0</v>
      </c>
      <c r="BU8" t="s">
        <v>1156</v>
      </c>
      <c r="BV8" s="9" t="s">
        <v>1197</v>
      </c>
    </row>
    <row r="9" spans="1:74" x14ac:dyDescent="0.35">
      <c r="A9" t="s">
        <v>1005</v>
      </c>
      <c r="B9" t="e">
        <f ca="1">AVERAGEIFS(INDIRECT(B8),INDIRECT('Sample Select backend'!$C$3),'Sample Select backend'!$C$2,INDIRECT('Sample Select backend'!$F$3),'Sample Select backend'!$F$2,INDIRECT('Sample Select backend'!$I$2),1,INDIRECT('Sample Select backend'!$M$3),'Sample Select backend'!$M$2,INDIRECT('Sample Select backend'!$I$9),1,Data!$AK:$AK,1)</f>
        <v>#DIV/0!</v>
      </c>
      <c r="C9" t="e">
        <f ca="1">AVERAGEIFS(INDIRECT(C8),INDIRECT('Sample Select backend'!$C$3),'Sample Select backend'!$C$2,INDIRECT('Sample Select backend'!$F$3),'Sample Select backend'!$F$2,INDIRECT('Sample Select backend'!$I$2),1,INDIRECT('Sample Select backend'!$M$3),'Sample Select backend'!$M$2,INDIRECT('Sample Select backend'!$I$9),1,Data!$AK:$AK,1)</f>
        <v>#DIV/0!</v>
      </c>
      <c r="D9" t="e">
        <f ca="1">AVERAGEIFS(INDIRECT(D8),INDIRECT('Sample Select backend'!$C$3),'Sample Select backend'!$C$2,INDIRECT('Sample Select backend'!$F$3),'Sample Select backend'!$F$2,INDIRECT('Sample Select backend'!$I$2),1,INDIRECT('Sample Select backend'!$M$3),'Sample Select backend'!$M$2,INDIRECT('Sample Select backend'!$I$9),1,Data!$AK:$AK,1)</f>
        <v>#DIV/0!</v>
      </c>
      <c r="E9" t="s">
        <v>1631</v>
      </c>
      <c r="J9">
        <v>1</v>
      </c>
      <c r="K9" t="s">
        <v>4</v>
      </c>
      <c r="L9" t="e">
        <f ca="1">AVERAGEIFS(INDIRECT($B$3),INDIRECT($B$3),"&gt;=0",Data!$B:$B,$K9)</f>
        <v>#DIV/0!</v>
      </c>
      <c r="M9">
        <v>1</v>
      </c>
      <c r="N9" t="s">
        <v>85</v>
      </c>
      <c r="O9" t="e">
        <f ca="1">AVERAGEIFS(INDIRECT($C$3),INDIRECT($C$3),"&gt;=0",Data!$B:$B,$N9)</f>
        <v>#DIV/0!</v>
      </c>
      <c r="P9">
        <v>1</v>
      </c>
      <c r="Q9" t="s">
        <v>45</v>
      </c>
      <c r="R9" t="e">
        <f ca="1">AVERAGEIFS(INDIRECT($D$3),INDIRECT($D$3),"&gt;=0",Data!$B:$B,$Q9)</f>
        <v>#DIV/0!</v>
      </c>
      <c r="S9">
        <v>1</v>
      </c>
      <c r="T9" t="s">
        <v>111</v>
      </c>
      <c r="U9" t="e">
        <f ca="1">AVERAGEIFS(INDIRECT($E$3),INDIRECT($E$3),"&gt;=0",Data!$B:$B,$T9)</f>
        <v>#DIV/0!</v>
      </c>
      <c r="V9">
        <v>1</v>
      </c>
      <c r="W9" t="s">
        <v>61</v>
      </c>
      <c r="X9" t="e">
        <f ca="1">AVERAGEIFS(INDIRECT($F$3),INDIRECT($F$3),"&gt;=0",Data!$B:$B,$W9)</f>
        <v>#DIV/0!</v>
      </c>
      <c r="Y9">
        <v>1</v>
      </c>
      <c r="Z9" t="s">
        <v>3</v>
      </c>
      <c r="AA9" t="e">
        <f ca="1">AVERAGEIFS(INDIRECT($G$3),INDIRECT($G$3),"&gt;=0",Data!$B:$B,$Z9)</f>
        <v>#DIV/0!</v>
      </c>
      <c r="AB9">
        <v>1</v>
      </c>
      <c r="AC9" t="s">
        <v>3</v>
      </c>
      <c r="AD9" t="e">
        <f ca="1">AVERAGEIFS(INDIRECT($H$3),INDIRECT($H$3),"&gt;=0",Data!$B:$B,$AC9)</f>
        <v>#DIV/0!</v>
      </c>
      <c r="AE9">
        <v>1</v>
      </c>
      <c r="AF9" t="s">
        <v>4</v>
      </c>
      <c r="AG9" t="e">
        <f ca="1">AVERAGEIFS(INDIRECT($I$3),INDIRECT($I$3),"&gt;=0",Data!$B:$B,$AF9)</f>
        <v>#DIV/0!</v>
      </c>
      <c r="AH9">
        <v>1</v>
      </c>
      <c r="AI9" t="s">
        <v>199</v>
      </c>
      <c r="AJ9" t="e">
        <f ca="1">AVERAGEIFS(INDIRECT($J$3),INDIRECT($J$3),"&gt;=0",Data!$B:$B,$AI9)</f>
        <v>#DIV/0!</v>
      </c>
      <c r="AK9">
        <f>J9</f>
        <v>1</v>
      </c>
      <c r="AL9" t="str">
        <f ca="1">IFERROR(IF($A$20,IF(B$4=AW9,AX9,IF(AND(B$4&lt;AW9,B$4&gt;AW10),AX10,0)),IF(B$4=L9,M9,IF(AND(B$4&lt;L9,B$4&gt;L10),M10,0))),"-")</f>
        <v>-</v>
      </c>
      <c r="AM9" t="str">
        <f ca="1">IFERROR(IF($A$20,IF(C$4=AZ9,BA9,IF(AND(C$4&lt;AZ9,C$4&gt;AZ10),BA10,0)),IF(C$4=O9,P9,IF(AND(C$4&lt;O9,C$4&gt;O10),P10,0))),"-")</f>
        <v>-</v>
      </c>
      <c r="AN9" t="str">
        <f ca="1">IFERROR(IF($A$20,IF(D$4=BC9,BD9,IF(AND(D$4&lt;BC9,D$4&gt;BC10),BD10,0)),IF(D$4=R9,S9,IF(AND(D$4&lt;R9,D$4&gt;R10),S10,0))),"-")</f>
        <v>-</v>
      </c>
      <c r="AO9" t="str">
        <f ca="1">IFERROR(IF($A$20,IF(E$4=BF9,BG9,IF(AND(E$4&lt;BF9,E$4&gt;BF10),BG10,0)),IF(E$4=U9,V9,IF(AND(E$4&lt;U9,E$4&gt;U10),V10,0))),"-")</f>
        <v>-</v>
      </c>
      <c r="AP9" t="str">
        <f ca="1">IFERROR(IF($A$20,IF(F$4=BI9,BJ9,IF(AND(F$4&lt;BI9,F$4&gt;BI10),BJ10,0)),IF(F$4=X9,Y9,IF(AND(F$4&lt;X9,F$4&gt;X10),Y10,0))),"-")</f>
        <v>-</v>
      </c>
      <c r="AQ9" t="str">
        <f ca="1">IFERROR(IF($A$20,IF(G$4=BL9,BM9,IF(AND(G$4&lt;BL9,G$4&gt;BL10),BM10,0)),IF(G$4=AA9,AB9,IF(AND(G$4&lt;AA9,G$4&gt;AA10),AB10,0))),"-")</f>
        <v>-</v>
      </c>
      <c r="AR9" t="str">
        <f ca="1">IFERROR(IF($A$20,IF(H$4=BO9,BP9,IF(AND(H$4&lt;BO9,H$4&gt;BO10),BP10,0)),IF(H$4=AD9,AE9,IF(AND(H$4&lt;AD9,H$4&gt;AD10),AE10,0))),"-")</f>
        <v>-</v>
      </c>
      <c r="AS9" t="str">
        <f ca="1">IFERROR(IF($A$20,IF(I$4=BR9,BS9,IF(AND(I$4&lt;BR9,I$4&gt;BR10),BS10,0)),IF(I$4=AG9,AH9,IF(AND(I$4&lt;AG9,I$4&gt;AG10),AH10,0))),"-")</f>
        <v>-</v>
      </c>
      <c r="AT9" t="str">
        <f ca="1">IFERROR(IF($A$20,IF(J$4=BU9,BV9,IF(AND(J$4&lt;BU9,J$4&gt;BU10),BV10,0)),IF(J$4=AJ9,AK9,IF(AND(J$4&lt;AJ9,J$4&gt;AJ10),AK10,0))),"-")</f>
        <v>-</v>
      </c>
      <c r="AU9">
        <v>1</v>
      </c>
      <c r="AV9" t="s">
        <v>4</v>
      </c>
      <c r="AW9" s="20" t="e">
        <f ca="1">AVERAGEIFS(INDIRECT($B$3),INDIRECT($B$3),"&gt;=0",Data!$B:$B,AV9,IF($A$20,Data!$J:$J,Data!#REF!),IF($A$20,"&lt;&gt;5",1))</f>
        <v>#DIV/0!</v>
      </c>
      <c r="AX9">
        <v>1</v>
      </c>
      <c r="AY9" s="20" t="s">
        <v>85</v>
      </c>
      <c r="AZ9" t="e">
        <f ca="1">AVERAGEIFS(INDIRECT($C$3),INDIRECT($C$3),"&gt;=0",Data!$B:$B,AY9,IF($A$20,Data!$J:$J,Data!#REF!),IF($A$20,"&lt;&gt;5",1))</f>
        <v>#DIV/0!</v>
      </c>
      <c r="BA9" s="20">
        <v>1</v>
      </c>
      <c r="BB9" t="s">
        <v>45</v>
      </c>
      <c r="BC9" s="20" t="e">
        <f ca="1">AVERAGEIFS(INDIRECT($D$3),INDIRECT($D$3),"&gt;=0",Data!$B:$B,BB9,IF($A$20,Data!$J:$J,Data!#REF!),IF($A$20,"&lt;&gt;5",1))</f>
        <v>#DIV/0!</v>
      </c>
      <c r="BD9">
        <v>1</v>
      </c>
      <c r="BE9" s="20" t="s">
        <v>111</v>
      </c>
      <c r="BF9" t="e">
        <f ca="1">AVERAGEIFS(INDIRECT($E$3),INDIRECT($E$3),"&gt;=0",Data!$B:$B,BE9,IF($A$20,Data!$J:$J,Data!#REF!),IF($A$20,"&lt;&gt;5",1))</f>
        <v>#DIV/0!</v>
      </c>
      <c r="BG9" s="20">
        <v>1</v>
      </c>
      <c r="BH9" t="s">
        <v>61</v>
      </c>
      <c r="BI9" s="20" t="e">
        <f ca="1">AVERAGEIFS(INDIRECT($F$3),INDIRECT($F$3),"&gt;=0",Data!$B:$B,BH9,IF($A$20,Data!$J:$J,Data!#REF!),IF($A$20,"&lt;&gt;5",1))</f>
        <v>#DIV/0!</v>
      </c>
      <c r="BJ9">
        <v>1</v>
      </c>
      <c r="BK9" s="20" t="s">
        <v>3</v>
      </c>
      <c r="BL9" t="e">
        <f ca="1">AVERAGEIFS(INDIRECT($G$3),INDIRECT($G$3),"&gt;=0",Data!$B:$B,BK9,IF($A$20,Data!$J:$J,Data!#REF!),IF($A$20,"&lt;&gt;5",1))</f>
        <v>#DIV/0!</v>
      </c>
      <c r="BM9" s="20">
        <v>1</v>
      </c>
      <c r="BN9" t="s">
        <v>3</v>
      </c>
      <c r="BO9" t="e">
        <f ca="1">AVERAGEIFS(INDIRECT($H$3),INDIRECT($H$3),"&gt;=0",Data!$B:$B,BN9,IF($A$20,Data!$J:$J,Data!#REF!),IF($A$20,"&lt;&gt;5",1))</f>
        <v>#DIV/0!</v>
      </c>
      <c r="BP9">
        <v>1</v>
      </c>
      <c r="BQ9" t="s">
        <v>4</v>
      </c>
      <c r="BR9" t="e">
        <f ca="1">AVERAGEIFS(INDIRECT($I$3),INDIRECT($I$3),"&gt;=0",Data!$B:$B,BQ9,IF($A$20,Data!$J:$J,Data!#REF!),IF($A$20,"&lt;&gt;5",1))</f>
        <v>#DIV/0!</v>
      </c>
      <c r="BS9">
        <v>1</v>
      </c>
      <c r="BT9" t="s">
        <v>199</v>
      </c>
      <c r="BU9" t="e">
        <f ca="1">AVERAGEIFS(INDIRECT($J$3),INDIRECT($J$3),"&gt;=0",Data!$B:$B,BT9,IF($A$20,Data!$J:$J,Data!#REF!),IF($A$20,"&lt;&gt;5",1))</f>
        <v>#DIV/0!</v>
      </c>
      <c r="BV9">
        <f>AU9</f>
        <v>1</v>
      </c>
    </row>
    <row r="10" spans="1:74" x14ac:dyDescent="0.35">
      <c r="A10" t="s">
        <v>1163</v>
      </c>
      <c r="B10" t="e">
        <f ca="1">AVERAGEIFS(INDIRECT(B8),INDIRECT('Sample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backend'!$G$25,Data!$AK:$AK,1)</f>
        <v>#DIV/0!</v>
      </c>
      <c r="C10" t="e">
        <f ca="1">AVERAGEIFS(INDIRECT(C8),INDIRECT('Sample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backend'!$G$25,Data!$AK:$AK,1)</f>
        <v>#DIV/0!</v>
      </c>
      <c r="D10" t="e">
        <f ca="1">AVERAGEIFS(INDIRECT(D8),INDIRECT('Sample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backend'!$G$25,Data!$AK:$AK,1)</f>
        <v>#DIV/0!</v>
      </c>
      <c r="E10" t="s">
        <v>1632</v>
      </c>
      <c r="J10">
        <f>J9+1</f>
        <v>2</v>
      </c>
      <c r="K10" t="s">
        <v>15</v>
      </c>
      <c r="L10" t="e">
        <f ca="1">AVERAGEIFS(INDIRECT($B$3),INDIRECT($B$3),"&gt;=0",Data!$B:$B,$K10)</f>
        <v>#DIV/0!</v>
      </c>
      <c r="M10" t="e">
        <f ca="1">IF(L10=L9,M9,$J10)</f>
        <v>#DIV/0!</v>
      </c>
      <c r="N10" t="s">
        <v>50</v>
      </c>
      <c r="O10" t="e">
        <f ca="1">AVERAGEIFS(INDIRECT($C$3),INDIRECT($C$3),"&gt;=0",Data!$B:$B,$N10)</f>
        <v>#DIV/0!</v>
      </c>
      <c r="P10" t="e">
        <f t="shared" ref="P10:P73" ca="1" si="1">IF(O10=O9,P9,$J10)</f>
        <v>#DIV/0!</v>
      </c>
      <c r="Q10" t="s">
        <v>52</v>
      </c>
      <c r="R10" t="e">
        <f ca="1">AVERAGEIFS(INDIRECT($D$3),INDIRECT($D$3),"&gt;=0",Data!$B:$B,$Q10)</f>
        <v>#DIV/0!</v>
      </c>
      <c r="S10" t="e">
        <f t="shared" ref="S10:S73" ca="1" si="2">IF(R10=R9,S9,$J10)</f>
        <v>#DIV/0!</v>
      </c>
      <c r="T10" t="s">
        <v>123</v>
      </c>
      <c r="U10" t="e">
        <f ca="1">AVERAGEIFS(INDIRECT($E$3),INDIRECT($E$3),"&gt;=0",Data!$B:$B,$T10)</f>
        <v>#DIV/0!</v>
      </c>
      <c r="V10" t="e">
        <f t="shared" ref="V10:V73" ca="1" si="3">IF(U10=U9,V9,$J10)</f>
        <v>#DIV/0!</v>
      </c>
      <c r="W10" t="s">
        <v>103</v>
      </c>
      <c r="X10" t="e">
        <f ca="1">AVERAGEIFS(INDIRECT($F$3),INDIRECT($F$3),"&gt;=0",Data!$B:$B,$W10)</f>
        <v>#DIV/0!</v>
      </c>
      <c r="Y10" t="e">
        <f t="shared" ref="Y10:Y73" ca="1" si="4">IF(X10=X9,Y9,$J10)</f>
        <v>#DIV/0!</v>
      </c>
      <c r="Z10" t="s">
        <v>15</v>
      </c>
      <c r="AA10" t="e">
        <f ca="1">AVERAGEIFS(INDIRECT($G$3),INDIRECT($G$3),"&gt;=0",Data!$B:$B,$Z10)</f>
        <v>#DIV/0!</v>
      </c>
      <c r="AB10" t="e">
        <f t="shared" ref="AB10:AB73" ca="1" si="5">IF(AA10=AA9,AB9,$J10)</f>
        <v>#DIV/0!</v>
      </c>
      <c r="AC10" t="s">
        <v>6</v>
      </c>
      <c r="AD10" t="e">
        <f ca="1">AVERAGEIFS(INDIRECT($H$3),INDIRECT($H$3),"&gt;=0",Data!$B:$B,$AC10)</f>
        <v>#DIV/0!</v>
      </c>
      <c r="AE10" t="e">
        <f t="shared" ref="AE10:AE73" ca="1" si="6">IF(AD10=AD9,AE9,$J10)</f>
        <v>#DIV/0!</v>
      </c>
      <c r="AF10" t="s">
        <v>15</v>
      </c>
      <c r="AG10" t="e">
        <f ca="1">AVERAGEIFS(INDIRECT($I$3),INDIRECT($I$3),"&gt;=0",Data!$B:$B,$AF10)</f>
        <v>#DIV/0!</v>
      </c>
      <c r="AH10" t="e">
        <f t="shared" ref="AH10:AH73" ca="1" si="7">IF(AG10=AG9,AH9,$J10)</f>
        <v>#DIV/0!</v>
      </c>
      <c r="AI10" t="s">
        <v>198</v>
      </c>
      <c r="AJ10" t="e">
        <f ca="1">AVERAGEIFS(INDIRECT($J$3),INDIRECT($J$3),"&gt;=0",Data!$B:$B,$AI10)</f>
        <v>#DIV/0!</v>
      </c>
      <c r="AK10" t="e">
        <f t="shared" ref="AK10:AK73" ca="1" si="8">IF(AJ10=AJ9,AK9,$J10)</f>
        <v>#DIV/0!</v>
      </c>
      <c r="AL10" t="str">
        <f t="shared" ref="AL10:AL73" ca="1" si="9">IFERROR(IF($A$20,IF(B$4=AW10,AX10,IF(AND(B$4&lt;AW10,B$4&gt;AW11),AX11,0)),IF(B$4=L10,M10,IF(AND(B$4&lt;L10,B$4&gt;L11),M11,0))),"-")</f>
        <v>-</v>
      </c>
      <c r="AM10" t="str">
        <f t="shared" ref="AM10:AM73" ca="1" si="10">IFERROR(IF($A$20,IF(C$4=AZ10,BA10,IF(AND(C$4&lt;AZ10,C$4&gt;AZ11),BA11,0)),IF(C$4=O10,P10,IF(AND(C$4&lt;O10,C$4&gt;O11),P11,0))),"-")</f>
        <v>-</v>
      </c>
      <c r="AN10" t="str">
        <f t="shared" ref="AN10:AN73" ca="1" si="11">IFERROR(IF($A$20,IF(D$4=BC10,BD10,IF(AND(D$4&lt;BC10,D$4&gt;BC11),BD11,0)),IF(D$4=R10,S10,IF(AND(D$4&lt;R10,D$4&gt;R11),S11,0))),"-")</f>
        <v>-</v>
      </c>
      <c r="AO10" t="str">
        <f t="shared" ref="AO10:AO73" ca="1" si="12">IFERROR(IF($A$20,IF(E$4=BF10,BG10,IF(AND(E$4&lt;BF10,E$4&gt;BF11),BG11,0)),IF(E$4=U10,V10,IF(AND(E$4&lt;U10,E$4&gt;U11),V11,0))),"-")</f>
        <v>-</v>
      </c>
      <c r="AP10" t="str">
        <f t="shared" ref="AP10:AP73" ca="1" si="13">IFERROR(IF($A$20,IF(F$4=BI10,BJ10,IF(AND(F$4&lt;BI10,F$4&gt;BI11),BJ11,0)),IF(F$4=X10,Y10,IF(AND(F$4&lt;X10,F$4&gt;X11),Y11,0))),"-")</f>
        <v>-</v>
      </c>
      <c r="AQ10" t="str">
        <f t="shared" ref="AQ10:AQ73" ca="1" si="14">IFERROR(IF($A$20,IF(G$4=BL10,BM10,IF(AND(G$4&lt;BL10,G$4&gt;BL11),BM11,0)),IF(G$4=AA10,AB10,IF(AND(G$4&lt;AA10,G$4&gt;AA11),AB11,0))),"-")</f>
        <v>-</v>
      </c>
      <c r="AR10" t="str">
        <f t="shared" ref="AR10:AR73" ca="1" si="15">IFERROR(IF($A$20,IF(H$4=BO10,BP10,IF(AND(H$4&lt;BO10,H$4&gt;BO11),BP11,0)),IF(H$4=AD10,AE10,IF(AND(H$4&lt;AD10,H$4&gt;AD11),AE11,0))),"-")</f>
        <v>-</v>
      </c>
      <c r="AS10" t="str">
        <f t="shared" ref="AS10:AS73" ca="1" si="16">IFERROR(IF($A$20,IF(I$4=BR10,BS10,IF(AND(I$4&lt;BR10,I$4&gt;BR11),BS11,0)),IF(I$4=AG10,AH10,IF(AND(I$4&lt;AG10,I$4&gt;AG11),AH11,0))),"-")</f>
        <v>-</v>
      </c>
      <c r="AT10" t="str">
        <f t="shared" ref="AT10:AT73" ca="1" si="17">IFERROR(IF($A$20,IF(J$4=BU10,BV10,IF(AND(J$4&lt;BU10,J$4&gt;BU11),BV11,0)),IF(J$4=AJ10,AK10,IF(AND(J$4&lt;AJ10,J$4&gt;AJ11),AK11,0))),"-")</f>
        <v>-</v>
      </c>
      <c r="AU10">
        <f>AU9+1</f>
        <v>2</v>
      </c>
      <c r="AV10" t="s">
        <v>42</v>
      </c>
      <c r="AW10" s="20" t="e">
        <f ca="1">AVERAGEIFS(INDIRECT($B$3),INDIRECT($B$3),"&gt;=0",Data!$B:$B,AV10,IF($A$20,Data!$J:$J,Data!#REF!),IF($A$20,"&lt;&gt;5",1))</f>
        <v>#DIV/0!</v>
      </c>
      <c r="AX10" t="e">
        <f t="shared" ref="AX10:AX73" ca="1" si="18">IF(AW10=AW9,AX9,$J10)</f>
        <v>#DIV/0!</v>
      </c>
      <c r="AY10" s="20" t="s">
        <v>50</v>
      </c>
      <c r="AZ10" t="e">
        <f ca="1">AVERAGEIFS(INDIRECT($C$3),INDIRECT($C$3),"&gt;=0",Data!$B:$B,AY10,IF($A$20,Data!$J:$J,Data!#REF!),IF($A$20,"&lt;&gt;5",1))</f>
        <v>#DIV/0!</v>
      </c>
      <c r="BA10" s="20" t="e">
        <f t="shared" ref="BA10:BA73" ca="1" si="19">IF(AZ10=AZ9,BA9,$J10)</f>
        <v>#DIV/0!</v>
      </c>
      <c r="BB10" t="s">
        <v>52</v>
      </c>
      <c r="BC10" s="20" t="e">
        <f ca="1">AVERAGEIFS(INDIRECT($D$3),INDIRECT($D$3),"&gt;=0",Data!$B:$B,BB10,IF($A$20,Data!$J:$J,Data!#REF!),IF($A$20,"&lt;&gt;5",1))</f>
        <v>#DIV/0!</v>
      </c>
      <c r="BD10" t="e">
        <f t="shared" ref="BD10:BD73" ca="1" si="20">IF(BC10=BC9,BD9,$J10)</f>
        <v>#DIV/0!</v>
      </c>
      <c r="BE10" s="20" t="s">
        <v>123</v>
      </c>
      <c r="BF10" t="e">
        <f ca="1">AVERAGEIFS(INDIRECT($E$3),INDIRECT($E$3),"&gt;=0",Data!$B:$B,BE10,IF($A$20,Data!$J:$J,Data!#REF!),IF($A$20,"&lt;&gt;5",1))</f>
        <v>#DIV/0!</v>
      </c>
      <c r="BG10" s="20" t="e">
        <f t="shared" ref="BG10:BG73" ca="1" si="21">IF(BF10=BF9,BG9,$J10)</f>
        <v>#DIV/0!</v>
      </c>
      <c r="BH10" t="s">
        <v>103</v>
      </c>
      <c r="BI10" s="20" t="e">
        <f ca="1">AVERAGEIFS(INDIRECT($F$3),INDIRECT($F$3),"&gt;=0",Data!$B:$B,BH10,IF($A$20,Data!$J:$J,Data!#REF!),IF($A$20,"&lt;&gt;5",1))</f>
        <v>#DIV/0!</v>
      </c>
      <c r="BJ10" t="e">
        <f t="shared" ref="BJ10:BJ73" ca="1" si="22">IF(BI10=BI9,BJ9,$J10)</f>
        <v>#DIV/0!</v>
      </c>
      <c r="BK10" s="20" t="s">
        <v>29</v>
      </c>
      <c r="BL10" t="e">
        <f ca="1">AVERAGEIFS(INDIRECT($G$3),INDIRECT($G$3),"&gt;=0",Data!$B:$B,BK10,IF($A$20,Data!$J:$J,Data!#REF!),IF($A$20,"&lt;&gt;5",1))</f>
        <v>#DIV/0!</v>
      </c>
      <c r="BM10" s="20" t="e">
        <f t="shared" ref="BM10:BM73" ca="1" si="23">IF(BL10=BL9,BM9,$J10)</f>
        <v>#DIV/0!</v>
      </c>
      <c r="BN10" t="s">
        <v>6</v>
      </c>
      <c r="BO10" t="e">
        <f ca="1">AVERAGEIFS(INDIRECT($H$3),INDIRECT($H$3),"&gt;=0",Data!$B:$B,BN10,IF($A$20,Data!$J:$J,Data!#REF!),IF($A$20,"&lt;&gt;5",1))</f>
        <v>#DIV/0!</v>
      </c>
      <c r="BP10" t="e">
        <f t="shared" ref="BP10:BP73" ca="1" si="24">IF(BO10=BO9,BP9,$J10)</f>
        <v>#DIV/0!</v>
      </c>
      <c r="BQ10" t="s">
        <v>28</v>
      </c>
      <c r="BR10" t="e">
        <f ca="1">AVERAGEIFS(INDIRECT($I$3),INDIRECT($I$3),"&gt;=0",Data!$B:$B,BQ10,IF($A$20,Data!$J:$J,Data!#REF!),IF($A$20,"&lt;&gt;5",1))</f>
        <v>#DIV/0!</v>
      </c>
      <c r="BS10" t="e">
        <f t="shared" ref="BS10:BS73" ca="1" si="25">IF(BR10=BR9,BS9,$J10)</f>
        <v>#DIV/0!</v>
      </c>
      <c r="BT10" t="s">
        <v>198</v>
      </c>
      <c r="BU10" t="e">
        <f ca="1">AVERAGEIFS(INDIRECT($J$3),INDIRECT($J$3),"&gt;=0",Data!$B:$B,BT10,IF($A$20,Data!$J:$J,Data!#REF!),IF($A$20,"&lt;&gt;5",1))</f>
        <v>#DIV/0!</v>
      </c>
      <c r="BV10" t="e">
        <f t="shared" ref="BV10:BV73" ca="1" si="26">IF(BU10=BU9,BV9,$J10)</f>
        <v>#DIV/0!</v>
      </c>
    </row>
    <row r="11" spans="1:74" x14ac:dyDescent="0.35">
      <c r="A11" t="s">
        <v>1161</v>
      </c>
      <c r="J11">
        <f t="shared" ref="J11:J74" si="27">J10+1</f>
        <v>3</v>
      </c>
      <c r="K11" t="s">
        <v>31</v>
      </c>
      <c r="L11" t="e">
        <f ca="1">AVERAGEIFS(INDIRECT($B$3),INDIRECT($B$3),"&gt;=0",Data!$B:$B,$K11)</f>
        <v>#DIV/0!</v>
      </c>
      <c r="M11" t="e">
        <f t="shared" ref="M11:M74" ca="1" si="28">IF(L11=L10,M10,$J11)</f>
        <v>#DIV/0!</v>
      </c>
      <c r="N11" t="s">
        <v>73</v>
      </c>
      <c r="O11" t="e">
        <f ca="1">AVERAGEIFS(INDIRECT($C$3),INDIRECT($C$3),"&gt;=0",Data!$B:$B,$N11)</f>
        <v>#DIV/0!</v>
      </c>
      <c r="P11" t="e">
        <f t="shared" ca="1" si="1"/>
        <v>#DIV/0!</v>
      </c>
      <c r="Q11" t="s">
        <v>61</v>
      </c>
      <c r="R11" t="e">
        <f ca="1">AVERAGEIFS(INDIRECT($D$3),INDIRECT($D$3),"&gt;=0",Data!$B:$B,$Q11)</f>
        <v>#DIV/0!</v>
      </c>
      <c r="S11" t="e">
        <f t="shared" ca="1" si="2"/>
        <v>#DIV/0!</v>
      </c>
      <c r="T11" t="s">
        <v>115</v>
      </c>
      <c r="U11" t="e">
        <f ca="1">AVERAGEIFS(INDIRECT($E$3),INDIRECT($E$3),"&gt;=0",Data!$B:$B,$T11)</f>
        <v>#DIV/0!</v>
      </c>
      <c r="V11" t="e">
        <f t="shared" ca="1" si="3"/>
        <v>#DIV/0!</v>
      </c>
      <c r="W11" t="s">
        <v>111</v>
      </c>
      <c r="X11" t="e">
        <f ca="1">AVERAGEIFS(INDIRECT($F$3),INDIRECT($F$3),"&gt;=0",Data!$B:$B,$W11)</f>
        <v>#DIV/0!</v>
      </c>
      <c r="Y11" t="e">
        <f t="shared" ca="1" si="4"/>
        <v>#DIV/0!</v>
      </c>
      <c r="Z11" t="s">
        <v>29</v>
      </c>
      <c r="AA11" t="e">
        <f ca="1">AVERAGEIFS(INDIRECT($G$3),INDIRECT($G$3),"&gt;=0",Data!$B:$B,$Z11)</f>
        <v>#DIV/0!</v>
      </c>
      <c r="AB11" t="e">
        <f t="shared" ca="1" si="5"/>
        <v>#DIV/0!</v>
      </c>
      <c r="AC11" t="s">
        <v>9</v>
      </c>
      <c r="AD11" t="e">
        <f ca="1">AVERAGEIFS(INDIRECT($H$3),INDIRECT($H$3),"&gt;=0",Data!$B:$B,$AC11)</f>
        <v>#DIV/0!</v>
      </c>
      <c r="AE11" t="e">
        <f t="shared" ca="1" si="6"/>
        <v>#DIV/0!</v>
      </c>
      <c r="AF11" t="s">
        <v>28</v>
      </c>
      <c r="AG11" t="e">
        <f ca="1">AVERAGEIFS(INDIRECT($I$3),INDIRECT($I$3),"&gt;=0",Data!$B:$B,$AF11)</f>
        <v>#DIV/0!</v>
      </c>
      <c r="AH11" t="e">
        <f t="shared" ca="1" si="7"/>
        <v>#DIV/0!</v>
      </c>
      <c r="AI11" t="s">
        <v>196</v>
      </c>
      <c r="AJ11" t="e">
        <f ca="1">AVERAGEIFS(INDIRECT($J$3),INDIRECT($J$3),"&gt;=0",Data!$B:$B,$AI11)</f>
        <v>#DIV/0!</v>
      </c>
      <c r="AK11" t="e">
        <f t="shared" ca="1" si="8"/>
        <v>#DIV/0!</v>
      </c>
      <c r="AL11" t="str">
        <f t="shared" ca="1" si="9"/>
        <v>-</v>
      </c>
      <c r="AM11" t="str">
        <f t="shared" ca="1" si="10"/>
        <v>-</v>
      </c>
      <c r="AN11" t="str">
        <f t="shared" ca="1" si="11"/>
        <v>-</v>
      </c>
      <c r="AO11" t="str">
        <f t="shared" ca="1" si="12"/>
        <v>-</v>
      </c>
      <c r="AP11" t="str">
        <f t="shared" ca="1" si="13"/>
        <v>-</v>
      </c>
      <c r="AQ11" t="str">
        <f t="shared" ca="1" si="14"/>
        <v>-</v>
      </c>
      <c r="AR11" t="str">
        <f t="shared" ca="1" si="15"/>
        <v>-</v>
      </c>
      <c r="AS11" t="str">
        <f t="shared" ca="1" si="16"/>
        <v>-</v>
      </c>
      <c r="AT11" t="str">
        <f t="shared" ca="1" si="17"/>
        <v>-</v>
      </c>
      <c r="AU11">
        <f t="shared" ref="AU11:AU74" si="29">AU10+1</f>
        <v>3</v>
      </c>
      <c r="AV11" t="s">
        <v>66</v>
      </c>
      <c r="AW11" s="20" t="e">
        <f ca="1">AVERAGEIFS(INDIRECT($B$3),INDIRECT($B$3),"&gt;=0",Data!$B:$B,AV11,IF($A$20,Data!$J:$J,Data!#REF!),IF($A$20,"&lt;&gt;5",1))</f>
        <v>#DIV/0!</v>
      </c>
      <c r="AX11" t="e">
        <f t="shared" ca="1" si="18"/>
        <v>#DIV/0!</v>
      </c>
      <c r="AY11" s="20" t="s">
        <v>73</v>
      </c>
      <c r="AZ11" t="e">
        <f ca="1">AVERAGEIFS(INDIRECT($C$3),INDIRECT($C$3),"&gt;=0",Data!$B:$B,AY11,IF($A$20,Data!$J:$J,Data!#REF!),IF($A$20,"&lt;&gt;5",1))</f>
        <v>#DIV/0!</v>
      </c>
      <c r="BA11" s="20" t="e">
        <f t="shared" ca="1" si="19"/>
        <v>#DIV/0!</v>
      </c>
      <c r="BB11" t="s">
        <v>61</v>
      </c>
      <c r="BC11" s="20" t="e">
        <f ca="1">AVERAGEIFS(INDIRECT($D$3),INDIRECT($D$3),"&gt;=0",Data!$B:$B,BB11,IF($A$20,Data!$J:$J,Data!#REF!),IF($A$20,"&lt;&gt;5",1))</f>
        <v>#DIV/0!</v>
      </c>
      <c r="BD11" t="e">
        <f t="shared" ca="1" si="20"/>
        <v>#DIV/0!</v>
      </c>
      <c r="BE11" s="20" t="s">
        <v>165</v>
      </c>
      <c r="BF11" t="e">
        <f ca="1">AVERAGEIFS(INDIRECT($E$3),INDIRECT($E$3),"&gt;=0",Data!$B:$B,BE11,IF($A$20,Data!$J:$J,Data!#REF!),IF($A$20,"&lt;&gt;5",1))</f>
        <v>#DIV/0!</v>
      </c>
      <c r="BG11" s="20" t="e">
        <f t="shared" ca="1" si="21"/>
        <v>#DIV/0!</v>
      </c>
      <c r="BH11" t="s">
        <v>111</v>
      </c>
      <c r="BI11" s="20" t="e">
        <f ca="1">AVERAGEIFS(INDIRECT($F$3),INDIRECT($F$3),"&gt;=0",Data!$B:$B,BH11,IF($A$20,Data!$J:$J,Data!#REF!),IF($A$20,"&lt;&gt;5",1))</f>
        <v>#DIV/0!</v>
      </c>
      <c r="BJ11" t="e">
        <f t="shared" ca="1" si="22"/>
        <v>#DIV/0!</v>
      </c>
      <c r="BK11" s="20" t="s">
        <v>36</v>
      </c>
      <c r="BL11" t="e">
        <f ca="1">AVERAGEIFS(INDIRECT($G$3),INDIRECT($G$3),"&gt;=0",Data!$B:$B,BK11,IF($A$20,Data!$J:$J,Data!#REF!),IF($A$20,"&lt;&gt;5",1))</f>
        <v>#DIV/0!</v>
      </c>
      <c r="BM11" s="20" t="e">
        <f t="shared" ca="1" si="23"/>
        <v>#DIV/0!</v>
      </c>
      <c r="BN11" t="s">
        <v>9</v>
      </c>
      <c r="BO11" t="e">
        <f ca="1">AVERAGEIFS(INDIRECT($H$3),INDIRECT($H$3),"&gt;=0",Data!$B:$B,BN11,IF($A$20,Data!$J:$J,Data!#REF!),IF($A$20,"&lt;&gt;5",1))</f>
        <v>#DIV/0!</v>
      </c>
      <c r="BP11" t="e">
        <f t="shared" ca="1" si="24"/>
        <v>#DIV/0!</v>
      </c>
      <c r="BQ11" t="s">
        <v>29</v>
      </c>
      <c r="BR11" t="e">
        <f ca="1">AVERAGEIFS(INDIRECT($I$3),INDIRECT($I$3),"&gt;=0",Data!$B:$B,BQ11,IF($A$20,Data!$J:$J,Data!#REF!),IF($A$20,"&lt;&gt;5",1))</f>
        <v>#DIV/0!</v>
      </c>
      <c r="BS11" t="e">
        <f t="shared" ca="1" si="25"/>
        <v>#DIV/0!</v>
      </c>
      <c r="BT11" t="s">
        <v>149</v>
      </c>
      <c r="BU11" t="e">
        <f ca="1">AVERAGEIFS(INDIRECT($J$3),INDIRECT($J$3),"&gt;=0",Data!$B:$B,BT11,IF($A$20,Data!$J:$J,Data!#REF!),IF($A$20,"&lt;&gt;5",1))</f>
        <v>#DIV/0!</v>
      </c>
      <c r="BV11" t="e">
        <f t="shared" ca="1" si="26"/>
        <v>#DIV/0!</v>
      </c>
    </row>
    <row r="12" spans="1:74" x14ac:dyDescent="0.35">
      <c r="A12" t="s">
        <v>1164</v>
      </c>
      <c r="J12">
        <f t="shared" si="27"/>
        <v>4</v>
      </c>
      <c r="K12" t="s">
        <v>42</v>
      </c>
      <c r="L12" t="e">
        <f ca="1">AVERAGEIFS(INDIRECT($B$3),INDIRECT($B$3),"&gt;=0",Data!$B:$B,$K12)</f>
        <v>#DIV/0!</v>
      </c>
      <c r="M12" t="e">
        <f t="shared" ca="1" si="28"/>
        <v>#DIV/0!</v>
      </c>
      <c r="N12" t="s">
        <v>141</v>
      </c>
      <c r="O12" t="e">
        <f ca="1">AVERAGEIFS(INDIRECT($C$3),INDIRECT($C$3),"&gt;=0",Data!$B:$B,$N12)</f>
        <v>#DIV/0!</v>
      </c>
      <c r="P12" t="e">
        <f t="shared" ca="1" si="1"/>
        <v>#DIV/0!</v>
      </c>
      <c r="Q12" t="s">
        <v>86</v>
      </c>
      <c r="R12" t="e">
        <f ca="1">AVERAGEIFS(INDIRECT($D$3),INDIRECT($D$3),"&gt;=0",Data!$B:$B,$Q12)</f>
        <v>#DIV/0!</v>
      </c>
      <c r="S12" t="e">
        <f t="shared" ca="1" si="2"/>
        <v>#DIV/0!</v>
      </c>
      <c r="T12" t="s">
        <v>28</v>
      </c>
      <c r="U12" t="e">
        <f ca="1">AVERAGEIFS(INDIRECT($E$3),INDIRECT($E$3),"&gt;=0",Data!$B:$B,$T12)</f>
        <v>#DIV/0!</v>
      </c>
      <c r="V12" t="e">
        <f t="shared" ca="1" si="3"/>
        <v>#DIV/0!</v>
      </c>
      <c r="W12" t="s">
        <v>132</v>
      </c>
      <c r="X12" t="e">
        <f ca="1">AVERAGEIFS(INDIRECT($F$3),INDIRECT($F$3),"&gt;=0",Data!$B:$B,$W12)</f>
        <v>#DIV/0!</v>
      </c>
      <c r="Y12" t="e">
        <f t="shared" ca="1" si="4"/>
        <v>#DIV/0!</v>
      </c>
      <c r="Z12" t="s">
        <v>31</v>
      </c>
      <c r="AA12" t="e">
        <f ca="1">AVERAGEIFS(INDIRECT($G$3),INDIRECT($G$3),"&gt;=0",Data!$B:$B,$Z12)</f>
        <v>#DIV/0!</v>
      </c>
      <c r="AB12" t="e">
        <f t="shared" ca="1" si="5"/>
        <v>#DIV/0!</v>
      </c>
      <c r="AC12" t="s">
        <v>10</v>
      </c>
      <c r="AD12" t="e">
        <f ca="1">AVERAGEIFS(INDIRECT($H$3),INDIRECT($H$3),"&gt;=0",Data!$B:$B,$AC12)</f>
        <v>#DIV/0!</v>
      </c>
      <c r="AE12" t="e">
        <f t="shared" ca="1" si="6"/>
        <v>#DIV/0!</v>
      </c>
      <c r="AF12" t="s">
        <v>29</v>
      </c>
      <c r="AG12" t="e">
        <f ca="1">AVERAGEIFS(INDIRECT($I$3),INDIRECT($I$3),"&gt;=0",Data!$B:$B,$AF12)</f>
        <v>#DIV/0!</v>
      </c>
      <c r="AH12" t="e">
        <f t="shared" ca="1" si="7"/>
        <v>#DIV/0!</v>
      </c>
      <c r="AI12" t="s">
        <v>149</v>
      </c>
      <c r="AJ12" t="e">
        <f ca="1">AVERAGEIFS(INDIRECT($J$3),INDIRECT($J$3),"&gt;=0",Data!$B:$B,$AI12)</f>
        <v>#DIV/0!</v>
      </c>
      <c r="AK12" t="e">
        <f t="shared" ca="1" si="8"/>
        <v>#DIV/0!</v>
      </c>
      <c r="AL12" t="str">
        <f t="shared" ca="1" si="9"/>
        <v>-</v>
      </c>
      <c r="AM12" t="str">
        <f t="shared" ca="1" si="10"/>
        <v>-</v>
      </c>
      <c r="AN12" t="str">
        <f t="shared" ca="1" si="11"/>
        <v>-</v>
      </c>
      <c r="AO12" t="str">
        <f t="shared" ca="1" si="12"/>
        <v>-</v>
      </c>
      <c r="AP12" t="str">
        <f t="shared" ca="1" si="13"/>
        <v>-</v>
      </c>
      <c r="AQ12" t="str">
        <f t="shared" ca="1" si="14"/>
        <v>-</v>
      </c>
      <c r="AR12" t="str">
        <f t="shared" ca="1" si="15"/>
        <v>-</v>
      </c>
      <c r="AS12" t="str">
        <f t="shared" ca="1" si="16"/>
        <v>-</v>
      </c>
      <c r="AT12" t="str">
        <f t="shared" ca="1" si="17"/>
        <v>-</v>
      </c>
      <c r="AU12">
        <f t="shared" si="29"/>
        <v>4</v>
      </c>
      <c r="AV12" t="s">
        <v>68</v>
      </c>
      <c r="AW12" s="20" t="e">
        <f ca="1">AVERAGEIFS(INDIRECT($B$3),INDIRECT($B$3),"&gt;=0",Data!$B:$B,AV12,IF($A$20,Data!$J:$J,Data!#REF!),IF($A$20,"&lt;&gt;5",1))</f>
        <v>#DIV/0!</v>
      </c>
      <c r="AX12" t="e">
        <f t="shared" ca="1" si="18"/>
        <v>#DIV/0!</v>
      </c>
      <c r="AY12" s="20" t="s">
        <v>141</v>
      </c>
      <c r="AZ12" t="e">
        <f ca="1">AVERAGEIFS(INDIRECT($C$3),INDIRECT($C$3),"&gt;=0",Data!$B:$B,AY12,IF($A$20,Data!$J:$J,Data!#REF!),IF($A$20,"&lt;&gt;5",1))</f>
        <v>#DIV/0!</v>
      </c>
      <c r="BA12" s="20" t="e">
        <f t="shared" ca="1" si="19"/>
        <v>#DIV/0!</v>
      </c>
      <c r="BB12" t="s">
        <v>86</v>
      </c>
      <c r="BC12" s="20" t="e">
        <f ca="1">AVERAGEIFS(INDIRECT($D$3),INDIRECT($D$3),"&gt;=0",Data!$B:$B,BB12,IF($A$20,Data!$J:$J,Data!#REF!),IF($A$20,"&lt;&gt;5",1))</f>
        <v>#DIV/0!</v>
      </c>
      <c r="BD12" t="e">
        <f t="shared" ca="1" si="20"/>
        <v>#DIV/0!</v>
      </c>
      <c r="BE12" s="20" t="s">
        <v>131</v>
      </c>
      <c r="BF12" t="e">
        <f ca="1">AVERAGEIFS(INDIRECT($E$3),INDIRECT($E$3),"&gt;=0",Data!$B:$B,BE12,IF($A$20,Data!$J:$J,Data!#REF!),IF($A$20,"&lt;&gt;5",1))</f>
        <v>#DIV/0!</v>
      </c>
      <c r="BG12" s="20" t="e">
        <f t="shared" ca="1" si="21"/>
        <v>#DIV/0!</v>
      </c>
      <c r="BH12" t="s">
        <v>132</v>
      </c>
      <c r="BI12" s="20" t="e">
        <f ca="1">AVERAGEIFS(INDIRECT($F$3),INDIRECT($F$3),"&gt;=0",Data!$B:$B,BH12,IF($A$20,Data!$J:$J,Data!#REF!),IF($A$20,"&lt;&gt;5",1))</f>
        <v>#DIV/0!</v>
      </c>
      <c r="BJ12" t="e">
        <f t="shared" ca="1" si="22"/>
        <v>#DIV/0!</v>
      </c>
      <c r="BK12" s="20" t="s">
        <v>37</v>
      </c>
      <c r="BL12" t="e">
        <f ca="1">AVERAGEIFS(INDIRECT($G$3),INDIRECT($G$3),"&gt;=0",Data!$B:$B,BK12,IF($A$20,Data!$J:$J,Data!#REF!),IF($A$20,"&lt;&gt;5",1))</f>
        <v>#DIV/0!</v>
      </c>
      <c r="BM12" s="20" t="e">
        <f t="shared" ca="1" si="23"/>
        <v>#DIV/0!</v>
      </c>
      <c r="BN12" t="s">
        <v>10</v>
      </c>
      <c r="BO12" t="e">
        <f ca="1">AVERAGEIFS(INDIRECT($H$3),INDIRECT($H$3),"&gt;=0",Data!$B:$B,BN12,IF($A$20,Data!$J:$J,Data!#REF!),IF($A$20,"&lt;&gt;5",1))</f>
        <v>#DIV/0!</v>
      </c>
      <c r="BP12" t="e">
        <f t="shared" ca="1" si="24"/>
        <v>#DIV/0!</v>
      </c>
      <c r="BQ12" t="s">
        <v>36</v>
      </c>
      <c r="BR12" t="e">
        <f ca="1">AVERAGEIFS(INDIRECT($I$3),INDIRECT($I$3),"&gt;=0",Data!$B:$B,BQ12,IF($A$20,Data!$J:$J,Data!#REF!),IF($A$20,"&lt;&gt;5",1))</f>
        <v>#DIV/0!</v>
      </c>
      <c r="BS12" t="e">
        <f t="shared" ca="1" si="25"/>
        <v>#DIV/0!</v>
      </c>
      <c r="BT12" t="s">
        <v>192</v>
      </c>
      <c r="BU12" t="e">
        <f ca="1">AVERAGEIFS(INDIRECT($J$3),INDIRECT($J$3),"&gt;=0",Data!$B:$B,BT12,IF($A$20,Data!$J:$J,Data!#REF!),IF($A$20,"&lt;&gt;5",1))</f>
        <v>#DIV/0!</v>
      </c>
      <c r="BV12" t="e">
        <f t="shared" ca="1" si="26"/>
        <v>#DIV/0!</v>
      </c>
    </row>
    <row r="13" spans="1:74" x14ac:dyDescent="0.35">
      <c r="A13" t="s">
        <v>1162</v>
      </c>
      <c r="J13">
        <f t="shared" si="27"/>
        <v>5</v>
      </c>
      <c r="K13" t="s">
        <v>66</v>
      </c>
      <c r="L13" t="e">
        <f ca="1">AVERAGEIFS(INDIRECT($B$3),INDIRECT($B$3),"&gt;=0",Data!$B:$B,$K13)</f>
        <v>#DIV/0!</v>
      </c>
      <c r="M13" t="e">
        <f t="shared" ca="1" si="28"/>
        <v>#DIV/0!</v>
      </c>
      <c r="N13" t="s">
        <v>150</v>
      </c>
      <c r="O13" t="e">
        <f ca="1">AVERAGEIFS(INDIRECT($C$3),INDIRECT($C$3),"&gt;=0",Data!$B:$B,$N13)</f>
        <v>#DIV/0!</v>
      </c>
      <c r="P13" t="e">
        <f t="shared" ca="1" si="1"/>
        <v>#DIV/0!</v>
      </c>
      <c r="Q13" t="s">
        <v>111</v>
      </c>
      <c r="R13" t="e">
        <f ca="1">AVERAGEIFS(INDIRECT($D$3),INDIRECT($D$3),"&gt;=0",Data!$B:$B,$Q13)</f>
        <v>#DIV/0!</v>
      </c>
      <c r="S13" t="e">
        <f t="shared" ca="1" si="2"/>
        <v>#DIV/0!</v>
      </c>
      <c r="T13" t="s">
        <v>53</v>
      </c>
      <c r="U13" t="e">
        <f ca="1">AVERAGEIFS(INDIRECT($E$3),INDIRECT($E$3),"&gt;=0",Data!$B:$B,$T13)</f>
        <v>#DIV/0!</v>
      </c>
      <c r="V13" t="e">
        <f t="shared" ca="1" si="3"/>
        <v>#DIV/0!</v>
      </c>
      <c r="W13" t="s">
        <v>159</v>
      </c>
      <c r="X13" t="e">
        <f ca="1">AVERAGEIFS(INDIRECT($F$3),INDIRECT($F$3),"&gt;=0",Data!$B:$B,$W13)</f>
        <v>#DIV/0!</v>
      </c>
      <c r="Y13" t="e">
        <f t="shared" ca="1" si="4"/>
        <v>#DIV/0!</v>
      </c>
      <c r="Z13" t="s">
        <v>36</v>
      </c>
      <c r="AA13" t="e">
        <f ca="1">AVERAGEIFS(INDIRECT($G$3),INDIRECT($G$3),"&gt;=0",Data!$B:$B,$Z13)</f>
        <v>#DIV/0!</v>
      </c>
      <c r="AB13" t="e">
        <f t="shared" ca="1" si="5"/>
        <v>#DIV/0!</v>
      </c>
      <c r="AC13" t="s">
        <v>13</v>
      </c>
      <c r="AD13" t="e">
        <f ca="1">AVERAGEIFS(INDIRECT($H$3),INDIRECT($H$3),"&gt;=0",Data!$B:$B,$AC13)</f>
        <v>#DIV/0!</v>
      </c>
      <c r="AE13" t="e">
        <f t="shared" ca="1" si="6"/>
        <v>#DIV/0!</v>
      </c>
      <c r="AF13" t="s">
        <v>31</v>
      </c>
      <c r="AG13" t="e">
        <f ca="1">AVERAGEIFS(INDIRECT($I$3),INDIRECT($I$3),"&gt;=0",Data!$B:$B,$AF13)</f>
        <v>#DIV/0!</v>
      </c>
      <c r="AH13" t="e">
        <f t="shared" ca="1" si="7"/>
        <v>#DIV/0!</v>
      </c>
      <c r="AI13" t="s">
        <v>192</v>
      </c>
      <c r="AJ13" t="e">
        <f ca="1">AVERAGEIFS(INDIRECT($J$3),INDIRECT($J$3),"&gt;=0",Data!$B:$B,$AI13)</f>
        <v>#DIV/0!</v>
      </c>
      <c r="AK13" t="e">
        <f t="shared" ca="1" si="8"/>
        <v>#DIV/0!</v>
      </c>
      <c r="AL13" t="str">
        <f t="shared" ca="1" si="9"/>
        <v>-</v>
      </c>
      <c r="AM13" t="str">
        <f t="shared" ca="1" si="10"/>
        <v>-</v>
      </c>
      <c r="AN13" t="str">
        <f t="shared" ca="1" si="11"/>
        <v>-</v>
      </c>
      <c r="AO13" t="str">
        <f t="shared" ca="1" si="12"/>
        <v>-</v>
      </c>
      <c r="AP13" t="str">
        <f t="shared" ca="1" si="13"/>
        <v>-</v>
      </c>
      <c r="AQ13" t="str">
        <f t="shared" ca="1" si="14"/>
        <v>-</v>
      </c>
      <c r="AR13" t="str">
        <f t="shared" ca="1" si="15"/>
        <v>-</v>
      </c>
      <c r="AS13" t="str">
        <f t="shared" ca="1" si="16"/>
        <v>-</v>
      </c>
      <c r="AT13" t="str">
        <f t="shared" ca="1" si="17"/>
        <v>-</v>
      </c>
      <c r="AU13">
        <f t="shared" si="29"/>
        <v>5</v>
      </c>
      <c r="AV13" t="s">
        <v>77</v>
      </c>
      <c r="AW13" s="20" t="e">
        <f ca="1">AVERAGEIFS(INDIRECT($B$3),INDIRECT($B$3),"&gt;=0",Data!$B:$B,AV13,IF($A$20,Data!$J:$J,Data!#REF!),IF($A$20,"&lt;&gt;5",1))</f>
        <v>#DIV/0!</v>
      </c>
      <c r="AX13" t="e">
        <f t="shared" ca="1" si="18"/>
        <v>#DIV/0!</v>
      </c>
      <c r="AY13" s="20" t="s">
        <v>150</v>
      </c>
      <c r="AZ13" t="e">
        <f ca="1">AVERAGEIFS(INDIRECT($C$3),INDIRECT($C$3),"&gt;=0",Data!$B:$B,AY13,IF($A$20,Data!$J:$J,Data!#REF!),IF($A$20,"&lt;&gt;5",1))</f>
        <v>#DIV/0!</v>
      </c>
      <c r="BA13" s="20" t="e">
        <f t="shared" ca="1" si="19"/>
        <v>#DIV/0!</v>
      </c>
      <c r="BB13" t="s">
        <v>111</v>
      </c>
      <c r="BC13" s="20" t="e">
        <f ca="1">AVERAGEIFS(INDIRECT($D$3),INDIRECT($D$3),"&gt;=0",Data!$B:$B,BB13,IF($A$20,Data!$J:$J,Data!#REF!),IF($A$20,"&lt;&gt;5",1))</f>
        <v>#DIV/0!</v>
      </c>
      <c r="BD13" t="e">
        <f t="shared" ca="1" si="20"/>
        <v>#DIV/0!</v>
      </c>
      <c r="BE13" s="20" t="s">
        <v>115</v>
      </c>
      <c r="BF13" t="e">
        <f ca="1">AVERAGEIFS(INDIRECT($E$3),INDIRECT($E$3),"&gt;=0",Data!$B:$B,BE13,IF($A$20,Data!$J:$J,Data!#REF!),IF($A$20,"&lt;&gt;5",1))</f>
        <v>#DIV/0!</v>
      </c>
      <c r="BG13" s="20" t="e">
        <f t="shared" ca="1" si="21"/>
        <v>#DIV/0!</v>
      </c>
      <c r="BH13" t="s">
        <v>159</v>
      </c>
      <c r="BI13" s="20" t="e">
        <f ca="1">AVERAGEIFS(INDIRECT($F$3),INDIRECT($F$3),"&gt;=0",Data!$B:$B,BH13,IF($A$20,Data!$J:$J,Data!#REF!),IF($A$20,"&lt;&gt;5",1))</f>
        <v>#DIV/0!</v>
      </c>
      <c r="BJ13" t="e">
        <f t="shared" ca="1" si="22"/>
        <v>#DIV/0!</v>
      </c>
      <c r="BK13" s="20" t="s">
        <v>46</v>
      </c>
      <c r="BL13" t="e">
        <f ca="1">AVERAGEIFS(INDIRECT($G$3),INDIRECT($G$3),"&gt;=0",Data!$B:$B,BK13,IF($A$20,Data!$J:$J,Data!#REF!),IF($A$20,"&lt;&gt;5",1))</f>
        <v>#DIV/0!</v>
      </c>
      <c r="BM13" s="20" t="e">
        <f t="shared" ca="1" si="23"/>
        <v>#DIV/0!</v>
      </c>
      <c r="BN13" t="s">
        <v>13</v>
      </c>
      <c r="BO13" t="e">
        <f ca="1">AVERAGEIFS(INDIRECT($H$3),INDIRECT($H$3),"&gt;=0",Data!$B:$B,BN13,IF($A$20,Data!$J:$J,Data!#REF!),IF($A$20,"&lt;&gt;5",1))</f>
        <v>#DIV/0!</v>
      </c>
      <c r="BP13" t="e">
        <f t="shared" ca="1" si="24"/>
        <v>#DIV/0!</v>
      </c>
      <c r="BQ13" t="s">
        <v>37</v>
      </c>
      <c r="BR13" t="e">
        <f ca="1">AVERAGEIFS(INDIRECT($I$3),INDIRECT($I$3),"&gt;=0",Data!$B:$B,BQ13,IF($A$20,Data!$J:$J,Data!#REF!),IF($A$20,"&lt;&gt;5",1))</f>
        <v>#DIV/0!</v>
      </c>
      <c r="BS13" t="e">
        <f t="shared" ca="1" si="25"/>
        <v>#DIV/0!</v>
      </c>
      <c r="BT13" t="s">
        <v>193</v>
      </c>
      <c r="BU13" t="e">
        <f ca="1">AVERAGEIFS(INDIRECT($J$3),INDIRECT($J$3),"&gt;=0",Data!$B:$B,BT13,IF($A$20,Data!$J:$J,Data!#REF!),IF($A$20,"&lt;&gt;5",1))</f>
        <v>#DIV/0!</v>
      </c>
      <c r="BV13" t="e">
        <f t="shared" ca="1" si="26"/>
        <v>#DIV/0!</v>
      </c>
    </row>
    <row r="14" spans="1:74" x14ac:dyDescent="0.35">
      <c r="A14" t="s">
        <v>1165</v>
      </c>
      <c r="J14">
        <f t="shared" si="27"/>
        <v>6</v>
      </c>
      <c r="K14" t="s">
        <v>68</v>
      </c>
      <c r="L14" t="e">
        <f ca="1">AVERAGEIFS(INDIRECT($B$3),INDIRECT($B$3),"&gt;=0",Data!$B:$B,$K14)</f>
        <v>#DIV/0!</v>
      </c>
      <c r="M14" t="e">
        <f t="shared" ca="1" si="28"/>
        <v>#DIV/0!</v>
      </c>
      <c r="N14" t="s">
        <v>174</v>
      </c>
      <c r="O14" t="e">
        <f ca="1">AVERAGEIFS(INDIRECT($C$3),INDIRECT($C$3),"&gt;=0",Data!$B:$B,$N14)</f>
        <v>#DIV/0!</v>
      </c>
      <c r="P14" t="e">
        <f t="shared" ca="1" si="1"/>
        <v>#DIV/0!</v>
      </c>
      <c r="Q14" t="s">
        <v>132</v>
      </c>
      <c r="R14" t="e">
        <f ca="1">AVERAGEIFS(INDIRECT($D$3),INDIRECT($D$3),"&gt;=0",Data!$B:$B,$Q14)</f>
        <v>#DIV/0!</v>
      </c>
      <c r="S14" t="e">
        <f t="shared" ca="1" si="2"/>
        <v>#DIV/0!</v>
      </c>
      <c r="T14" t="s">
        <v>34</v>
      </c>
      <c r="U14" t="e">
        <f ca="1">AVERAGEIFS(INDIRECT($E$3),INDIRECT($E$3),"&gt;=0",Data!$B:$B,$T14)</f>
        <v>#DIV/0!</v>
      </c>
      <c r="V14" t="e">
        <f t="shared" ca="1" si="3"/>
        <v>#DIV/0!</v>
      </c>
      <c r="W14" t="s">
        <v>176</v>
      </c>
      <c r="X14" t="e">
        <f ca="1">AVERAGEIFS(INDIRECT($F$3),INDIRECT($F$3),"&gt;=0",Data!$B:$B,$W14)</f>
        <v>#DIV/0!</v>
      </c>
      <c r="Y14" t="e">
        <f t="shared" ca="1" si="4"/>
        <v>#DIV/0!</v>
      </c>
      <c r="Z14" t="s">
        <v>37</v>
      </c>
      <c r="AA14" t="e">
        <f ca="1">AVERAGEIFS(INDIRECT($G$3),INDIRECT($G$3),"&gt;=0",Data!$B:$B,$Z14)</f>
        <v>#DIV/0!</v>
      </c>
      <c r="AB14" t="e">
        <f t="shared" ca="1" si="5"/>
        <v>#DIV/0!</v>
      </c>
      <c r="AC14" t="s">
        <v>15</v>
      </c>
      <c r="AD14" t="e">
        <f ca="1">AVERAGEIFS(INDIRECT($H$3),INDIRECT($H$3),"&gt;=0",Data!$B:$B,$AC14)</f>
        <v>#DIV/0!</v>
      </c>
      <c r="AE14" t="e">
        <f t="shared" ca="1" si="6"/>
        <v>#DIV/0!</v>
      </c>
      <c r="AF14" t="s">
        <v>36</v>
      </c>
      <c r="AG14" t="e">
        <f ca="1">AVERAGEIFS(INDIRECT($I$3),INDIRECT($I$3),"&gt;=0",Data!$B:$B,$AF14)</f>
        <v>#DIV/0!</v>
      </c>
      <c r="AH14" t="e">
        <f t="shared" ca="1" si="7"/>
        <v>#DIV/0!</v>
      </c>
      <c r="AI14" t="s">
        <v>193</v>
      </c>
      <c r="AJ14" t="e">
        <f ca="1">AVERAGEIFS(INDIRECT($J$3),INDIRECT($J$3),"&gt;=0",Data!$B:$B,$AI14)</f>
        <v>#DIV/0!</v>
      </c>
      <c r="AK14" t="e">
        <f t="shared" ca="1" si="8"/>
        <v>#DIV/0!</v>
      </c>
      <c r="AL14" t="str">
        <f t="shared" ca="1" si="9"/>
        <v>-</v>
      </c>
      <c r="AM14" t="str">
        <f t="shared" ca="1" si="10"/>
        <v>-</v>
      </c>
      <c r="AN14" t="str">
        <f t="shared" ca="1" si="11"/>
        <v>-</v>
      </c>
      <c r="AO14" t="str">
        <f t="shared" ca="1" si="12"/>
        <v>-</v>
      </c>
      <c r="AP14" t="str">
        <f t="shared" ca="1" si="13"/>
        <v>-</v>
      </c>
      <c r="AQ14" t="str">
        <f t="shared" ca="1" si="14"/>
        <v>-</v>
      </c>
      <c r="AR14" t="str">
        <f t="shared" ca="1" si="15"/>
        <v>-</v>
      </c>
      <c r="AS14" t="str">
        <f t="shared" ca="1" si="16"/>
        <v>-</v>
      </c>
      <c r="AT14" t="str">
        <f t="shared" ca="1" si="17"/>
        <v>-</v>
      </c>
      <c r="AU14">
        <f t="shared" si="29"/>
        <v>6</v>
      </c>
      <c r="AV14" t="s">
        <v>84</v>
      </c>
      <c r="AW14" s="20" t="e">
        <f ca="1">AVERAGEIFS(INDIRECT($B$3),INDIRECT($B$3),"&gt;=0",Data!$B:$B,AV14,IF($A$20,Data!$J:$J,Data!#REF!),IF($A$20,"&lt;&gt;5",1))</f>
        <v>#DIV/0!</v>
      </c>
      <c r="AX14" t="e">
        <f t="shared" ca="1" si="18"/>
        <v>#DIV/0!</v>
      </c>
      <c r="AY14" s="20" t="s">
        <v>174</v>
      </c>
      <c r="AZ14" t="e">
        <f ca="1">AVERAGEIFS(INDIRECT($C$3),INDIRECT($C$3),"&gt;=0",Data!$B:$B,AY14,IF($A$20,Data!$J:$J,Data!#REF!),IF($A$20,"&lt;&gt;5",1))</f>
        <v>#DIV/0!</v>
      </c>
      <c r="BA14" s="20" t="e">
        <f t="shared" ca="1" si="19"/>
        <v>#DIV/0!</v>
      </c>
      <c r="BB14" t="s">
        <v>132</v>
      </c>
      <c r="BC14" s="20" t="e">
        <f ca="1">AVERAGEIFS(INDIRECT($D$3),INDIRECT($D$3),"&gt;=0",Data!$B:$B,BB14,IF($A$20,Data!$J:$J,Data!#REF!),IF($A$20,"&lt;&gt;5",1))</f>
        <v>#DIV/0!</v>
      </c>
      <c r="BD14" t="e">
        <f t="shared" ca="1" si="20"/>
        <v>#DIV/0!</v>
      </c>
      <c r="BE14" s="20" t="s">
        <v>127</v>
      </c>
      <c r="BF14" t="e">
        <f ca="1">AVERAGEIFS(INDIRECT($E$3),INDIRECT($E$3),"&gt;=0",Data!$B:$B,BE14,IF($A$20,Data!$J:$J,Data!#REF!),IF($A$20,"&lt;&gt;5",1))</f>
        <v>#DIV/0!</v>
      </c>
      <c r="BG14" s="20" t="e">
        <f t="shared" ca="1" si="21"/>
        <v>#DIV/0!</v>
      </c>
      <c r="BH14" t="s">
        <v>176</v>
      </c>
      <c r="BI14" s="20" t="e">
        <f ca="1">AVERAGEIFS(INDIRECT($F$3),INDIRECT($F$3),"&gt;=0",Data!$B:$B,BH14,IF($A$20,Data!$J:$J,Data!#REF!),IF($A$20,"&lt;&gt;5",1))</f>
        <v>#DIV/0!</v>
      </c>
      <c r="BJ14" t="e">
        <f t="shared" ca="1" si="22"/>
        <v>#DIV/0!</v>
      </c>
      <c r="BK14" s="20" t="s">
        <v>50</v>
      </c>
      <c r="BL14">
        <f ca="1">AVERAGEIFS(INDIRECT($G$3),INDIRECT($G$3),"&gt;=0",Data!$B:$B,BK14,IF($A$20,Data!$J:$J,Data!#REF!),IF($A$20,"&lt;&gt;5",1))</f>
        <v>0.61538461538461542</v>
      </c>
      <c r="BM14" s="20" t="e">
        <f t="shared" ca="1" si="23"/>
        <v>#DIV/0!</v>
      </c>
      <c r="BN14" t="s">
        <v>17</v>
      </c>
      <c r="BO14" t="e">
        <f ca="1">AVERAGEIFS(INDIRECT($H$3),INDIRECT($H$3),"&gt;=0",Data!$B:$B,BN14,IF($A$20,Data!$J:$J,Data!#REF!),IF($A$20,"&lt;&gt;5",1))</f>
        <v>#DIV/0!</v>
      </c>
      <c r="BP14" t="e">
        <f t="shared" ca="1" si="24"/>
        <v>#DIV/0!</v>
      </c>
      <c r="BQ14" t="s">
        <v>39</v>
      </c>
      <c r="BR14" t="e">
        <f ca="1">AVERAGEIFS(INDIRECT($I$3),INDIRECT($I$3),"&gt;=0",Data!$B:$B,BQ14,IF($A$20,Data!$J:$J,Data!#REF!),IF($A$20,"&lt;&gt;5",1))</f>
        <v>#DIV/0!</v>
      </c>
      <c r="BS14" t="e">
        <f t="shared" ca="1" si="25"/>
        <v>#DIV/0!</v>
      </c>
      <c r="BT14" t="s">
        <v>188</v>
      </c>
      <c r="BU14" t="e">
        <f ca="1">AVERAGEIFS(INDIRECT($J$3),INDIRECT($J$3),"&gt;=0",Data!$B:$B,BT14,IF($A$20,Data!$J:$J,Data!#REF!),IF($A$20,"&lt;&gt;5",1))</f>
        <v>#DIV/0!</v>
      </c>
      <c r="BV14" t="e">
        <f t="shared" ca="1" si="26"/>
        <v>#DIV/0!</v>
      </c>
    </row>
    <row r="15" spans="1:74" x14ac:dyDescent="0.35">
      <c r="J15">
        <f t="shared" si="27"/>
        <v>7</v>
      </c>
      <c r="K15" t="s">
        <v>77</v>
      </c>
      <c r="L15" t="e">
        <f ca="1">AVERAGEIFS(INDIRECT($B$3),INDIRECT($B$3),"&gt;=0",Data!$B:$B,$K15)</f>
        <v>#DIV/0!</v>
      </c>
      <c r="M15" t="e">
        <f t="shared" ca="1" si="28"/>
        <v>#DIV/0!</v>
      </c>
      <c r="N15" t="s">
        <v>64</v>
      </c>
      <c r="O15" t="e">
        <f ca="1">AVERAGEIFS(INDIRECT($C$3),INDIRECT($C$3),"&gt;=0",Data!$B:$B,$N15)</f>
        <v>#DIV/0!</v>
      </c>
      <c r="P15" t="e">
        <f t="shared" ca="1" si="1"/>
        <v>#DIV/0!</v>
      </c>
      <c r="Q15" t="s">
        <v>176</v>
      </c>
      <c r="R15" t="e">
        <f ca="1">AVERAGEIFS(INDIRECT($D$3),INDIRECT($D$3),"&gt;=0",Data!$B:$B,$Q15)</f>
        <v>#DIV/0!</v>
      </c>
      <c r="S15" t="e">
        <f t="shared" ca="1" si="2"/>
        <v>#DIV/0!</v>
      </c>
      <c r="T15" t="s">
        <v>147</v>
      </c>
      <c r="U15" t="e">
        <f ca="1">AVERAGEIFS(INDIRECT($E$3),INDIRECT($E$3),"&gt;=0",Data!$B:$B,$T15)</f>
        <v>#DIV/0!</v>
      </c>
      <c r="V15" t="e">
        <f t="shared" ca="1" si="3"/>
        <v>#DIV/0!</v>
      </c>
      <c r="W15" t="s">
        <v>191</v>
      </c>
      <c r="X15" t="e">
        <f ca="1">AVERAGEIFS(INDIRECT($F$3),INDIRECT($F$3),"&gt;=0",Data!$B:$B,$W15)</f>
        <v>#DIV/0!</v>
      </c>
      <c r="Y15" t="e">
        <f t="shared" ca="1" si="4"/>
        <v>#DIV/0!</v>
      </c>
      <c r="Z15" t="s">
        <v>46</v>
      </c>
      <c r="AA15" t="e">
        <f ca="1">AVERAGEIFS(INDIRECT($G$3),INDIRECT($G$3),"&gt;=0",Data!$B:$B,$Z15)</f>
        <v>#DIV/0!</v>
      </c>
      <c r="AB15" t="e">
        <f t="shared" ca="1" si="5"/>
        <v>#DIV/0!</v>
      </c>
      <c r="AC15" t="s">
        <v>17</v>
      </c>
      <c r="AD15" t="e">
        <f ca="1">AVERAGEIFS(INDIRECT($H$3),INDIRECT($H$3),"&gt;=0",Data!$B:$B,$AC15)</f>
        <v>#DIV/0!</v>
      </c>
      <c r="AE15" t="e">
        <f t="shared" ca="1" si="6"/>
        <v>#DIV/0!</v>
      </c>
      <c r="AF15" t="s">
        <v>37</v>
      </c>
      <c r="AG15" t="e">
        <f ca="1">AVERAGEIFS(INDIRECT($I$3),INDIRECT($I$3),"&gt;=0",Data!$B:$B,$AF15)</f>
        <v>#DIV/0!</v>
      </c>
      <c r="AH15" t="e">
        <f t="shared" ca="1" si="7"/>
        <v>#DIV/0!</v>
      </c>
      <c r="AI15" t="s">
        <v>188</v>
      </c>
      <c r="AJ15" t="e">
        <f ca="1">AVERAGEIFS(INDIRECT($J$3),INDIRECT($J$3),"&gt;=0",Data!$B:$B,$AI15)</f>
        <v>#DIV/0!</v>
      </c>
      <c r="AK15" t="e">
        <f t="shared" ca="1" si="8"/>
        <v>#DIV/0!</v>
      </c>
      <c r="AL15" t="str">
        <f t="shared" ca="1" si="9"/>
        <v>-</v>
      </c>
      <c r="AM15" t="str">
        <f t="shared" ca="1" si="10"/>
        <v>-</v>
      </c>
      <c r="AN15" t="str">
        <f t="shared" ca="1" si="11"/>
        <v>-</v>
      </c>
      <c r="AO15" t="str">
        <f t="shared" ca="1" si="12"/>
        <v>-</v>
      </c>
      <c r="AP15" t="str">
        <f t="shared" ca="1" si="13"/>
        <v>-</v>
      </c>
      <c r="AQ15" t="str">
        <f t="shared" ca="1" si="14"/>
        <v>-</v>
      </c>
      <c r="AR15" t="str">
        <f t="shared" ca="1" si="15"/>
        <v>-</v>
      </c>
      <c r="AS15" t="str">
        <f t="shared" ca="1" si="16"/>
        <v>-</v>
      </c>
      <c r="AT15" t="str">
        <f t="shared" ca="1" si="17"/>
        <v>-</v>
      </c>
      <c r="AU15">
        <f t="shared" si="29"/>
        <v>7</v>
      </c>
      <c r="AV15" t="s">
        <v>88</v>
      </c>
      <c r="AW15" s="20" t="e">
        <f ca="1">AVERAGEIFS(INDIRECT($B$3),INDIRECT($B$3),"&gt;=0",Data!$B:$B,AV15,IF($A$20,Data!$J:$J,Data!#REF!),IF($A$20,"&lt;&gt;5",1))</f>
        <v>#DIV/0!</v>
      </c>
      <c r="AX15" t="e">
        <f t="shared" ca="1" si="18"/>
        <v>#DIV/0!</v>
      </c>
      <c r="AY15" s="20" t="s">
        <v>64</v>
      </c>
      <c r="AZ15" t="e">
        <f ca="1">AVERAGEIFS(INDIRECT($C$3),INDIRECT($C$3),"&gt;=0",Data!$B:$B,AY15,IF($A$20,Data!$J:$J,Data!#REF!),IF($A$20,"&lt;&gt;5",1))</f>
        <v>#DIV/0!</v>
      </c>
      <c r="BA15" s="20" t="e">
        <f t="shared" ca="1" si="19"/>
        <v>#DIV/0!</v>
      </c>
      <c r="BB15" t="s">
        <v>176</v>
      </c>
      <c r="BC15" s="20" t="e">
        <f ca="1">AVERAGEIFS(INDIRECT($D$3),INDIRECT($D$3),"&gt;=0",Data!$B:$B,BB15,IF($A$20,Data!$J:$J,Data!#REF!),IF($A$20,"&lt;&gt;5",1))</f>
        <v>#DIV/0!</v>
      </c>
      <c r="BD15" t="e">
        <f t="shared" ca="1" si="20"/>
        <v>#DIV/0!</v>
      </c>
      <c r="BE15" s="20" t="s">
        <v>28</v>
      </c>
      <c r="BF15" t="e">
        <f ca="1">AVERAGEIFS(INDIRECT($E$3),INDIRECT($E$3),"&gt;=0",Data!$B:$B,BE15,IF($A$20,Data!$J:$J,Data!#REF!),IF($A$20,"&lt;&gt;5",1))</f>
        <v>#DIV/0!</v>
      </c>
      <c r="BG15" s="20" t="e">
        <f t="shared" ca="1" si="21"/>
        <v>#DIV/0!</v>
      </c>
      <c r="BH15" t="s">
        <v>191</v>
      </c>
      <c r="BI15" s="20" t="e">
        <f ca="1">AVERAGEIFS(INDIRECT($F$3),INDIRECT($F$3),"&gt;=0",Data!$B:$B,BH15,IF($A$20,Data!$J:$J,Data!#REF!),IF($A$20,"&lt;&gt;5",1))</f>
        <v>#DIV/0!</v>
      </c>
      <c r="BJ15" t="e">
        <f t="shared" ca="1" si="22"/>
        <v>#DIV/0!</v>
      </c>
      <c r="BK15" s="20" t="s">
        <v>53</v>
      </c>
      <c r="BL15" t="e">
        <f ca="1">AVERAGEIFS(INDIRECT($G$3),INDIRECT($G$3),"&gt;=0",Data!$B:$B,BK15,IF($A$20,Data!$J:$J,Data!#REF!),IF($A$20,"&lt;&gt;5",1))</f>
        <v>#DIV/0!</v>
      </c>
      <c r="BM15" s="20" t="e">
        <f t="shared" ca="1" si="23"/>
        <v>#DIV/0!</v>
      </c>
      <c r="BN15" t="s">
        <v>20</v>
      </c>
      <c r="BO15" t="e">
        <f ca="1">AVERAGEIFS(INDIRECT($H$3),INDIRECT($H$3),"&gt;=0",Data!$B:$B,BN15,IF($A$20,Data!$J:$J,Data!#REF!),IF($A$20,"&lt;&gt;5",1))</f>
        <v>#DIV/0!</v>
      </c>
      <c r="BP15" t="e">
        <f t="shared" ca="1" si="24"/>
        <v>#DIV/0!</v>
      </c>
      <c r="BQ15" t="s">
        <v>67</v>
      </c>
      <c r="BR15" t="e">
        <f ca="1">AVERAGEIFS(INDIRECT($I$3),INDIRECT($I$3),"&gt;=0",Data!$B:$B,BQ15,IF($A$20,Data!$J:$J,Data!#REF!),IF($A$20,"&lt;&gt;5",1))</f>
        <v>#DIV/0!</v>
      </c>
      <c r="BS15" t="e">
        <f t="shared" ca="1" si="25"/>
        <v>#DIV/0!</v>
      </c>
      <c r="BT15" t="s">
        <v>186</v>
      </c>
      <c r="BU15" t="e">
        <f ca="1">AVERAGEIFS(INDIRECT($J$3),INDIRECT($J$3),"&gt;=0",Data!$B:$B,BT15,IF($A$20,Data!$J:$J,Data!#REF!),IF($A$20,"&lt;&gt;5",1))</f>
        <v>#DIV/0!</v>
      </c>
      <c r="BV15" t="e">
        <f t="shared" ca="1" si="26"/>
        <v>#DIV/0!</v>
      </c>
    </row>
    <row r="16" spans="1:74" x14ac:dyDescent="0.35">
      <c r="C16" t="str">
        <f>IF('Sample Select backend'!L2&gt;1,'Sample Select backend'!M2,"Sample")</f>
        <v>Sample</v>
      </c>
      <c r="J16">
        <f t="shared" si="27"/>
        <v>8</v>
      </c>
      <c r="K16" t="s">
        <v>84</v>
      </c>
      <c r="L16" t="e">
        <f ca="1">AVERAGEIFS(INDIRECT($B$3),INDIRECT($B$3),"&gt;=0",Data!$B:$B,$K16)</f>
        <v>#DIV/0!</v>
      </c>
      <c r="M16" t="e">
        <f t="shared" ca="1" si="28"/>
        <v>#DIV/0!</v>
      </c>
      <c r="N16" t="s">
        <v>80</v>
      </c>
      <c r="O16" t="e">
        <f ca="1">AVERAGEIFS(INDIRECT($C$3),INDIRECT($C$3),"&gt;=0",Data!$B:$B,$N16)</f>
        <v>#DIV/0!</v>
      </c>
      <c r="P16" t="e">
        <f t="shared" ca="1" si="1"/>
        <v>#DIV/0!</v>
      </c>
      <c r="Q16" t="s">
        <v>191</v>
      </c>
      <c r="R16" t="e">
        <f ca="1">AVERAGEIFS(INDIRECT($D$3),INDIRECT($D$3),"&gt;=0",Data!$B:$B,$Q16)</f>
        <v>#DIV/0!</v>
      </c>
      <c r="S16" t="e">
        <f t="shared" ca="1" si="2"/>
        <v>#DIV/0!</v>
      </c>
      <c r="T16" t="s">
        <v>131</v>
      </c>
      <c r="U16" t="e">
        <f ca="1">AVERAGEIFS(INDIRECT($E$3),INDIRECT($E$3),"&gt;=0",Data!$B:$B,$T16)</f>
        <v>#DIV/0!</v>
      </c>
      <c r="V16" t="e">
        <f t="shared" ca="1" si="3"/>
        <v>#DIV/0!</v>
      </c>
      <c r="W16" t="s">
        <v>52</v>
      </c>
      <c r="X16" t="e">
        <f ca="1">AVERAGEIFS(INDIRECT($F$3),INDIRECT($F$3),"&gt;=0",Data!$B:$B,$W16)</f>
        <v>#DIV/0!</v>
      </c>
      <c r="Y16" t="e">
        <f t="shared" ca="1" si="4"/>
        <v>#DIV/0!</v>
      </c>
      <c r="Z16" t="s">
        <v>50</v>
      </c>
      <c r="AA16">
        <f ca="1">AVERAGEIFS(INDIRECT($G$3),INDIRECT($G$3),"&gt;=0",Data!$B:$B,$Z16)</f>
        <v>0.61538461538461542</v>
      </c>
      <c r="AB16" t="e">
        <f t="shared" ca="1" si="5"/>
        <v>#DIV/0!</v>
      </c>
      <c r="AC16" t="s">
        <v>20</v>
      </c>
      <c r="AD16" t="e">
        <f ca="1">AVERAGEIFS(INDIRECT($H$3),INDIRECT($H$3),"&gt;=0",Data!$B:$B,$AC16)</f>
        <v>#DIV/0!</v>
      </c>
      <c r="AE16" t="e">
        <f t="shared" ca="1" si="6"/>
        <v>#DIV/0!</v>
      </c>
      <c r="AF16" t="s">
        <v>39</v>
      </c>
      <c r="AG16" t="e">
        <f ca="1">AVERAGEIFS(INDIRECT($I$3),INDIRECT($I$3),"&gt;=0",Data!$B:$B,$AF16)</f>
        <v>#DIV/0!</v>
      </c>
      <c r="AH16" t="e">
        <f t="shared" ca="1" si="7"/>
        <v>#DIV/0!</v>
      </c>
      <c r="AI16" t="s">
        <v>186</v>
      </c>
      <c r="AJ16" t="e">
        <f ca="1">AVERAGEIFS(INDIRECT($J$3),INDIRECT($J$3),"&gt;=0",Data!$B:$B,$AI16)</f>
        <v>#DIV/0!</v>
      </c>
      <c r="AK16" t="e">
        <f t="shared" ca="1" si="8"/>
        <v>#DIV/0!</v>
      </c>
      <c r="AL16" t="str">
        <f t="shared" ca="1" si="9"/>
        <v>-</v>
      </c>
      <c r="AM16" t="str">
        <f t="shared" ca="1" si="10"/>
        <v>-</v>
      </c>
      <c r="AN16" t="str">
        <f t="shared" ca="1" si="11"/>
        <v>-</v>
      </c>
      <c r="AO16" t="str">
        <f t="shared" ca="1" si="12"/>
        <v>-</v>
      </c>
      <c r="AP16" t="str">
        <f t="shared" ca="1" si="13"/>
        <v>-</v>
      </c>
      <c r="AQ16" t="str">
        <f t="shared" ca="1" si="14"/>
        <v>-</v>
      </c>
      <c r="AR16" t="str">
        <f t="shared" ca="1" si="15"/>
        <v>-</v>
      </c>
      <c r="AS16" t="str">
        <f t="shared" ca="1" si="16"/>
        <v>-</v>
      </c>
      <c r="AT16" t="str">
        <f t="shared" ca="1" si="17"/>
        <v>-</v>
      </c>
      <c r="AU16">
        <f t="shared" si="29"/>
        <v>8</v>
      </c>
      <c r="AV16" t="s">
        <v>99</v>
      </c>
      <c r="AW16" s="20" t="e">
        <f ca="1">AVERAGEIFS(INDIRECT($B$3),INDIRECT($B$3),"&gt;=0",Data!$B:$B,AV16,IF($A$20,Data!$J:$J,Data!#REF!),IF($A$20,"&lt;&gt;5",1))</f>
        <v>#DIV/0!</v>
      </c>
      <c r="AX16" t="e">
        <f t="shared" ca="1" si="18"/>
        <v>#DIV/0!</v>
      </c>
      <c r="AY16" s="20" t="s">
        <v>80</v>
      </c>
      <c r="AZ16" t="e">
        <f ca="1">AVERAGEIFS(INDIRECT($C$3),INDIRECT($C$3),"&gt;=0",Data!$B:$B,AY16,IF($A$20,Data!$J:$J,Data!#REF!),IF($A$20,"&lt;&gt;5",1))</f>
        <v>#DIV/0!</v>
      </c>
      <c r="BA16" s="20" t="e">
        <f t="shared" ca="1" si="19"/>
        <v>#DIV/0!</v>
      </c>
      <c r="BB16" t="s">
        <v>191</v>
      </c>
      <c r="BC16" s="20" t="e">
        <f ca="1">AVERAGEIFS(INDIRECT($D$3),INDIRECT($D$3),"&gt;=0",Data!$B:$B,BB16,IF($A$20,Data!$J:$J,Data!#REF!),IF($A$20,"&lt;&gt;5",1))</f>
        <v>#DIV/0!</v>
      </c>
      <c r="BD16" t="e">
        <f t="shared" ca="1" si="20"/>
        <v>#DIV/0!</v>
      </c>
      <c r="BE16" s="20" t="s">
        <v>53</v>
      </c>
      <c r="BF16" t="e">
        <f ca="1">AVERAGEIFS(INDIRECT($E$3),INDIRECT($E$3),"&gt;=0",Data!$B:$B,BE16,IF($A$20,Data!$J:$J,Data!#REF!),IF($A$20,"&lt;&gt;5",1))</f>
        <v>#DIV/0!</v>
      </c>
      <c r="BG16" s="20" t="e">
        <f t="shared" ca="1" si="21"/>
        <v>#DIV/0!</v>
      </c>
      <c r="BH16" t="s">
        <v>74</v>
      </c>
      <c r="BI16" s="20" t="e">
        <f ca="1">AVERAGEIFS(INDIRECT($F$3),INDIRECT($F$3),"&gt;=0",Data!$B:$B,BH16,IF($A$20,Data!$J:$J,Data!#REF!),IF($A$20,"&lt;&gt;5",1))</f>
        <v>#DIV/0!</v>
      </c>
      <c r="BJ16" t="e">
        <f t="shared" ca="1" si="22"/>
        <v>#DIV/0!</v>
      </c>
      <c r="BK16" s="20" t="s">
        <v>61</v>
      </c>
      <c r="BL16" t="e">
        <f ca="1">AVERAGEIFS(INDIRECT($G$3),INDIRECT($G$3),"&gt;=0",Data!$B:$B,BK16,IF($A$20,Data!$J:$J,Data!#REF!),IF($A$20,"&lt;&gt;5",1))</f>
        <v>#DIV/0!</v>
      </c>
      <c r="BM16" s="20" t="e">
        <f t="shared" ca="1" si="23"/>
        <v>#DIV/0!</v>
      </c>
      <c r="BN16" t="s">
        <v>24</v>
      </c>
      <c r="BO16" t="e">
        <f ca="1">AVERAGEIFS(INDIRECT($H$3),INDIRECT($H$3),"&gt;=0",Data!$B:$B,BN16,IF($A$20,Data!$J:$J,Data!#REF!),IF($A$20,"&lt;&gt;5",1))</f>
        <v>#DIV/0!</v>
      </c>
      <c r="BP16" t="e">
        <f t="shared" ca="1" si="24"/>
        <v>#DIV/0!</v>
      </c>
      <c r="BQ16" t="s">
        <v>68</v>
      </c>
      <c r="BR16" t="e">
        <f ca="1">AVERAGEIFS(INDIRECT($I$3),INDIRECT($I$3),"&gt;=0",Data!$B:$B,BQ16,IF($A$20,Data!$J:$J,Data!#REF!),IF($A$20,"&lt;&gt;5",1))</f>
        <v>#DIV/0!</v>
      </c>
      <c r="BS16" t="e">
        <f t="shared" ca="1" si="25"/>
        <v>#DIV/0!</v>
      </c>
      <c r="BT16" t="s">
        <v>187</v>
      </c>
      <c r="BU16">
        <f ca="1">AVERAGEIFS(INDIRECT($J$3),INDIRECT($J$3),"&gt;=0",Data!$B:$B,BT16,IF($A$20,Data!$J:$J,Data!#REF!),IF($A$20,"&lt;&gt;5",1))</f>
        <v>0.21428571428571427</v>
      </c>
      <c r="BV16" t="e">
        <f t="shared" ca="1" si="26"/>
        <v>#DIV/0!</v>
      </c>
    </row>
    <row r="17" spans="1:74" x14ac:dyDescent="0.35">
      <c r="J17">
        <f t="shared" si="27"/>
        <v>9</v>
      </c>
      <c r="K17" t="s">
        <v>88</v>
      </c>
      <c r="L17" t="e">
        <f ca="1">AVERAGEIFS(INDIRECT($B$3),INDIRECT($B$3),"&gt;=0",Data!$B:$B,$K17)</f>
        <v>#DIV/0!</v>
      </c>
      <c r="M17" t="e">
        <f t="shared" ca="1" si="28"/>
        <v>#DIV/0!</v>
      </c>
      <c r="N17" t="s">
        <v>28</v>
      </c>
      <c r="O17" t="e">
        <f ca="1">AVERAGEIFS(INDIRECT($C$3),INDIRECT($C$3),"&gt;=0",Data!$B:$B,$N17)</f>
        <v>#DIV/0!</v>
      </c>
      <c r="P17" t="e">
        <f t="shared" ca="1" si="1"/>
        <v>#DIV/0!</v>
      </c>
      <c r="Q17" t="s">
        <v>167</v>
      </c>
      <c r="R17" t="e">
        <f ca="1">AVERAGEIFS(INDIRECT($D$3),INDIRECT($D$3),"&gt;=0",Data!$B:$B,$Q17)</f>
        <v>#DIV/0!</v>
      </c>
      <c r="S17" t="e">
        <f t="shared" ca="1" si="2"/>
        <v>#DIV/0!</v>
      </c>
      <c r="T17" t="s">
        <v>73</v>
      </c>
      <c r="U17" t="e">
        <f ca="1">AVERAGEIFS(INDIRECT($E$3),INDIRECT($E$3),"&gt;=0",Data!$B:$B,$T17)</f>
        <v>#DIV/0!</v>
      </c>
      <c r="V17" t="e">
        <f t="shared" ca="1" si="3"/>
        <v>#DIV/0!</v>
      </c>
      <c r="W17" t="s">
        <v>51</v>
      </c>
      <c r="X17" t="e">
        <f ca="1">AVERAGEIFS(INDIRECT($F$3),INDIRECT($F$3),"&gt;=0",Data!$B:$B,$W17)</f>
        <v>#DIV/0!</v>
      </c>
      <c r="Y17" t="e">
        <f t="shared" ca="1" si="4"/>
        <v>#DIV/0!</v>
      </c>
      <c r="Z17" t="s">
        <v>53</v>
      </c>
      <c r="AA17" t="e">
        <f ca="1">AVERAGEIFS(INDIRECT($G$3),INDIRECT($G$3),"&gt;=0",Data!$B:$B,$Z17)</f>
        <v>#DIV/0!</v>
      </c>
      <c r="AB17" t="e">
        <f t="shared" ca="1" si="5"/>
        <v>#DIV/0!</v>
      </c>
      <c r="AC17" t="s">
        <v>24</v>
      </c>
      <c r="AD17" t="e">
        <f ca="1">AVERAGEIFS(INDIRECT($H$3),INDIRECT($H$3),"&gt;=0",Data!$B:$B,$AC17)</f>
        <v>#DIV/0!</v>
      </c>
      <c r="AE17" t="e">
        <f t="shared" ca="1" si="6"/>
        <v>#DIV/0!</v>
      </c>
      <c r="AF17" t="s">
        <v>67</v>
      </c>
      <c r="AG17" t="e">
        <f ca="1">AVERAGEIFS(INDIRECT($I$3),INDIRECT($I$3),"&gt;=0",Data!$B:$B,$AF17)</f>
        <v>#DIV/0!</v>
      </c>
      <c r="AH17" t="e">
        <f t="shared" ca="1" si="7"/>
        <v>#DIV/0!</v>
      </c>
      <c r="AI17" t="s">
        <v>187</v>
      </c>
      <c r="AJ17">
        <f ca="1">AVERAGEIFS(INDIRECT($J$3),INDIRECT($J$3),"&gt;=0",Data!$B:$B,$AI17)</f>
        <v>0.23529411764705882</v>
      </c>
      <c r="AK17" t="e">
        <f t="shared" ca="1" si="8"/>
        <v>#DIV/0!</v>
      </c>
      <c r="AL17" t="str">
        <f t="shared" ca="1" si="9"/>
        <v>-</v>
      </c>
      <c r="AM17" t="str">
        <f t="shared" ca="1" si="10"/>
        <v>-</v>
      </c>
      <c r="AN17" t="str">
        <f t="shared" ca="1" si="11"/>
        <v>-</v>
      </c>
      <c r="AO17" t="str">
        <f t="shared" ca="1" si="12"/>
        <v>-</v>
      </c>
      <c r="AP17" t="str">
        <f t="shared" ca="1" si="13"/>
        <v>-</v>
      </c>
      <c r="AQ17" t="str">
        <f t="shared" ca="1" si="14"/>
        <v>-</v>
      </c>
      <c r="AR17" t="str">
        <f t="shared" ca="1" si="15"/>
        <v>-</v>
      </c>
      <c r="AS17" t="str">
        <f t="shared" ca="1" si="16"/>
        <v>-</v>
      </c>
      <c r="AT17" t="str">
        <f t="shared" ca="1" si="17"/>
        <v>-</v>
      </c>
      <c r="AU17">
        <f t="shared" si="29"/>
        <v>9</v>
      </c>
      <c r="AV17" t="s">
        <v>127</v>
      </c>
      <c r="AW17" s="20" t="e">
        <f ca="1">AVERAGEIFS(INDIRECT($B$3),INDIRECT($B$3),"&gt;=0",Data!$B:$B,AV17,IF($A$20,Data!$J:$J,Data!#REF!),IF($A$20,"&lt;&gt;5",1))</f>
        <v>#DIV/0!</v>
      </c>
      <c r="AX17" t="e">
        <f t="shared" ca="1" si="18"/>
        <v>#DIV/0!</v>
      </c>
      <c r="AY17" s="20" t="s">
        <v>28</v>
      </c>
      <c r="AZ17" t="e">
        <f ca="1">AVERAGEIFS(INDIRECT($C$3),INDIRECT($C$3),"&gt;=0",Data!$B:$B,AY17,IF($A$20,Data!$J:$J,Data!#REF!),IF($A$20,"&lt;&gt;5",1))</f>
        <v>#DIV/0!</v>
      </c>
      <c r="BA17" s="20" t="e">
        <f t="shared" ca="1" si="19"/>
        <v>#DIV/0!</v>
      </c>
      <c r="BB17" t="s">
        <v>167</v>
      </c>
      <c r="BC17" s="20" t="e">
        <f ca="1">AVERAGEIFS(INDIRECT($D$3),INDIRECT($D$3),"&gt;=0",Data!$B:$B,BB17,IF($A$20,Data!$J:$J,Data!#REF!),IF($A$20,"&lt;&gt;5",1))</f>
        <v>#DIV/0!</v>
      </c>
      <c r="BD17" t="e">
        <f t="shared" ca="1" si="20"/>
        <v>#DIV/0!</v>
      </c>
      <c r="BE17" s="20" t="s">
        <v>147</v>
      </c>
      <c r="BF17" t="e">
        <f ca="1">AVERAGEIFS(INDIRECT($E$3),INDIRECT($E$3),"&gt;=0",Data!$B:$B,BE17,IF($A$20,Data!$J:$J,Data!#REF!),IF($A$20,"&lt;&gt;5",1))</f>
        <v>#DIV/0!</v>
      </c>
      <c r="BG17" s="20" t="e">
        <f t="shared" ca="1" si="21"/>
        <v>#DIV/0!</v>
      </c>
      <c r="BH17" t="s">
        <v>105</v>
      </c>
      <c r="BI17" s="20" t="e">
        <f ca="1">AVERAGEIFS(INDIRECT($F$3),INDIRECT($F$3),"&gt;=0",Data!$B:$B,BH17,IF($A$20,Data!$J:$J,Data!#REF!),IF($A$20,"&lt;&gt;5",1))</f>
        <v>#DIV/0!</v>
      </c>
      <c r="BJ17" t="e">
        <f t="shared" ca="1" si="22"/>
        <v>#DIV/0!</v>
      </c>
      <c r="BK17" s="20" t="s">
        <v>66</v>
      </c>
      <c r="BL17" t="e">
        <f ca="1">AVERAGEIFS(INDIRECT($G$3),INDIRECT($G$3),"&gt;=0",Data!$B:$B,BK17,IF($A$20,Data!$J:$J,Data!#REF!),IF($A$20,"&lt;&gt;5",1))</f>
        <v>#DIV/0!</v>
      </c>
      <c r="BM17" s="20" t="e">
        <f t="shared" ca="1" si="23"/>
        <v>#DIV/0!</v>
      </c>
      <c r="BN17" t="s">
        <v>28</v>
      </c>
      <c r="BO17" t="e">
        <f ca="1">AVERAGEIFS(INDIRECT($H$3),INDIRECT($H$3),"&gt;=0",Data!$B:$B,BN17,IF($A$20,Data!$J:$J,Data!#REF!),IF($A$20,"&lt;&gt;5",1))</f>
        <v>#DIV/0!</v>
      </c>
      <c r="BP17" t="e">
        <f t="shared" ca="1" si="24"/>
        <v>#DIV/0!</v>
      </c>
      <c r="BQ17" t="s">
        <v>80</v>
      </c>
      <c r="BR17" t="e">
        <f ca="1">AVERAGEIFS(INDIRECT($I$3),INDIRECT($I$3),"&gt;=0",Data!$B:$B,BQ17,IF($A$20,Data!$J:$J,Data!#REF!),IF($A$20,"&lt;&gt;5",1))</f>
        <v>#DIV/0!</v>
      </c>
      <c r="BS17" t="e">
        <f t="shared" ca="1" si="25"/>
        <v>#DIV/0!</v>
      </c>
      <c r="BT17" t="s">
        <v>62</v>
      </c>
      <c r="BU17">
        <f ca="1">AVERAGEIFS(INDIRECT($J$3),INDIRECT($J$3),"&gt;=0",Data!$B:$B,BT17,IF($A$20,Data!$J:$J,Data!#REF!),IF($A$20,"&lt;&gt;5",1))</f>
        <v>0.31578947368421051</v>
      </c>
      <c r="BV17">
        <f t="shared" ca="1" si="26"/>
        <v>9</v>
      </c>
    </row>
    <row r="18" spans="1:74" x14ac:dyDescent="0.35">
      <c r="J18">
        <f t="shared" si="27"/>
        <v>10</v>
      </c>
      <c r="K18" t="s">
        <v>99</v>
      </c>
      <c r="L18" t="e">
        <f ca="1">AVERAGEIFS(INDIRECT($B$3),INDIRECT($B$3),"&gt;=0",Data!$B:$B,$K18)</f>
        <v>#DIV/0!</v>
      </c>
      <c r="M18" t="e">
        <f t="shared" ca="1" si="28"/>
        <v>#DIV/0!</v>
      </c>
      <c r="N18" t="s">
        <v>153</v>
      </c>
      <c r="O18" t="e">
        <f ca="1">AVERAGEIFS(INDIRECT($C$3),INDIRECT($C$3),"&gt;=0",Data!$B:$B,$N18)</f>
        <v>#DIV/0!</v>
      </c>
      <c r="P18" t="e">
        <f t="shared" ca="1" si="1"/>
        <v>#DIV/0!</v>
      </c>
      <c r="Q18" t="s">
        <v>117</v>
      </c>
      <c r="R18" t="e">
        <f ca="1">AVERAGEIFS(INDIRECT($D$3),INDIRECT($D$3),"&gt;=0",Data!$B:$B,$Q18)</f>
        <v>#DIV/0!</v>
      </c>
      <c r="S18" t="e">
        <f t="shared" ca="1" si="2"/>
        <v>#DIV/0!</v>
      </c>
      <c r="T18" t="s">
        <v>107</v>
      </c>
      <c r="U18" t="e">
        <f ca="1">AVERAGEIFS(INDIRECT($E$3),INDIRECT($E$3),"&gt;=0",Data!$B:$B,$T18)</f>
        <v>#DIV/0!</v>
      </c>
      <c r="V18" t="e">
        <f t="shared" ca="1" si="3"/>
        <v>#DIV/0!</v>
      </c>
      <c r="W18" t="s">
        <v>74</v>
      </c>
      <c r="X18" t="e">
        <f ca="1">AVERAGEIFS(INDIRECT($F$3),INDIRECT($F$3),"&gt;=0",Data!$B:$B,$W18)</f>
        <v>#DIV/0!</v>
      </c>
      <c r="Y18" t="e">
        <f t="shared" ca="1" si="4"/>
        <v>#DIV/0!</v>
      </c>
      <c r="Z18" t="s">
        <v>61</v>
      </c>
      <c r="AA18" t="e">
        <f ca="1">AVERAGEIFS(INDIRECT($G$3),INDIRECT($G$3),"&gt;=0",Data!$B:$B,$Z18)</f>
        <v>#DIV/0!</v>
      </c>
      <c r="AB18" t="e">
        <f t="shared" ca="1" si="5"/>
        <v>#DIV/0!</v>
      </c>
      <c r="AC18" t="s">
        <v>28</v>
      </c>
      <c r="AD18" t="e">
        <f ca="1">AVERAGEIFS(INDIRECT($H$3),INDIRECT($H$3),"&gt;=0",Data!$B:$B,$AC18)</f>
        <v>#DIV/0!</v>
      </c>
      <c r="AE18" t="e">
        <f t="shared" ca="1" si="6"/>
        <v>#DIV/0!</v>
      </c>
      <c r="AF18" t="s">
        <v>68</v>
      </c>
      <c r="AG18" t="e">
        <f ca="1">AVERAGEIFS(INDIRECT($I$3),INDIRECT($I$3),"&gt;=0",Data!$B:$B,$AF18)</f>
        <v>#DIV/0!</v>
      </c>
      <c r="AH18" t="e">
        <f t="shared" ca="1" si="7"/>
        <v>#DIV/0!</v>
      </c>
      <c r="AI18" t="s">
        <v>62</v>
      </c>
      <c r="AJ18">
        <f ca="1">AVERAGEIFS(INDIRECT($J$3),INDIRECT($J$3),"&gt;=0",Data!$B:$B,$AI18)</f>
        <v>0.3</v>
      </c>
      <c r="AK18">
        <f t="shared" ca="1" si="8"/>
        <v>10</v>
      </c>
      <c r="AL18" t="str">
        <f t="shared" ca="1" si="9"/>
        <v>-</v>
      </c>
      <c r="AM18" t="str">
        <f t="shared" ca="1" si="10"/>
        <v>-</v>
      </c>
      <c r="AN18" t="str">
        <f t="shared" ca="1" si="11"/>
        <v>-</v>
      </c>
      <c r="AO18" t="str">
        <f t="shared" ca="1" si="12"/>
        <v>-</v>
      </c>
      <c r="AP18" t="str">
        <f t="shared" ca="1" si="13"/>
        <v>-</v>
      </c>
      <c r="AQ18" t="str">
        <f t="shared" ca="1" si="14"/>
        <v>-</v>
      </c>
      <c r="AR18" t="str">
        <f t="shared" ca="1" si="15"/>
        <v>-</v>
      </c>
      <c r="AS18" t="str">
        <f t="shared" ca="1" si="16"/>
        <v>-</v>
      </c>
      <c r="AT18" t="str">
        <f t="shared" ca="1" si="17"/>
        <v>-</v>
      </c>
      <c r="AU18">
        <f t="shared" si="29"/>
        <v>10</v>
      </c>
      <c r="AV18" t="s">
        <v>132</v>
      </c>
      <c r="AW18" s="20" t="e">
        <f ca="1">AVERAGEIFS(INDIRECT($B$3),INDIRECT($B$3),"&gt;=0",Data!$B:$B,AV18,IF($A$20,Data!$J:$J,Data!#REF!),IF($A$20,"&lt;&gt;5",1))</f>
        <v>#DIV/0!</v>
      </c>
      <c r="AX18" t="e">
        <f t="shared" ca="1" si="18"/>
        <v>#DIV/0!</v>
      </c>
      <c r="AY18" s="20" t="s">
        <v>153</v>
      </c>
      <c r="AZ18" t="e">
        <f ca="1">AVERAGEIFS(INDIRECT($C$3),INDIRECT($C$3),"&gt;=0",Data!$B:$B,AY18,IF($A$20,Data!$J:$J,Data!#REF!),IF($A$20,"&lt;&gt;5",1))</f>
        <v>#DIV/0!</v>
      </c>
      <c r="BA18" s="20" t="e">
        <f t="shared" ca="1" si="19"/>
        <v>#DIV/0!</v>
      </c>
      <c r="BB18" t="s">
        <v>153</v>
      </c>
      <c r="BC18" s="20" t="e">
        <f ca="1">AVERAGEIFS(INDIRECT($D$3),INDIRECT($D$3),"&gt;=0",Data!$B:$B,BB18,IF($A$20,Data!$J:$J,Data!#REF!),IF($A$20,"&lt;&gt;5",1))</f>
        <v>#DIV/0!</v>
      </c>
      <c r="BD18" t="e">
        <f t="shared" ca="1" si="20"/>
        <v>#DIV/0!</v>
      </c>
      <c r="BE18" s="20" t="s">
        <v>107</v>
      </c>
      <c r="BF18" t="e">
        <f ca="1">AVERAGEIFS(INDIRECT($E$3),INDIRECT($E$3),"&gt;=0",Data!$B:$B,BE18,IF($A$20,Data!$J:$J,Data!#REF!),IF($A$20,"&lt;&gt;5",1))</f>
        <v>#DIV/0!</v>
      </c>
      <c r="BG18" s="20" t="e">
        <f t="shared" ca="1" si="21"/>
        <v>#DIV/0!</v>
      </c>
      <c r="BH18" t="s">
        <v>83</v>
      </c>
      <c r="BI18" s="20" t="e">
        <f ca="1">AVERAGEIFS(INDIRECT($F$3),INDIRECT($F$3),"&gt;=0",Data!$B:$B,BH18,IF($A$20,Data!$J:$J,Data!#REF!),IF($A$20,"&lt;&gt;5",1))</f>
        <v>#DIV/0!</v>
      </c>
      <c r="BJ18" t="e">
        <f t="shared" ca="1" si="22"/>
        <v>#DIV/0!</v>
      </c>
      <c r="BK18" s="20" t="s">
        <v>67</v>
      </c>
      <c r="BL18" t="e">
        <f ca="1">AVERAGEIFS(INDIRECT($G$3),INDIRECT($G$3),"&gt;=0",Data!$B:$B,BK18,IF($A$20,Data!$J:$J,Data!#REF!),IF($A$20,"&lt;&gt;5",1))</f>
        <v>#DIV/0!</v>
      </c>
      <c r="BM18" s="20" t="e">
        <f t="shared" ca="1" si="23"/>
        <v>#DIV/0!</v>
      </c>
      <c r="BN18" t="s">
        <v>29</v>
      </c>
      <c r="BO18" t="e">
        <f ca="1">AVERAGEIFS(INDIRECT($H$3),INDIRECT($H$3),"&gt;=0",Data!$B:$B,BN18,IF($A$20,Data!$J:$J,Data!#REF!),IF($A$20,"&lt;&gt;5",1))</f>
        <v>#DIV/0!</v>
      </c>
      <c r="BP18" t="e">
        <f t="shared" ca="1" si="24"/>
        <v>#DIV/0!</v>
      </c>
      <c r="BQ18" t="s">
        <v>99</v>
      </c>
      <c r="BR18" t="e">
        <f ca="1">AVERAGEIFS(INDIRECT($I$3),INDIRECT($I$3),"&gt;=0",Data!$B:$B,BQ18,IF($A$20,Data!$J:$J,Data!#REF!),IF($A$20,"&lt;&gt;5",1))</f>
        <v>#DIV/0!</v>
      </c>
      <c r="BS18" t="e">
        <f t="shared" ca="1" si="25"/>
        <v>#DIV/0!</v>
      </c>
      <c r="BT18" t="s">
        <v>7</v>
      </c>
      <c r="BU18" t="e">
        <f ca="1">AVERAGEIFS(INDIRECT($J$3),INDIRECT($J$3),"&gt;=0",Data!$B:$B,BT18,IF($A$20,Data!$J:$J,Data!#REF!),IF($A$20,"&lt;&gt;5",1))</f>
        <v>#DIV/0!</v>
      </c>
      <c r="BV18" t="e">
        <f t="shared" ca="1" si="26"/>
        <v>#DIV/0!</v>
      </c>
    </row>
    <row r="19" spans="1:74" x14ac:dyDescent="0.35">
      <c r="A19" s="9" t="s">
        <v>1200</v>
      </c>
      <c r="J19">
        <f t="shared" si="27"/>
        <v>11</v>
      </c>
      <c r="K19" t="s">
        <v>102</v>
      </c>
      <c r="L19" t="e">
        <f ca="1">AVERAGEIFS(INDIRECT($B$3),INDIRECT($B$3),"&gt;=0",Data!$B:$B,$K19)</f>
        <v>#DIV/0!</v>
      </c>
      <c r="M19" t="e">
        <f t="shared" ca="1" si="28"/>
        <v>#DIV/0!</v>
      </c>
      <c r="N19" t="s">
        <v>111</v>
      </c>
      <c r="O19" t="e">
        <f ca="1">AVERAGEIFS(INDIRECT($C$3),INDIRECT($C$3),"&gt;=0",Data!$B:$B,$N19)</f>
        <v>#DIV/0!</v>
      </c>
      <c r="P19" t="e">
        <f t="shared" ca="1" si="1"/>
        <v>#DIV/0!</v>
      </c>
      <c r="Q19" t="s">
        <v>121</v>
      </c>
      <c r="R19" t="e">
        <f ca="1">AVERAGEIFS(INDIRECT($D$3),INDIRECT($D$3),"&gt;=0",Data!$B:$B,$Q19)</f>
        <v>#DIV/0!</v>
      </c>
      <c r="S19" t="e">
        <f t="shared" ca="1" si="2"/>
        <v>#DIV/0!</v>
      </c>
      <c r="T19" t="s">
        <v>171</v>
      </c>
      <c r="U19" t="e">
        <f ca="1">AVERAGEIFS(INDIRECT($E$3),INDIRECT($E$3),"&gt;=0",Data!$B:$B,$T19)</f>
        <v>#DIV/0!</v>
      </c>
      <c r="V19" t="e">
        <f t="shared" ca="1" si="3"/>
        <v>#DIV/0!</v>
      </c>
      <c r="W19" t="s">
        <v>105</v>
      </c>
      <c r="X19" t="e">
        <f ca="1">AVERAGEIFS(INDIRECT($F$3),INDIRECT($F$3),"&gt;=0",Data!$B:$B,$W19)</f>
        <v>#DIV/0!</v>
      </c>
      <c r="Y19" t="e">
        <f t="shared" ca="1" si="4"/>
        <v>#DIV/0!</v>
      </c>
      <c r="Z19" t="s">
        <v>66</v>
      </c>
      <c r="AA19" t="e">
        <f ca="1">AVERAGEIFS(INDIRECT($G$3),INDIRECT($G$3),"&gt;=0",Data!$B:$B,$Z19)</f>
        <v>#DIV/0!</v>
      </c>
      <c r="AB19" t="e">
        <f t="shared" ca="1" si="5"/>
        <v>#DIV/0!</v>
      </c>
      <c r="AC19" t="s">
        <v>29</v>
      </c>
      <c r="AD19" t="e">
        <f ca="1">AVERAGEIFS(INDIRECT($H$3),INDIRECT($H$3),"&gt;=0",Data!$B:$B,$AC19)</f>
        <v>#DIV/0!</v>
      </c>
      <c r="AE19" t="e">
        <f t="shared" ca="1" si="6"/>
        <v>#DIV/0!</v>
      </c>
      <c r="AF19" t="s">
        <v>80</v>
      </c>
      <c r="AG19" t="e">
        <f ca="1">AVERAGEIFS(INDIRECT($I$3),INDIRECT($I$3),"&gt;=0",Data!$B:$B,$AF19)</f>
        <v>#DIV/0!</v>
      </c>
      <c r="AH19" t="e">
        <f t="shared" ca="1" si="7"/>
        <v>#DIV/0!</v>
      </c>
      <c r="AI19" t="s">
        <v>7</v>
      </c>
      <c r="AJ19" t="e">
        <f ca="1">AVERAGEIFS(INDIRECT($J$3),INDIRECT($J$3),"&gt;=0",Data!$B:$B,$AI19)</f>
        <v>#DIV/0!</v>
      </c>
      <c r="AK19" t="e">
        <f t="shared" ca="1" si="8"/>
        <v>#DIV/0!</v>
      </c>
      <c r="AL19" t="str">
        <f t="shared" ca="1" si="9"/>
        <v>-</v>
      </c>
      <c r="AM19" t="str">
        <f t="shared" ca="1" si="10"/>
        <v>-</v>
      </c>
      <c r="AN19" t="str">
        <f t="shared" ca="1" si="11"/>
        <v>-</v>
      </c>
      <c r="AO19" t="str">
        <f t="shared" ca="1" si="12"/>
        <v>-</v>
      </c>
      <c r="AP19" t="str">
        <f t="shared" ca="1" si="13"/>
        <v>-</v>
      </c>
      <c r="AQ19" t="str">
        <f t="shared" ca="1" si="14"/>
        <v>-</v>
      </c>
      <c r="AR19" t="str">
        <f t="shared" ca="1" si="15"/>
        <v>-</v>
      </c>
      <c r="AS19" t="str">
        <f t="shared" ca="1" si="16"/>
        <v>-</v>
      </c>
      <c r="AT19" t="str">
        <f t="shared" ca="1" si="17"/>
        <v>-</v>
      </c>
      <c r="AU19">
        <f t="shared" si="29"/>
        <v>11</v>
      </c>
      <c r="AV19" t="s">
        <v>136</v>
      </c>
      <c r="AW19" s="20" t="e">
        <f ca="1">AVERAGEIFS(INDIRECT($B$3),INDIRECT($B$3),"&gt;=0",Data!$B:$B,AV19,IF($A$20,Data!$J:$J,Data!#REF!),IF($A$20,"&lt;&gt;5",1))</f>
        <v>#DIV/0!</v>
      </c>
      <c r="AX19" t="e">
        <f t="shared" ca="1" si="18"/>
        <v>#DIV/0!</v>
      </c>
      <c r="AY19" s="20" t="s">
        <v>111</v>
      </c>
      <c r="AZ19" t="e">
        <f ca="1">AVERAGEIFS(INDIRECT($C$3),INDIRECT($C$3),"&gt;=0",Data!$B:$B,AY19,IF($A$20,Data!$J:$J,Data!#REF!),IF($A$20,"&lt;&gt;5",1))</f>
        <v>#DIV/0!</v>
      </c>
      <c r="BA19" s="20" t="e">
        <f t="shared" ca="1" si="19"/>
        <v>#DIV/0!</v>
      </c>
      <c r="BB19" t="s">
        <v>119</v>
      </c>
      <c r="BC19" s="20" t="e">
        <f ca="1">AVERAGEIFS(INDIRECT($D$3),INDIRECT($D$3),"&gt;=0",Data!$B:$B,BB19,IF($A$20,Data!$J:$J,Data!#REF!),IF($A$20,"&lt;&gt;5",1))</f>
        <v>#DIV/0!</v>
      </c>
      <c r="BD19" t="e">
        <f t="shared" ca="1" si="20"/>
        <v>#DIV/0!</v>
      </c>
      <c r="BE19" s="20" t="s">
        <v>3</v>
      </c>
      <c r="BF19" t="e">
        <f ca="1">AVERAGEIFS(INDIRECT($E$3),INDIRECT($E$3),"&gt;=0",Data!$B:$B,BE19,IF($A$20,Data!$J:$J,Data!#REF!),IF($A$20,"&lt;&gt;5",1))</f>
        <v>#DIV/0!</v>
      </c>
      <c r="BG19" s="20" t="e">
        <f t="shared" ca="1" si="21"/>
        <v>#DIV/0!</v>
      </c>
      <c r="BH19" t="s">
        <v>98</v>
      </c>
      <c r="BI19" s="20" t="e">
        <f ca="1">AVERAGEIFS(INDIRECT($F$3),INDIRECT($F$3),"&gt;=0",Data!$B:$B,BH19,IF($A$20,Data!$J:$J,Data!#REF!),IF($A$20,"&lt;&gt;5",1))</f>
        <v>#DIV/0!</v>
      </c>
      <c r="BJ19" t="e">
        <f t="shared" ca="1" si="22"/>
        <v>#DIV/0!</v>
      </c>
      <c r="BK19" s="20" t="s">
        <v>68</v>
      </c>
      <c r="BL19" t="e">
        <f ca="1">AVERAGEIFS(INDIRECT($G$3),INDIRECT($G$3),"&gt;=0",Data!$B:$B,BK19,IF($A$20,Data!$J:$J,Data!#REF!),IF($A$20,"&lt;&gt;5",1))</f>
        <v>#DIV/0!</v>
      </c>
      <c r="BM19" s="20" t="e">
        <f t="shared" ca="1" si="23"/>
        <v>#DIV/0!</v>
      </c>
      <c r="BN19" t="s">
        <v>36</v>
      </c>
      <c r="BO19" t="e">
        <f ca="1">AVERAGEIFS(INDIRECT($H$3),INDIRECT($H$3),"&gt;=0",Data!$B:$B,BN19,IF($A$20,Data!$J:$J,Data!#REF!),IF($A$20,"&lt;&gt;5",1))</f>
        <v>#DIV/0!</v>
      </c>
      <c r="BP19" t="e">
        <f t="shared" ca="1" si="24"/>
        <v>#DIV/0!</v>
      </c>
      <c r="BQ19" t="s">
        <v>101</v>
      </c>
      <c r="BR19" t="e">
        <f ca="1">AVERAGEIFS(INDIRECT($I$3),INDIRECT($I$3),"&gt;=0",Data!$B:$B,BQ19,IF($A$20,Data!$J:$J,Data!#REF!),IF($A$20,"&lt;&gt;5",1))</f>
        <v>#DIV/0!</v>
      </c>
      <c r="BS19" t="e">
        <f t="shared" ca="1" si="25"/>
        <v>#DIV/0!</v>
      </c>
      <c r="BT19" t="s">
        <v>185</v>
      </c>
      <c r="BU19" t="e">
        <f ca="1">AVERAGEIFS(INDIRECT($J$3),INDIRECT($J$3),"&gt;=0",Data!$B:$B,BT19,IF($A$20,Data!$J:$J,Data!#REF!),IF($A$20,"&lt;&gt;5",1))</f>
        <v>#DIV/0!</v>
      </c>
      <c r="BV19" t="e">
        <f t="shared" ca="1" si="26"/>
        <v>#DIV/0!</v>
      </c>
    </row>
    <row r="20" spans="1:74" x14ac:dyDescent="0.35">
      <c r="A20" t="b">
        <v>1</v>
      </c>
      <c r="J20">
        <f t="shared" si="27"/>
        <v>12</v>
      </c>
      <c r="K20" t="s">
        <v>116</v>
      </c>
      <c r="L20" t="e">
        <f ca="1">AVERAGEIFS(INDIRECT($B$3),INDIRECT($B$3),"&gt;=0",Data!$B:$B,$K20)</f>
        <v>#DIV/0!</v>
      </c>
      <c r="M20" t="e">
        <f t="shared" ca="1" si="28"/>
        <v>#DIV/0!</v>
      </c>
      <c r="N20" t="s">
        <v>115</v>
      </c>
      <c r="O20" t="e">
        <f ca="1">AVERAGEIFS(INDIRECT($C$3),INDIRECT($C$3),"&gt;=0",Data!$B:$B,$N20)</f>
        <v>#DIV/0!</v>
      </c>
      <c r="P20" t="e">
        <f t="shared" ca="1" si="1"/>
        <v>#DIV/0!</v>
      </c>
      <c r="Q20" t="s">
        <v>153</v>
      </c>
      <c r="R20" t="e">
        <f ca="1">AVERAGEIFS(INDIRECT($D$3),INDIRECT($D$3),"&gt;=0",Data!$B:$B,$Q20)</f>
        <v>#DIV/0!</v>
      </c>
      <c r="S20" t="e">
        <f t="shared" ca="1" si="2"/>
        <v>#DIV/0!</v>
      </c>
      <c r="T20" t="s">
        <v>50</v>
      </c>
      <c r="U20" t="e">
        <f ca="1">AVERAGEIFS(INDIRECT($E$3),INDIRECT($E$3),"&gt;=0",Data!$B:$B,$T20)</f>
        <v>#DIV/0!</v>
      </c>
      <c r="V20" t="e">
        <f t="shared" ca="1" si="3"/>
        <v>#DIV/0!</v>
      </c>
      <c r="W20" t="s">
        <v>115</v>
      </c>
      <c r="X20">
        <f ca="1">AVERAGEIFS(INDIRECT($F$3),INDIRECT($F$3),"&gt;=0",Data!$B:$B,$W20)</f>
        <v>0</v>
      </c>
      <c r="Y20" t="e">
        <f t="shared" ca="1" si="4"/>
        <v>#DIV/0!</v>
      </c>
      <c r="Z20" t="s">
        <v>67</v>
      </c>
      <c r="AA20" t="e">
        <f ca="1">AVERAGEIFS(INDIRECT($G$3),INDIRECT($G$3),"&gt;=0",Data!$B:$B,$Z20)</f>
        <v>#DIV/0!</v>
      </c>
      <c r="AB20" t="e">
        <f t="shared" ca="1" si="5"/>
        <v>#DIV/0!</v>
      </c>
      <c r="AC20" t="s">
        <v>31</v>
      </c>
      <c r="AD20" t="e">
        <f ca="1">AVERAGEIFS(INDIRECT($H$3),INDIRECT($H$3),"&gt;=0",Data!$B:$B,$AC20)</f>
        <v>#DIV/0!</v>
      </c>
      <c r="AE20" t="e">
        <f t="shared" ca="1" si="6"/>
        <v>#DIV/0!</v>
      </c>
      <c r="AF20" t="s">
        <v>99</v>
      </c>
      <c r="AG20" t="e">
        <f ca="1">AVERAGEIFS(INDIRECT($I$3),INDIRECT($I$3),"&gt;=0",Data!$B:$B,$AF20)</f>
        <v>#DIV/0!</v>
      </c>
      <c r="AH20" t="e">
        <f t="shared" ca="1" si="7"/>
        <v>#DIV/0!</v>
      </c>
      <c r="AI20" t="s">
        <v>185</v>
      </c>
      <c r="AJ20" t="e">
        <f ca="1">AVERAGEIFS(INDIRECT($J$3),INDIRECT($J$3),"&gt;=0",Data!$B:$B,$AI20)</f>
        <v>#DIV/0!</v>
      </c>
      <c r="AK20" t="e">
        <f t="shared" ca="1" si="8"/>
        <v>#DIV/0!</v>
      </c>
      <c r="AL20" t="str">
        <f t="shared" ca="1" si="9"/>
        <v>-</v>
      </c>
      <c r="AM20" t="str">
        <f t="shared" ca="1" si="10"/>
        <v>-</v>
      </c>
      <c r="AN20" t="str">
        <f t="shared" ca="1" si="11"/>
        <v>-</v>
      </c>
      <c r="AO20" t="str">
        <f t="shared" ca="1" si="12"/>
        <v>-</v>
      </c>
      <c r="AP20" t="str">
        <f t="shared" ca="1" si="13"/>
        <v>-</v>
      </c>
      <c r="AQ20" t="str">
        <f t="shared" ca="1" si="14"/>
        <v>-</v>
      </c>
      <c r="AR20" t="str">
        <f t="shared" ca="1" si="15"/>
        <v>-</v>
      </c>
      <c r="AS20" t="str">
        <f t="shared" ca="1" si="16"/>
        <v>-</v>
      </c>
      <c r="AT20" t="str">
        <f t="shared" ca="1" si="17"/>
        <v>-</v>
      </c>
      <c r="AU20">
        <f t="shared" si="29"/>
        <v>12</v>
      </c>
      <c r="AV20" t="s">
        <v>143</v>
      </c>
      <c r="AW20" s="20" t="e">
        <f ca="1">AVERAGEIFS(INDIRECT($B$3),INDIRECT($B$3),"&gt;=0",Data!$B:$B,AV20,IF($A$20,Data!$J:$J,Data!#REF!),IF($A$20,"&lt;&gt;5",1))</f>
        <v>#DIV/0!</v>
      </c>
      <c r="AX20" t="e">
        <f t="shared" ca="1" si="18"/>
        <v>#DIV/0!</v>
      </c>
      <c r="AY20" s="20" t="s">
        <v>115</v>
      </c>
      <c r="AZ20" t="e">
        <f ca="1">AVERAGEIFS(INDIRECT($C$3),INDIRECT($C$3),"&gt;=0",Data!$B:$B,AY20,IF($A$20,Data!$J:$J,Data!#REF!),IF($A$20,"&lt;&gt;5",1))</f>
        <v>#DIV/0!</v>
      </c>
      <c r="BA20" s="20" t="e">
        <f t="shared" ca="1" si="19"/>
        <v>#DIV/0!</v>
      </c>
      <c r="BB20" t="s">
        <v>71</v>
      </c>
      <c r="BC20" s="20" t="e">
        <f ca="1">AVERAGEIFS(INDIRECT($D$3),INDIRECT($D$3),"&gt;=0",Data!$B:$B,BB20,IF($A$20,Data!$J:$J,Data!#REF!),IF($A$20,"&lt;&gt;5",1))</f>
        <v>#DIV/0!</v>
      </c>
      <c r="BD20" t="e">
        <f t="shared" ca="1" si="20"/>
        <v>#DIV/0!</v>
      </c>
      <c r="BE20" s="20" t="s">
        <v>143</v>
      </c>
      <c r="BF20" t="e">
        <f ca="1">AVERAGEIFS(INDIRECT($E$3),INDIRECT($E$3),"&gt;=0",Data!$B:$B,BE20,IF($A$20,Data!$J:$J,Data!#REF!),IF($A$20,"&lt;&gt;5",1))</f>
        <v>#DIV/0!</v>
      </c>
      <c r="BG20" s="20" t="e">
        <f t="shared" ca="1" si="21"/>
        <v>#DIV/0!</v>
      </c>
      <c r="BH20" t="s">
        <v>20</v>
      </c>
      <c r="BI20" s="20" t="e">
        <f ca="1">AVERAGEIFS(INDIRECT($F$3),INDIRECT($F$3),"&gt;=0",Data!$B:$B,BH20,IF($A$20,Data!$J:$J,Data!#REF!),IF($A$20,"&lt;&gt;5",1))</f>
        <v>#DIV/0!</v>
      </c>
      <c r="BJ20" t="e">
        <f t="shared" ca="1" si="22"/>
        <v>#DIV/0!</v>
      </c>
      <c r="BK20" s="20" t="s">
        <v>74</v>
      </c>
      <c r="BL20" t="e">
        <f ca="1">AVERAGEIFS(INDIRECT($G$3),INDIRECT($G$3),"&gt;=0",Data!$B:$B,BK20,IF($A$20,Data!$J:$J,Data!#REF!),IF($A$20,"&lt;&gt;5",1))</f>
        <v>#DIV/0!</v>
      </c>
      <c r="BM20" s="20" t="e">
        <f t="shared" ca="1" si="23"/>
        <v>#DIV/0!</v>
      </c>
      <c r="BN20" t="s">
        <v>37</v>
      </c>
      <c r="BO20" t="e">
        <f ca="1">AVERAGEIFS(INDIRECT($H$3),INDIRECT($H$3),"&gt;=0",Data!$B:$B,BN20,IF($A$20,Data!$J:$J,Data!#REF!),IF($A$20,"&lt;&gt;5",1))</f>
        <v>#DIV/0!</v>
      </c>
      <c r="BP20" t="e">
        <f t="shared" ca="1" si="24"/>
        <v>#DIV/0!</v>
      </c>
      <c r="BQ20" t="s">
        <v>105</v>
      </c>
      <c r="BR20" t="e">
        <f ca="1">AVERAGEIFS(INDIRECT($I$3),INDIRECT($I$3),"&gt;=0",Data!$B:$B,BQ20,IF($A$20,Data!$J:$J,Data!#REF!),IF($A$20,"&lt;&gt;5",1))</f>
        <v>#DIV/0!</v>
      </c>
      <c r="BS20" t="e">
        <f t="shared" ca="1" si="25"/>
        <v>#DIV/0!</v>
      </c>
      <c r="BT20" t="s">
        <v>182</v>
      </c>
      <c r="BU20" t="e">
        <f ca="1">AVERAGEIFS(INDIRECT($J$3),INDIRECT($J$3),"&gt;=0",Data!$B:$B,BT20,IF($A$20,Data!$J:$J,Data!#REF!),IF($A$20,"&lt;&gt;5",1))</f>
        <v>#DIV/0!</v>
      </c>
      <c r="BV20" t="e">
        <f t="shared" ca="1" si="26"/>
        <v>#DIV/0!</v>
      </c>
    </row>
    <row r="21" spans="1:74" x14ac:dyDescent="0.35">
      <c r="J21">
        <f t="shared" si="27"/>
        <v>13</v>
      </c>
      <c r="K21" t="s">
        <v>127</v>
      </c>
      <c r="L21" t="e">
        <f ca="1">AVERAGEIFS(INDIRECT($B$3),INDIRECT($B$3),"&gt;=0",Data!$B:$B,$K21)</f>
        <v>#DIV/0!</v>
      </c>
      <c r="M21" t="e">
        <f t="shared" ca="1" si="28"/>
        <v>#DIV/0!</v>
      </c>
      <c r="N21" t="s">
        <v>132</v>
      </c>
      <c r="O21" t="e">
        <f ca="1">AVERAGEIFS(INDIRECT($C$3),INDIRECT($C$3),"&gt;=0",Data!$B:$B,$N21)</f>
        <v>#DIV/0!</v>
      </c>
      <c r="P21" t="e">
        <f t="shared" ca="1" si="1"/>
        <v>#DIV/0!</v>
      </c>
      <c r="Q21" t="s">
        <v>119</v>
      </c>
      <c r="R21" t="e">
        <f ca="1">AVERAGEIFS(INDIRECT($D$3),INDIRECT($D$3),"&gt;=0",Data!$B:$B,$Q21)</f>
        <v>#DIV/0!</v>
      </c>
      <c r="S21" t="e">
        <f t="shared" ca="1" si="2"/>
        <v>#DIV/0!</v>
      </c>
      <c r="T21" t="s">
        <v>2</v>
      </c>
      <c r="U21" t="e">
        <f ca="1">AVERAGEIFS(INDIRECT($E$3),INDIRECT($E$3),"&gt;=0",Data!$B:$B,$T21)</f>
        <v>#DIV/0!</v>
      </c>
      <c r="V21" t="e">
        <f t="shared" ca="1" si="3"/>
        <v>#DIV/0!</v>
      </c>
      <c r="W21" t="s">
        <v>7</v>
      </c>
      <c r="X21" t="e">
        <f ca="1">AVERAGEIFS(INDIRECT($F$3),INDIRECT($F$3),"&gt;=0",Data!$B:$B,$W21)</f>
        <v>#DIV/0!</v>
      </c>
      <c r="Y21" t="e">
        <f t="shared" ca="1" si="4"/>
        <v>#DIV/0!</v>
      </c>
      <c r="Z21" t="s">
        <v>68</v>
      </c>
      <c r="AA21" t="e">
        <f ca="1">AVERAGEIFS(INDIRECT($G$3),INDIRECT($G$3),"&gt;=0",Data!$B:$B,$Z21)</f>
        <v>#DIV/0!</v>
      </c>
      <c r="AB21" t="e">
        <f t="shared" ca="1" si="5"/>
        <v>#DIV/0!</v>
      </c>
      <c r="AC21" t="s">
        <v>36</v>
      </c>
      <c r="AD21" t="e">
        <f ca="1">AVERAGEIFS(INDIRECT($H$3),INDIRECT($H$3),"&gt;=0",Data!$B:$B,$AC21)</f>
        <v>#DIV/0!</v>
      </c>
      <c r="AE21" t="e">
        <f t="shared" ca="1" si="6"/>
        <v>#DIV/0!</v>
      </c>
      <c r="AF21" t="s">
        <v>101</v>
      </c>
      <c r="AG21" t="e">
        <f ca="1">AVERAGEIFS(INDIRECT($I$3),INDIRECT($I$3),"&gt;=0",Data!$B:$B,$AF21)</f>
        <v>#DIV/0!</v>
      </c>
      <c r="AH21" t="e">
        <f t="shared" ca="1" si="7"/>
        <v>#DIV/0!</v>
      </c>
      <c r="AI21" t="s">
        <v>182</v>
      </c>
      <c r="AJ21" t="e">
        <f ca="1">AVERAGEIFS(INDIRECT($J$3),INDIRECT($J$3),"&gt;=0",Data!$B:$B,$AI21)</f>
        <v>#DIV/0!</v>
      </c>
      <c r="AK21" t="e">
        <f t="shared" ca="1" si="8"/>
        <v>#DIV/0!</v>
      </c>
      <c r="AL21" t="str">
        <f t="shared" ca="1" si="9"/>
        <v>-</v>
      </c>
      <c r="AM21" t="str">
        <f t="shared" ca="1" si="10"/>
        <v>-</v>
      </c>
      <c r="AN21" t="str">
        <f t="shared" ca="1" si="11"/>
        <v>-</v>
      </c>
      <c r="AO21" t="str">
        <f t="shared" ca="1" si="12"/>
        <v>-</v>
      </c>
      <c r="AP21" t="str">
        <f t="shared" ca="1" si="13"/>
        <v>-</v>
      </c>
      <c r="AQ21" t="str">
        <f t="shared" ca="1" si="14"/>
        <v>-</v>
      </c>
      <c r="AR21" t="str">
        <f t="shared" ca="1" si="15"/>
        <v>-</v>
      </c>
      <c r="AS21" t="str">
        <f t="shared" ca="1" si="16"/>
        <v>-</v>
      </c>
      <c r="AT21" t="str">
        <f t="shared" ca="1" si="17"/>
        <v>-</v>
      </c>
      <c r="AU21">
        <f t="shared" si="29"/>
        <v>13</v>
      </c>
      <c r="AV21" t="s">
        <v>144</v>
      </c>
      <c r="AW21" s="20" t="e">
        <f ca="1">AVERAGEIFS(INDIRECT($B$3),INDIRECT($B$3),"&gt;=0",Data!$B:$B,AV21,IF($A$20,Data!$J:$J,Data!#REF!),IF($A$20,"&lt;&gt;5",1))</f>
        <v>#DIV/0!</v>
      </c>
      <c r="AX21" t="e">
        <f t="shared" ca="1" si="18"/>
        <v>#DIV/0!</v>
      </c>
      <c r="AY21" s="20" t="s">
        <v>132</v>
      </c>
      <c r="AZ21" t="e">
        <f ca="1">AVERAGEIFS(INDIRECT($C$3),INDIRECT($C$3),"&gt;=0",Data!$B:$B,AY21,IF($A$20,Data!$J:$J,Data!#REF!),IF($A$20,"&lt;&gt;5",1))</f>
        <v>#DIV/0!</v>
      </c>
      <c r="BA21" s="20" t="e">
        <f t="shared" ca="1" si="19"/>
        <v>#DIV/0!</v>
      </c>
      <c r="BB21" t="s">
        <v>98</v>
      </c>
      <c r="BC21" s="20" t="e">
        <f ca="1">AVERAGEIFS(INDIRECT($D$3),INDIRECT($D$3),"&gt;=0",Data!$B:$B,BB21,IF($A$20,Data!$J:$J,Data!#REF!),IF($A$20,"&lt;&gt;5",1))</f>
        <v>#DIV/0!</v>
      </c>
      <c r="BD21" t="e">
        <f t="shared" ca="1" si="20"/>
        <v>#DIV/0!</v>
      </c>
      <c r="BE21" s="20" t="s">
        <v>34</v>
      </c>
      <c r="BF21" t="e">
        <f ca="1">AVERAGEIFS(INDIRECT($E$3),INDIRECT($E$3),"&gt;=0",Data!$B:$B,BE21,IF($A$20,Data!$J:$J,Data!#REF!),IF($A$20,"&lt;&gt;5",1))</f>
        <v>#DIV/0!</v>
      </c>
      <c r="BG21" s="20" t="e">
        <f t="shared" ca="1" si="21"/>
        <v>#DIV/0!</v>
      </c>
      <c r="BH21" t="s">
        <v>164</v>
      </c>
      <c r="BI21" s="20" t="e">
        <f ca="1">AVERAGEIFS(INDIRECT($F$3),INDIRECT($F$3),"&gt;=0",Data!$B:$B,BH21,IF($A$20,Data!$J:$J,Data!#REF!),IF($A$20,"&lt;&gt;5",1))</f>
        <v>#DIV/0!</v>
      </c>
      <c r="BJ21" t="e">
        <f t="shared" ca="1" si="22"/>
        <v>#DIV/0!</v>
      </c>
      <c r="BK21" s="20" t="s">
        <v>76</v>
      </c>
      <c r="BL21" t="e">
        <f ca="1">AVERAGEIFS(INDIRECT($G$3),INDIRECT($G$3),"&gt;=0",Data!$B:$B,BK21,IF($A$20,Data!$J:$J,Data!#REF!),IF($A$20,"&lt;&gt;5",1))</f>
        <v>#DIV/0!</v>
      </c>
      <c r="BM21" s="20" t="e">
        <f t="shared" ca="1" si="23"/>
        <v>#DIV/0!</v>
      </c>
      <c r="BN21" t="s">
        <v>42</v>
      </c>
      <c r="BO21" t="e">
        <f ca="1">AVERAGEIFS(INDIRECT($H$3),INDIRECT($H$3),"&gt;=0",Data!$B:$B,BN21,IF($A$20,Data!$J:$J,Data!#REF!),IF($A$20,"&lt;&gt;5",1))</f>
        <v>#DIV/0!</v>
      </c>
      <c r="BP21" t="e">
        <f t="shared" ca="1" si="24"/>
        <v>#DIV/0!</v>
      </c>
      <c r="BQ21" t="s">
        <v>111</v>
      </c>
      <c r="BR21" t="e">
        <f ca="1">AVERAGEIFS(INDIRECT($I$3),INDIRECT($I$3),"&gt;=0",Data!$B:$B,BQ21,IF($A$20,Data!$J:$J,Data!#REF!),IF($A$20,"&lt;&gt;5",1))</f>
        <v>#DIV/0!</v>
      </c>
      <c r="BS21" t="e">
        <f t="shared" ca="1" si="25"/>
        <v>#DIV/0!</v>
      </c>
      <c r="BT21" t="s">
        <v>172</v>
      </c>
      <c r="BU21" t="e">
        <f ca="1">AVERAGEIFS(INDIRECT($J$3),INDIRECT($J$3),"&gt;=0",Data!$B:$B,BT21,IF($A$20,Data!$J:$J,Data!#REF!),IF($A$20,"&lt;&gt;5",1))</f>
        <v>#DIV/0!</v>
      </c>
      <c r="BV21" t="e">
        <f t="shared" ca="1" si="26"/>
        <v>#DIV/0!</v>
      </c>
    </row>
    <row r="22" spans="1:74" x14ac:dyDescent="0.35">
      <c r="J22">
        <f t="shared" si="27"/>
        <v>14</v>
      </c>
      <c r="K22" t="s">
        <v>132</v>
      </c>
      <c r="L22" t="e">
        <f ca="1">AVERAGEIFS(INDIRECT($B$3),INDIRECT($B$3),"&gt;=0",Data!$B:$B,$K22)</f>
        <v>#DIV/0!</v>
      </c>
      <c r="M22" t="e">
        <f t="shared" ca="1" si="28"/>
        <v>#DIV/0!</v>
      </c>
      <c r="N22" t="s">
        <v>26</v>
      </c>
      <c r="O22" t="e">
        <f ca="1">AVERAGEIFS(INDIRECT($C$3),INDIRECT($C$3),"&gt;=0",Data!$B:$B,$N22)</f>
        <v>#DIV/0!</v>
      </c>
      <c r="P22" t="e">
        <f t="shared" ca="1" si="1"/>
        <v>#DIV/0!</v>
      </c>
      <c r="Q22" t="s">
        <v>141</v>
      </c>
      <c r="R22" t="e">
        <f ca="1">AVERAGEIFS(INDIRECT($D$3),INDIRECT($D$3),"&gt;=0",Data!$B:$B,$Q22)</f>
        <v>#DIV/0!</v>
      </c>
      <c r="S22" t="e">
        <f t="shared" ca="1" si="2"/>
        <v>#DIV/0!</v>
      </c>
      <c r="T22" t="s">
        <v>127</v>
      </c>
      <c r="U22" t="e">
        <f ca="1">AVERAGEIFS(INDIRECT($E$3),INDIRECT($E$3),"&gt;=0",Data!$B:$B,$T22)</f>
        <v>#DIV/0!</v>
      </c>
      <c r="V22" t="e">
        <f t="shared" ca="1" si="3"/>
        <v>#DIV/0!</v>
      </c>
      <c r="W22" t="s">
        <v>83</v>
      </c>
      <c r="X22" t="e">
        <f ca="1">AVERAGEIFS(INDIRECT($F$3),INDIRECT($F$3),"&gt;=0",Data!$B:$B,$W22)</f>
        <v>#DIV/0!</v>
      </c>
      <c r="Y22" t="e">
        <f t="shared" ca="1" si="4"/>
        <v>#DIV/0!</v>
      </c>
      <c r="Z22" t="s">
        <v>74</v>
      </c>
      <c r="AA22" t="e">
        <f ca="1">AVERAGEIFS(INDIRECT($G$3),INDIRECT($G$3),"&gt;=0",Data!$B:$B,$Z22)</f>
        <v>#DIV/0!</v>
      </c>
      <c r="AB22" t="e">
        <f t="shared" ca="1" si="5"/>
        <v>#DIV/0!</v>
      </c>
      <c r="AC22" t="s">
        <v>37</v>
      </c>
      <c r="AD22" t="e">
        <f ca="1">AVERAGEIFS(INDIRECT($H$3),INDIRECT($H$3),"&gt;=0",Data!$B:$B,$AC22)</f>
        <v>#DIV/0!</v>
      </c>
      <c r="AE22" t="e">
        <f t="shared" ca="1" si="6"/>
        <v>#DIV/0!</v>
      </c>
      <c r="AF22" t="s">
        <v>102</v>
      </c>
      <c r="AG22" t="e">
        <f ca="1">AVERAGEIFS(INDIRECT($I$3),INDIRECT($I$3),"&gt;=0",Data!$B:$B,$AF22)</f>
        <v>#DIV/0!</v>
      </c>
      <c r="AH22" t="e">
        <f t="shared" ca="1" si="7"/>
        <v>#DIV/0!</v>
      </c>
      <c r="AI22" t="s">
        <v>172</v>
      </c>
      <c r="AJ22" t="e">
        <f ca="1">AVERAGEIFS(INDIRECT($J$3),INDIRECT($J$3),"&gt;=0",Data!$B:$B,$AI22)</f>
        <v>#DIV/0!</v>
      </c>
      <c r="AK22" t="e">
        <f t="shared" ca="1" si="8"/>
        <v>#DIV/0!</v>
      </c>
      <c r="AL22" t="str">
        <f t="shared" ca="1" si="9"/>
        <v>-</v>
      </c>
      <c r="AM22" t="str">
        <f t="shared" ca="1" si="10"/>
        <v>-</v>
      </c>
      <c r="AN22" t="str">
        <f t="shared" ca="1" si="11"/>
        <v>-</v>
      </c>
      <c r="AO22" t="str">
        <f t="shared" ca="1" si="12"/>
        <v>-</v>
      </c>
      <c r="AP22" t="str">
        <f t="shared" ca="1" si="13"/>
        <v>-</v>
      </c>
      <c r="AQ22" t="str">
        <f t="shared" ca="1" si="14"/>
        <v>-</v>
      </c>
      <c r="AR22" t="str">
        <f t="shared" ca="1" si="15"/>
        <v>-</v>
      </c>
      <c r="AS22" t="str">
        <f t="shared" ca="1" si="16"/>
        <v>-</v>
      </c>
      <c r="AT22" t="str">
        <f t="shared" ca="1" si="17"/>
        <v>-</v>
      </c>
      <c r="AU22">
        <f t="shared" si="29"/>
        <v>14</v>
      </c>
      <c r="AV22" t="s">
        <v>159</v>
      </c>
      <c r="AW22" s="20" t="e">
        <f ca="1">AVERAGEIFS(INDIRECT($B$3),INDIRECT($B$3),"&gt;=0",Data!$B:$B,AV22,IF($A$20,Data!$J:$J,Data!#REF!),IF($A$20,"&lt;&gt;5",1))</f>
        <v>#DIV/0!</v>
      </c>
      <c r="AX22" t="e">
        <f t="shared" ca="1" si="18"/>
        <v>#DIV/0!</v>
      </c>
      <c r="AY22" s="20" t="s">
        <v>26</v>
      </c>
      <c r="AZ22" t="e">
        <f ca="1">AVERAGEIFS(INDIRECT($C$3),INDIRECT($C$3),"&gt;=0",Data!$B:$B,AY22,IF($A$20,Data!$J:$J,Data!#REF!),IF($A$20,"&lt;&gt;5",1))</f>
        <v>#DIV/0!</v>
      </c>
      <c r="BA22" s="20" t="e">
        <f t="shared" ca="1" si="19"/>
        <v>#DIV/0!</v>
      </c>
      <c r="BB22" t="s">
        <v>10</v>
      </c>
      <c r="BC22" s="20" t="e">
        <f ca="1">AVERAGEIFS(INDIRECT($D$3),INDIRECT($D$3),"&gt;=0",Data!$B:$B,BB22,IF($A$20,Data!$J:$J,Data!#REF!),IF($A$20,"&lt;&gt;5",1))</f>
        <v>#DIV/0!</v>
      </c>
      <c r="BD22" t="e">
        <f t="shared" ca="1" si="20"/>
        <v>#DIV/0!</v>
      </c>
      <c r="BE22" s="20" t="s">
        <v>195</v>
      </c>
      <c r="BF22" t="e">
        <f ca="1">AVERAGEIFS(INDIRECT($E$3),INDIRECT($E$3),"&gt;=0",Data!$B:$B,BE22,IF($A$20,Data!$J:$J,Data!#REF!),IF($A$20,"&lt;&gt;5",1))</f>
        <v>#DIV/0!</v>
      </c>
      <c r="BG22" s="20" t="e">
        <f t="shared" ca="1" si="21"/>
        <v>#DIV/0!</v>
      </c>
      <c r="BH22" t="s">
        <v>84</v>
      </c>
      <c r="BI22" s="20" t="e">
        <f ca="1">AVERAGEIFS(INDIRECT($F$3),INDIRECT($F$3),"&gt;=0",Data!$B:$B,BH22,IF($A$20,Data!$J:$J,Data!#REF!),IF($A$20,"&lt;&gt;5",1))</f>
        <v>#DIV/0!</v>
      </c>
      <c r="BJ22" t="e">
        <f t="shared" ca="1" si="22"/>
        <v>#DIV/0!</v>
      </c>
      <c r="BK22" s="20" t="s">
        <v>77</v>
      </c>
      <c r="BL22" t="e">
        <f ca="1">AVERAGEIFS(INDIRECT($G$3),INDIRECT($G$3),"&gt;=0",Data!$B:$B,BK22,IF($A$20,Data!$J:$J,Data!#REF!),IF($A$20,"&lt;&gt;5",1))</f>
        <v>#DIV/0!</v>
      </c>
      <c r="BM22" s="20" t="e">
        <f t="shared" ca="1" si="23"/>
        <v>#DIV/0!</v>
      </c>
      <c r="BN22" t="s">
        <v>45</v>
      </c>
      <c r="BO22" t="e">
        <f ca="1">AVERAGEIFS(INDIRECT($H$3),INDIRECT($H$3),"&gt;=0",Data!$B:$B,BN22,IF($A$20,Data!$J:$J,Data!#REF!),IF($A$20,"&lt;&gt;5",1))</f>
        <v>#DIV/0!</v>
      </c>
      <c r="BP22" t="e">
        <f t="shared" ca="1" si="24"/>
        <v>#DIV/0!</v>
      </c>
      <c r="BQ22" t="s">
        <v>123</v>
      </c>
      <c r="BR22" t="e">
        <f ca="1">AVERAGEIFS(INDIRECT($I$3),INDIRECT($I$3),"&gt;=0",Data!$B:$B,BQ22,IF($A$20,Data!$J:$J,Data!#REF!),IF($A$20,"&lt;&gt;5",1))</f>
        <v>#DIV/0!</v>
      </c>
      <c r="BS22" t="e">
        <f t="shared" ca="1" si="25"/>
        <v>#DIV/0!</v>
      </c>
      <c r="BT22" t="s">
        <v>181</v>
      </c>
      <c r="BU22">
        <f ca="1">AVERAGEIFS(INDIRECT($J$3),INDIRECT($J$3),"&gt;=0",Data!$B:$B,BT22,IF($A$20,Data!$J:$J,Data!#REF!),IF($A$20,"&lt;&gt;5",1))</f>
        <v>0.5</v>
      </c>
      <c r="BV22" t="e">
        <f t="shared" ca="1" si="26"/>
        <v>#DIV/0!</v>
      </c>
    </row>
    <row r="23" spans="1:74" x14ac:dyDescent="0.35">
      <c r="J23">
        <f t="shared" si="27"/>
        <v>15</v>
      </c>
      <c r="K23" t="s">
        <v>136</v>
      </c>
      <c r="L23" t="e">
        <f ca="1">AVERAGEIFS(INDIRECT($B$3),INDIRECT($B$3),"&gt;=0",Data!$B:$B,$K23)</f>
        <v>#DIV/0!</v>
      </c>
      <c r="M23" t="e">
        <f t="shared" ca="1" si="28"/>
        <v>#DIV/0!</v>
      </c>
      <c r="N23" t="s">
        <v>176</v>
      </c>
      <c r="O23" t="e">
        <f ca="1">AVERAGEIFS(INDIRECT($C$3),INDIRECT($C$3),"&gt;=0",Data!$B:$B,$N23)</f>
        <v>#DIV/0!</v>
      </c>
      <c r="P23" t="e">
        <f t="shared" ca="1" si="1"/>
        <v>#DIV/0!</v>
      </c>
      <c r="Q23" t="s">
        <v>157</v>
      </c>
      <c r="R23" t="e">
        <f ca="1">AVERAGEIFS(INDIRECT($D$3),INDIRECT($D$3),"&gt;=0",Data!$B:$B,$Q23)</f>
        <v>#DIV/0!</v>
      </c>
      <c r="S23" t="e">
        <f t="shared" ca="1" si="2"/>
        <v>#DIV/0!</v>
      </c>
      <c r="T23" t="s">
        <v>165</v>
      </c>
      <c r="U23" t="e">
        <f ca="1">AVERAGEIFS(INDIRECT($E$3),INDIRECT($E$3),"&gt;=0",Data!$B:$B,$T23)</f>
        <v>#DIV/0!</v>
      </c>
      <c r="V23" t="e">
        <f t="shared" ca="1" si="3"/>
        <v>#DIV/0!</v>
      </c>
      <c r="W23" t="s">
        <v>98</v>
      </c>
      <c r="X23" t="e">
        <f ca="1">AVERAGEIFS(INDIRECT($F$3),INDIRECT($F$3),"&gt;=0",Data!$B:$B,$W23)</f>
        <v>#DIV/0!</v>
      </c>
      <c r="Y23" t="e">
        <f t="shared" ca="1" si="4"/>
        <v>#DIV/0!</v>
      </c>
      <c r="Z23" t="s">
        <v>76</v>
      </c>
      <c r="AA23" t="e">
        <f ca="1">AVERAGEIFS(INDIRECT($G$3),INDIRECT($G$3),"&gt;=0",Data!$B:$B,$Z23)</f>
        <v>#DIV/0!</v>
      </c>
      <c r="AB23" t="e">
        <f t="shared" ca="1" si="5"/>
        <v>#DIV/0!</v>
      </c>
      <c r="AC23" t="s">
        <v>42</v>
      </c>
      <c r="AD23" t="e">
        <f ca="1">AVERAGEIFS(INDIRECT($H$3),INDIRECT($H$3),"&gt;=0",Data!$B:$B,$AC23)</f>
        <v>#DIV/0!</v>
      </c>
      <c r="AE23" t="e">
        <f t="shared" ca="1" si="6"/>
        <v>#DIV/0!</v>
      </c>
      <c r="AF23" t="s">
        <v>105</v>
      </c>
      <c r="AG23" t="e">
        <f ca="1">AVERAGEIFS(INDIRECT($I$3),INDIRECT($I$3),"&gt;=0",Data!$B:$B,$AF23)</f>
        <v>#DIV/0!</v>
      </c>
      <c r="AH23" t="e">
        <f t="shared" ca="1" si="7"/>
        <v>#DIV/0!</v>
      </c>
      <c r="AI23" t="s">
        <v>181</v>
      </c>
      <c r="AJ23">
        <f ca="1">AVERAGEIFS(INDIRECT($J$3),INDIRECT($J$3),"&gt;=0",Data!$B:$B,$AI23)</f>
        <v>0.45833333333333331</v>
      </c>
      <c r="AK23" t="e">
        <f t="shared" ca="1" si="8"/>
        <v>#DIV/0!</v>
      </c>
      <c r="AL23" t="str">
        <f t="shared" ca="1" si="9"/>
        <v>-</v>
      </c>
      <c r="AM23" t="str">
        <f t="shared" ca="1" si="10"/>
        <v>-</v>
      </c>
      <c r="AN23" t="str">
        <f t="shared" ca="1" si="11"/>
        <v>-</v>
      </c>
      <c r="AO23" t="str">
        <f t="shared" ca="1" si="12"/>
        <v>-</v>
      </c>
      <c r="AP23" t="str">
        <f t="shared" ca="1" si="13"/>
        <v>-</v>
      </c>
      <c r="AQ23" t="str">
        <f t="shared" ca="1" si="14"/>
        <v>-</v>
      </c>
      <c r="AR23" t="str">
        <f t="shared" ca="1" si="15"/>
        <v>-</v>
      </c>
      <c r="AS23" t="str">
        <f t="shared" ca="1" si="16"/>
        <v>-</v>
      </c>
      <c r="AT23" t="str">
        <f t="shared" ca="1" si="17"/>
        <v>-</v>
      </c>
      <c r="AU23">
        <f t="shared" si="29"/>
        <v>15</v>
      </c>
      <c r="AV23" t="s">
        <v>162</v>
      </c>
      <c r="AW23" s="20" t="e">
        <f ca="1">AVERAGEIFS(INDIRECT($B$3),INDIRECT($B$3),"&gt;=0",Data!$B:$B,AV23,IF($A$20,Data!$J:$J,Data!#REF!),IF($A$20,"&lt;&gt;5",1))</f>
        <v>#DIV/0!</v>
      </c>
      <c r="AX23" t="e">
        <f t="shared" ca="1" si="18"/>
        <v>#DIV/0!</v>
      </c>
      <c r="AY23" s="20" t="s">
        <v>176</v>
      </c>
      <c r="AZ23" t="e">
        <f ca="1">AVERAGEIFS(INDIRECT($C$3),INDIRECT($C$3),"&gt;=0",Data!$B:$B,AY23,IF($A$20,Data!$J:$J,Data!#REF!),IF($A$20,"&lt;&gt;5",1))</f>
        <v>#DIV/0!</v>
      </c>
      <c r="BA23" s="20" t="e">
        <f t="shared" ca="1" si="19"/>
        <v>#DIV/0!</v>
      </c>
      <c r="BB23" t="s">
        <v>164</v>
      </c>
      <c r="BC23" s="20" t="e">
        <f ca="1">AVERAGEIFS(INDIRECT($D$3),INDIRECT($D$3),"&gt;=0",Data!$B:$B,BB23,IF($A$20,Data!$J:$J,Data!#REF!),IF($A$20,"&lt;&gt;5",1))</f>
        <v>#DIV/0!</v>
      </c>
      <c r="BD23" t="e">
        <f t="shared" ca="1" si="20"/>
        <v>#DIV/0!</v>
      </c>
      <c r="BE23" s="20" t="s">
        <v>73</v>
      </c>
      <c r="BF23" t="e">
        <f ca="1">AVERAGEIFS(INDIRECT($E$3),INDIRECT($E$3),"&gt;=0",Data!$B:$B,BE23,IF($A$20,Data!$J:$J,Data!#REF!),IF($A$20,"&lt;&gt;5",1))</f>
        <v>#DIV/0!</v>
      </c>
      <c r="BG23" s="20" t="e">
        <f t="shared" ca="1" si="21"/>
        <v>#DIV/0!</v>
      </c>
      <c r="BH23" t="s">
        <v>143</v>
      </c>
      <c r="BI23" s="20" t="e">
        <f ca="1">AVERAGEIFS(INDIRECT($F$3),INDIRECT($F$3),"&gt;=0",Data!$B:$B,BH23,IF($A$20,Data!$J:$J,Data!#REF!),IF($A$20,"&lt;&gt;5",1))</f>
        <v>#DIV/0!</v>
      </c>
      <c r="BJ23" t="e">
        <f t="shared" ca="1" si="22"/>
        <v>#DIV/0!</v>
      </c>
      <c r="BK23" s="20" t="s">
        <v>80</v>
      </c>
      <c r="BL23" t="e">
        <f ca="1">AVERAGEIFS(INDIRECT($G$3),INDIRECT($G$3),"&gt;=0",Data!$B:$B,BK23,IF($A$20,Data!$J:$J,Data!#REF!),IF($A$20,"&lt;&gt;5",1))</f>
        <v>#DIV/0!</v>
      </c>
      <c r="BM23" s="20" t="e">
        <f t="shared" ca="1" si="23"/>
        <v>#DIV/0!</v>
      </c>
      <c r="BN23" t="s">
        <v>53</v>
      </c>
      <c r="BO23" t="e">
        <f ca="1">AVERAGEIFS(INDIRECT($H$3),INDIRECT($H$3),"&gt;=0",Data!$B:$B,BN23,IF($A$20,Data!$J:$J,Data!#REF!),IF($A$20,"&lt;&gt;5",1))</f>
        <v>#DIV/0!</v>
      </c>
      <c r="BP23" t="e">
        <f t="shared" ca="1" si="24"/>
        <v>#DIV/0!</v>
      </c>
      <c r="BQ23" t="s">
        <v>132</v>
      </c>
      <c r="BR23" t="e">
        <f ca="1">AVERAGEIFS(INDIRECT($I$3),INDIRECT($I$3),"&gt;=0",Data!$B:$B,BQ23,IF($A$20,Data!$J:$J,Data!#REF!),IF($A$20,"&lt;&gt;5",1))</f>
        <v>#DIV/0!</v>
      </c>
      <c r="BS23" t="e">
        <f t="shared" ca="1" si="25"/>
        <v>#DIV/0!</v>
      </c>
      <c r="BT23" t="s">
        <v>180</v>
      </c>
      <c r="BU23" t="e">
        <f ca="1">AVERAGEIFS(INDIRECT($J$3),INDIRECT($J$3),"&gt;=0",Data!$B:$B,BT23,IF($A$20,Data!$J:$J,Data!#REF!),IF($A$20,"&lt;&gt;5",1))</f>
        <v>#DIV/0!</v>
      </c>
      <c r="BV23" t="e">
        <f t="shared" ca="1" si="26"/>
        <v>#DIV/0!</v>
      </c>
    </row>
    <row r="24" spans="1:74" x14ac:dyDescent="0.35">
      <c r="A24" t="str">
        <f>B2</f>
        <v>Targetability</v>
      </c>
      <c r="B24" t="str">
        <f t="shared" ref="B24:I24" si="30">C2</f>
        <v>Speed</v>
      </c>
      <c r="C24" t="str">
        <f t="shared" si="30"/>
        <v>Abuse Resistance</v>
      </c>
      <c r="D24" t="str">
        <f t="shared" si="30"/>
        <v>Recoverability</v>
      </c>
      <c r="E24" t="str">
        <f t="shared" si="30"/>
        <v>Predictability and Cost Control</v>
      </c>
      <c r="F24" t="str">
        <f t="shared" si="30"/>
        <v>Reversibility</v>
      </c>
      <c r="G24" t="str">
        <f t="shared" si="30"/>
        <v>Scalability</v>
      </c>
      <c r="H24" t="str">
        <f t="shared" si="30"/>
        <v>Administrative Complexity</v>
      </c>
      <c r="I24" t="str">
        <f t="shared" si="30"/>
        <v>Resilience to Health Measures</v>
      </c>
      <c r="J24">
        <f t="shared" si="27"/>
        <v>16</v>
      </c>
      <c r="K24" t="s">
        <v>143</v>
      </c>
      <c r="L24" t="e">
        <f ca="1">AVERAGEIFS(INDIRECT($B$3),INDIRECT($B$3),"&gt;=0",Data!$B:$B,$K24)</f>
        <v>#DIV/0!</v>
      </c>
      <c r="M24" t="e">
        <f t="shared" ca="1" si="28"/>
        <v>#DIV/0!</v>
      </c>
      <c r="N24" t="s">
        <v>121</v>
      </c>
      <c r="O24" t="e">
        <f ca="1">AVERAGEIFS(INDIRECT($C$3),INDIRECT($C$3),"&gt;=0",Data!$B:$B,$N24)</f>
        <v>#DIV/0!</v>
      </c>
      <c r="P24" t="e">
        <f t="shared" ca="1" si="1"/>
        <v>#DIV/0!</v>
      </c>
      <c r="Q24" t="s">
        <v>7</v>
      </c>
      <c r="R24" t="e">
        <f ca="1">AVERAGEIFS(INDIRECT($D$3),INDIRECT($D$3),"&gt;=0",Data!$B:$B,$Q24)</f>
        <v>#DIV/0!</v>
      </c>
      <c r="S24" t="e">
        <f t="shared" ca="1" si="2"/>
        <v>#DIV/0!</v>
      </c>
      <c r="T24" t="s">
        <v>51</v>
      </c>
      <c r="U24" t="e">
        <f ca="1">AVERAGEIFS(INDIRECT($E$3),INDIRECT($E$3),"&gt;=0",Data!$B:$B,$T24)</f>
        <v>#DIV/0!</v>
      </c>
      <c r="V24" t="e">
        <f t="shared" ca="1" si="3"/>
        <v>#DIV/0!</v>
      </c>
      <c r="W24" t="s">
        <v>104</v>
      </c>
      <c r="X24" t="e">
        <f ca="1">AVERAGEIFS(INDIRECT($F$3),INDIRECT($F$3),"&gt;=0",Data!$B:$B,$W24)</f>
        <v>#DIV/0!</v>
      </c>
      <c r="Y24" t="e">
        <f t="shared" ca="1" si="4"/>
        <v>#DIV/0!</v>
      </c>
      <c r="Z24" t="s">
        <v>77</v>
      </c>
      <c r="AA24" t="e">
        <f ca="1">AVERAGEIFS(INDIRECT($G$3),INDIRECT($G$3),"&gt;=0",Data!$B:$B,$Z24)</f>
        <v>#DIV/0!</v>
      </c>
      <c r="AB24" t="e">
        <f t="shared" ca="1" si="5"/>
        <v>#DIV/0!</v>
      </c>
      <c r="AC24" t="s">
        <v>45</v>
      </c>
      <c r="AD24" t="e">
        <f ca="1">AVERAGEIFS(INDIRECT($H$3),INDIRECT($H$3),"&gt;=0",Data!$B:$B,$AC24)</f>
        <v>#DIV/0!</v>
      </c>
      <c r="AE24" t="e">
        <f t="shared" ca="1" si="6"/>
        <v>#DIV/0!</v>
      </c>
      <c r="AF24" t="s">
        <v>111</v>
      </c>
      <c r="AG24" t="e">
        <f ca="1">AVERAGEIFS(INDIRECT($I$3),INDIRECT($I$3),"&gt;=0",Data!$B:$B,$AF24)</f>
        <v>#DIV/0!</v>
      </c>
      <c r="AH24" t="e">
        <f t="shared" ca="1" si="7"/>
        <v>#DIV/0!</v>
      </c>
      <c r="AI24" t="s">
        <v>180</v>
      </c>
      <c r="AJ24" t="e">
        <f ca="1">AVERAGEIFS(INDIRECT($J$3),INDIRECT($J$3),"&gt;=0",Data!$B:$B,$AI24)</f>
        <v>#DIV/0!</v>
      </c>
      <c r="AK24" t="e">
        <f t="shared" ca="1" si="8"/>
        <v>#DIV/0!</v>
      </c>
      <c r="AL24" t="str">
        <f t="shared" ca="1" si="9"/>
        <v>-</v>
      </c>
      <c r="AM24" t="str">
        <f t="shared" ca="1" si="10"/>
        <v>-</v>
      </c>
      <c r="AN24" t="str">
        <f t="shared" ca="1" si="11"/>
        <v>-</v>
      </c>
      <c r="AO24" t="str">
        <f t="shared" ca="1" si="12"/>
        <v>-</v>
      </c>
      <c r="AP24" t="str">
        <f t="shared" ca="1" si="13"/>
        <v>-</v>
      </c>
      <c r="AQ24" t="str">
        <f t="shared" ca="1" si="14"/>
        <v>-</v>
      </c>
      <c r="AR24" t="str">
        <f t="shared" ca="1" si="15"/>
        <v>-</v>
      </c>
      <c r="AS24" t="str">
        <f t="shared" ca="1" si="16"/>
        <v>-</v>
      </c>
      <c r="AT24" t="str">
        <f t="shared" ca="1" si="17"/>
        <v>-</v>
      </c>
      <c r="AU24">
        <f t="shared" si="29"/>
        <v>16</v>
      </c>
      <c r="AV24" t="s">
        <v>164</v>
      </c>
      <c r="AW24" s="20" t="e">
        <f ca="1">AVERAGEIFS(INDIRECT($B$3),INDIRECT($B$3),"&gt;=0",Data!$B:$B,AV24,IF($A$20,Data!$J:$J,Data!#REF!),IF($A$20,"&lt;&gt;5",1))</f>
        <v>#DIV/0!</v>
      </c>
      <c r="AX24" t="e">
        <f t="shared" ca="1" si="18"/>
        <v>#DIV/0!</v>
      </c>
      <c r="AY24" s="20" t="s">
        <v>121</v>
      </c>
      <c r="AZ24" t="e">
        <f ca="1">AVERAGEIFS(INDIRECT($C$3),INDIRECT($C$3),"&gt;=0",Data!$B:$B,AY24,IF($A$20,Data!$J:$J,Data!#REF!),IF($A$20,"&lt;&gt;5",1))</f>
        <v>#DIV/0!</v>
      </c>
      <c r="BA24" s="20" t="e">
        <f t="shared" ca="1" si="19"/>
        <v>#DIV/0!</v>
      </c>
      <c r="BB24" t="s">
        <v>193</v>
      </c>
      <c r="BC24" s="20" t="e">
        <f ca="1">AVERAGEIFS(INDIRECT($D$3),INDIRECT($D$3),"&gt;=0",Data!$B:$B,BB24,IF($A$20,Data!$J:$J,Data!#REF!),IF($A$20,"&lt;&gt;5",1))</f>
        <v>#DIV/0!</v>
      </c>
      <c r="BD24" t="e">
        <f t="shared" ca="1" si="20"/>
        <v>#DIV/0!</v>
      </c>
      <c r="BE24" s="20" t="s">
        <v>171</v>
      </c>
      <c r="BF24" t="e">
        <f ca="1">AVERAGEIFS(INDIRECT($E$3),INDIRECT($E$3),"&gt;=0",Data!$B:$B,BE24,IF($A$20,Data!$J:$J,Data!#REF!),IF($A$20,"&lt;&gt;5",1))</f>
        <v>#DIV/0!</v>
      </c>
      <c r="BG24" s="20" t="e">
        <f t="shared" ca="1" si="21"/>
        <v>#DIV/0!</v>
      </c>
      <c r="BH24" t="s">
        <v>3</v>
      </c>
      <c r="BI24" s="20" t="e">
        <f ca="1">AVERAGEIFS(INDIRECT($F$3),INDIRECT($F$3),"&gt;=0",Data!$B:$B,BH24,IF($A$20,Data!$J:$J,Data!#REF!),IF($A$20,"&lt;&gt;5",1))</f>
        <v>#DIV/0!</v>
      </c>
      <c r="BJ24" t="e">
        <f t="shared" ca="1" si="22"/>
        <v>#DIV/0!</v>
      </c>
      <c r="BK24" s="20" t="s">
        <v>84</v>
      </c>
      <c r="BL24" t="e">
        <f ca="1">AVERAGEIFS(INDIRECT($G$3),INDIRECT($G$3),"&gt;=0",Data!$B:$B,BK24,IF($A$20,Data!$J:$J,Data!#REF!),IF($A$20,"&lt;&gt;5",1))</f>
        <v>#DIV/0!</v>
      </c>
      <c r="BM24" s="20" t="e">
        <f t="shared" ca="1" si="23"/>
        <v>#DIV/0!</v>
      </c>
      <c r="BN24" t="s">
        <v>54</v>
      </c>
      <c r="BO24" t="e">
        <f ca="1">AVERAGEIFS(INDIRECT($H$3),INDIRECT($H$3),"&gt;=0",Data!$B:$B,BN24,IF($A$20,Data!$J:$J,Data!#REF!),IF($A$20,"&lt;&gt;5",1))</f>
        <v>#DIV/0!</v>
      </c>
      <c r="BP24" t="e">
        <f t="shared" ca="1" si="24"/>
        <v>#DIV/0!</v>
      </c>
      <c r="BQ24" t="s">
        <v>149</v>
      </c>
      <c r="BR24" t="e">
        <f ca="1">AVERAGEIFS(INDIRECT($I$3),INDIRECT($I$3),"&gt;=0",Data!$B:$B,BQ24,IF($A$20,Data!$J:$J,Data!#REF!),IF($A$20,"&lt;&gt;5",1))</f>
        <v>#DIV/0!</v>
      </c>
      <c r="BS24" t="e">
        <f t="shared" ca="1" si="25"/>
        <v>#DIV/0!</v>
      </c>
      <c r="BT24" t="s">
        <v>179</v>
      </c>
      <c r="BU24" t="e">
        <f ca="1">AVERAGEIFS(INDIRECT($J$3),INDIRECT($J$3),"&gt;=0",Data!$B:$B,BT24,IF($A$20,Data!$J:$J,Data!#REF!),IF($A$20,"&lt;&gt;5",1))</f>
        <v>#DIV/0!</v>
      </c>
      <c r="BV24" t="e">
        <f t="shared" ca="1" si="26"/>
        <v>#DIV/0!</v>
      </c>
    </row>
    <row r="25" spans="1:74" x14ac:dyDescent="0.35">
      <c r="A25" t="e">
        <f ca="1">B4</f>
        <v>#DIV/0!</v>
      </c>
      <c r="B25" t="e">
        <f t="shared" ref="B25:I25" ca="1" si="31">C4</f>
        <v>#DIV/0!</v>
      </c>
      <c r="C25" t="e">
        <f t="shared" ca="1" si="31"/>
        <v>#DIV/0!</v>
      </c>
      <c r="D25" t="e">
        <f t="shared" ca="1" si="31"/>
        <v>#DIV/0!</v>
      </c>
      <c r="E25" t="e">
        <f t="shared" ca="1" si="31"/>
        <v>#DIV/0!</v>
      </c>
      <c r="F25" t="e">
        <f t="shared" ca="1" si="31"/>
        <v>#DIV/0!</v>
      </c>
      <c r="G25" t="e">
        <f t="shared" ca="1" si="31"/>
        <v>#DIV/0!</v>
      </c>
      <c r="H25" t="e">
        <f t="shared" ca="1" si="31"/>
        <v>#DIV/0!</v>
      </c>
      <c r="I25" t="e">
        <f t="shared" ca="1" si="31"/>
        <v>#DIV/0!</v>
      </c>
      <c r="J25">
        <f t="shared" si="27"/>
        <v>17</v>
      </c>
      <c r="K25" t="s">
        <v>144</v>
      </c>
      <c r="L25" t="e">
        <f ca="1">AVERAGEIFS(INDIRECT($B$3),INDIRECT($B$3),"&gt;=0",Data!$B:$B,$K25)</f>
        <v>#DIV/0!</v>
      </c>
      <c r="M25" t="e">
        <f t="shared" ca="1" si="28"/>
        <v>#DIV/0!</v>
      </c>
      <c r="N25" t="s">
        <v>9</v>
      </c>
      <c r="O25" t="e">
        <f ca="1">AVERAGEIFS(INDIRECT($C$3),INDIRECT($C$3),"&gt;=0",Data!$B:$B,$N25)</f>
        <v>#DIV/0!</v>
      </c>
      <c r="P25" t="e">
        <f t="shared" ca="1" si="1"/>
        <v>#DIV/0!</v>
      </c>
      <c r="Q25" t="s">
        <v>71</v>
      </c>
      <c r="R25" t="e">
        <f ca="1">AVERAGEIFS(INDIRECT($D$3),INDIRECT($D$3),"&gt;=0",Data!$B:$B,$Q25)</f>
        <v>#DIV/0!</v>
      </c>
      <c r="S25" t="e">
        <f t="shared" ca="1" si="2"/>
        <v>#DIV/0!</v>
      </c>
      <c r="T25" t="s">
        <v>7</v>
      </c>
      <c r="U25" t="e">
        <f ca="1">AVERAGEIFS(INDIRECT($E$3),INDIRECT($E$3),"&gt;=0",Data!$B:$B,$T25)</f>
        <v>#DIV/0!</v>
      </c>
      <c r="V25" t="e">
        <f t="shared" ca="1" si="3"/>
        <v>#DIV/0!</v>
      </c>
      <c r="W25" t="s">
        <v>107</v>
      </c>
      <c r="X25">
        <f ca="1">AVERAGEIFS(INDIRECT($F$3),INDIRECT($F$3),"&gt;=0",Data!$B:$B,$W25)</f>
        <v>0</v>
      </c>
      <c r="Y25" t="e">
        <f t="shared" ca="1" si="4"/>
        <v>#DIV/0!</v>
      </c>
      <c r="Z25" t="s">
        <v>80</v>
      </c>
      <c r="AA25" t="e">
        <f ca="1">AVERAGEIFS(INDIRECT($G$3),INDIRECT($G$3),"&gt;=0",Data!$B:$B,$Z25)</f>
        <v>#DIV/0!</v>
      </c>
      <c r="AB25" t="e">
        <f t="shared" ca="1" si="5"/>
        <v>#DIV/0!</v>
      </c>
      <c r="AC25" t="s">
        <v>53</v>
      </c>
      <c r="AD25" t="e">
        <f ca="1">AVERAGEIFS(INDIRECT($H$3),INDIRECT($H$3),"&gt;=0",Data!$B:$B,$AC25)</f>
        <v>#DIV/0!</v>
      </c>
      <c r="AE25" t="e">
        <f t="shared" ca="1" si="6"/>
        <v>#DIV/0!</v>
      </c>
      <c r="AF25" t="s">
        <v>116</v>
      </c>
      <c r="AG25" t="e">
        <f ca="1">AVERAGEIFS(INDIRECT($I$3),INDIRECT($I$3),"&gt;=0",Data!$B:$B,$AF25)</f>
        <v>#DIV/0!</v>
      </c>
      <c r="AH25" t="e">
        <f t="shared" ca="1" si="7"/>
        <v>#DIV/0!</v>
      </c>
      <c r="AI25" t="s">
        <v>179</v>
      </c>
      <c r="AJ25" t="e">
        <f ca="1">AVERAGEIFS(INDIRECT($J$3),INDIRECT($J$3),"&gt;=0",Data!$B:$B,$AI25)</f>
        <v>#DIV/0!</v>
      </c>
      <c r="AK25" t="e">
        <f t="shared" ca="1" si="8"/>
        <v>#DIV/0!</v>
      </c>
      <c r="AL25" t="str">
        <f t="shared" ca="1" si="9"/>
        <v>-</v>
      </c>
      <c r="AM25" t="str">
        <f t="shared" ca="1" si="10"/>
        <v>-</v>
      </c>
      <c r="AN25" t="str">
        <f t="shared" ca="1" si="11"/>
        <v>-</v>
      </c>
      <c r="AO25" t="str">
        <f t="shared" ca="1" si="12"/>
        <v>-</v>
      </c>
      <c r="AP25" t="str">
        <f t="shared" ca="1" si="13"/>
        <v>-</v>
      </c>
      <c r="AQ25" t="str">
        <f t="shared" ca="1" si="14"/>
        <v>-</v>
      </c>
      <c r="AR25" t="str">
        <f t="shared" ca="1" si="15"/>
        <v>-</v>
      </c>
      <c r="AS25" t="str">
        <f t="shared" ca="1" si="16"/>
        <v>-</v>
      </c>
      <c r="AT25" t="str">
        <f t="shared" ca="1" si="17"/>
        <v>-</v>
      </c>
      <c r="AU25">
        <f t="shared" si="29"/>
        <v>17</v>
      </c>
      <c r="AV25" t="s">
        <v>176</v>
      </c>
      <c r="AW25" s="20" t="e">
        <f ca="1">AVERAGEIFS(INDIRECT($B$3),INDIRECT($B$3),"&gt;=0",Data!$B:$B,AV25,IF($A$20,Data!$J:$J,Data!#REF!),IF($A$20,"&lt;&gt;5",1))</f>
        <v>#DIV/0!</v>
      </c>
      <c r="AX25" t="e">
        <f t="shared" ca="1" si="18"/>
        <v>#DIV/0!</v>
      </c>
      <c r="AY25" s="20" t="s">
        <v>9</v>
      </c>
      <c r="AZ25" t="e">
        <f ca="1">AVERAGEIFS(INDIRECT($C$3),INDIRECT($C$3),"&gt;=0",Data!$B:$B,AY25,IF($A$20,Data!$J:$J,Data!#REF!),IF($A$20,"&lt;&gt;5",1))</f>
        <v>#DIV/0!</v>
      </c>
      <c r="BA25" s="20" t="e">
        <f t="shared" ca="1" si="19"/>
        <v>#DIV/0!</v>
      </c>
      <c r="BB25" t="s">
        <v>42</v>
      </c>
      <c r="BC25" s="20" t="e">
        <f ca="1">AVERAGEIFS(INDIRECT($D$3),INDIRECT($D$3),"&gt;=0",Data!$B:$B,BB25,IF($A$20,Data!$J:$J,Data!#REF!),IF($A$20,"&lt;&gt;5",1))</f>
        <v>#DIV/0!</v>
      </c>
      <c r="BD25" t="e">
        <f t="shared" ca="1" si="20"/>
        <v>#DIV/0!</v>
      </c>
      <c r="BE25" s="20" t="s">
        <v>51</v>
      </c>
      <c r="BF25" t="e">
        <f ca="1">AVERAGEIFS(INDIRECT($E$3),INDIRECT($E$3),"&gt;=0",Data!$B:$B,BE25,IF($A$20,Data!$J:$J,Data!#REF!),IF($A$20,"&lt;&gt;5",1))</f>
        <v>#DIV/0!</v>
      </c>
      <c r="BG25" s="20" t="e">
        <f t="shared" ca="1" si="21"/>
        <v>#DIV/0!</v>
      </c>
      <c r="BH25" t="s">
        <v>36</v>
      </c>
      <c r="BI25" s="20" t="e">
        <f ca="1">AVERAGEIFS(INDIRECT($F$3),INDIRECT($F$3),"&gt;=0",Data!$B:$B,BH25,IF($A$20,Data!$J:$J,Data!#REF!),IF($A$20,"&lt;&gt;5",1))</f>
        <v>#DIV/0!</v>
      </c>
      <c r="BJ25" t="e">
        <f t="shared" ca="1" si="22"/>
        <v>#DIV/0!</v>
      </c>
      <c r="BK25" s="20" t="s">
        <v>90</v>
      </c>
      <c r="BL25" t="e">
        <f ca="1">AVERAGEIFS(INDIRECT($G$3),INDIRECT($G$3),"&gt;=0",Data!$B:$B,BK25,IF($A$20,Data!$J:$J,Data!#REF!),IF($A$20,"&lt;&gt;5",1))</f>
        <v>#DIV/0!</v>
      </c>
      <c r="BM25" s="20" t="e">
        <f t="shared" ca="1" si="23"/>
        <v>#DIV/0!</v>
      </c>
      <c r="BN25" t="s">
        <v>61</v>
      </c>
      <c r="BO25" t="e">
        <f ca="1">AVERAGEIFS(INDIRECT($H$3),INDIRECT($H$3),"&gt;=0",Data!$B:$B,BN25,IF($A$20,Data!$J:$J,Data!#REF!),IF($A$20,"&lt;&gt;5",1))</f>
        <v>#DIV/0!</v>
      </c>
      <c r="BP25" t="e">
        <f t="shared" ca="1" si="24"/>
        <v>#DIV/0!</v>
      </c>
      <c r="BQ25" t="s">
        <v>150</v>
      </c>
      <c r="BR25" t="e">
        <f ca="1">AVERAGEIFS(INDIRECT($I$3),INDIRECT($I$3),"&gt;=0",Data!$B:$B,BQ25,IF($A$20,Data!$J:$J,Data!#REF!),IF($A$20,"&lt;&gt;5",1))</f>
        <v>#DIV/0!</v>
      </c>
      <c r="BS25" t="e">
        <f t="shared" ca="1" si="25"/>
        <v>#DIV/0!</v>
      </c>
      <c r="BT25" t="s">
        <v>178</v>
      </c>
      <c r="BU25" t="e">
        <f ca="1">AVERAGEIFS(INDIRECT($J$3),INDIRECT($J$3),"&gt;=0",Data!$B:$B,BT25,IF($A$20,Data!$J:$J,Data!#REF!),IF($A$20,"&lt;&gt;5",1))</f>
        <v>#DIV/0!</v>
      </c>
      <c r="BV25" t="e">
        <f t="shared" ca="1" si="26"/>
        <v>#DIV/0!</v>
      </c>
    </row>
    <row r="26" spans="1:74" x14ac:dyDescent="0.35">
      <c r="A26" t="e">
        <f ca="1">AVERAGEIFS(INDIRECT(B3),INDIRECT(B3),"&gt;=0",INDIRECT('Sample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backend'!$G$25,IF($A$20,Data!$J:$J,Data!#REF!),IF($A$20,"&lt;&gt;5",1))</f>
        <v>#DIV/0!</v>
      </c>
      <c r="B26" t="e">
        <f ca="1">AVERAGEIFS(INDIRECT(C3),INDIRECT(C3),"&gt;=0",INDIRECT('Sample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backend'!$G$25,IF($A$20,Data!$J:$J,Data!#REF!),IF($A$20,"&lt;&gt;5",1))</f>
        <v>#DIV/0!</v>
      </c>
      <c r="C26" t="e">
        <f ca="1">AVERAGEIFS(INDIRECT(D3),INDIRECT(D3),"&gt;=0",INDIRECT('Sample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backend'!$G$25,IF($A$20,Data!$J:$J,Data!#REF!),IF($A$20,"&lt;&gt;5",1))</f>
        <v>#DIV/0!</v>
      </c>
      <c r="D26" t="e">
        <f ca="1">AVERAGEIFS(INDIRECT(E3),INDIRECT(E3),"&gt;=0",INDIRECT('Sample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backend'!$G$25,IF($A$20,Data!$J:$J,Data!#REF!),IF($A$20,"&lt;&gt;5",1))</f>
        <v>#DIV/0!</v>
      </c>
      <c r="E26" t="e">
        <f ca="1">AVERAGEIFS(INDIRECT(F3),INDIRECT(F3),"&gt;=0",INDIRECT('Sample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backend'!$G$25,IF($A$20,Data!$J:$J,Data!#REF!),IF($A$20,"&lt;&gt;5",1))</f>
        <v>#DIV/0!</v>
      </c>
      <c r="F26" t="e">
        <f ca="1">AVERAGEIFS(INDIRECT(G3),INDIRECT(G3),"&gt;=0",INDIRECT('Sample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backend'!$G$25,IF($A$20,Data!$J:$J,Data!#REF!),IF($A$20,"&lt;&gt;5",1))</f>
        <v>#DIV/0!</v>
      </c>
      <c r="G26" t="e">
        <f ca="1">AVERAGEIFS(INDIRECT(H3),INDIRECT(H3),"&gt;=0",INDIRECT('Sample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backend'!$G$25,IF($A$20,Data!$J:$J,Data!#REF!),IF($A$20,"&lt;&gt;5",1))</f>
        <v>#DIV/0!</v>
      </c>
      <c r="H26" t="e">
        <f ca="1">AVERAGEIFS(INDIRECT(I3),INDIRECT(I3),"&gt;=0",INDIRECT('Sample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backend'!$G$25,IF($A$20,Data!$J:$J,Data!#REF!),IF($A$20,"&lt;&gt;5",1))</f>
        <v>#DIV/0!</v>
      </c>
      <c r="I26" t="e">
        <f ca="1">AVERAGEIFS(INDIRECT(J3),INDIRECT(J3),"&gt;=0",INDIRECT('Sample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backend'!$G$25,IF($A$20,Data!$J:$J,Data!#REF!),IF($A$20,"&lt;&gt;5",1))</f>
        <v>#DIV/0!</v>
      </c>
      <c r="J26">
        <f t="shared" si="27"/>
        <v>18</v>
      </c>
      <c r="K26" t="s">
        <v>159</v>
      </c>
      <c r="L26" t="e">
        <f ca="1">AVERAGEIFS(INDIRECT($B$3),INDIRECT($B$3),"&gt;=0",Data!$B:$B,$K26)</f>
        <v>#DIV/0!</v>
      </c>
      <c r="M26" t="e">
        <f t="shared" ca="1" si="28"/>
        <v>#DIV/0!</v>
      </c>
      <c r="N26" t="s">
        <v>152</v>
      </c>
      <c r="O26" t="e">
        <f ca="1">AVERAGEIFS(INDIRECT($C$3),INDIRECT($C$3),"&gt;=0",Data!$B:$B,$N26)</f>
        <v>#DIV/0!</v>
      </c>
      <c r="P26" t="e">
        <f t="shared" ca="1" si="1"/>
        <v>#DIV/0!</v>
      </c>
      <c r="Q26" t="s">
        <v>98</v>
      </c>
      <c r="R26" t="e">
        <f ca="1">AVERAGEIFS(INDIRECT($D$3),INDIRECT($D$3),"&gt;=0",Data!$B:$B,$Q26)</f>
        <v>#DIV/0!</v>
      </c>
      <c r="S26" t="e">
        <f t="shared" ca="1" si="2"/>
        <v>#DIV/0!</v>
      </c>
      <c r="T26" t="s">
        <v>104</v>
      </c>
      <c r="U26" t="e">
        <f ca="1">AVERAGEIFS(INDIRECT($E$3),INDIRECT($E$3),"&gt;=0",Data!$B:$B,$T26)</f>
        <v>#DIV/0!</v>
      </c>
      <c r="V26" t="e">
        <f t="shared" ca="1" si="3"/>
        <v>#DIV/0!</v>
      </c>
      <c r="W26" t="s">
        <v>167</v>
      </c>
      <c r="X26">
        <f ca="1">AVERAGEIFS(INDIRECT($F$3),INDIRECT($F$3),"&gt;=0",Data!$B:$B,$W26)</f>
        <v>0</v>
      </c>
      <c r="Y26" t="e">
        <f t="shared" ca="1" si="4"/>
        <v>#DIV/0!</v>
      </c>
      <c r="Z26" t="s">
        <v>84</v>
      </c>
      <c r="AA26" t="e">
        <f ca="1">AVERAGEIFS(INDIRECT($G$3),INDIRECT($G$3),"&gt;=0",Data!$B:$B,$Z26)</f>
        <v>#DIV/0!</v>
      </c>
      <c r="AB26" t="e">
        <f t="shared" ca="1" si="5"/>
        <v>#DIV/0!</v>
      </c>
      <c r="AC26" t="s">
        <v>54</v>
      </c>
      <c r="AD26" t="e">
        <f ca="1">AVERAGEIFS(INDIRECT($H$3),INDIRECT($H$3),"&gt;=0",Data!$B:$B,$AC26)</f>
        <v>#DIV/0!</v>
      </c>
      <c r="AE26" t="e">
        <f t="shared" ca="1" si="6"/>
        <v>#DIV/0!</v>
      </c>
      <c r="AF26" t="s">
        <v>123</v>
      </c>
      <c r="AG26" t="e">
        <f ca="1">AVERAGEIFS(INDIRECT($I$3),INDIRECT($I$3),"&gt;=0",Data!$B:$B,$AF26)</f>
        <v>#DIV/0!</v>
      </c>
      <c r="AH26" t="e">
        <f t="shared" ca="1" si="7"/>
        <v>#DIV/0!</v>
      </c>
      <c r="AI26" t="s">
        <v>178</v>
      </c>
      <c r="AJ26" t="e">
        <f ca="1">AVERAGEIFS(INDIRECT($J$3),INDIRECT($J$3),"&gt;=0",Data!$B:$B,$AI26)</f>
        <v>#DIV/0!</v>
      </c>
      <c r="AK26" t="e">
        <f t="shared" ca="1" si="8"/>
        <v>#DIV/0!</v>
      </c>
      <c r="AL26" t="str">
        <f t="shared" ca="1" si="9"/>
        <v>-</v>
      </c>
      <c r="AM26" t="str">
        <f t="shared" ca="1" si="10"/>
        <v>-</v>
      </c>
      <c r="AN26" t="str">
        <f t="shared" ca="1" si="11"/>
        <v>-</v>
      </c>
      <c r="AO26" t="str">
        <f t="shared" ca="1" si="12"/>
        <v>-</v>
      </c>
      <c r="AP26" t="str">
        <f t="shared" ca="1" si="13"/>
        <v>-</v>
      </c>
      <c r="AQ26" t="str">
        <f t="shared" ca="1" si="14"/>
        <v>-</v>
      </c>
      <c r="AR26" t="str">
        <f t="shared" ca="1" si="15"/>
        <v>-</v>
      </c>
      <c r="AS26" t="str">
        <f t="shared" ca="1" si="16"/>
        <v>-</v>
      </c>
      <c r="AT26" t="str">
        <f t="shared" ca="1" si="17"/>
        <v>-</v>
      </c>
      <c r="AU26">
        <f t="shared" si="29"/>
        <v>18</v>
      </c>
      <c r="AV26" t="s">
        <v>190</v>
      </c>
      <c r="AW26" s="20" t="e">
        <f ca="1">AVERAGEIFS(INDIRECT($B$3),INDIRECT($B$3),"&gt;=0",Data!$B:$B,AV26,IF($A$20,Data!$J:$J,Data!#REF!),IF($A$20,"&lt;&gt;5",1))</f>
        <v>#DIV/0!</v>
      </c>
      <c r="AX26" t="e">
        <f t="shared" ca="1" si="18"/>
        <v>#DIV/0!</v>
      </c>
      <c r="AY26" s="20" t="s">
        <v>152</v>
      </c>
      <c r="AZ26" t="e">
        <f ca="1">AVERAGEIFS(INDIRECT($C$3),INDIRECT($C$3),"&gt;=0",Data!$B:$B,AY26,IF($A$20,Data!$J:$J,Data!#REF!),IF($A$20,"&lt;&gt;5",1))</f>
        <v>#DIV/0!</v>
      </c>
      <c r="BA26" s="20" t="e">
        <f t="shared" ca="1" si="19"/>
        <v>#DIV/0!</v>
      </c>
      <c r="BB26" t="s">
        <v>3</v>
      </c>
      <c r="BC26" s="20" t="e">
        <f ca="1">AVERAGEIFS(INDIRECT($D$3),INDIRECT($D$3),"&gt;=0",Data!$B:$B,BB26,IF($A$20,Data!$J:$J,Data!#REF!),IF($A$20,"&lt;&gt;5",1))</f>
        <v>#DIV/0!</v>
      </c>
      <c r="BD26" t="e">
        <f t="shared" ca="1" si="20"/>
        <v>#DIV/0!</v>
      </c>
      <c r="BE26" s="20" t="s">
        <v>140</v>
      </c>
      <c r="BF26" t="e">
        <f ca="1">AVERAGEIFS(INDIRECT($E$3),INDIRECT($E$3),"&gt;=0",Data!$B:$B,BE26,IF($A$20,Data!$J:$J,Data!#REF!),IF($A$20,"&lt;&gt;5",1))</f>
        <v>#DIV/0!</v>
      </c>
      <c r="BG26" s="20" t="e">
        <f t="shared" ca="1" si="21"/>
        <v>#DIV/0!</v>
      </c>
      <c r="BH26" t="s">
        <v>67</v>
      </c>
      <c r="BI26" s="20" t="e">
        <f ca="1">AVERAGEIFS(INDIRECT($F$3),INDIRECT($F$3),"&gt;=0",Data!$B:$B,BH26,IF($A$20,Data!$J:$J,Data!#REF!),IF($A$20,"&lt;&gt;5",1))</f>
        <v>#DIV/0!</v>
      </c>
      <c r="BJ26" t="e">
        <f t="shared" ca="1" si="22"/>
        <v>#DIV/0!</v>
      </c>
      <c r="BK26" s="20" t="s">
        <v>91</v>
      </c>
      <c r="BL26">
        <f ca="1">AVERAGEIFS(INDIRECT($G$3),INDIRECT($G$3),"&gt;=0",Data!$B:$B,BK26,IF($A$20,Data!$J:$J,Data!#REF!),IF($A$20,"&lt;&gt;5",1))</f>
        <v>0.83333333333333337</v>
      </c>
      <c r="BM26" s="20" t="e">
        <f t="shared" ca="1" si="23"/>
        <v>#DIV/0!</v>
      </c>
      <c r="BN26" t="s">
        <v>66</v>
      </c>
      <c r="BO26" t="e">
        <f ca="1">AVERAGEIFS(INDIRECT($H$3),INDIRECT($H$3),"&gt;=0",Data!$B:$B,BN26,IF($A$20,Data!$J:$J,Data!#REF!),IF($A$20,"&lt;&gt;5",1))</f>
        <v>#DIV/0!</v>
      </c>
      <c r="BP26" t="e">
        <f t="shared" ca="1" si="24"/>
        <v>#DIV/0!</v>
      </c>
      <c r="BQ26" t="s">
        <v>165</v>
      </c>
      <c r="BR26" t="e">
        <f ca="1">AVERAGEIFS(INDIRECT($I$3),INDIRECT($I$3),"&gt;=0",Data!$B:$B,BQ26,IF($A$20,Data!$J:$J,Data!#REF!),IF($A$20,"&lt;&gt;5",1))</f>
        <v>#DIV/0!</v>
      </c>
      <c r="BS26" t="e">
        <f t="shared" ca="1" si="25"/>
        <v>#DIV/0!</v>
      </c>
      <c r="BT26" t="s">
        <v>174</v>
      </c>
      <c r="BU26" t="e">
        <f ca="1">AVERAGEIFS(INDIRECT($J$3),INDIRECT($J$3),"&gt;=0",Data!$B:$B,BT26,IF($A$20,Data!$J:$J,Data!#REF!),IF($A$20,"&lt;&gt;5",1))</f>
        <v>#DIV/0!</v>
      </c>
      <c r="BV26" t="e">
        <f t="shared" ca="1" si="26"/>
        <v>#DIV/0!</v>
      </c>
    </row>
    <row r="27" spans="1:74" x14ac:dyDescent="0.35">
      <c r="J27">
        <f t="shared" si="27"/>
        <v>19</v>
      </c>
      <c r="K27" t="s">
        <v>162</v>
      </c>
      <c r="L27" t="e">
        <f ca="1">AVERAGEIFS(INDIRECT($B$3),INDIRECT($B$3),"&gt;=0",Data!$B:$B,$K27)</f>
        <v>#DIV/0!</v>
      </c>
      <c r="M27" t="e">
        <f t="shared" ca="1" si="28"/>
        <v>#DIV/0!</v>
      </c>
      <c r="N27" t="s">
        <v>2</v>
      </c>
      <c r="O27" t="e">
        <f ca="1">AVERAGEIFS(INDIRECT($C$3),INDIRECT($C$3),"&gt;=0",Data!$B:$B,$N27)</f>
        <v>#DIV/0!</v>
      </c>
      <c r="P27" t="e">
        <f t="shared" ca="1" si="1"/>
        <v>#DIV/0!</v>
      </c>
      <c r="Q27" t="s">
        <v>100</v>
      </c>
      <c r="R27" t="e">
        <f ca="1">AVERAGEIFS(INDIRECT($D$3),INDIRECT($D$3),"&gt;=0",Data!$B:$B,$Q27)</f>
        <v>#DIV/0!</v>
      </c>
      <c r="S27" t="e">
        <f t="shared" ca="1" si="2"/>
        <v>#DIV/0!</v>
      </c>
      <c r="T27" t="s">
        <v>195</v>
      </c>
      <c r="U27" t="e">
        <f ca="1">AVERAGEIFS(INDIRECT($E$3),INDIRECT($E$3),"&gt;=0",Data!$B:$B,$T27)</f>
        <v>#DIV/0!</v>
      </c>
      <c r="V27" t="e">
        <f t="shared" ca="1" si="3"/>
        <v>#DIV/0!</v>
      </c>
      <c r="W27" t="s">
        <v>20</v>
      </c>
      <c r="X27" t="e">
        <f ca="1">AVERAGEIFS(INDIRECT($F$3),INDIRECT($F$3),"&gt;=0",Data!$B:$B,$W27)</f>
        <v>#DIV/0!</v>
      </c>
      <c r="Y27" t="e">
        <f t="shared" ca="1" si="4"/>
        <v>#DIV/0!</v>
      </c>
      <c r="Z27" t="s">
        <v>90</v>
      </c>
      <c r="AA27" t="e">
        <f ca="1">AVERAGEIFS(INDIRECT($G$3),INDIRECT($G$3),"&gt;=0",Data!$B:$B,$Z27)</f>
        <v>#DIV/0!</v>
      </c>
      <c r="AB27" t="e">
        <f t="shared" ca="1" si="5"/>
        <v>#DIV/0!</v>
      </c>
      <c r="AC27" t="s">
        <v>61</v>
      </c>
      <c r="AD27" t="e">
        <f ca="1">AVERAGEIFS(INDIRECT($H$3),INDIRECT($H$3),"&gt;=0",Data!$B:$B,$AC27)</f>
        <v>#DIV/0!</v>
      </c>
      <c r="AE27" t="e">
        <f t="shared" ca="1" si="6"/>
        <v>#DIV/0!</v>
      </c>
      <c r="AF27" t="s">
        <v>132</v>
      </c>
      <c r="AG27" t="e">
        <f ca="1">AVERAGEIFS(INDIRECT($I$3),INDIRECT($I$3),"&gt;=0",Data!$B:$B,$AF27)</f>
        <v>#DIV/0!</v>
      </c>
      <c r="AH27" t="e">
        <f t="shared" ca="1" si="7"/>
        <v>#DIV/0!</v>
      </c>
      <c r="AI27" t="s">
        <v>174</v>
      </c>
      <c r="AJ27" t="e">
        <f ca="1">AVERAGEIFS(INDIRECT($J$3),INDIRECT($J$3),"&gt;=0",Data!$B:$B,$AI27)</f>
        <v>#DIV/0!</v>
      </c>
      <c r="AK27" t="e">
        <f t="shared" ca="1" si="8"/>
        <v>#DIV/0!</v>
      </c>
      <c r="AL27" t="str">
        <f t="shared" ca="1" si="9"/>
        <v>-</v>
      </c>
      <c r="AM27" t="str">
        <f t="shared" ca="1" si="10"/>
        <v>-</v>
      </c>
      <c r="AN27" t="str">
        <f t="shared" ca="1" si="11"/>
        <v>-</v>
      </c>
      <c r="AO27" t="str">
        <f t="shared" ca="1" si="12"/>
        <v>-</v>
      </c>
      <c r="AP27" t="str">
        <f t="shared" ca="1" si="13"/>
        <v>-</v>
      </c>
      <c r="AQ27" t="str">
        <f t="shared" ca="1" si="14"/>
        <v>-</v>
      </c>
      <c r="AR27" t="str">
        <f t="shared" ca="1" si="15"/>
        <v>-</v>
      </c>
      <c r="AS27" t="str">
        <f t="shared" ca="1" si="16"/>
        <v>-</v>
      </c>
      <c r="AT27" t="str">
        <f t="shared" ca="1" si="17"/>
        <v>-</v>
      </c>
      <c r="AU27">
        <f t="shared" si="29"/>
        <v>19</v>
      </c>
      <c r="AV27" t="s">
        <v>87</v>
      </c>
      <c r="AW27" s="20" t="e">
        <f ca="1">AVERAGEIFS(INDIRECT($B$3),INDIRECT($B$3),"&gt;=0",Data!$B:$B,AV27,IF($A$20,Data!$J:$J,Data!#REF!),IF($A$20,"&lt;&gt;5",1))</f>
        <v>#DIV/0!</v>
      </c>
      <c r="AX27" t="e">
        <f t="shared" ca="1" si="18"/>
        <v>#DIV/0!</v>
      </c>
      <c r="AY27" s="20" t="s">
        <v>2</v>
      </c>
      <c r="AZ27" t="e">
        <f ca="1">AVERAGEIFS(INDIRECT($C$3),INDIRECT($C$3),"&gt;=0",Data!$B:$B,AY27,IF($A$20,Data!$J:$J,Data!#REF!),IF($A$20,"&lt;&gt;5",1))</f>
        <v>#DIV/0!</v>
      </c>
      <c r="BA27" s="20" t="e">
        <f t="shared" ca="1" si="19"/>
        <v>#DIV/0!</v>
      </c>
      <c r="BB27" t="s">
        <v>159</v>
      </c>
      <c r="BC27" s="20" t="e">
        <f ca="1">AVERAGEIFS(INDIRECT($D$3),INDIRECT($D$3),"&gt;=0",Data!$B:$B,BB27,IF($A$20,Data!$J:$J,Data!#REF!),IF($A$20,"&lt;&gt;5",1))</f>
        <v>#DIV/0!</v>
      </c>
      <c r="BD27" t="e">
        <f t="shared" ca="1" si="20"/>
        <v>#DIV/0!</v>
      </c>
      <c r="BE27" s="20" t="s">
        <v>50</v>
      </c>
      <c r="BF27" t="e">
        <f ca="1">AVERAGEIFS(INDIRECT($E$3),INDIRECT($E$3),"&gt;=0",Data!$B:$B,BE27,IF($A$20,Data!$J:$J,Data!#REF!),IF($A$20,"&lt;&gt;5",1))</f>
        <v>#DIV/0!</v>
      </c>
      <c r="BG27" s="20" t="e">
        <f t="shared" ca="1" si="21"/>
        <v>#DIV/0!</v>
      </c>
      <c r="BH27" t="s">
        <v>144</v>
      </c>
      <c r="BI27" s="20" t="e">
        <f ca="1">AVERAGEIFS(INDIRECT($F$3),INDIRECT($F$3),"&gt;=0",Data!$B:$B,BH27,IF($A$20,Data!$J:$J,Data!#REF!),IF($A$20,"&lt;&gt;5",1))</f>
        <v>#DIV/0!</v>
      </c>
      <c r="BJ27" t="e">
        <f t="shared" ca="1" si="22"/>
        <v>#DIV/0!</v>
      </c>
      <c r="BK27" s="20" t="s">
        <v>94</v>
      </c>
      <c r="BL27" t="e">
        <f ca="1">AVERAGEIFS(INDIRECT($G$3),INDIRECT($G$3),"&gt;=0",Data!$B:$B,BK27,IF($A$20,Data!$J:$J,Data!#REF!),IF($A$20,"&lt;&gt;5",1))</f>
        <v>#DIV/0!</v>
      </c>
      <c r="BM27" s="20" t="e">
        <f t="shared" ca="1" si="23"/>
        <v>#DIV/0!</v>
      </c>
      <c r="BN27" t="s">
        <v>67</v>
      </c>
      <c r="BO27" t="e">
        <f ca="1">AVERAGEIFS(INDIRECT($H$3),INDIRECT($H$3),"&gt;=0",Data!$B:$B,BN27,IF($A$20,Data!$J:$J,Data!#REF!),IF($A$20,"&lt;&gt;5",1))</f>
        <v>#DIV/0!</v>
      </c>
      <c r="BP27" t="e">
        <f t="shared" ca="1" si="24"/>
        <v>#DIV/0!</v>
      </c>
      <c r="BQ27" t="s">
        <v>176</v>
      </c>
      <c r="BR27" t="e">
        <f ca="1">AVERAGEIFS(INDIRECT($I$3),INDIRECT($I$3),"&gt;=0",Data!$B:$B,BQ27,IF($A$20,Data!$J:$J,Data!#REF!),IF($A$20,"&lt;&gt;5",1))</f>
        <v>#DIV/0!</v>
      </c>
      <c r="BS27" t="e">
        <f t="shared" ca="1" si="25"/>
        <v>#DIV/0!</v>
      </c>
      <c r="BT27" t="s">
        <v>177</v>
      </c>
      <c r="BU27" t="e">
        <f ca="1">AVERAGEIFS(INDIRECT($J$3),INDIRECT($J$3),"&gt;=0",Data!$B:$B,BT27,IF($A$20,Data!$J:$J,Data!#REF!),IF($A$20,"&lt;&gt;5",1))</f>
        <v>#DIV/0!</v>
      </c>
      <c r="BV27" t="e">
        <f t="shared" ca="1" si="26"/>
        <v>#DIV/0!</v>
      </c>
    </row>
    <row r="28" spans="1:74" x14ac:dyDescent="0.35">
      <c r="J28">
        <f t="shared" si="27"/>
        <v>20</v>
      </c>
      <c r="K28" t="s">
        <v>164</v>
      </c>
      <c r="L28" t="e">
        <f ca="1">AVERAGEIFS(INDIRECT($B$3),INDIRECT($B$3),"&gt;=0",Data!$B:$B,$K28)</f>
        <v>#DIV/0!</v>
      </c>
      <c r="M28" t="e">
        <f t="shared" ca="1" si="28"/>
        <v>#DIV/0!</v>
      </c>
      <c r="N28" t="s">
        <v>190</v>
      </c>
      <c r="O28" t="e">
        <f ca="1">AVERAGEIFS(INDIRECT($C$3),INDIRECT($C$3),"&gt;=0",Data!$B:$B,$N28)</f>
        <v>#DIV/0!</v>
      </c>
      <c r="P28" t="e">
        <f t="shared" ca="1" si="1"/>
        <v>#DIV/0!</v>
      </c>
      <c r="Q28" t="s">
        <v>195</v>
      </c>
      <c r="R28" t="e">
        <f ca="1">AVERAGEIFS(INDIRECT($D$3),INDIRECT($D$3),"&gt;=0",Data!$B:$B,$Q28)</f>
        <v>#DIV/0!</v>
      </c>
      <c r="S28" t="e">
        <f t="shared" ca="1" si="2"/>
        <v>#DIV/0!</v>
      </c>
      <c r="T28" t="s">
        <v>166</v>
      </c>
      <c r="U28" t="e">
        <f ca="1">AVERAGEIFS(INDIRECT($E$3),INDIRECT($E$3),"&gt;=0",Data!$B:$B,$T28)</f>
        <v>#DIV/0!</v>
      </c>
      <c r="V28" t="e">
        <f t="shared" ca="1" si="3"/>
        <v>#DIV/0!</v>
      </c>
      <c r="W28" t="s">
        <v>45</v>
      </c>
      <c r="X28" t="e">
        <f ca="1">AVERAGEIFS(INDIRECT($F$3),INDIRECT($F$3),"&gt;=0",Data!$B:$B,$W28)</f>
        <v>#DIV/0!</v>
      </c>
      <c r="Y28" t="e">
        <f t="shared" ca="1" si="4"/>
        <v>#DIV/0!</v>
      </c>
      <c r="Z28" t="s">
        <v>91</v>
      </c>
      <c r="AA28">
        <f ca="1">AVERAGEIFS(INDIRECT($G$3),INDIRECT($G$3),"&gt;=0",Data!$B:$B,$Z28)</f>
        <v>0.875</v>
      </c>
      <c r="AB28" t="e">
        <f t="shared" ca="1" si="5"/>
        <v>#DIV/0!</v>
      </c>
      <c r="AC28" t="s">
        <v>66</v>
      </c>
      <c r="AD28" t="e">
        <f ca="1">AVERAGEIFS(INDIRECT($H$3),INDIRECT($H$3),"&gt;=0",Data!$B:$B,$AC28)</f>
        <v>#DIV/0!</v>
      </c>
      <c r="AE28" t="e">
        <f t="shared" ca="1" si="6"/>
        <v>#DIV/0!</v>
      </c>
      <c r="AF28" t="s">
        <v>136</v>
      </c>
      <c r="AG28" t="e">
        <f ca="1">AVERAGEIFS(INDIRECT($I$3),INDIRECT($I$3),"&gt;=0",Data!$B:$B,$AF28)</f>
        <v>#DIV/0!</v>
      </c>
      <c r="AH28" t="e">
        <f t="shared" ca="1" si="7"/>
        <v>#DIV/0!</v>
      </c>
      <c r="AI28" t="s">
        <v>177</v>
      </c>
      <c r="AJ28" t="e">
        <f ca="1">AVERAGEIFS(INDIRECT($J$3),INDIRECT($J$3),"&gt;=0",Data!$B:$B,$AI28)</f>
        <v>#DIV/0!</v>
      </c>
      <c r="AK28" t="e">
        <f t="shared" ca="1" si="8"/>
        <v>#DIV/0!</v>
      </c>
      <c r="AL28" t="str">
        <f t="shared" ca="1" si="9"/>
        <v>-</v>
      </c>
      <c r="AM28" t="str">
        <f t="shared" ca="1" si="10"/>
        <v>-</v>
      </c>
      <c r="AN28" t="str">
        <f t="shared" ca="1" si="11"/>
        <v>-</v>
      </c>
      <c r="AO28" t="str">
        <f t="shared" ca="1" si="12"/>
        <v>-</v>
      </c>
      <c r="AP28" t="str">
        <f t="shared" ca="1" si="13"/>
        <v>-</v>
      </c>
      <c r="AQ28" t="str">
        <f t="shared" ca="1" si="14"/>
        <v>-</v>
      </c>
      <c r="AR28" t="str">
        <f t="shared" ca="1" si="15"/>
        <v>-</v>
      </c>
      <c r="AS28" t="str">
        <f t="shared" ca="1" si="16"/>
        <v>-</v>
      </c>
      <c r="AT28" t="str">
        <f t="shared" ca="1" si="17"/>
        <v>-</v>
      </c>
      <c r="AU28">
        <f t="shared" si="29"/>
        <v>20</v>
      </c>
      <c r="AV28" t="s">
        <v>97</v>
      </c>
      <c r="AW28" s="20" t="e">
        <f ca="1">AVERAGEIFS(INDIRECT($B$3),INDIRECT($B$3),"&gt;=0",Data!$B:$B,AV28,IF($A$20,Data!$J:$J,Data!#REF!),IF($A$20,"&lt;&gt;5",1))</f>
        <v>#DIV/0!</v>
      </c>
      <c r="AX28" t="e">
        <f t="shared" ca="1" si="18"/>
        <v>#DIV/0!</v>
      </c>
      <c r="AY28" s="20" t="s">
        <v>190</v>
      </c>
      <c r="AZ28" t="e">
        <f ca="1">AVERAGEIFS(INDIRECT($C$3),INDIRECT($C$3),"&gt;=0",Data!$B:$B,AY28,IF($A$20,Data!$J:$J,Data!#REF!),IF($A$20,"&lt;&gt;5",1))</f>
        <v>#DIV/0!</v>
      </c>
      <c r="BA28" s="20" t="e">
        <f t="shared" ca="1" si="19"/>
        <v>#DIV/0!</v>
      </c>
      <c r="BB28" t="s">
        <v>144</v>
      </c>
      <c r="BC28" s="20" t="e">
        <f ca="1">AVERAGEIFS(INDIRECT($D$3),INDIRECT($D$3),"&gt;=0",Data!$B:$B,BB28,IF($A$20,Data!$J:$J,Data!#REF!),IF($A$20,"&lt;&gt;5",1))</f>
        <v>#DIV/0!</v>
      </c>
      <c r="BD28" t="e">
        <f t="shared" ca="1" si="20"/>
        <v>#DIV/0!</v>
      </c>
      <c r="BE28" s="20" t="s">
        <v>2</v>
      </c>
      <c r="BF28" t="e">
        <f ca="1">AVERAGEIFS(INDIRECT($E$3),INDIRECT($E$3),"&gt;=0",Data!$B:$B,BE28,IF($A$20,Data!$J:$J,Data!#REF!),IF($A$20,"&lt;&gt;5",1))</f>
        <v>#DIV/0!</v>
      </c>
      <c r="BG28" s="20" t="e">
        <f t="shared" ca="1" si="21"/>
        <v>#DIV/0!</v>
      </c>
      <c r="BH28" t="s">
        <v>165</v>
      </c>
      <c r="BI28" s="20" t="e">
        <f ca="1">AVERAGEIFS(INDIRECT($F$3),INDIRECT($F$3),"&gt;=0",Data!$B:$B,BH28,IF($A$20,Data!$J:$J,Data!#REF!),IF($A$20,"&lt;&gt;5",1))</f>
        <v>#DIV/0!</v>
      </c>
      <c r="BJ28" t="e">
        <f t="shared" ca="1" si="22"/>
        <v>#DIV/0!</v>
      </c>
      <c r="BK28" s="20" t="s">
        <v>98</v>
      </c>
      <c r="BL28" t="e">
        <f ca="1">AVERAGEIFS(INDIRECT($G$3),INDIRECT($G$3),"&gt;=0",Data!$B:$B,BK28,IF($A$20,Data!$J:$J,Data!#REF!),IF($A$20,"&lt;&gt;5",1))</f>
        <v>#DIV/0!</v>
      </c>
      <c r="BM28" s="20" t="e">
        <f t="shared" ca="1" si="23"/>
        <v>#DIV/0!</v>
      </c>
      <c r="BN28" t="s">
        <v>68</v>
      </c>
      <c r="BO28" t="e">
        <f ca="1">AVERAGEIFS(INDIRECT($H$3),INDIRECT($H$3),"&gt;=0",Data!$B:$B,BN28,IF($A$20,Data!$J:$J,Data!#REF!),IF($A$20,"&lt;&gt;5",1))</f>
        <v>#DIV/0!</v>
      </c>
      <c r="BP28" t="e">
        <f t="shared" ca="1" si="24"/>
        <v>#DIV/0!</v>
      </c>
      <c r="BQ28" t="s">
        <v>177</v>
      </c>
      <c r="BR28" t="e">
        <f ca="1">AVERAGEIFS(INDIRECT($I$3),INDIRECT($I$3),"&gt;=0",Data!$B:$B,BQ28,IF($A$20,Data!$J:$J,Data!#REF!),IF($A$20,"&lt;&gt;5",1))</f>
        <v>#DIV/0!</v>
      </c>
      <c r="BS28" t="e">
        <f t="shared" ca="1" si="25"/>
        <v>#DIV/0!</v>
      </c>
      <c r="BT28" t="s">
        <v>175</v>
      </c>
      <c r="BU28" t="e">
        <f ca="1">AVERAGEIFS(INDIRECT($J$3),INDIRECT($J$3),"&gt;=0",Data!$B:$B,BT28,IF($A$20,Data!$J:$J,Data!#REF!),IF($A$20,"&lt;&gt;5",1))</f>
        <v>#DIV/0!</v>
      </c>
      <c r="BV28" t="e">
        <f t="shared" ca="1" si="26"/>
        <v>#DIV/0!</v>
      </c>
    </row>
    <row r="29" spans="1:74" x14ac:dyDescent="0.35">
      <c r="J29">
        <f t="shared" si="27"/>
        <v>21</v>
      </c>
      <c r="K29" t="s">
        <v>176</v>
      </c>
      <c r="L29" t="e">
        <f ca="1">AVERAGEIFS(INDIRECT($B$3),INDIRECT($B$3),"&gt;=0",Data!$B:$B,$K29)</f>
        <v>#DIV/0!</v>
      </c>
      <c r="M29" t="e">
        <f t="shared" ca="1" si="28"/>
        <v>#DIV/0!</v>
      </c>
      <c r="N29" t="s">
        <v>12</v>
      </c>
      <c r="O29" t="e">
        <f ca="1">AVERAGEIFS(INDIRECT($C$3),INDIRECT($C$3),"&gt;=0",Data!$B:$B,$N29)</f>
        <v>#DIV/0!</v>
      </c>
      <c r="P29" t="e">
        <f t="shared" ca="1" si="1"/>
        <v>#DIV/0!</v>
      </c>
      <c r="Q29" t="s">
        <v>44</v>
      </c>
      <c r="R29" t="e">
        <f ca="1">AVERAGEIFS(INDIRECT($D$3),INDIRECT($D$3),"&gt;=0",Data!$B:$B,$Q29)</f>
        <v>#DIV/0!</v>
      </c>
      <c r="S29" t="e">
        <f t="shared" ca="1" si="2"/>
        <v>#DIV/0!</v>
      </c>
      <c r="T29" t="s">
        <v>3</v>
      </c>
      <c r="U29" t="e">
        <f ca="1">AVERAGEIFS(INDIRECT($E$3),INDIRECT($E$3),"&gt;=0",Data!$B:$B,$T29)</f>
        <v>#DIV/0!</v>
      </c>
      <c r="V29" t="e">
        <f t="shared" ca="1" si="3"/>
        <v>#DIV/0!</v>
      </c>
      <c r="W29" t="s">
        <v>53</v>
      </c>
      <c r="X29" t="e">
        <f ca="1">AVERAGEIFS(INDIRECT($F$3),INDIRECT($F$3),"&gt;=0",Data!$B:$B,$W29)</f>
        <v>#DIV/0!</v>
      </c>
      <c r="Y29" t="e">
        <f t="shared" ca="1" si="4"/>
        <v>#DIV/0!</v>
      </c>
      <c r="Z29" t="s">
        <v>94</v>
      </c>
      <c r="AA29" t="e">
        <f ca="1">AVERAGEIFS(INDIRECT($G$3),INDIRECT($G$3),"&gt;=0",Data!$B:$B,$Z29)</f>
        <v>#DIV/0!</v>
      </c>
      <c r="AB29" t="e">
        <f t="shared" ca="1" si="5"/>
        <v>#DIV/0!</v>
      </c>
      <c r="AC29" t="s">
        <v>67</v>
      </c>
      <c r="AD29" t="e">
        <f ca="1">AVERAGEIFS(INDIRECT($H$3),INDIRECT($H$3),"&gt;=0",Data!$B:$B,$AC29)</f>
        <v>#DIV/0!</v>
      </c>
      <c r="AE29" t="e">
        <f t="shared" ca="1" si="6"/>
        <v>#DIV/0!</v>
      </c>
      <c r="AF29" t="s">
        <v>149</v>
      </c>
      <c r="AG29" t="e">
        <f ca="1">AVERAGEIFS(INDIRECT($I$3),INDIRECT($I$3),"&gt;=0",Data!$B:$B,$AF29)</f>
        <v>#DIV/0!</v>
      </c>
      <c r="AH29" t="e">
        <f t="shared" ca="1" si="7"/>
        <v>#DIV/0!</v>
      </c>
      <c r="AI29" t="s">
        <v>175</v>
      </c>
      <c r="AJ29" t="e">
        <f ca="1">AVERAGEIFS(INDIRECT($J$3),INDIRECT($J$3),"&gt;=0",Data!$B:$B,$AI29)</f>
        <v>#DIV/0!</v>
      </c>
      <c r="AK29" t="e">
        <f t="shared" ca="1" si="8"/>
        <v>#DIV/0!</v>
      </c>
      <c r="AL29" t="str">
        <f t="shared" ca="1" si="9"/>
        <v>-</v>
      </c>
      <c r="AM29" t="str">
        <f t="shared" ca="1" si="10"/>
        <v>-</v>
      </c>
      <c r="AN29" t="str">
        <f t="shared" ca="1" si="11"/>
        <v>-</v>
      </c>
      <c r="AO29" t="str">
        <f t="shared" ca="1" si="12"/>
        <v>-</v>
      </c>
      <c r="AP29" t="str">
        <f t="shared" ca="1" si="13"/>
        <v>-</v>
      </c>
      <c r="AQ29" t="str">
        <f t="shared" ca="1" si="14"/>
        <v>-</v>
      </c>
      <c r="AR29" t="str">
        <f t="shared" ca="1" si="15"/>
        <v>-</v>
      </c>
      <c r="AS29" t="str">
        <f t="shared" ca="1" si="16"/>
        <v>-</v>
      </c>
      <c r="AT29" t="str">
        <f t="shared" ca="1" si="17"/>
        <v>-</v>
      </c>
      <c r="AU29">
        <f t="shared" si="29"/>
        <v>21</v>
      </c>
      <c r="AV29" t="s">
        <v>160</v>
      </c>
      <c r="AW29" s="20" t="e">
        <f ca="1">AVERAGEIFS(INDIRECT($B$3),INDIRECT($B$3),"&gt;=0",Data!$B:$B,AV29,IF($A$20,Data!$J:$J,Data!#REF!),IF($A$20,"&lt;&gt;5",1))</f>
        <v>#DIV/0!</v>
      </c>
      <c r="AX29" t="e">
        <f t="shared" ca="1" si="18"/>
        <v>#DIV/0!</v>
      </c>
      <c r="AY29" s="20" t="s">
        <v>12</v>
      </c>
      <c r="AZ29" t="e">
        <f ca="1">AVERAGEIFS(INDIRECT($C$3),INDIRECT($C$3),"&gt;=0",Data!$B:$B,AY29,IF($A$20,Data!$J:$J,Data!#REF!),IF($A$20,"&lt;&gt;5",1))</f>
        <v>#DIV/0!</v>
      </c>
      <c r="BA29" s="20" t="e">
        <f t="shared" ca="1" si="19"/>
        <v>#DIV/0!</v>
      </c>
      <c r="BB29" t="s">
        <v>165</v>
      </c>
      <c r="BC29" s="20" t="e">
        <f ca="1">AVERAGEIFS(INDIRECT($D$3),INDIRECT($D$3),"&gt;=0",Data!$B:$B,BB29,IF($A$20,Data!$J:$J,Data!#REF!),IF($A$20,"&lt;&gt;5",1))</f>
        <v>#DIV/0!</v>
      </c>
      <c r="BD29" t="e">
        <f t="shared" ca="1" si="20"/>
        <v>#DIV/0!</v>
      </c>
      <c r="BE29" s="20" t="s">
        <v>104</v>
      </c>
      <c r="BF29" t="e">
        <f ca="1">AVERAGEIFS(INDIRECT($E$3),INDIRECT($E$3),"&gt;=0",Data!$B:$B,BE29,IF($A$20,Data!$J:$J,Data!#REF!),IF($A$20,"&lt;&gt;5",1))</f>
        <v>#DIV/0!</v>
      </c>
      <c r="BG29" s="20" t="e">
        <f t="shared" ca="1" si="21"/>
        <v>#DIV/0!</v>
      </c>
      <c r="BH29" t="s">
        <v>193</v>
      </c>
      <c r="BI29" s="20" t="e">
        <f ca="1">AVERAGEIFS(INDIRECT($F$3),INDIRECT($F$3),"&gt;=0",Data!$B:$B,BH29,IF($A$20,Data!$J:$J,Data!#REF!),IF($A$20,"&lt;&gt;5",1))</f>
        <v>#DIV/0!</v>
      </c>
      <c r="BJ29" t="e">
        <f t="shared" ca="1" si="22"/>
        <v>#DIV/0!</v>
      </c>
      <c r="BK29" s="20" t="s">
        <v>99</v>
      </c>
      <c r="BL29" t="e">
        <f ca="1">AVERAGEIFS(INDIRECT($G$3),INDIRECT($G$3),"&gt;=0",Data!$B:$B,BK29,IF($A$20,Data!$J:$J,Data!#REF!),IF($A$20,"&lt;&gt;5",1))</f>
        <v>#DIV/0!</v>
      </c>
      <c r="BM29" s="20" t="e">
        <f t="shared" ca="1" si="23"/>
        <v>#DIV/0!</v>
      </c>
      <c r="BN29" t="s">
        <v>69</v>
      </c>
      <c r="BO29" t="e">
        <f ca="1">AVERAGEIFS(INDIRECT($H$3),INDIRECT($H$3),"&gt;=0",Data!$B:$B,BN29,IF($A$20,Data!$J:$J,Data!#REF!),IF($A$20,"&lt;&gt;5",1))</f>
        <v>#DIV/0!</v>
      </c>
      <c r="BP29" t="e">
        <f t="shared" ca="1" si="24"/>
        <v>#DIV/0!</v>
      </c>
      <c r="BQ29" t="s">
        <v>178</v>
      </c>
      <c r="BR29" t="e">
        <f ca="1">AVERAGEIFS(INDIRECT($I$3),INDIRECT($I$3),"&gt;=0",Data!$B:$B,BQ29,IF($A$20,Data!$J:$J,Data!#REF!),IF($A$20,"&lt;&gt;5",1))</f>
        <v>#DIV/0!</v>
      </c>
      <c r="BS29" t="e">
        <f t="shared" ca="1" si="25"/>
        <v>#DIV/0!</v>
      </c>
      <c r="BT29" t="s">
        <v>176</v>
      </c>
      <c r="BU29" t="e">
        <f ca="1">AVERAGEIFS(INDIRECT($J$3),INDIRECT($J$3),"&gt;=0",Data!$B:$B,BT29,IF($A$20,Data!$J:$J,Data!#REF!),IF($A$20,"&lt;&gt;5",1))</f>
        <v>#DIV/0!</v>
      </c>
      <c r="BV29" t="e">
        <f t="shared" ca="1" si="26"/>
        <v>#DIV/0!</v>
      </c>
    </row>
    <row r="30" spans="1:74" x14ac:dyDescent="0.35">
      <c r="J30">
        <f t="shared" si="27"/>
        <v>22</v>
      </c>
      <c r="K30" t="s">
        <v>190</v>
      </c>
      <c r="L30" t="e">
        <f ca="1">AVERAGEIFS(INDIRECT($B$3),INDIRECT($B$3),"&gt;=0",Data!$B:$B,$K30)</f>
        <v>#DIV/0!</v>
      </c>
      <c r="M30" t="e">
        <f t="shared" ca="1" si="28"/>
        <v>#DIV/0!</v>
      </c>
      <c r="N30" t="s">
        <v>86</v>
      </c>
      <c r="O30" t="e">
        <f ca="1">AVERAGEIFS(INDIRECT($C$3),INDIRECT($C$3),"&gt;=0",Data!$B:$B,$N30)</f>
        <v>#DIV/0!</v>
      </c>
      <c r="P30" t="e">
        <f t="shared" ca="1" si="1"/>
        <v>#DIV/0!</v>
      </c>
      <c r="Q30" t="s">
        <v>147</v>
      </c>
      <c r="R30" t="e">
        <f ca="1">AVERAGEIFS(INDIRECT($D$3),INDIRECT($D$3),"&gt;=0",Data!$B:$B,$Q30)</f>
        <v>#DIV/0!</v>
      </c>
      <c r="S30" t="e">
        <f t="shared" ca="1" si="2"/>
        <v>#DIV/0!</v>
      </c>
      <c r="T30" t="s">
        <v>52</v>
      </c>
      <c r="U30" t="e">
        <f ca="1">AVERAGEIFS(INDIRECT($E$3),INDIRECT($E$3),"&gt;=0",Data!$B:$B,$T30)</f>
        <v>#DIV/0!</v>
      </c>
      <c r="V30" t="e">
        <f t="shared" ca="1" si="3"/>
        <v>#DIV/0!</v>
      </c>
      <c r="W30" t="s">
        <v>109</v>
      </c>
      <c r="X30" t="e">
        <f ca="1">AVERAGEIFS(INDIRECT($F$3),INDIRECT($F$3),"&gt;=0",Data!$B:$B,$W30)</f>
        <v>#DIV/0!</v>
      </c>
      <c r="Y30" t="e">
        <f t="shared" ca="1" si="4"/>
        <v>#DIV/0!</v>
      </c>
      <c r="Z30" t="s">
        <v>98</v>
      </c>
      <c r="AA30" t="e">
        <f ca="1">AVERAGEIFS(INDIRECT($G$3),INDIRECT($G$3),"&gt;=0",Data!$B:$B,$Z30)</f>
        <v>#DIV/0!</v>
      </c>
      <c r="AB30" t="e">
        <f t="shared" ca="1" si="5"/>
        <v>#DIV/0!</v>
      </c>
      <c r="AC30" t="s">
        <v>68</v>
      </c>
      <c r="AD30" t="e">
        <f ca="1">AVERAGEIFS(INDIRECT($H$3),INDIRECT($H$3),"&gt;=0",Data!$B:$B,$AC30)</f>
        <v>#DIV/0!</v>
      </c>
      <c r="AE30" t="e">
        <f t="shared" ca="1" si="6"/>
        <v>#DIV/0!</v>
      </c>
      <c r="AF30" t="s">
        <v>150</v>
      </c>
      <c r="AG30" t="e">
        <f ca="1">AVERAGEIFS(INDIRECT($I$3),INDIRECT($I$3),"&gt;=0",Data!$B:$B,$AF30)</f>
        <v>#DIV/0!</v>
      </c>
      <c r="AH30" t="e">
        <f t="shared" ca="1" si="7"/>
        <v>#DIV/0!</v>
      </c>
      <c r="AI30" t="s">
        <v>176</v>
      </c>
      <c r="AJ30" t="e">
        <f ca="1">AVERAGEIFS(INDIRECT($J$3),INDIRECT($J$3),"&gt;=0",Data!$B:$B,$AI30)</f>
        <v>#DIV/0!</v>
      </c>
      <c r="AK30" t="e">
        <f t="shared" ca="1" si="8"/>
        <v>#DIV/0!</v>
      </c>
      <c r="AL30" t="str">
        <f t="shared" ca="1" si="9"/>
        <v>-</v>
      </c>
      <c r="AM30" t="str">
        <f t="shared" ca="1" si="10"/>
        <v>-</v>
      </c>
      <c r="AN30" t="str">
        <f t="shared" ca="1" si="11"/>
        <v>-</v>
      </c>
      <c r="AO30" t="str">
        <f t="shared" ca="1" si="12"/>
        <v>-</v>
      </c>
      <c r="AP30" t="str">
        <f t="shared" ca="1" si="13"/>
        <v>-</v>
      </c>
      <c r="AQ30" t="str">
        <f t="shared" ca="1" si="14"/>
        <v>-</v>
      </c>
      <c r="AR30" t="str">
        <f t="shared" ca="1" si="15"/>
        <v>-</v>
      </c>
      <c r="AS30" t="str">
        <f t="shared" ca="1" si="16"/>
        <v>-</v>
      </c>
      <c r="AT30" t="str">
        <f t="shared" ca="1" si="17"/>
        <v>-</v>
      </c>
      <c r="AU30">
        <f t="shared" si="29"/>
        <v>22</v>
      </c>
      <c r="AV30" t="s">
        <v>63</v>
      </c>
      <c r="AW30" s="20" t="e">
        <f ca="1">AVERAGEIFS(INDIRECT($B$3),INDIRECT($B$3),"&gt;=0",Data!$B:$B,AV30,IF($A$20,Data!$J:$J,Data!#REF!),IF($A$20,"&lt;&gt;5",1))</f>
        <v>#DIV/0!</v>
      </c>
      <c r="AX30" t="e">
        <f t="shared" ca="1" si="18"/>
        <v>#DIV/0!</v>
      </c>
      <c r="AY30" s="20" t="s">
        <v>86</v>
      </c>
      <c r="AZ30" t="e">
        <f ca="1">AVERAGEIFS(INDIRECT($C$3),INDIRECT($C$3),"&gt;=0",Data!$B:$B,AY30,IF($A$20,Data!$J:$J,Data!#REF!),IF($A$20,"&lt;&gt;5",1))</f>
        <v>#DIV/0!</v>
      </c>
      <c r="BA30" s="20" t="e">
        <f t="shared" ca="1" si="19"/>
        <v>#DIV/0!</v>
      </c>
      <c r="BB30" t="s">
        <v>29</v>
      </c>
      <c r="BC30" s="20" t="e">
        <f ca="1">AVERAGEIFS(INDIRECT($D$3),INDIRECT($D$3),"&gt;=0",Data!$B:$B,BB30,IF($A$20,Data!$J:$J,Data!#REF!),IF($A$20,"&lt;&gt;5",1))</f>
        <v>#DIV/0!</v>
      </c>
      <c r="BD30" t="e">
        <f t="shared" ca="1" si="20"/>
        <v>#DIV/0!</v>
      </c>
      <c r="BE30" s="20" t="s">
        <v>98</v>
      </c>
      <c r="BF30" t="e">
        <f ca="1">AVERAGEIFS(INDIRECT($E$3),INDIRECT($E$3),"&gt;=0",Data!$B:$B,BE30,IF($A$20,Data!$J:$J,Data!#REF!),IF($A$20,"&lt;&gt;5",1))</f>
        <v>#DIV/0!</v>
      </c>
      <c r="BG30" s="20" t="e">
        <f t="shared" ca="1" si="21"/>
        <v>#DIV/0!</v>
      </c>
      <c r="BH30" t="s">
        <v>29</v>
      </c>
      <c r="BI30" s="20" t="e">
        <f ca="1">AVERAGEIFS(INDIRECT($F$3),INDIRECT($F$3),"&gt;=0",Data!$B:$B,BH30,IF($A$20,Data!$J:$J,Data!#REF!),IF($A$20,"&lt;&gt;5",1))</f>
        <v>#DIV/0!</v>
      </c>
      <c r="BJ30" t="e">
        <f t="shared" ca="1" si="22"/>
        <v>#DIV/0!</v>
      </c>
      <c r="BK30" s="20" t="s">
        <v>100</v>
      </c>
      <c r="BL30" t="e">
        <f ca="1">AVERAGEIFS(INDIRECT($G$3),INDIRECT($G$3),"&gt;=0",Data!$B:$B,BK30,IF($A$20,Data!$J:$J,Data!#REF!),IF($A$20,"&lt;&gt;5",1))</f>
        <v>#DIV/0!</v>
      </c>
      <c r="BM30" s="20" t="e">
        <f t="shared" ca="1" si="23"/>
        <v>#DIV/0!</v>
      </c>
      <c r="BN30" t="s">
        <v>71</v>
      </c>
      <c r="BO30" t="e">
        <f ca="1">AVERAGEIFS(INDIRECT($H$3),INDIRECT($H$3),"&gt;=0",Data!$B:$B,BN30,IF($A$20,Data!$J:$J,Data!#REF!),IF($A$20,"&lt;&gt;5",1))</f>
        <v>#DIV/0!</v>
      </c>
      <c r="BP30" t="e">
        <f t="shared" ca="1" si="24"/>
        <v>#DIV/0!</v>
      </c>
      <c r="BQ30" t="s">
        <v>182</v>
      </c>
      <c r="BR30" t="e">
        <f ca="1">AVERAGEIFS(INDIRECT($I$3),INDIRECT($I$3),"&gt;=0",Data!$B:$B,BQ30,IF($A$20,Data!$J:$J,Data!#REF!),IF($A$20,"&lt;&gt;5",1))</f>
        <v>#DIV/0!</v>
      </c>
      <c r="BS30" t="e">
        <f t="shared" ca="1" si="25"/>
        <v>#DIV/0!</v>
      </c>
      <c r="BT30" t="s">
        <v>183</v>
      </c>
      <c r="BU30" t="e">
        <f ca="1">AVERAGEIFS(INDIRECT($J$3),INDIRECT($J$3),"&gt;=0",Data!$B:$B,BT30,IF($A$20,Data!$J:$J,Data!#REF!),IF($A$20,"&lt;&gt;5",1))</f>
        <v>#DIV/0!</v>
      </c>
      <c r="BV30" t="e">
        <f t="shared" ca="1" si="26"/>
        <v>#DIV/0!</v>
      </c>
    </row>
    <row r="31" spans="1:74" x14ac:dyDescent="0.35">
      <c r="J31">
        <f t="shared" si="27"/>
        <v>23</v>
      </c>
      <c r="K31" t="s">
        <v>196</v>
      </c>
      <c r="L31" t="e">
        <f ca="1">AVERAGEIFS(INDIRECT($B$3),INDIRECT($B$3),"&gt;=0",Data!$B:$B,$K31)</f>
        <v>#DIV/0!</v>
      </c>
      <c r="M31" t="e">
        <f t="shared" ca="1" si="28"/>
        <v>#DIV/0!</v>
      </c>
      <c r="N31" t="s">
        <v>89</v>
      </c>
      <c r="O31" t="e">
        <f ca="1">AVERAGEIFS(INDIRECT($C$3),INDIRECT($C$3),"&gt;=0",Data!$B:$B,$N31)</f>
        <v>#DIV/0!</v>
      </c>
      <c r="P31" t="e">
        <f t="shared" ca="1" si="1"/>
        <v>#DIV/0!</v>
      </c>
      <c r="Q31" t="s">
        <v>10</v>
      </c>
      <c r="R31" t="e">
        <f ca="1">AVERAGEIFS(INDIRECT($D$3),INDIRECT($D$3),"&gt;=0",Data!$B:$B,$Q31)</f>
        <v>#DIV/0!</v>
      </c>
      <c r="S31" t="e">
        <f t="shared" ca="1" si="2"/>
        <v>#DIV/0!</v>
      </c>
      <c r="T31" t="s">
        <v>103</v>
      </c>
      <c r="U31" t="e">
        <f ca="1">AVERAGEIFS(INDIRECT($E$3),INDIRECT($E$3),"&gt;=0",Data!$B:$B,$T31)</f>
        <v>#DIV/0!</v>
      </c>
      <c r="V31" t="e">
        <f t="shared" ca="1" si="3"/>
        <v>#DIV/0!</v>
      </c>
      <c r="W31" t="s">
        <v>141</v>
      </c>
      <c r="X31" t="e">
        <f ca="1">AVERAGEIFS(INDIRECT($F$3),INDIRECT($F$3),"&gt;=0",Data!$B:$B,$W31)</f>
        <v>#DIV/0!</v>
      </c>
      <c r="Y31" t="e">
        <f t="shared" ca="1" si="4"/>
        <v>#DIV/0!</v>
      </c>
      <c r="Z31" t="s">
        <v>99</v>
      </c>
      <c r="AA31" t="e">
        <f ca="1">AVERAGEIFS(INDIRECT($G$3),INDIRECT($G$3),"&gt;=0",Data!$B:$B,$Z31)</f>
        <v>#DIV/0!</v>
      </c>
      <c r="AB31" t="e">
        <f t="shared" ca="1" si="5"/>
        <v>#DIV/0!</v>
      </c>
      <c r="AC31" t="s">
        <v>69</v>
      </c>
      <c r="AD31" t="e">
        <f ca="1">AVERAGEIFS(INDIRECT($H$3),INDIRECT($H$3),"&gt;=0",Data!$B:$B,$AC31)</f>
        <v>#DIV/0!</v>
      </c>
      <c r="AE31" t="e">
        <f t="shared" ca="1" si="6"/>
        <v>#DIV/0!</v>
      </c>
      <c r="AF31" t="s">
        <v>165</v>
      </c>
      <c r="AG31" t="e">
        <f ca="1">AVERAGEIFS(INDIRECT($I$3),INDIRECT($I$3),"&gt;=0",Data!$B:$B,$AF31)</f>
        <v>#DIV/0!</v>
      </c>
      <c r="AH31" t="e">
        <f t="shared" ca="1" si="7"/>
        <v>#DIV/0!</v>
      </c>
      <c r="AI31" t="s">
        <v>183</v>
      </c>
      <c r="AJ31" t="e">
        <f ca="1">AVERAGEIFS(INDIRECT($J$3),INDIRECT($J$3),"&gt;=0",Data!$B:$B,$AI31)</f>
        <v>#DIV/0!</v>
      </c>
      <c r="AK31" t="e">
        <f t="shared" ca="1" si="8"/>
        <v>#DIV/0!</v>
      </c>
      <c r="AL31" t="str">
        <f t="shared" ca="1" si="9"/>
        <v>-</v>
      </c>
      <c r="AM31" t="str">
        <f t="shared" ca="1" si="10"/>
        <v>-</v>
      </c>
      <c r="AN31" t="str">
        <f t="shared" ca="1" si="11"/>
        <v>-</v>
      </c>
      <c r="AO31" t="str">
        <f t="shared" ca="1" si="12"/>
        <v>-</v>
      </c>
      <c r="AP31" t="str">
        <f t="shared" ca="1" si="13"/>
        <v>-</v>
      </c>
      <c r="AQ31" t="str">
        <f t="shared" ca="1" si="14"/>
        <v>-</v>
      </c>
      <c r="AR31" t="str">
        <f t="shared" ca="1" si="15"/>
        <v>-</v>
      </c>
      <c r="AS31" t="str">
        <f t="shared" ca="1" si="16"/>
        <v>-</v>
      </c>
      <c r="AT31" t="str">
        <f t="shared" ca="1" si="17"/>
        <v>-</v>
      </c>
      <c r="AU31">
        <f t="shared" si="29"/>
        <v>23</v>
      </c>
      <c r="AV31" t="s">
        <v>126</v>
      </c>
      <c r="AW31" s="20" t="e">
        <f ca="1">AVERAGEIFS(INDIRECT($B$3),INDIRECT($B$3),"&gt;=0",Data!$B:$B,AV31,IF($A$20,Data!$J:$J,Data!#REF!),IF($A$20,"&lt;&gt;5",1))</f>
        <v>#DIV/0!</v>
      </c>
      <c r="AX31" t="e">
        <f t="shared" ca="1" si="18"/>
        <v>#DIV/0!</v>
      </c>
      <c r="AY31" s="20" t="s">
        <v>89</v>
      </c>
      <c r="AZ31" t="e">
        <f ca="1">AVERAGEIFS(INDIRECT($C$3),INDIRECT($C$3),"&gt;=0",Data!$B:$B,AY31,IF($A$20,Data!$J:$J,Data!#REF!),IF($A$20,"&lt;&gt;5",1))</f>
        <v>#DIV/0!</v>
      </c>
      <c r="BA31" s="20" t="e">
        <f t="shared" ca="1" si="19"/>
        <v>#DIV/0!</v>
      </c>
      <c r="BB31" t="s">
        <v>37</v>
      </c>
      <c r="BC31" s="20" t="e">
        <f ca="1">AVERAGEIFS(INDIRECT($D$3),INDIRECT($D$3),"&gt;=0",Data!$B:$B,BB31,IF($A$20,Data!$J:$J,Data!#REF!),IF($A$20,"&lt;&gt;5",1))</f>
        <v>#DIV/0!</v>
      </c>
      <c r="BD31" t="e">
        <f t="shared" ca="1" si="20"/>
        <v>#DIV/0!</v>
      </c>
      <c r="BE31" s="20" t="s">
        <v>7</v>
      </c>
      <c r="BF31" t="e">
        <f ca="1">AVERAGEIFS(INDIRECT($E$3),INDIRECT($E$3),"&gt;=0",Data!$B:$B,BE31,IF($A$20,Data!$J:$J,Data!#REF!),IF($A$20,"&lt;&gt;5",1))</f>
        <v>#DIV/0!</v>
      </c>
      <c r="BG31" s="20" t="e">
        <f t="shared" ca="1" si="21"/>
        <v>#DIV/0!</v>
      </c>
      <c r="BH31" t="s">
        <v>37</v>
      </c>
      <c r="BI31" s="20" t="e">
        <f ca="1">AVERAGEIFS(INDIRECT($F$3),INDIRECT($F$3),"&gt;=0",Data!$B:$B,BH31,IF($A$20,Data!$J:$J,Data!#REF!),IF($A$20,"&lt;&gt;5",1))</f>
        <v>#DIV/0!</v>
      </c>
      <c r="BJ31" t="e">
        <f t="shared" ca="1" si="22"/>
        <v>#DIV/0!</v>
      </c>
      <c r="BK31" s="20" t="s">
        <v>105</v>
      </c>
      <c r="BL31" t="e">
        <f ca="1">AVERAGEIFS(INDIRECT($G$3),INDIRECT($G$3),"&gt;=0",Data!$B:$B,BK31,IF($A$20,Data!$J:$J,Data!#REF!),IF($A$20,"&lt;&gt;5",1))</f>
        <v>#DIV/0!</v>
      </c>
      <c r="BM31" s="20" t="e">
        <f t="shared" ca="1" si="23"/>
        <v>#DIV/0!</v>
      </c>
      <c r="BN31" t="s">
        <v>74</v>
      </c>
      <c r="BO31" t="e">
        <f ca="1">AVERAGEIFS(INDIRECT($H$3),INDIRECT($H$3),"&gt;=0",Data!$B:$B,BN31,IF($A$20,Data!$J:$J,Data!#REF!),IF($A$20,"&lt;&gt;5",1))</f>
        <v>#DIV/0!</v>
      </c>
      <c r="BP31" t="e">
        <f t="shared" ca="1" si="24"/>
        <v>#DIV/0!</v>
      </c>
      <c r="BQ31" t="s">
        <v>191</v>
      </c>
      <c r="BR31" t="e">
        <f ca="1">AVERAGEIFS(INDIRECT($I$3),INDIRECT($I$3),"&gt;=0",Data!$B:$B,BQ31,IF($A$20,Data!$J:$J,Data!#REF!),IF($A$20,"&lt;&gt;5",1))</f>
        <v>#DIV/0!</v>
      </c>
      <c r="BS31" t="e">
        <f t="shared" ca="1" si="25"/>
        <v>#DIV/0!</v>
      </c>
      <c r="BT31" t="s">
        <v>33</v>
      </c>
      <c r="BU31">
        <f ca="1">AVERAGEIFS(INDIRECT($J$3),INDIRECT($J$3),"&gt;=0",Data!$B:$B,BT31,IF($A$20,Data!$J:$J,Data!#REF!),IF($A$20,"&lt;&gt;5",1))</f>
        <v>0.42105263157894735</v>
      </c>
      <c r="BV31" t="e">
        <f t="shared" ca="1" si="26"/>
        <v>#DIV/0!</v>
      </c>
    </row>
    <row r="32" spans="1:74" x14ac:dyDescent="0.35">
      <c r="J32">
        <f t="shared" si="27"/>
        <v>24</v>
      </c>
      <c r="K32" t="s">
        <v>87</v>
      </c>
      <c r="L32" t="e">
        <f ca="1">AVERAGEIFS(INDIRECT($B$3),INDIRECT($B$3),"&gt;=0",Data!$B:$B,$K32)</f>
        <v>#DIV/0!</v>
      </c>
      <c r="M32" t="e">
        <f t="shared" ca="1" si="28"/>
        <v>#DIV/0!</v>
      </c>
      <c r="N32" t="s">
        <v>162</v>
      </c>
      <c r="O32" t="e">
        <f ca="1">AVERAGEIFS(INDIRECT($C$3),INDIRECT($C$3),"&gt;=0",Data!$B:$B,$N32)</f>
        <v>#DIV/0!</v>
      </c>
      <c r="P32" t="e">
        <f t="shared" ca="1" si="1"/>
        <v>#DIV/0!</v>
      </c>
      <c r="Q32" t="s">
        <v>53</v>
      </c>
      <c r="R32" t="e">
        <f ca="1">AVERAGEIFS(INDIRECT($D$3),INDIRECT($D$3),"&gt;=0",Data!$B:$B,$Q32)</f>
        <v>#DIV/0!</v>
      </c>
      <c r="S32" t="e">
        <f t="shared" ca="1" si="2"/>
        <v>#DIV/0!</v>
      </c>
      <c r="T32" t="s">
        <v>140</v>
      </c>
      <c r="U32" t="e">
        <f ca="1">AVERAGEIFS(INDIRECT($E$3),INDIRECT($E$3),"&gt;=0",Data!$B:$B,$T32)</f>
        <v>#DIV/0!</v>
      </c>
      <c r="V32" t="e">
        <f t="shared" ca="1" si="3"/>
        <v>#DIV/0!</v>
      </c>
      <c r="W32" t="s">
        <v>164</v>
      </c>
      <c r="X32" t="e">
        <f ca="1">AVERAGEIFS(INDIRECT($F$3),INDIRECT($F$3),"&gt;=0",Data!$B:$B,$W32)</f>
        <v>#DIV/0!</v>
      </c>
      <c r="Y32" t="e">
        <f t="shared" ca="1" si="4"/>
        <v>#DIV/0!</v>
      </c>
      <c r="Z32" t="s">
        <v>100</v>
      </c>
      <c r="AA32" t="e">
        <f ca="1">AVERAGEIFS(INDIRECT($G$3),INDIRECT($G$3),"&gt;=0",Data!$B:$B,$Z32)</f>
        <v>#DIV/0!</v>
      </c>
      <c r="AB32" t="e">
        <f t="shared" ca="1" si="5"/>
        <v>#DIV/0!</v>
      </c>
      <c r="AC32" t="s">
        <v>71</v>
      </c>
      <c r="AD32" t="e">
        <f ca="1">AVERAGEIFS(INDIRECT($H$3),INDIRECT($H$3),"&gt;=0",Data!$B:$B,$AC32)</f>
        <v>#DIV/0!</v>
      </c>
      <c r="AE32" t="e">
        <f t="shared" ca="1" si="6"/>
        <v>#DIV/0!</v>
      </c>
      <c r="AF32" t="s">
        <v>176</v>
      </c>
      <c r="AG32" t="e">
        <f ca="1">AVERAGEIFS(INDIRECT($I$3),INDIRECT($I$3),"&gt;=0",Data!$B:$B,$AF32)</f>
        <v>#DIV/0!</v>
      </c>
      <c r="AH32" t="e">
        <f t="shared" ca="1" si="7"/>
        <v>#DIV/0!</v>
      </c>
      <c r="AI32" t="s">
        <v>33</v>
      </c>
      <c r="AJ32">
        <f ca="1">AVERAGEIFS(INDIRECT($J$3),INDIRECT($J$3),"&gt;=0",Data!$B:$B,$AI32)</f>
        <v>0.42105263157894735</v>
      </c>
      <c r="AK32" t="e">
        <f t="shared" ca="1" si="8"/>
        <v>#DIV/0!</v>
      </c>
      <c r="AL32" t="str">
        <f t="shared" ca="1" si="9"/>
        <v>-</v>
      </c>
      <c r="AM32" t="str">
        <f t="shared" ca="1" si="10"/>
        <v>-</v>
      </c>
      <c r="AN32" t="str">
        <f t="shared" ca="1" si="11"/>
        <v>-</v>
      </c>
      <c r="AO32" t="str">
        <f t="shared" ca="1" si="12"/>
        <v>-</v>
      </c>
      <c r="AP32" t="str">
        <f t="shared" ca="1" si="13"/>
        <v>-</v>
      </c>
      <c r="AQ32" t="str">
        <f t="shared" ca="1" si="14"/>
        <v>-</v>
      </c>
      <c r="AR32" t="str">
        <f t="shared" ca="1" si="15"/>
        <v>-</v>
      </c>
      <c r="AS32" t="str">
        <f t="shared" ca="1" si="16"/>
        <v>-</v>
      </c>
      <c r="AT32" t="str">
        <f t="shared" ca="1" si="17"/>
        <v>-</v>
      </c>
      <c r="AU32">
        <f t="shared" si="29"/>
        <v>24</v>
      </c>
      <c r="AV32" t="s">
        <v>8</v>
      </c>
      <c r="AW32" s="20" t="e">
        <f ca="1">AVERAGEIFS(INDIRECT($B$3),INDIRECT($B$3),"&gt;=0",Data!$B:$B,AV32,IF($A$20,Data!$J:$J,Data!#REF!),IF($A$20,"&lt;&gt;5",1))</f>
        <v>#DIV/0!</v>
      </c>
      <c r="AX32" t="e">
        <f t="shared" ca="1" si="18"/>
        <v>#DIV/0!</v>
      </c>
      <c r="AY32" s="20" t="s">
        <v>162</v>
      </c>
      <c r="AZ32" t="e">
        <f ca="1">AVERAGEIFS(INDIRECT($C$3),INDIRECT($C$3),"&gt;=0",Data!$B:$B,AY32,IF($A$20,Data!$J:$J,Data!#REF!),IF($A$20,"&lt;&gt;5",1))</f>
        <v>#DIV/0!</v>
      </c>
      <c r="BA32" s="20" t="e">
        <f t="shared" ca="1" si="19"/>
        <v>#DIV/0!</v>
      </c>
      <c r="BB32" t="s">
        <v>68</v>
      </c>
      <c r="BC32" s="20" t="e">
        <f ca="1">AVERAGEIFS(INDIRECT($D$3),INDIRECT($D$3),"&gt;=0",Data!$B:$B,BB32,IF($A$20,Data!$J:$J,Data!#REF!),IF($A$20,"&lt;&gt;5",1))</f>
        <v>#DIV/0!</v>
      </c>
      <c r="BD32" t="e">
        <f t="shared" ca="1" si="20"/>
        <v>#DIV/0!</v>
      </c>
      <c r="BE32" s="20" t="s">
        <v>39</v>
      </c>
      <c r="BF32" t="e">
        <f ca="1">AVERAGEIFS(INDIRECT($E$3),INDIRECT($E$3),"&gt;=0",Data!$B:$B,BE32,IF($A$20,Data!$J:$J,Data!#REF!),IF($A$20,"&lt;&gt;5",1))</f>
        <v>#DIV/0!</v>
      </c>
      <c r="BG32" s="20" t="e">
        <f t="shared" ca="1" si="21"/>
        <v>#DIV/0!</v>
      </c>
      <c r="BH32" t="s">
        <v>68</v>
      </c>
      <c r="BI32" s="20" t="e">
        <f ca="1">AVERAGEIFS(INDIRECT($F$3),INDIRECT($F$3),"&gt;=0",Data!$B:$B,BH32,IF($A$20,Data!$J:$J,Data!#REF!),IF($A$20,"&lt;&gt;5",1))</f>
        <v>#DIV/0!</v>
      </c>
      <c r="BJ32" t="e">
        <f t="shared" ca="1" si="22"/>
        <v>#DIV/0!</v>
      </c>
      <c r="BK32" s="20" t="s">
        <v>111</v>
      </c>
      <c r="BL32" t="e">
        <f ca="1">AVERAGEIFS(INDIRECT($G$3),INDIRECT($G$3),"&gt;=0",Data!$B:$B,BK32,IF($A$20,Data!$J:$J,Data!#REF!),IF($A$20,"&lt;&gt;5",1))</f>
        <v>#DIV/0!</v>
      </c>
      <c r="BM32" s="20" t="e">
        <f t="shared" ca="1" si="23"/>
        <v>#DIV/0!</v>
      </c>
      <c r="BN32" t="s">
        <v>77</v>
      </c>
      <c r="BO32" t="e">
        <f ca="1">AVERAGEIFS(INDIRECT($H$3),INDIRECT($H$3),"&gt;=0",Data!$B:$B,BN32,IF($A$20,Data!$J:$J,Data!#REF!),IF($A$20,"&lt;&gt;5",1))</f>
        <v>#DIV/0!</v>
      </c>
      <c r="BP32" t="e">
        <f t="shared" ca="1" si="24"/>
        <v>#DIV/0!</v>
      </c>
      <c r="BQ32" t="s">
        <v>193</v>
      </c>
      <c r="BR32" t="e">
        <f ca="1">AVERAGEIFS(INDIRECT($I$3),INDIRECT($I$3),"&gt;=0",Data!$B:$B,BQ32,IF($A$20,Data!$J:$J,Data!#REF!),IF($A$20,"&lt;&gt;5",1))</f>
        <v>#DIV/0!</v>
      </c>
      <c r="BS32" t="e">
        <f t="shared" ca="1" si="25"/>
        <v>#DIV/0!</v>
      </c>
      <c r="BT32" t="s">
        <v>168</v>
      </c>
      <c r="BU32">
        <f ca="1">AVERAGEIFS(INDIRECT($J$3),INDIRECT($J$3),"&gt;=0",Data!$B:$B,BT32,IF($A$20,Data!$J:$J,Data!#REF!),IF($A$20,"&lt;&gt;5",1))</f>
        <v>0.33333333333333331</v>
      </c>
      <c r="BV32">
        <f t="shared" ca="1" si="26"/>
        <v>24</v>
      </c>
    </row>
    <row r="33" spans="2:74" x14ac:dyDescent="0.35">
      <c r="J33">
        <f t="shared" si="27"/>
        <v>25</v>
      </c>
      <c r="K33" t="s">
        <v>97</v>
      </c>
      <c r="L33" t="e">
        <f ca="1">AVERAGEIFS(INDIRECT($B$3),INDIRECT($B$3),"&gt;=0",Data!$B:$B,$K33)</f>
        <v>#DIV/0!</v>
      </c>
      <c r="M33" t="e">
        <f t="shared" ca="1" si="28"/>
        <v>#DIV/0!</v>
      </c>
      <c r="N33" t="s">
        <v>183</v>
      </c>
      <c r="O33" t="e">
        <f ca="1">AVERAGEIFS(INDIRECT($C$3),INDIRECT($C$3),"&gt;=0",Data!$B:$B,$N33)</f>
        <v>#DIV/0!</v>
      </c>
      <c r="P33" t="e">
        <f t="shared" ca="1" si="1"/>
        <v>#DIV/0!</v>
      </c>
      <c r="Q33" t="s">
        <v>90</v>
      </c>
      <c r="R33" t="e">
        <f ca="1">AVERAGEIFS(INDIRECT($D$3),INDIRECT($D$3),"&gt;=0",Data!$B:$B,$Q33)</f>
        <v>#DIV/0!</v>
      </c>
      <c r="S33" t="e">
        <f t="shared" ca="1" si="2"/>
        <v>#DIV/0!</v>
      </c>
      <c r="T33" t="s">
        <v>186</v>
      </c>
      <c r="U33" t="e">
        <f ca="1">AVERAGEIFS(INDIRECT($E$3),INDIRECT($E$3),"&gt;=0",Data!$B:$B,$T33)</f>
        <v>#DIV/0!</v>
      </c>
      <c r="V33" t="e">
        <f t="shared" ca="1" si="3"/>
        <v>#DIV/0!</v>
      </c>
      <c r="W33" t="s">
        <v>181</v>
      </c>
      <c r="X33">
        <f ca="1">AVERAGEIFS(INDIRECT($F$3),INDIRECT($F$3),"&gt;=0",Data!$B:$B,$W33)</f>
        <v>1</v>
      </c>
      <c r="Y33" t="e">
        <f t="shared" ca="1" si="4"/>
        <v>#DIV/0!</v>
      </c>
      <c r="Z33" t="s">
        <v>102</v>
      </c>
      <c r="AA33" t="e">
        <f ca="1">AVERAGEIFS(INDIRECT($G$3),INDIRECT($G$3),"&gt;=0",Data!$B:$B,$Z33)</f>
        <v>#DIV/0!</v>
      </c>
      <c r="AB33" t="e">
        <f t="shared" ca="1" si="5"/>
        <v>#DIV/0!</v>
      </c>
      <c r="AC33" t="s">
        <v>74</v>
      </c>
      <c r="AD33" t="e">
        <f ca="1">AVERAGEIFS(INDIRECT($H$3),INDIRECT($H$3),"&gt;=0",Data!$B:$B,$AC33)</f>
        <v>#DIV/0!</v>
      </c>
      <c r="AE33" t="e">
        <f t="shared" ca="1" si="6"/>
        <v>#DIV/0!</v>
      </c>
      <c r="AF33" t="s">
        <v>177</v>
      </c>
      <c r="AG33" t="e">
        <f ca="1">AVERAGEIFS(INDIRECT($I$3),INDIRECT($I$3),"&gt;=0",Data!$B:$B,$AF33)</f>
        <v>#DIV/0!</v>
      </c>
      <c r="AH33" t="e">
        <f t="shared" ca="1" si="7"/>
        <v>#DIV/0!</v>
      </c>
      <c r="AI33" t="s">
        <v>168</v>
      </c>
      <c r="AJ33">
        <f ca="1">AVERAGEIFS(INDIRECT($J$3),INDIRECT($J$3),"&gt;=0",Data!$B:$B,$AI33)</f>
        <v>0.3125</v>
      </c>
      <c r="AK33">
        <f t="shared" ca="1" si="8"/>
        <v>25</v>
      </c>
      <c r="AL33" t="str">
        <f t="shared" ca="1" si="9"/>
        <v>-</v>
      </c>
      <c r="AM33" t="str">
        <f t="shared" ca="1" si="10"/>
        <v>-</v>
      </c>
      <c r="AN33" t="str">
        <f t="shared" ca="1" si="11"/>
        <v>-</v>
      </c>
      <c r="AO33" t="str">
        <f t="shared" ca="1" si="12"/>
        <v>-</v>
      </c>
      <c r="AP33" t="str">
        <f t="shared" ca="1" si="13"/>
        <v>-</v>
      </c>
      <c r="AQ33" t="str">
        <f t="shared" ca="1" si="14"/>
        <v>-</v>
      </c>
      <c r="AR33" t="str">
        <f t="shared" ca="1" si="15"/>
        <v>-</v>
      </c>
      <c r="AS33" t="str">
        <f t="shared" ca="1" si="16"/>
        <v>-</v>
      </c>
      <c r="AT33" t="str">
        <f t="shared" ca="1" si="17"/>
        <v>-</v>
      </c>
      <c r="AU33">
        <f t="shared" si="29"/>
        <v>25</v>
      </c>
      <c r="AV33" t="s">
        <v>92</v>
      </c>
      <c r="AW33" s="20" t="e">
        <f ca="1">AVERAGEIFS(INDIRECT($B$3),INDIRECT($B$3),"&gt;=0",Data!$B:$B,AV33,IF($A$20,Data!$J:$J,Data!#REF!),IF($A$20,"&lt;&gt;5",1))</f>
        <v>#DIV/0!</v>
      </c>
      <c r="AX33" t="e">
        <f t="shared" ca="1" si="18"/>
        <v>#DIV/0!</v>
      </c>
      <c r="AY33" s="20" t="s">
        <v>183</v>
      </c>
      <c r="AZ33" t="e">
        <f ca="1">AVERAGEIFS(INDIRECT($C$3),INDIRECT($C$3),"&gt;=0",Data!$B:$B,AY33,IF($A$20,Data!$J:$J,Data!#REF!),IF($A$20,"&lt;&gt;5",1))</f>
        <v>#DIV/0!</v>
      </c>
      <c r="BA33" s="20" t="e">
        <f t="shared" ca="1" si="19"/>
        <v>#DIV/0!</v>
      </c>
      <c r="BB33" t="s">
        <v>182</v>
      </c>
      <c r="BC33" s="20" t="e">
        <f ca="1">AVERAGEIFS(INDIRECT($D$3),INDIRECT($D$3),"&gt;=0",Data!$B:$B,BB33,IF($A$20,Data!$J:$J,Data!#REF!),IF($A$20,"&lt;&gt;5",1))</f>
        <v>#DIV/0!</v>
      </c>
      <c r="BD33" t="e">
        <f t="shared" ca="1" si="20"/>
        <v>#DIV/0!</v>
      </c>
      <c r="BE33" s="20" t="s">
        <v>18</v>
      </c>
      <c r="BF33" t="e">
        <f ca="1">AVERAGEIFS(INDIRECT($E$3),INDIRECT($E$3),"&gt;=0",Data!$B:$B,BE33,IF($A$20,Data!$J:$J,Data!#REF!),IF($A$20,"&lt;&gt;5",1))</f>
        <v>#DIV/0!</v>
      </c>
      <c r="BG33" s="20" t="e">
        <f t="shared" ca="1" si="21"/>
        <v>#DIV/0!</v>
      </c>
      <c r="BH33" t="s">
        <v>178</v>
      </c>
      <c r="BI33" s="20" t="e">
        <f ca="1">AVERAGEIFS(INDIRECT($F$3),INDIRECT($F$3),"&gt;=0",Data!$B:$B,BH33,IF($A$20,Data!$J:$J,Data!#REF!),IF($A$20,"&lt;&gt;5",1))</f>
        <v>#DIV/0!</v>
      </c>
      <c r="BJ33" t="e">
        <f t="shared" ca="1" si="22"/>
        <v>#DIV/0!</v>
      </c>
      <c r="BK33" s="20" t="s">
        <v>114</v>
      </c>
      <c r="BL33" t="e">
        <f ca="1">AVERAGEIFS(INDIRECT($G$3),INDIRECT($G$3),"&gt;=0",Data!$B:$B,BK33,IF($A$20,Data!$J:$J,Data!#REF!),IF($A$20,"&lt;&gt;5",1))</f>
        <v>#DIV/0!</v>
      </c>
      <c r="BM33" s="20" t="e">
        <f t="shared" ca="1" si="23"/>
        <v>#DIV/0!</v>
      </c>
      <c r="BN33" t="s">
        <v>80</v>
      </c>
      <c r="BO33" t="e">
        <f ca="1">AVERAGEIFS(INDIRECT($H$3),INDIRECT($H$3),"&gt;=0",Data!$B:$B,BN33,IF($A$20,Data!$J:$J,Data!#REF!),IF($A$20,"&lt;&gt;5",1))</f>
        <v>#DIV/0!</v>
      </c>
      <c r="BP33" t="e">
        <f t="shared" ca="1" si="24"/>
        <v>#DIV/0!</v>
      </c>
      <c r="BQ33" t="s">
        <v>194</v>
      </c>
      <c r="BR33" t="e">
        <f ca="1">AVERAGEIFS(INDIRECT($I$3),INDIRECT($I$3),"&gt;=0",Data!$B:$B,BQ33,IF($A$20,Data!$J:$J,Data!#REF!),IF($A$20,"&lt;&gt;5",1))</f>
        <v>#DIV/0!</v>
      </c>
      <c r="BS33" t="e">
        <f t="shared" ca="1" si="25"/>
        <v>#DIV/0!</v>
      </c>
      <c r="BT33" t="s">
        <v>165</v>
      </c>
      <c r="BU33" t="e">
        <f ca="1">AVERAGEIFS(INDIRECT($J$3),INDIRECT($J$3),"&gt;=0",Data!$B:$B,BT33,IF($A$20,Data!$J:$J,Data!#REF!),IF($A$20,"&lt;&gt;5",1))</f>
        <v>#DIV/0!</v>
      </c>
      <c r="BV33" t="e">
        <f t="shared" ca="1" si="26"/>
        <v>#DIV/0!</v>
      </c>
    </row>
    <row r="34" spans="2:74" x14ac:dyDescent="0.35">
      <c r="B34" t="e">
        <f>_xlfn.CONCAT("Based on analysis of ",IF($A$20,COUNTIFS(Data!#REF!,1,Data!$J:$J,"&lt;&gt;5",Data!$AL:$AL,1),COUNTIFS(Data!#REF!,1,Data!$AL:$AL,1))," policies for this sample (average number of policies per country=12).")</f>
        <v>#REF!</v>
      </c>
      <c r="J34">
        <f t="shared" si="27"/>
        <v>26</v>
      </c>
      <c r="K34" t="s">
        <v>160</v>
      </c>
      <c r="L34" t="e">
        <f ca="1">AVERAGEIFS(INDIRECT($B$3),INDIRECT($B$3),"&gt;=0",Data!$B:$B,$K34)</f>
        <v>#DIV/0!</v>
      </c>
      <c r="M34" t="e">
        <f t="shared" ca="1" si="28"/>
        <v>#DIV/0!</v>
      </c>
      <c r="N34" t="s">
        <v>33</v>
      </c>
      <c r="O34" t="e">
        <f ca="1">AVERAGEIFS(INDIRECT($C$3),INDIRECT($C$3),"&gt;=0",Data!$B:$B,$N34)</f>
        <v>#DIV/0!</v>
      </c>
      <c r="P34" t="e">
        <f t="shared" ca="1" si="1"/>
        <v>#DIV/0!</v>
      </c>
      <c r="Q34" t="s">
        <v>106</v>
      </c>
      <c r="R34" t="e">
        <f ca="1">AVERAGEIFS(INDIRECT($D$3),INDIRECT($D$3),"&gt;=0",Data!$B:$B,$Q34)</f>
        <v>#DIV/0!</v>
      </c>
      <c r="S34" t="e">
        <f t="shared" ca="1" si="2"/>
        <v>#DIV/0!</v>
      </c>
      <c r="T34" t="s">
        <v>39</v>
      </c>
      <c r="U34" t="e">
        <f ca="1">AVERAGEIFS(INDIRECT($E$3),INDIRECT($E$3),"&gt;=0",Data!$B:$B,$T34)</f>
        <v>#DIV/0!</v>
      </c>
      <c r="V34" t="e">
        <f t="shared" ca="1" si="3"/>
        <v>#DIV/0!</v>
      </c>
      <c r="W34" t="s">
        <v>192</v>
      </c>
      <c r="X34" t="e">
        <f ca="1">AVERAGEIFS(INDIRECT($F$3),INDIRECT($F$3),"&gt;=0",Data!$B:$B,$W34)</f>
        <v>#DIV/0!</v>
      </c>
      <c r="Y34" t="e">
        <f t="shared" ca="1" si="4"/>
        <v>#DIV/0!</v>
      </c>
      <c r="Z34" t="s">
        <v>105</v>
      </c>
      <c r="AA34" t="e">
        <f ca="1">AVERAGEIFS(INDIRECT($G$3),INDIRECT($G$3),"&gt;=0",Data!$B:$B,$Z34)</f>
        <v>#DIV/0!</v>
      </c>
      <c r="AB34" t="e">
        <f t="shared" ca="1" si="5"/>
        <v>#DIV/0!</v>
      </c>
      <c r="AC34" t="s">
        <v>77</v>
      </c>
      <c r="AD34" t="e">
        <f ca="1">AVERAGEIFS(INDIRECT($H$3),INDIRECT($H$3),"&gt;=0",Data!$B:$B,$AC34)</f>
        <v>#DIV/0!</v>
      </c>
      <c r="AE34" t="e">
        <f t="shared" ca="1" si="6"/>
        <v>#DIV/0!</v>
      </c>
      <c r="AF34" t="s">
        <v>178</v>
      </c>
      <c r="AG34" t="e">
        <f ca="1">AVERAGEIFS(INDIRECT($I$3),INDIRECT($I$3),"&gt;=0",Data!$B:$B,$AF34)</f>
        <v>#DIV/0!</v>
      </c>
      <c r="AH34" t="e">
        <f t="shared" ca="1" si="7"/>
        <v>#DIV/0!</v>
      </c>
      <c r="AI34" t="s">
        <v>165</v>
      </c>
      <c r="AJ34" t="e">
        <f ca="1">AVERAGEIFS(INDIRECT($J$3),INDIRECT($J$3),"&gt;=0",Data!$B:$B,$AI34)</f>
        <v>#DIV/0!</v>
      </c>
      <c r="AK34" t="e">
        <f t="shared" ca="1" si="8"/>
        <v>#DIV/0!</v>
      </c>
      <c r="AL34" t="str">
        <f t="shared" ca="1" si="9"/>
        <v>-</v>
      </c>
      <c r="AM34" t="str">
        <f t="shared" ca="1" si="10"/>
        <v>-</v>
      </c>
      <c r="AN34" t="str">
        <f t="shared" ca="1" si="11"/>
        <v>-</v>
      </c>
      <c r="AO34" t="str">
        <f t="shared" ca="1" si="12"/>
        <v>-</v>
      </c>
      <c r="AP34" t="str">
        <f t="shared" ca="1" si="13"/>
        <v>-</v>
      </c>
      <c r="AQ34" t="str">
        <f t="shared" ca="1" si="14"/>
        <v>-</v>
      </c>
      <c r="AR34" t="str">
        <f t="shared" ca="1" si="15"/>
        <v>-</v>
      </c>
      <c r="AS34" t="str">
        <f t="shared" ca="1" si="16"/>
        <v>-</v>
      </c>
      <c r="AT34" t="str">
        <f t="shared" ca="1" si="17"/>
        <v>-</v>
      </c>
      <c r="AU34">
        <f t="shared" si="29"/>
        <v>26</v>
      </c>
      <c r="AV34" t="s">
        <v>117</v>
      </c>
      <c r="AW34" s="20" t="e">
        <f ca="1">AVERAGEIFS(INDIRECT($B$3),INDIRECT($B$3),"&gt;=0",Data!$B:$B,AV34,IF($A$20,Data!$J:$J,Data!#REF!),IF($A$20,"&lt;&gt;5",1))</f>
        <v>#DIV/0!</v>
      </c>
      <c r="AX34" t="e">
        <f t="shared" ca="1" si="18"/>
        <v>#DIV/0!</v>
      </c>
      <c r="AY34" s="20" t="s">
        <v>33</v>
      </c>
      <c r="AZ34" t="e">
        <f ca="1">AVERAGEIFS(INDIRECT($C$3),INDIRECT($C$3),"&gt;=0",Data!$B:$B,AY34,IF($A$20,Data!$J:$J,Data!#REF!),IF($A$20,"&lt;&gt;5",1))</f>
        <v>#DIV/0!</v>
      </c>
      <c r="BA34" s="20" t="e">
        <f t="shared" ca="1" si="19"/>
        <v>#DIV/0!</v>
      </c>
      <c r="BB34" t="s">
        <v>195</v>
      </c>
      <c r="BC34" s="20" t="e">
        <f ca="1">AVERAGEIFS(INDIRECT($D$3),INDIRECT($D$3),"&gt;=0",Data!$B:$B,BB34,IF($A$20,Data!$J:$J,Data!#REF!),IF($A$20,"&lt;&gt;5",1))</f>
        <v>#DIV/0!</v>
      </c>
      <c r="BD34" t="e">
        <f t="shared" ca="1" si="20"/>
        <v>#DIV/0!</v>
      </c>
      <c r="BE34" s="20" t="s">
        <v>114</v>
      </c>
      <c r="BF34" t="e">
        <f ca="1">AVERAGEIFS(INDIRECT($E$3),INDIRECT($E$3),"&gt;=0",Data!$B:$B,BE34,IF($A$20,Data!$J:$J,Data!#REF!),IF($A$20,"&lt;&gt;5",1))</f>
        <v>#DIV/0!</v>
      </c>
      <c r="BG34" s="20" t="e">
        <f t="shared" ca="1" si="21"/>
        <v>#DIV/0!</v>
      </c>
      <c r="BH34" t="s">
        <v>51</v>
      </c>
      <c r="BI34" s="20" t="e">
        <f ca="1">AVERAGEIFS(INDIRECT($F$3),INDIRECT($F$3),"&gt;=0",Data!$B:$B,BH34,IF($A$20,Data!$J:$J,Data!#REF!),IF($A$20,"&lt;&gt;5",1))</f>
        <v>#DIV/0!</v>
      </c>
      <c r="BJ34" t="e">
        <f t="shared" ca="1" si="22"/>
        <v>#DIV/0!</v>
      </c>
      <c r="BK34" s="20" t="s">
        <v>118</v>
      </c>
      <c r="BL34" t="e">
        <f ca="1">AVERAGEIFS(INDIRECT($G$3),INDIRECT($G$3),"&gt;=0",Data!$B:$B,BK34,IF($A$20,Data!$J:$J,Data!#REF!),IF($A$20,"&lt;&gt;5",1))</f>
        <v>#DIV/0!</v>
      </c>
      <c r="BM34" s="20" t="e">
        <f t="shared" ca="1" si="23"/>
        <v>#DIV/0!</v>
      </c>
      <c r="BN34" t="s">
        <v>81</v>
      </c>
      <c r="BO34" t="e">
        <f ca="1">AVERAGEIFS(INDIRECT($H$3),INDIRECT($H$3),"&gt;=0",Data!$B:$B,BN34,IF($A$20,Data!$J:$J,Data!#REF!),IF($A$20,"&lt;&gt;5",1))</f>
        <v>#DIV/0!</v>
      </c>
      <c r="BP34" t="e">
        <f t="shared" ca="1" si="24"/>
        <v>#DIV/0!</v>
      </c>
      <c r="BQ34" t="s">
        <v>199</v>
      </c>
      <c r="BR34" t="e">
        <f ca="1">AVERAGEIFS(INDIRECT($I$3),INDIRECT($I$3),"&gt;=0",Data!$B:$B,BQ34,IF($A$20,Data!$J:$J,Data!#REF!),IF($A$20,"&lt;&gt;5",1))</f>
        <v>#DIV/0!</v>
      </c>
      <c r="BS34" t="e">
        <f t="shared" ca="1" si="25"/>
        <v>#DIV/0!</v>
      </c>
      <c r="BT34" t="s">
        <v>155</v>
      </c>
      <c r="BU34" t="e">
        <f ca="1">AVERAGEIFS(INDIRECT($J$3),INDIRECT($J$3),"&gt;=0",Data!$B:$B,BT34,IF($A$20,Data!$J:$J,Data!#REF!),IF($A$20,"&lt;&gt;5",1))</f>
        <v>#DIV/0!</v>
      </c>
      <c r="BV34" t="e">
        <f t="shared" ca="1" si="26"/>
        <v>#DIV/0!</v>
      </c>
    </row>
    <row r="35" spans="2:74" x14ac:dyDescent="0.35">
      <c r="J35">
        <f t="shared" si="27"/>
        <v>27</v>
      </c>
      <c r="K35" t="s">
        <v>63</v>
      </c>
      <c r="L35" t="e">
        <f ca="1">AVERAGEIFS(INDIRECT($B$3),INDIRECT($B$3),"&gt;=0",Data!$B:$B,$K35)</f>
        <v>#DIV/0!</v>
      </c>
      <c r="M35" t="e">
        <f t="shared" ca="1" si="28"/>
        <v>#DIV/0!</v>
      </c>
      <c r="N35" t="s">
        <v>138</v>
      </c>
      <c r="O35" t="e">
        <f ca="1">AVERAGEIFS(INDIRECT($C$3),INDIRECT($C$3),"&gt;=0",Data!$B:$B,$N35)</f>
        <v>#DIV/0!</v>
      </c>
      <c r="P35" t="e">
        <f t="shared" ca="1" si="1"/>
        <v>#DIV/0!</v>
      </c>
      <c r="Q35" t="s">
        <v>164</v>
      </c>
      <c r="R35" t="e">
        <f ca="1">AVERAGEIFS(INDIRECT($D$3),INDIRECT($D$3),"&gt;=0",Data!$B:$B,$Q35)</f>
        <v>#DIV/0!</v>
      </c>
      <c r="S35" t="e">
        <f t="shared" ca="1" si="2"/>
        <v>#DIV/0!</v>
      </c>
      <c r="T35" t="s">
        <v>72</v>
      </c>
      <c r="U35" t="e">
        <f ca="1">AVERAGEIFS(INDIRECT($E$3),INDIRECT($E$3),"&gt;=0",Data!$B:$B,$T35)</f>
        <v>#DIV/0!</v>
      </c>
      <c r="V35" t="e">
        <f t="shared" ca="1" si="3"/>
        <v>#DIV/0!</v>
      </c>
      <c r="W35" t="s">
        <v>166</v>
      </c>
      <c r="X35">
        <f ca="1">AVERAGEIFS(INDIRECT($F$3),INDIRECT($F$3),"&gt;=0",Data!$B:$B,$W35)</f>
        <v>0</v>
      </c>
      <c r="Y35" t="e">
        <f t="shared" ca="1" si="4"/>
        <v>#DIV/0!</v>
      </c>
      <c r="Z35" t="s">
        <v>111</v>
      </c>
      <c r="AA35" t="e">
        <f ca="1">AVERAGEIFS(INDIRECT($G$3),INDIRECT($G$3),"&gt;=0",Data!$B:$B,$Z35)</f>
        <v>#DIV/0!</v>
      </c>
      <c r="AB35" t="e">
        <f t="shared" ca="1" si="5"/>
        <v>#DIV/0!</v>
      </c>
      <c r="AC35" t="s">
        <v>80</v>
      </c>
      <c r="AD35" t="e">
        <f ca="1">AVERAGEIFS(INDIRECT($H$3),INDIRECT($H$3),"&gt;=0",Data!$B:$B,$AC35)</f>
        <v>#DIV/0!</v>
      </c>
      <c r="AE35" t="e">
        <f t="shared" ca="1" si="6"/>
        <v>#DIV/0!</v>
      </c>
      <c r="AF35" t="s">
        <v>182</v>
      </c>
      <c r="AG35" t="e">
        <f ca="1">AVERAGEIFS(INDIRECT($I$3),INDIRECT($I$3),"&gt;=0",Data!$B:$B,$AF35)</f>
        <v>#DIV/0!</v>
      </c>
      <c r="AH35" t="e">
        <f t="shared" ca="1" si="7"/>
        <v>#DIV/0!</v>
      </c>
      <c r="AI35" t="s">
        <v>155</v>
      </c>
      <c r="AJ35" t="e">
        <f ca="1">AVERAGEIFS(INDIRECT($J$3),INDIRECT($J$3),"&gt;=0",Data!$B:$B,$AI35)</f>
        <v>#DIV/0!</v>
      </c>
      <c r="AK35" t="e">
        <f t="shared" ca="1" si="8"/>
        <v>#DIV/0!</v>
      </c>
      <c r="AL35" t="str">
        <f t="shared" ca="1" si="9"/>
        <v>-</v>
      </c>
      <c r="AM35" t="str">
        <f t="shared" ca="1" si="10"/>
        <v>-</v>
      </c>
      <c r="AN35" t="str">
        <f t="shared" ca="1" si="11"/>
        <v>-</v>
      </c>
      <c r="AO35" t="str">
        <f t="shared" ca="1" si="12"/>
        <v>-</v>
      </c>
      <c r="AP35" t="str">
        <f t="shared" ca="1" si="13"/>
        <v>-</v>
      </c>
      <c r="AQ35" t="str">
        <f t="shared" ca="1" si="14"/>
        <v>-</v>
      </c>
      <c r="AR35" t="str">
        <f t="shared" ca="1" si="15"/>
        <v>-</v>
      </c>
      <c r="AS35" t="str">
        <f t="shared" ca="1" si="16"/>
        <v>-</v>
      </c>
      <c r="AT35" t="str">
        <f t="shared" ca="1" si="17"/>
        <v>-</v>
      </c>
      <c r="AU35">
        <f t="shared" si="29"/>
        <v>27</v>
      </c>
      <c r="AV35" t="s">
        <v>130</v>
      </c>
      <c r="AW35" s="20" t="e">
        <f ca="1">AVERAGEIFS(INDIRECT($B$3),INDIRECT($B$3),"&gt;=0",Data!$B:$B,AV35,IF($A$20,Data!$J:$J,Data!#REF!),IF($A$20,"&lt;&gt;5",1))</f>
        <v>#DIV/0!</v>
      </c>
      <c r="AX35" t="e">
        <f t="shared" ca="1" si="18"/>
        <v>#DIV/0!</v>
      </c>
      <c r="AY35" s="20" t="s">
        <v>138</v>
      </c>
      <c r="AZ35" t="e">
        <f ca="1">AVERAGEIFS(INDIRECT($C$3),INDIRECT($C$3),"&gt;=0",Data!$B:$B,AY35,IF($A$20,Data!$J:$J,Data!#REF!),IF($A$20,"&lt;&gt;5",1))</f>
        <v>#DIV/0!</v>
      </c>
      <c r="BA35" s="20" t="e">
        <f t="shared" ca="1" si="19"/>
        <v>#DIV/0!</v>
      </c>
      <c r="BB35" t="s">
        <v>117</v>
      </c>
      <c r="BC35" s="20" t="e">
        <f ca="1">AVERAGEIFS(INDIRECT($D$3),INDIRECT($D$3),"&gt;=0",Data!$B:$B,BB35,IF($A$20,Data!$J:$J,Data!#REF!),IF($A$20,"&lt;&gt;5",1))</f>
        <v>#DIV/0!</v>
      </c>
      <c r="BD35" t="e">
        <f t="shared" ca="1" si="20"/>
        <v>#DIV/0!</v>
      </c>
      <c r="BE35" s="20" t="s">
        <v>108</v>
      </c>
      <c r="BF35" t="e">
        <f ca="1">AVERAGEIFS(INDIRECT($E$3),INDIRECT($E$3),"&gt;=0",Data!$B:$B,BE35,IF($A$20,Data!$J:$J,Data!#REF!),IF($A$20,"&lt;&gt;5",1))</f>
        <v>#DIV/0!</v>
      </c>
      <c r="BG35" s="20" t="e">
        <f t="shared" ca="1" si="21"/>
        <v>#DIV/0!</v>
      </c>
      <c r="BH35" t="s">
        <v>104</v>
      </c>
      <c r="BI35" s="20" t="e">
        <f ca="1">AVERAGEIFS(INDIRECT($F$3),INDIRECT($F$3),"&gt;=0",Data!$B:$B,BH35,IF($A$20,Data!$J:$J,Data!#REF!),IF($A$20,"&lt;&gt;5",1))</f>
        <v>#DIV/0!</v>
      </c>
      <c r="BJ35" t="e">
        <f t="shared" ca="1" si="22"/>
        <v>#DIV/0!</v>
      </c>
      <c r="BK35" s="20" t="s">
        <v>127</v>
      </c>
      <c r="BL35" t="e">
        <f ca="1">AVERAGEIFS(INDIRECT($G$3),INDIRECT($G$3),"&gt;=0",Data!$B:$B,BK35,IF($A$20,Data!$J:$J,Data!#REF!),IF($A$20,"&lt;&gt;5",1))</f>
        <v>#DIV/0!</v>
      </c>
      <c r="BM35" s="20" t="e">
        <f t="shared" ca="1" si="23"/>
        <v>#DIV/0!</v>
      </c>
      <c r="BN35" t="s">
        <v>84</v>
      </c>
      <c r="BO35" t="e">
        <f ca="1">AVERAGEIFS(INDIRECT($H$3),INDIRECT($H$3),"&gt;=0",Data!$B:$B,BN35,IF($A$20,Data!$J:$J,Data!#REF!),IF($A$20,"&lt;&gt;5",1))</f>
        <v>#DIV/0!</v>
      </c>
      <c r="BP35" t="e">
        <f t="shared" ca="1" si="24"/>
        <v>#DIV/0!</v>
      </c>
      <c r="BQ35" t="s">
        <v>66</v>
      </c>
      <c r="BR35" t="e">
        <f ca="1">AVERAGEIFS(INDIRECT($I$3),INDIRECT($I$3),"&gt;=0",Data!$B:$B,BQ35,IF($A$20,Data!$J:$J,Data!#REF!),IF($A$20,"&lt;&gt;5",1))</f>
        <v>#DIV/0!</v>
      </c>
      <c r="BS35" t="e">
        <f t="shared" ca="1" si="25"/>
        <v>#DIV/0!</v>
      </c>
      <c r="BT35" t="s">
        <v>170</v>
      </c>
      <c r="BU35" t="e">
        <f ca="1">AVERAGEIFS(INDIRECT($J$3),INDIRECT($J$3),"&gt;=0",Data!$B:$B,BT35,IF($A$20,Data!$J:$J,Data!#REF!),IF($A$20,"&lt;&gt;5",1))</f>
        <v>#DIV/0!</v>
      </c>
      <c r="BV35" t="e">
        <f t="shared" ca="1" si="26"/>
        <v>#DIV/0!</v>
      </c>
    </row>
    <row r="36" spans="2:74" x14ac:dyDescent="0.35">
      <c r="J36">
        <f t="shared" si="27"/>
        <v>28</v>
      </c>
      <c r="K36" t="s">
        <v>126</v>
      </c>
      <c r="L36" t="e">
        <f ca="1">AVERAGEIFS(INDIRECT($B$3),INDIRECT($B$3),"&gt;=0",Data!$B:$B,$K36)</f>
        <v>#DIV/0!</v>
      </c>
      <c r="M36" t="e">
        <f t="shared" ca="1" si="28"/>
        <v>#DIV/0!</v>
      </c>
      <c r="N36" t="s">
        <v>60</v>
      </c>
      <c r="O36" t="e">
        <f ca="1">AVERAGEIFS(INDIRECT($C$3),INDIRECT($C$3),"&gt;=0",Data!$B:$B,$N36)</f>
        <v>#DIV/0!</v>
      </c>
      <c r="P36" t="e">
        <f t="shared" ca="1" si="1"/>
        <v>#DIV/0!</v>
      </c>
      <c r="Q36" t="s">
        <v>193</v>
      </c>
      <c r="R36" t="e">
        <f ca="1">AVERAGEIFS(INDIRECT($D$3),INDIRECT($D$3),"&gt;=0",Data!$B:$B,$Q36)</f>
        <v>#DIV/0!</v>
      </c>
      <c r="S36" t="e">
        <f t="shared" ca="1" si="2"/>
        <v>#DIV/0!</v>
      </c>
      <c r="T36" t="s">
        <v>145</v>
      </c>
      <c r="U36" t="e">
        <f ca="1">AVERAGEIFS(INDIRECT($E$3),INDIRECT($E$3),"&gt;=0",Data!$B:$B,$T36)</f>
        <v>#DIV/0!</v>
      </c>
      <c r="V36" t="e">
        <f t="shared" ca="1" si="3"/>
        <v>#DIV/0!</v>
      </c>
      <c r="W36" t="s">
        <v>108</v>
      </c>
      <c r="X36">
        <f ca="1">AVERAGEIFS(INDIRECT($F$3),INDIRECT($F$3),"&gt;=0",Data!$B:$B,$W36)</f>
        <v>0</v>
      </c>
      <c r="Y36" t="e">
        <f t="shared" ca="1" si="4"/>
        <v>#DIV/0!</v>
      </c>
      <c r="Z36" t="s">
        <v>114</v>
      </c>
      <c r="AA36" t="e">
        <f ca="1">AVERAGEIFS(INDIRECT($G$3),INDIRECT($G$3),"&gt;=0",Data!$B:$B,$Z36)</f>
        <v>#DIV/0!</v>
      </c>
      <c r="AB36" t="e">
        <f t="shared" ca="1" si="5"/>
        <v>#DIV/0!</v>
      </c>
      <c r="AC36" t="s">
        <v>81</v>
      </c>
      <c r="AD36" t="e">
        <f ca="1">AVERAGEIFS(INDIRECT($H$3),INDIRECT($H$3),"&gt;=0",Data!$B:$B,$AC36)</f>
        <v>#DIV/0!</v>
      </c>
      <c r="AE36" t="e">
        <f t="shared" ca="1" si="6"/>
        <v>#DIV/0!</v>
      </c>
      <c r="AF36" t="s">
        <v>191</v>
      </c>
      <c r="AG36" t="e">
        <f ca="1">AVERAGEIFS(INDIRECT($I$3),INDIRECT($I$3),"&gt;=0",Data!$B:$B,$AF36)</f>
        <v>#DIV/0!</v>
      </c>
      <c r="AH36" t="e">
        <f t="shared" ca="1" si="7"/>
        <v>#DIV/0!</v>
      </c>
      <c r="AI36" t="s">
        <v>170</v>
      </c>
      <c r="AJ36" t="e">
        <f ca="1">AVERAGEIFS(INDIRECT($J$3),INDIRECT($J$3),"&gt;=0",Data!$B:$B,$AI36)</f>
        <v>#DIV/0!</v>
      </c>
      <c r="AK36" t="e">
        <f t="shared" ca="1" si="8"/>
        <v>#DIV/0!</v>
      </c>
      <c r="AL36" t="str">
        <f t="shared" ca="1" si="9"/>
        <v>-</v>
      </c>
      <c r="AM36" t="str">
        <f t="shared" ca="1" si="10"/>
        <v>-</v>
      </c>
      <c r="AN36" t="str">
        <f t="shared" ca="1" si="11"/>
        <v>-</v>
      </c>
      <c r="AO36" t="str">
        <f t="shared" ca="1" si="12"/>
        <v>-</v>
      </c>
      <c r="AP36" t="str">
        <f t="shared" ca="1" si="13"/>
        <v>-</v>
      </c>
      <c r="AQ36" t="str">
        <f t="shared" ca="1" si="14"/>
        <v>-</v>
      </c>
      <c r="AR36" t="str">
        <f t="shared" ca="1" si="15"/>
        <v>-</v>
      </c>
      <c r="AS36" t="str">
        <f t="shared" ca="1" si="16"/>
        <v>-</v>
      </c>
      <c r="AT36" t="str">
        <f t="shared" ca="1" si="17"/>
        <v>-</v>
      </c>
      <c r="AU36">
        <f t="shared" si="29"/>
        <v>28</v>
      </c>
      <c r="AV36" t="s">
        <v>125</v>
      </c>
      <c r="AW36" s="20" t="e">
        <f ca="1">AVERAGEIFS(INDIRECT($B$3),INDIRECT($B$3),"&gt;=0",Data!$B:$B,AV36,IF($A$20,Data!$J:$J,Data!#REF!),IF($A$20,"&lt;&gt;5",1))</f>
        <v>#DIV/0!</v>
      </c>
      <c r="AX36" t="e">
        <f t="shared" ca="1" si="18"/>
        <v>#DIV/0!</v>
      </c>
      <c r="AY36" s="20" t="s">
        <v>60</v>
      </c>
      <c r="AZ36" t="e">
        <f ca="1">AVERAGEIFS(INDIRECT($C$3),INDIRECT($C$3),"&gt;=0",Data!$B:$B,AY36,IF($A$20,Data!$J:$J,Data!#REF!),IF($A$20,"&lt;&gt;5",1))</f>
        <v>#DIV/0!</v>
      </c>
      <c r="BA36" s="20" t="e">
        <f t="shared" ca="1" si="19"/>
        <v>#DIV/0!</v>
      </c>
      <c r="BB36" t="s">
        <v>157</v>
      </c>
      <c r="BC36" s="20" t="e">
        <f ca="1">AVERAGEIFS(INDIRECT($D$3),INDIRECT($D$3),"&gt;=0",Data!$B:$B,BB36,IF($A$20,Data!$J:$J,Data!#REF!),IF($A$20,"&lt;&gt;5",1))</f>
        <v>#DIV/0!</v>
      </c>
      <c r="BD36" t="e">
        <f t="shared" ca="1" si="20"/>
        <v>#DIV/0!</v>
      </c>
      <c r="BE36" s="20" t="s">
        <v>166</v>
      </c>
      <c r="BF36" t="e">
        <f ca="1">AVERAGEIFS(INDIRECT($E$3),INDIRECT($E$3),"&gt;=0",Data!$B:$B,BE36,IF($A$20,Data!$J:$J,Data!#REF!),IF($A$20,"&lt;&gt;5",1))</f>
        <v>#DIV/0!</v>
      </c>
      <c r="BG36" s="20" t="e">
        <f t="shared" ca="1" si="21"/>
        <v>#DIV/0!</v>
      </c>
      <c r="BH36" t="s">
        <v>52</v>
      </c>
      <c r="BI36" s="20" t="e">
        <f ca="1">AVERAGEIFS(INDIRECT($F$3),INDIRECT($F$3),"&gt;=0",Data!$B:$B,BH36,IF($A$20,Data!$J:$J,Data!#REF!),IF($A$20,"&lt;&gt;5",1))</f>
        <v>#DIV/0!</v>
      </c>
      <c r="BJ36" t="e">
        <f t="shared" ca="1" si="22"/>
        <v>#DIV/0!</v>
      </c>
      <c r="BK36" s="20" t="s">
        <v>130</v>
      </c>
      <c r="BL36" t="e">
        <f ca="1">AVERAGEIFS(INDIRECT($G$3),INDIRECT($G$3),"&gt;=0",Data!$B:$B,BK36,IF($A$20,Data!$J:$J,Data!#REF!),IF($A$20,"&lt;&gt;5",1))</f>
        <v>#DIV/0!</v>
      </c>
      <c r="BM36" s="20" t="e">
        <f t="shared" ca="1" si="23"/>
        <v>#DIV/0!</v>
      </c>
      <c r="BN36" t="s">
        <v>86</v>
      </c>
      <c r="BO36">
        <f ca="1">AVERAGEIFS(INDIRECT($H$3),INDIRECT($H$3),"&gt;=0",Data!$B:$B,BN36,IF($A$20,Data!$J:$J,Data!#REF!),IF($A$20,"&lt;&gt;5",1))</f>
        <v>1</v>
      </c>
      <c r="BP36" t="e">
        <f t="shared" ca="1" si="24"/>
        <v>#DIV/0!</v>
      </c>
      <c r="BQ36" t="s">
        <v>198</v>
      </c>
      <c r="BR36" t="e">
        <f ca="1">AVERAGEIFS(INDIRECT($I$3),INDIRECT($I$3),"&gt;=0",Data!$B:$B,BQ36,IF($A$20,Data!$J:$J,Data!#REF!),IF($A$20,"&lt;&gt;5",1))</f>
        <v>#DIV/0!</v>
      </c>
      <c r="BS36" t="e">
        <f t="shared" ca="1" si="25"/>
        <v>#DIV/0!</v>
      </c>
      <c r="BT36" t="s">
        <v>104</v>
      </c>
      <c r="BU36" t="e">
        <f ca="1">AVERAGEIFS(INDIRECT($J$3),INDIRECT($J$3),"&gt;=0",Data!$B:$B,BT36,IF($A$20,Data!$J:$J,Data!#REF!),IF($A$20,"&lt;&gt;5",1))</f>
        <v>#DIV/0!</v>
      </c>
      <c r="BV36" t="e">
        <f t="shared" ca="1" si="26"/>
        <v>#DIV/0!</v>
      </c>
    </row>
    <row r="37" spans="2:74" x14ac:dyDescent="0.35">
      <c r="J37">
        <f t="shared" si="27"/>
        <v>29</v>
      </c>
      <c r="K37" t="s">
        <v>8</v>
      </c>
      <c r="L37" t="e">
        <f ca="1">AVERAGEIFS(INDIRECT($B$3),INDIRECT($B$3),"&gt;=0",Data!$B:$B,$K37)</f>
        <v>#DIV/0!</v>
      </c>
      <c r="M37" t="e">
        <f t="shared" ca="1" si="28"/>
        <v>#DIV/0!</v>
      </c>
      <c r="N37" t="s">
        <v>172</v>
      </c>
      <c r="O37" t="e">
        <f ca="1">AVERAGEIFS(INDIRECT($C$3),INDIRECT($C$3),"&gt;=0",Data!$B:$B,$N37)</f>
        <v>#DIV/0!</v>
      </c>
      <c r="P37" t="e">
        <f t="shared" ca="1" si="1"/>
        <v>#DIV/0!</v>
      </c>
      <c r="Q37" t="s">
        <v>63</v>
      </c>
      <c r="R37" t="e">
        <f ca="1">AVERAGEIFS(INDIRECT($D$3),INDIRECT($D$3),"&gt;=0",Data!$B:$B,$Q37)</f>
        <v>#DIV/0!</v>
      </c>
      <c r="S37" t="e">
        <f t="shared" ca="1" si="2"/>
        <v>#DIV/0!</v>
      </c>
      <c r="T37" t="s">
        <v>6</v>
      </c>
      <c r="U37" t="e">
        <f ca="1">AVERAGEIFS(INDIRECT($E$3),INDIRECT($E$3),"&gt;=0",Data!$B:$B,$T37)</f>
        <v>#DIV/0!</v>
      </c>
      <c r="V37" t="e">
        <f t="shared" ca="1" si="3"/>
        <v>#DIV/0!</v>
      </c>
      <c r="W37" t="s">
        <v>9</v>
      </c>
      <c r="X37" t="e">
        <f ca="1">AVERAGEIFS(INDIRECT($F$3),INDIRECT($F$3),"&gt;=0",Data!$B:$B,$W37)</f>
        <v>#DIV/0!</v>
      </c>
      <c r="Y37" t="e">
        <f t="shared" ca="1" si="4"/>
        <v>#DIV/0!</v>
      </c>
      <c r="Z37" t="s">
        <v>116</v>
      </c>
      <c r="AA37" t="e">
        <f ca="1">AVERAGEIFS(INDIRECT($G$3),INDIRECT($G$3),"&gt;=0",Data!$B:$B,$Z37)</f>
        <v>#DIV/0!</v>
      </c>
      <c r="AB37" t="e">
        <f t="shared" ca="1" si="5"/>
        <v>#DIV/0!</v>
      </c>
      <c r="AC37" t="s">
        <v>84</v>
      </c>
      <c r="AD37" t="e">
        <f ca="1">AVERAGEIFS(INDIRECT($H$3),INDIRECT($H$3),"&gt;=0",Data!$B:$B,$AC37)</f>
        <v>#DIV/0!</v>
      </c>
      <c r="AE37" t="e">
        <f t="shared" ca="1" si="6"/>
        <v>#DIV/0!</v>
      </c>
      <c r="AF37" t="s">
        <v>193</v>
      </c>
      <c r="AG37" t="e">
        <f ca="1">AVERAGEIFS(INDIRECT($I$3),INDIRECT($I$3),"&gt;=0",Data!$B:$B,$AF37)</f>
        <v>#DIV/0!</v>
      </c>
      <c r="AH37" t="e">
        <f t="shared" ca="1" si="7"/>
        <v>#DIV/0!</v>
      </c>
      <c r="AI37" t="s">
        <v>104</v>
      </c>
      <c r="AJ37" t="e">
        <f ca="1">AVERAGEIFS(INDIRECT($J$3),INDIRECT($J$3),"&gt;=0",Data!$B:$B,$AI37)</f>
        <v>#DIV/0!</v>
      </c>
      <c r="AK37" t="e">
        <f t="shared" ca="1" si="8"/>
        <v>#DIV/0!</v>
      </c>
      <c r="AL37" t="str">
        <f t="shared" ca="1" si="9"/>
        <v>-</v>
      </c>
      <c r="AM37" t="str">
        <f t="shared" ca="1" si="10"/>
        <v>-</v>
      </c>
      <c r="AN37" t="str">
        <f t="shared" ca="1" si="11"/>
        <v>-</v>
      </c>
      <c r="AO37" t="str">
        <f t="shared" ca="1" si="12"/>
        <v>-</v>
      </c>
      <c r="AP37" t="str">
        <f t="shared" ca="1" si="13"/>
        <v>-</v>
      </c>
      <c r="AQ37" t="str">
        <f t="shared" ca="1" si="14"/>
        <v>-</v>
      </c>
      <c r="AR37" t="str">
        <f t="shared" ca="1" si="15"/>
        <v>-</v>
      </c>
      <c r="AS37" t="str">
        <f t="shared" ca="1" si="16"/>
        <v>-</v>
      </c>
      <c r="AT37" t="str">
        <f t="shared" ca="1" si="17"/>
        <v>-</v>
      </c>
      <c r="AU37">
        <f t="shared" si="29"/>
        <v>29</v>
      </c>
      <c r="AV37" t="s">
        <v>95</v>
      </c>
      <c r="AW37" s="20" t="e">
        <f ca="1">AVERAGEIFS(INDIRECT($B$3),INDIRECT($B$3),"&gt;=0",Data!$B:$B,AV37,IF($A$20,Data!$J:$J,Data!#REF!),IF($A$20,"&lt;&gt;5",1))</f>
        <v>#DIV/0!</v>
      </c>
      <c r="AX37" t="e">
        <f t="shared" ca="1" si="18"/>
        <v>#DIV/0!</v>
      </c>
      <c r="AY37" s="20" t="s">
        <v>172</v>
      </c>
      <c r="AZ37" t="e">
        <f ca="1">AVERAGEIFS(INDIRECT($C$3),INDIRECT($C$3),"&gt;=0",Data!$B:$B,AY37,IF($A$20,Data!$J:$J,Data!#REF!),IF($A$20,"&lt;&gt;5",1))</f>
        <v>#DIV/0!</v>
      </c>
      <c r="BA37" s="20" t="e">
        <f t="shared" ca="1" si="19"/>
        <v>#DIV/0!</v>
      </c>
      <c r="BB37" t="s">
        <v>135</v>
      </c>
      <c r="BC37" s="20" t="e">
        <f ca="1">AVERAGEIFS(INDIRECT($D$3),INDIRECT($D$3),"&gt;=0",Data!$B:$B,BB37,IF($A$20,Data!$J:$J,Data!#REF!),IF($A$20,"&lt;&gt;5",1))</f>
        <v>#DIV/0!</v>
      </c>
      <c r="BD37" t="e">
        <f t="shared" ca="1" si="20"/>
        <v>#DIV/0!</v>
      </c>
      <c r="BE37" s="20" t="s">
        <v>52</v>
      </c>
      <c r="BF37" t="e">
        <f ca="1">AVERAGEIFS(INDIRECT($E$3),INDIRECT($E$3),"&gt;=0",Data!$B:$B,BE37,IF($A$20,Data!$J:$J,Data!#REF!),IF($A$20,"&lt;&gt;5",1))</f>
        <v>#DIV/0!</v>
      </c>
      <c r="BG37" s="20" t="e">
        <f t="shared" ca="1" si="21"/>
        <v>#DIV/0!</v>
      </c>
      <c r="BH37" t="s">
        <v>107</v>
      </c>
      <c r="BI37" s="20">
        <f ca="1">AVERAGEIFS(INDIRECT($F$3),INDIRECT($F$3),"&gt;=0",Data!$B:$B,BH37,IF($A$20,Data!$J:$J,Data!#REF!),IF($A$20,"&lt;&gt;5",1))</f>
        <v>0</v>
      </c>
      <c r="BJ37" t="e">
        <f t="shared" ca="1" si="22"/>
        <v>#DIV/0!</v>
      </c>
      <c r="BK37" s="20" t="s">
        <v>131</v>
      </c>
      <c r="BL37" t="e">
        <f ca="1">AVERAGEIFS(INDIRECT($G$3),INDIRECT($G$3),"&gt;=0",Data!$B:$B,BK37,IF($A$20,Data!$J:$J,Data!#REF!),IF($A$20,"&lt;&gt;5",1))</f>
        <v>#DIV/0!</v>
      </c>
      <c r="BM37" s="20" t="e">
        <f t="shared" ca="1" si="23"/>
        <v>#DIV/0!</v>
      </c>
      <c r="BN37" t="s">
        <v>90</v>
      </c>
      <c r="BO37" t="e">
        <f ca="1">AVERAGEIFS(INDIRECT($H$3),INDIRECT($H$3),"&gt;=0",Data!$B:$B,BN37,IF($A$20,Data!$J:$J,Data!#REF!),IF($A$20,"&lt;&gt;5",1))</f>
        <v>#DIV/0!</v>
      </c>
      <c r="BP37" t="e">
        <f t="shared" ca="1" si="24"/>
        <v>#DIV/0!</v>
      </c>
      <c r="BQ37" t="s">
        <v>159</v>
      </c>
      <c r="BR37" t="e">
        <f ca="1">AVERAGEIFS(INDIRECT($I$3),INDIRECT($I$3),"&gt;=0",Data!$B:$B,BQ37,IF($A$20,Data!$J:$J,Data!#REF!),IF($A$20,"&lt;&gt;5",1))</f>
        <v>#DIV/0!</v>
      </c>
      <c r="BS37" t="e">
        <f t="shared" ca="1" si="25"/>
        <v>#DIV/0!</v>
      </c>
      <c r="BT37" t="s">
        <v>55</v>
      </c>
      <c r="BU37">
        <f ca="1">AVERAGEIFS(INDIRECT($J$3),INDIRECT($J$3),"&gt;=0",Data!$B:$B,BT37,IF($A$20,Data!$J:$J,Data!#REF!),IF($A$20,"&lt;&gt;5",1))</f>
        <v>0.48484848484848486</v>
      </c>
      <c r="BV37" t="e">
        <f t="shared" ca="1" si="26"/>
        <v>#DIV/0!</v>
      </c>
    </row>
    <row r="38" spans="2:74" x14ac:dyDescent="0.35">
      <c r="J38">
        <f t="shared" si="27"/>
        <v>30</v>
      </c>
      <c r="K38" t="s">
        <v>92</v>
      </c>
      <c r="L38" t="e">
        <f ca="1">AVERAGEIFS(INDIRECT($B$3),INDIRECT($B$3),"&gt;=0",Data!$B:$B,$K38)</f>
        <v>#DIV/0!</v>
      </c>
      <c r="M38" t="e">
        <f t="shared" ca="1" si="28"/>
        <v>#DIV/0!</v>
      </c>
      <c r="N38" t="s">
        <v>160</v>
      </c>
      <c r="O38" t="e">
        <f ca="1">AVERAGEIFS(INDIRECT($C$3),INDIRECT($C$3),"&gt;=0",Data!$B:$B,$N38)</f>
        <v>#DIV/0!</v>
      </c>
      <c r="P38" t="e">
        <f t="shared" ca="1" si="1"/>
        <v>#DIV/0!</v>
      </c>
      <c r="Q38" t="s">
        <v>6</v>
      </c>
      <c r="R38" t="e">
        <f ca="1">AVERAGEIFS(INDIRECT($D$3),INDIRECT($D$3),"&gt;=0",Data!$B:$B,$Q38)</f>
        <v>#DIV/0!</v>
      </c>
      <c r="S38" t="e">
        <f t="shared" ca="1" si="2"/>
        <v>#DIV/0!</v>
      </c>
      <c r="T38" t="s">
        <v>18</v>
      </c>
      <c r="U38" t="e">
        <f ca="1">AVERAGEIFS(INDIRECT($E$3),INDIRECT($E$3),"&gt;=0",Data!$B:$B,$T38)</f>
        <v>#DIV/0!</v>
      </c>
      <c r="V38" t="e">
        <f t="shared" ca="1" si="3"/>
        <v>#DIV/0!</v>
      </c>
      <c r="W38" t="s">
        <v>157</v>
      </c>
      <c r="X38" t="e">
        <f ca="1">AVERAGEIFS(INDIRECT($F$3),INDIRECT($F$3),"&gt;=0",Data!$B:$B,$W38)</f>
        <v>#DIV/0!</v>
      </c>
      <c r="Y38" t="e">
        <f t="shared" ca="1" si="4"/>
        <v>#DIV/0!</v>
      </c>
      <c r="Z38" t="s">
        <v>118</v>
      </c>
      <c r="AA38" t="e">
        <f ca="1">AVERAGEIFS(INDIRECT($G$3),INDIRECT($G$3),"&gt;=0",Data!$B:$B,$Z38)</f>
        <v>#DIV/0!</v>
      </c>
      <c r="AB38" t="e">
        <f t="shared" ca="1" si="5"/>
        <v>#DIV/0!</v>
      </c>
      <c r="AC38" t="s">
        <v>86</v>
      </c>
      <c r="AD38">
        <f ca="1">AVERAGEIFS(INDIRECT($H$3),INDIRECT($H$3),"&gt;=0",Data!$B:$B,$AC38)</f>
        <v>1</v>
      </c>
      <c r="AE38" t="e">
        <f t="shared" ca="1" si="6"/>
        <v>#DIV/0!</v>
      </c>
      <c r="AF38" t="s">
        <v>194</v>
      </c>
      <c r="AG38" t="e">
        <f ca="1">AVERAGEIFS(INDIRECT($I$3),INDIRECT($I$3),"&gt;=0",Data!$B:$B,$AF38)</f>
        <v>#DIV/0!</v>
      </c>
      <c r="AH38" t="e">
        <f t="shared" ca="1" si="7"/>
        <v>#DIV/0!</v>
      </c>
      <c r="AI38" t="s">
        <v>55</v>
      </c>
      <c r="AJ38">
        <f ca="1">AVERAGEIFS(INDIRECT($J$3),INDIRECT($J$3),"&gt;=0",Data!$B:$B,$AI38)</f>
        <v>0.47222222222222221</v>
      </c>
      <c r="AK38" t="e">
        <f t="shared" ca="1" si="8"/>
        <v>#DIV/0!</v>
      </c>
      <c r="AL38" t="str">
        <f t="shared" ca="1" si="9"/>
        <v>-</v>
      </c>
      <c r="AM38" t="str">
        <f t="shared" ca="1" si="10"/>
        <v>-</v>
      </c>
      <c r="AN38" t="str">
        <f t="shared" ca="1" si="11"/>
        <v>-</v>
      </c>
      <c r="AO38" t="str">
        <f t="shared" ca="1" si="12"/>
        <v>-</v>
      </c>
      <c r="AP38" t="str">
        <f t="shared" ca="1" si="13"/>
        <v>-</v>
      </c>
      <c r="AQ38" t="str">
        <f t="shared" ca="1" si="14"/>
        <v>-</v>
      </c>
      <c r="AR38" t="str">
        <f t="shared" ca="1" si="15"/>
        <v>-</v>
      </c>
      <c r="AS38" t="str">
        <f t="shared" ca="1" si="16"/>
        <v>-</v>
      </c>
      <c r="AT38" t="str">
        <f t="shared" ca="1" si="17"/>
        <v>-</v>
      </c>
      <c r="AU38">
        <f t="shared" si="29"/>
        <v>30</v>
      </c>
      <c r="AV38" t="s">
        <v>121</v>
      </c>
      <c r="AW38" s="20" t="e">
        <f ca="1">AVERAGEIFS(INDIRECT($B$3),INDIRECT($B$3),"&gt;=0",Data!$B:$B,AV38,IF($A$20,Data!$J:$J,Data!#REF!),IF($A$20,"&lt;&gt;5",1))</f>
        <v>#DIV/0!</v>
      </c>
      <c r="AX38" t="e">
        <f t="shared" ca="1" si="18"/>
        <v>#DIV/0!</v>
      </c>
      <c r="AY38" s="20" t="s">
        <v>160</v>
      </c>
      <c r="AZ38" t="e">
        <f ca="1">AVERAGEIFS(INDIRECT($C$3),INDIRECT($C$3),"&gt;=0",Data!$B:$B,AY38,IF($A$20,Data!$J:$J,Data!#REF!),IF($A$20,"&lt;&gt;5",1))</f>
        <v>#DIV/0!</v>
      </c>
      <c r="BA38" s="20" t="e">
        <f t="shared" ca="1" si="19"/>
        <v>#DIV/0!</v>
      </c>
      <c r="BB38" t="s">
        <v>121</v>
      </c>
      <c r="BC38" s="20" t="e">
        <f ca="1">AVERAGEIFS(INDIRECT($D$3),INDIRECT($D$3),"&gt;=0",Data!$B:$B,BB38,IF($A$20,Data!$J:$J,Data!#REF!),IF($A$20,"&lt;&gt;5",1))</f>
        <v>#DIV/0!</v>
      </c>
      <c r="BD38" t="e">
        <f t="shared" ca="1" si="20"/>
        <v>#DIV/0!</v>
      </c>
      <c r="BE38" s="20" t="s">
        <v>103</v>
      </c>
      <c r="BF38" t="e">
        <f ca="1">AVERAGEIFS(INDIRECT($E$3),INDIRECT($E$3),"&gt;=0",Data!$B:$B,BE38,IF($A$20,Data!$J:$J,Data!#REF!),IF($A$20,"&lt;&gt;5",1))</f>
        <v>#DIV/0!</v>
      </c>
      <c r="BG38" s="20" t="e">
        <f t="shared" ca="1" si="21"/>
        <v>#DIV/0!</v>
      </c>
      <c r="BH38" t="s">
        <v>115</v>
      </c>
      <c r="BI38" s="20">
        <f ca="1">AVERAGEIFS(INDIRECT($F$3),INDIRECT($F$3),"&gt;=0",Data!$B:$B,BH38,IF($A$20,Data!$J:$J,Data!#REF!),IF($A$20,"&lt;&gt;5",1))</f>
        <v>0</v>
      </c>
      <c r="BJ38" t="e">
        <f t="shared" ca="1" si="22"/>
        <v>#DIV/0!</v>
      </c>
      <c r="BK38" s="20" t="s">
        <v>132</v>
      </c>
      <c r="BL38" t="e">
        <f ca="1">AVERAGEIFS(INDIRECT($G$3),INDIRECT($G$3),"&gt;=0",Data!$B:$B,BK38,IF($A$20,Data!$J:$J,Data!#REF!),IF($A$20,"&lt;&gt;5",1))</f>
        <v>#DIV/0!</v>
      </c>
      <c r="BM38" s="20" t="e">
        <f t="shared" ca="1" si="23"/>
        <v>#DIV/0!</v>
      </c>
      <c r="BN38" t="s">
        <v>91</v>
      </c>
      <c r="BO38">
        <f ca="1">AVERAGEIFS(INDIRECT($H$3),INDIRECT($H$3),"&gt;=0",Data!$B:$B,BN38,IF($A$20,Data!$J:$J,Data!#REF!),IF($A$20,"&lt;&gt;5",1))</f>
        <v>1</v>
      </c>
      <c r="BP38" t="e">
        <f t="shared" ca="1" si="24"/>
        <v>#DIV/0!</v>
      </c>
      <c r="BQ38" t="s">
        <v>7</v>
      </c>
      <c r="BR38" t="e">
        <f ca="1">AVERAGEIFS(INDIRECT($I$3),INDIRECT($I$3),"&gt;=0",Data!$B:$B,BQ38,IF($A$20,Data!$J:$J,Data!#REF!),IF($A$20,"&lt;&gt;5",1))</f>
        <v>#DIV/0!</v>
      </c>
      <c r="BS38" t="e">
        <f t="shared" ca="1" si="25"/>
        <v>#DIV/0!</v>
      </c>
      <c r="BT38" t="s">
        <v>197</v>
      </c>
      <c r="BU38" t="e">
        <f ca="1">AVERAGEIFS(INDIRECT($J$3),INDIRECT($J$3),"&gt;=0",Data!$B:$B,BT38,IF($A$20,Data!$J:$J,Data!#REF!),IF($A$20,"&lt;&gt;5",1))</f>
        <v>#DIV/0!</v>
      </c>
      <c r="BV38" t="e">
        <f t="shared" ca="1" si="26"/>
        <v>#DIV/0!</v>
      </c>
    </row>
    <row r="39" spans="2:74" x14ac:dyDescent="0.35">
      <c r="J39">
        <f t="shared" si="27"/>
        <v>31</v>
      </c>
      <c r="K39" t="s">
        <v>91</v>
      </c>
      <c r="L39" t="e">
        <f ca="1">AVERAGEIFS(INDIRECT($B$3),INDIRECT($B$3),"&gt;=0",Data!$B:$B,$K39)</f>
        <v>#DIV/0!</v>
      </c>
      <c r="M39" t="e">
        <f t="shared" ca="1" si="28"/>
        <v>#DIV/0!</v>
      </c>
      <c r="N39" t="s">
        <v>109</v>
      </c>
      <c r="O39" t="e">
        <f ca="1">AVERAGEIFS(INDIRECT($C$3),INDIRECT($C$3),"&gt;=0",Data!$B:$B,$N39)</f>
        <v>#DIV/0!</v>
      </c>
      <c r="P39" t="e">
        <f t="shared" ca="1" si="1"/>
        <v>#DIV/0!</v>
      </c>
      <c r="Q39" t="s">
        <v>18</v>
      </c>
      <c r="R39" t="e">
        <f ca="1">AVERAGEIFS(INDIRECT($D$3),INDIRECT($D$3),"&gt;=0",Data!$B:$B,$Q39)</f>
        <v>#DIV/0!</v>
      </c>
      <c r="S39" t="e">
        <f t="shared" ca="1" si="2"/>
        <v>#DIV/0!</v>
      </c>
      <c r="T39" t="s">
        <v>23</v>
      </c>
      <c r="U39" t="e">
        <f ca="1">AVERAGEIFS(INDIRECT($E$3),INDIRECT($E$3),"&gt;=0",Data!$B:$B,$T39)</f>
        <v>#DIV/0!</v>
      </c>
      <c r="V39" t="e">
        <f t="shared" ca="1" si="3"/>
        <v>#DIV/0!</v>
      </c>
      <c r="W39" t="s">
        <v>34</v>
      </c>
      <c r="X39">
        <f ca="1">AVERAGEIFS(INDIRECT($F$3),INDIRECT($F$3),"&gt;=0",Data!$B:$B,$W39)</f>
        <v>1</v>
      </c>
      <c r="Y39" t="e">
        <f t="shared" ca="1" si="4"/>
        <v>#DIV/0!</v>
      </c>
      <c r="Z39" t="s">
        <v>127</v>
      </c>
      <c r="AA39" t="e">
        <f ca="1">AVERAGEIFS(INDIRECT($G$3),INDIRECT($G$3),"&gt;=0",Data!$B:$B,$Z39)</f>
        <v>#DIV/0!</v>
      </c>
      <c r="AB39" t="e">
        <f t="shared" ca="1" si="5"/>
        <v>#DIV/0!</v>
      </c>
      <c r="AC39" t="s">
        <v>90</v>
      </c>
      <c r="AD39" t="e">
        <f ca="1">AVERAGEIFS(INDIRECT($H$3),INDIRECT($H$3),"&gt;=0",Data!$B:$B,$AC39)</f>
        <v>#DIV/0!</v>
      </c>
      <c r="AE39" t="e">
        <f t="shared" ca="1" si="6"/>
        <v>#DIV/0!</v>
      </c>
      <c r="AF39" t="s">
        <v>196</v>
      </c>
      <c r="AG39" t="e">
        <f ca="1">AVERAGEIFS(INDIRECT($I$3),INDIRECT($I$3),"&gt;=0",Data!$B:$B,$AF39)</f>
        <v>#DIV/0!</v>
      </c>
      <c r="AH39" t="e">
        <f t="shared" ca="1" si="7"/>
        <v>#DIV/0!</v>
      </c>
      <c r="AI39" t="s">
        <v>197</v>
      </c>
      <c r="AJ39" t="e">
        <f ca="1">AVERAGEIFS(INDIRECT($J$3),INDIRECT($J$3),"&gt;=0",Data!$B:$B,$AI39)</f>
        <v>#DIV/0!</v>
      </c>
      <c r="AK39" t="e">
        <f t="shared" ca="1" si="8"/>
        <v>#DIV/0!</v>
      </c>
      <c r="AL39" t="str">
        <f t="shared" ca="1" si="9"/>
        <v>-</v>
      </c>
      <c r="AM39" t="str">
        <f t="shared" ca="1" si="10"/>
        <v>-</v>
      </c>
      <c r="AN39" t="str">
        <f t="shared" ca="1" si="11"/>
        <v>-</v>
      </c>
      <c r="AO39" t="str">
        <f t="shared" ca="1" si="12"/>
        <v>-</v>
      </c>
      <c r="AP39" t="str">
        <f t="shared" ca="1" si="13"/>
        <v>-</v>
      </c>
      <c r="AQ39" t="str">
        <f t="shared" ca="1" si="14"/>
        <v>-</v>
      </c>
      <c r="AR39" t="str">
        <f t="shared" ca="1" si="15"/>
        <v>-</v>
      </c>
      <c r="AS39" t="str">
        <f t="shared" ca="1" si="16"/>
        <v>-</v>
      </c>
      <c r="AT39" t="str">
        <f t="shared" ca="1" si="17"/>
        <v>-</v>
      </c>
      <c r="AU39">
        <f t="shared" si="29"/>
        <v>31</v>
      </c>
      <c r="AV39" t="s">
        <v>62</v>
      </c>
      <c r="AW39" s="20" t="e">
        <f ca="1">AVERAGEIFS(INDIRECT($B$3),INDIRECT($B$3),"&gt;=0",Data!$B:$B,AV39,IF($A$20,Data!$J:$J,Data!#REF!),IF($A$20,"&lt;&gt;5",1))</f>
        <v>#DIV/0!</v>
      </c>
      <c r="AX39" t="e">
        <f t="shared" ca="1" si="18"/>
        <v>#DIV/0!</v>
      </c>
      <c r="AY39" s="20" t="s">
        <v>109</v>
      </c>
      <c r="AZ39" t="e">
        <f ca="1">AVERAGEIFS(INDIRECT($C$3),INDIRECT($C$3),"&gt;=0",Data!$B:$B,AY39,IF($A$20,Data!$J:$J,Data!#REF!),IF($A$20,"&lt;&gt;5",1))</f>
        <v>#DIV/0!</v>
      </c>
      <c r="BA39" s="20" t="e">
        <f t="shared" ca="1" si="19"/>
        <v>#DIV/0!</v>
      </c>
      <c r="BB39" t="s">
        <v>94</v>
      </c>
      <c r="BC39" s="20" t="e">
        <f ca="1">AVERAGEIFS(INDIRECT($D$3),INDIRECT($D$3),"&gt;=0",Data!$B:$B,BB39,IF($A$20,Data!$J:$J,Data!#REF!),IF($A$20,"&lt;&gt;5",1))</f>
        <v>#DIV/0!</v>
      </c>
      <c r="BD39" t="e">
        <f t="shared" ca="1" si="20"/>
        <v>#DIV/0!</v>
      </c>
      <c r="BE39" s="20" t="s">
        <v>186</v>
      </c>
      <c r="BF39" t="e">
        <f ca="1">AVERAGEIFS(INDIRECT($E$3),INDIRECT($E$3),"&gt;=0",Data!$B:$B,BE39,IF($A$20,Data!$J:$J,Data!#REF!),IF($A$20,"&lt;&gt;5",1))</f>
        <v>#DIV/0!</v>
      </c>
      <c r="BG39" s="20" t="e">
        <f t="shared" ca="1" si="21"/>
        <v>#DIV/0!</v>
      </c>
      <c r="BH39" t="s">
        <v>94</v>
      </c>
      <c r="BI39" s="20" t="e">
        <f ca="1">AVERAGEIFS(INDIRECT($F$3),INDIRECT($F$3),"&gt;=0",Data!$B:$B,BH39,IF($A$20,Data!$J:$J,Data!#REF!),IF($A$20,"&lt;&gt;5",1))</f>
        <v>#DIV/0!</v>
      </c>
      <c r="BJ39" t="e">
        <f t="shared" ca="1" si="22"/>
        <v>#DIV/0!</v>
      </c>
      <c r="BK39" s="20" t="s">
        <v>140</v>
      </c>
      <c r="BL39" t="e">
        <f ca="1">AVERAGEIFS(INDIRECT($G$3),INDIRECT($G$3),"&gt;=0",Data!$B:$B,BK39,IF($A$20,Data!$J:$J,Data!#REF!),IF($A$20,"&lt;&gt;5",1))</f>
        <v>#DIV/0!</v>
      </c>
      <c r="BM39" s="20" t="e">
        <f t="shared" ca="1" si="23"/>
        <v>#DIV/0!</v>
      </c>
      <c r="BN39" t="s">
        <v>94</v>
      </c>
      <c r="BO39" t="e">
        <f ca="1">AVERAGEIFS(INDIRECT($H$3),INDIRECT($H$3),"&gt;=0",Data!$B:$B,BN39,IF($A$20,Data!$J:$J,Data!#REF!),IF($A$20,"&lt;&gt;5",1))</f>
        <v>#DIV/0!</v>
      </c>
      <c r="BP39" t="e">
        <f t="shared" ca="1" si="24"/>
        <v>#DIV/0!</v>
      </c>
      <c r="BQ39" t="s">
        <v>195</v>
      </c>
      <c r="BR39" t="e">
        <f ca="1">AVERAGEIFS(INDIRECT($I$3),INDIRECT($I$3),"&gt;=0",Data!$B:$B,BQ39,IF($A$20,Data!$J:$J,Data!#REF!),IF($A$20,"&lt;&gt;5",1))</f>
        <v>#DIV/0!</v>
      </c>
      <c r="BS39" t="e">
        <f t="shared" ca="1" si="25"/>
        <v>#DIV/0!</v>
      </c>
      <c r="BT39" t="s">
        <v>162</v>
      </c>
      <c r="BU39" t="e">
        <f ca="1">AVERAGEIFS(INDIRECT($J$3),INDIRECT($J$3),"&gt;=0",Data!$B:$B,BT39,IF($A$20,Data!$J:$J,Data!#REF!),IF($A$20,"&lt;&gt;5",1))</f>
        <v>#DIV/0!</v>
      </c>
      <c r="BV39" t="e">
        <f t="shared" ca="1" si="26"/>
        <v>#DIV/0!</v>
      </c>
    </row>
    <row r="40" spans="2:74" x14ac:dyDescent="0.35">
      <c r="J40">
        <f t="shared" si="27"/>
        <v>32</v>
      </c>
      <c r="K40" t="s">
        <v>95</v>
      </c>
      <c r="L40" t="e">
        <f ca="1">AVERAGEIFS(INDIRECT($B$3),INDIRECT($B$3),"&gt;=0",Data!$B:$B,$K40)</f>
        <v>#DIV/0!</v>
      </c>
      <c r="M40" t="e">
        <f t="shared" ca="1" si="28"/>
        <v>#DIV/0!</v>
      </c>
      <c r="N40" t="s">
        <v>112</v>
      </c>
      <c r="O40" t="e">
        <f ca="1">AVERAGEIFS(INDIRECT($C$3),INDIRECT($C$3),"&gt;=0",Data!$B:$B,$N40)</f>
        <v>#DIV/0!</v>
      </c>
      <c r="P40" t="e">
        <f t="shared" ca="1" si="1"/>
        <v>#DIV/0!</v>
      </c>
      <c r="Q40" t="s">
        <v>72</v>
      </c>
      <c r="R40" t="e">
        <f ca="1">AVERAGEIFS(INDIRECT($D$3),INDIRECT($D$3),"&gt;=0",Data!$B:$B,$Q40)</f>
        <v>#DIV/0!</v>
      </c>
      <c r="S40" t="e">
        <f t="shared" ca="1" si="2"/>
        <v>#DIV/0!</v>
      </c>
      <c r="T40" t="s">
        <v>24</v>
      </c>
      <c r="U40" t="e">
        <f ca="1">AVERAGEIFS(INDIRECT($E$3),INDIRECT($E$3),"&gt;=0",Data!$B:$B,$T40)</f>
        <v>#DIV/0!</v>
      </c>
      <c r="V40" t="e">
        <f t="shared" ca="1" si="3"/>
        <v>#DIV/0!</v>
      </c>
      <c r="W40" t="s">
        <v>23</v>
      </c>
      <c r="X40" t="e">
        <f ca="1">AVERAGEIFS(INDIRECT($F$3),INDIRECT($F$3),"&gt;=0",Data!$B:$B,$W40)</f>
        <v>#DIV/0!</v>
      </c>
      <c r="Y40" t="e">
        <f t="shared" ca="1" si="4"/>
        <v>#DIV/0!</v>
      </c>
      <c r="Z40" t="s">
        <v>130</v>
      </c>
      <c r="AA40" t="e">
        <f ca="1">AVERAGEIFS(INDIRECT($G$3),INDIRECT($G$3),"&gt;=0",Data!$B:$B,$Z40)</f>
        <v>#DIV/0!</v>
      </c>
      <c r="AB40" t="e">
        <f t="shared" ca="1" si="5"/>
        <v>#DIV/0!</v>
      </c>
      <c r="AC40" t="s">
        <v>91</v>
      </c>
      <c r="AD40">
        <f ca="1">AVERAGEIFS(INDIRECT($H$3),INDIRECT($H$3),"&gt;=0",Data!$B:$B,$AC40)</f>
        <v>0.75</v>
      </c>
      <c r="AE40" t="e">
        <f t="shared" ca="1" si="6"/>
        <v>#DIV/0!</v>
      </c>
      <c r="AF40" t="s">
        <v>7</v>
      </c>
      <c r="AG40" t="e">
        <f ca="1">AVERAGEIFS(INDIRECT($I$3),INDIRECT($I$3),"&gt;=0",Data!$B:$B,$AF40)</f>
        <v>#DIV/0!</v>
      </c>
      <c r="AH40" t="e">
        <f t="shared" ca="1" si="7"/>
        <v>#DIV/0!</v>
      </c>
      <c r="AI40" t="s">
        <v>162</v>
      </c>
      <c r="AJ40" t="e">
        <f ca="1">AVERAGEIFS(INDIRECT($J$3),INDIRECT($J$3),"&gt;=0",Data!$B:$B,$AI40)</f>
        <v>#DIV/0!</v>
      </c>
      <c r="AK40" t="e">
        <f t="shared" ca="1" si="8"/>
        <v>#DIV/0!</v>
      </c>
      <c r="AL40" t="str">
        <f t="shared" ca="1" si="9"/>
        <v>-</v>
      </c>
      <c r="AM40" t="str">
        <f t="shared" ca="1" si="10"/>
        <v>-</v>
      </c>
      <c r="AN40" t="str">
        <f t="shared" ca="1" si="11"/>
        <v>-</v>
      </c>
      <c r="AO40" t="str">
        <f t="shared" ca="1" si="12"/>
        <v>-</v>
      </c>
      <c r="AP40" t="str">
        <f t="shared" ca="1" si="13"/>
        <v>-</v>
      </c>
      <c r="AQ40" t="str">
        <f t="shared" ca="1" si="14"/>
        <v>-</v>
      </c>
      <c r="AR40" t="str">
        <f t="shared" ca="1" si="15"/>
        <v>-</v>
      </c>
      <c r="AS40" t="str">
        <f t="shared" ca="1" si="16"/>
        <v>-</v>
      </c>
      <c r="AT40" t="str">
        <f t="shared" ca="1" si="17"/>
        <v>-</v>
      </c>
      <c r="AU40">
        <f t="shared" si="29"/>
        <v>32</v>
      </c>
      <c r="AV40" t="s">
        <v>114</v>
      </c>
      <c r="AW40" s="20" t="e">
        <f ca="1">AVERAGEIFS(INDIRECT($B$3),INDIRECT($B$3),"&gt;=0",Data!$B:$B,AV40,IF($A$20,Data!$J:$J,Data!#REF!),IF($A$20,"&lt;&gt;5",1))</f>
        <v>#DIV/0!</v>
      </c>
      <c r="AX40" t="e">
        <f t="shared" ca="1" si="18"/>
        <v>#DIV/0!</v>
      </c>
      <c r="AY40" s="20" t="s">
        <v>112</v>
      </c>
      <c r="AZ40" t="e">
        <f ca="1">AVERAGEIFS(INDIRECT($C$3),INDIRECT($C$3),"&gt;=0",Data!$B:$B,AY40,IF($A$20,Data!$J:$J,Data!#REF!),IF($A$20,"&lt;&gt;5",1))</f>
        <v>#DIV/0!</v>
      </c>
      <c r="BA40" s="20" t="e">
        <f t="shared" ca="1" si="19"/>
        <v>#DIV/0!</v>
      </c>
      <c r="BB40" t="s">
        <v>114</v>
      </c>
      <c r="BC40" s="20" t="e">
        <f ca="1">AVERAGEIFS(INDIRECT($D$3),INDIRECT($D$3),"&gt;=0",Data!$B:$B,BB40,IF($A$20,Data!$J:$J,Data!#REF!),IF($A$20,"&lt;&gt;5",1))</f>
        <v>#DIV/0!</v>
      </c>
      <c r="BD40" t="e">
        <f t="shared" ca="1" si="20"/>
        <v>#DIV/0!</v>
      </c>
      <c r="BE40" s="20" t="s">
        <v>6</v>
      </c>
      <c r="BF40" t="e">
        <f ca="1">AVERAGEIFS(INDIRECT($E$3),INDIRECT($E$3),"&gt;=0",Data!$B:$B,BE40,IF($A$20,Data!$J:$J,Data!#REF!),IF($A$20,"&lt;&gt;5",1))</f>
        <v>#DIV/0!</v>
      </c>
      <c r="BG40" s="20" t="e">
        <f t="shared" ca="1" si="21"/>
        <v>#DIV/0!</v>
      </c>
      <c r="BH40" t="s">
        <v>153</v>
      </c>
      <c r="BI40" s="20" t="e">
        <f ca="1">AVERAGEIFS(INDIRECT($F$3),INDIRECT($F$3),"&gt;=0",Data!$B:$B,BH40,IF($A$20,Data!$J:$J,Data!#REF!),IF($A$20,"&lt;&gt;5",1))</f>
        <v>#DIV/0!</v>
      </c>
      <c r="BJ40" t="e">
        <f t="shared" ca="1" si="22"/>
        <v>#DIV/0!</v>
      </c>
      <c r="BK40" s="20" t="s">
        <v>142</v>
      </c>
      <c r="BL40" t="e">
        <f ca="1">AVERAGEIFS(INDIRECT($G$3),INDIRECT($G$3),"&gt;=0",Data!$B:$B,BK40,IF($A$20,Data!$J:$J,Data!#REF!),IF($A$20,"&lt;&gt;5",1))</f>
        <v>#DIV/0!</v>
      </c>
      <c r="BM40" s="20" t="e">
        <f t="shared" ca="1" si="23"/>
        <v>#DIV/0!</v>
      </c>
      <c r="BN40" t="s">
        <v>98</v>
      </c>
      <c r="BO40" t="e">
        <f ca="1">AVERAGEIFS(INDIRECT($H$3),INDIRECT($H$3),"&gt;=0",Data!$B:$B,BN40,IF($A$20,Data!$J:$J,Data!#REF!),IF($A$20,"&lt;&gt;5",1))</f>
        <v>#DIV/0!</v>
      </c>
      <c r="BP40" t="e">
        <f t="shared" ca="1" si="24"/>
        <v>#DIV/0!</v>
      </c>
      <c r="BQ40" t="s">
        <v>86</v>
      </c>
      <c r="BR40">
        <f ca="1">AVERAGEIFS(INDIRECT($I$3),INDIRECT($I$3),"&gt;=0",Data!$B:$B,BQ40,IF($A$20,Data!$J:$J,Data!#REF!),IF($A$20,"&lt;&gt;5",1))</f>
        <v>1</v>
      </c>
      <c r="BS40" t="e">
        <f t="shared" ca="1" si="25"/>
        <v>#DIV/0!</v>
      </c>
      <c r="BT40" t="s">
        <v>158</v>
      </c>
      <c r="BU40" t="e">
        <f ca="1">AVERAGEIFS(INDIRECT($J$3),INDIRECT($J$3),"&gt;=0",Data!$B:$B,BT40,IF($A$20,Data!$J:$J,Data!#REF!),IF($A$20,"&lt;&gt;5",1))</f>
        <v>#DIV/0!</v>
      </c>
      <c r="BV40" t="e">
        <f t="shared" ca="1" si="26"/>
        <v>#DIV/0!</v>
      </c>
    </row>
    <row r="41" spans="2:74" x14ac:dyDescent="0.35">
      <c r="J41">
        <f t="shared" si="27"/>
        <v>33</v>
      </c>
      <c r="K41" t="s">
        <v>114</v>
      </c>
      <c r="L41" t="e">
        <f ca="1">AVERAGEIFS(INDIRECT($B$3),INDIRECT($B$3),"&gt;=0",Data!$B:$B,$K41)</f>
        <v>#DIV/0!</v>
      </c>
      <c r="M41" t="e">
        <f t="shared" ca="1" si="28"/>
        <v>#DIV/0!</v>
      </c>
      <c r="N41" t="s">
        <v>146</v>
      </c>
      <c r="O41" t="e">
        <f ca="1">AVERAGEIFS(INDIRECT($C$3),INDIRECT($C$3),"&gt;=0",Data!$B:$B,$N41)</f>
        <v>#DIV/0!</v>
      </c>
      <c r="P41" t="e">
        <f t="shared" ca="1" si="1"/>
        <v>#DIV/0!</v>
      </c>
      <c r="Q41" t="s">
        <v>108</v>
      </c>
      <c r="R41" t="e">
        <f ca="1">AVERAGEIFS(INDIRECT($D$3),INDIRECT($D$3),"&gt;=0",Data!$B:$B,$Q41)</f>
        <v>#DIV/0!</v>
      </c>
      <c r="S41" t="e">
        <f t="shared" ca="1" si="2"/>
        <v>#DIV/0!</v>
      </c>
      <c r="T41" t="s">
        <v>61</v>
      </c>
      <c r="U41" t="e">
        <f ca="1">AVERAGEIFS(INDIRECT($E$3),INDIRECT($E$3),"&gt;=0",Data!$B:$B,$T41)</f>
        <v>#DIV/0!</v>
      </c>
      <c r="V41" t="e">
        <f t="shared" ca="1" si="3"/>
        <v>#DIV/0!</v>
      </c>
      <c r="W41" t="s">
        <v>58</v>
      </c>
      <c r="X41">
        <f ca="1">AVERAGEIFS(INDIRECT($F$3),INDIRECT($F$3),"&gt;=0",Data!$B:$B,$W41)</f>
        <v>0</v>
      </c>
      <c r="Y41" t="e">
        <f t="shared" ca="1" si="4"/>
        <v>#DIV/0!</v>
      </c>
      <c r="Z41" t="s">
        <v>131</v>
      </c>
      <c r="AA41" t="e">
        <f ca="1">AVERAGEIFS(INDIRECT($G$3),INDIRECT($G$3),"&gt;=0",Data!$B:$B,$Z41)</f>
        <v>#DIV/0!</v>
      </c>
      <c r="AB41" t="e">
        <f t="shared" ca="1" si="5"/>
        <v>#DIV/0!</v>
      </c>
      <c r="AC41" t="s">
        <v>94</v>
      </c>
      <c r="AD41" t="e">
        <f ca="1">AVERAGEIFS(INDIRECT($H$3),INDIRECT($H$3),"&gt;=0",Data!$B:$B,$AC41)</f>
        <v>#DIV/0!</v>
      </c>
      <c r="AE41" t="e">
        <f t="shared" ca="1" si="6"/>
        <v>#DIV/0!</v>
      </c>
      <c r="AF41" t="s">
        <v>140</v>
      </c>
      <c r="AG41" t="e">
        <f ca="1">AVERAGEIFS(INDIRECT($I$3),INDIRECT($I$3),"&gt;=0",Data!$B:$B,$AF41)</f>
        <v>#DIV/0!</v>
      </c>
      <c r="AH41" t="e">
        <f t="shared" ca="1" si="7"/>
        <v>#DIV/0!</v>
      </c>
      <c r="AI41" t="s">
        <v>158</v>
      </c>
      <c r="AJ41" t="e">
        <f ca="1">AVERAGEIFS(INDIRECT($J$3),INDIRECT($J$3),"&gt;=0",Data!$B:$B,$AI41)</f>
        <v>#DIV/0!</v>
      </c>
      <c r="AK41" t="e">
        <f t="shared" ca="1" si="8"/>
        <v>#DIV/0!</v>
      </c>
      <c r="AL41" t="str">
        <f t="shared" ca="1" si="9"/>
        <v>-</v>
      </c>
      <c r="AM41" t="str">
        <f t="shared" ca="1" si="10"/>
        <v>-</v>
      </c>
      <c r="AN41" t="str">
        <f t="shared" ca="1" si="11"/>
        <v>-</v>
      </c>
      <c r="AO41" t="str">
        <f t="shared" ca="1" si="12"/>
        <v>-</v>
      </c>
      <c r="AP41" t="str">
        <f t="shared" ca="1" si="13"/>
        <v>-</v>
      </c>
      <c r="AQ41" t="str">
        <f t="shared" ca="1" si="14"/>
        <v>-</v>
      </c>
      <c r="AR41" t="str">
        <f t="shared" ca="1" si="15"/>
        <v>-</v>
      </c>
      <c r="AS41" t="str">
        <f t="shared" ca="1" si="16"/>
        <v>-</v>
      </c>
      <c r="AT41" t="str">
        <f t="shared" ca="1" si="17"/>
        <v>-</v>
      </c>
      <c r="AU41">
        <f t="shared" si="29"/>
        <v>33</v>
      </c>
      <c r="AV41" t="s">
        <v>153</v>
      </c>
      <c r="AW41" s="20" t="e">
        <f ca="1">AVERAGEIFS(INDIRECT($B$3),INDIRECT($B$3),"&gt;=0",Data!$B:$B,AV41,IF($A$20,Data!$J:$J,Data!#REF!),IF($A$20,"&lt;&gt;5",1))</f>
        <v>#DIV/0!</v>
      </c>
      <c r="AX41" t="e">
        <f t="shared" ca="1" si="18"/>
        <v>#DIV/0!</v>
      </c>
      <c r="AY41" s="20" t="s">
        <v>146</v>
      </c>
      <c r="AZ41" t="e">
        <f ca="1">AVERAGEIFS(INDIRECT($C$3),INDIRECT($C$3),"&gt;=0",Data!$B:$B,AY41,IF($A$20,Data!$J:$J,Data!#REF!),IF($A$20,"&lt;&gt;5",1))</f>
        <v>#DIV/0!</v>
      </c>
      <c r="BA41" s="20" t="e">
        <f t="shared" ca="1" si="19"/>
        <v>#DIV/0!</v>
      </c>
      <c r="BB41" t="s">
        <v>141</v>
      </c>
      <c r="BC41" s="20" t="e">
        <f ca="1">AVERAGEIFS(INDIRECT($D$3),INDIRECT($D$3),"&gt;=0",Data!$B:$B,BB41,IF($A$20,Data!$J:$J,Data!#REF!),IF($A$20,"&lt;&gt;5",1))</f>
        <v>#DIV/0!</v>
      </c>
      <c r="BD41" t="e">
        <f t="shared" ca="1" si="20"/>
        <v>#DIV/0!</v>
      </c>
      <c r="BE41" s="20" t="s">
        <v>119</v>
      </c>
      <c r="BF41" t="e">
        <f ca="1">AVERAGEIFS(INDIRECT($E$3),INDIRECT($E$3),"&gt;=0",Data!$B:$B,BE41,IF($A$20,Data!$J:$J,Data!#REF!),IF($A$20,"&lt;&gt;5",1))</f>
        <v>#DIV/0!</v>
      </c>
      <c r="BG41" s="20" t="e">
        <f t="shared" ca="1" si="21"/>
        <v>#DIV/0!</v>
      </c>
      <c r="BH41" t="s">
        <v>139</v>
      </c>
      <c r="BI41" s="20" t="e">
        <f ca="1">AVERAGEIFS(INDIRECT($F$3),INDIRECT($F$3),"&gt;=0",Data!$B:$B,BH41,IF($A$20,Data!$J:$J,Data!#REF!),IF($A$20,"&lt;&gt;5",1))</f>
        <v>#DIV/0!</v>
      </c>
      <c r="BJ41" t="e">
        <f t="shared" ca="1" si="22"/>
        <v>#DIV/0!</v>
      </c>
      <c r="BK41" s="20" t="s">
        <v>143</v>
      </c>
      <c r="BL41" t="e">
        <f ca="1">AVERAGEIFS(INDIRECT($G$3),INDIRECT($G$3),"&gt;=0",Data!$B:$B,BK41,IF($A$20,Data!$J:$J,Data!#REF!),IF($A$20,"&lt;&gt;5",1))</f>
        <v>#DIV/0!</v>
      </c>
      <c r="BM41" s="20" t="e">
        <f t="shared" ca="1" si="23"/>
        <v>#DIV/0!</v>
      </c>
      <c r="BN41" t="s">
        <v>100</v>
      </c>
      <c r="BO41" t="e">
        <f ca="1">AVERAGEIFS(INDIRECT($H$3),INDIRECT($H$3),"&gt;=0",Data!$B:$B,BN41,IF($A$20,Data!$J:$J,Data!#REF!),IF($A$20,"&lt;&gt;5",1))</f>
        <v>#DIV/0!</v>
      </c>
      <c r="BP41" t="e">
        <f t="shared" ca="1" si="24"/>
        <v>#DIV/0!</v>
      </c>
      <c r="BQ41" t="s">
        <v>186</v>
      </c>
      <c r="BR41" t="e">
        <f ca="1">AVERAGEIFS(INDIRECT($I$3),INDIRECT($I$3),"&gt;=0",Data!$B:$B,BQ41,IF($A$20,Data!$J:$J,Data!#REF!),IF($A$20,"&lt;&gt;5",1))</f>
        <v>#DIV/0!</v>
      </c>
      <c r="BS41" t="e">
        <f t="shared" ca="1" si="25"/>
        <v>#DIV/0!</v>
      </c>
      <c r="BT41" t="s">
        <v>167</v>
      </c>
      <c r="BU41">
        <f ca="1">AVERAGEIFS(INDIRECT($J$3),INDIRECT($J$3),"&gt;=0",Data!$B:$B,BT41,IF($A$20,Data!$J:$J,Data!#REF!),IF($A$20,"&lt;&gt;5",1))</f>
        <v>0.5</v>
      </c>
      <c r="BV41" t="e">
        <f t="shared" ca="1" si="26"/>
        <v>#DIV/0!</v>
      </c>
    </row>
    <row r="42" spans="2:74" x14ac:dyDescent="0.35">
      <c r="J42">
        <f t="shared" si="27"/>
        <v>34</v>
      </c>
      <c r="K42" t="s">
        <v>117</v>
      </c>
      <c r="L42" t="e">
        <f ca="1">AVERAGEIFS(INDIRECT($B$3),INDIRECT($B$3),"&gt;=0",Data!$B:$B,$K42)</f>
        <v>#DIV/0!</v>
      </c>
      <c r="M42" t="e">
        <f t="shared" ca="1" si="28"/>
        <v>#DIV/0!</v>
      </c>
      <c r="N42" t="s">
        <v>194</v>
      </c>
      <c r="O42" t="e">
        <f ca="1">AVERAGEIFS(INDIRECT($C$3),INDIRECT($C$3),"&gt;=0",Data!$B:$B,$N42)</f>
        <v>#DIV/0!</v>
      </c>
      <c r="P42" t="e">
        <f t="shared" ca="1" si="1"/>
        <v>#DIV/0!</v>
      </c>
      <c r="Q42" t="s">
        <v>109</v>
      </c>
      <c r="R42" t="e">
        <f ca="1">AVERAGEIFS(INDIRECT($D$3),INDIRECT($D$3),"&gt;=0",Data!$B:$B,$Q42)</f>
        <v>#DIV/0!</v>
      </c>
      <c r="S42" t="e">
        <f t="shared" ca="1" si="2"/>
        <v>#DIV/0!</v>
      </c>
      <c r="T42" t="s">
        <v>76</v>
      </c>
      <c r="U42" t="e">
        <f ca="1">AVERAGEIFS(INDIRECT($E$3),INDIRECT($E$3),"&gt;=0",Data!$B:$B,$T42)</f>
        <v>#DIV/0!</v>
      </c>
      <c r="V42" t="e">
        <f t="shared" ca="1" si="3"/>
        <v>#DIV/0!</v>
      </c>
      <c r="W42" t="s">
        <v>84</v>
      </c>
      <c r="X42" t="e">
        <f ca="1">AVERAGEIFS(INDIRECT($F$3),INDIRECT($F$3),"&gt;=0",Data!$B:$B,$W42)</f>
        <v>#DIV/0!</v>
      </c>
      <c r="Y42" t="e">
        <f t="shared" ca="1" si="4"/>
        <v>#DIV/0!</v>
      </c>
      <c r="Z42" t="s">
        <v>132</v>
      </c>
      <c r="AA42" t="e">
        <f ca="1">AVERAGEIFS(INDIRECT($G$3),INDIRECT($G$3),"&gt;=0",Data!$B:$B,$Z42)</f>
        <v>#DIV/0!</v>
      </c>
      <c r="AB42" t="e">
        <f t="shared" ca="1" si="5"/>
        <v>#DIV/0!</v>
      </c>
      <c r="AC42" t="s">
        <v>98</v>
      </c>
      <c r="AD42" t="e">
        <f ca="1">AVERAGEIFS(INDIRECT($H$3),INDIRECT($H$3),"&gt;=0",Data!$B:$B,$AC42)</f>
        <v>#DIV/0!</v>
      </c>
      <c r="AE42" t="e">
        <f t="shared" ca="1" si="6"/>
        <v>#DIV/0!</v>
      </c>
      <c r="AF42" t="s">
        <v>195</v>
      </c>
      <c r="AG42" t="e">
        <f ca="1">AVERAGEIFS(INDIRECT($I$3),INDIRECT($I$3),"&gt;=0",Data!$B:$B,$AF42)</f>
        <v>#DIV/0!</v>
      </c>
      <c r="AH42" t="e">
        <f t="shared" ca="1" si="7"/>
        <v>#DIV/0!</v>
      </c>
      <c r="AI42" t="s">
        <v>167</v>
      </c>
      <c r="AJ42">
        <f ca="1">AVERAGEIFS(INDIRECT($J$3),INDIRECT($J$3),"&gt;=0",Data!$B:$B,$AI42)</f>
        <v>0.4375</v>
      </c>
      <c r="AK42" t="e">
        <f t="shared" ca="1" si="8"/>
        <v>#DIV/0!</v>
      </c>
      <c r="AL42" t="str">
        <f t="shared" ca="1" si="9"/>
        <v>-</v>
      </c>
      <c r="AM42" t="str">
        <f t="shared" ca="1" si="10"/>
        <v>-</v>
      </c>
      <c r="AN42" t="str">
        <f t="shared" ca="1" si="11"/>
        <v>-</v>
      </c>
      <c r="AO42" t="str">
        <f t="shared" ca="1" si="12"/>
        <v>-</v>
      </c>
      <c r="AP42" t="str">
        <f t="shared" ca="1" si="13"/>
        <v>-</v>
      </c>
      <c r="AQ42" t="str">
        <f t="shared" ca="1" si="14"/>
        <v>-</v>
      </c>
      <c r="AR42" t="str">
        <f t="shared" ca="1" si="15"/>
        <v>-</v>
      </c>
      <c r="AS42" t="str">
        <f t="shared" ca="1" si="16"/>
        <v>-</v>
      </c>
      <c r="AT42" t="str">
        <f t="shared" ca="1" si="17"/>
        <v>-</v>
      </c>
      <c r="AU42">
        <f t="shared" si="29"/>
        <v>34</v>
      </c>
      <c r="AV42" t="s">
        <v>55</v>
      </c>
      <c r="AW42" s="20" t="e">
        <f ca="1">AVERAGEIFS(INDIRECT($B$3),INDIRECT($B$3),"&gt;=0",Data!$B:$B,AV42,IF($A$20,Data!$J:$J,Data!#REF!),IF($A$20,"&lt;&gt;5",1))</f>
        <v>#DIV/0!</v>
      </c>
      <c r="AX42" t="e">
        <f t="shared" ca="1" si="18"/>
        <v>#DIV/0!</v>
      </c>
      <c r="AY42" s="20" t="s">
        <v>194</v>
      </c>
      <c r="AZ42" t="e">
        <f ca="1">AVERAGEIFS(INDIRECT($C$3),INDIRECT($C$3),"&gt;=0",Data!$B:$B,AY42,IF($A$20,Data!$J:$J,Data!#REF!),IF($A$20,"&lt;&gt;5",1))</f>
        <v>#DIV/0!</v>
      </c>
      <c r="BA42" s="20" t="e">
        <f t="shared" ca="1" si="19"/>
        <v>#DIV/0!</v>
      </c>
      <c r="BB42" t="s">
        <v>6</v>
      </c>
      <c r="BC42" s="20" t="e">
        <f ca="1">AVERAGEIFS(INDIRECT($D$3),INDIRECT($D$3),"&gt;=0",Data!$B:$B,BB42,IF($A$20,Data!$J:$J,Data!#REF!),IF($A$20,"&lt;&gt;5",1))</f>
        <v>#DIV/0!</v>
      </c>
      <c r="BD42" t="e">
        <f t="shared" ca="1" si="20"/>
        <v>#DIV/0!</v>
      </c>
      <c r="BE42" s="20" t="s">
        <v>145</v>
      </c>
      <c r="BF42" t="e">
        <f ca="1">AVERAGEIFS(INDIRECT($E$3),INDIRECT($E$3),"&gt;=0",Data!$B:$B,BE42,IF($A$20,Data!$J:$J,Data!#REF!),IF($A$20,"&lt;&gt;5",1))</f>
        <v>#DIV/0!</v>
      </c>
      <c r="BG42" s="20" t="e">
        <f t="shared" ca="1" si="21"/>
        <v>#DIV/0!</v>
      </c>
      <c r="BH42" t="s">
        <v>7</v>
      </c>
      <c r="BI42" s="20" t="e">
        <f ca="1">AVERAGEIFS(INDIRECT($F$3),INDIRECT($F$3),"&gt;=0",Data!$B:$B,BH42,IF($A$20,Data!$J:$J,Data!#REF!),IF($A$20,"&lt;&gt;5",1))</f>
        <v>#DIV/0!</v>
      </c>
      <c r="BJ42" t="e">
        <f t="shared" ca="1" si="22"/>
        <v>#DIV/0!</v>
      </c>
      <c r="BK42" s="20" t="s">
        <v>144</v>
      </c>
      <c r="BL42" t="e">
        <f ca="1">AVERAGEIFS(INDIRECT($G$3),INDIRECT($G$3),"&gt;=0",Data!$B:$B,BK42,IF($A$20,Data!$J:$J,Data!#REF!),IF($A$20,"&lt;&gt;5",1))</f>
        <v>#DIV/0!</v>
      </c>
      <c r="BM42" s="20" t="e">
        <f t="shared" ca="1" si="23"/>
        <v>#DIV/0!</v>
      </c>
      <c r="BN42" t="s">
        <v>105</v>
      </c>
      <c r="BO42" t="e">
        <f ca="1">AVERAGEIFS(INDIRECT($H$3),INDIRECT($H$3),"&gt;=0",Data!$B:$B,BN42,IF($A$20,Data!$J:$J,Data!#REF!),IF($A$20,"&lt;&gt;5",1))</f>
        <v>#DIV/0!</v>
      </c>
      <c r="BP42" t="e">
        <f t="shared" ca="1" si="24"/>
        <v>#DIV/0!</v>
      </c>
      <c r="BQ42" t="s">
        <v>120</v>
      </c>
      <c r="BR42" t="e">
        <f ca="1">AVERAGEIFS(INDIRECT($I$3),INDIRECT($I$3),"&gt;=0",Data!$B:$B,BQ42,IF($A$20,Data!$J:$J,Data!#REF!),IF($A$20,"&lt;&gt;5",1))</f>
        <v>#DIV/0!</v>
      </c>
      <c r="BS42" t="e">
        <f t="shared" ca="1" si="25"/>
        <v>#DIV/0!</v>
      </c>
      <c r="BT42" t="s">
        <v>166</v>
      </c>
      <c r="BU42">
        <f ca="1">AVERAGEIFS(INDIRECT($J$3),INDIRECT($J$3),"&gt;=0",Data!$B:$B,BT42,IF($A$20,Data!$J:$J,Data!#REF!),IF($A$20,"&lt;&gt;5",1))</f>
        <v>0.53333333333333333</v>
      </c>
      <c r="BV42">
        <f t="shared" ca="1" si="26"/>
        <v>34</v>
      </c>
    </row>
    <row r="43" spans="2:74" x14ac:dyDescent="0.35">
      <c r="J43">
        <f t="shared" si="27"/>
        <v>35</v>
      </c>
      <c r="K43" t="s">
        <v>118</v>
      </c>
      <c r="L43" t="e">
        <f ca="1">AVERAGEIFS(INDIRECT($B$3),INDIRECT($B$3),"&gt;=0",Data!$B:$B,$K43)</f>
        <v>#DIV/0!</v>
      </c>
      <c r="M43" t="e">
        <f t="shared" ca="1" si="28"/>
        <v>#DIV/0!</v>
      </c>
      <c r="N43" t="s">
        <v>52</v>
      </c>
      <c r="O43" t="e">
        <f ca="1">AVERAGEIFS(INDIRECT($C$3),INDIRECT($C$3),"&gt;=0",Data!$B:$B,$N43)</f>
        <v>#DIV/0!</v>
      </c>
      <c r="P43" t="e">
        <f t="shared" ca="1" si="1"/>
        <v>#DIV/0!</v>
      </c>
      <c r="Q43" t="s">
        <v>135</v>
      </c>
      <c r="R43" t="e">
        <f ca="1">AVERAGEIFS(INDIRECT($D$3),INDIRECT($D$3),"&gt;=0",Data!$B:$B,$Q43)</f>
        <v>#DIV/0!</v>
      </c>
      <c r="S43" t="e">
        <f t="shared" ca="1" si="2"/>
        <v>#DIV/0!</v>
      </c>
      <c r="T43" t="s">
        <v>80</v>
      </c>
      <c r="U43" t="e">
        <f ca="1">AVERAGEIFS(INDIRECT($E$3),INDIRECT($E$3),"&gt;=0",Data!$B:$B,$T43)</f>
        <v>#DIV/0!</v>
      </c>
      <c r="V43" t="e">
        <f t="shared" ca="1" si="3"/>
        <v>#DIV/0!</v>
      </c>
      <c r="W43" t="s">
        <v>94</v>
      </c>
      <c r="X43" t="e">
        <f ca="1">AVERAGEIFS(INDIRECT($F$3),INDIRECT($F$3),"&gt;=0",Data!$B:$B,$W43)</f>
        <v>#DIV/0!</v>
      </c>
      <c r="Y43" t="e">
        <f t="shared" ca="1" si="4"/>
        <v>#DIV/0!</v>
      </c>
      <c r="Z43" t="s">
        <v>136</v>
      </c>
      <c r="AA43" t="e">
        <f ca="1">AVERAGEIFS(INDIRECT($G$3),INDIRECT($G$3),"&gt;=0",Data!$B:$B,$Z43)</f>
        <v>#DIV/0!</v>
      </c>
      <c r="AB43" t="e">
        <f t="shared" ca="1" si="5"/>
        <v>#DIV/0!</v>
      </c>
      <c r="AC43" t="s">
        <v>100</v>
      </c>
      <c r="AD43" t="e">
        <f ca="1">AVERAGEIFS(INDIRECT($H$3),INDIRECT($H$3),"&gt;=0",Data!$B:$B,$AC43)</f>
        <v>#DIV/0!</v>
      </c>
      <c r="AE43" t="e">
        <f t="shared" ca="1" si="6"/>
        <v>#DIV/0!</v>
      </c>
      <c r="AF43" t="s">
        <v>86</v>
      </c>
      <c r="AG43">
        <f ca="1">AVERAGEIFS(INDIRECT($I$3),INDIRECT($I$3),"&gt;=0",Data!$B:$B,$AF43)</f>
        <v>1</v>
      </c>
      <c r="AH43" t="e">
        <f t="shared" ca="1" si="7"/>
        <v>#DIV/0!</v>
      </c>
      <c r="AI43" t="s">
        <v>166</v>
      </c>
      <c r="AJ43">
        <f ca="1">AVERAGEIFS(INDIRECT($J$3),INDIRECT($J$3),"&gt;=0",Data!$B:$B,$AI43)</f>
        <v>0.53333333333333333</v>
      </c>
      <c r="AK43">
        <f t="shared" ca="1" si="8"/>
        <v>35</v>
      </c>
      <c r="AL43" t="str">
        <f t="shared" ca="1" si="9"/>
        <v>-</v>
      </c>
      <c r="AM43" t="str">
        <f t="shared" ca="1" si="10"/>
        <v>-</v>
      </c>
      <c r="AN43" t="str">
        <f t="shared" ca="1" si="11"/>
        <v>-</v>
      </c>
      <c r="AO43" t="str">
        <f t="shared" ca="1" si="12"/>
        <v>-</v>
      </c>
      <c r="AP43" t="str">
        <f t="shared" ca="1" si="13"/>
        <v>-</v>
      </c>
      <c r="AQ43" t="str">
        <f t="shared" ca="1" si="14"/>
        <v>-</v>
      </c>
      <c r="AR43" t="str">
        <f t="shared" ca="1" si="15"/>
        <v>-</v>
      </c>
      <c r="AS43" t="str">
        <f t="shared" ca="1" si="16"/>
        <v>-</v>
      </c>
      <c r="AT43" t="str">
        <f t="shared" ca="1" si="17"/>
        <v>-</v>
      </c>
      <c r="AU43">
        <f t="shared" si="29"/>
        <v>35</v>
      </c>
      <c r="AV43" t="s">
        <v>137</v>
      </c>
      <c r="AW43" s="20" t="e">
        <f ca="1">AVERAGEIFS(INDIRECT($B$3),INDIRECT($B$3),"&gt;=0",Data!$B:$B,AV43,IF($A$20,Data!$J:$J,Data!#REF!),IF($A$20,"&lt;&gt;5",1))</f>
        <v>#DIV/0!</v>
      </c>
      <c r="AX43" t="e">
        <f t="shared" ca="1" si="18"/>
        <v>#DIV/0!</v>
      </c>
      <c r="AY43" s="20" t="s">
        <v>52</v>
      </c>
      <c r="AZ43" t="e">
        <f ca="1">AVERAGEIFS(INDIRECT($C$3),INDIRECT($C$3),"&gt;=0",Data!$B:$B,AY43,IF($A$20,Data!$J:$J,Data!#REF!),IF($A$20,"&lt;&gt;5",1))</f>
        <v>#DIV/0!</v>
      </c>
      <c r="BA43" s="20" t="e">
        <f t="shared" ca="1" si="19"/>
        <v>#DIV/0!</v>
      </c>
      <c r="BB43" t="s">
        <v>72</v>
      </c>
      <c r="BC43" s="20" t="e">
        <f ca="1">AVERAGEIFS(INDIRECT($D$3),INDIRECT($D$3),"&gt;=0",Data!$B:$B,BB43,IF($A$20,Data!$J:$J,Data!#REF!),IF($A$20,"&lt;&gt;5",1))</f>
        <v>#DIV/0!</v>
      </c>
      <c r="BD43" t="e">
        <f t="shared" ca="1" si="20"/>
        <v>#DIV/0!</v>
      </c>
      <c r="BE43" s="20" t="s">
        <v>152</v>
      </c>
      <c r="BF43" t="e">
        <f ca="1">AVERAGEIFS(INDIRECT($E$3),INDIRECT($E$3),"&gt;=0",Data!$B:$B,BE43,IF($A$20,Data!$J:$J,Data!#REF!),IF($A$20,"&lt;&gt;5",1))</f>
        <v>#DIV/0!</v>
      </c>
      <c r="BG43" s="20" t="e">
        <f t="shared" ca="1" si="21"/>
        <v>#DIV/0!</v>
      </c>
      <c r="BH43" t="s">
        <v>30</v>
      </c>
      <c r="BI43" s="20" t="e">
        <f ca="1">AVERAGEIFS(INDIRECT($F$3),INDIRECT($F$3),"&gt;=0",Data!$B:$B,BH43,IF($A$20,Data!$J:$J,Data!#REF!),IF($A$20,"&lt;&gt;5",1))</f>
        <v>#DIV/0!</v>
      </c>
      <c r="BJ43" t="e">
        <f t="shared" ca="1" si="22"/>
        <v>#DIV/0!</v>
      </c>
      <c r="BK43" s="20" t="s">
        <v>148</v>
      </c>
      <c r="BL43" t="e">
        <f ca="1">AVERAGEIFS(INDIRECT($G$3),INDIRECT($G$3),"&gt;=0",Data!$B:$B,BK43,IF($A$20,Data!$J:$J,Data!#REF!),IF($A$20,"&lt;&gt;5",1))</f>
        <v>#DIV/0!</v>
      </c>
      <c r="BM43" s="20" t="e">
        <f t="shared" ca="1" si="23"/>
        <v>#DIV/0!</v>
      </c>
      <c r="BN43" t="s">
        <v>111</v>
      </c>
      <c r="BO43" t="e">
        <f ca="1">AVERAGEIFS(INDIRECT($H$3),INDIRECT($H$3),"&gt;=0",Data!$B:$B,BN43,IF($A$20,Data!$J:$J,Data!#REF!),IF($A$20,"&lt;&gt;5",1))</f>
        <v>#DIV/0!</v>
      </c>
      <c r="BP43" t="e">
        <f t="shared" ca="1" si="24"/>
        <v>#DIV/0!</v>
      </c>
      <c r="BQ43" t="s">
        <v>192</v>
      </c>
      <c r="BR43" t="e">
        <f ca="1">AVERAGEIFS(INDIRECT($I$3),INDIRECT($I$3),"&gt;=0",Data!$B:$B,BQ43,IF($A$20,Data!$J:$J,Data!#REF!),IF($A$20,"&lt;&gt;5",1))</f>
        <v>#DIV/0!</v>
      </c>
      <c r="BS43" t="e">
        <f t="shared" ca="1" si="25"/>
        <v>#DIV/0!</v>
      </c>
      <c r="BT43" t="s">
        <v>157</v>
      </c>
      <c r="BU43" t="e">
        <f ca="1">AVERAGEIFS(INDIRECT($J$3),INDIRECT($J$3),"&gt;=0",Data!$B:$B,BT43,IF($A$20,Data!$J:$J,Data!#REF!),IF($A$20,"&lt;&gt;5",1))</f>
        <v>#DIV/0!</v>
      </c>
      <c r="BV43" t="e">
        <f t="shared" ca="1" si="26"/>
        <v>#DIV/0!</v>
      </c>
    </row>
    <row r="44" spans="2:74" x14ac:dyDescent="0.35">
      <c r="J44">
        <f t="shared" si="27"/>
        <v>36</v>
      </c>
      <c r="K44" t="s">
        <v>121</v>
      </c>
      <c r="L44" t="e">
        <f ca="1">AVERAGEIFS(INDIRECT($B$3),INDIRECT($B$3),"&gt;=0",Data!$B:$B,$K44)</f>
        <v>#DIV/0!</v>
      </c>
      <c r="M44" t="e">
        <f t="shared" ca="1" si="28"/>
        <v>#DIV/0!</v>
      </c>
      <c r="N44" t="s">
        <v>186</v>
      </c>
      <c r="O44" t="e">
        <f ca="1">AVERAGEIFS(INDIRECT($C$3),INDIRECT($C$3),"&gt;=0",Data!$B:$B,$N44)</f>
        <v>#DIV/0!</v>
      </c>
      <c r="P44" t="e">
        <f t="shared" ca="1" si="1"/>
        <v>#DIV/0!</v>
      </c>
      <c r="Q44" t="s">
        <v>50</v>
      </c>
      <c r="R44" t="e">
        <f ca="1">AVERAGEIFS(INDIRECT($D$3),INDIRECT($D$3),"&gt;=0",Data!$B:$B,$Q44)</f>
        <v>#DIV/0!</v>
      </c>
      <c r="S44" t="e">
        <f t="shared" ca="1" si="2"/>
        <v>#DIV/0!</v>
      </c>
      <c r="T44" t="s">
        <v>86</v>
      </c>
      <c r="U44" t="e">
        <f ca="1">AVERAGEIFS(INDIRECT($E$3),INDIRECT($E$3),"&gt;=0",Data!$B:$B,$T44)</f>
        <v>#DIV/0!</v>
      </c>
      <c r="V44" t="e">
        <f t="shared" ca="1" si="3"/>
        <v>#DIV/0!</v>
      </c>
      <c r="W44" t="s">
        <v>143</v>
      </c>
      <c r="X44" t="e">
        <f ca="1">AVERAGEIFS(INDIRECT($F$3),INDIRECT($F$3),"&gt;=0",Data!$B:$B,$W44)</f>
        <v>#DIV/0!</v>
      </c>
      <c r="Y44" t="e">
        <f t="shared" ca="1" si="4"/>
        <v>#DIV/0!</v>
      </c>
      <c r="Z44" t="s">
        <v>140</v>
      </c>
      <c r="AA44" t="e">
        <f ca="1">AVERAGEIFS(INDIRECT($G$3),INDIRECT($G$3),"&gt;=0",Data!$B:$B,$Z44)</f>
        <v>#DIV/0!</v>
      </c>
      <c r="AB44" t="e">
        <f t="shared" ca="1" si="5"/>
        <v>#DIV/0!</v>
      </c>
      <c r="AC44" t="s">
        <v>102</v>
      </c>
      <c r="AD44" t="e">
        <f ca="1">AVERAGEIFS(INDIRECT($H$3),INDIRECT($H$3),"&gt;=0",Data!$B:$B,$AC44)</f>
        <v>#DIV/0!</v>
      </c>
      <c r="AE44" t="e">
        <f t="shared" ca="1" si="6"/>
        <v>#DIV/0!</v>
      </c>
      <c r="AF44" t="s">
        <v>120</v>
      </c>
      <c r="AG44" t="e">
        <f ca="1">AVERAGEIFS(INDIRECT($I$3),INDIRECT($I$3),"&gt;=0",Data!$B:$B,$AF44)</f>
        <v>#DIV/0!</v>
      </c>
      <c r="AH44" t="e">
        <f t="shared" ca="1" si="7"/>
        <v>#DIV/0!</v>
      </c>
      <c r="AI44" t="s">
        <v>157</v>
      </c>
      <c r="AJ44" t="e">
        <f ca="1">AVERAGEIFS(INDIRECT($J$3),INDIRECT($J$3),"&gt;=0",Data!$B:$B,$AI44)</f>
        <v>#DIV/0!</v>
      </c>
      <c r="AK44" t="e">
        <f t="shared" ca="1" si="8"/>
        <v>#DIV/0!</v>
      </c>
      <c r="AL44" t="str">
        <f t="shared" ca="1" si="9"/>
        <v>-</v>
      </c>
      <c r="AM44" t="str">
        <f t="shared" ca="1" si="10"/>
        <v>-</v>
      </c>
      <c r="AN44" t="str">
        <f t="shared" ca="1" si="11"/>
        <v>-</v>
      </c>
      <c r="AO44" t="str">
        <f t="shared" ca="1" si="12"/>
        <v>-</v>
      </c>
      <c r="AP44" t="str">
        <f t="shared" ca="1" si="13"/>
        <v>-</v>
      </c>
      <c r="AQ44" t="str">
        <f t="shared" ca="1" si="14"/>
        <v>-</v>
      </c>
      <c r="AR44" t="str">
        <f t="shared" ca="1" si="15"/>
        <v>-</v>
      </c>
      <c r="AS44" t="str">
        <f t="shared" ca="1" si="16"/>
        <v>-</v>
      </c>
      <c r="AT44" t="str">
        <f t="shared" ca="1" si="17"/>
        <v>-</v>
      </c>
      <c r="AU44">
        <f t="shared" si="29"/>
        <v>36</v>
      </c>
      <c r="AV44" t="s">
        <v>152</v>
      </c>
      <c r="AW44" s="20" t="e">
        <f ca="1">AVERAGEIFS(INDIRECT($B$3),INDIRECT($B$3),"&gt;=0",Data!$B:$B,AV44,IF($A$20,Data!$J:$J,Data!#REF!),IF($A$20,"&lt;&gt;5",1))</f>
        <v>#DIV/0!</v>
      </c>
      <c r="AX44" t="e">
        <f t="shared" ca="1" si="18"/>
        <v>#DIV/0!</v>
      </c>
      <c r="AY44" s="20" t="s">
        <v>186</v>
      </c>
      <c r="AZ44" t="e">
        <f ca="1">AVERAGEIFS(INDIRECT($C$3),INDIRECT($C$3),"&gt;=0",Data!$B:$B,AY44,IF($A$20,Data!$J:$J,Data!#REF!),IF($A$20,"&lt;&gt;5",1))</f>
        <v>#DIV/0!</v>
      </c>
      <c r="BA44" s="20" t="e">
        <f t="shared" ca="1" si="19"/>
        <v>#DIV/0!</v>
      </c>
      <c r="BB44" t="s">
        <v>147</v>
      </c>
      <c r="BC44" s="20" t="e">
        <f ca="1">AVERAGEIFS(INDIRECT($D$3),INDIRECT($D$3),"&gt;=0",Data!$B:$B,BB44,IF($A$20,Data!$J:$J,Data!#REF!),IF($A$20,"&lt;&gt;5",1))</f>
        <v>#DIV/0!</v>
      </c>
      <c r="BD44" t="e">
        <f t="shared" ca="1" si="20"/>
        <v>#DIV/0!</v>
      </c>
      <c r="BE44" s="20" t="s">
        <v>72</v>
      </c>
      <c r="BF44" t="e">
        <f ca="1">AVERAGEIFS(INDIRECT($E$3),INDIRECT($E$3),"&gt;=0",Data!$B:$B,BE44,IF($A$20,Data!$J:$J,Data!#REF!),IF($A$20,"&lt;&gt;5",1))</f>
        <v>#DIV/0!</v>
      </c>
      <c r="BG44" s="20" t="e">
        <f t="shared" ca="1" si="21"/>
        <v>#DIV/0!</v>
      </c>
      <c r="BH44" t="s">
        <v>177</v>
      </c>
      <c r="BI44" s="20" t="e">
        <f ca="1">AVERAGEIFS(INDIRECT($F$3),INDIRECT($F$3),"&gt;=0",Data!$B:$B,BH44,IF($A$20,Data!$J:$J,Data!#REF!),IF($A$20,"&lt;&gt;5",1))</f>
        <v>#DIV/0!</v>
      </c>
      <c r="BJ44" t="e">
        <f t="shared" ca="1" si="22"/>
        <v>#DIV/0!</v>
      </c>
      <c r="BK44" s="20" t="s">
        <v>150</v>
      </c>
      <c r="BL44" t="e">
        <f ca="1">AVERAGEIFS(INDIRECT($G$3),INDIRECT($G$3),"&gt;=0",Data!$B:$B,BK44,IF($A$20,Data!$J:$J,Data!#REF!),IF($A$20,"&lt;&gt;5",1))</f>
        <v>#DIV/0!</v>
      </c>
      <c r="BM44" s="20" t="e">
        <f t="shared" ca="1" si="23"/>
        <v>#DIV/0!</v>
      </c>
      <c r="BN44" t="s">
        <v>113</v>
      </c>
      <c r="BO44" t="e">
        <f ca="1">AVERAGEIFS(INDIRECT($H$3),INDIRECT($H$3),"&gt;=0",Data!$B:$B,BN44,IF($A$20,Data!$J:$J,Data!#REF!),IF($A$20,"&lt;&gt;5",1))</f>
        <v>#DIV/0!</v>
      </c>
      <c r="BP44" t="e">
        <f t="shared" ca="1" si="24"/>
        <v>#DIV/0!</v>
      </c>
      <c r="BQ44" t="s">
        <v>133</v>
      </c>
      <c r="BR44">
        <f ca="1">AVERAGEIFS(INDIRECT($I$3),INDIRECT($I$3),"&gt;=0",Data!$B:$B,BQ44,IF($A$20,Data!$J:$J,Data!#REF!),IF($A$20,"&lt;&gt;5",1))</f>
        <v>0.38095238095238093</v>
      </c>
      <c r="BS44" t="e">
        <f t="shared" ca="1" si="25"/>
        <v>#DIV/0!</v>
      </c>
      <c r="BT44" t="s">
        <v>171</v>
      </c>
      <c r="BU44" t="e">
        <f ca="1">AVERAGEIFS(INDIRECT($J$3),INDIRECT($J$3),"&gt;=0",Data!$B:$B,BT44,IF($A$20,Data!$J:$J,Data!#REF!),IF($A$20,"&lt;&gt;5",1))</f>
        <v>#DIV/0!</v>
      </c>
      <c r="BV44" t="e">
        <f t="shared" ca="1" si="26"/>
        <v>#DIV/0!</v>
      </c>
    </row>
    <row r="45" spans="2:74" x14ac:dyDescent="0.35">
      <c r="J45">
        <f t="shared" si="27"/>
        <v>37</v>
      </c>
      <c r="K45" t="s">
        <v>130</v>
      </c>
      <c r="L45" t="e">
        <f ca="1">AVERAGEIFS(INDIRECT($B$3),INDIRECT($B$3),"&gt;=0",Data!$B:$B,$K45)</f>
        <v>#DIV/0!</v>
      </c>
      <c r="M45" t="e">
        <f t="shared" ca="1" si="28"/>
        <v>#DIV/0!</v>
      </c>
      <c r="N45" t="s">
        <v>117</v>
      </c>
      <c r="O45" t="e">
        <f ca="1">AVERAGEIFS(INDIRECT($C$3),INDIRECT($C$3),"&gt;=0",Data!$B:$B,$N45)</f>
        <v>#DIV/0!</v>
      </c>
      <c r="P45" t="e">
        <f t="shared" ca="1" si="1"/>
        <v>#DIV/0!</v>
      </c>
      <c r="Q45" t="s">
        <v>115</v>
      </c>
      <c r="R45" t="e">
        <f ca="1">AVERAGEIFS(INDIRECT($D$3),INDIRECT($D$3),"&gt;=0",Data!$B:$B,$Q45)</f>
        <v>#DIV/0!</v>
      </c>
      <c r="S45" t="e">
        <f t="shared" ca="1" si="2"/>
        <v>#DIV/0!</v>
      </c>
      <c r="T45" t="s">
        <v>89</v>
      </c>
      <c r="U45" t="e">
        <f ca="1">AVERAGEIFS(INDIRECT($E$3),INDIRECT($E$3),"&gt;=0",Data!$B:$B,$T45)</f>
        <v>#DIV/0!</v>
      </c>
      <c r="V45" t="e">
        <f t="shared" ca="1" si="3"/>
        <v>#DIV/0!</v>
      </c>
      <c r="W45" t="s">
        <v>153</v>
      </c>
      <c r="X45" t="e">
        <f ca="1">AVERAGEIFS(INDIRECT($F$3),INDIRECT($F$3),"&gt;=0",Data!$B:$B,$W45)</f>
        <v>#DIV/0!</v>
      </c>
      <c r="Y45" t="e">
        <f t="shared" ca="1" si="4"/>
        <v>#DIV/0!</v>
      </c>
      <c r="Z45" t="s">
        <v>142</v>
      </c>
      <c r="AA45" t="e">
        <f ca="1">AVERAGEIFS(INDIRECT($G$3),INDIRECT($G$3),"&gt;=0",Data!$B:$B,$Z45)</f>
        <v>#DIV/0!</v>
      </c>
      <c r="AB45" t="e">
        <f t="shared" ca="1" si="5"/>
        <v>#DIV/0!</v>
      </c>
      <c r="AC45" t="s">
        <v>105</v>
      </c>
      <c r="AD45" t="e">
        <f ca="1">AVERAGEIFS(INDIRECT($H$3),INDIRECT($H$3),"&gt;=0",Data!$B:$B,$AC45)</f>
        <v>#DIV/0!</v>
      </c>
      <c r="AE45" t="e">
        <f t="shared" ca="1" si="6"/>
        <v>#DIV/0!</v>
      </c>
      <c r="AF45" t="s">
        <v>186</v>
      </c>
      <c r="AG45" t="e">
        <f ca="1">AVERAGEIFS(INDIRECT($I$3),INDIRECT($I$3),"&gt;=0",Data!$B:$B,$AF45)</f>
        <v>#DIV/0!</v>
      </c>
      <c r="AH45" t="e">
        <f t="shared" ca="1" si="7"/>
        <v>#DIV/0!</v>
      </c>
      <c r="AI45" t="s">
        <v>171</v>
      </c>
      <c r="AJ45" t="e">
        <f ca="1">AVERAGEIFS(INDIRECT($J$3),INDIRECT($J$3),"&gt;=0",Data!$B:$B,$AI45)</f>
        <v>#DIV/0!</v>
      </c>
      <c r="AK45" t="e">
        <f t="shared" ca="1" si="8"/>
        <v>#DIV/0!</v>
      </c>
      <c r="AL45" t="str">
        <f t="shared" ca="1" si="9"/>
        <v>-</v>
      </c>
      <c r="AM45" t="str">
        <f t="shared" ca="1" si="10"/>
        <v>-</v>
      </c>
      <c r="AN45" t="str">
        <f t="shared" ca="1" si="11"/>
        <v>-</v>
      </c>
      <c r="AO45" t="str">
        <f t="shared" ca="1" si="12"/>
        <v>-</v>
      </c>
      <c r="AP45" t="str">
        <f t="shared" ca="1" si="13"/>
        <v>-</v>
      </c>
      <c r="AQ45" t="str">
        <f t="shared" ca="1" si="14"/>
        <v>-</v>
      </c>
      <c r="AR45" t="str">
        <f t="shared" ca="1" si="15"/>
        <v>-</v>
      </c>
      <c r="AS45" t="str">
        <f t="shared" ca="1" si="16"/>
        <v>-</v>
      </c>
      <c r="AT45" t="str">
        <f t="shared" ca="1" si="17"/>
        <v>-</v>
      </c>
      <c r="AU45">
        <f t="shared" si="29"/>
        <v>37</v>
      </c>
      <c r="AV45" t="s">
        <v>91</v>
      </c>
      <c r="AW45" s="20" t="e">
        <f ca="1">AVERAGEIFS(INDIRECT($B$3),INDIRECT($B$3),"&gt;=0",Data!$B:$B,AV45,IF($A$20,Data!$J:$J,Data!#REF!),IF($A$20,"&lt;&gt;5",1))</f>
        <v>#DIV/0!</v>
      </c>
      <c r="AX45" t="e">
        <f t="shared" ca="1" si="18"/>
        <v>#DIV/0!</v>
      </c>
      <c r="AY45" s="20" t="s">
        <v>117</v>
      </c>
      <c r="AZ45" t="e">
        <f ca="1">AVERAGEIFS(INDIRECT($C$3),INDIRECT($C$3),"&gt;=0",Data!$B:$B,AY45,IF($A$20,Data!$J:$J,Data!#REF!),IF($A$20,"&lt;&gt;5",1))</f>
        <v>#DIV/0!</v>
      </c>
      <c r="BA45" s="20" t="e">
        <f t="shared" ca="1" si="19"/>
        <v>#DIV/0!</v>
      </c>
      <c r="BB45" t="s">
        <v>7</v>
      </c>
      <c r="BC45" s="20" t="e">
        <f ca="1">AVERAGEIFS(INDIRECT($D$3),INDIRECT($D$3),"&gt;=0",Data!$B:$B,BB45,IF($A$20,Data!$J:$J,Data!#REF!),IF($A$20,"&lt;&gt;5",1))</f>
        <v>#DIV/0!</v>
      </c>
      <c r="BD45" t="e">
        <f t="shared" ca="1" si="20"/>
        <v>#DIV/0!</v>
      </c>
      <c r="BE45" s="20" t="s">
        <v>23</v>
      </c>
      <c r="BF45" t="e">
        <f ca="1">AVERAGEIFS(INDIRECT($E$3),INDIRECT($E$3),"&gt;=0",Data!$B:$B,BE45,IF($A$20,Data!$J:$J,Data!#REF!),IF($A$20,"&lt;&gt;5",1))</f>
        <v>#DIV/0!</v>
      </c>
      <c r="BG45" s="20" t="e">
        <f t="shared" ca="1" si="21"/>
        <v>#DIV/0!</v>
      </c>
      <c r="BH45" t="s">
        <v>184</v>
      </c>
      <c r="BI45" s="20" t="e">
        <f ca="1">AVERAGEIFS(INDIRECT($F$3),INDIRECT($F$3),"&gt;=0",Data!$B:$B,BH45,IF($A$20,Data!$J:$J,Data!#REF!),IF($A$20,"&lt;&gt;5",1))</f>
        <v>#DIV/0!</v>
      </c>
      <c r="BJ45" t="e">
        <f t="shared" ca="1" si="22"/>
        <v>#DIV/0!</v>
      </c>
      <c r="BK45" s="20" t="s">
        <v>157</v>
      </c>
      <c r="BL45" t="e">
        <f ca="1">AVERAGEIFS(INDIRECT($G$3),INDIRECT($G$3),"&gt;=0",Data!$B:$B,BK45,IF($A$20,Data!$J:$J,Data!#REF!),IF($A$20,"&lt;&gt;5",1))</f>
        <v>#DIV/0!</v>
      </c>
      <c r="BM45" s="20" t="e">
        <f t="shared" ca="1" si="23"/>
        <v>#DIV/0!</v>
      </c>
      <c r="BN45" t="s">
        <v>114</v>
      </c>
      <c r="BO45" t="e">
        <f ca="1">AVERAGEIFS(INDIRECT($H$3),INDIRECT($H$3),"&gt;=0",Data!$B:$B,BN45,IF($A$20,Data!$J:$J,Data!#REF!),IF($A$20,"&lt;&gt;5",1))</f>
        <v>#DIV/0!</v>
      </c>
      <c r="BP45" t="e">
        <f t="shared" ca="1" si="24"/>
        <v>#DIV/0!</v>
      </c>
      <c r="BQ45" t="s">
        <v>140</v>
      </c>
      <c r="BR45" t="e">
        <f ca="1">AVERAGEIFS(INDIRECT($I$3),INDIRECT($I$3),"&gt;=0",Data!$B:$B,BQ45,IF($A$20,Data!$J:$J,Data!#REF!),IF($A$20,"&lt;&gt;5",1))</f>
        <v>#DIV/0!</v>
      </c>
      <c r="BS45" t="e">
        <f t="shared" ca="1" si="25"/>
        <v>#DIV/0!</v>
      </c>
      <c r="BT45" t="s">
        <v>163</v>
      </c>
      <c r="BU45" t="e">
        <f ca="1">AVERAGEIFS(INDIRECT($J$3),INDIRECT($J$3),"&gt;=0",Data!$B:$B,BT45,IF($A$20,Data!$J:$J,Data!#REF!),IF($A$20,"&lt;&gt;5",1))</f>
        <v>#DIV/0!</v>
      </c>
      <c r="BV45" t="e">
        <f t="shared" ca="1" si="26"/>
        <v>#DIV/0!</v>
      </c>
    </row>
    <row r="46" spans="2:74" x14ac:dyDescent="0.35">
      <c r="J46">
        <f t="shared" si="27"/>
        <v>38</v>
      </c>
      <c r="K46" t="s">
        <v>153</v>
      </c>
      <c r="L46" t="e">
        <f ca="1">AVERAGEIFS(INDIRECT($B$3),INDIRECT($B$3),"&gt;=0",Data!$B:$B,$K46)</f>
        <v>#DIV/0!</v>
      </c>
      <c r="M46" t="e">
        <f t="shared" ca="1" si="28"/>
        <v>#DIV/0!</v>
      </c>
      <c r="N46" t="s">
        <v>56</v>
      </c>
      <c r="O46" t="e">
        <f ca="1">AVERAGEIFS(INDIRECT($C$3),INDIRECT($C$3),"&gt;=0",Data!$B:$B,$N46)</f>
        <v>#DIV/0!</v>
      </c>
      <c r="P46" t="e">
        <f t="shared" ca="1" si="1"/>
        <v>#DIV/0!</v>
      </c>
      <c r="Q46" t="s">
        <v>81</v>
      </c>
      <c r="R46" t="e">
        <f ca="1">AVERAGEIFS(INDIRECT($D$3),INDIRECT($D$3),"&gt;=0",Data!$B:$B,$Q46)</f>
        <v>#DIV/0!</v>
      </c>
      <c r="S46" t="e">
        <f t="shared" ca="1" si="2"/>
        <v>#DIV/0!</v>
      </c>
      <c r="T46" t="s">
        <v>98</v>
      </c>
      <c r="U46" t="e">
        <f ca="1">AVERAGEIFS(INDIRECT($E$3),INDIRECT($E$3),"&gt;=0",Data!$B:$B,$T46)</f>
        <v>#DIV/0!</v>
      </c>
      <c r="V46" t="e">
        <f t="shared" ca="1" si="3"/>
        <v>#DIV/0!</v>
      </c>
      <c r="W46" t="s">
        <v>57</v>
      </c>
      <c r="X46" t="e">
        <f ca="1">AVERAGEIFS(INDIRECT($F$3),INDIRECT($F$3),"&gt;=0",Data!$B:$B,$W46)</f>
        <v>#DIV/0!</v>
      </c>
      <c r="Y46" t="e">
        <f t="shared" ca="1" si="4"/>
        <v>#DIV/0!</v>
      </c>
      <c r="Z46" t="s">
        <v>143</v>
      </c>
      <c r="AA46" t="e">
        <f ca="1">AVERAGEIFS(INDIRECT($G$3),INDIRECT($G$3),"&gt;=0",Data!$B:$B,$Z46)</f>
        <v>#DIV/0!</v>
      </c>
      <c r="AB46" t="e">
        <f t="shared" ca="1" si="5"/>
        <v>#DIV/0!</v>
      </c>
      <c r="AC46" t="s">
        <v>111</v>
      </c>
      <c r="AD46" t="e">
        <f ca="1">AVERAGEIFS(INDIRECT($H$3),INDIRECT($H$3),"&gt;=0",Data!$B:$B,$AC46)</f>
        <v>#DIV/0!</v>
      </c>
      <c r="AE46" t="e">
        <f t="shared" ca="1" si="6"/>
        <v>#DIV/0!</v>
      </c>
      <c r="AF46" t="s">
        <v>22</v>
      </c>
      <c r="AG46" t="e">
        <f ca="1">AVERAGEIFS(INDIRECT($I$3),INDIRECT($I$3),"&gt;=0",Data!$B:$B,$AF46)</f>
        <v>#DIV/0!</v>
      </c>
      <c r="AH46" t="e">
        <f t="shared" ca="1" si="7"/>
        <v>#DIV/0!</v>
      </c>
      <c r="AI46" t="s">
        <v>163</v>
      </c>
      <c r="AJ46" t="e">
        <f ca="1">AVERAGEIFS(INDIRECT($J$3),INDIRECT($J$3),"&gt;=0",Data!$B:$B,$AI46)</f>
        <v>#DIV/0!</v>
      </c>
      <c r="AK46" t="e">
        <f t="shared" ca="1" si="8"/>
        <v>#DIV/0!</v>
      </c>
      <c r="AL46" t="str">
        <f t="shared" ca="1" si="9"/>
        <v>-</v>
      </c>
      <c r="AM46" t="str">
        <f t="shared" ca="1" si="10"/>
        <v>-</v>
      </c>
      <c r="AN46" t="str">
        <f t="shared" ca="1" si="11"/>
        <v>-</v>
      </c>
      <c r="AO46" t="str">
        <f t="shared" ca="1" si="12"/>
        <v>-</v>
      </c>
      <c r="AP46" t="str">
        <f t="shared" ca="1" si="13"/>
        <v>-</v>
      </c>
      <c r="AQ46" t="str">
        <f t="shared" ca="1" si="14"/>
        <v>-</v>
      </c>
      <c r="AR46" t="str">
        <f t="shared" ca="1" si="15"/>
        <v>-</v>
      </c>
      <c r="AS46" t="str">
        <f t="shared" ca="1" si="16"/>
        <v>-</v>
      </c>
      <c r="AT46" t="str">
        <f t="shared" ca="1" si="17"/>
        <v>-</v>
      </c>
      <c r="AU46">
        <f t="shared" si="29"/>
        <v>38</v>
      </c>
      <c r="AV46" t="s">
        <v>118</v>
      </c>
      <c r="AW46" s="20" t="e">
        <f ca="1">AVERAGEIFS(INDIRECT($B$3),INDIRECT($B$3),"&gt;=0",Data!$B:$B,AV46,IF($A$20,Data!$J:$J,Data!#REF!),IF($A$20,"&lt;&gt;5",1))</f>
        <v>#DIV/0!</v>
      </c>
      <c r="AX46" t="e">
        <f t="shared" ca="1" si="18"/>
        <v>#DIV/0!</v>
      </c>
      <c r="AY46" s="20" t="s">
        <v>56</v>
      </c>
      <c r="AZ46" t="e">
        <f ca="1">AVERAGEIFS(INDIRECT($C$3),INDIRECT($C$3),"&gt;=0",Data!$B:$B,AY46,IF($A$20,Data!$J:$J,Data!#REF!),IF($A$20,"&lt;&gt;5",1))</f>
        <v>#DIV/0!</v>
      </c>
      <c r="BA46" s="20" t="e">
        <f t="shared" ca="1" si="19"/>
        <v>#DIV/0!</v>
      </c>
      <c r="BB46" t="s">
        <v>100</v>
      </c>
      <c r="BC46" s="20" t="e">
        <f ca="1">AVERAGEIFS(INDIRECT($D$3),INDIRECT($D$3),"&gt;=0",Data!$B:$B,BB46,IF($A$20,Data!$J:$J,Data!#REF!),IF($A$20,"&lt;&gt;5",1))</f>
        <v>#DIV/0!</v>
      </c>
      <c r="BD46" t="e">
        <f t="shared" ca="1" si="20"/>
        <v>#DIV/0!</v>
      </c>
      <c r="BE46" s="20" t="s">
        <v>24</v>
      </c>
      <c r="BF46" t="e">
        <f ca="1">AVERAGEIFS(INDIRECT($E$3),INDIRECT($E$3),"&gt;=0",Data!$B:$B,BE46,IF($A$20,Data!$J:$J,Data!#REF!),IF($A$20,"&lt;&gt;5",1))</f>
        <v>#DIV/0!</v>
      </c>
      <c r="BG46" s="20" t="e">
        <f t="shared" ca="1" si="21"/>
        <v>#DIV/0!</v>
      </c>
      <c r="BH46" t="s">
        <v>11</v>
      </c>
      <c r="BI46" s="20">
        <f ca="1">AVERAGEIFS(INDIRECT($F$3),INDIRECT($F$3),"&gt;=0",Data!$B:$B,BH46,IF($A$20,Data!$J:$J,Data!#REF!),IF($A$20,"&lt;&gt;5",1))</f>
        <v>1</v>
      </c>
      <c r="BJ46" t="e">
        <f t="shared" ca="1" si="22"/>
        <v>#DIV/0!</v>
      </c>
      <c r="BK46" s="20" t="s">
        <v>159</v>
      </c>
      <c r="BL46" t="e">
        <f ca="1">AVERAGEIFS(INDIRECT($G$3),INDIRECT($G$3),"&gt;=0",Data!$B:$B,BK46,IF($A$20,Data!$J:$J,Data!#REF!),IF($A$20,"&lt;&gt;5",1))</f>
        <v>#DIV/0!</v>
      </c>
      <c r="BM46" s="20" t="e">
        <f t="shared" ca="1" si="23"/>
        <v>#DIV/0!</v>
      </c>
      <c r="BN46" t="s">
        <v>118</v>
      </c>
      <c r="BO46" t="e">
        <f ca="1">AVERAGEIFS(INDIRECT($H$3),INDIRECT($H$3),"&gt;=0",Data!$B:$B,BN46,IF($A$20,Data!$J:$J,Data!#REF!),IF($A$20,"&lt;&gt;5",1))</f>
        <v>#DIV/0!</v>
      </c>
      <c r="BP46" t="e">
        <f t="shared" ca="1" si="24"/>
        <v>#DIV/0!</v>
      </c>
      <c r="BQ46" t="s">
        <v>22</v>
      </c>
      <c r="BR46" t="e">
        <f ca="1">AVERAGEIFS(INDIRECT($I$3),INDIRECT($I$3),"&gt;=0",Data!$B:$B,BQ46,IF($A$20,Data!$J:$J,Data!#REF!),IF($A$20,"&lt;&gt;5",1))</f>
        <v>#DIV/0!</v>
      </c>
      <c r="BS46" t="e">
        <f t="shared" ca="1" si="25"/>
        <v>#DIV/0!</v>
      </c>
      <c r="BT46" t="s">
        <v>154</v>
      </c>
      <c r="BU46" t="e">
        <f ca="1">AVERAGEIFS(INDIRECT($J$3),INDIRECT($J$3),"&gt;=0",Data!$B:$B,BT46,IF($A$20,Data!$J:$J,Data!#REF!),IF($A$20,"&lt;&gt;5",1))</f>
        <v>#DIV/0!</v>
      </c>
      <c r="BV46" t="e">
        <f t="shared" ca="1" si="26"/>
        <v>#DIV/0!</v>
      </c>
    </row>
    <row r="47" spans="2:74" x14ac:dyDescent="0.35">
      <c r="J47">
        <f t="shared" si="27"/>
        <v>39</v>
      </c>
      <c r="K47" t="s">
        <v>55</v>
      </c>
      <c r="L47" t="e">
        <f ca="1">AVERAGEIFS(INDIRECT($B$3),INDIRECT($B$3),"&gt;=0",Data!$B:$B,$K47)</f>
        <v>#DIV/0!</v>
      </c>
      <c r="M47" t="e">
        <f t="shared" ca="1" si="28"/>
        <v>#DIV/0!</v>
      </c>
      <c r="N47" t="s">
        <v>53</v>
      </c>
      <c r="O47" t="e">
        <f ca="1">AVERAGEIFS(INDIRECT($C$3),INDIRECT($C$3),"&gt;=0",Data!$B:$B,$N47)</f>
        <v>#DIV/0!</v>
      </c>
      <c r="P47" t="e">
        <f t="shared" ca="1" si="1"/>
        <v>#DIV/0!</v>
      </c>
      <c r="Q47" t="s">
        <v>128</v>
      </c>
      <c r="R47" t="e">
        <f ca="1">AVERAGEIFS(INDIRECT($D$3),INDIRECT($D$3),"&gt;=0",Data!$B:$B,$Q47)</f>
        <v>#DIV/0!</v>
      </c>
      <c r="S47" t="e">
        <f t="shared" ca="1" si="2"/>
        <v>#DIV/0!</v>
      </c>
      <c r="T47" t="s">
        <v>100</v>
      </c>
      <c r="U47" t="e">
        <f ca="1">AVERAGEIFS(INDIRECT($E$3),INDIRECT($E$3),"&gt;=0",Data!$B:$B,$T47)</f>
        <v>#DIV/0!</v>
      </c>
      <c r="V47" t="e">
        <f t="shared" ca="1" si="3"/>
        <v>#DIV/0!</v>
      </c>
      <c r="W47" t="s">
        <v>18</v>
      </c>
      <c r="X47" t="e">
        <f ca="1">AVERAGEIFS(INDIRECT($F$3),INDIRECT($F$3),"&gt;=0",Data!$B:$B,$W47)</f>
        <v>#DIV/0!</v>
      </c>
      <c r="Y47" t="e">
        <f t="shared" ca="1" si="4"/>
        <v>#DIV/0!</v>
      </c>
      <c r="Z47" t="s">
        <v>144</v>
      </c>
      <c r="AA47" t="e">
        <f ca="1">AVERAGEIFS(INDIRECT($G$3),INDIRECT($G$3),"&gt;=0",Data!$B:$B,$Z47)</f>
        <v>#DIV/0!</v>
      </c>
      <c r="AB47" t="e">
        <f t="shared" ca="1" si="5"/>
        <v>#DIV/0!</v>
      </c>
      <c r="AC47" t="s">
        <v>113</v>
      </c>
      <c r="AD47" t="e">
        <f ca="1">AVERAGEIFS(INDIRECT($H$3),INDIRECT($H$3),"&gt;=0",Data!$B:$B,$AC47)</f>
        <v>#DIV/0!</v>
      </c>
      <c r="AE47" t="e">
        <f t="shared" ca="1" si="6"/>
        <v>#DIV/0!</v>
      </c>
      <c r="AF47" t="s">
        <v>108</v>
      </c>
      <c r="AG47">
        <f ca="1">AVERAGEIFS(INDIRECT($I$3),INDIRECT($I$3),"&gt;=0",Data!$B:$B,$AF47)</f>
        <v>0.77777777777777779</v>
      </c>
      <c r="AH47" t="e">
        <f t="shared" ca="1" si="7"/>
        <v>#DIV/0!</v>
      </c>
      <c r="AI47" t="s">
        <v>154</v>
      </c>
      <c r="AJ47" t="e">
        <f ca="1">AVERAGEIFS(INDIRECT($J$3),INDIRECT($J$3),"&gt;=0",Data!$B:$B,$AI47)</f>
        <v>#DIV/0!</v>
      </c>
      <c r="AK47" t="e">
        <f t="shared" ca="1" si="8"/>
        <v>#DIV/0!</v>
      </c>
      <c r="AL47" t="str">
        <f t="shared" ca="1" si="9"/>
        <v>-</v>
      </c>
      <c r="AM47" t="str">
        <f t="shared" ca="1" si="10"/>
        <v>-</v>
      </c>
      <c r="AN47" t="str">
        <f t="shared" ca="1" si="11"/>
        <v>-</v>
      </c>
      <c r="AO47" t="str">
        <f t="shared" ca="1" si="12"/>
        <v>-</v>
      </c>
      <c r="AP47" t="str">
        <f t="shared" ca="1" si="13"/>
        <v>-</v>
      </c>
      <c r="AQ47" t="str">
        <f t="shared" ca="1" si="14"/>
        <v>-</v>
      </c>
      <c r="AR47" t="str">
        <f t="shared" ca="1" si="15"/>
        <v>-</v>
      </c>
      <c r="AS47" t="str">
        <f t="shared" ca="1" si="16"/>
        <v>-</v>
      </c>
      <c r="AT47" t="str">
        <f t="shared" ca="1" si="17"/>
        <v>-</v>
      </c>
      <c r="AU47">
        <f t="shared" si="29"/>
        <v>39</v>
      </c>
      <c r="AV47" t="s">
        <v>89</v>
      </c>
      <c r="AW47" s="20" t="e">
        <f ca="1">AVERAGEIFS(INDIRECT($B$3),INDIRECT($B$3),"&gt;=0",Data!$B:$B,AV47,IF($A$20,Data!$J:$J,Data!#REF!),IF($A$20,"&lt;&gt;5",1))</f>
        <v>#DIV/0!</v>
      </c>
      <c r="AX47" t="e">
        <f t="shared" ca="1" si="18"/>
        <v>#DIV/0!</v>
      </c>
      <c r="AY47" s="20" t="s">
        <v>53</v>
      </c>
      <c r="AZ47" t="e">
        <f ca="1">AVERAGEIFS(INDIRECT($C$3),INDIRECT($C$3),"&gt;=0",Data!$B:$B,AY47,IF($A$20,Data!$J:$J,Data!#REF!),IF($A$20,"&lt;&gt;5",1))</f>
        <v>#DIV/0!</v>
      </c>
      <c r="BA47" s="20" t="e">
        <f t="shared" ca="1" si="19"/>
        <v>#DIV/0!</v>
      </c>
      <c r="BB47" t="s">
        <v>106</v>
      </c>
      <c r="BC47" s="20" t="e">
        <f ca="1">AVERAGEIFS(INDIRECT($D$3),INDIRECT($D$3),"&gt;=0",Data!$B:$B,BB47,IF($A$20,Data!$J:$J,Data!#REF!),IF($A$20,"&lt;&gt;5",1))</f>
        <v>#DIV/0!</v>
      </c>
      <c r="BD47" t="e">
        <f t="shared" ca="1" si="20"/>
        <v>#DIV/0!</v>
      </c>
      <c r="BE47" s="20" t="s">
        <v>61</v>
      </c>
      <c r="BF47" t="e">
        <f ca="1">AVERAGEIFS(INDIRECT($E$3),INDIRECT($E$3),"&gt;=0",Data!$B:$B,BE47,IF($A$20,Data!$J:$J,Data!#REF!),IF($A$20,"&lt;&gt;5",1))</f>
        <v>#DIV/0!</v>
      </c>
      <c r="BG47" s="20" t="e">
        <f t="shared" ca="1" si="21"/>
        <v>#DIV/0!</v>
      </c>
      <c r="BH47" t="s">
        <v>45</v>
      </c>
      <c r="BI47" s="20" t="e">
        <f ca="1">AVERAGEIFS(INDIRECT($F$3),INDIRECT($F$3),"&gt;=0",Data!$B:$B,BH47,IF($A$20,Data!$J:$J,Data!#REF!),IF($A$20,"&lt;&gt;5",1))</f>
        <v>#DIV/0!</v>
      </c>
      <c r="BJ47" t="e">
        <f t="shared" ca="1" si="22"/>
        <v>#DIV/0!</v>
      </c>
      <c r="BK47" s="20" t="s">
        <v>163</v>
      </c>
      <c r="BL47" t="e">
        <f ca="1">AVERAGEIFS(INDIRECT($G$3),INDIRECT($G$3),"&gt;=0",Data!$B:$B,BK47,IF($A$20,Data!$J:$J,Data!#REF!),IF($A$20,"&lt;&gt;5",1))</f>
        <v>#DIV/0!</v>
      </c>
      <c r="BM47" s="20" t="e">
        <f t="shared" ca="1" si="23"/>
        <v>#DIV/0!</v>
      </c>
      <c r="BN47" t="s">
        <v>125</v>
      </c>
      <c r="BO47" t="e">
        <f ca="1">AVERAGEIFS(INDIRECT($H$3),INDIRECT($H$3),"&gt;=0",Data!$B:$B,BN47,IF($A$20,Data!$J:$J,Data!#REF!),IF($A$20,"&lt;&gt;5",1))</f>
        <v>#DIV/0!</v>
      </c>
      <c r="BP47" t="e">
        <f t="shared" ca="1" si="24"/>
        <v>#DIV/0!</v>
      </c>
      <c r="BQ47" t="s">
        <v>125</v>
      </c>
      <c r="BR47" t="e">
        <f ca="1">AVERAGEIFS(INDIRECT($I$3),INDIRECT($I$3),"&gt;=0",Data!$B:$B,BQ47,IF($A$20,Data!$J:$J,Data!#REF!),IF($A$20,"&lt;&gt;5",1))</f>
        <v>#DIV/0!</v>
      </c>
      <c r="BS47" t="e">
        <f t="shared" ca="1" si="25"/>
        <v>#DIV/0!</v>
      </c>
      <c r="BT47" t="s">
        <v>164</v>
      </c>
      <c r="BU47" t="e">
        <f ca="1">AVERAGEIFS(INDIRECT($J$3),INDIRECT($J$3),"&gt;=0",Data!$B:$B,BT47,IF($A$20,Data!$J:$J,Data!#REF!),IF($A$20,"&lt;&gt;5",1))</f>
        <v>#DIV/0!</v>
      </c>
      <c r="BV47" t="e">
        <f t="shared" ca="1" si="26"/>
        <v>#DIV/0!</v>
      </c>
    </row>
    <row r="48" spans="2:74" x14ac:dyDescent="0.35">
      <c r="J48">
        <f t="shared" si="27"/>
        <v>40</v>
      </c>
      <c r="K48" t="s">
        <v>62</v>
      </c>
      <c r="L48" t="e">
        <f ca="1">AVERAGEIFS(INDIRECT($B$3),INDIRECT($B$3),"&gt;=0",Data!$B:$B,$K48)</f>
        <v>#DIV/0!</v>
      </c>
      <c r="M48" t="e">
        <f t="shared" ca="1" si="28"/>
        <v>#DIV/0!</v>
      </c>
      <c r="N48" t="s">
        <v>40</v>
      </c>
      <c r="O48" t="e">
        <f ca="1">AVERAGEIFS(INDIRECT($C$3),INDIRECT($C$3),"&gt;=0",Data!$B:$B,$N48)</f>
        <v>#DIV/0!</v>
      </c>
      <c r="P48" t="e">
        <f t="shared" ca="1" si="1"/>
        <v>#DIV/0!</v>
      </c>
      <c r="Q48" t="s">
        <v>42</v>
      </c>
      <c r="R48" t="e">
        <f ca="1">AVERAGEIFS(INDIRECT($D$3),INDIRECT($D$3),"&gt;=0",Data!$B:$B,$Q48)</f>
        <v>#DIV/0!</v>
      </c>
      <c r="S48" t="e">
        <f t="shared" ca="1" si="2"/>
        <v>#DIV/0!</v>
      </c>
      <c r="T48" t="s">
        <v>114</v>
      </c>
      <c r="U48" t="e">
        <f ca="1">AVERAGEIFS(INDIRECT($E$3),INDIRECT($E$3),"&gt;=0",Data!$B:$B,$T48)</f>
        <v>#DIV/0!</v>
      </c>
      <c r="V48" t="e">
        <f t="shared" ca="1" si="3"/>
        <v>#DIV/0!</v>
      </c>
      <c r="W48" t="s">
        <v>30</v>
      </c>
      <c r="X48" t="e">
        <f ca="1">AVERAGEIFS(INDIRECT($F$3),INDIRECT($F$3),"&gt;=0",Data!$B:$B,$W48)</f>
        <v>#DIV/0!</v>
      </c>
      <c r="Y48" t="e">
        <f t="shared" ca="1" si="4"/>
        <v>#DIV/0!</v>
      </c>
      <c r="Z48" t="s">
        <v>148</v>
      </c>
      <c r="AA48" t="e">
        <f ca="1">AVERAGEIFS(INDIRECT($G$3),INDIRECT($G$3),"&gt;=0",Data!$B:$B,$Z48)</f>
        <v>#DIV/0!</v>
      </c>
      <c r="AB48" t="e">
        <f t="shared" ca="1" si="5"/>
        <v>#DIV/0!</v>
      </c>
      <c r="AC48" t="s">
        <v>114</v>
      </c>
      <c r="AD48" t="e">
        <f ca="1">AVERAGEIFS(INDIRECT($H$3),INDIRECT($H$3),"&gt;=0",Data!$B:$B,$AC48)</f>
        <v>#DIV/0!</v>
      </c>
      <c r="AE48" t="e">
        <f t="shared" ca="1" si="6"/>
        <v>#DIV/0!</v>
      </c>
      <c r="AF48" t="s">
        <v>125</v>
      </c>
      <c r="AG48" t="e">
        <f ca="1">AVERAGEIFS(INDIRECT($I$3),INDIRECT($I$3),"&gt;=0",Data!$B:$B,$AF48)</f>
        <v>#DIV/0!</v>
      </c>
      <c r="AH48" t="e">
        <f t="shared" ca="1" si="7"/>
        <v>#DIV/0!</v>
      </c>
      <c r="AI48" t="s">
        <v>164</v>
      </c>
      <c r="AJ48" t="e">
        <f ca="1">AVERAGEIFS(INDIRECT($J$3),INDIRECT($J$3),"&gt;=0",Data!$B:$B,$AI48)</f>
        <v>#DIV/0!</v>
      </c>
      <c r="AK48" t="e">
        <f t="shared" ca="1" si="8"/>
        <v>#DIV/0!</v>
      </c>
      <c r="AL48" t="str">
        <f t="shared" ca="1" si="9"/>
        <v>-</v>
      </c>
      <c r="AM48" t="str">
        <f t="shared" ca="1" si="10"/>
        <v>-</v>
      </c>
      <c r="AN48" t="str">
        <f t="shared" ca="1" si="11"/>
        <v>-</v>
      </c>
      <c r="AO48" t="str">
        <f t="shared" ca="1" si="12"/>
        <v>-</v>
      </c>
      <c r="AP48" t="str">
        <f t="shared" ca="1" si="13"/>
        <v>-</v>
      </c>
      <c r="AQ48" t="str">
        <f t="shared" ca="1" si="14"/>
        <v>-</v>
      </c>
      <c r="AR48" t="str">
        <f t="shared" ca="1" si="15"/>
        <v>-</v>
      </c>
      <c r="AS48" t="str">
        <f t="shared" ca="1" si="16"/>
        <v>-</v>
      </c>
      <c r="AT48" t="str">
        <f t="shared" ca="1" si="17"/>
        <v>-</v>
      </c>
      <c r="AU48">
        <f t="shared" si="29"/>
        <v>40</v>
      </c>
      <c r="AV48" t="s">
        <v>194</v>
      </c>
      <c r="AW48" s="20" t="e">
        <f ca="1">AVERAGEIFS(INDIRECT($B$3),INDIRECT($B$3),"&gt;=0",Data!$B:$B,AV48,IF($A$20,Data!$J:$J,Data!#REF!),IF($A$20,"&lt;&gt;5",1))</f>
        <v>#DIV/0!</v>
      </c>
      <c r="AX48" t="e">
        <f t="shared" ca="1" si="18"/>
        <v>#DIV/0!</v>
      </c>
      <c r="AY48" s="20" t="s">
        <v>40</v>
      </c>
      <c r="AZ48" t="e">
        <f ca="1">AVERAGEIFS(INDIRECT($C$3),INDIRECT($C$3),"&gt;=0",Data!$B:$B,AY48,IF($A$20,Data!$J:$J,Data!#REF!),IF($A$20,"&lt;&gt;5",1))</f>
        <v>#DIV/0!</v>
      </c>
      <c r="BA48" s="20" t="e">
        <f t="shared" ca="1" si="19"/>
        <v>#DIV/0!</v>
      </c>
      <c r="BB48" t="s">
        <v>63</v>
      </c>
      <c r="BC48" s="20" t="e">
        <f ca="1">AVERAGEIFS(INDIRECT($D$3),INDIRECT($D$3),"&gt;=0",Data!$B:$B,BB48,IF($A$20,Data!$J:$J,Data!#REF!),IF($A$20,"&lt;&gt;5",1))</f>
        <v>#DIV/0!</v>
      </c>
      <c r="BD48" t="e">
        <f t="shared" ca="1" si="20"/>
        <v>#DIV/0!</v>
      </c>
      <c r="BE48" s="20" t="s">
        <v>76</v>
      </c>
      <c r="BF48" t="e">
        <f ca="1">AVERAGEIFS(INDIRECT($E$3),INDIRECT($E$3),"&gt;=0",Data!$B:$B,BE48,IF($A$20,Data!$J:$J,Data!#REF!),IF($A$20,"&lt;&gt;5",1))</f>
        <v>#DIV/0!</v>
      </c>
      <c r="BG48" s="20" t="e">
        <f t="shared" ca="1" si="21"/>
        <v>#DIV/0!</v>
      </c>
      <c r="BH48" t="s">
        <v>53</v>
      </c>
      <c r="BI48" s="20" t="e">
        <f ca="1">AVERAGEIFS(INDIRECT($F$3),INDIRECT($F$3),"&gt;=0",Data!$B:$B,BH48,IF($A$20,Data!$J:$J,Data!#REF!),IF($A$20,"&lt;&gt;5",1))</f>
        <v>#DIV/0!</v>
      </c>
      <c r="BJ48" t="e">
        <f t="shared" ca="1" si="22"/>
        <v>#DIV/0!</v>
      </c>
      <c r="BK48" s="20" t="s">
        <v>165</v>
      </c>
      <c r="BL48" t="e">
        <f ca="1">AVERAGEIFS(INDIRECT($G$3),INDIRECT($G$3),"&gt;=0",Data!$B:$B,BK48,IF($A$20,Data!$J:$J,Data!#REF!),IF($A$20,"&lt;&gt;5",1))</f>
        <v>#DIV/0!</v>
      </c>
      <c r="BM48" s="20" t="e">
        <f t="shared" ca="1" si="23"/>
        <v>#DIV/0!</v>
      </c>
      <c r="BN48" t="s">
        <v>132</v>
      </c>
      <c r="BO48" t="e">
        <f ca="1">AVERAGEIFS(INDIRECT($H$3),INDIRECT($H$3),"&gt;=0",Data!$B:$B,BN48,IF($A$20,Data!$J:$J,Data!#REF!),IF($A$20,"&lt;&gt;5",1))</f>
        <v>#DIV/0!</v>
      </c>
      <c r="BP48" t="e">
        <f t="shared" ca="1" si="24"/>
        <v>#DIV/0!</v>
      </c>
      <c r="BQ48" t="s">
        <v>171</v>
      </c>
      <c r="BR48" t="e">
        <f ca="1">AVERAGEIFS(INDIRECT($I$3),INDIRECT($I$3),"&gt;=0",Data!$B:$B,BQ48,IF($A$20,Data!$J:$J,Data!#REF!),IF($A$20,"&lt;&gt;5",1))</f>
        <v>#DIV/0!</v>
      </c>
      <c r="BS48" t="e">
        <f t="shared" ca="1" si="25"/>
        <v>#DIV/0!</v>
      </c>
      <c r="BT48" t="s">
        <v>161</v>
      </c>
      <c r="BU48" t="e">
        <f ca="1">AVERAGEIFS(INDIRECT($J$3),INDIRECT($J$3),"&gt;=0",Data!$B:$B,BT48,IF($A$20,Data!$J:$J,Data!#REF!),IF($A$20,"&lt;&gt;5",1))</f>
        <v>#DIV/0!</v>
      </c>
      <c r="BV48" t="e">
        <f t="shared" ca="1" si="26"/>
        <v>#DIV/0!</v>
      </c>
    </row>
    <row r="49" spans="10:74" x14ac:dyDescent="0.35">
      <c r="J49">
        <f t="shared" si="27"/>
        <v>41</v>
      </c>
      <c r="K49" t="s">
        <v>13</v>
      </c>
      <c r="L49" t="e">
        <f ca="1">AVERAGEIFS(INDIRECT($B$3),INDIRECT($B$3),"&gt;=0",Data!$B:$B,$K49)</f>
        <v>#DIV/0!</v>
      </c>
      <c r="M49" t="e">
        <f t="shared" ca="1" si="28"/>
        <v>#DIV/0!</v>
      </c>
      <c r="N49" t="s">
        <v>108</v>
      </c>
      <c r="O49" t="e">
        <f ca="1">AVERAGEIFS(INDIRECT($C$3),INDIRECT($C$3),"&gt;=0",Data!$B:$B,$N49)</f>
        <v>#DIV/0!</v>
      </c>
      <c r="P49" t="e">
        <f t="shared" ca="1" si="1"/>
        <v>#DIV/0!</v>
      </c>
      <c r="Q49" t="s">
        <v>94</v>
      </c>
      <c r="R49" t="e">
        <f ca="1">AVERAGEIFS(INDIRECT($D$3),INDIRECT($D$3),"&gt;=0",Data!$B:$B,$Q49)</f>
        <v>#DIV/0!</v>
      </c>
      <c r="S49" t="e">
        <f t="shared" ca="1" si="2"/>
        <v>#DIV/0!</v>
      </c>
      <c r="T49" t="s">
        <v>117</v>
      </c>
      <c r="U49" t="e">
        <f ca="1">AVERAGEIFS(INDIRECT($E$3),INDIRECT($E$3),"&gt;=0",Data!$B:$B,$T49)</f>
        <v>#DIV/0!</v>
      </c>
      <c r="V49" t="e">
        <f t="shared" ca="1" si="3"/>
        <v>#DIV/0!</v>
      </c>
      <c r="W49" t="s">
        <v>73</v>
      </c>
      <c r="X49" t="e">
        <f ca="1">AVERAGEIFS(INDIRECT($F$3),INDIRECT($F$3),"&gt;=0",Data!$B:$B,$W49)</f>
        <v>#DIV/0!</v>
      </c>
      <c r="Y49" t="e">
        <f t="shared" ca="1" si="4"/>
        <v>#DIV/0!</v>
      </c>
      <c r="Z49" t="s">
        <v>150</v>
      </c>
      <c r="AA49" t="e">
        <f ca="1">AVERAGEIFS(INDIRECT($G$3),INDIRECT($G$3),"&gt;=0",Data!$B:$B,$Z49)</f>
        <v>#DIV/0!</v>
      </c>
      <c r="AB49" t="e">
        <f t="shared" ca="1" si="5"/>
        <v>#DIV/0!</v>
      </c>
      <c r="AC49" t="s">
        <v>116</v>
      </c>
      <c r="AD49" t="e">
        <f ca="1">AVERAGEIFS(INDIRECT($H$3),INDIRECT($H$3),"&gt;=0",Data!$B:$B,$AC49)</f>
        <v>#DIV/0!</v>
      </c>
      <c r="AE49" t="e">
        <f t="shared" ca="1" si="6"/>
        <v>#DIV/0!</v>
      </c>
      <c r="AF49" t="s">
        <v>192</v>
      </c>
      <c r="AG49" t="e">
        <f ca="1">AVERAGEIFS(INDIRECT($I$3),INDIRECT($I$3),"&gt;=0",Data!$B:$B,$AF49)</f>
        <v>#DIV/0!</v>
      </c>
      <c r="AH49" t="e">
        <f t="shared" ca="1" si="7"/>
        <v>#DIV/0!</v>
      </c>
      <c r="AI49" t="s">
        <v>161</v>
      </c>
      <c r="AJ49" t="e">
        <f ca="1">AVERAGEIFS(INDIRECT($J$3),INDIRECT($J$3),"&gt;=0",Data!$B:$B,$AI49)</f>
        <v>#DIV/0!</v>
      </c>
      <c r="AK49" t="e">
        <f t="shared" ca="1" si="8"/>
        <v>#DIV/0!</v>
      </c>
      <c r="AL49" t="str">
        <f t="shared" ca="1" si="9"/>
        <v>-</v>
      </c>
      <c r="AM49" t="str">
        <f t="shared" ca="1" si="10"/>
        <v>-</v>
      </c>
      <c r="AN49" t="str">
        <f t="shared" ca="1" si="11"/>
        <v>-</v>
      </c>
      <c r="AO49" t="str">
        <f t="shared" ca="1" si="12"/>
        <v>-</v>
      </c>
      <c r="AP49" t="str">
        <f t="shared" ca="1" si="13"/>
        <v>-</v>
      </c>
      <c r="AQ49" t="str">
        <f t="shared" ca="1" si="14"/>
        <v>-</v>
      </c>
      <c r="AR49" t="str">
        <f t="shared" ca="1" si="15"/>
        <v>-</v>
      </c>
      <c r="AS49" t="str">
        <f t="shared" ca="1" si="16"/>
        <v>-</v>
      </c>
      <c r="AT49" t="str">
        <f t="shared" ca="1" si="17"/>
        <v>-</v>
      </c>
      <c r="AU49">
        <f t="shared" si="29"/>
        <v>41</v>
      </c>
      <c r="AV49" t="s">
        <v>142</v>
      </c>
      <c r="AW49" s="20" t="e">
        <f ca="1">AVERAGEIFS(INDIRECT($B$3),INDIRECT($B$3),"&gt;=0",Data!$B:$B,AV49,IF($A$20,Data!$J:$J,Data!#REF!),IF($A$20,"&lt;&gt;5",1))</f>
        <v>#DIV/0!</v>
      </c>
      <c r="AX49" t="e">
        <f t="shared" ca="1" si="18"/>
        <v>#DIV/0!</v>
      </c>
      <c r="AY49" s="20" t="s">
        <v>108</v>
      </c>
      <c r="AZ49" t="e">
        <f ca="1">AVERAGEIFS(INDIRECT($C$3),INDIRECT($C$3),"&gt;=0",Data!$B:$B,AY49,IF($A$20,Data!$J:$J,Data!#REF!),IF($A$20,"&lt;&gt;5",1))</f>
        <v>#DIV/0!</v>
      </c>
      <c r="BA49" s="20" t="e">
        <f t="shared" ca="1" si="19"/>
        <v>#DIV/0!</v>
      </c>
      <c r="BB49" t="s">
        <v>18</v>
      </c>
      <c r="BC49" s="20" t="e">
        <f ca="1">AVERAGEIFS(INDIRECT($D$3),INDIRECT($D$3),"&gt;=0",Data!$B:$B,BB49,IF($A$20,Data!$J:$J,Data!#REF!),IF($A$20,"&lt;&gt;5",1))</f>
        <v>#DIV/0!</v>
      </c>
      <c r="BD49" t="e">
        <f t="shared" ca="1" si="20"/>
        <v>#DIV/0!</v>
      </c>
      <c r="BE49" s="20" t="s">
        <v>80</v>
      </c>
      <c r="BF49" t="e">
        <f ca="1">AVERAGEIFS(INDIRECT($E$3),INDIRECT($E$3),"&gt;=0",Data!$B:$B,BE49,IF($A$20,Data!$J:$J,Data!#REF!),IF($A$20,"&lt;&gt;5",1))</f>
        <v>#DIV/0!</v>
      </c>
      <c r="BG49" s="20" t="e">
        <f t="shared" ca="1" si="21"/>
        <v>#DIV/0!</v>
      </c>
      <c r="BH49" t="s">
        <v>141</v>
      </c>
      <c r="BI49" s="20" t="e">
        <f ca="1">AVERAGEIFS(INDIRECT($F$3),INDIRECT($F$3),"&gt;=0",Data!$B:$B,BH49,IF($A$20,Data!$J:$J,Data!#REF!),IF($A$20,"&lt;&gt;5",1))</f>
        <v>#DIV/0!</v>
      </c>
      <c r="BJ49" t="e">
        <f t="shared" ca="1" si="22"/>
        <v>#DIV/0!</v>
      </c>
      <c r="BK49" s="20" t="s">
        <v>170</v>
      </c>
      <c r="BL49" t="e">
        <f ca="1">AVERAGEIFS(INDIRECT($G$3),INDIRECT($G$3),"&gt;=0",Data!$B:$B,BK49,IF($A$20,Data!$J:$J,Data!#REF!),IF($A$20,"&lt;&gt;5",1))</f>
        <v>#DIV/0!</v>
      </c>
      <c r="BM49" s="20" t="e">
        <f t="shared" ca="1" si="23"/>
        <v>#DIV/0!</v>
      </c>
      <c r="BN49" t="s">
        <v>135</v>
      </c>
      <c r="BO49" t="e">
        <f ca="1">AVERAGEIFS(INDIRECT($H$3),INDIRECT($H$3),"&gt;=0",Data!$B:$B,BN49,IF($A$20,Data!$J:$J,Data!#REF!),IF($A$20,"&lt;&gt;5",1))</f>
        <v>#DIV/0!</v>
      </c>
      <c r="BP49" t="e">
        <f t="shared" ca="1" si="24"/>
        <v>#DIV/0!</v>
      </c>
      <c r="BQ49" t="s">
        <v>79</v>
      </c>
      <c r="BR49" t="e">
        <f ca="1">AVERAGEIFS(INDIRECT($I$3),INDIRECT($I$3),"&gt;=0",Data!$B:$B,BQ49,IF($A$20,Data!$J:$J,Data!#REF!),IF($A$20,"&lt;&gt;5",1))</f>
        <v>#DIV/0!</v>
      </c>
      <c r="BS49" t="e">
        <f t="shared" ca="1" si="25"/>
        <v>#DIV/0!</v>
      </c>
      <c r="BT49" t="s">
        <v>194</v>
      </c>
      <c r="BU49" t="e">
        <f ca="1">AVERAGEIFS(INDIRECT($J$3),INDIRECT($J$3),"&gt;=0",Data!$B:$B,BT49,IF($A$20,Data!$J:$J,Data!#REF!),IF($A$20,"&lt;&gt;5",1))</f>
        <v>#DIV/0!</v>
      </c>
      <c r="BV49" t="e">
        <f t="shared" ca="1" si="26"/>
        <v>#DIV/0!</v>
      </c>
    </row>
    <row r="50" spans="10:74" x14ac:dyDescent="0.35">
      <c r="J50">
        <f t="shared" si="27"/>
        <v>42</v>
      </c>
      <c r="K50" t="s">
        <v>142</v>
      </c>
      <c r="L50" t="e">
        <f ca="1">AVERAGEIFS(INDIRECT($B$3),INDIRECT($B$3),"&gt;=0",Data!$B:$B,$K50)</f>
        <v>#DIV/0!</v>
      </c>
      <c r="M50" t="e">
        <f t="shared" ca="1" si="28"/>
        <v>#DIV/0!</v>
      </c>
      <c r="N50" t="s">
        <v>47</v>
      </c>
      <c r="O50" t="e">
        <f ca="1">AVERAGEIFS(INDIRECT($C$3),INDIRECT($C$3),"&gt;=0",Data!$B:$B,$N50)</f>
        <v>#DIV/0!</v>
      </c>
      <c r="P50" t="e">
        <f t="shared" ca="1" si="1"/>
        <v>#DIV/0!</v>
      </c>
      <c r="Q50" t="s">
        <v>114</v>
      </c>
      <c r="R50" t="e">
        <f ca="1">AVERAGEIFS(INDIRECT($D$3),INDIRECT($D$3),"&gt;=0",Data!$B:$B,$Q50)</f>
        <v>#DIV/0!</v>
      </c>
      <c r="S50" t="e">
        <f t="shared" ca="1" si="2"/>
        <v>#DIV/0!</v>
      </c>
      <c r="T50" t="s">
        <v>143</v>
      </c>
      <c r="U50" t="e">
        <f ca="1">AVERAGEIFS(INDIRECT($E$3),INDIRECT($E$3),"&gt;=0",Data!$B:$B,$T50)</f>
        <v>#DIV/0!</v>
      </c>
      <c r="V50" t="e">
        <f t="shared" ca="1" si="3"/>
        <v>#DIV/0!</v>
      </c>
      <c r="W50" t="s">
        <v>81</v>
      </c>
      <c r="X50" t="e">
        <f ca="1">AVERAGEIFS(INDIRECT($F$3),INDIRECT($F$3),"&gt;=0",Data!$B:$B,$W50)</f>
        <v>#DIV/0!</v>
      </c>
      <c r="Y50" t="e">
        <f t="shared" ca="1" si="4"/>
        <v>#DIV/0!</v>
      </c>
      <c r="Z50" t="s">
        <v>157</v>
      </c>
      <c r="AA50" t="e">
        <f ca="1">AVERAGEIFS(INDIRECT($G$3),INDIRECT($G$3),"&gt;=0",Data!$B:$B,$Z50)</f>
        <v>#DIV/0!</v>
      </c>
      <c r="AB50" t="e">
        <f t="shared" ca="1" si="5"/>
        <v>#DIV/0!</v>
      </c>
      <c r="AC50" t="s">
        <v>118</v>
      </c>
      <c r="AD50" t="e">
        <f ca="1">AVERAGEIFS(INDIRECT($H$3),INDIRECT($H$3),"&gt;=0",Data!$B:$B,$AC50)</f>
        <v>#DIV/0!</v>
      </c>
      <c r="AE50" t="e">
        <f t="shared" ca="1" si="6"/>
        <v>#DIV/0!</v>
      </c>
      <c r="AF50" t="s">
        <v>133</v>
      </c>
      <c r="AG50">
        <f ca="1">AVERAGEIFS(INDIRECT($I$3),INDIRECT($I$3),"&gt;=0",Data!$B:$B,$AF50)</f>
        <v>0.38095238095238093</v>
      </c>
      <c r="AH50" t="e">
        <f t="shared" ca="1" si="7"/>
        <v>#DIV/0!</v>
      </c>
      <c r="AI50" t="s">
        <v>194</v>
      </c>
      <c r="AJ50" t="e">
        <f ca="1">AVERAGEIFS(INDIRECT($J$3),INDIRECT($J$3),"&gt;=0",Data!$B:$B,$AI50)</f>
        <v>#DIV/0!</v>
      </c>
      <c r="AK50" t="e">
        <f t="shared" ca="1" si="8"/>
        <v>#DIV/0!</v>
      </c>
      <c r="AL50" t="str">
        <f t="shared" ca="1" si="9"/>
        <v>-</v>
      </c>
      <c r="AM50" t="str">
        <f t="shared" ca="1" si="10"/>
        <v>-</v>
      </c>
      <c r="AN50" t="str">
        <f t="shared" ca="1" si="11"/>
        <v>-</v>
      </c>
      <c r="AO50" t="str">
        <f t="shared" ca="1" si="12"/>
        <v>-</v>
      </c>
      <c r="AP50" t="str">
        <f t="shared" ca="1" si="13"/>
        <v>-</v>
      </c>
      <c r="AQ50" t="str">
        <f t="shared" ca="1" si="14"/>
        <v>-</v>
      </c>
      <c r="AR50" t="str">
        <f t="shared" ca="1" si="15"/>
        <v>-</v>
      </c>
      <c r="AS50" t="str">
        <f t="shared" ca="1" si="16"/>
        <v>-</v>
      </c>
      <c r="AT50" t="str">
        <f t="shared" ca="1" si="17"/>
        <v>-</v>
      </c>
      <c r="AU50">
        <f t="shared" si="29"/>
        <v>42</v>
      </c>
      <c r="AV50" t="s">
        <v>173</v>
      </c>
      <c r="AW50" s="20" t="e">
        <f ca="1">AVERAGEIFS(INDIRECT($B$3),INDIRECT($B$3),"&gt;=0",Data!$B:$B,AV50,IF($A$20,Data!$J:$J,Data!#REF!),IF($A$20,"&lt;&gt;5",1))</f>
        <v>#DIV/0!</v>
      </c>
      <c r="AX50" t="e">
        <f t="shared" ca="1" si="18"/>
        <v>#DIV/0!</v>
      </c>
      <c r="AY50" s="20" t="s">
        <v>47</v>
      </c>
      <c r="AZ50" t="e">
        <f ca="1">AVERAGEIFS(INDIRECT($C$3),INDIRECT($C$3),"&gt;=0",Data!$B:$B,AY50,IF($A$20,Data!$J:$J,Data!#REF!),IF($A$20,"&lt;&gt;5",1))</f>
        <v>#DIV/0!</v>
      </c>
      <c r="BA50" s="20" t="e">
        <f t="shared" ca="1" si="19"/>
        <v>#DIV/0!</v>
      </c>
      <c r="BB50" t="s">
        <v>30</v>
      </c>
      <c r="BC50" s="20" t="e">
        <f ca="1">AVERAGEIFS(INDIRECT($D$3),INDIRECT($D$3),"&gt;=0",Data!$B:$B,BB50,IF($A$20,Data!$J:$J,Data!#REF!),IF($A$20,"&lt;&gt;5",1))</f>
        <v>#DIV/0!</v>
      </c>
      <c r="BD50" t="e">
        <f t="shared" ca="1" si="20"/>
        <v>#DIV/0!</v>
      </c>
      <c r="BE50" s="20" t="s">
        <v>86</v>
      </c>
      <c r="BF50" t="e">
        <f ca="1">AVERAGEIFS(INDIRECT($E$3),INDIRECT($E$3),"&gt;=0",Data!$B:$B,BE50,IF($A$20,Data!$J:$J,Data!#REF!),IF($A$20,"&lt;&gt;5",1))</f>
        <v>#DIV/0!</v>
      </c>
      <c r="BG50" s="20" t="e">
        <f t="shared" ca="1" si="21"/>
        <v>#DIV/0!</v>
      </c>
      <c r="BH50" t="s">
        <v>192</v>
      </c>
      <c r="BI50" s="20" t="e">
        <f ca="1">AVERAGEIFS(INDIRECT($F$3),INDIRECT($F$3),"&gt;=0",Data!$B:$B,BH50,IF($A$20,Data!$J:$J,Data!#REF!),IF($A$20,"&lt;&gt;5",1))</f>
        <v>#DIV/0!</v>
      </c>
      <c r="BJ50" t="e">
        <f t="shared" ca="1" si="22"/>
        <v>#DIV/0!</v>
      </c>
      <c r="BK50" s="20" t="s">
        <v>176</v>
      </c>
      <c r="BL50" t="e">
        <f ca="1">AVERAGEIFS(INDIRECT($G$3),INDIRECT($G$3),"&gt;=0",Data!$B:$B,BK50,IF($A$20,Data!$J:$J,Data!#REF!),IF($A$20,"&lt;&gt;5",1))</f>
        <v>#DIV/0!</v>
      </c>
      <c r="BM50" s="20" t="e">
        <f t="shared" ca="1" si="23"/>
        <v>#DIV/0!</v>
      </c>
      <c r="BN50" t="s">
        <v>136</v>
      </c>
      <c r="BO50" t="e">
        <f ca="1">AVERAGEIFS(INDIRECT($H$3),INDIRECT($H$3),"&gt;=0",Data!$B:$B,BN50,IF($A$20,Data!$J:$J,Data!#REF!),IF($A$20,"&lt;&gt;5",1))</f>
        <v>#DIV/0!</v>
      </c>
      <c r="BP50" t="e">
        <f t="shared" ca="1" si="24"/>
        <v>#DIV/0!</v>
      </c>
      <c r="BQ50" t="s">
        <v>82</v>
      </c>
      <c r="BR50">
        <f ca="1">AVERAGEIFS(INDIRECT($I$3),INDIRECT($I$3),"&gt;=0",Data!$B:$B,BQ50,IF($A$20,Data!$J:$J,Data!#REF!),IF($A$20,"&lt;&gt;5",1))</f>
        <v>0.625</v>
      </c>
      <c r="BS50" t="e">
        <f t="shared" ca="1" si="25"/>
        <v>#DIV/0!</v>
      </c>
      <c r="BT50" t="s">
        <v>189</v>
      </c>
      <c r="BU50" t="e">
        <f ca="1">AVERAGEIFS(INDIRECT($J$3),INDIRECT($J$3),"&gt;=0",Data!$B:$B,BT50,IF($A$20,Data!$J:$J,Data!#REF!),IF($A$20,"&lt;&gt;5",1))</f>
        <v>#DIV/0!</v>
      </c>
      <c r="BV50" t="e">
        <f t="shared" ca="1" si="26"/>
        <v>#DIV/0!</v>
      </c>
    </row>
    <row r="51" spans="10:74" x14ac:dyDescent="0.35">
      <c r="J51">
        <f t="shared" si="27"/>
        <v>43</v>
      </c>
      <c r="K51" t="s">
        <v>137</v>
      </c>
      <c r="L51" t="e">
        <f ca="1">AVERAGEIFS(INDIRECT($B$3),INDIRECT($B$3),"&gt;=0",Data!$B:$B,$K51)</f>
        <v>#DIV/0!</v>
      </c>
      <c r="M51" t="e">
        <f t="shared" ca="1" si="28"/>
        <v>#DIV/0!</v>
      </c>
      <c r="N51" t="s">
        <v>90</v>
      </c>
      <c r="O51" t="e">
        <f ca="1">AVERAGEIFS(INDIRECT($C$3),INDIRECT($C$3),"&gt;=0",Data!$B:$B,$N51)</f>
        <v>#DIV/0!</v>
      </c>
      <c r="P51" t="e">
        <f t="shared" ca="1" si="1"/>
        <v>#DIV/0!</v>
      </c>
      <c r="Q51" t="s">
        <v>129</v>
      </c>
      <c r="R51" t="e">
        <f ca="1">AVERAGEIFS(INDIRECT($D$3),INDIRECT($D$3),"&gt;=0",Data!$B:$B,$Q51)</f>
        <v>#DIV/0!</v>
      </c>
      <c r="S51" t="e">
        <f t="shared" ca="1" si="2"/>
        <v>#DIV/0!</v>
      </c>
      <c r="T51" t="s">
        <v>152</v>
      </c>
      <c r="U51" t="e">
        <f ca="1">AVERAGEIFS(INDIRECT($E$3),INDIRECT($E$3),"&gt;=0",Data!$B:$B,$T51)</f>
        <v>#DIV/0!</v>
      </c>
      <c r="V51" t="e">
        <f t="shared" ca="1" si="3"/>
        <v>#DIV/0!</v>
      </c>
      <c r="W51" t="s">
        <v>163</v>
      </c>
      <c r="X51" t="e">
        <f ca="1">AVERAGEIFS(INDIRECT($F$3),INDIRECT($F$3),"&gt;=0",Data!$B:$B,$W51)</f>
        <v>#DIV/0!</v>
      </c>
      <c r="Y51" t="e">
        <f t="shared" ca="1" si="4"/>
        <v>#DIV/0!</v>
      </c>
      <c r="Z51" t="s">
        <v>159</v>
      </c>
      <c r="AA51" t="e">
        <f ca="1">AVERAGEIFS(INDIRECT($G$3),INDIRECT($G$3),"&gt;=0",Data!$B:$B,$Z51)</f>
        <v>#DIV/0!</v>
      </c>
      <c r="AB51" t="e">
        <f t="shared" ca="1" si="5"/>
        <v>#DIV/0!</v>
      </c>
      <c r="AC51" t="s">
        <v>125</v>
      </c>
      <c r="AD51" t="e">
        <f ca="1">AVERAGEIFS(INDIRECT($H$3),INDIRECT($H$3),"&gt;=0",Data!$B:$B,$AC51)</f>
        <v>#DIV/0!</v>
      </c>
      <c r="AE51" t="e">
        <f t="shared" ca="1" si="6"/>
        <v>#DIV/0!</v>
      </c>
      <c r="AF51" t="s">
        <v>82</v>
      </c>
      <c r="AG51">
        <f ca="1">AVERAGEIFS(INDIRECT($I$3),INDIRECT($I$3),"&gt;=0",Data!$B:$B,$AF51)</f>
        <v>0.58823529411764708</v>
      </c>
      <c r="AH51">
        <f t="shared" ca="1" si="7"/>
        <v>43</v>
      </c>
      <c r="AI51" t="s">
        <v>189</v>
      </c>
      <c r="AJ51" t="e">
        <f ca="1">AVERAGEIFS(INDIRECT($J$3),INDIRECT($J$3),"&gt;=0",Data!$B:$B,$AI51)</f>
        <v>#DIV/0!</v>
      </c>
      <c r="AK51" t="e">
        <f t="shared" ca="1" si="8"/>
        <v>#DIV/0!</v>
      </c>
      <c r="AL51" t="str">
        <f t="shared" ca="1" si="9"/>
        <v>-</v>
      </c>
      <c r="AM51" t="str">
        <f t="shared" ca="1" si="10"/>
        <v>-</v>
      </c>
      <c r="AN51" t="str">
        <f t="shared" ca="1" si="11"/>
        <v>-</v>
      </c>
      <c r="AO51" t="str">
        <f t="shared" ca="1" si="12"/>
        <v>-</v>
      </c>
      <c r="AP51" t="str">
        <f t="shared" ca="1" si="13"/>
        <v>-</v>
      </c>
      <c r="AQ51" t="str">
        <f t="shared" ca="1" si="14"/>
        <v>-</v>
      </c>
      <c r="AR51" t="str">
        <f t="shared" ca="1" si="15"/>
        <v>-</v>
      </c>
      <c r="AS51" t="str">
        <f t="shared" ca="1" si="16"/>
        <v>-</v>
      </c>
      <c r="AT51" t="str">
        <f t="shared" ca="1" si="17"/>
        <v>-</v>
      </c>
      <c r="AU51">
        <f t="shared" si="29"/>
        <v>43</v>
      </c>
      <c r="AV51" t="s">
        <v>25</v>
      </c>
      <c r="AW51" s="20" t="e">
        <f ca="1">AVERAGEIFS(INDIRECT($B$3),INDIRECT($B$3),"&gt;=0",Data!$B:$B,AV51,IF($A$20,Data!$J:$J,Data!#REF!),IF($A$20,"&lt;&gt;5",1))</f>
        <v>#DIV/0!</v>
      </c>
      <c r="AX51" t="e">
        <f t="shared" ca="1" si="18"/>
        <v>#DIV/0!</v>
      </c>
      <c r="AY51" s="20" t="s">
        <v>90</v>
      </c>
      <c r="AZ51" t="e">
        <f ca="1">AVERAGEIFS(INDIRECT($C$3),INDIRECT($C$3),"&gt;=0",Data!$B:$B,AY51,IF($A$20,Data!$J:$J,Data!#REF!),IF($A$20,"&lt;&gt;5",1))</f>
        <v>#DIV/0!</v>
      </c>
      <c r="BA51" s="20" t="e">
        <f t="shared" ca="1" si="19"/>
        <v>#DIV/0!</v>
      </c>
      <c r="BB51" t="s">
        <v>74</v>
      </c>
      <c r="BC51" s="20" t="e">
        <f ca="1">AVERAGEIFS(INDIRECT($D$3),INDIRECT($D$3),"&gt;=0",Data!$B:$B,BB51,IF($A$20,Data!$J:$J,Data!#REF!),IF($A$20,"&lt;&gt;5",1))</f>
        <v>#DIV/0!</v>
      </c>
      <c r="BD51" t="e">
        <f t="shared" ca="1" si="20"/>
        <v>#DIV/0!</v>
      </c>
      <c r="BE51" s="20" t="s">
        <v>89</v>
      </c>
      <c r="BF51" t="e">
        <f ca="1">AVERAGEIFS(INDIRECT($E$3),INDIRECT($E$3),"&gt;=0",Data!$B:$B,BE51,IF($A$20,Data!$J:$J,Data!#REF!),IF($A$20,"&lt;&gt;5",1))</f>
        <v>#DIV/0!</v>
      </c>
      <c r="BG51" s="20" t="e">
        <f t="shared" ca="1" si="21"/>
        <v>#DIV/0!</v>
      </c>
      <c r="BH51" t="s">
        <v>157</v>
      </c>
      <c r="BI51" s="20" t="e">
        <f ca="1">AVERAGEIFS(INDIRECT($F$3),INDIRECT($F$3),"&gt;=0",Data!$B:$B,BH51,IF($A$20,Data!$J:$J,Data!#REF!),IF($A$20,"&lt;&gt;5",1))</f>
        <v>#DIV/0!</v>
      </c>
      <c r="BJ51" t="e">
        <f t="shared" ca="1" si="22"/>
        <v>#DIV/0!</v>
      </c>
      <c r="BK51" s="20" t="s">
        <v>182</v>
      </c>
      <c r="BL51" t="e">
        <f ca="1">AVERAGEIFS(INDIRECT($G$3),INDIRECT($G$3),"&gt;=0",Data!$B:$B,BK51,IF($A$20,Data!$J:$J,Data!#REF!),IF($A$20,"&lt;&gt;5",1))</f>
        <v>#DIV/0!</v>
      </c>
      <c r="BM51" s="20" t="e">
        <f t="shared" ca="1" si="23"/>
        <v>#DIV/0!</v>
      </c>
      <c r="BN51" t="s">
        <v>140</v>
      </c>
      <c r="BO51" t="e">
        <f ca="1">AVERAGEIFS(INDIRECT($H$3),INDIRECT($H$3),"&gt;=0",Data!$B:$B,BN51,IF($A$20,Data!$J:$J,Data!#REF!),IF($A$20,"&lt;&gt;5",1))</f>
        <v>#DIV/0!</v>
      </c>
      <c r="BP51" t="e">
        <f t="shared" ca="1" si="24"/>
        <v>#DIV/0!</v>
      </c>
      <c r="BQ51" t="s">
        <v>181</v>
      </c>
      <c r="BR51">
        <f ca="1">AVERAGEIFS(INDIRECT($I$3),INDIRECT($I$3),"&gt;=0",Data!$B:$B,BQ51,IF($A$20,Data!$J:$J,Data!#REF!),IF($A$20,"&lt;&gt;5",1))</f>
        <v>0.68181818181818177</v>
      </c>
      <c r="BS51">
        <f t="shared" ca="1" si="25"/>
        <v>43</v>
      </c>
      <c r="BT51" t="s">
        <v>103</v>
      </c>
      <c r="BU51" t="e">
        <f ca="1">AVERAGEIFS(INDIRECT($J$3),INDIRECT($J$3),"&gt;=0",Data!$B:$B,BT51,IF($A$20,Data!$J:$J,Data!#REF!),IF($A$20,"&lt;&gt;5",1))</f>
        <v>#DIV/0!</v>
      </c>
      <c r="BV51" t="e">
        <f t="shared" ca="1" si="26"/>
        <v>#DIV/0!</v>
      </c>
    </row>
    <row r="52" spans="10:74" x14ac:dyDescent="0.35">
      <c r="J52">
        <f t="shared" si="27"/>
        <v>44</v>
      </c>
      <c r="K52" t="s">
        <v>152</v>
      </c>
      <c r="L52" t="e">
        <f ca="1">AVERAGEIFS(INDIRECT($B$3),INDIRECT($B$3),"&gt;=0",Data!$B:$B,$K52)</f>
        <v>#DIV/0!</v>
      </c>
      <c r="M52" t="e">
        <f t="shared" ca="1" si="28"/>
        <v>#DIV/0!</v>
      </c>
      <c r="N52" t="s">
        <v>100</v>
      </c>
      <c r="O52" t="e">
        <f ca="1">AVERAGEIFS(INDIRECT($C$3),INDIRECT($C$3),"&gt;=0",Data!$B:$B,$N52)</f>
        <v>#DIV/0!</v>
      </c>
      <c r="P52" t="e">
        <f t="shared" ca="1" si="1"/>
        <v>#DIV/0!</v>
      </c>
      <c r="Q52" t="s">
        <v>30</v>
      </c>
      <c r="R52" t="e">
        <f ca="1">AVERAGEIFS(INDIRECT($D$3),INDIRECT($D$3),"&gt;=0",Data!$B:$B,$Q52)</f>
        <v>#DIV/0!</v>
      </c>
      <c r="S52" t="e">
        <f t="shared" ca="1" si="2"/>
        <v>#DIV/0!</v>
      </c>
      <c r="T52" t="s">
        <v>158</v>
      </c>
      <c r="U52" t="e">
        <f ca="1">AVERAGEIFS(INDIRECT($E$3),INDIRECT($E$3),"&gt;=0",Data!$B:$B,$T52)</f>
        <v>#DIV/0!</v>
      </c>
      <c r="V52" t="e">
        <f t="shared" ca="1" si="3"/>
        <v>#DIV/0!</v>
      </c>
      <c r="W52" t="s">
        <v>177</v>
      </c>
      <c r="X52" t="e">
        <f ca="1">AVERAGEIFS(INDIRECT($F$3),INDIRECT($F$3),"&gt;=0",Data!$B:$B,$W52)</f>
        <v>#DIV/0!</v>
      </c>
      <c r="Y52" t="e">
        <f t="shared" ca="1" si="4"/>
        <v>#DIV/0!</v>
      </c>
      <c r="Z52" t="s">
        <v>163</v>
      </c>
      <c r="AA52" t="e">
        <f ca="1">AVERAGEIFS(INDIRECT($G$3),INDIRECT($G$3),"&gt;=0",Data!$B:$B,$Z52)</f>
        <v>#DIV/0!</v>
      </c>
      <c r="AB52" t="e">
        <f t="shared" ca="1" si="5"/>
        <v>#DIV/0!</v>
      </c>
      <c r="AC52" t="s">
        <v>132</v>
      </c>
      <c r="AD52" t="e">
        <f ca="1">AVERAGEIFS(INDIRECT($H$3),INDIRECT($H$3),"&gt;=0",Data!$B:$B,$AC52)</f>
        <v>#DIV/0!</v>
      </c>
      <c r="AE52" t="e">
        <f t="shared" ca="1" si="6"/>
        <v>#DIV/0!</v>
      </c>
      <c r="AF52" t="s">
        <v>135</v>
      </c>
      <c r="AG52" t="e">
        <f ca="1">AVERAGEIFS(INDIRECT($I$3),INDIRECT($I$3),"&gt;=0",Data!$B:$B,$AF52)</f>
        <v>#DIV/0!</v>
      </c>
      <c r="AH52" t="e">
        <f t="shared" ca="1" si="7"/>
        <v>#DIV/0!</v>
      </c>
      <c r="AI52" t="s">
        <v>103</v>
      </c>
      <c r="AJ52" t="e">
        <f ca="1">AVERAGEIFS(INDIRECT($J$3),INDIRECT($J$3),"&gt;=0",Data!$B:$B,$AI52)</f>
        <v>#DIV/0!</v>
      </c>
      <c r="AK52" t="e">
        <f t="shared" ca="1" si="8"/>
        <v>#DIV/0!</v>
      </c>
      <c r="AL52" t="str">
        <f t="shared" ca="1" si="9"/>
        <v>-</v>
      </c>
      <c r="AM52" t="str">
        <f t="shared" ca="1" si="10"/>
        <v>-</v>
      </c>
      <c r="AN52" t="str">
        <f t="shared" ca="1" si="11"/>
        <v>-</v>
      </c>
      <c r="AO52" t="str">
        <f t="shared" ca="1" si="12"/>
        <v>-</v>
      </c>
      <c r="AP52" t="str">
        <f t="shared" ca="1" si="13"/>
        <v>-</v>
      </c>
      <c r="AQ52" t="str">
        <f t="shared" ca="1" si="14"/>
        <v>-</v>
      </c>
      <c r="AR52" t="str">
        <f t="shared" ca="1" si="15"/>
        <v>-</v>
      </c>
      <c r="AS52" t="str">
        <f t="shared" ca="1" si="16"/>
        <v>-</v>
      </c>
      <c r="AT52" t="str">
        <f t="shared" ca="1" si="17"/>
        <v>-</v>
      </c>
      <c r="AU52">
        <f t="shared" si="29"/>
        <v>44</v>
      </c>
      <c r="AV52" t="s">
        <v>11</v>
      </c>
      <c r="AW52" s="20" t="e">
        <f ca="1">AVERAGEIFS(INDIRECT($B$3),INDIRECT($B$3),"&gt;=0",Data!$B:$B,AV52,IF($A$20,Data!$J:$J,Data!#REF!),IF($A$20,"&lt;&gt;5",1))</f>
        <v>#DIV/0!</v>
      </c>
      <c r="AX52" t="e">
        <f t="shared" ca="1" si="18"/>
        <v>#DIV/0!</v>
      </c>
      <c r="AY52" s="20" t="s">
        <v>100</v>
      </c>
      <c r="AZ52" t="e">
        <f ca="1">AVERAGEIFS(INDIRECT($C$3),INDIRECT($C$3),"&gt;=0",Data!$B:$B,AY52,IF($A$20,Data!$J:$J,Data!#REF!),IF($A$20,"&lt;&gt;5",1))</f>
        <v>#DIV/0!</v>
      </c>
      <c r="BA52" s="20" t="e">
        <f t="shared" ca="1" si="19"/>
        <v>#DIV/0!</v>
      </c>
      <c r="BB52" t="s">
        <v>44</v>
      </c>
      <c r="BC52" s="20" t="e">
        <f ca="1">AVERAGEIFS(INDIRECT($D$3),INDIRECT($D$3),"&gt;=0",Data!$B:$B,BB52,IF($A$20,Data!$J:$J,Data!#REF!),IF($A$20,"&lt;&gt;5",1))</f>
        <v>#DIV/0!</v>
      </c>
      <c r="BD52" t="e">
        <f t="shared" ca="1" si="20"/>
        <v>#DIV/0!</v>
      </c>
      <c r="BE52" s="20" t="s">
        <v>100</v>
      </c>
      <c r="BF52" t="e">
        <f ca="1">AVERAGEIFS(INDIRECT($E$3),INDIRECT($E$3),"&gt;=0",Data!$B:$B,BE52,IF($A$20,Data!$J:$J,Data!#REF!),IF($A$20,"&lt;&gt;5",1))</f>
        <v>#DIV/0!</v>
      </c>
      <c r="BG52" s="20" t="e">
        <f t="shared" ca="1" si="21"/>
        <v>#DIV/0!</v>
      </c>
      <c r="BH52" t="s">
        <v>5</v>
      </c>
      <c r="BI52" s="20" t="e">
        <f ca="1">AVERAGEIFS(INDIRECT($F$3),INDIRECT($F$3),"&gt;=0",Data!$B:$B,BH52,IF($A$20,Data!$J:$J,Data!#REF!),IF($A$20,"&lt;&gt;5",1))</f>
        <v>#DIV/0!</v>
      </c>
      <c r="BJ52" t="e">
        <f t="shared" ca="1" si="22"/>
        <v>#DIV/0!</v>
      </c>
      <c r="BK52" s="20" t="s">
        <v>191</v>
      </c>
      <c r="BL52" t="e">
        <f ca="1">AVERAGEIFS(INDIRECT($G$3),INDIRECT($G$3),"&gt;=0",Data!$B:$B,BK52,IF($A$20,Data!$J:$J,Data!#REF!),IF($A$20,"&lt;&gt;5",1))</f>
        <v>#DIV/0!</v>
      </c>
      <c r="BM52" s="20" t="e">
        <f t="shared" ca="1" si="23"/>
        <v>#DIV/0!</v>
      </c>
      <c r="BN52" t="s">
        <v>143</v>
      </c>
      <c r="BO52" t="e">
        <f ca="1">AVERAGEIFS(INDIRECT($H$3),INDIRECT($H$3),"&gt;=0",Data!$B:$B,BN52,IF($A$20,Data!$J:$J,Data!#REF!),IF($A$20,"&lt;&gt;5",1))</f>
        <v>#DIV/0!</v>
      </c>
      <c r="BP52" t="e">
        <f t="shared" ca="1" si="24"/>
        <v>#DIV/0!</v>
      </c>
      <c r="BQ52" t="s">
        <v>108</v>
      </c>
      <c r="BR52">
        <f ca="1">AVERAGEIFS(INDIRECT($I$3),INDIRECT($I$3),"&gt;=0",Data!$B:$B,BQ52,IF($A$20,Data!$J:$J,Data!#REF!),IF($A$20,"&lt;&gt;5",1))</f>
        <v>0.7142857142857143</v>
      </c>
      <c r="BS52">
        <f t="shared" ca="1" si="25"/>
        <v>44</v>
      </c>
      <c r="BT52" t="s">
        <v>96</v>
      </c>
      <c r="BU52" t="e">
        <f ca="1">AVERAGEIFS(INDIRECT($J$3),INDIRECT($J$3),"&gt;=0",Data!$B:$B,BT52,IF($A$20,Data!$J:$J,Data!#REF!),IF($A$20,"&lt;&gt;5",1))</f>
        <v>#DIV/0!</v>
      </c>
      <c r="BV52" t="e">
        <f t="shared" ca="1" si="26"/>
        <v>#DIV/0!</v>
      </c>
    </row>
    <row r="53" spans="10:74" x14ac:dyDescent="0.35">
      <c r="J53">
        <f t="shared" si="27"/>
        <v>45</v>
      </c>
      <c r="K53" t="s">
        <v>173</v>
      </c>
      <c r="L53" t="e">
        <f ca="1">AVERAGEIFS(INDIRECT($B$3),INDIRECT($B$3),"&gt;=0",Data!$B:$B,$K53)</f>
        <v>#DIV/0!</v>
      </c>
      <c r="M53" t="e">
        <f t="shared" ca="1" si="28"/>
        <v>#DIV/0!</v>
      </c>
      <c r="N53" t="s">
        <v>170</v>
      </c>
      <c r="O53" t="e">
        <f ca="1">AVERAGEIFS(INDIRECT($C$3),INDIRECT($C$3),"&gt;=0",Data!$B:$B,$N53)</f>
        <v>#DIV/0!</v>
      </c>
      <c r="P53" t="e">
        <f t="shared" ca="1" si="1"/>
        <v>#DIV/0!</v>
      </c>
      <c r="Q53" t="s">
        <v>74</v>
      </c>
      <c r="R53" t="e">
        <f ca="1">AVERAGEIFS(INDIRECT($D$3),INDIRECT($D$3),"&gt;=0",Data!$B:$B,$Q53)</f>
        <v>#DIV/0!</v>
      </c>
      <c r="S53" t="e">
        <f t="shared" ca="1" si="2"/>
        <v>#DIV/0!</v>
      </c>
      <c r="T53" t="s">
        <v>161</v>
      </c>
      <c r="U53" t="e">
        <f ca="1">AVERAGEIFS(INDIRECT($E$3),INDIRECT($E$3),"&gt;=0",Data!$B:$B,$T53)</f>
        <v>#DIV/0!</v>
      </c>
      <c r="V53" t="e">
        <f t="shared" ca="1" si="3"/>
        <v>#DIV/0!</v>
      </c>
      <c r="W53" t="s">
        <v>11</v>
      </c>
      <c r="X53">
        <f ca="1">AVERAGEIFS(INDIRECT($F$3),INDIRECT($F$3),"&gt;=0",Data!$B:$B,$W53)</f>
        <v>1</v>
      </c>
      <c r="Y53" t="e">
        <f t="shared" ca="1" si="4"/>
        <v>#DIV/0!</v>
      </c>
      <c r="Z53" t="s">
        <v>165</v>
      </c>
      <c r="AA53" t="e">
        <f ca="1">AVERAGEIFS(INDIRECT($G$3),INDIRECT($G$3),"&gt;=0",Data!$B:$B,$Z53)</f>
        <v>#DIV/0!</v>
      </c>
      <c r="AB53" t="e">
        <f t="shared" ca="1" si="5"/>
        <v>#DIV/0!</v>
      </c>
      <c r="AC53" t="s">
        <v>135</v>
      </c>
      <c r="AD53" t="e">
        <f ca="1">AVERAGEIFS(INDIRECT($H$3),INDIRECT($H$3),"&gt;=0",Data!$B:$B,$AC53)</f>
        <v>#DIV/0!</v>
      </c>
      <c r="AE53" t="e">
        <f t="shared" ca="1" si="6"/>
        <v>#DIV/0!</v>
      </c>
      <c r="AF53" t="s">
        <v>153</v>
      </c>
      <c r="AG53" t="e">
        <f ca="1">AVERAGEIFS(INDIRECT($I$3),INDIRECT($I$3),"&gt;=0",Data!$B:$B,$AF53)</f>
        <v>#DIV/0!</v>
      </c>
      <c r="AH53" t="e">
        <f t="shared" ca="1" si="7"/>
        <v>#DIV/0!</v>
      </c>
      <c r="AI53" t="s">
        <v>96</v>
      </c>
      <c r="AJ53" t="e">
        <f ca="1">AVERAGEIFS(INDIRECT($J$3),INDIRECT($J$3),"&gt;=0",Data!$B:$B,$AI53)</f>
        <v>#DIV/0!</v>
      </c>
      <c r="AK53" t="e">
        <f t="shared" ca="1" si="8"/>
        <v>#DIV/0!</v>
      </c>
      <c r="AL53" t="str">
        <f t="shared" ca="1" si="9"/>
        <v>-</v>
      </c>
      <c r="AM53" t="str">
        <f t="shared" ca="1" si="10"/>
        <v>-</v>
      </c>
      <c r="AN53" t="str">
        <f t="shared" ca="1" si="11"/>
        <v>-</v>
      </c>
      <c r="AO53" t="str">
        <f t="shared" ca="1" si="12"/>
        <v>-</v>
      </c>
      <c r="AP53" t="str">
        <f t="shared" ca="1" si="13"/>
        <v>-</v>
      </c>
      <c r="AQ53" t="str">
        <f t="shared" ca="1" si="14"/>
        <v>-</v>
      </c>
      <c r="AR53" t="str">
        <f t="shared" ca="1" si="15"/>
        <v>-</v>
      </c>
      <c r="AS53" t="str">
        <f t="shared" ca="1" si="16"/>
        <v>-</v>
      </c>
      <c r="AT53" t="str">
        <f t="shared" ca="1" si="17"/>
        <v>-</v>
      </c>
      <c r="AU53">
        <f t="shared" si="29"/>
        <v>45</v>
      </c>
      <c r="AV53" t="s">
        <v>13</v>
      </c>
      <c r="AW53" s="20" t="e">
        <f ca="1">AVERAGEIFS(INDIRECT($B$3),INDIRECT($B$3),"&gt;=0",Data!$B:$B,AV53,IF($A$20,Data!$J:$J,Data!#REF!),IF($A$20,"&lt;&gt;5",1))</f>
        <v>#DIV/0!</v>
      </c>
      <c r="AX53" t="e">
        <f t="shared" ca="1" si="18"/>
        <v>#DIV/0!</v>
      </c>
      <c r="AY53" s="20" t="s">
        <v>170</v>
      </c>
      <c r="AZ53" t="e">
        <f ca="1">AVERAGEIFS(INDIRECT($C$3),INDIRECT($C$3),"&gt;=0",Data!$B:$B,AY53,IF($A$20,Data!$J:$J,Data!#REF!),IF($A$20,"&lt;&gt;5",1))</f>
        <v>#DIV/0!</v>
      </c>
      <c r="BA53" s="20" t="e">
        <f t="shared" ca="1" si="19"/>
        <v>#DIV/0!</v>
      </c>
      <c r="BB53" t="s">
        <v>53</v>
      </c>
      <c r="BC53" s="20" t="e">
        <f ca="1">AVERAGEIFS(INDIRECT($D$3),INDIRECT($D$3),"&gt;=0",Data!$B:$B,BB53,IF($A$20,Data!$J:$J,Data!#REF!),IF($A$20,"&lt;&gt;5",1))</f>
        <v>#DIV/0!</v>
      </c>
      <c r="BD53" t="e">
        <f t="shared" ca="1" si="20"/>
        <v>#DIV/0!</v>
      </c>
      <c r="BE53" s="20" t="s">
        <v>117</v>
      </c>
      <c r="BF53" t="e">
        <f ca="1">AVERAGEIFS(INDIRECT($E$3),INDIRECT($E$3),"&gt;=0",Data!$B:$B,BE53,IF($A$20,Data!$J:$J,Data!#REF!),IF($A$20,"&lt;&gt;5",1))</f>
        <v>#DIV/0!</v>
      </c>
      <c r="BG53" s="20" t="e">
        <f t="shared" ca="1" si="21"/>
        <v>#DIV/0!</v>
      </c>
      <c r="BH53" t="s">
        <v>71</v>
      </c>
      <c r="BI53" s="20" t="e">
        <f ca="1">AVERAGEIFS(INDIRECT($F$3),INDIRECT($F$3),"&gt;=0",Data!$B:$B,BH53,IF($A$20,Data!$J:$J,Data!#REF!),IF($A$20,"&lt;&gt;5",1))</f>
        <v>#DIV/0!</v>
      </c>
      <c r="BJ53" t="e">
        <f t="shared" ca="1" si="22"/>
        <v>#DIV/0!</v>
      </c>
      <c r="BK53" s="20" t="s">
        <v>193</v>
      </c>
      <c r="BL53" t="e">
        <f ca="1">AVERAGEIFS(INDIRECT($G$3),INDIRECT($G$3),"&gt;=0",Data!$B:$B,BK53,IF($A$20,Data!$J:$J,Data!#REF!),IF($A$20,"&lt;&gt;5",1))</f>
        <v>#DIV/0!</v>
      </c>
      <c r="BM53" s="20" t="e">
        <f t="shared" ca="1" si="23"/>
        <v>#DIV/0!</v>
      </c>
      <c r="BN53" t="s">
        <v>144</v>
      </c>
      <c r="BO53" t="e">
        <f ca="1">AVERAGEIFS(INDIRECT($H$3),INDIRECT($H$3),"&gt;=0",Data!$B:$B,BN53,IF($A$20,Data!$J:$J,Data!#REF!),IF($A$20,"&lt;&gt;5",1))</f>
        <v>#DIV/0!</v>
      </c>
      <c r="BP53" t="e">
        <f t="shared" ca="1" si="24"/>
        <v>#DIV/0!</v>
      </c>
      <c r="BQ53" t="s">
        <v>135</v>
      </c>
      <c r="BR53" t="e">
        <f ca="1">AVERAGEIFS(INDIRECT($I$3),INDIRECT($I$3),"&gt;=0",Data!$B:$B,BQ53,IF($A$20,Data!$J:$J,Data!#REF!),IF($A$20,"&lt;&gt;5",1))</f>
        <v>#DIV/0!</v>
      </c>
      <c r="BS53" t="e">
        <f t="shared" ca="1" si="25"/>
        <v>#DIV/0!</v>
      </c>
      <c r="BT53" t="s">
        <v>153</v>
      </c>
      <c r="BU53" t="e">
        <f ca="1">AVERAGEIFS(INDIRECT($J$3),INDIRECT($J$3),"&gt;=0",Data!$B:$B,BT53,IF($A$20,Data!$J:$J,Data!#REF!),IF($A$20,"&lt;&gt;5",1))</f>
        <v>#DIV/0!</v>
      </c>
      <c r="BV53" t="e">
        <f t="shared" ca="1" si="26"/>
        <v>#DIV/0!</v>
      </c>
    </row>
    <row r="54" spans="10:74" x14ac:dyDescent="0.35">
      <c r="J54">
        <f t="shared" si="27"/>
        <v>46</v>
      </c>
      <c r="K54" t="s">
        <v>11</v>
      </c>
      <c r="L54" t="e">
        <f ca="1">AVERAGEIFS(INDIRECT($B$3),INDIRECT($B$3),"&gt;=0",Data!$B:$B,$K54)</f>
        <v>#DIV/0!</v>
      </c>
      <c r="M54" t="e">
        <f t="shared" ca="1" si="28"/>
        <v>#DIV/0!</v>
      </c>
      <c r="N54" t="s">
        <v>171</v>
      </c>
      <c r="O54" t="e">
        <f ca="1">AVERAGEIFS(INDIRECT($C$3),INDIRECT($C$3),"&gt;=0",Data!$B:$B,$N54)</f>
        <v>#DIV/0!</v>
      </c>
      <c r="P54" t="e">
        <f t="shared" ca="1" si="1"/>
        <v>#DIV/0!</v>
      </c>
      <c r="Q54" t="s">
        <v>96</v>
      </c>
      <c r="R54" t="e">
        <f ca="1">AVERAGEIFS(INDIRECT($D$3),INDIRECT($D$3),"&gt;=0",Data!$B:$B,$Q54)</f>
        <v>#DIV/0!</v>
      </c>
      <c r="S54" t="e">
        <f t="shared" ca="1" si="2"/>
        <v>#DIV/0!</v>
      </c>
      <c r="T54" t="s">
        <v>170</v>
      </c>
      <c r="U54" t="e">
        <f ca="1">AVERAGEIFS(INDIRECT($E$3),INDIRECT($E$3),"&gt;=0",Data!$B:$B,$T54)</f>
        <v>#DIV/0!</v>
      </c>
      <c r="V54" t="e">
        <f t="shared" ca="1" si="3"/>
        <v>#DIV/0!</v>
      </c>
      <c r="W54" t="s">
        <v>63</v>
      </c>
      <c r="X54" t="e">
        <f ca="1">AVERAGEIFS(INDIRECT($F$3),INDIRECT($F$3),"&gt;=0",Data!$B:$B,$W54)</f>
        <v>#DIV/0!</v>
      </c>
      <c r="Y54" t="e">
        <f t="shared" ca="1" si="4"/>
        <v>#DIV/0!</v>
      </c>
      <c r="Z54" t="s">
        <v>170</v>
      </c>
      <c r="AA54" t="e">
        <f ca="1">AVERAGEIFS(INDIRECT($G$3),INDIRECT($G$3),"&gt;=0",Data!$B:$B,$Z54)</f>
        <v>#DIV/0!</v>
      </c>
      <c r="AB54" t="e">
        <f t="shared" ca="1" si="5"/>
        <v>#DIV/0!</v>
      </c>
      <c r="AC54" t="s">
        <v>136</v>
      </c>
      <c r="AD54" t="e">
        <f ca="1">AVERAGEIFS(INDIRECT($H$3),INDIRECT($H$3),"&gt;=0",Data!$B:$B,$AC54)</f>
        <v>#DIV/0!</v>
      </c>
      <c r="AE54" t="e">
        <f t="shared" ca="1" si="6"/>
        <v>#DIV/0!</v>
      </c>
      <c r="AF54" t="s">
        <v>171</v>
      </c>
      <c r="AG54" t="e">
        <f ca="1">AVERAGEIFS(INDIRECT($I$3),INDIRECT($I$3),"&gt;=0",Data!$B:$B,$AF54)</f>
        <v>#DIV/0!</v>
      </c>
      <c r="AH54" t="e">
        <f t="shared" ca="1" si="7"/>
        <v>#DIV/0!</v>
      </c>
      <c r="AI54" t="s">
        <v>153</v>
      </c>
      <c r="AJ54" t="e">
        <f ca="1">AVERAGEIFS(INDIRECT($J$3),INDIRECT($J$3),"&gt;=0",Data!$B:$B,$AI54)</f>
        <v>#DIV/0!</v>
      </c>
      <c r="AK54" t="e">
        <f t="shared" ca="1" si="8"/>
        <v>#DIV/0!</v>
      </c>
      <c r="AL54" t="str">
        <f t="shared" ca="1" si="9"/>
        <v>-</v>
      </c>
      <c r="AM54" t="str">
        <f t="shared" ca="1" si="10"/>
        <v>-</v>
      </c>
      <c r="AN54" t="str">
        <f t="shared" ca="1" si="11"/>
        <v>-</v>
      </c>
      <c r="AO54" t="str">
        <f t="shared" ca="1" si="12"/>
        <v>-</v>
      </c>
      <c r="AP54" t="str">
        <f t="shared" ca="1" si="13"/>
        <v>-</v>
      </c>
      <c r="AQ54" t="str">
        <f t="shared" ca="1" si="14"/>
        <v>-</v>
      </c>
      <c r="AR54" t="str">
        <f t="shared" ca="1" si="15"/>
        <v>-</v>
      </c>
      <c r="AS54" t="str">
        <f t="shared" ca="1" si="16"/>
        <v>-</v>
      </c>
      <c r="AT54" t="str">
        <f t="shared" ca="1" si="17"/>
        <v>-</v>
      </c>
      <c r="AU54">
        <f t="shared" si="29"/>
        <v>46</v>
      </c>
      <c r="AV54" t="s">
        <v>81</v>
      </c>
      <c r="AW54" s="20" t="e">
        <f ca="1">AVERAGEIFS(INDIRECT($B$3),INDIRECT($B$3),"&gt;=0",Data!$B:$B,AV54,IF($A$20,Data!$J:$J,Data!#REF!),IF($A$20,"&lt;&gt;5",1))</f>
        <v>#DIV/0!</v>
      </c>
      <c r="AX54" t="e">
        <f t="shared" ca="1" si="18"/>
        <v>#DIV/0!</v>
      </c>
      <c r="AY54" s="20" t="s">
        <v>171</v>
      </c>
      <c r="AZ54" t="e">
        <f ca="1">AVERAGEIFS(INDIRECT($C$3),INDIRECT($C$3),"&gt;=0",Data!$B:$B,AY54,IF($A$20,Data!$J:$J,Data!#REF!),IF($A$20,"&lt;&gt;5",1))</f>
        <v>#DIV/0!</v>
      </c>
      <c r="BA54" s="20" t="e">
        <f t="shared" ca="1" si="19"/>
        <v>#DIV/0!</v>
      </c>
      <c r="BB54" t="s">
        <v>90</v>
      </c>
      <c r="BC54" s="20" t="e">
        <f ca="1">AVERAGEIFS(INDIRECT($D$3),INDIRECT($D$3),"&gt;=0",Data!$B:$B,BB54,IF($A$20,Data!$J:$J,Data!#REF!),IF($A$20,"&lt;&gt;5",1))</f>
        <v>#DIV/0!</v>
      </c>
      <c r="BD54" t="e">
        <f t="shared" ca="1" si="20"/>
        <v>#DIV/0!</v>
      </c>
      <c r="BE54" s="20" t="s">
        <v>170</v>
      </c>
      <c r="BF54" t="e">
        <f ca="1">AVERAGEIFS(INDIRECT($E$3),INDIRECT($E$3),"&gt;=0",Data!$B:$B,BE54,IF($A$20,Data!$J:$J,Data!#REF!),IF($A$20,"&lt;&gt;5",1))</f>
        <v>#DIV/0!</v>
      </c>
      <c r="BG54" s="20" t="e">
        <f t="shared" ca="1" si="21"/>
        <v>#DIV/0!</v>
      </c>
      <c r="BH54" t="s">
        <v>123</v>
      </c>
      <c r="BI54" s="20" t="e">
        <f ca="1">AVERAGEIFS(INDIRECT($F$3),INDIRECT($F$3),"&gt;=0",Data!$B:$B,BH54,IF($A$20,Data!$J:$J,Data!#REF!),IF($A$20,"&lt;&gt;5",1))</f>
        <v>#DIV/0!</v>
      </c>
      <c r="BJ54" t="e">
        <f t="shared" ca="1" si="22"/>
        <v>#DIV/0!</v>
      </c>
      <c r="BK54" s="20" t="s">
        <v>18</v>
      </c>
      <c r="BL54" t="e">
        <f ca="1">AVERAGEIFS(INDIRECT($G$3),INDIRECT($G$3),"&gt;=0",Data!$B:$B,BK54,IF($A$20,Data!$J:$J,Data!#REF!),IF($A$20,"&lt;&gt;5",1))</f>
        <v>#DIV/0!</v>
      </c>
      <c r="BM54" s="20" t="e">
        <f t="shared" ca="1" si="23"/>
        <v>#DIV/0!</v>
      </c>
      <c r="BN54" t="s">
        <v>148</v>
      </c>
      <c r="BO54" t="e">
        <f ca="1">AVERAGEIFS(INDIRECT($H$3),INDIRECT($H$3),"&gt;=0",Data!$B:$B,BN54,IF($A$20,Data!$J:$J,Data!#REF!),IF($A$20,"&lt;&gt;5",1))</f>
        <v>#DIV/0!</v>
      </c>
      <c r="BP54" t="e">
        <f t="shared" ca="1" si="24"/>
        <v>#DIV/0!</v>
      </c>
      <c r="BQ54" t="s">
        <v>153</v>
      </c>
      <c r="BR54" t="e">
        <f ca="1">AVERAGEIFS(INDIRECT($I$3),INDIRECT($I$3),"&gt;=0",Data!$B:$B,BQ54,IF($A$20,Data!$J:$J,Data!#REF!),IF($A$20,"&lt;&gt;5",1))</f>
        <v>#DIV/0!</v>
      </c>
      <c r="BS54" t="e">
        <f t="shared" ca="1" si="25"/>
        <v>#DIV/0!</v>
      </c>
      <c r="BT54" t="s">
        <v>152</v>
      </c>
      <c r="BU54" t="e">
        <f ca="1">AVERAGEIFS(INDIRECT($J$3),INDIRECT($J$3),"&gt;=0",Data!$B:$B,BT54,IF($A$20,Data!$J:$J,Data!#REF!),IF($A$20,"&lt;&gt;5",1))</f>
        <v>#DIV/0!</v>
      </c>
      <c r="BV54" t="e">
        <f t="shared" ca="1" si="26"/>
        <v>#DIV/0!</v>
      </c>
    </row>
    <row r="55" spans="10:74" x14ac:dyDescent="0.35">
      <c r="J55">
        <f t="shared" si="27"/>
        <v>47</v>
      </c>
      <c r="K55" t="s">
        <v>25</v>
      </c>
      <c r="L55" t="e">
        <f ca="1">AVERAGEIFS(INDIRECT($B$3),INDIRECT($B$3),"&gt;=0",Data!$B:$B,$K55)</f>
        <v>#DIV/0!</v>
      </c>
      <c r="M55" t="e">
        <f t="shared" ca="1" si="28"/>
        <v>#DIV/0!</v>
      </c>
      <c r="N55" t="s">
        <v>88</v>
      </c>
      <c r="O55" t="e">
        <f ca="1">AVERAGEIFS(INDIRECT($C$3),INDIRECT($C$3),"&gt;=0",Data!$B:$B,$N55)</f>
        <v>#DIV/0!</v>
      </c>
      <c r="P55" t="e">
        <f t="shared" ca="1" si="1"/>
        <v>#DIV/0!</v>
      </c>
      <c r="Q55" t="s">
        <v>142</v>
      </c>
      <c r="R55" t="e">
        <f ca="1">AVERAGEIFS(INDIRECT($D$3),INDIRECT($D$3),"&gt;=0",Data!$B:$B,$Q55)</f>
        <v>#DIV/0!</v>
      </c>
      <c r="S55" t="e">
        <f t="shared" ca="1" si="2"/>
        <v>#DIV/0!</v>
      </c>
      <c r="T55" t="s">
        <v>196</v>
      </c>
      <c r="U55" t="e">
        <f ca="1">AVERAGEIFS(INDIRECT($E$3),INDIRECT($E$3),"&gt;=0",Data!$B:$B,$T55)</f>
        <v>#DIV/0!</v>
      </c>
      <c r="V55" t="e">
        <f t="shared" ca="1" si="3"/>
        <v>#DIV/0!</v>
      </c>
      <c r="W55" t="s">
        <v>86</v>
      </c>
      <c r="X55">
        <f ca="1">AVERAGEIFS(INDIRECT($F$3),INDIRECT($F$3),"&gt;=0",Data!$B:$B,$W55)</f>
        <v>0</v>
      </c>
      <c r="Y55" t="e">
        <f t="shared" ca="1" si="4"/>
        <v>#DIV/0!</v>
      </c>
      <c r="Z55" t="s">
        <v>176</v>
      </c>
      <c r="AA55" t="e">
        <f ca="1">AVERAGEIFS(INDIRECT($G$3),INDIRECT($G$3),"&gt;=0",Data!$B:$B,$Z55)</f>
        <v>#DIV/0!</v>
      </c>
      <c r="AB55" t="e">
        <f t="shared" ca="1" si="5"/>
        <v>#DIV/0!</v>
      </c>
      <c r="AC55" t="s">
        <v>140</v>
      </c>
      <c r="AD55" t="e">
        <f ca="1">AVERAGEIFS(INDIRECT($H$3),INDIRECT($H$3),"&gt;=0",Data!$B:$B,$AC55)</f>
        <v>#DIV/0!</v>
      </c>
      <c r="AE55" t="e">
        <f t="shared" ca="1" si="6"/>
        <v>#DIV/0!</v>
      </c>
      <c r="AF55" t="s">
        <v>189</v>
      </c>
      <c r="AG55" t="e">
        <f ca="1">AVERAGEIFS(INDIRECT($I$3),INDIRECT($I$3),"&gt;=0",Data!$B:$B,$AF55)</f>
        <v>#DIV/0!</v>
      </c>
      <c r="AH55" t="e">
        <f t="shared" ca="1" si="7"/>
        <v>#DIV/0!</v>
      </c>
      <c r="AI55" t="s">
        <v>152</v>
      </c>
      <c r="AJ55" t="e">
        <f ca="1">AVERAGEIFS(INDIRECT($J$3),INDIRECT($J$3),"&gt;=0",Data!$B:$B,$AI55)</f>
        <v>#DIV/0!</v>
      </c>
      <c r="AK55" t="e">
        <f t="shared" ca="1" si="8"/>
        <v>#DIV/0!</v>
      </c>
      <c r="AL55" t="str">
        <f t="shared" ca="1" si="9"/>
        <v>-</v>
      </c>
      <c r="AM55" t="str">
        <f t="shared" ca="1" si="10"/>
        <v>-</v>
      </c>
      <c r="AN55" t="str">
        <f t="shared" ca="1" si="11"/>
        <v>-</v>
      </c>
      <c r="AO55" t="str">
        <f t="shared" ca="1" si="12"/>
        <v>-</v>
      </c>
      <c r="AP55" t="str">
        <f t="shared" ca="1" si="13"/>
        <v>-</v>
      </c>
      <c r="AQ55" t="str">
        <f t="shared" ca="1" si="14"/>
        <v>-</v>
      </c>
      <c r="AR55" t="str">
        <f t="shared" ca="1" si="15"/>
        <v>-</v>
      </c>
      <c r="AS55" t="str">
        <f t="shared" ca="1" si="16"/>
        <v>-</v>
      </c>
      <c r="AT55" t="str">
        <f t="shared" ca="1" si="17"/>
        <v>-</v>
      </c>
      <c r="AU55">
        <f t="shared" si="29"/>
        <v>47</v>
      </c>
      <c r="AV55" t="s">
        <v>129</v>
      </c>
      <c r="AW55" s="20" t="e">
        <f ca="1">AVERAGEIFS(INDIRECT($B$3),INDIRECT($B$3),"&gt;=0",Data!$B:$B,AV55,IF($A$20,Data!$J:$J,Data!#REF!),IF($A$20,"&lt;&gt;5",1))</f>
        <v>#DIV/0!</v>
      </c>
      <c r="AX55" t="e">
        <f t="shared" ca="1" si="18"/>
        <v>#DIV/0!</v>
      </c>
      <c r="AY55" s="20" t="s">
        <v>88</v>
      </c>
      <c r="AZ55" t="e">
        <f ca="1">AVERAGEIFS(INDIRECT($C$3),INDIRECT($C$3),"&gt;=0",Data!$B:$B,AY55,IF($A$20,Data!$J:$J,Data!#REF!),IF($A$20,"&lt;&gt;5",1))</f>
        <v>#DIV/0!</v>
      </c>
      <c r="BA55" s="20" t="e">
        <f t="shared" ca="1" si="19"/>
        <v>#DIV/0!</v>
      </c>
      <c r="BB55" t="s">
        <v>129</v>
      </c>
      <c r="BC55" s="20" t="e">
        <f ca="1">AVERAGEIFS(INDIRECT($D$3),INDIRECT($D$3),"&gt;=0",Data!$B:$B,BB55,IF($A$20,Data!$J:$J,Data!#REF!),IF($A$20,"&lt;&gt;5",1))</f>
        <v>#DIV/0!</v>
      </c>
      <c r="BD55" t="e">
        <f t="shared" ca="1" si="20"/>
        <v>#DIV/0!</v>
      </c>
      <c r="BE55" s="20" t="s">
        <v>22</v>
      </c>
      <c r="BF55" t="e">
        <f ca="1">AVERAGEIFS(INDIRECT($E$3),INDIRECT($E$3),"&gt;=0",Data!$B:$B,BE55,IF($A$20,Data!$J:$J,Data!#REF!),IF($A$20,"&lt;&gt;5",1))</f>
        <v>#DIV/0!</v>
      </c>
      <c r="BG55" s="20" t="e">
        <f t="shared" ca="1" si="21"/>
        <v>#DIV/0!</v>
      </c>
      <c r="BH55" t="s">
        <v>131</v>
      </c>
      <c r="BI55" s="20" t="e">
        <f ca="1">AVERAGEIFS(INDIRECT($F$3),INDIRECT($F$3),"&gt;=0",Data!$B:$B,BH55,IF($A$20,Data!$J:$J,Data!#REF!),IF($A$20,"&lt;&gt;5",1))</f>
        <v>#DIV/0!</v>
      </c>
      <c r="BJ55" t="e">
        <f t="shared" ca="1" si="22"/>
        <v>#DIV/0!</v>
      </c>
      <c r="BK55" s="20" t="s">
        <v>199</v>
      </c>
      <c r="BL55" t="e">
        <f ca="1">AVERAGEIFS(INDIRECT($G$3),INDIRECT($G$3),"&gt;=0",Data!$B:$B,BK55,IF($A$20,Data!$J:$J,Data!#REF!),IF($A$20,"&lt;&gt;5",1))</f>
        <v>#DIV/0!</v>
      </c>
      <c r="BM55" s="20" t="e">
        <f t="shared" ca="1" si="23"/>
        <v>#DIV/0!</v>
      </c>
      <c r="BN55" t="s">
        <v>155</v>
      </c>
      <c r="BO55" t="e">
        <f ca="1">AVERAGEIFS(INDIRECT($H$3),INDIRECT($H$3),"&gt;=0",Data!$B:$B,BN55,IF($A$20,Data!$J:$J,Data!#REF!),IF($A$20,"&lt;&gt;5",1))</f>
        <v>#DIV/0!</v>
      </c>
      <c r="BP55" t="e">
        <f t="shared" ca="1" si="24"/>
        <v>#DIV/0!</v>
      </c>
      <c r="BQ55" t="s">
        <v>189</v>
      </c>
      <c r="BR55" t="e">
        <f ca="1">AVERAGEIFS(INDIRECT($I$3),INDIRECT($I$3),"&gt;=0",Data!$B:$B,BQ55,IF($A$20,Data!$J:$J,Data!#REF!),IF($A$20,"&lt;&gt;5",1))</f>
        <v>#DIV/0!</v>
      </c>
      <c r="BS55" t="e">
        <f t="shared" ca="1" si="25"/>
        <v>#DIV/0!</v>
      </c>
      <c r="BT55" t="s">
        <v>151</v>
      </c>
      <c r="BU55" t="e">
        <f ca="1">AVERAGEIFS(INDIRECT($J$3),INDIRECT($J$3),"&gt;=0",Data!$B:$B,BT55,IF($A$20,Data!$J:$J,Data!#REF!),IF($A$20,"&lt;&gt;5",1))</f>
        <v>#DIV/0!</v>
      </c>
      <c r="BV55" t="e">
        <f t="shared" ca="1" si="26"/>
        <v>#DIV/0!</v>
      </c>
    </row>
    <row r="56" spans="10:74" x14ac:dyDescent="0.35">
      <c r="J56">
        <f t="shared" si="27"/>
        <v>48</v>
      </c>
      <c r="K56" t="s">
        <v>89</v>
      </c>
      <c r="L56" t="e">
        <f ca="1">AVERAGEIFS(INDIRECT($B$3),INDIRECT($B$3),"&gt;=0",Data!$B:$B,$K56)</f>
        <v>#DIV/0!</v>
      </c>
      <c r="M56" t="e">
        <f t="shared" ca="1" si="28"/>
        <v>#DIV/0!</v>
      </c>
      <c r="N56" t="s">
        <v>191</v>
      </c>
      <c r="O56" t="e">
        <f ca="1">AVERAGEIFS(INDIRECT($C$3),INDIRECT($C$3),"&gt;=0",Data!$B:$B,$N56)</f>
        <v>#DIV/0!</v>
      </c>
      <c r="P56" t="e">
        <f t="shared" ca="1" si="1"/>
        <v>#DIV/0!</v>
      </c>
      <c r="Q56" t="s">
        <v>163</v>
      </c>
      <c r="R56" t="e">
        <f ca="1">AVERAGEIFS(INDIRECT($D$3),INDIRECT($D$3),"&gt;=0",Data!$B:$B,$Q56)</f>
        <v>#DIV/0!</v>
      </c>
      <c r="S56" t="e">
        <f t="shared" ca="1" si="2"/>
        <v>#DIV/0!</v>
      </c>
      <c r="T56" t="s">
        <v>141</v>
      </c>
      <c r="U56" t="e">
        <f ca="1">AVERAGEIFS(INDIRECT($E$3),INDIRECT($E$3),"&gt;=0",Data!$B:$B,$T56)</f>
        <v>#DIV/0!</v>
      </c>
      <c r="V56" t="e">
        <f t="shared" ca="1" si="3"/>
        <v>#DIV/0!</v>
      </c>
      <c r="W56" t="s">
        <v>126</v>
      </c>
      <c r="X56" t="e">
        <f ca="1">AVERAGEIFS(INDIRECT($F$3),INDIRECT($F$3),"&gt;=0",Data!$B:$B,$W56)</f>
        <v>#DIV/0!</v>
      </c>
      <c r="Y56" t="e">
        <f t="shared" ca="1" si="4"/>
        <v>#DIV/0!</v>
      </c>
      <c r="Z56" t="s">
        <v>182</v>
      </c>
      <c r="AA56" t="e">
        <f ca="1">AVERAGEIFS(INDIRECT($G$3),INDIRECT($G$3),"&gt;=0",Data!$B:$B,$Z56)</f>
        <v>#DIV/0!</v>
      </c>
      <c r="AB56" t="e">
        <f t="shared" ca="1" si="5"/>
        <v>#DIV/0!</v>
      </c>
      <c r="AC56" t="s">
        <v>143</v>
      </c>
      <c r="AD56" t="e">
        <f ca="1">AVERAGEIFS(INDIRECT($H$3),INDIRECT($H$3),"&gt;=0",Data!$B:$B,$AC56)</f>
        <v>#DIV/0!</v>
      </c>
      <c r="AE56" t="e">
        <f t="shared" ca="1" si="6"/>
        <v>#DIV/0!</v>
      </c>
      <c r="AF56" t="s">
        <v>27</v>
      </c>
      <c r="AG56" t="e">
        <f ca="1">AVERAGEIFS(INDIRECT($I$3),INDIRECT($I$3),"&gt;=0",Data!$B:$B,$AF56)</f>
        <v>#DIV/0!</v>
      </c>
      <c r="AH56" t="e">
        <f t="shared" ca="1" si="7"/>
        <v>#DIV/0!</v>
      </c>
      <c r="AI56" t="s">
        <v>151</v>
      </c>
      <c r="AJ56" t="e">
        <f ca="1">AVERAGEIFS(INDIRECT($J$3),INDIRECT($J$3),"&gt;=0",Data!$B:$B,$AI56)</f>
        <v>#DIV/0!</v>
      </c>
      <c r="AK56" t="e">
        <f t="shared" ca="1" si="8"/>
        <v>#DIV/0!</v>
      </c>
      <c r="AL56" t="str">
        <f t="shared" ca="1" si="9"/>
        <v>-</v>
      </c>
      <c r="AM56" t="str">
        <f t="shared" ca="1" si="10"/>
        <v>-</v>
      </c>
      <c r="AN56" t="str">
        <f t="shared" ca="1" si="11"/>
        <v>-</v>
      </c>
      <c r="AO56" t="str">
        <f t="shared" ca="1" si="12"/>
        <v>-</v>
      </c>
      <c r="AP56" t="str">
        <f t="shared" ca="1" si="13"/>
        <v>-</v>
      </c>
      <c r="AQ56" t="str">
        <f t="shared" ca="1" si="14"/>
        <v>-</v>
      </c>
      <c r="AR56" t="str">
        <f t="shared" ca="1" si="15"/>
        <v>-</v>
      </c>
      <c r="AS56" t="str">
        <f t="shared" ca="1" si="16"/>
        <v>-</v>
      </c>
      <c r="AT56" t="str">
        <f t="shared" ca="1" si="17"/>
        <v>-</v>
      </c>
      <c r="AU56">
        <f t="shared" si="29"/>
        <v>48</v>
      </c>
      <c r="AV56" t="s">
        <v>168</v>
      </c>
      <c r="AW56" s="20" t="e">
        <f ca="1">AVERAGEIFS(INDIRECT($B$3),INDIRECT($B$3),"&gt;=0",Data!$B:$B,AV56,IF($A$20,Data!$J:$J,Data!#REF!),IF($A$20,"&lt;&gt;5",1))</f>
        <v>#DIV/0!</v>
      </c>
      <c r="AX56" t="e">
        <f t="shared" ca="1" si="18"/>
        <v>#DIV/0!</v>
      </c>
      <c r="AY56" s="20" t="s">
        <v>191</v>
      </c>
      <c r="AZ56" t="e">
        <f ca="1">AVERAGEIFS(INDIRECT($C$3),INDIRECT($C$3),"&gt;=0",Data!$B:$B,AY56,IF($A$20,Data!$J:$J,Data!#REF!),IF($A$20,"&lt;&gt;5",1))</f>
        <v>#DIV/0!</v>
      </c>
      <c r="BA56" s="20" t="e">
        <f t="shared" ca="1" si="19"/>
        <v>#DIV/0!</v>
      </c>
      <c r="BB56" t="s">
        <v>104</v>
      </c>
      <c r="BC56" s="20" t="e">
        <f ca="1">AVERAGEIFS(INDIRECT($D$3),INDIRECT($D$3),"&gt;=0",Data!$B:$B,BB56,IF($A$20,Data!$J:$J,Data!#REF!),IF($A$20,"&lt;&gt;5",1))</f>
        <v>#DIV/0!</v>
      </c>
      <c r="BD56" t="e">
        <f t="shared" ca="1" si="20"/>
        <v>#DIV/0!</v>
      </c>
      <c r="BE56" s="20" t="s">
        <v>167</v>
      </c>
      <c r="BF56" t="e">
        <f ca="1">AVERAGEIFS(INDIRECT($E$3),INDIRECT($E$3),"&gt;=0",Data!$B:$B,BE56,IF($A$20,Data!$J:$J,Data!#REF!),IF($A$20,"&lt;&gt;5",1))</f>
        <v>#DIV/0!</v>
      </c>
      <c r="BG56" s="20" t="e">
        <f t="shared" ca="1" si="21"/>
        <v>#DIV/0!</v>
      </c>
      <c r="BH56" t="s">
        <v>13</v>
      </c>
      <c r="BI56" s="20" t="e">
        <f ca="1">AVERAGEIFS(INDIRECT($F$3),INDIRECT($F$3),"&gt;=0",Data!$B:$B,BH56,IF($A$20,Data!$J:$J,Data!#REF!),IF($A$20,"&lt;&gt;5",1))</f>
        <v>#DIV/0!</v>
      </c>
      <c r="BJ56" t="e">
        <f t="shared" ca="1" si="22"/>
        <v>#DIV/0!</v>
      </c>
      <c r="BK56" s="20" t="s">
        <v>147</v>
      </c>
      <c r="BL56">
        <f ca="1">AVERAGEIFS(INDIRECT($G$3),INDIRECT($G$3),"&gt;=0",Data!$B:$B,BK56,IF($A$20,Data!$J:$J,Data!#REF!),IF($A$20,"&lt;&gt;5",1))</f>
        <v>0.625</v>
      </c>
      <c r="BM56" s="20" t="e">
        <f t="shared" ca="1" si="23"/>
        <v>#DIV/0!</v>
      </c>
      <c r="BN56" t="s">
        <v>162</v>
      </c>
      <c r="BO56" t="e">
        <f ca="1">AVERAGEIFS(INDIRECT($H$3),INDIRECT($H$3),"&gt;=0",Data!$B:$B,BN56,IF($A$20,Data!$J:$J,Data!#REF!),IF($A$20,"&lt;&gt;5",1))</f>
        <v>#DIV/0!</v>
      </c>
      <c r="BP56" t="e">
        <f t="shared" ca="1" si="24"/>
        <v>#DIV/0!</v>
      </c>
      <c r="BQ56" t="s">
        <v>146</v>
      </c>
      <c r="BR56" t="e">
        <f ca="1">AVERAGEIFS(INDIRECT($I$3),INDIRECT($I$3),"&gt;=0",Data!$B:$B,BQ56,IF($A$20,Data!$J:$J,Data!#REF!),IF($A$20,"&lt;&gt;5",1))</f>
        <v>#DIV/0!</v>
      </c>
      <c r="BS56" t="e">
        <f t="shared" ca="1" si="25"/>
        <v>#DIV/0!</v>
      </c>
      <c r="BT56" t="s">
        <v>150</v>
      </c>
      <c r="BU56" t="e">
        <f ca="1">AVERAGEIFS(INDIRECT($J$3),INDIRECT($J$3),"&gt;=0",Data!$B:$B,BT56,IF($A$20,Data!$J:$J,Data!#REF!),IF($A$20,"&lt;&gt;5",1))</f>
        <v>#DIV/0!</v>
      </c>
      <c r="BV56" t="e">
        <f t="shared" ca="1" si="26"/>
        <v>#DIV/0!</v>
      </c>
    </row>
    <row r="57" spans="10:74" x14ac:dyDescent="0.35">
      <c r="J57">
        <f t="shared" si="27"/>
        <v>49</v>
      </c>
      <c r="K57" t="s">
        <v>194</v>
      </c>
      <c r="L57" t="e">
        <f ca="1">AVERAGEIFS(INDIRECT($B$3),INDIRECT($B$3),"&gt;=0",Data!$B:$B,$K57)</f>
        <v>#DIV/0!</v>
      </c>
      <c r="M57" t="e">
        <f t="shared" ca="1" si="28"/>
        <v>#DIV/0!</v>
      </c>
      <c r="N57" t="s">
        <v>185</v>
      </c>
      <c r="O57" t="e">
        <f ca="1">AVERAGEIFS(INDIRECT($C$3),INDIRECT($C$3),"&gt;=0",Data!$B:$B,$N57)</f>
        <v>#DIV/0!</v>
      </c>
      <c r="P57" t="e">
        <f t="shared" ca="1" si="1"/>
        <v>#DIV/0!</v>
      </c>
      <c r="Q57" t="s">
        <v>197</v>
      </c>
      <c r="R57" t="e">
        <f ca="1">AVERAGEIFS(INDIRECT($D$3),INDIRECT($D$3),"&gt;=0",Data!$B:$B,$Q57)</f>
        <v>#DIV/0!</v>
      </c>
      <c r="S57" t="e">
        <f t="shared" ca="1" si="2"/>
        <v>#DIV/0!</v>
      </c>
      <c r="T57" t="s">
        <v>85</v>
      </c>
      <c r="U57" t="e">
        <f ca="1">AVERAGEIFS(INDIRECT($E$3),INDIRECT($E$3),"&gt;=0",Data!$B:$B,$T57)</f>
        <v>#DIV/0!</v>
      </c>
      <c r="V57" t="e">
        <f t="shared" ca="1" si="3"/>
        <v>#DIV/0!</v>
      </c>
      <c r="W57" t="s">
        <v>145</v>
      </c>
      <c r="X57">
        <f ca="1">AVERAGEIFS(INDIRECT($F$3),INDIRECT($F$3),"&gt;=0",Data!$B:$B,$W57)</f>
        <v>0</v>
      </c>
      <c r="Y57" t="e">
        <f t="shared" ca="1" si="4"/>
        <v>#DIV/0!</v>
      </c>
      <c r="Z57" t="s">
        <v>191</v>
      </c>
      <c r="AA57" t="e">
        <f ca="1">AVERAGEIFS(INDIRECT($G$3),INDIRECT($G$3),"&gt;=0",Data!$B:$B,$Z57)</f>
        <v>#DIV/0!</v>
      </c>
      <c r="AB57" t="e">
        <f t="shared" ca="1" si="5"/>
        <v>#DIV/0!</v>
      </c>
      <c r="AC57" t="s">
        <v>144</v>
      </c>
      <c r="AD57" t="e">
        <f ca="1">AVERAGEIFS(INDIRECT($H$3),INDIRECT($H$3),"&gt;=0",Data!$B:$B,$AC57)</f>
        <v>#DIV/0!</v>
      </c>
      <c r="AE57" t="e">
        <f t="shared" ca="1" si="6"/>
        <v>#DIV/0!</v>
      </c>
      <c r="AF57" t="s">
        <v>46</v>
      </c>
      <c r="AG57" t="e">
        <f ca="1">AVERAGEIFS(INDIRECT($I$3),INDIRECT($I$3),"&gt;=0",Data!$B:$B,$AF57)</f>
        <v>#DIV/0!</v>
      </c>
      <c r="AH57" t="e">
        <f t="shared" ca="1" si="7"/>
        <v>#DIV/0!</v>
      </c>
      <c r="AI57" t="s">
        <v>150</v>
      </c>
      <c r="AJ57" t="e">
        <f ca="1">AVERAGEIFS(INDIRECT($J$3),INDIRECT($J$3),"&gt;=0",Data!$B:$B,$AI57)</f>
        <v>#DIV/0!</v>
      </c>
      <c r="AK57" t="e">
        <f t="shared" ca="1" si="8"/>
        <v>#DIV/0!</v>
      </c>
      <c r="AL57" t="str">
        <f t="shared" ca="1" si="9"/>
        <v>-</v>
      </c>
      <c r="AM57" t="str">
        <f t="shared" ca="1" si="10"/>
        <v>-</v>
      </c>
      <c r="AN57" t="str">
        <f t="shared" ca="1" si="11"/>
        <v>-</v>
      </c>
      <c r="AO57" t="str">
        <f t="shared" ca="1" si="12"/>
        <v>-</v>
      </c>
      <c r="AP57" t="str">
        <f t="shared" ca="1" si="13"/>
        <v>-</v>
      </c>
      <c r="AQ57" t="str">
        <f t="shared" ca="1" si="14"/>
        <v>-</v>
      </c>
      <c r="AR57" t="str">
        <f t="shared" ca="1" si="15"/>
        <v>-</v>
      </c>
      <c r="AS57" t="str">
        <f t="shared" ca="1" si="16"/>
        <v>-</v>
      </c>
      <c r="AT57" t="str">
        <f t="shared" ca="1" si="17"/>
        <v>-</v>
      </c>
      <c r="AU57">
        <f t="shared" si="29"/>
        <v>49</v>
      </c>
      <c r="AV57" t="s">
        <v>33</v>
      </c>
      <c r="AW57" s="20" t="e">
        <f ca="1">AVERAGEIFS(INDIRECT($B$3),INDIRECT($B$3),"&gt;=0",Data!$B:$B,AV57,IF($A$20,Data!$J:$J,Data!#REF!),IF($A$20,"&lt;&gt;5",1))</f>
        <v>#DIV/0!</v>
      </c>
      <c r="AX57" t="e">
        <f t="shared" ca="1" si="18"/>
        <v>#DIV/0!</v>
      </c>
      <c r="AY57" s="20" t="s">
        <v>185</v>
      </c>
      <c r="AZ57" t="e">
        <f ca="1">AVERAGEIFS(INDIRECT($C$3),INDIRECT($C$3),"&gt;=0",Data!$B:$B,AY57,IF($A$20,Data!$J:$J,Data!#REF!),IF($A$20,"&lt;&gt;5",1))</f>
        <v>#DIV/0!</v>
      </c>
      <c r="BA57" s="20" t="e">
        <f t="shared" ca="1" si="19"/>
        <v>#DIV/0!</v>
      </c>
      <c r="BB57" t="s">
        <v>123</v>
      </c>
      <c r="BC57" s="20" t="e">
        <f ca="1">AVERAGEIFS(INDIRECT($D$3),INDIRECT($D$3),"&gt;=0",Data!$B:$B,BB57,IF($A$20,Data!$J:$J,Data!#REF!),IF($A$20,"&lt;&gt;5",1))</f>
        <v>#DIV/0!</v>
      </c>
      <c r="BD57" t="e">
        <f t="shared" ca="1" si="20"/>
        <v>#DIV/0!</v>
      </c>
      <c r="BE57" s="20" t="s">
        <v>30</v>
      </c>
      <c r="BF57" t="e">
        <f ca="1">AVERAGEIFS(INDIRECT($E$3),INDIRECT($E$3),"&gt;=0",Data!$B:$B,BE57,IF($A$20,Data!$J:$J,Data!#REF!),IF($A$20,"&lt;&gt;5",1))</f>
        <v>#DIV/0!</v>
      </c>
      <c r="BG57" s="20" t="e">
        <f t="shared" ca="1" si="21"/>
        <v>#DIV/0!</v>
      </c>
      <c r="BH57" t="s">
        <v>166</v>
      </c>
      <c r="BI57" s="20">
        <f ca="1">AVERAGEIFS(INDIRECT($F$3),INDIRECT($F$3),"&gt;=0",Data!$B:$B,BH57,IF($A$20,Data!$J:$J,Data!#REF!),IF($A$20,"&lt;&gt;5",1))</f>
        <v>0</v>
      </c>
      <c r="BJ57" t="e">
        <f t="shared" ca="1" si="22"/>
        <v>#DIV/0!</v>
      </c>
      <c r="BK57" s="20" t="s">
        <v>32</v>
      </c>
      <c r="BL57">
        <f ca="1">AVERAGEIFS(INDIRECT($G$3),INDIRECT($G$3),"&gt;=0",Data!$B:$B,BK57,IF($A$20,Data!$J:$J,Data!#REF!),IF($A$20,"&lt;&gt;5",1))</f>
        <v>0.77419354838709675</v>
      </c>
      <c r="BM57" s="20">
        <f t="shared" ca="1" si="23"/>
        <v>49</v>
      </c>
      <c r="BN57" t="s">
        <v>164</v>
      </c>
      <c r="BO57" t="e">
        <f ca="1">AVERAGEIFS(INDIRECT($H$3),INDIRECT($H$3),"&gt;=0",Data!$B:$B,BN57,IF($A$20,Data!$J:$J,Data!#REF!),IF($A$20,"&lt;&gt;5",1))</f>
        <v>#DIV/0!</v>
      </c>
      <c r="BP57" t="e">
        <f t="shared" ca="1" si="24"/>
        <v>#DIV/0!</v>
      </c>
      <c r="BQ57" t="s">
        <v>55</v>
      </c>
      <c r="BR57">
        <f ca="1">AVERAGEIFS(INDIRECT($I$3),INDIRECT($I$3),"&gt;=0",Data!$B:$B,BQ57,IF($A$20,Data!$J:$J,Data!#REF!),IF($A$20,"&lt;&gt;5",1))</f>
        <v>0.5757575757575758</v>
      </c>
      <c r="BS57" t="e">
        <f t="shared" ca="1" si="25"/>
        <v>#DIV/0!</v>
      </c>
      <c r="BT57" t="s">
        <v>146</v>
      </c>
      <c r="BU57" t="e">
        <f ca="1">AVERAGEIFS(INDIRECT($J$3),INDIRECT($J$3),"&gt;=0",Data!$B:$B,BT57,IF($A$20,Data!$J:$J,Data!#REF!),IF($A$20,"&lt;&gt;5",1))</f>
        <v>#DIV/0!</v>
      </c>
      <c r="BV57" t="e">
        <f t="shared" ca="1" si="26"/>
        <v>#DIV/0!</v>
      </c>
    </row>
    <row r="58" spans="10:74" x14ac:dyDescent="0.35">
      <c r="J58">
        <f t="shared" si="27"/>
        <v>50</v>
      </c>
      <c r="K58" t="s">
        <v>199</v>
      </c>
      <c r="L58" t="e">
        <f ca="1">AVERAGEIFS(INDIRECT($B$3),INDIRECT($B$3),"&gt;=0",Data!$B:$B,$K58)</f>
        <v>#DIV/0!</v>
      </c>
      <c r="M58" t="e">
        <f t="shared" ca="1" si="28"/>
        <v>#DIV/0!</v>
      </c>
      <c r="N58" t="s">
        <v>44</v>
      </c>
      <c r="O58" t="e">
        <f ca="1">AVERAGEIFS(INDIRECT($C$3),INDIRECT($C$3),"&gt;=0",Data!$B:$B,$N58)</f>
        <v>#DIV/0!</v>
      </c>
      <c r="P58" t="e">
        <f t="shared" ca="1" si="1"/>
        <v>#DIV/0!</v>
      </c>
      <c r="Q58" t="s">
        <v>51</v>
      </c>
      <c r="R58" t="e">
        <f ca="1">AVERAGEIFS(INDIRECT($D$3),INDIRECT($D$3),"&gt;=0",Data!$B:$B,$Q58)</f>
        <v>#DIV/0!</v>
      </c>
      <c r="S58" t="e">
        <f t="shared" ca="1" si="2"/>
        <v>#DIV/0!</v>
      </c>
      <c r="T58" t="s">
        <v>119</v>
      </c>
      <c r="U58" t="e">
        <f ca="1">AVERAGEIFS(INDIRECT($E$3),INDIRECT($E$3),"&gt;=0",Data!$B:$B,$T58)</f>
        <v>#DIV/0!</v>
      </c>
      <c r="V58" t="e">
        <f t="shared" ca="1" si="3"/>
        <v>#DIV/0!</v>
      </c>
      <c r="W58" t="s">
        <v>148</v>
      </c>
      <c r="X58" t="e">
        <f ca="1">AVERAGEIFS(INDIRECT($F$3),INDIRECT($F$3),"&gt;=0",Data!$B:$B,$W58)</f>
        <v>#DIV/0!</v>
      </c>
      <c r="Y58" t="e">
        <f t="shared" ca="1" si="4"/>
        <v>#DIV/0!</v>
      </c>
      <c r="Z58" t="s">
        <v>193</v>
      </c>
      <c r="AA58" t="e">
        <f ca="1">AVERAGEIFS(INDIRECT($G$3),INDIRECT($G$3),"&gt;=0",Data!$B:$B,$Z58)</f>
        <v>#DIV/0!</v>
      </c>
      <c r="AB58" t="e">
        <f t="shared" ca="1" si="5"/>
        <v>#DIV/0!</v>
      </c>
      <c r="AC58" t="s">
        <v>148</v>
      </c>
      <c r="AD58" t="e">
        <f ca="1">AVERAGEIFS(INDIRECT($H$3),INDIRECT($H$3),"&gt;=0",Data!$B:$B,$AC58)</f>
        <v>#DIV/0!</v>
      </c>
      <c r="AE58" t="e">
        <f t="shared" ca="1" si="6"/>
        <v>#DIV/0!</v>
      </c>
      <c r="AF58" t="s">
        <v>74</v>
      </c>
      <c r="AG58" t="e">
        <f ca="1">AVERAGEIFS(INDIRECT($I$3),INDIRECT($I$3),"&gt;=0",Data!$B:$B,$AF58)</f>
        <v>#DIV/0!</v>
      </c>
      <c r="AH58" t="e">
        <f t="shared" ca="1" si="7"/>
        <v>#DIV/0!</v>
      </c>
      <c r="AI58" t="s">
        <v>146</v>
      </c>
      <c r="AJ58" t="e">
        <f ca="1">AVERAGEIFS(INDIRECT($J$3),INDIRECT($J$3),"&gt;=0",Data!$B:$B,$AI58)</f>
        <v>#DIV/0!</v>
      </c>
      <c r="AK58" t="e">
        <f t="shared" ca="1" si="8"/>
        <v>#DIV/0!</v>
      </c>
      <c r="AL58" t="str">
        <f t="shared" ca="1" si="9"/>
        <v>-</v>
      </c>
      <c r="AM58" t="str">
        <f t="shared" ca="1" si="10"/>
        <v>-</v>
      </c>
      <c r="AN58" t="str">
        <f t="shared" ca="1" si="11"/>
        <v>-</v>
      </c>
      <c r="AO58" t="str">
        <f t="shared" ca="1" si="12"/>
        <v>-</v>
      </c>
      <c r="AP58" t="str">
        <f t="shared" ca="1" si="13"/>
        <v>-</v>
      </c>
      <c r="AQ58" t="str">
        <f t="shared" ca="1" si="14"/>
        <v>-</v>
      </c>
      <c r="AR58" t="str">
        <f t="shared" ca="1" si="15"/>
        <v>-</v>
      </c>
      <c r="AS58" t="str">
        <f t="shared" ca="1" si="16"/>
        <v>-</v>
      </c>
      <c r="AT58" t="str">
        <f t="shared" ca="1" si="17"/>
        <v>-</v>
      </c>
      <c r="AU58">
        <f t="shared" si="29"/>
        <v>50</v>
      </c>
      <c r="AV58" t="s">
        <v>45</v>
      </c>
      <c r="AW58" s="20" t="e">
        <f ca="1">AVERAGEIFS(INDIRECT($B$3),INDIRECT($B$3),"&gt;=0",Data!$B:$B,AV58,IF($A$20,Data!$J:$J,Data!#REF!),IF($A$20,"&lt;&gt;5",1))</f>
        <v>#DIV/0!</v>
      </c>
      <c r="AX58" t="e">
        <f t="shared" ca="1" si="18"/>
        <v>#DIV/0!</v>
      </c>
      <c r="AY58" s="20" t="s">
        <v>44</v>
      </c>
      <c r="AZ58" t="e">
        <f ca="1">AVERAGEIFS(INDIRECT($C$3),INDIRECT($C$3),"&gt;=0",Data!$B:$B,AY58,IF($A$20,Data!$J:$J,Data!#REF!),IF($A$20,"&lt;&gt;5",1))</f>
        <v>#DIV/0!</v>
      </c>
      <c r="BA58" s="20" t="e">
        <f t="shared" ca="1" si="19"/>
        <v>#DIV/0!</v>
      </c>
      <c r="BB58" t="s">
        <v>131</v>
      </c>
      <c r="BC58" s="20" t="e">
        <f ca="1">AVERAGEIFS(INDIRECT($D$3),INDIRECT($D$3),"&gt;=0",Data!$B:$B,BB58,IF($A$20,Data!$J:$J,Data!#REF!),IF($A$20,"&lt;&gt;5",1))</f>
        <v>#DIV/0!</v>
      </c>
      <c r="BD58" t="e">
        <f t="shared" ca="1" si="20"/>
        <v>#DIV/0!</v>
      </c>
      <c r="BE58" s="20" t="s">
        <v>71</v>
      </c>
      <c r="BF58" t="e">
        <f ca="1">AVERAGEIFS(INDIRECT($E$3),INDIRECT($E$3),"&gt;=0",Data!$B:$B,BE58,IF($A$20,Data!$J:$J,Data!#REF!),IF($A$20,"&lt;&gt;5",1))</f>
        <v>#DIV/0!</v>
      </c>
      <c r="BG58" s="20" t="e">
        <f t="shared" ca="1" si="21"/>
        <v>#DIV/0!</v>
      </c>
      <c r="BH58" t="s">
        <v>81</v>
      </c>
      <c r="BI58" s="20" t="e">
        <f ca="1">AVERAGEIFS(INDIRECT($F$3),INDIRECT($F$3),"&gt;=0",Data!$B:$B,BH58,IF($A$20,Data!$J:$J,Data!#REF!),IF($A$20,"&lt;&gt;5",1))</f>
        <v>#DIV/0!</v>
      </c>
      <c r="BJ58" t="e">
        <f t="shared" ca="1" si="22"/>
        <v>#DIV/0!</v>
      </c>
      <c r="BK58" s="20" t="s">
        <v>141</v>
      </c>
      <c r="BL58" t="e">
        <f ca="1">AVERAGEIFS(INDIRECT($G$3),INDIRECT($G$3),"&gt;=0",Data!$B:$B,BK58,IF($A$20,Data!$J:$J,Data!#REF!),IF($A$20,"&lt;&gt;5",1))</f>
        <v>#DIV/0!</v>
      </c>
      <c r="BM58" s="20" t="e">
        <f t="shared" ca="1" si="23"/>
        <v>#DIV/0!</v>
      </c>
      <c r="BN58" t="s">
        <v>165</v>
      </c>
      <c r="BO58" t="e">
        <f ca="1">AVERAGEIFS(INDIRECT($H$3),INDIRECT($H$3),"&gt;=0",Data!$B:$B,BN58,IF($A$20,Data!$J:$J,Data!#REF!),IF($A$20,"&lt;&gt;5",1))</f>
        <v>#DIV/0!</v>
      </c>
      <c r="BP58" t="e">
        <f t="shared" ca="1" si="24"/>
        <v>#DIV/0!</v>
      </c>
      <c r="BQ58" t="s">
        <v>27</v>
      </c>
      <c r="BR58" t="e">
        <f ca="1">AVERAGEIFS(INDIRECT($I$3),INDIRECT($I$3),"&gt;=0",Data!$B:$B,BQ58,IF($A$20,Data!$J:$J,Data!#REF!),IF($A$20,"&lt;&gt;5",1))</f>
        <v>#DIV/0!</v>
      </c>
      <c r="BS58" t="e">
        <f t="shared" ca="1" si="25"/>
        <v>#DIV/0!</v>
      </c>
      <c r="BT58" t="s">
        <v>147</v>
      </c>
      <c r="BU58">
        <f ca="1">AVERAGEIFS(INDIRECT($J$3),INDIRECT($J$3),"&gt;=0",Data!$B:$B,BT58,IF($A$20,Data!$J:$J,Data!#REF!),IF($A$20,"&lt;&gt;5",1))</f>
        <v>0.65217391304347827</v>
      </c>
      <c r="BV58" t="e">
        <f t="shared" ca="1" si="26"/>
        <v>#DIV/0!</v>
      </c>
    </row>
    <row r="59" spans="10:74" x14ac:dyDescent="0.35">
      <c r="J59">
        <f t="shared" si="27"/>
        <v>51</v>
      </c>
      <c r="K59" t="s">
        <v>17</v>
      </c>
      <c r="L59" t="e">
        <f ca="1">AVERAGEIFS(INDIRECT($B$3),INDIRECT($B$3),"&gt;=0",Data!$B:$B,$K59)</f>
        <v>#DIV/0!</v>
      </c>
      <c r="M59" t="e">
        <f t="shared" ca="1" si="28"/>
        <v>#DIV/0!</v>
      </c>
      <c r="N59" t="s">
        <v>128</v>
      </c>
      <c r="O59" t="e">
        <f ca="1">AVERAGEIFS(INDIRECT($C$3),INDIRECT($C$3),"&gt;=0",Data!$B:$B,$N59)</f>
        <v>#DIV/0!</v>
      </c>
      <c r="P59" t="e">
        <f t="shared" ca="1" si="1"/>
        <v>#DIV/0!</v>
      </c>
      <c r="Q59" t="s">
        <v>145</v>
      </c>
      <c r="R59" t="e">
        <f ca="1">AVERAGEIFS(INDIRECT($D$3),INDIRECT($D$3),"&gt;=0",Data!$B:$B,$Q59)</f>
        <v>#DIV/0!</v>
      </c>
      <c r="S59" t="e">
        <f t="shared" ca="1" si="2"/>
        <v>#DIV/0!</v>
      </c>
      <c r="T59" t="s">
        <v>63</v>
      </c>
      <c r="U59" t="e">
        <f ca="1">AVERAGEIFS(INDIRECT($E$3),INDIRECT($E$3),"&gt;=0",Data!$B:$B,$T59)</f>
        <v>#DIV/0!</v>
      </c>
      <c r="V59" t="e">
        <f t="shared" ca="1" si="3"/>
        <v>#DIV/0!</v>
      </c>
      <c r="W59" t="s">
        <v>156</v>
      </c>
      <c r="X59" t="e">
        <f ca="1">AVERAGEIFS(INDIRECT($F$3),INDIRECT($F$3),"&gt;=0",Data!$B:$B,$W59)</f>
        <v>#DIV/0!</v>
      </c>
      <c r="Y59" t="e">
        <f t="shared" ca="1" si="4"/>
        <v>#DIV/0!</v>
      </c>
      <c r="Z59" t="s">
        <v>196</v>
      </c>
      <c r="AA59" t="e">
        <f ca="1">AVERAGEIFS(INDIRECT($G$3),INDIRECT($G$3),"&gt;=0",Data!$B:$B,$Z59)</f>
        <v>#DIV/0!</v>
      </c>
      <c r="AB59" t="e">
        <f t="shared" ca="1" si="5"/>
        <v>#DIV/0!</v>
      </c>
      <c r="AC59" t="s">
        <v>155</v>
      </c>
      <c r="AD59" t="e">
        <f ca="1">AVERAGEIFS(INDIRECT($H$3),INDIRECT($H$3),"&gt;=0",Data!$B:$B,$AC59)</f>
        <v>#DIV/0!</v>
      </c>
      <c r="AE59" t="e">
        <f t="shared" ca="1" si="6"/>
        <v>#DIV/0!</v>
      </c>
      <c r="AF59" t="s">
        <v>94</v>
      </c>
      <c r="AG59" t="e">
        <f ca="1">AVERAGEIFS(INDIRECT($I$3),INDIRECT($I$3),"&gt;=0",Data!$B:$B,$AF59)</f>
        <v>#DIV/0!</v>
      </c>
      <c r="AH59" t="e">
        <f t="shared" ca="1" si="7"/>
        <v>#DIV/0!</v>
      </c>
      <c r="AI59" t="s">
        <v>147</v>
      </c>
      <c r="AJ59">
        <f ca="1">AVERAGEIFS(INDIRECT($J$3),INDIRECT($J$3),"&gt;=0",Data!$B:$B,$AI59)</f>
        <v>0.64</v>
      </c>
      <c r="AK59" t="e">
        <f t="shared" ca="1" si="8"/>
        <v>#DIV/0!</v>
      </c>
      <c r="AL59" t="str">
        <f t="shared" ca="1" si="9"/>
        <v>-</v>
      </c>
      <c r="AM59" t="str">
        <f t="shared" ca="1" si="10"/>
        <v>-</v>
      </c>
      <c r="AN59" t="str">
        <f t="shared" ca="1" si="11"/>
        <v>-</v>
      </c>
      <c r="AO59" t="str">
        <f t="shared" ca="1" si="12"/>
        <v>-</v>
      </c>
      <c r="AP59" t="str">
        <f t="shared" ca="1" si="13"/>
        <v>-</v>
      </c>
      <c r="AQ59" t="str">
        <f t="shared" ca="1" si="14"/>
        <v>-</v>
      </c>
      <c r="AR59" t="str">
        <f t="shared" ca="1" si="15"/>
        <v>-</v>
      </c>
      <c r="AS59" t="str">
        <f t="shared" ca="1" si="16"/>
        <v>-</v>
      </c>
      <c r="AT59" t="str">
        <f t="shared" ca="1" si="17"/>
        <v>-</v>
      </c>
      <c r="AU59">
        <f t="shared" si="29"/>
        <v>51</v>
      </c>
      <c r="AV59" t="s">
        <v>57</v>
      </c>
      <c r="AW59" s="20" t="e">
        <f ca="1">AVERAGEIFS(INDIRECT($B$3),INDIRECT($B$3),"&gt;=0",Data!$B:$B,AV59,IF($A$20,Data!$J:$J,Data!#REF!),IF($A$20,"&lt;&gt;5",1))</f>
        <v>#DIV/0!</v>
      </c>
      <c r="AX59" t="e">
        <f t="shared" ca="1" si="18"/>
        <v>#DIV/0!</v>
      </c>
      <c r="AY59" s="20" t="s">
        <v>128</v>
      </c>
      <c r="AZ59" t="e">
        <f ca="1">AVERAGEIFS(INDIRECT($C$3),INDIRECT($C$3),"&gt;=0",Data!$B:$B,AY59,IF($A$20,Data!$J:$J,Data!#REF!),IF($A$20,"&lt;&gt;5",1))</f>
        <v>#DIV/0!</v>
      </c>
      <c r="BA59" s="20" t="e">
        <f t="shared" ca="1" si="19"/>
        <v>#DIV/0!</v>
      </c>
      <c r="BB59" t="s">
        <v>81</v>
      </c>
      <c r="BC59" s="20" t="e">
        <f ca="1">AVERAGEIFS(INDIRECT($D$3),INDIRECT($D$3),"&gt;=0",Data!$B:$B,BB59,IF($A$20,Data!$J:$J,Data!#REF!),IF($A$20,"&lt;&gt;5",1))</f>
        <v>#DIV/0!</v>
      </c>
      <c r="BD59" t="e">
        <f t="shared" ca="1" si="20"/>
        <v>#DIV/0!</v>
      </c>
      <c r="BE59" s="20" t="s">
        <v>83</v>
      </c>
      <c r="BF59" t="e">
        <f ca="1">AVERAGEIFS(INDIRECT($E$3),INDIRECT($E$3),"&gt;=0",Data!$B:$B,BE59,IF($A$20,Data!$J:$J,Data!#REF!),IF($A$20,"&lt;&gt;5",1))</f>
        <v>#DIV/0!</v>
      </c>
      <c r="BG59" s="20" t="e">
        <f t="shared" ca="1" si="21"/>
        <v>#DIV/0!</v>
      </c>
      <c r="BH59" t="s">
        <v>167</v>
      </c>
      <c r="BI59" s="20">
        <f ca="1">AVERAGEIFS(INDIRECT($F$3),INDIRECT($F$3),"&gt;=0",Data!$B:$B,BH59,IF($A$20,Data!$J:$J,Data!#REF!),IF($A$20,"&lt;&gt;5",1))</f>
        <v>0</v>
      </c>
      <c r="BJ59" t="e">
        <f t="shared" ca="1" si="22"/>
        <v>#DIV/0!</v>
      </c>
      <c r="BK59" s="20" t="s">
        <v>60</v>
      </c>
      <c r="BL59">
        <f ca="1">AVERAGEIFS(INDIRECT($G$3),INDIRECT($G$3),"&gt;=0",Data!$B:$B,BK59,IF($A$20,Data!$J:$J,Data!#REF!),IF($A$20,"&lt;&gt;5",1))</f>
        <v>0.75</v>
      </c>
      <c r="BM59" s="20" t="e">
        <f t="shared" ca="1" si="23"/>
        <v>#DIV/0!</v>
      </c>
      <c r="BN59" t="s">
        <v>170</v>
      </c>
      <c r="BO59" t="e">
        <f ca="1">AVERAGEIFS(INDIRECT($H$3),INDIRECT($H$3),"&gt;=0",Data!$B:$B,BN59,IF($A$20,Data!$J:$J,Data!#REF!),IF($A$20,"&lt;&gt;5",1))</f>
        <v>#DIV/0!</v>
      </c>
      <c r="BP59" t="e">
        <f t="shared" ca="1" si="24"/>
        <v>#DIV/0!</v>
      </c>
      <c r="BQ59" t="s">
        <v>46</v>
      </c>
      <c r="BR59" t="e">
        <f ca="1">AVERAGEIFS(INDIRECT($I$3),INDIRECT($I$3),"&gt;=0",Data!$B:$B,BQ59,IF($A$20,Data!$J:$J,Data!#REF!),IF($A$20,"&lt;&gt;5",1))</f>
        <v>#DIV/0!</v>
      </c>
      <c r="BS59" t="e">
        <f t="shared" ca="1" si="25"/>
        <v>#DIV/0!</v>
      </c>
      <c r="BT59" t="s">
        <v>145</v>
      </c>
      <c r="BU59">
        <f ca="1">AVERAGEIFS(INDIRECT($J$3),INDIRECT($J$3),"&gt;=0",Data!$B:$B,BT59,IF($A$20,Data!$J:$J,Data!#REF!),IF($A$20,"&lt;&gt;5",1))</f>
        <v>0.51724137931034486</v>
      </c>
      <c r="BV59">
        <f t="shared" ca="1" si="26"/>
        <v>51</v>
      </c>
    </row>
    <row r="60" spans="10:74" x14ac:dyDescent="0.35">
      <c r="J60">
        <f t="shared" si="27"/>
        <v>52</v>
      </c>
      <c r="K60" t="s">
        <v>81</v>
      </c>
      <c r="L60" t="e">
        <f ca="1">AVERAGEIFS(INDIRECT($B$3),INDIRECT($B$3),"&gt;=0",Data!$B:$B,$K60)</f>
        <v>#DIV/0!</v>
      </c>
      <c r="M60" t="e">
        <f t="shared" ca="1" si="28"/>
        <v>#DIV/0!</v>
      </c>
      <c r="N60" t="s">
        <v>61</v>
      </c>
      <c r="O60" t="e">
        <f ca="1">AVERAGEIFS(INDIRECT($C$3),INDIRECT($C$3),"&gt;=0",Data!$B:$B,$N60)</f>
        <v>#DIV/0!</v>
      </c>
      <c r="P60" t="e">
        <f t="shared" ca="1" si="1"/>
        <v>#DIV/0!</v>
      </c>
      <c r="Q60" t="s">
        <v>9</v>
      </c>
      <c r="R60" t="e">
        <f ca="1">AVERAGEIFS(INDIRECT($D$3),INDIRECT($D$3),"&gt;=0",Data!$B:$B,$Q60)</f>
        <v>#DIV/0!</v>
      </c>
      <c r="S60" t="e">
        <f t="shared" ca="1" si="2"/>
        <v>#DIV/0!</v>
      </c>
      <c r="T60" t="s">
        <v>55</v>
      </c>
      <c r="U60" t="e">
        <f ca="1">AVERAGEIFS(INDIRECT($E$3),INDIRECT($E$3),"&gt;=0",Data!$B:$B,$T60)</f>
        <v>#DIV/0!</v>
      </c>
      <c r="V60" t="e">
        <f t="shared" ca="1" si="3"/>
        <v>#DIV/0!</v>
      </c>
      <c r="W60" t="s">
        <v>121</v>
      </c>
      <c r="X60" t="e">
        <f ca="1">AVERAGEIFS(INDIRECT($F$3),INDIRECT($F$3),"&gt;=0",Data!$B:$B,$W60)</f>
        <v>#DIV/0!</v>
      </c>
      <c r="Y60" t="e">
        <f t="shared" ca="1" si="4"/>
        <v>#DIV/0!</v>
      </c>
      <c r="Z60" t="s">
        <v>147</v>
      </c>
      <c r="AA60">
        <f ca="1">AVERAGEIFS(INDIRECT($G$3),INDIRECT($G$3),"&gt;=0",Data!$B:$B,$Z60)</f>
        <v>0.65384615384615385</v>
      </c>
      <c r="AB60" t="e">
        <f t="shared" ca="1" si="5"/>
        <v>#DIV/0!</v>
      </c>
      <c r="AC60" t="s">
        <v>162</v>
      </c>
      <c r="AD60" t="e">
        <f ca="1">AVERAGEIFS(INDIRECT($H$3),INDIRECT($H$3),"&gt;=0",Data!$B:$B,$AC60)</f>
        <v>#DIV/0!</v>
      </c>
      <c r="AE60" t="e">
        <f t="shared" ca="1" si="6"/>
        <v>#DIV/0!</v>
      </c>
      <c r="AF60" t="s">
        <v>146</v>
      </c>
      <c r="AG60" t="e">
        <f ca="1">AVERAGEIFS(INDIRECT($I$3),INDIRECT($I$3),"&gt;=0",Data!$B:$B,$AF60)</f>
        <v>#DIV/0!</v>
      </c>
      <c r="AH60" t="e">
        <f t="shared" ca="1" si="7"/>
        <v>#DIV/0!</v>
      </c>
      <c r="AI60" t="s">
        <v>145</v>
      </c>
      <c r="AJ60">
        <f ca="1">AVERAGEIFS(INDIRECT($J$3),INDIRECT($J$3),"&gt;=0",Data!$B:$B,$AI60)</f>
        <v>0.5</v>
      </c>
      <c r="AK60">
        <f t="shared" ca="1" si="8"/>
        <v>52</v>
      </c>
      <c r="AL60" t="str">
        <f t="shared" ca="1" si="9"/>
        <v>-</v>
      </c>
      <c r="AM60" t="str">
        <f t="shared" ca="1" si="10"/>
        <v>-</v>
      </c>
      <c r="AN60" t="str">
        <f t="shared" ca="1" si="11"/>
        <v>-</v>
      </c>
      <c r="AO60" t="str">
        <f t="shared" ca="1" si="12"/>
        <v>-</v>
      </c>
      <c r="AP60" t="str">
        <f t="shared" ca="1" si="13"/>
        <v>-</v>
      </c>
      <c r="AQ60" t="str">
        <f t="shared" ca="1" si="14"/>
        <v>-</v>
      </c>
      <c r="AR60" t="str">
        <f t="shared" ca="1" si="15"/>
        <v>-</v>
      </c>
      <c r="AS60" t="str">
        <f t="shared" ca="1" si="16"/>
        <v>-</v>
      </c>
      <c r="AT60" t="str">
        <f t="shared" ca="1" si="17"/>
        <v>-</v>
      </c>
      <c r="AU60">
        <f t="shared" si="29"/>
        <v>52</v>
      </c>
      <c r="AV60" t="s">
        <v>9</v>
      </c>
      <c r="AW60" s="20" t="e">
        <f ca="1">AVERAGEIFS(INDIRECT($B$3),INDIRECT($B$3),"&gt;=0",Data!$B:$B,AV60,IF($A$20,Data!$J:$J,Data!#REF!),IF($A$20,"&lt;&gt;5",1))</f>
        <v>#DIV/0!</v>
      </c>
      <c r="AX60" t="e">
        <f t="shared" ca="1" si="18"/>
        <v>#DIV/0!</v>
      </c>
      <c r="AY60" s="20" t="s">
        <v>61</v>
      </c>
      <c r="AZ60" t="e">
        <f ca="1">AVERAGEIFS(INDIRECT($C$3),INDIRECT($C$3),"&gt;=0",Data!$B:$B,AY60,IF($A$20,Data!$J:$J,Data!#REF!),IF($A$20,"&lt;&gt;5",1))</f>
        <v>#DIV/0!</v>
      </c>
      <c r="BA60" s="20" t="e">
        <f t="shared" ca="1" si="19"/>
        <v>#DIV/0!</v>
      </c>
      <c r="BB60" t="s">
        <v>140</v>
      </c>
      <c r="BC60" s="20" t="e">
        <f ca="1">AVERAGEIFS(INDIRECT($D$3),INDIRECT($D$3),"&gt;=0",Data!$B:$B,BB60,IF($A$20,Data!$J:$J,Data!#REF!),IF($A$20,"&lt;&gt;5",1))</f>
        <v>#DIV/0!</v>
      </c>
      <c r="BD60" t="e">
        <f t="shared" ca="1" si="20"/>
        <v>#DIV/0!</v>
      </c>
      <c r="BE60" s="20" t="s">
        <v>58</v>
      </c>
      <c r="BF60" t="e">
        <f ca="1">AVERAGEIFS(INDIRECT($E$3),INDIRECT($E$3),"&gt;=0",Data!$B:$B,BE60,IF($A$20,Data!$J:$J,Data!#REF!),IF($A$20,"&lt;&gt;5",1))</f>
        <v>#DIV/0!</v>
      </c>
      <c r="BG60" s="20" t="e">
        <f t="shared" ca="1" si="21"/>
        <v>#DIV/0!</v>
      </c>
      <c r="BH60" t="s">
        <v>57</v>
      </c>
      <c r="BI60" s="20" t="e">
        <f ca="1">AVERAGEIFS(INDIRECT($F$3),INDIRECT($F$3),"&gt;=0",Data!$B:$B,BH60,IF($A$20,Data!$J:$J,Data!#REF!),IF($A$20,"&lt;&gt;5",1))</f>
        <v>#DIV/0!</v>
      </c>
      <c r="BJ60" t="e">
        <f t="shared" ca="1" si="22"/>
        <v>#DIV/0!</v>
      </c>
      <c r="BK60" s="20" t="s">
        <v>63</v>
      </c>
      <c r="BL60" t="e">
        <f ca="1">AVERAGEIFS(INDIRECT($G$3),INDIRECT($G$3),"&gt;=0",Data!$B:$B,BK60,IF($A$20,Data!$J:$J,Data!#REF!),IF($A$20,"&lt;&gt;5",1))</f>
        <v>#DIV/0!</v>
      </c>
      <c r="BM60" s="20" t="e">
        <f t="shared" ca="1" si="23"/>
        <v>#DIV/0!</v>
      </c>
      <c r="BN60" t="s">
        <v>171</v>
      </c>
      <c r="BO60" t="e">
        <f ca="1">AVERAGEIFS(INDIRECT($H$3),INDIRECT($H$3),"&gt;=0",Data!$B:$B,BN60,IF($A$20,Data!$J:$J,Data!#REF!),IF($A$20,"&lt;&gt;5",1))</f>
        <v>#DIV/0!</v>
      </c>
      <c r="BP60" t="e">
        <f t="shared" ca="1" si="24"/>
        <v>#DIV/0!</v>
      </c>
      <c r="BQ60" t="s">
        <v>74</v>
      </c>
      <c r="BR60" t="e">
        <f ca="1">AVERAGEIFS(INDIRECT($I$3),INDIRECT($I$3),"&gt;=0",Data!$B:$B,BQ60,IF($A$20,Data!$J:$J,Data!#REF!),IF($A$20,"&lt;&gt;5",1))</f>
        <v>#DIV/0!</v>
      </c>
      <c r="BS60" t="e">
        <f t="shared" ca="1" si="25"/>
        <v>#DIV/0!</v>
      </c>
      <c r="BT60" t="s">
        <v>142</v>
      </c>
      <c r="BU60" t="e">
        <f ca="1">AVERAGEIFS(INDIRECT($J$3),INDIRECT($J$3),"&gt;=0",Data!$B:$B,BT60,IF($A$20,Data!$J:$J,Data!#REF!),IF($A$20,"&lt;&gt;5",1))</f>
        <v>#DIV/0!</v>
      </c>
      <c r="BV60" t="e">
        <f t="shared" ca="1" si="26"/>
        <v>#DIV/0!</v>
      </c>
    </row>
    <row r="61" spans="10:74" x14ac:dyDescent="0.35">
      <c r="J61">
        <f t="shared" si="27"/>
        <v>53</v>
      </c>
      <c r="K61" t="s">
        <v>129</v>
      </c>
      <c r="L61" t="e">
        <f ca="1">AVERAGEIFS(INDIRECT($B$3),INDIRECT($B$3),"&gt;=0",Data!$B:$B,$K61)</f>
        <v>#DIV/0!</v>
      </c>
      <c r="M61" t="e">
        <f t="shared" ca="1" si="28"/>
        <v>#DIV/0!</v>
      </c>
      <c r="N61" t="s">
        <v>130</v>
      </c>
      <c r="O61" t="e">
        <f ca="1">AVERAGEIFS(INDIRECT($C$3),INDIRECT($C$3),"&gt;=0",Data!$B:$B,$N61)</f>
        <v>#DIV/0!</v>
      </c>
      <c r="P61" t="e">
        <f t="shared" ca="1" si="1"/>
        <v>#DIV/0!</v>
      </c>
      <c r="Q61" t="s">
        <v>58</v>
      </c>
      <c r="R61" t="e">
        <f ca="1">AVERAGEIFS(INDIRECT($D$3),INDIRECT($D$3),"&gt;=0",Data!$B:$B,$Q61)</f>
        <v>#DIV/0!</v>
      </c>
      <c r="S61" t="e">
        <f t="shared" ca="1" si="2"/>
        <v>#DIV/0!</v>
      </c>
      <c r="T61" t="s">
        <v>22</v>
      </c>
      <c r="U61" t="e">
        <f ca="1">AVERAGEIFS(INDIRECT($E$3),INDIRECT($E$3),"&gt;=0",Data!$B:$B,$T61)</f>
        <v>#DIV/0!</v>
      </c>
      <c r="V61" t="e">
        <f t="shared" ca="1" si="3"/>
        <v>#DIV/0!</v>
      </c>
      <c r="W61" t="s">
        <v>154</v>
      </c>
      <c r="X61" t="e">
        <f ca="1">AVERAGEIFS(INDIRECT($F$3),INDIRECT($F$3),"&gt;=0",Data!$B:$B,$W61)</f>
        <v>#DIV/0!</v>
      </c>
      <c r="Y61" t="e">
        <f t="shared" ca="1" si="4"/>
        <v>#DIV/0!</v>
      </c>
      <c r="Z61" t="s">
        <v>32</v>
      </c>
      <c r="AA61">
        <f ca="1">AVERAGEIFS(INDIRECT($G$3),INDIRECT($G$3),"&gt;=0",Data!$B:$B,$Z61)</f>
        <v>0.78125</v>
      </c>
      <c r="AB61">
        <f t="shared" ca="1" si="5"/>
        <v>53</v>
      </c>
      <c r="AC61" t="s">
        <v>164</v>
      </c>
      <c r="AD61" t="e">
        <f ca="1">AVERAGEIFS(INDIRECT($H$3),INDIRECT($H$3),"&gt;=0",Data!$B:$B,$AC61)</f>
        <v>#DIV/0!</v>
      </c>
      <c r="AE61" t="e">
        <f t="shared" ca="1" si="6"/>
        <v>#DIV/0!</v>
      </c>
      <c r="AF61" t="s">
        <v>184</v>
      </c>
      <c r="AG61" t="e">
        <f ca="1">AVERAGEIFS(INDIRECT($I$3),INDIRECT($I$3),"&gt;=0",Data!$B:$B,$AF61)</f>
        <v>#DIV/0!</v>
      </c>
      <c r="AH61" t="e">
        <f t="shared" ca="1" si="7"/>
        <v>#DIV/0!</v>
      </c>
      <c r="AI61" t="s">
        <v>142</v>
      </c>
      <c r="AJ61" t="e">
        <f ca="1">AVERAGEIFS(INDIRECT($J$3),INDIRECT($J$3),"&gt;=0",Data!$B:$B,$AI61)</f>
        <v>#DIV/0!</v>
      </c>
      <c r="AK61" t="e">
        <f t="shared" ca="1" si="8"/>
        <v>#DIV/0!</v>
      </c>
      <c r="AL61" t="str">
        <f t="shared" ca="1" si="9"/>
        <v>-</v>
      </c>
      <c r="AM61" t="str">
        <f t="shared" ca="1" si="10"/>
        <v>-</v>
      </c>
      <c r="AN61" t="str">
        <f t="shared" ca="1" si="11"/>
        <v>-</v>
      </c>
      <c r="AO61" t="str">
        <f t="shared" ca="1" si="12"/>
        <v>-</v>
      </c>
      <c r="AP61" t="str">
        <f t="shared" ca="1" si="13"/>
        <v>-</v>
      </c>
      <c r="AQ61" t="str">
        <f t="shared" ca="1" si="14"/>
        <v>-</v>
      </c>
      <c r="AR61" t="str">
        <f t="shared" ca="1" si="15"/>
        <v>-</v>
      </c>
      <c r="AS61" t="str">
        <f t="shared" ca="1" si="16"/>
        <v>-</v>
      </c>
      <c r="AT61" t="str">
        <f t="shared" ca="1" si="17"/>
        <v>-</v>
      </c>
      <c r="AU61">
        <f t="shared" si="29"/>
        <v>53</v>
      </c>
      <c r="AV61" t="s">
        <v>35</v>
      </c>
      <c r="AW61" s="20" t="e">
        <f ca="1">AVERAGEIFS(INDIRECT($B$3),INDIRECT($B$3),"&gt;=0",Data!$B:$B,AV61,IF($A$20,Data!$J:$J,Data!#REF!),IF($A$20,"&lt;&gt;5",1))</f>
        <v>#DIV/0!</v>
      </c>
      <c r="AX61" t="e">
        <f t="shared" ca="1" si="18"/>
        <v>#DIV/0!</v>
      </c>
      <c r="AY61" s="20" t="s">
        <v>130</v>
      </c>
      <c r="AZ61" t="e">
        <f ca="1">AVERAGEIFS(INDIRECT($C$3),INDIRECT($C$3),"&gt;=0",Data!$B:$B,AY61,IF($A$20,Data!$J:$J,Data!#REF!),IF($A$20,"&lt;&gt;5",1))</f>
        <v>#DIV/0!</v>
      </c>
      <c r="BA61" s="20" t="e">
        <f t="shared" ca="1" si="19"/>
        <v>#DIV/0!</v>
      </c>
      <c r="BB61" t="s">
        <v>50</v>
      </c>
      <c r="BC61" s="20" t="e">
        <f ca="1">AVERAGEIFS(INDIRECT($D$3),INDIRECT($D$3),"&gt;=0",Data!$B:$B,BB61,IF($A$20,Data!$J:$J,Data!#REF!),IF($A$20,"&lt;&gt;5",1))</f>
        <v>#DIV/0!</v>
      </c>
      <c r="BD61" t="e">
        <f t="shared" ca="1" si="20"/>
        <v>#DIV/0!</v>
      </c>
      <c r="BE61" s="20" t="s">
        <v>91</v>
      </c>
      <c r="BF61" t="e">
        <f ca="1">AVERAGEIFS(INDIRECT($E$3),INDIRECT($E$3),"&gt;=0",Data!$B:$B,BE61,IF($A$20,Data!$J:$J,Data!#REF!),IF($A$20,"&lt;&gt;5",1))</f>
        <v>#DIV/0!</v>
      </c>
      <c r="BG61" s="20" t="e">
        <f t="shared" ca="1" si="21"/>
        <v>#DIV/0!</v>
      </c>
      <c r="BH61" t="s">
        <v>181</v>
      </c>
      <c r="BI61" s="20">
        <f ca="1">AVERAGEIFS(INDIRECT($F$3),INDIRECT($F$3),"&gt;=0",Data!$B:$B,BH61,IF($A$20,Data!$J:$J,Data!#REF!),IF($A$20,"&lt;&gt;5",1))</f>
        <v>1</v>
      </c>
      <c r="BJ61" t="e">
        <f t="shared" ca="1" si="22"/>
        <v>#DIV/0!</v>
      </c>
      <c r="BK61" s="20" t="s">
        <v>55</v>
      </c>
      <c r="BL61">
        <f ca="1">AVERAGEIFS(INDIRECT($G$3),INDIRECT($G$3),"&gt;=0",Data!$B:$B,BK61,IF($A$20,Data!$J:$J,Data!#REF!),IF($A$20,"&lt;&gt;5",1))</f>
        <v>0.90625</v>
      </c>
      <c r="BM61" s="20" t="e">
        <f t="shared" ca="1" si="23"/>
        <v>#DIV/0!</v>
      </c>
      <c r="BN61" t="s">
        <v>176</v>
      </c>
      <c r="BO61" t="e">
        <f ca="1">AVERAGEIFS(INDIRECT($H$3),INDIRECT($H$3),"&gt;=0",Data!$B:$B,BN61,IF($A$20,Data!$J:$J,Data!#REF!),IF($A$20,"&lt;&gt;5",1))</f>
        <v>#DIV/0!</v>
      </c>
      <c r="BP61" t="e">
        <f t="shared" ca="1" si="24"/>
        <v>#DIV/0!</v>
      </c>
      <c r="BQ61" t="s">
        <v>94</v>
      </c>
      <c r="BR61" t="e">
        <f ca="1">AVERAGEIFS(INDIRECT($I$3),INDIRECT($I$3),"&gt;=0",Data!$B:$B,BQ61,IF($A$20,Data!$J:$J,Data!#REF!),IF($A$20,"&lt;&gt;5",1))</f>
        <v>#DIV/0!</v>
      </c>
      <c r="BS61" t="e">
        <f t="shared" ca="1" si="25"/>
        <v>#DIV/0!</v>
      </c>
      <c r="BT61" t="s">
        <v>144</v>
      </c>
      <c r="BU61" t="e">
        <f ca="1">AVERAGEIFS(INDIRECT($J$3),INDIRECT($J$3),"&gt;=0",Data!$B:$B,BT61,IF($A$20,Data!$J:$J,Data!#REF!),IF($A$20,"&lt;&gt;5",1))</f>
        <v>#DIV/0!</v>
      </c>
      <c r="BV61" t="e">
        <f t="shared" ca="1" si="26"/>
        <v>#DIV/0!</v>
      </c>
    </row>
    <row r="62" spans="10:74" x14ac:dyDescent="0.35">
      <c r="J62">
        <f t="shared" si="27"/>
        <v>54</v>
      </c>
      <c r="K62" t="s">
        <v>58</v>
      </c>
      <c r="L62" t="e">
        <f ca="1">AVERAGEIFS(INDIRECT($B$3),INDIRECT($B$3),"&gt;=0",Data!$B:$B,$K62)</f>
        <v>#DIV/0!</v>
      </c>
      <c r="M62" t="e">
        <f t="shared" ca="1" si="28"/>
        <v>#DIV/0!</v>
      </c>
      <c r="N62" t="s">
        <v>24</v>
      </c>
      <c r="O62" t="e">
        <f ca="1">AVERAGEIFS(INDIRECT($C$3),INDIRECT($C$3),"&gt;=0",Data!$B:$B,$N62)</f>
        <v>#DIV/0!</v>
      </c>
      <c r="P62" t="e">
        <f t="shared" ca="1" si="1"/>
        <v>#DIV/0!</v>
      </c>
      <c r="Q62" t="s">
        <v>107</v>
      </c>
      <c r="R62" t="e">
        <f ca="1">AVERAGEIFS(INDIRECT($D$3),INDIRECT($D$3),"&gt;=0",Data!$B:$B,$Q62)</f>
        <v>#DIV/0!</v>
      </c>
      <c r="S62" t="e">
        <f t="shared" ca="1" si="2"/>
        <v>#DIV/0!</v>
      </c>
      <c r="T62" t="s">
        <v>44</v>
      </c>
      <c r="U62" t="e">
        <f ca="1">AVERAGEIFS(INDIRECT($E$3),INDIRECT($E$3),"&gt;=0",Data!$B:$B,$T62)</f>
        <v>#DIV/0!</v>
      </c>
      <c r="V62" t="e">
        <f t="shared" ca="1" si="3"/>
        <v>#DIV/0!</v>
      </c>
      <c r="W62" t="s">
        <v>175</v>
      </c>
      <c r="X62" t="e">
        <f ca="1">AVERAGEIFS(INDIRECT($F$3),INDIRECT($F$3),"&gt;=0",Data!$B:$B,$W62)</f>
        <v>#DIV/0!</v>
      </c>
      <c r="Y62" t="e">
        <f t="shared" ca="1" si="4"/>
        <v>#DIV/0!</v>
      </c>
      <c r="Z62" t="s">
        <v>60</v>
      </c>
      <c r="AA62">
        <f ca="1">AVERAGEIFS(INDIRECT($G$3),INDIRECT($G$3),"&gt;=0",Data!$B:$B,$Z62)</f>
        <v>0.75</v>
      </c>
      <c r="AB62">
        <f t="shared" ca="1" si="5"/>
        <v>54</v>
      </c>
      <c r="AC62" t="s">
        <v>165</v>
      </c>
      <c r="AD62" t="e">
        <f ca="1">AVERAGEIFS(INDIRECT($H$3),INDIRECT($H$3),"&gt;=0",Data!$B:$B,$AC62)</f>
        <v>#DIV/0!</v>
      </c>
      <c r="AE62" t="e">
        <f t="shared" ca="1" si="6"/>
        <v>#DIV/0!</v>
      </c>
      <c r="AF62" t="s">
        <v>96</v>
      </c>
      <c r="AG62" t="e">
        <f ca="1">AVERAGEIFS(INDIRECT($I$3),INDIRECT($I$3),"&gt;=0",Data!$B:$B,$AF62)</f>
        <v>#DIV/0!</v>
      </c>
      <c r="AH62" t="e">
        <f t="shared" ca="1" si="7"/>
        <v>#DIV/0!</v>
      </c>
      <c r="AI62" t="s">
        <v>144</v>
      </c>
      <c r="AJ62" t="e">
        <f ca="1">AVERAGEIFS(INDIRECT($J$3),INDIRECT($J$3),"&gt;=0",Data!$B:$B,$AI62)</f>
        <v>#DIV/0!</v>
      </c>
      <c r="AK62" t="e">
        <f t="shared" ca="1" si="8"/>
        <v>#DIV/0!</v>
      </c>
      <c r="AL62" t="str">
        <f t="shared" ca="1" si="9"/>
        <v>-</v>
      </c>
      <c r="AM62" t="str">
        <f t="shared" ca="1" si="10"/>
        <v>-</v>
      </c>
      <c r="AN62" t="str">
        <f t="shared" ca="1" si="11"/>
        <v>-</v>
      </c>
      <c r="AO62" t="str">
        <f t="shared" ca="1" si="12"/>
        <v>-</v>
      </c>
      <c r="AP62" t="str">
        <f t="shared" ca="1" si="13"/>
        <v>-</v>
      </c>
      <c r="AQ62" t="str">
        <f t="shared" ca="1" si="14"/>
        <v>-</v>
      </c>
      <c r="AR62" t="str">
        <f t="shared" ca="1" si="15"/>
        <v>-</v>
      </c>
      <c r="AS62" t="str">
        <f t="shared" ca="1" si="16"/>
        <v>-</v>
      </c>
      <c r="AT62" t="str">
        <f t="shared" ca="1" si="17"/>
        <v>-</v>
      </c>
      <c r="AU62">
        <f t="shared" si="29"/>
        <v>54</v>
      </c>
      <c r="AV62" t="s">
        <v>179</v>
      </c>
      <c r="AW62" s="20" t="e">
        <f ca="1">AVERAGEIFS(INDIRECT($B$3),INDIRECT($B$3),"&gt;=0",Data!$B:$B,AV62,IF($A$20,Data!$J:$J,Data!#REF!),IF($A$20,"&lt;&gt;5",1))</f>
        <v>#DIV/0!</v>
      </c>
      <c r="AX62" t="e">
        <f t="shared" ca="1" si="18"/>
        <v>#DIV/0!</v>
      </c>
      <c r="AY62" s="20" t="s">
        <v>24</v>
      </c>
      <c r="AZ62" t="e">
        <f ca="1">AVERAGEIFS(INDIRECT($C$3),INDIRECT($C$3),"&gt;=0",Data!$B:$B,AY62,IF($A$20,Data!$J:$J,Data!#REF!),IF($A$20,"&lt;&gt;5",1))</f>
        <v>#DIV/0!</v>
      </c>
      <c r="BA62" s="20" t="e">
        <f t="shared" ca="1" si="19"/>
        <v>#DIV/0!</v>
      </c>
      <c r="BB62" t="s">
        <v>115</v>
      </c>
      <c r="BC62" s="20" t="e">
        <f ca="1">AVERAGEIFS(INDIRECT($D$3),INDIRECT($D$3),"&gt;=0",Data!$B:$B,BB62,IF($A$20,Data!$J:$J,Data!#REF!),IF($A$20,"&lt;&gt;5",1))</f>
        <v>#DIV/0!</v>
      </c>
      <c r="BD62" t="e">
        <f t="shared" ca="1" si="20"/>
        <v>#DIV/0!</v>
      </c>
      <c r="BE62" s="20" t="s">
        <v>4</v>
      </c>
      <c r="BF62" t="e">
        <f ca="1">AVERAGEIFS(INDIRECT($E$3),INDIRECT($E$3),"&gt;=0",Data!$B:$B,BE62,IF($A$20,Data!$J:$J,Data!#REF!),IF($A$20,"&lt;&gt;5",1))</f>
        <v>#DIV/0!</v>
      </c>
      <c r="BG62" s="20" t="e">
        <f t="shared" ca="1" si="21"/>
        <v>#DIV/0!</v>
      </c>
      <c r="BH62" t="s">
        <v>109</v>
      </c>
      <c r="BI62" s="20" t="e">
        <f ca="1">AVERAGEIFS(INDIRECT($F$3),INDIRECT($F$3),"&gt;=0",Data!$B:$B,BH62,IF($A$20,Data!$J:$J,Data!#REF!),IF($A$20,"&lt;&gt;5",1))</f>
        <v>#DIV/0!</v>
      </c>
      <c r="BJ62" t="e">
        <f t="shared" ca="1" si="22"/>
        <v>#DIV/0!</v>
      </c>
      <c r="BK62" s="20" t="s">
        <v>56</v>
      </c>
      <c r="BL62">
        <f ca="1">AVERAGEIFS(INDIRECT($G$3),INDIRECT($G$3),"&gt;=0",Data!$B:$B,BK62,IF($A$20,Data!$J:$J,Data!#REF!),IF($A$20,"&lt;&gt;5",1))</f>
        <v>0.6470588235294118</v>
      </c>
      <c r="BM62" s="20">
        <f t="shared" ca="1" si="23"/>
        <v>54</v>
      </c>
      <c r="BN62" t="s">
        <v>178</v>
      </c>
      <c r="BO62" t="e">
        <f ca="1">AVERAGEIFS(INDIRECT($H$3),INDIRECT($H$3),"&gt;=0",Data!$B:$B,BN62,IF($A$20,Data!$J:$J,Data!#REF!),IF($A$20,"&lt;&gt;5",1))</f>
        <v>#DIV/0!</v>
      </c>
      <c r="BP62" t="e">
        <f t="shared" ca="1" si="24"/>
        <v>#DIV/0!</v>
      </c>
      <c r="BQ62" t="s">
        <v>96</v>
      </c>
      <c r="BR62" t="e">
        <f ca="1">AVERAGEIFS(INDIRECT($I$3),INDIRECT($I$3),"&gt;=0",Data!$B:$B,BQ62,IF($A$20,Data!$J:$J,Data!#REF!),IF($A$20,"&lt;&gt;5",1))</f>
        <v>#DIV/0!</v>
      </c>
      <c r="BS62" t="e">
        <f t="shared" ca="1" si="25"/>
        <v>#DIV/0!</v>
      </c>
      <c r="BT62" t="s">
        <v>140</v>
      </c>
      <c r="BU62" t="e">
        <f ca="1">AVERAGEIFS(INDIRECT($J$3),INDIRECT($J$3),"&gt;=0",Data!$B:$B,BT62,IF($A$20,Data!$J:$J,Data!#REF!),IF($A$20,"&lt;&gt;5",1))</f>
        <v>#DIV/0!</v>
      </c>
      <c r="BV62" t="e">
        <f t="shared" ca="1" si="26"/>
        <v>#DIV/0!</v>
      </c>
    </row>
    <row r="63" spans="10:74" x14ac:dyDescent="0.35">
      <c r="J63">
        <f t="shared" si="27"/>
        <v>55</v>
      </c>
      <c r="K63" t="s">
        <v>168</v>
      </c>
      <c r="L63" t="e">
        <f ca="1">AVERAGEIFS(INDIRECT($B$3),INDIRECT($B$3),"&gt;=0",Data!$B:$B,$K63)</f>
        <v>#DIV/0!</v>
      </c>
      <c r="M63" t="e">
        <f t="shared" ca="1" si="28"/>
        <v>#DIV/0!</v>
      </c>
      <c r="N63" t="s">
        <v>103</v>
      </c>
      <c r="O63" t="e">
        <f ca="1">AVERAGEIFS(INDIRECT($C$3),INDIRECT($C$3),"&gt;=0",Data!$B:$B,$N63)</f>
        <v>#DIV/0!</v>
      </c>
      <c r="P63" t="e">
        <f t="shared" ca="1" si="1"/>
        <v>#DIV/0!</v>
      </c>
      <c r="Q63" t="s">
        <v>181</v>
      </c>
      <c r="R63" t="e">
        <f ca="1">AVERAGEIFS(INDIRECT($D$3),INDIRECT($D$3),"&gt;=0",Data!$B:$B,$Q63)</f>
        <v>#DIV/0!</v>
      </c>
      <c r="S63" t="e">
        <f t="shared" ca="1" si="2"/>
        <v>#DIV/0!</v>
      </c>
      <c r="T63" t="s">
        <v>108</v>
      </c>
      <c r="U63" t="e">
        <f ca="1">AVERAGEIFS(INDIRECT($E$3),INDIRECT($E$3),"&gt;=0",Data!$B:$B,$T63)</f>
        <v>#DIV/0!</v>
      </c>
      <c r="V63" t="e">
        <f t="shared" ca="1" si="3"/>
        <v>#DIV/0!</v>
      </c>
      <c r="W63" t="s">
        <v>147</v>
      </c>
      <c r="X63">
        <f ca="1">AVERAGEIFS(INDIRECT($F$3),INDIRECT($F$3),"&gt;=0",Data!$B:$B,$W63)</f>
        <v>1</v>
      </c>
      <c r="Y63" t="e">
        <f t="shared" ca="1" si="4"/>
        <v>#DIV/0!</v>
      </c>
      <c r="Z63" t="s">
        <v>141</v>
      </c>
      <c r="AA63" t="e">
        <f ca="1">AVERAGEIFS(INDIRECT($G$3),INDIRECT($G$3),"&gt;=0",Data!$B:$B,$Z63)</f>
        <v>#DIV/0!</v>
      </c>
      <c r="AB63" t="e">
        <f t="shared" ca="1" si="5"/>
        <v>#DIV/0!</v>
      </c>
      <c r="AC63" t="s">
        <v>170</v>
      </c>
      <c r="AD63" t="e">
        <f ca="1">AVERAGEIFS(INDIRECT($H$3),INDIRECT($H$3),"&gt;=0",Data!$B:$B,$AC63)</f>
        <v>#DIV/0!</v>
      </c>
      <c r="AE63" t="e">
        <f t="shared" ca="1" si="6"/>
        <v>#DIV/0!</v>
      </c>
      <c r="AF63" t="s">
        <v>79</v>
      </c>
      <c r="AG63" t="e">
        <f ca="1">AVERAGEIFS(INDIRECT($I$3),INDIRECT($I$3),"&gt;=0",Data!$B:$B,$AF63)</f>
        <v>#DIV/0!</v>
      </c>
      <c r="AH63" t="e">
        <f t="shared" ca="1" si="7"/>
        <v>#DIV/0!</v>
      </c>
      <c r="AI63" t="s">
        <v>140</v>
      </c>
      <c r="AJ63" t="e">
        <f ca="1">AVERAGEIFS(INDIRECT($J$3),INDIRECT($J$3),"&gt;=0",Data!$B:$B,$AI63)</f>
        <v>#DIV/0!</v>
      </c>
      <c r="AK63" t="e">
        <f t="shared" ca="1" si="8"/>
        <v>#DIV/0!</v>
      </c>
      <c r="AL63" t="str">
        <f t="shared" ca="1" si="9"/>
        <v>-</v>
      </c>
      <c r="AM63" t="str">
        <f t="shared" ca="1" si="10"/>
        <v>-</v>
      </c>
      <c r="AN63" t="str">
        <f t="shared" ca="1" si="11"/>
        <v>-</v>
      </c>
      <c r="AO63" t="str">
        <f t="shared" ca="1" si="12"/>
        <v>-</v>
      </c>
      <c r="AP63" t="str">
        <f t="shared" ca="1" si="13"/>
        <v>-</v>
      </c>
      <c r="AQ63" t="str">
        <f t="shared" ca="1" si="14"/>
        <v>-</v>
      </c>
      <c r="AR63" t="str">
        <f t="shared" ca="1" si="15"/>
        <v>-</v>
      </c>
      <c r="AS63" t="str">
        <f t="shared" ca="1" si="16"/>
        <v>-</v>
      </c>
      <c r="AT63" t="str">
        <f t="shared" ca="1" si="17"/>
        <v>-</v>
      </c>
      <c r="AU63">
        <f t="shared" si="29"/>
        <v>55</v>
      </c>
      <c r="AV63" t="s">
        <v>181</v>
      </c>
      <c r="AW63" s="20" t="e">
        <f ca="1">AVERAGEIFS(INDIRECT($B$3),INDIRECT($B$3),"&gt;=0",Data!$B:$B,AV63,IF($A$20,Data!$J:$J,Data!#REF!),IF($A$20,"&lt;&gt;5",1))</f>
        <v>#DIV/0!</v>
      </c>
      <c r="AX63" t="e">
        <f t="shared" ca="1" si="18"/>
        <v>#DIV/0!</v>
      </c>
      <c r="AY63" s="20" t="s">
        <v>103</v>
      </c>
      <c r="AZ63" t="e">
        <f ca="1">AVERAGEIFS(INDIRECT($C$3),INDIRECT($C$3),"&gt;=0",Data!$B:$B,AY63,IF($A$20,Data!$J:$J,Data!#REF!),IF($A$20,"&lt;&gt;5",1))</f>
        <v>#DIV/0!</v>
      </c>
      <c r="BA63" s="20" t="e">
        <f t="shared" ca="1" si="19"/>
        <v>#DIV/0!</v>
      </c>
      <c r="BB63" t="s">
        <v>96</v>
      </c>
      <c r="BC63" s="20" t="e">
        <f ca="1">AVERAGEIFS(INDIRECT($D$3),INDIRECT($D$3),"&gt;=0",Data!$B:$B,BB63,IF($A$20,Data!$J:$J,Data!#REF!),IF($A$20,"&lt;&gt;5",1))</f>
        <v>#DIV/0!</v>
      </c>
      <c r="BD63" t="e">
        <f t="shared" ca="1" si="20"/>
        <v>#DIV/0!</v>
      </c>
      <c r="BE63" s="20" t="s">
        <v>67</v>
      </c>
      <c r="BF63" t="e">
        <f ca="1">AVERAGEIFS(INDIRECT($E$3),INDIRECT($E$3),"&gt;=0",Data!$B:$B,BE63,IF($A$20,Data!$J:$J,Data!#REF!),IF($A$20,"&lt;&gt;5",1))</f>
        <v>#DIV/0!</v>
      </c>
      <c r="BG63" s="20" t="e">
        <f t="shared" ca="1" si="21"/>
        <v>#DIV/0!</v>
      </c>
      <c r="BH63" t="s">
        <v>126</v>
      </c>
      <c r="BI63" s="20" t="e">
        <f ca="1">AVERAGEIFS(INDIRECT($F$3),INDIRECT($F$3),"&gt;=0",Data!$B:$B,BH63,IF($A$20,Data!$J:$J,Data!#REF!),IF($A$20,"&lt;&gt;5",1))</f>
        <v>#DIV/0!</v>
      </c>
      <c r="BJ63" t="e">
        <f t="shared" ca="1" si="22"/>
        <v>#DIV/0!</v>
      </c>
      <c r="BK63" s="20" t="s">
        <v>133</v>
      </c>
      <c r="BL63">
        <f ca="1">AVERAGEIFS(INDIRECT($G$3),INDIRECT($G$3),"&gt;=0",Data!$B:$B,BK63,IF($A$20,Data!$J:$J,Data!#REF!),IF($A$20,"&lt;&gt;5",1))</f>
        <v>0.66666666666666663</v>
      </c>
      <c r="BM63" s="20">
        <f t="shared" ca="1" si="23"/>
        <v>55</v>
      </c>
      <c r="BN63" t="s">
        <v>182</v>
      </c>
      <c r="BO63" t="e">
        <f ca="1">AVERAGEIFS(INDIRECT($H$3),INDIRECT($H$3),"&gt;=0",Data!$B:$B,BN63,IF($A$20,Data!$J:$J,Data!#REF!),IF($A$20,"&lt;&gt;5",1))</f>
        <v>#DIV/0!</v>
      </c>
      <c r="BP63" t="e">
        <f t="shared" ca="1" si="24"/>
        <v>#DIV/0!</v>
      </c>
      <c r="BQ63" t="s">
        <v>73</v>
      </c>
      <c r="BR63" t="e">
        <f ca="1">AVERAGEIFS(INDIRECT($I$3),INDIRECT($I$3),"&gt;=0",Data!$B:$B,BQ63,IF($A$20,Data!$J:$J,Data!#REF!),IF($A$20,"&lt;&gt;5",1))</f>
        <v>#DIV/0!</v>
      </c>
      <c r="BS63" t="e">
        <f t="shared" ca="1" si="25"/>
        <v>#DIV/0!</v>
      </c>
      <c r="BT63" t="s">
        <v>143</v>
      </c>
      <c r="BU63" t="e">
        <f ca="1">AVERAGEIFS(INDIRECT($J$3),INDIRECT($J$3),"&gt;=0",Data!$B:$B,BT63,IF($A$20,Data!$J:$J,Data!#REF!),IF($A$20,"&lt;&gt;5",1))</f>
        <v>#DIV/0!</v>
      </c>
      <c r="BV63" t="e">
        <f t="shared" ca="1" si="26"/>
        <v>#DIV/0!</v>
      </c>
    </row>
    <row r="64" spans="10:74" x14ac:dyDescent="0.35">
      <c r="J64">
        <f t="shared" si="27"/>
        <v>56</v>
      </c>
      <c r="K64" t="s">
        <v>35</v>
      </c>
      <c r="L64" t="e">
        <f ca="1">AVERAGEIFS(INDIRECT($B$3),INDIRECT($B$3),"&gt;=0",Data!$B:$B,$K64)</f>
        <v>#DIV/0!</v>
      </c>
      <c r="M64" t="e">
        <f t="shared" ca="1" si="28"/>
        <v>#DIV/0!</v>
      </c>
      <c r="N64" t="s">
        <v>34</v>
      </c>
      <c r="O64" t="e">
        <f ca="1">AVERAGEIFS(INDIRECT($C$3),INDIRECT($C$3),"&gt;=0",Data!$B:$B,$N64)</f>
        <v>#DIV/0!</v>
      </c>
      <c r="P64" t="e">
        <f t="shared" ca="1" si="1"/>
        <v>#DIV/0!</v>
      </c>
      <c r="Q64" t="s">
        <v>3</v>
      </c>
      <c r="R64" t="e">
        <f ca="1">AVERAGEIFS(INDIRECT($D$3),INDIRECT($D$3),"&gt;=0",Data!$B:$B,$Q64)</f>
        <v>#DIV/0!</v>
      </c>
      <c r="S64" t="e">
        <f t="shared" ca="1" si="2"/>
        <v>#DIV/0!</v>
      </c>
      <c r="T64" t="s">
        <v>181</v>
      </c>
      <c r="U64" t="e">
        <f ca="1">AVERAGEIFS(INDIRECT($E$3),INDIRECT($E$3),"&gt;=0",Data!$B:$B,$T64)</f>
        <v>#DIV/0!</v>
      </c>
      <c r="V64" t="e">
        <f t="shared" ca="1" si="3"/>
        <v>#DIV/0!</v>
      </c>
      <c r="W64" t="s">
        <v>197</v>
      </c>
      <c r="X64" t="e">
        <f ca="1">AVERAGEIFS(INDIRECT($F$3),INDIRECT($F$3),"&gt;=0",Data!$B:$B,$W64)</f>
        <v>#DIV/0!</v>
      </c>
      <c r="Y64" t="e">
        <f t="shared" ca="1" si="4"/>
        <v>#DIV/0!</v>
      </c>
      <c r="Z64" t="s">
        <v>63</v>
      </c>
      <c r="AA64" t="e">
        <f ca="1">AVERAGEIFS(INDIRECT($G$3),INDIRECT($G$3),"&gt;=0",Data!$B:$B,$Z64)</f>
        <v>#DIV/0!</v>
      </c>
      <c r="AB64" t="e">
        <f t="shared" ca="1" si="5"/>
        <v>#DIV/0!</v>
      </c>
      <c r="AC64" t="s">
        <v>171</v>
      </c>
      <c r="AD64" t="e">
        <f ca="1">AVERAGEIFS(INDIRECT($H$3),INDIRECT($H$3),"&gt;=0",Data!$B:$B,$AC64)</f>
        <v>#DIV/0!</v>
      </c>
      <c r="AE64" t="e">
        <f t="shared" ca="1" si="6"/>
        <v>#DIV/0!</v>
      </c>
      <c r="AF64" t="s">
        <v>16</v>
      </c>
      <c r="AG64" t="e">
        <f ca="1">AVERAGEIFS(INDIRECT($I$3),INDIRECT($I$3),"&gt;=0",Data!$B:$B,$AF64)</f>
        <v>#DIV/0!</v>
      </c>
      <c r="AH64" t="e">
        <f t="shared" ca="1" si="7"/>
        <v>#DIV/0!</v>
      </c>
      <c r="AI64" t="s">
        <v>143</v>
      </c>
      <c r="AJ64" t="e">
        <f ca="1">AVERAGEIFS(INDIRECT($J$3),INDIRECT($J$3),"&gt;=0",Data!$B:$B,$AI64)</f>
        <v>#DIV/0!</v>
      </c>
      <c r="AK64" t="e">
        <f t="shared" ca="1" si="8"/>
        <v>#DIV/0!</v>
      </c>
      <c r="AL64" t="str">
        <f t="shared" ca="1" si="9"/>
        <v>-</v>
      </c>
      <c r="AM64" t="str">
        <f t="shared" ca="1" si="10"/>
        <v>-</v>
      </c>
      <c r="AN64" t="str">
        <f t="shared" ca="1" si="11"/>
        <v>-</v>
      </c>
      <c r="AO64" t="str">
        <f t="shared" ca="1" si="12"/>
        <v>-</v>
      </c>
      <c r="AP64" t="str">
        <f t="shared" ca="1" si="13"/>
        <v>-</v>
      </c>
      <c r="AQ64" t="str">
        <f t="shared" ca="1" si="14"/>
        <v>-</v>
      </c>
      <c r="AR64" t="str">
        <f t="shared" ca="1" si="15"/>
        <v>-</v>
      </c>
      <c r="AS64" t="str">
        <f t="shared" ca="1" si="16"/>
        <v>-</v>
      </c>
      <c r="AT64" t="str">
        <f t="shared" ca="1" si="17"/>
        <v>-</v>
      </c>
      <c r="AU64">
        <f t="shared" si="29"/>
        <v>56</v>
      </c>
      <c r="AV64" t="s">
        <v>199</v>
      </c>
      <c r="AW64" s="20" t="e">
        <f ca="1">AVERAGEIFS(INDIRECT($B$3),INDIRECT($B$3),"&gt;=0",Data!$B:$B,AV64,IF($A$20,Data!$J:$J,Data!#REF!),IF($A$20,"&lt;&gt;5",1))</f>
        <v>#DIV/0!</v>
      </c>
      <c r="AX64" t="e">
        <f t="shared" ca="1" si="18"/>
        <v>#DIV/0!</v>
      </c>
      <c r="AY64" s="20" t="s">
        <v>34</v>
      </c>
      <c r="AZ64" t="e">
        <f ca="1">AVERAGEIFS(INDIRECT($C$3),INDIRECT($C$3),"&gt;=0",Data!$B:$B,AY64,IF($A$20,Data!$J:$J,Data!#REF!),IF($A$20,"&lt;&gt;5",1))</f>
        <v>#DIV/0!</v>
      </c>
      <c r="BA64" s="20" t="e">
        <f t="shared" ca="1" si="19"/>
        <v>#DIV/0!</v>
      </c>
      <c r="BB64" t="s">
        <v>163</v>
      </c>
      <c r="BC64" s="20" t="e">
        <f ca="1">AVERAGEIFS(INDIRECT($D$3),INDIRECT($D$3),"&gt;=0",Data!$B:$B,BB64,IF($A$20,Data!$J:$J,Data!#REF!),IF($A$20,"&lt;&gt;5",1))</f>
        <v>#DIV/0!</v>
      </c>
      <c r="BD64" t="e">
        <f t="shared" ca="1" si="20"/>
        <v>#DIV/0!</v>
      </c>
      <c r="BE64" s="20" t="s">
        <v>144</v>
      </c>
      <c r="BF64" t="e">
        <f ca="1">AVERAGEIFS(INDIRECT($E$3),INDIRECT($E$3),"&gt;=0",Data!$B:$B,BE64,IF($A$20,Data!$J:$J,Data!#REF!),IF($A$20,"&lt;&gt;5",1))</f>
        <v>#DIV/0!</v>
      </c>
      <c r="BG64" s="20" t="e">
        <f t="shared" ca="1" si="21"/>
        <v>#DIV/0!</v>
      </c>
      <c r="BH64" t="s">
        <v>9</v>
      </c>
      <c r="BI64" s="20" t="e">
        <f ca="1">AVERAGEIFS(INDIRECT($F$3),INDIRECT($F$3),"&gt;=0",Data!$B:$B,BH64,IF($A$20,Data!$J:$J,Data!#REF!),IF($A$20,"&lt;&gt;5",1))</f>
        <v>#DIV/0!</v>
      </c>
      <c r="BJ64" t="e">
        <f t="shared" ca="1" si="22"/>
        <v>#DIV/0!</v>
      </c>
      <c r="BK64" s="20" t="s">
        <v>51</v>
      </c>
      <c r="BL64" t="e">
        <f ca="1">AVERAGEIFS(INDIRECT($G$3),INDIRECT($G$3),"&gt;=0",Data!$B:$B,BK64,IF($A$20,Data!$J:$J,Data!#REF!),IF($A$20,"&lt;&gt;5",1))</f>
        <v>#DIV/0!</v>
      </c>
      <c r="BM64" s="20" t="e">
        <f t="shared" ca="1" si="23"/>
        <v>#DIV/0!</v>
      </c>
      <c r="BN64" t="s">
        <v>184</v>
      </c>
      <c r="BO64" t="e">
        <f ca="1">AVERAGEIFS(INDIRECT($H$3),INDIRECT($H$3),"&gt;=0",Data!$B:$B,BN64,IF($A$20,Data!$J:$J,Data!#REF!),IF($A$20,"&lt;&gt;5",1))</f>
        <v>#DIV/0!</v>
      </c>
      <c r="BP64" t="e">
        <f t="shared" ca="1" si="24"/>
        <v>#DIV/0!</v>
      </c>
      <c r="BQ64" t="s">
        <v>100</v>
      </c>
      <c r="BR64" t="e">
        <f ca="1">AVERAGEIFS(INDIRECT($I$3),INDIRECT($I$3),"&gt;=0",Data!$B:$B,BQ64,IF($A$20,Data!$J:$J,Data!#REF!),IF($A$20,"&lt;&gt;5",1))</f>
        <v>#DIV/0!</v>
      </c>
      <c r="BS64" t="e">
        <f t="shared" ca="1" si="25"/>
        <v>#DIV/0!</v>
      </c>
      <c r="BT64" t="s">
        <v>139</v>
      </c>
      <c r="BU64" t="e">
        <f ca="1">AVERAGEIFS(INDIRECT($J$3),INDIRECT($J$3),"&gt;=0",Data!$B:$B,BT64,IF($A$20,Data!$J:$J,Data!#REF!),IF($A$20,"&lt;&gt;5",1))</f>
        <v>#DIV/0!</v>
      </c>
      <c r="BV64" t="e">
        <f t="shared" ca="1" si="26"/>
        <v>#DIV/0!</v>
      </c>
    </row>
    <row r="65" spans="10:74" x14ac:dyDescent="0.35">
      <c r="J65">
        <f t="shared" si="27"/>
        <v>57</v>
      </c>
      <c r="K65" t="s">
        <v>33</v>
      </c>
      <c r="L65" t="e">
        <f ca="1">AVERAGEIFS(INDIRECT($B$3),INDIRECT($B$3),"&gt;=0",Data!$B:$B,$K65)</f>
        <v>#DIV/0!</v>
      </c>
      <c r="M65" t="e">
        <f t="shared" ca="1" si="28"/>
        <v>#DIV/0!</v>
      </c>
      <c r="N65" t="s">
        <v>23</v>
      </c>
      <c r="O65" t="e">
        <f ca="1">AVERAGEIFS(INDIRECT($C$3),INDIRECT($C$3),"&gt;=0",Data!$B:$B,$N65)</f>
        <v>#DIV/0!</v>
      </c>
      <c r="P65" t="e">
        <f t="shared" ca="1" si="1"/>
        <v>#DIV/0!</v>
      </c>
      <c r="Q65" t="s">
        <v>28</v>
      </c>
      <c r="R65" t="e">
        <f ca="1">AVERAGEIFS(INDIRECT($D$3),INDIRECT($D$3),"&gt;=0",Data!$B:$B,$Q65)</f>
        <v>#DIV/0!</v>
      </c>
      <c r="S65" t="e">
        <f t="shared" ca="1" si="2"/>
        <v>#DIV/0!</v>
      </c>
      <c r="T65" t="s">
        <v>167</v>
      </c>
      <c r="U65" t="e">
        <f ca="1">AVERAGEIFS(INDIRECT($E$3),INDIRECT($E$3),"&gt;=0",Data!$B:$B,$T65)</f>
        <v>#DIV/0!</v>
      </c>
      <c r="V65" t="e">
        <f t="shared" ca="1" si="3"/>
        <v>#DIV/0!</v>
      </c>
      <c r="W65" t="s">
        <v>3</v>
      </c>
      <c r="X65" t="e">
        <f ca="1">AVERAGEIFS(INDIRECT($F$3),INDIRECT($F$3),"&gt;=0",Data!$B:$B,$W65)</f>
        <v>#DIV/0!</v>
      </c>
      <c r="Y65" t="e">
        <f t="shared" ca="1" si="4"/>
        <v>#DIV/0!</v>
      </c>
      <c r="Z65" t="s">
        <v>51</v>
      </c>
      <c r="AA65" t="e">
        <f ca="1">AVERAGEIFS(INDIRECT($G$3),INDIRECT($G$3),"&gt;=0",Data!$B:$B,$Z65)</f>
        <v>#DIV/0!</v>
      </c>
      <c r="AB65" t="e">
        <f t="shared" ca="1" si="5"/>
        <v>#DIV/0!</v>
      </c>
      <c r="AC65" t="s">
        <v>176</v>
      </c>
      <c r="AD65" t="e">
        <f ca="1">AVERAGEIFS(INDIRECT($H$3),INDIRECT($H$3),"&gt;=0",Data!$B:$B,$AC65)</f>
        <v>#DIV/0!</v>
      </c>
      <c r="AE65" t="e">
        <f t="shared" ca="1" si="6"/>
        <v>#DIV/0!</v>
      </c>
      <c r="AF65" t="s">
        <v>38</v>
      </c>
      <c r="AG65" t="e">
        <f ca="1">AVERAGEIFS(INDIRECT($I$3),INDIRECT($I$3),"&gt;=0",Data!$B:$B,$AF65)</f>
        <v>#DIV/0!</v>
      </c>
      <c r="AH65" t="e">
        <f t="shared" ca="1" si="7"/>
        <v>#DIV/0!</v>
      </c>
      <c r="AI65" t="s">
        <v>139</v>
      </c>
      <c r="AJ65" t="e">
        <f ca="1">AVERAGEIFS(INDIRECT($J$3),INDIRECT($J$3),"&gt;=0",Data!$B:$B,$AI65)</f>
        <v>#DIV/0!</v>
      </c>
      <c r="AK65" t="e">
        <f t="shared" ca="1" si="8"/>
        <v>#DIV/0!</v>
      </c>
      <c r="AL65" t="str">
        <f t="shared" ca="1" si="9"/>
        <v>-</v>
      </c>
      <c r="AM65" t="str">
        <f t="shared" ca="1" si="10"/>
        <v>-</v>
      </c>
      <c r="AN65" t="str">
        <f t="shared" ca="1" si="11"/>
        <v>-</v>
      </c>
      <c r="AO65" t="str">
        <f t="shared" ca="1" si="12"/>
        <v>-</v>
      </c>
      <c r="AP65" t="str">
        <f t="shared" ca="1" si="13"/>
        <v>-</v>
      </c>
      <c r="AQ65" t="str">
        <f t="shared" ca="1" si="14"/>
        <v>-</v>
      </c>
      <c r="AR65" t="str">
        <f t="shared" ca="1" si="15"/>
        <v>-</v>
      </c>
      <c r="AS65" t="str">
        <f t="shared" ca="1" si="16"/>
        <v>-</v>
      </c>
      <c r="AT65" t="str">
        <f t="shared" ca="1" si="17"/>
        <v>-</v>
      </c>
      <c r="AU65">
        <f t="shared" si="29"/>
        <v>57</v>
      </c>
      <c r="AV65" t="s">
        <v>17</v>
      </c>
      <c r="AW65" s="20" t="e">
        <f ca="1">AVERAGEIFS(INDIRECT($B$3),INDIRECT($B$3),"&gt;=0",Data!$B:$B,AV65,IF($A$20,Data!$J:$J,Data!#REF!),IF($A$20,"&lt;&gt;5",1))</f>
        <v>#DIV/0!</v>
      </c>
      <c r="AX65" t="e">
        <f t="shared" ca="1" si="18"/>
        <v>#DIV/0!</v>
      </c>
      <c r="AY65" s="20" t="s">
        <v>23</v>
      </c>
      <c r="AZ65" t="e">
        <f ca="1">AVERAGEIFS(INDIRECT($C$3),INDIRECT($C$3),"&gt;=0",Data!$B:$B,AY65,IF($A$20,Data!$J:$J,Data!#REF!),IF($A$20,"&lt;&gt;5",1))</f>
        <v>#DIV/0!</v>
      </c>
      <c r="BA65" s="20" t="e">
        <f t="shared" ca="1" si="19"/>
        <v>#DIV/0!</v>
      </c>
      <c r="BB65" t="s">
        <v>109</v>
      </c>
      <c r="BC65" s="20" t="e">
        <f ca="1">AVERAGEIFS(INDIRECT($D$3),INDIRECT($D$3),"&gt;=0",Data!$B:$B,BB65,IF($A$20,Data!$J:$J,Data!#REF!),IF($A$20,"&lt;&gt;5",1))</f>
        <v>#DIV/0!</v>
      </c>
      <c r="BD65" t="e">
        <f t="shared" ca="1" si="20"/>
        <v>#DIV/0!</v>
      </c>
      <c r="BE65" s="20" t="s">
        <v>149</v>
      </c>
      <c r="BF65" t="e">
        <f ca="1">AVERAGEIFS(INDIRECT($E$3),INDIRECT($E$3),"&gt;=0",Data!$B:$B,BE65,IF($A$20,Data!$J:$J,Data!#REF!),IF($A$20,"&lt;&gt;5",1))</f>
        <v>#DIV/0!</v>
      </c>
      <c r="BG65" s="20" t="e">
        <f t="shared" ca="1" si="21"/>
        <v>#DIV/0!</v>
      </c>
      <c r="BH65" t="s">
        <v>163</v>
      </c>
      <c r="BI65" s="20" t="e">
        <f ca="1">AVERAGEIFS(INDIRECT($F$3),INDIRECT($F$3),"&gt;=0",Data!$B:$B,BH65,IF($A$20,Data!$J:$J,Data!#REF!),IF($A$20,"&lt;&gt;5",1))</f>
        <v>#DIV/0!</v>
      </c>
      <c r="BJ65" t="e">
        <f t="shared" ca="1" si="22"/>
        <v>#DIV/0!</v>
      </c>
      <c r="BK65" s="20" t="s">
        <v>145</v>
      </c>
      <c r="BL65">
        <f ca="1">AVERAGEIFS(INDIRECT($G$3),INDIRECT($G$3),"&gt;=0",Data!$B:$B,BK65,IF($A$20,Data!$J:$J,Data!#REF!),IF($A$20,"&lt;&gt;5",1))</f>
        <v>0.6785714285714286</v>
      </c>
      <c r="BM65" s="20" t="e">
        <f t="shared" ca="1" si="23"/>
        <v>#DIV/0!</v>
      </c>
      <c r="BN65" t="s">
        <v>191</v>
      </c>
      <c r="BO65" t="e">
        <f ca="1">AVERAGEIFS(INDIRECT($H$3),INDIRECT($H$3),"&gt;=0",Data!$B:$B,BN65,IF($A$20,Data!$J:$J,Data!#REF!),IF($A$20,"&lt;&gt;5",1))</f>
        <v>#DIV/0!</v>
      </c>
      <c r="BP65" t="e">
        <f t="shared" ca="1" si="24"/>
        <v>#DIV/0!</v>
      </c>
      <c r="BQ65" t="s">
        <v>174</v>
      </c>
      <c r="BR65" t="e">
        <f ca="1">AVERAGEIFS(INDIRECT($I$3),INDIRECT($I$3),"&gt;=0",Data!$B:$B,BQ65,IF($A$20,Data!$J:$J,Data!#REF!),IF($A$20,"&lt;&gt;5",1))</f>
        <v>#DIV/0!</v>
      </c>
      <c r="BS65" t="e">
        <f t="shared" ca="1" si="25"/>
        <v>#DIV/0!</v>
      </c>
      <c r="BT65" t="s">
        <v>138</v>
      </c>
      <c r="BU65" t="e">
        <f ca="1">AVERAGEIFS(INDIRECT($J$3),INDIRECT($J$3),"&gt;=0",Data!$B:$B,BT65,IF($A$20,Data!$J:$J,Data!#REF!),IF($A$20,"&lt;&gt;5",1))</f>
        <v>#DIV/0!</v>
      </c>
      <c r="BV65" t="e">
        <f t="shared" ca="1" si="26"/>
        <v>#DIV/0!</v>
      </c>
    </row>
    <row r="66" spans="10:74" x14ac:dyDescent="0.35">
      <c r="J66">
        <f t="shared" si="27"/>
        <v>58</v>
      </c>
      <c r="K66" t="s">
        <v>45</v>
      </c>
      <c r="L66" t="e">
        <f ca="1">AVERAGEIFS(INDIRECT($B$3),INDIRECT($B$3),"&gt;=0",Data!$B:$B,$K66)</f>
        <v>#DIV/0!</v>
      </c>
      <c r="M66" t="e">
        <f t="shared" ca="1" si="28"/>
        <v>#DIV/0!</v>
      </c>
      <c r="N66" t="s">
        <v>76</v>
      </c>
      <c r="O66" t="e">
        <f ca="1">AVERAGEIFS(INDIRECT($C$3),INDIRECT($C$3),"&gt;=0",Data!$B:$B,$N66)</f>
        <v>#DIV/0!</v>
      </c>
      <c r="P66" t="e">
        <f t="shared" ca="1" si="1"/>
        <v>#DIV/0!</v>
      </c>
      <c r="Q66" t="s">
        <v>103</v>
      </c>
      <c r="R66" t="e">
        <f ca="1">AVERAGEIFS(INDIRECT($D$3),INDIRECT($D$3),"&gt;=0",Data!$B:$B,$Q66)</f>
        <v>#DIV/0!</v>
      </c>
      <c r="S66" t="e">
        <f t="shared" ca="1" si="2"/>
        <v>#DIV/0!</v>
      </c>
      <c r="T66" t="s">
        <v>26</v>
      </c>
      <c r="U66" t="e">
        <f ca="1">AVERAGEIFS(INDIRECT($E$3),INDIRECT($E$3),"&gt;=0",Data!$B:$B,$T66)</f>
        <v>#DIV/0!</v>
      </c>
      <c r="V66" t="e">
        <f t="shared" ca="1" si="3"/>
        <v>#DIV/0!</v>
      </c>
      <c r="W66" t="s">
        <v>5</v>
      </c>
      <c r="X66" t="e">
        <f ca="1">AVERAGEIFS(INDIRECT($F$3),INDIRECT($F$3),"&gt;=0",Data!$B:$B,$W66)</f>
        <v>#DIV/0!</v>
      </c>
      <c r="Y66" t="e">
        <f t="shared" ca="1" si="4"/>
        <v>#DIV/0!</v>
      </c>
      <c r="Z66" t="s">
        <v>56</v>
      </c>
      <c r="AA66">
        <f ca="1">AVERAGEIFS(INDIRECT($G$3),INDIRECT($G$3),"&gt;=0",Data!$B:$B,$Z66)</f>
        <v>0.6470588235294118</v>
      </c>
      <c r="AB66" t="e">
        <f t="shared" ca="1" si="5"/>
        <v>#DIV/0!</v>
      </c>
      <c r="AC66" t="s">
        <v>178</v>
      </c>
      <c r="AD66" t="e">
        <f ca="1">AVERAGEIFS(INDIRECT($H$3),INDIRECT($H$3),"&gt;=0",Data!$B:$B,$AC66)</f>
        <v>#DIV/0!</v>
      </c>
      <c r="AE66" t="e">
        <f t="shared" ca="1" si="6"/>
        <v>#DIV/0!</v>
      </c>
      <c r="AF66" t="s">
        <v>55</v>
      </c>
      <c r="AG66">
        <f ca="1">AVERAGEIFS(INDIRECT($I$3),INDIRECT($I$3),"&gt;=0",Data!$B:$B,$AF66)</f>
        <v>0.54054054054054057</v>
      </c>
      <c r="AH66" t="e">
        <f t="shared" ca="1" si="7"/>
        <v>#DIV/0!</v>
      </c>
      <c r="AI66" t="s">
        <v>138</v>
      </c>
      <c r="AJ66" t="e">
        <f ca="1">AVERAGEIFS(INDIRECT($J$3),INDIRECT($J$3),"&gt;=0",Data!$B:$B,$AI66)</f>
        <v>#DIV/0!</v>
      </c>
      <c r="AK66" t="e">
        <f t="shared" ca="1" si="8"/>
        <v>#DIV/0!</v>
      </c>
      <c r="AL66" t="str">
        <f t="shared" ca="1" si="9"/>
        <v>-</v>
      </c>
      <c r="AM66" t="str">
        <f t="shared" ca="1" si="10"/>
        <v>-</v>
      </c>
      <c r="AN66" t="str">
        <f t="shared" ca="1" si="11"/>
        <v>-</v>
      </c>
      <c r="AO66" t="str">
        <f t="shared" ca="1" si="12"/>
        <v>-</v>
      </c>
      <c r="AP66" t="str">
        <f t="shared" ca="1" si="13"/>
        <v>-</v>
      </c>
      <c r="AQ66" t="str">
        <f t="shared" ca="1" si="14"/>
        <v>-</v>
      </c>
      <c r="AR66" t="str">
        <f t="shared" ca="1" si="15"/>
        <v>-</v>
      </c>
      <c r="AS66" t="str">
        <f t="shared" ca="1" si="16"/>
        <v>-</v>
      </c>
      <c r="AT66" t="str">
        <f t="shared" ca="1" si="17"/>
        <v>-</v>
      </c>
      <c r="AU66">
        <f t="shared" si="29"/>
        <v>58</v>
      </c>
      <c r="AV66" t="s">
        <v>58</v>
      </c>
      <c r="AW66" s="20" t="e">
        <f ca="1">AVERAGEIFS(INDIRECT($B$3),INDIRECT($B$3),"&gt;=0",Data!$B:$B,AV66,IF($A$20,Data!$J:$J,Data!#REF!),IF($A$20,"&lt;&gt;5",1))</f>
        <v>#DIV/0!</v>
      </c>
      <c r="AX66" t="e">
        <f t="shared" ca="1" si="18"/>
        <v>#DIV/0!</v>
      </c>
      <c r="AY66" s="20" t="s">
        <v>76</v>
      </c>
      <c r="AZ66" t="e">
        <f ca="1">AVERAGEIFS(INDIRECT($C$3),INDIRECT($C$3),"&gt;=0",Data!$B:$B,AY66,IF($A$20,Data!$J:$J,Data!#REF!),IF($A$20,"&lt;&gt;5",1))</f>
        <v>#DIV/0!</v>
      </c>
      <c r="BA66" s="20" t="e">
        <f t="shared" ca="1" si="19"/>
        <v>#DIV/0!</v>
      </c>
      <c r="BB66" t="s">
        <v>51</v>
      </c>
      <c r="BC66" s="20" t="e">
        <f ca="1">AVERAGEIFS(INDIRECT($D$3),INDIRECT($D$3),"&gt;=0",Data!$B:$B,BB66,IF($A$20,Data!$J:$J,Data!#REF!),IF($A$20,"&lt;&gt;5",1))</f>
        <v>#DIV/0!</v>
      </c>
      <c r="BD66" t="e">
        <f t="shared" ca="1" si="20"/>
        <v>#DIV/0!</v>
      </c>
      <c r="BE66" s="20" t="s">
        <v>29</v>
      </c>
      <c r="BF66" t="e">
        <f ca="1">AVERAGEIFS(INDIRECT($E$3),INDIRECT($E$3),"&gt;=0",Data!$B:$B,BE66,IF($A$20,Data!$J:$J,Data!#REF!),IF($A$20,"&lt;&gt;5",1))</f>
        <v>#DIV/0!</v>
      </c>
      <c r="BG66" s="20" t="e">
        <f t="shared" ca="1" si="21"/>
        <v>#DIV/0!</v>
      </c>
      <c r="BH66" t="s">
        <v>154</v>
      </c>
      <c r="BI66" s="20" t="e">
        <f ca="1">AVERAGEIFS(INDIRECT($F$3),INDIRECT($F$3),"&gt;=0",Data!$B:$B,BH66,IF($A$20,Data!$J:$J,Data!#REF!),IF($A$20,"&lt;&gt;5",1))</f>
        <v>#DIV/0!</v>
      </c>
      <c r="BJ66" t="e">
        <f t="shared" ca="1" si="22"/>
        <v>#DIV/0!</v>
      </c>
      <c r="BK66" s="20" t="s">
        <v>154</v>
      </c>
      <c r="BL66" t="e">
        <f ca="1">AVERAGEIFS(INDIRECT($G$3),INDIRECT($G$3),"&gt;=0",Data!$B:$B,BK66,IF($A$20,Data!$J:$J,Data!#REF!),IF($A$20,"&lt;&gt;5",1))</f>
        <v>#DIV/0!</v>
      </c>
      <c r="BM66" s="20" t="e">
        <f t="shared" ca="1" si="23"/>
        <v>#DIV/0!</v>
      </c>
      <c r="BN66" t="s">
        <v>158</v>
      </c>
      <c r="BO66" t="e">
        <f ca="1">AVERAGEIFS(INDIRECT($H$3),INDIRECT($H$3),"&gt;=0",Data!$B:$B,BN66,IF($A$20,Data!$J:$J,Data!#REF!),IF($A$20,"&lt;&gt;5",1))</f>
        <v>#DIV/0!</v>
      </c>
      <c r="BP66" t="e">
        <f t="shared" ca="1" si="24"/>
        <v>#DIV/0!</v>
      </c>
      <c r="BQ66" t="s">
        <v>16</v>
      </c>
      <c r="BR66" t="e">
        <f ca="1">AVERAGEIFS(INDIRECT($I$3),INDIRECT($I$3),"&gt;=0",Data!$B:$B,BQ66,IF($A$20,Data!$J:$J,Data!#REF!),IF($A$20,"&lt;&gt;5",1))</f>
        <v>#DIV/0!</v>
      </c>
      <c r="BS66" t="e">
        <f t="shared" ca="1" si="25"/>
        <v>#DIV/0!</v>
      </c>
      <c r="BT66" t="s">
        <v>134</v>
      </c>
      <c r="BU66">
        <f ca="1">AVERAGEIFS(INDIRECT($J$3),INDIRECT($J$3),"&gt;=0",Data!$B:$B,BT66,IF($A$20,Data!$J:$J,Data!#REF!),IF($A$20,"&lt;&gt;5",1))</f>
        <v>0.35</v>
      </c>
      <c r="BV66" t="e">
        <f t="shared" ca="1" si="26"/>
        <v>#DIV/0!</v>
      </c>
    </row>
    <row r="67" spans="10:74" x14ac:dyDescent="0.35">
      <c r="J67">
        <f t="shared" si="27"/>
        <v>59</v>
      </c>
      <c r="K67" t="s">
        <v>57</v>
      </c>
      <c r="L67" t="e">
        <f ca="1">AVERAGEIFS(INDIRECT($B$3),INDIRECT($B$3),"&gt;=0",Data!$B:$B,$K67)</f>
        <v>#DIV/0!</v>
      </c>
      <c r="M67" t="e">
        <f t="shared" ca="1" si="28"/>
        <v>#DIV/0!</v>
      </c>
      <c r="N67" t="s">
        <v>45</v>
      </c>
      <c r="O67" t="e">
        <f ca="1">AVERAGEIFS(INDIRECT($C$3),INDIRECT($C$3),"&gt;=0",Data!$B:$B,$N67)</f>
        <v>#DIV/0!</v>
      </c>
      <c r="P67" t="e">
        <f t="shared" ca="1" si="1"/>
        <v>#DIV/0!</v>
      </c>
      <c r="Q67" t="s">
        <v>104</v>
      </c>
      <c r="R67" t="e">
        <f ca="1">AVERAGEIFS(INDIRECT($D$3),INDIRECT($D$3),"&gt;=0",Data!$B:$B,$Q67)</f>
        <v>#DIV/0!</v>
      </c>
      <c r="S67" t="e">
        <f t="shared" ca="1" si="2"/>
        <v>#DIV/0!</v>
      </c>
      <c r="T67" t="s">
        <v>30</v>
      </c>
      <c r="U67" t="e">
        <f ca="1">AVERAGEIFS(INDIRECT($E$3),INDIRECT($E$3),"&gt;=0",Data!$B:$B,$T67)</f>
        <v>#DIV/0!</v>
      </c>
      <c r="V67" t="e">
        <f t="shared" ca="1" si="3"/>
        <v>#DIV/0!</v>
      </c>
      <c r="W67" t="s">
        <v>22</v>
      </c>
      <c r="X67" t="e">
        <f ca="1">AVERAGEIFS(INDIRECT($F$3),INDIRECT($F$3),"&gt;=0",Data!$B:$B,$W67)</f>
        <v>#DIV/0!</v>
      </c>
      <c r="Y67" t="e">
        <f t="shared" ca="1" si="4"/>
        <v>#DIV/0!</v>
      </c>
      <c r="Z67" t="s">
        <v>133</v>
      </c>
      <c r="AA67">
        <f ca="1">AVERAGEIFS(INDIRECT($G$3),INDIRECT($G$3),"&gt;=0",Data!$B:$B,$Z67)</f>
        <v>0.66666666666666663</v>
      </c>
      <c r="AB67">
        <f t="shared" ca="1" si="5"/>
        <v>59</v>
      </c>
      <c r="AC67" t="s">
        <v>182</v>
      </c>
      <c r="AD67" t="e">
        <f ca="1">AVERAGEIFS(INDIRECT($H$3),INDIRECT($H$3),"&gt;=0",Data!$B:$B,$AC67)</f>
        <v>#DIV/0!</v>
      </c>
      <c r="AE67" t="e">
        <f t="shared" ca="1" si="6"/>
        <v>#DIV/0!</v>
      </c>
      <c r="AF67" t="s">
        <v>71</v>
      </c>
      <c r="AG67" t="e">
        <f ca="1">AVERAGEIFS(INDIRECT($I$3),INDIRECT($I$3),"&gt;=0",Data!$B:$B,$AF67)</f>
        <v>#DIV/0!</v>
      </c>
      <c r="AH67" t="e">
        <f t="shared" ca="1" si="7"/>
        <v>#DIV/0!</v>
      </c>
      <c r="AI67" t="s">
        <v>134</v>
      </c>
      <c r="AJ67">
        <f ca="1">AVERAGEIFS(INDIRECT($J$3),INDIRECT($J$3),"&gt;=0",Data!$B:$B,$AI67)</f>
        <v>0.33333333333333331</v>
      </c>
      <c r="AK67" t="e">
        <f t="shared" ca="1" si="8"/>
        <v>#DIV/0!</v>
      </c>
      <c r="AL67" t="str">
        <f t="shared" ca="1" si="9"/>
        <v>-</v>
      </c>
      <c r="AM67" t="str">
        <f t="shared" ca="1" si="10"/>
        <v>-</v>
      </c>
      <c r="AN67" t="str">
        <f t="shared" ca="1" si="11"/>
        <v>-</v>
      </c>
      <c r="AO67" t="str">
        <f t="shared" ca="1" si="12"/>
        <v>-</v>
      </c>
      <c r="AP67" t="str">
        <f t="shared" ca="1" si="13"/>
        <v>-</v>
      </c>
      <c r="AQ67" t="str">
        <f t="shared" ca="1" si="14"/>
        <v>-</v>
      </c>
      <c r="AR67" t="str">
        <f t="shared" ca="1" si="15"/>
        <v>-</v>
      </c>
      <c r="AS67" t="str">
        <f t="shared" ca="1" si="16"/>
        <v>-</v>
      </c>
      <c r="AT67" t="str">
        <f t="shared" ca="1" si="17"/>
        <v>-</v>
      </c>
      <c r="AU67">
        <f t="shared" si="29"/>
        <v>59</v>
      </c>
      <c r="AV67" t="s">
        <v>69</v>
      </c>
      <c r="AW67" s="20" t="e">
        <f ca="1">AVERAGEIFS(INDIRECT($B$3),INDIRECT($B$3),"&gt;=0",Data!$B:$B,AV67,IF($A$20,Data!$J:$J,Data!#REF!),IF($A$20,"&lt;&gt;5",1))</f>
        <v>#DIV/0!</v>
      </c>
      <c r="AX67" t="e">
        <f t="shared" ca="1" si="18"/>
        <v>#DIV/0!</v>
      </c>
      <c r="AY67" s="20" t="s">
        <v>45</v>
      </c>
      <c r="AZ67" t="e">
        <f ca="1">AVERAGEIFS(INDIRECT($C$3),INDIRECT($C$3),"&gt;=0",Data!$B:$B,AY67,IF($A$20,Data!$J:$J,Data!#REF!),IF($A$20,"&lt;&gt;5",1))</f>
        <v>#DIV/0!</v>
      </c>
      <c r="BA67" s="20" t="e">
        <f t="shared" ca="1" si="19"/>
        <v>#DIV/0!</v>
      </c>
      <c r="BB67" t="s">
        <v>58</v>
      </c>
      <c r="BC67" s="20" t="e">
        <f ca="1">AVERAGEIFS(INDIRECT($D$3),INDIRECT($D$3),"&gt;=0",Data!$B:$B,BB67,IF($A$20,Data!$J:$J,Data!#REF!),IF($A$20,"&lt;&gt;5",1))</f>
        <v>#DIV/0!</v>
      </c>
      <c r="BD67" t="e">
        <f t="shared" ca="1" si="20"/>
        <v>#DIV/0!</v>
      </c>
      <c r="BE67" s="20" t="s">
        <v>181</v>
      </c>
      <c r="BF67" t="e">
        <f ca="1">AVERAGEIFS(INDIRECT($E$3),INDIRECT($E$3),"&gt;=0",Data!$B:$B,BE67,IF($A$20,Data!$J:$J,Data!#REF!),IF($A$20,"&lt;&gt;5",1))</f>
        <v>#DIV/0!</v>
      </c>
      <c r="BG67" s="20" t="e">
        <f t="shared" ca="1" si="21"/>
        <v>#DIV/0!</v>
      </c>
      <c r="BH67" t="s">
        <v>34</v>
      </c>
      <c r="BI67" s="20">
        <f ca="1">AVERAGEIFS(INDIRECT($F$3),INDIRECT($F$3),"&gt;=0",Data!$B:$B,BH67,IF($A$20,Data!$J:$J,Data!#REF!),IF($A$20,"&lt;&gt;5",1))</f>
        <v>1</v>
      </c>
      <c r="BJ67" t="e">
        <f t="shared" ca="1" si="22"/>
        <v>#DIV/0!</v>
      </c>
      <c r="BK67" s="20" t="s">
        <v>96</v>
      </c>
      <c r="BL67" t="e">
        <f ca="1">AVERAGEIFS(INDIRECT($G$3),INDIRECT($G$3),"&gt;=0",Data!$B:$B,BK67,IF($A$20,Data!$J:$J,Data!#REF!),IF($A$20,"&lt;&gt;5",1))</f>
        <v>#DIV/0!</v>
      </c>
      <c r="BM67" s="20" t="e">
        <f t="shared" ca="1" si="23"/>
        <v>#DIV/0!</v>
      </c>
      <c r="BN67" t="s">
        <v>159</v>
      </c>
      <c r="BO67" t="e">
        <f ca="1">AVERAGEIFS(INDIRECT($H$3),INDIRECT($H$3),"&gt;=0",Data!$B:$B,BN67,IF($A$20,Data!$J:$J,Data!#REF!),IF($A$20,"&lt;&gt;5",1))</f>
        <v>#DIV/0!</v>
      </c>
      <c r="BP67" t="e">
        <f t="shared" ca="1" si="24"/>
        <v>#DIV/0!</v>
      </c>
      <c r="BQ67" t="s">
        <v>148</v>
      </c>
      <c r="BR67" t="e">
        <f ca="1">AVERAGEIFS(INDIRECT($I$3),INDIRECT($I$3),"&gt;=0",Data!$B:$B,BQ67,IF($A$20,Data!$J:$J,Data!#REF!),IF($A$20,"&lt;&gt;5",1))</f>
        <v>#DIV/0!</v>
      </c>
      <c r="BS67" t="e">
        <f t="shared" ca="1" si="25"/>
        <v>#DIV/0!</v>
      </c>
      <c r="BT67" t="s">
        <v>117</v>
      </c>
      <c r="BU67" t="e">
        <f ca="1">AVERAGEIFS(INDIRECT($J$3),INDIRECT($J$3),"&gt;=0",Data!$B:$B,BT67,IF($A$20,Data!$J:$J,Data!#REF!),IF($A$20,"&lt;&gt;5",1))</f>
        <v>#DIV/0!</v>
      </c>
      <c r="BV67" t="e">
        <f t="shared" ca="1" si="26"/>
        <v>#DIV/0!</v>
      </c>
    </row>
    <row r="68" spans="10:74" x14ac:dyDescent="0.35">
      <c r="J68">
        <f t="shared" si="27"/>
        <v>60</v>
      </c>
      <c r="K68" t="s">
        <v>69</v>
      </c>
      <c r="L68" t="e">
        <f ca="1">AVERAGEIFS(INDIRECT($B$3),INDIRECT($B$3),"&gt;=0",Data!$B:$B,$K68)</f>
        <v>#DIV/0!</v>
      </c>
      <c r="M68" t="e">
        <f t="shared" ca="1" si="28"/>
        <v>#DIV/0!</v>
      </c>
      <c r="N68" t="s">
        <v>145</v>
      </c>
      <c r="O68" t="e">
        <f ca="1">AVERAGEIFS(INDIRECT($C$3),INDIRECT($C$3),"&gt;=0",Data!$B:$B,$N68)</f>
        <v>#DIV/0!</v>
      </c>
      <c r="P68" t="e">
        <f t="shared" ca="1" si="1"/>
        <v>#DIV/0!</v>
      </c>
      <c r="Q68" t="s">
        <v>123</v>
      </c>
      <c r="R68" t="e">
        <f ca="1">AVERAGEIFS(INDIRECT($D$3),INDIRECT($D$3),"&gt;=0",Data!$B:$B,$Q68)</f>
        <v>#DIV/0!</v>
      </c>
      <c r="S68" t="e">
        <f t="shared" ca="1" si="2"/>
        <v>#DIV/0!</v>
      </c>
      <c r="T68" t="s">
        <v>71</v>
      </c>
      <c r="U68" t="e">
        <f ca="1">AVERAGEIFS(INDIRECT($E$3),INDIRECT($E$3),"&gt;=0",Data!$B:$B,$T68)</f>
        <v>#DIV/0!</v>
      </c>
      <c r="V68" t="e">
        <f t="shared" ca="1" si="3"/>
        <v>#DIV/0!</v>
      </c>
      <c r="W68" t="s">
        <v>28</v>
      </c>
      <c r="X68" t="e">
        <f ca="1">AVERAGEIFS(INDIRECT($F$3),INDIRECT($F$3),"&gt;=0",Data!$B:$B,$W68)</f>
        <v>#DIV/0!</v>
      </c>
      <c r="Y68" t="e">
        <f t="shared" ca="1" si="4"/>
        <v>#DIV/0!</v>
      </c>
      <c r="Z68" t="s">
        <v>145</v>
      </c>
      <c r="AA68">
        <f ca="1">AVERAGEIFS(INDIRECT($G$3),INDIRECT($G$3),"&gt;=0",Data!$B:$B,$Z68)</f>
        <v>0.68965517241379315</v>
      </c>
      <c r="AB68">
        <f t="shared" ca="1" si="5"/>
        <v>60</v>
      </c>
      <c r="AC68" t="s">
        <v>184</v>
      </c>
      <c r="AD68" t="e">
        <f ca="1">AVERAGEIFS(INDIRECT($H$3),INDIRECT($H$3),"&gt;=0",Data!$B:$B,$AC68)</f>
        <v>#DIV/0!</v>
      </c>
      <c r="AE68" t="e">
        <f t="shared" ca="1" si="6"/>
        <v>#DIV/0!</v>
      </c>
      <c r="AF68" t="s">
        <v>73</v>
      </c>
      <c r="AG68" t="e">
        <f ca="1">AVERAGEIFS(INDIRECT($I$3),INDIRECT($I$3),"&gt;=0",Data!$B:$B,$AF68)</f>
        <v>#DIV/0!</v>
      </c>
      <c r="AH68" t="e">
        <f t="shared" ca="1" si="7"/>
        <v>#DIV/0!</v>
      </c>
      <c r="AI68" t="s">
        <v>117</v>
      </c>
      <c r="AJ68" t="e">
        <f ca="1">AVERAGEIFS(INDIRECT($J$3),INDIRECT($J$3),"&gt;=0",Data!$B:$B,$AI68)</f>
        <v>#DIV/0!</v>
      </c>
      <c r="AK68" t="e">
        <f t="shared" ca="1" si="8"/>
        <v>#DIV/0!</v>
      </c>
      <c r="AL68" t="str">
        <f t="shared" ca="1" si="9"/>
        <v>-</v>
      </c>
      <c r="AM68" t="str">
        <f t="shared" ca="1" si="10"/>
        <v>-</v>
      </c>
      <c r="AN68" t="str">
        <f t="shared" ca="1" si="11"/>
        <v>-</v>
      </c>
      <c r="AO68" t="str">
        <f t="shared" ca="1" si="12"/>
        <v>-</v>
      </c>
      <c r="AP68" t="str">
        <f t="shared" ca="1" si="13"/>
        <v>-</v>
      </c>
      <c r="AQ68" t="str">
        <f t="shared" ca="1" si="14"/>
        <v>-</v>
      </c>
      <c r="AR68" t="str">
        <f t="shared" ca="1" si="15"/>
        <v>-</v>
      </c>
      <c r="AS68" t="str">
        <f t="shared" ca="1" si="16"/>
        <v>-</v>
      </c>
      <c r="AT68" t="str">
        <f t="shared" ca="1" si="17"/>
        <v>-</v>
      </c>
      <c r="AU68">
        <f t="shared" si="29"/>
        <v>60</v>
      </c>
      <c r="AV68" t="s">
        <v>75</v>
      </c>
      <c r="AW68" s="20" t="e">
        <f ca="1">AVERAGEIFS(INDIRECT($B$3),INDIRECT($B$3),"&gt;=0",Data!$B:$B,AV68,IF($A$20,Data!$J:$J,Data!#REF!),IF($A$20,"&lt;&gt;5",1))</f>
        <v>#DIV/0!</v>
      </c>
      <c r="AX68" t="e">
        <f t="shared" ca="1" si="18"/>
        <v>#DIV/0!</v>
      </c>
      <c r="AY68" s="20" t="s">
        <v>145</v>
      </c>
      <c r="AZ68" t="e">
        <f ca="1">AVERAGEIFS(INDIRECT($C$3),INDIRECT($C$3),"&gt;=0",Data!$B:$B,AY68,IF($A$20,Data!$J:$J,Data!#REF!),IF($A$20,"&lt;&gt;5",1))</f>
        <v>#DIV/0!</v>
      </c>
      <c r="BA68" s="20" t="e">
        <f t="shared" ca="1" si="19"/>
        <v>#DIV/0!</v>
      </c>
      <c r="BB68" t="s">
        <v>125</v>
      </c>
      <c r="BC68" s="20" t="e">
        <f ca="1">AVERAGEIFS(INDIRECT($D$3),INDIRECT($D$3),"&gt;=0",Data!$B:$B,BB68,IF($A$20,Data!$J:$J,Data!#REF!),IF($A$20,"&lt;&gt;5",1))</f>
        <v>#DIV/0!</v>
      </c>
      <c r="BD68" t="e">
        <f t="shared" ca="1" si="20"/>
        <v>#DIV/0!</v>
      </c>
      <c r="BE68" s="20" t="s">
        <v>141</v>
      </c>
      <c r="BF68" t="e">
        <f ca="1">AVERAGEIFS(INDIRECT($E$3),INDIRECT($E$3),"&gt;=0",Data!$B:$B,BE68,IF($A$20,Data!$J:$J,Data!#REF!),IF($A$20,"&lt;&gt;5",1))</f>
        <v>#DIV/0!</v>
      </c>
      <c r="BG68" s="20" t="e">
        <f t="shared" ca="1" si="21"/>
        <v>#DIV/0!</v>
      </c>
      <c r="BH68" t="s">
        <v>175</v>
      </c>
      <c r="BI68" s="20" t="e">
        <f ca="1">AVERAGEIFS(INDIRECT($F$3),INDIRECT($F$3),"&gt;=0",Data!$B:$B,BH68,IF($A$20,Data!$J:$J,Data!#REF!),IF($A$20,"&lt;&gt;5",1))</f>
        <v>#DIV/0!</v>
      </c>
      <c r="BJ68" t="e">
        <f t="shared" ca="1" si="22"/>
        <v>#DIV/0!</v>
      </c>
      <c r="BK68" s="20" t="s">
        <v>47</v>
      </c>
      <c r="BL68">
        <f ca="1">AVERAGEIFS(INDIRECT($G$3),INDIRECT($G$3),"&gt;=0",Data!$B:$B,BK68,IF($A$20,Data!$J:$J,Data!#REF!),IF($A$20,"&lt;&gt;5",1))</f>
        <v>0.69230769230769229</v>
      </c>
      <c r="BM68" s="20" t="e">
        <f t="shared" ca="1" si="23"/>
        <v>#DIV/0!</v>
      </c>
      <c r="BN68" t="s">
        <v>157</v>
      </c>
      <c r="BO68" t="e">
        <f ca="1">AVERAGEIFS(INDIRECT($H$3),INDIRECT($H$3),"&gt;=0",Data!$B:$B,BN68,IF($A$20,Data!$J:$J,Data!#REF!),IF($A$20,"&lt;&gt;5",1))</f>
        <v>#DIV/0!</v>
      </c>
      <c r="BP68" t="e">
        <f t="shared" ca="1" si="24"/>
        <v>#DIV/0!</v>
      </c>
      <c r="BQ68" t="s">
        <v>183</v>
      </c>
      <c r="BR68" t="e">
        <f ca="1">AVERAGEIFS(INDIRECT($I$3),INDIRECT($I$3),"&gt;=0",Data!$B:$B,BQ68,IF($A$20,Data!$J:$J,Data!#REF!),IF($A$20,"&lt;&gt;5",1))</f>
        <v>#DIV/0!</v>
      </c>
      <c r="BS68" t="e">
        <f t="shared" ca="1" si="25"/>
        <v>#DIV/0!</v>
      </c>
      <c r="BT68" t="s">
        <v>131</v>
      </c>
      <c r="BU68" t="e">
        <f ca="1">AVERAGEIFS(INDIRECT($J$3),INDIRECT($J$3),"&gt;=0",Data!$B:$B,BT68,IF($A$20,Data!$J:$J,Data!#REF!),IF($A$20,"&lt;&gt;5",1))</f>
        <v>#DIV/0!</v>
      </c>
      <c r="BV68" t="e">
        <f t="shared" ca="1" si="26"/>
        <v>#DIV/0!</v>
      </c>
    </row>
    <row r="69" spans="10:74" x14ac:dyDescent="0.35">
      <c r="J69">
        <f t="shared" si="27"/>
        <v>61</v>
      </c>
      <c r="K69" t="s">
        <v>179</v>
      </c>
      <c r="L69" t="e">
        <f ca="1">AVERAGEIFS(INDIRECT($B$3),INDIRECT($B$3),"&gt;=0",Data!$B:$B,$K69)</f>
        <v>#DIV/0!</v>
      </c>
      <c r="M69" t="e">
        <f t="shared" ca="1" si="28"/>
        <v>#DIV/0!</v>
      </c>
      <c r="N69" t="s">
        <v>147</v>
      </c>
      <c r="O69" t="e">
        <f ca="1">AVERAGEIFS(INDIRECT($C$3),INDIRECT($C$3),"&gt;=0",Data!$B:$B,$N69)</f>
        <v>#DIV/0!</v>
      </c>
      <c r="P69" t="e">
        <f t="shared" ca="1" si="1"/>
        <v>#DIV/0!</v>
      </c>
      <c r="Q69" t="s">
        <v>125</v>
      </c>
      <c r="R69" t="e">
        <f ca="1">AVERAGEIFS(INDIRECT($D$3),INDIRECT($D$3),"&gt;=0",Data!$B:$B,$Q69)</f>
        <v>#DIV/0!</v>
      </c>
      <c r="S69" t="e">
        <f t="shared" ca="1" si="2"/>
        <v>#DIV/0!</v>
      </c>
      <c r="T69" t="s">
        <v>83</v>
      </c>
      <c r="U69" t="e">
        <f ca="1">AVERAGEIFS(INDIRECT($E$3),INDIRECT($E$3),"&gt;=0",Data!$B:$B,$T69)</f>
        <v>#DIV/0!</v>
      </c>
      <c r="V69" t="e">
        <f t="shared" ca="1" si="3"/>
        <v>#DIV/0!</v>
      </c>
      <c r="W69" t="s">
        <v>36</v>
      </c>
      <c r="X69" t="e">
        <f ca="1">AVERAGEIFS(INDIRECT($F$3),INDIRECT($F$3),"&gt;=0",Data!$B:$B,$W69)</f>
        <v>#DIV/0!</v>
      </c>
      <c r="Y69" t="e">
        <f t="shared" ca="1" si="4"/>
        <v>#DIV/0!</v>
      </c>
      <c r="Z69" t="s">
        <v>96</v>
      </c>
      <c r="AA69" t="e">
        <f ca="1">AVERAGEIFS(INDIRECT($G$3),INDIRECT($G$3),"&gt;=0",Data!$B:$B,$Z69)</f>
        <v>#DIV/0!</v>
      </c>
      <c r="AB69" t="e">
        <f t="shared" ca="1" si="5"/>
        <v>#DIV/0!</v>
      </c>
      <c r="AC69" t="s">
        <v>191</v>
      </c>
      <c r="AD69" t="e">
        <f ca="1">AVERAGEIFS(INDIRECT($H$3),INDIRECT($H$3),"&gt;=0",Data!$B:$B,$AC69)</f>
        <v>#DIV/0!</v>
      </c>
      <c r="AE69" t="e">
        <f t="shared" ca="1" si="6"/>
        <v>#DIV/0!</v>
      </c>
      <c r="AF69" t="s">
        <v>83</v>
      </c>
      <c r="AG69" t="e">
        <f ca="1">AVERAGEIFS(INDIRECT($I$3),INDIRECT($I$3),"&gt;=0",Data!$B:$B,$AF69)</f>
        <v>#DIV/0!</v>
      </c>
      <c r="AH69" t="e">
        <f t="shared" ca="1" si="7"/>
        <v>#DIV/0!</v>
      </c>
      <c r="AI69" t="s">
        <v>131</v>
      </c>
      <c r="AJ69" t="e">
        <f ca="1">AVERAGEIFS(INDIRECT($J$3),INDIRECT($J$3),"&gt;=0",Data!$B:$B,$AI69)</f>
        <v>#DIV/0!</v>
      </c>
      <c r="AK69" t="e">
        <f t="shared" ca="1" si="8"/>
        <v>#DIV/0!</v>
      </c>
      <c r="AL69" t="str">
        <f t="shared" ca="1" si="9"/>
        <v>-</v>
      </c>
      <c r="AM69" t="str">
        <f t="shared" ca="1" si="10"/>
        <v>-</v>
      </c>
      <c r="AN69" t="str">
        <f t="shared" ca="1" si="11"/>
        <v>-</v>
      </c>
      <c r="AO69" t="str">
        <f t="shared" ca="1" si="12"/>
        <v>-</v>
      </c>
      <c r="AP69" t="str">
        <f t="shared" ca="1" si="13"/>
        <v>-</v>
      </c>
      <c r="AQ69" t="str">
        <f t="shared" ca="1" si="14"/>
        <v>-</v>
      </c>
      <c r="AR69" t="str">
        <f t="shared" ca="1" si="15"/>
        <v>-</v>
      </c>
      <c r="AS69" t="str">
        <f t="shared" ca="1" si="16"/>
        <v>-</v>
      </c>
      <c r="AT69" t="str">
        <f t="shared" ca="1" si="17"/>
        <v>-</v>
      </c>
      <c r="AU69">
        <f t="shared" si="29"/>
        <v>61</v>
      </c>
      <c r="AV69" t="s">
        <v>110</v>
      </c>
      <c r="AW69" s="20" t="e">
        <f ca="1">AVERAGEIFS(INDIRECT($B$3),INDIRECT($B$3),"&gt;=0",Data!$B:$B,AV69,IF($A$20,Data!$J:$J,Data!#REF!),IF($A$20,"&lt;&gt;5",1))</f>
        <v>#DIV/0!</v>
      </c>
      <c r="AX69" t="e">
        <f t="shared" ca="1" si="18"/>
        <v>#DIV/0!</v>
      </c>
      <c r="AY69" s="20" t="s">
        <v>147</v>
      </c>
      <c r="AZ69" t="e">
        <f ca="1">AVERAGEIFS(INDIRECT($C$3),INDIRECT($C$3),"&gt;=0",Data!$B:$B,AY69,IF($A$20,Data!$J:$J,Data!#REF!),IF($A$20,"&lt;&gt;5",1))</f>
        <v>#DIV/0!</v>
      </c>
      <c r="BA69" s="20" t="e">
        <f t="shared" ca="1" si="19"/>
        <v>#DIV/0!</v>
      </c>
      <c r="BB69" t="s">
        <v>189</v>
      </c>
      <c r="BC69" s="20" t="e">
        <f ca="1">AVERAGEIFS(INDIRECT($D$3),INDIRECT($D$3),"&gt;=0",Data!$B:$B,BB69,IF($A$20,Data!$J:$J,Data!#REF!),IF($A$20,"&lt;&gt;5",1))</f>
        <v>#DIV/0!</v>
      </c>
      <c r="BD69" t="e">
        <f t="shared" ca="1" si="20"/>
        <v>#DIV/0!</v>
      </c>
      <c r="BE69" s="20" t="s">
        <v>63</v>
      </c>
      <c r="BF69" t="e">
        <f ca="1">AVERAGEIFS(INDIRECT($E$3),INDIRECT($E$3),"&gt;=0",Data!$B:$B,BE69,IF($A$20,Data!$J:$J,Data!#REF!),IF($A$20,"&lt;&gt;5",1))</f>
        <v>#DIV/0!</v>
      </c>
      <c r="BG69" s="20" t="e">
        <f t="shared" ca="1" si="21"/>
        <v>#DIV/0!</v>
      </c>
      <c r="BH69" t="s">
        <v>23</v>
      </c>
      <c r="BI69" s="20" t="e">
        <f ca="1">AVERAGEIFS(INDIRECT($F$3),INDIRECT($F$3),"&gt;=0",Data!$B:$B,BH69,IF($A$20,Data!$J:$J,Data!#REF!),IF($A$20,"&lt;&gt;5",1))</f>
        <v>#DIV/0!</v>
      </c>
      <c r="BJ69" t="e">
        <f t="shared" ca="1" si="22"/>
        <v>#DIV/0!</v>
      </c>
      <c r="BK69" s="20" t="s">
        <v>115</v>
      </c>
      <c r="BL69">
        <f ca="1">AVERAGEIFS(INDIRECT($G$3),INDIRECT($G$3),"&gt;=0",Data!$B:$B,BK69,IF($A$20,Data!$J:$J,Data!#REF!),IF($A$20,"&lt;&gt;5",1))</f>
        <v>0.45454545454545453</v>
      </c>
      <c r="BM69" s="20">
        <f t="shared" ca="1" si="23"/>
        <v>61</v>
      </c>
      <c r="BN69" t="s">
        <v>26</v>
      </c>
      <c r="BO69" t="e">
        <f ca="1">AVERAGEIFS(INDIRECT($H$3),INDIRECT($H$3),"&gt;=0",Data!$B:$B,BN69,IF($A$20,Data!$J:$J,Data!#REF!),IF($A$20,"&lt;&gt;5",1))</f>
        <v>#DIV/0!</v>
      </c>
      <c r="BP69" t="e">
        <f t="shared" ca="1" si="24"/>
        <v>#DIV/0!</v>
      </c>
      <c r="BQ69" t="s">
        <v>184</v>
      </c>
      <c r="BR69" t="e">
        <f ca="1">AVERAGEIFS(INDIRECT($I$3),INDIRECT($I$3),"&gt;=0",Data!$B:$B,BQ69,IF($A$20,Data!$J:$J,Data!#REF!),IF($A$20,"&lt;&gt;5",1))</f>
        <v>#DIV/0!</v>
      </c>
      <c r="BS69" t="e">
        <f t="shared" ca="1" si="25"/>
        <v>#DIV/0!</v>
      </c>
      <c r="BT69" t="s">
        <v>130</v>
      </c>
      <c r="BU69" t="e">
        <f ca="1">AVERAGEIFS(INDIRECT($J$3),INDIRECT($J$3),"&gt;=0",Data!$B:$B,BT69,IF($A$20,Data!$J:$J,Data!#REF!),IF($A$20,"&lt;&gt;5",1))</f>
        <v>#DIV/0!</v>
      </c>
      <c r="BV69" t="e">
        <f t="shared" ca="1" si="26"/>
        <v>#DIV/0!</v>
      </c>
    </row>
    <row r="70" spans="10:74" x14ac:dyDescent="0.35">
      <c r="J70">
        <f t="shared" si="27"/>
        <v>62</v>
      </c>
      <c r="K70" t="s">
        <v>193</v>
      </c>
      <c r="L70" t="e">
        <f ca="1">AVERAGEIFS(INDIRECT($B$3),INDIRECT($B$3),"&gt;=0",Data!$B:$B,$K70)</f>
        <v>#DIV/0!</v>
      </c>
      <c r="M70" t="e">
        <f t="shared" ca="1" si="28"/>
        <v>#DIV/0!</v>
      </c>
      <c r="N70" t="s">
        <v>32</v>
      </c>
      <c r="O70" t="e">
        <f ca="1">AVERAGEIFS(INDIRECT($C$3),INDIRECT($C$3),"&gt;=0",Data!$B:$B,$N70)</f>
        <v>#DIV/0!</v>
      </c>
      <c r="P70" t="e">
        <f t="shared" ca="1" si="1"/>
        <v>#DIV/0!</v>
      </c>
      <c r="Q70" t="s">
        <v>131</v>
      </c>
      <c r="R70" t="e">
        <f ca="1">AVERAGEIFS(INDIRECT($D$3),INDIRECT($D$3),"&gt;=0",Data!$B:$B,$Q70)</f>
        <v>#DIV/0!</v>
      </c>
      <c r="S70" t="e">
        <f t="shared" ca="1" si="2"/>
        <v>#DIV/0!</v>
      </c>
      <c r="T70" t="s">
        <v>138</v>
      </c>
      <c r="U70" t="e">
        <f ca="1">AVERAGEIFS(INDIRECT($E$3),INDIRECT($E$3),"&gt;=0",Data!$B:$B,$T70)</f>
        <v>#DIV/0!</v>
      </c>
      <c r="V70" t="e">
        <f t="shared" ca="1" si="3"/>
        <v>#DIV/0!</v>
      </c>
      <c r="W70" t="s">
        <v>44</v>
      </c>
      <c r="X70">
        <f ca="1">AVERAGEIFS(INDIRECT($F$3),INDIRECT($F$3),"&gt;=0",Data!$B:$B,$W70)</f>
        <v>1</v>
      </c>
      <c r="Y70" t="e">
        <f t="shared" ca="1" si="4"/>
        <v>#DIV/0!</v>
      </c>
      <c r="Z70" t="s">
        <v>119</v>
      </c>
      <c r="AA70" t="e">
        <f ca="1">AVERAGEIFS(INDIRECT($G$3),INDIRECT($G$3),"&gt;=0",Data!$B:$B,$Z70)</f>
        <v>#DIV/0!</v>
      </c>
      <c r="AB70" t="e">
        <f t="shared" ca="1" si="5"/>
        <v>#DIV/0!</v>
      </c>
      <c r="AC70" t="s">
        <v>157</v>
      </c>
      <c r="AD70" t="e">
        <f ca="1">AVERAGEIFS(INDIRECT($H$3),INDIRECT($H$3),"&gt;=0",Data!$B:$B,$AC70)</f>
        <v>#DIV/0!</v>
      </c>
      <c r="AE70" t="e">
        <f t="shared" ca="1" si="6"/>
        <v>#DIV/0!</v>
      </c>
      <c r="AF70" t="s">
        <v>98</v>
      </c>
      <c r="AG70" t="e">
        <f ca="1">AVERAGEIFS(INDIRECT($I$3),INDIRECT($I$3),"&gt;=0",Data!$B:$B,$AF70)</f>
        <v>#DIV/0!</v>
      </c>
      <c r="AH70" t="e">
        <f t="shared" ca="1" si="7"/>
        <v>#DIV/0!</v>
      </c>
      <c r="AI70" t="s">
        <v>130</v>
      </c>
      <c r="AJ70" t="e">
        <f ca="1">AVERAGEIFS(INDIRECT($J$3),INDIRECT($J$3),"&gt;=0",Data!$B:$B,$AI70)</f>
        <v>#DIV/0!</v>
      </c>
      <c r="AK70" t="e">
        <f t="shared" ca="1" si="8"/>
        <v>#DIV/0!</v>
      </c>
      <c r="AL70" t="str">
        <f t="shared" ca="1" si="9"/>
        <v>-</v>
      </c>
      <c r="AM70" t="str">
        <f t="shared" ca="1" si="10"/>
        <v>-</v>
      </c>
      <c r="AN70" t="str">
        <f t="shared" ca="1" si="11"/>
        <v>-</v>
      </c>
      <c r="AO70" t="str">
        <f t="shared" ca="1" si="12"/>
        <v>-</v>
      </c>
      <c r="AP70" t="str">
        <f t="shared" ca="1" si="13"/>
        <v>-</v>
      </c>
      <c r="AQ70" t="str">
        <f t="shared" ca="1" si="14"/>
        <v>-</v>
      </c>
      <c r="AR70" t="str">
        <f t="shared" ca="1" si="15"/>
        <v>-</v>
      </c>
      <c r="AS70" t="str">
        <f t="shared" ca="1" si="16"/>
        <v>-</v>
      </c>
      <c r="AT70" t="str">
        <f t="shared" ca="1" si="17"/>
        <v>-</v>
      </c>
      <c r="AU70">
        <f t="shared" si="29"/>
        <v>62</v>
      </c>
      <c r="AV70" t="s">
        <v>122</v>
      </c>
      <c r="AW70" s="20" t="e">
        <f ca="1">AVERAGEIFS(INDIRECT($B$3),INDIRECT($B$3),"&gt;=0",Data!$B:$B,AV70,IF($A$20,Data!$J:$J,Data!#REF!),IF($A$20,"&lt;&gt;5",1))</f>
        <v>#DIV/0!</v>
      </c>
      <c r="AX70" t="e">
        <f t="shared" ca="1" si="18"/>
        <v>#DIV/0!</v>
      </c>
      <c r="AY70" s="20" t="s">
        <v>32</v>
      </c>
      <c r="AZ70" t="e">
        <f ca="1">AVERAGEIFS(INDIRECT($C$3),INDIRECT($C$3),"&gt;=0",Data!$B:$B,AY70,IF($A$20,Data!$J:$J,Data!#REF!),IF($A$20,"&lt;&gt;5",1))</f>
        <v>#DIV/0!</v>
      </c>
      <c r="BA70" s="20" t="e">
        <f t="shared" ca="1" si="19"/>
        <v>#DIV/0!</v>
      </c>
      <c r="BB70" t="s">
        <v>128</v>
      </c>
      <c r="BC70" s="20" t="e">
        <f ca="1">AVERAGEIFS(INDIRECT($D$3),INDIRECT($D$3),"&gt;=0",Data!$B:$B,BB70,IF($A$20,Data!$J:$J,Data!#REF!),IF($A$20,"&lt;&gt;5",1))</f>
        <v>#DIV/0!</v>
      </c>
      <c r="BD70" t="e">
        <f t="shared" ca="1" si="20"/>
        <v>#DIV/0!</v>
      </c>
      <c r="BE70" s="20" t="s">
        <v>85</v>
      </c>
      <c r="BF70" t="e">
        <f ca="1">AVERAGEIFS(INDIRECT($E$3),INDIRECT($E$3),"&gt;=0",Data!$B:$B,BE70,IF($A$20,Data!$J:$J,Data!#REF!),IF($A$20,"&lt;&gt;5",1))</f>
        <v>#DIV/0!</v>
      </c>
      <c r="BG70" s="20" t="e">
        <f t="shared" ca="1" si="21"/>
        <v>#DIV/0!</v>
      </c>
      <c r="BH70" t="s">
        <v>58</v>
      </c>
      <c r="BI70" s="20">
        <f ca="1">AVERAGEIFS(INDIRECT($F$3),INDIRECT($F$3),"&gt;=0",Data!$B:$B,BH70,IF($A$20,Data!$J:$J,Data!#REF!),IF($A$20,"&lt;&gt;5",1))</f>
        <v>0</v>
      </c>
      <c r="BJ70" t="e">
        <f t="shared" ca="1" si="22"/>
        <v>#DIV/0!</v>
      </c>
      <c r="BK70" s="20" t="s">
        <v>119</v>
      </c>
      <c r="BL70" t="e">
        <f ca="1">AVERAGEIFS(INDIRECT($G$3),INDIRECT($G$3),"&gt;=0",Data!$B:$B,BK70,IF($A$20,Data!$J:$J,Data!#REF!),IF($A$20,"&lt;&gt;5",1))</f>
        <v>#DIV/0!</v>
      </c>
      <c r="BM70" s="20" t="e">
        <f t="shared" ca="1" si="23"/>
        <v>#DIV/0!</v>
      </c>
      <c r="BN70" t="s">
        <v>87</v>
      </c>
      <c r="BO70">
        <f ca="1">AVERAGEIFS(INDIRECT($H$3),INDIRECT($H$3),"&gt;=0",Data!$B:$B,BN70,IF($A$20,Data!$J:$J,Data!#REF!),IF($A$20,"&lt;&gt;5",1))</f>
        <v>0.95652173913043481</v>
      </c>
      <c r="BP70" t="e">
        <f t="shared" ca="1" si="24"/>
        <v>#DIV/0!</v>
      </c>
      <c r="BQ70" t="s">
        <v>71</v>
      </c>
      <c r="BR70" t="e">
        <f ca="1">AVERAGEIFS(INDIRECT($I$3),INDIRECT($I$3),"&gt;=0",Data!$B:$B,BQ70,IF($A$20,Data!$J:$J,Data!#REF!),IF($A$20,"&lt;&gt;5",1))</f>
        <v>#DIV/0!</v>
      </c>
      <c r="BS70" t="e">
        <f t="shared" ca="1" si="25"/>
        <v>#DIV/0!</v>
      </c>
      <c r="BT70" t="s">
        <v>132</v>
      </c>
      <c r="BU70" t="e">
        <f ca="1">AVERAGEIFS(INDIRECT($J$3),INDIRECT($J$3),"&gt;=0",Data!$B:$B,BT70,IF($A$20,Data!$J:$J,Data!#REF!),IF($A$20,"&lt;&gt;5",1))</f>
        <v>#DIV/0!</v>
      </c>
      <c r="BV70" t="e">
        <f t="shared" ca="1" si="26"/>
        <v>#DIV/0!</v>
      </c>
    </row>
    <row r="71" spans="10:74" x14ac:dyDescent="0.35">
      <c r="J71">
        <f t="shared" si="27"/>
        <v>63</v>
      </c>
      <c r="K71" t="s">
        <v>181</v>
      </c>
      <c r="L71" t="e">
        <f ca="1">AVERAGEIFS(INDIRECT($B$3),INDIRECT($B$3),"&gt;=0",Data!$B:$B,$K71)</f>
        <v>#DIV/0!</v>
      </c>
      <c r="M71" t="e">
        <f t="shared" ca="1" si="28"/>
        <v>#DIV/0!</v>
      </c>
      <c r="N71" t="s">
        <v>41</v>
      </c>
      <c r="O71" t="e">
        <f ca="1">AVERAGEIFS(INDIRECT($C$3),INDIRECT($C$3),"&gt;=0",Data!$B:$B,$N71)</f>
        <v>#DIV/0!</v>
      </c>
      <c r="P71" t="e">
        <f t="shared" ca="1" si="1"/>
        <v>#DIV/0!</v>
      </c>
      <c r="Q71" t="s">
        <v>159</v>
      </c>
      <c r="R71" t="e">
        <f ca="1">AVERAGEIFS(INDIRECT($D$3),INDIRECT($D$3),"&gt;=0",Data!$B:$B,$Q71)</f>
        <v>#DIV/0!</v>
      </c>
      <c r="S71" t="e">
        <f t="shared" ca="1" si="2"/>
        <v>#DIV/0!</v>
      </c>
      <c r="T71" t="s">
        <v>163</v>
      </c>
      <c r="U71" t="e">
        <f ca="1">AVERAGEIFS(INDIRECT($E$3),INDIRECT($E$3),"&gt;=0",Data!$B:$B,$T71)</f>
        <v>#DIV/0!</v>
      </c>
      <c r="V71" t="e">
        <f t="shared" ca="1" si="3"/>
        <v>#DIV/0!</v>
      </c>
      <c r="W71" t="s">
        <v>67</v>
      </c>
      <c r="X71" t="e">
        <f ca="1">AVERAGEIFS(INDIRECT($F$3),INDIRECT($F$3),"&gt;=0",Data!$B:$B,$W71)</f>
        <v>#DIV/0!</v>
      </c>
      <c r="Y71" t="e">
        <f t="shared" ca="1" si="4"/>
        <v>#DIV/0!</v>
      </c>
      <c r="Z71" t="s">
        <v>167</v>
      </c>
      <c r="AA71">
        <f ca="1">AVERAGEIFS(INDIRECT($G$3),INDIRECT($G$3),"&gt;=0",Data!$B:$B,$Z71)</f>
        <v>0.7142857142857143</v>
      </c>
      <c r="AB71" t="e">
        <f t="shared" ca="1" si="5"/>
        <v>#DIV/0!</v>
      </c>
      <c r="AC71" t="s">
        <v>26</v>
      </c>
      <c r="AD71" t="e">
        <f ca="1">AVERAGEIFS(INDIRECT($H$3),INDIRECT($H$3),"&gt;=0",Data!$B:$B,$AC71)</f>
        <v>#DIV/0!</v>
      </c>
      <c r="AE71" t="e">
        <f t="shared" ca="1" si="6"/>
        <v>#DIV/0!</v>
      </c>
      <c r="AF71" t="s">
        <v>100</v>
      </c>
      <c r="AG71" t="e">
        <f ca="1">AVERAGEIFS(INDIRECT($I$3),INDIRECT($I$3),"&gt;=0",Data!$B:$B,$AF71)</f>
        <v>#DIV/0!</v>
      </c>
      <c r="AH71" t="e">
        <f t="shared" ca="1" si="7"/>
        <v>#DIV/0!</v>
      </c>
      <c r="AI71" t="s">
        <v>132</v>
      </c>
      <c r="AJ71" t="e">
        <f ca="1">AVERAGEIFS(INDIRECT($J$3),INDIRECT($J$3),"&gt;=0",Data!$B:$B,$AI71)</f>
        <v>#DIV/0!</v>
      </c>
      <c r="AK71" t="e">
        <f t="shared" ca="1" si="8"/>
        <v>#DIV/0!</v>
      </c>
      <c r="AL71" t="str">
        <f t="shared" ca="1" si="9"/>
        <v>-</v>
      </c>
      <c r="AM71" t="str">
        <f t="shared" ca="1" si="10"/>
        <v>-</v>
      </c>
      <c r="AN71" t="str">
        <f t="shared" ca="1" si="11"/>
        <v>-</v>
      </c>
      <c r="AO71" t="str">
        <f t="shared" ca="1" si="12"/>
        <v>-</v>
      </c>
      <c r="AP71" t="str">
        <f t="shared" ca="1" si="13"/>
        <v>-</v>
      </c>
      <c r="AQ71" t="str">
        <f t="shared" ca="1" si="14"/>
        <v>-</v>
      </c>
      <c r="AR71" t="str">
        <f t="shared" ca="1" si="15"/>
        <v>-</v>
      </c>
      <c r="AS71" t="str">
        <f t="shared" ca="1" si="16"/>
        <v>-</v>
      </c>
      <c r="AT71" t="str">
        <f t="shared" ca="1" si="17"/>
        <v>-</v>
      </c>
      <c r="AU71">
        <f t="shared" si="29"/>
        <v>63</v>
      </c>
      <c r="AV71" t="s">
        <v>82</v>
      </c>
      <c r="AW71" s="20" t="e">
        <f ca="1">AVERAGEIFS(INDIRECT($B$3),INDIRECT($B$3),"&gt;=0",Data!$B:$B,AV71,IF($A$20,Data!$J:$J,Data!#REF!),IF($A$20,"&lt;&gt;5",1))</f>
        <v>#DIV/0!</v>
      </c>
      <c r="AX71" t="e">
        <f t="shared" ca="1" si="18"/>
        <v>#DIV/0!</v>
      </c>
      <c r="AY71" s="20" t="s">
        <v>41</v>
      </c>
      <c r="AZ71" t="e">
        <f ca="1">AVERAGEIFS(INDIRECT($C$3),INDIRECT($C$3),"&gt;=0",Data!$B:$B,AY71,IF($A$20,Data!$J:$J,Data!#REF!),IF($A$20,"&lt;&gt;5",1))</f>
        <v>#DIV/0!</v>
      </c>
      <c r="BA71" s="20" t="e">
        <f t="shared" ca="1" si="19"/>
        <v>#DIV/0!</v>
      </c>
      <c r="BB71" t="s">
        <v>197</v>
      </c>
      <c r="BC71" s="20" t="e">
        <f ca="1">AVERAGEIFS(INDIRECT($D$3),INDIRECT($D$3),"&gt;=0",Data!$B:$B,BB71,IF($A$20,Data!$J:$J,Data!#REF!),IF($A$20,"&lt;&gt;5",1))</f>
        <v>#DIV/0!</v>
      </c>
      <c r="BD71" t="e">
        <f t="shared" ca="1" si="20"/>
        <v>#DIV/0!</v>
      </c>
      <c r="BE71" s="20" t="s">
        <v>163</v>
      </c>
      <c r="BF71" t="e">
        <f ca="1">AVERAGEIFS(INDIRECT($E$3),INDIRECT($E$3),"&gt;=0",Data!$B:$B,BE71,IF($A$20,Data!$J:$J,Data!#REF!),IF($A$20,"&lt;&gt;5",1))</f>
        <v>#DIV/0!</v>
      </c>
      <c r="BG71" s="20" t="e">
        <f t="shared" ca="1" si="21"/>
        <v>#DIV/0!</v>
      </c>
      <c r="BH71" t="s">
        <v>18</v>
      </c>
      <c r="BI71" s="20" t="e">
        <f ca="1">AVERAGEIFS(INDIRECT($F$3),INDIRECT($F$3),"&gt;=0",Data!$B:$B,BH71,IF($A$20,Data!$J:$J,Data!#REF!),IF($A$20,"&lt;&gt;5",1))</f>
        <v>#DIV/0!</v>
      </c>
      <c r="BJ71" t="e">
        <f t="shared" ca="1" si="22"/>
        <v>#DIV/0!</v>
      </c>
      <c r="BK71" s="20" t="s">
        <v>167</v>
      </c>
      <c r="BL71">
        <f ca="1">AVERAGEIFS(INDIRECT($G$3),INDIRECT($G$3),"&gt;=0",Data!$B:$B,BK71,IF($A$20,Data!$J:$J,Data!#REF!),IF($A$20,"&lt;&gt;5",1))</f>
        <v>0.66666666666666663</v>
      </c>
      <c r="BM71" s="20" t="e">
        <f t="shared" ca="1" si="23"/>
        <v>#DIV/0!</v>
      </c>
      <c r="BN71" t="s">
        <v>63</v>
      </c>
      <c r="BO71" t="e">
        <f ca="1">AVERAGEIFS(INDIRECT($H$3),INDIRECT($H$3),"&gt;=0",Data!$B:$B,BN71,IF($A$20,Data!$J:$J,Data!#REF!),IF($A$20,"&lt;&gt;5",1))</f>
        <v>#DIV/0!</v>
      </c>
      <c r="BP71" t="e">
        <f t="shared" ca="1" si="24"/>
        <v>#DIV/0!</v>
      </c>
      <c r="BQ71" t="s">
        <v>83</v>
      </c>
      <c r="BR71" t="e">
        <f ca="1">AVERAGEIFS(INDIRECT($I$3),INDIRECT($I$3),"&gt;=0",Data!$B:$B,BQ71,IF($A$20,Data!$J:$J,Data!#REF!),IF($A$20,"&lt;&gt;5",1))</f>
        <v>#DIV/0!</v>
      </c>
      <c r="BS71" t="e">
        <f t="shared" ca="1" si="25"/>
        <v>#DIV/0!</v>
      </c>
      <c r="BT71" t="s">
        <v>137</v>
      </c>
      <c r="BU71">
        <f ca="1">AVERAGEIFS(INDIRECT($J$3),INDIRECT($J$3),"&gt;=0",Data!$B:$B,BT71,IF($A$20,Data!$J:$J,Data!#REF!),IF($A$20,"&lt;&gt;5",1))</f>
        <v>0.1111111111111111</v>
      </c>
      <c r="BV71" t="e">
        <f t="shared" ca="1" si="26"/>
        <v>#DIV/0!</v>
      </c>
    </row>
    <row r="72" spans="10:74" x14ac:dyDescent="0.35">
      <c r="J72">
        <f t="shared" si="27"/>
        <v>64</v>
      </c>
      <c r="K72" t="s">
        <v>9</v>
      </c>
      <c r="L72" t="e">
        <f ca="1">AVERAGEIFS(INDIRECT($B$3),INDIRECT($B$3),"&gt;=0",Data!$B:$B,$K72)</f>
        <v>#DIV/0!</v>
      </c>
      <c r="M72" t="e">
        <f t="shared" ca="1" si="28"/>
        <v>#DIV/0!</v>
      </c>
      <c r="N72" t="s">
        <v>157</v>
      </c>
      <c r="O72" t="e">
        <f ca="1">AVERAGEIFS(INDIRECT($C$3),INDIRECT($C$3),"&gt;=0",Data!$B:$B,$N72)</f>
        <v>#DIV/0!</v>
      </c>
      <c r="P72" t="e">
        <f t="shared" ca="1" si="1"/>
        <v>#DIV/0!</v>
      </c>
      <c r="Q72" t="s">
        <v>170</v>
      </c>
      <c r="R72" t="e">
        <f ca="1">AVERAGEIFS(INDIRECT($D$3),INDIRECT($D$3),"&gt;=0",Data!$B:$B,$Q72)</f>
        <v>#DIV/0!</v>
      </c>
      <c r="S72" t="e">
        <f t="shared" ca="1" si="2"/>
        <v>#DIV/0!</v>
      </c>
      <c r="T72" t="s">
        <v>33</v>
      </c>
      <c r="U72" t="e">
        <f ca="1">AVERAGEIFS(INDIRECT($E$3),INDIRECT($E$3),"&gt;=0",Data!$B:$B,$T72)</f>
        <v>#DIV/0!</v>
      </c>
      <c r="V72" t="e">
        <f t="shared" ca="1" si="3"/>
        <v>#DIV/0!</v>
      </c>
      <c r="W72" t="s">
        <v>71</v>
      </c>
      <c r="X72" t="e">
        <f ca="1">AVERAGEIFS(INDIRECT($F$3),INDIRECT($F$3),"&gt;=0",Data!$B:$B,$W72)</f>
        <v>#DIV/0!</v>
      </c>
      <c r="Y72" t="e">
        <f t="shared" ca="1" si="4"/>
        <v>#DIV/0!</v>
      </c>
      <c r="Z72" t="s">
        <v>18</v>
      </c>
      <c r="AA72" t="e">
        <f ca="1">AVERAGEIFS(INDIRECT($G$3),INDIRECT($G$3),"&gt;=0",Data!$B:$B,$Z72)</f>
        <v>#DIV/0!</v>
      </c>
      <c r="AB72" t="e">
        <f t="shared" ca="1" si="5"/>
        <v>#DIV/0!</v>
      </c>
      <c r="AC72" t="s">
        <v>87</v>
      </c>
      <c r="AD72">
        <f ca="1">AVERAGEIFS(INDIRECT($H$3),INDIRECT($H$3),"&gt;=0",Data!$B:$B,$AC72)</f>
        <v>0.91666666666666663</v>
      </c>
      <c r="AE72" t="e">
        <f t="shared" ca="1" si="6"/>
        <v>#DIV/0!</v>
      </c>
      <c r="AF72" t="s">
        <v>118</v>
      </c>
      <c r="AG72" t="e">
        <f ca="1">AVERAGEIFS(INDIRECT($I$3),INDIRECT($I$3),"&gt;=0",Data!$B:$B,$AF72)</f>
        <v>#DIV/0!</v>
      </c>
      <c r="AH72" t="e">
        <f t="shared" ca="1" si="7"/>
        <v>#DIV/0!</v>
      </c>
      <c r="AI72" t="s">
        <v>137</v>
      </c>
      <c r="AJ72">
        <f ca="1">AVERAGEIFS(INDIRECT($J$3),INDIRECT($J$3),"&gt;=0",Data!$B:$B,$AI72)</f>
        <v>0.10526315789473684</v>
      </c>
      <c r="AK72" t="e">
        <f t="shared" ca="1" si="8"/>
        <v>#DIV/0!</v>
      </c>
      <c r="AL72" t="str">
        <f t="shared" ca="1" si="9"/>
        <v>-</v>
      </c>
      <c r="AM72" t="str">
        <f t="shared" ca="1" si="10"/>
        <v>-</v>
      </c>
      <c r="AN72" t="str">
        <f t="shared" ca="1" si="11"/>
        <v>-</v>
      </c>
      <c r="AO72" t="str">
        <f t="shared" ca="1" si="12"/>
        <v>-</v>
      </c>
      <c r="AP72" t="str">
        <f t="shared" ca="1" si="13"/>
        <v>-</v>
      </c>
      <c r="AQ72" t="str">
        <f t="shared" ca="1" si="14"/>
        <v>-</v>
      </c>
      <c r="AR72" t="str">
        <f t="shared" ca="1" si="15"/>
        <v>-</v>
      </c>
      <c r="AS72" t="str">
        <f t="shared" ca="1" si="16"/>
        <v>-</v>
      </c>
      <c r="AT72" t="str">
        <f t="shared" ca="1" si="17"/>
        <v>-</v>
      </c>
      <c r="AU72">
        <f t="shared" si="29"/>
        <v>64</v>
      </c>
      <c r="AV72" t="s">
        <v>60</v>
      </c>
      <c r="AW72" s="20" t="e">
        <f ca="1">AVERAGEIFS(INDIRECT($B$3),INDIRECT($B$3),"&gt;=0",Data!$B:$B,AV72,IF($A$20,Data!$J:$J,Data!#REF!),IF($A$20,"&lt;&gt;5",1))</f>
        <v>#DIV/0!</v>
      </c>
      <c r="AX72" t="e">
        <f t="shared" ca="1" si="18"/>
        <v>#DIV/0!</v>
      </c>
      <c r="AY72" s="20" t="s">
        <v>157</v>
      </c>
      <c r="AZ72" t="e">
        <f ca="1">AVERAGEIFS(INDIRECT($C$3),INDIRECT($C$3),"&gt;=0",Data!$B:$B,AY72,IF($A$20,Data!$J:$J,Data!#REF!),IF($A$20,"&lt;&gt;5",1))</f>
        <v>#DIV/0!</v>
      </c>
      <c r="BA72" s="20" t="e">
        <f t="shared" ca="1" si="19"/>
        <v>#DIV/0!</v>
      </c>
      <c r="BB72" t="s">
        <v>107</v>
      </c>
      <c r="BC72" s="20" t="e">
        <f ca="1">AVERAGEIFS(INDIRECT($D$3),INDIRECT($D$3),"&gt;=0",Data!$B:$B,BB72,IF($A$20,Data!$J:$J,Data!#REF!),IF($A$20,"&lt;&gt;5",1))</f>
        <v>#DIV/0!</v>
      </c>
      <c r="BD72" t="e">
        <f t="shared" ca="1" si="20"/>
        <v>#DIV/0!</v>
      </c>
      <c r="BE72" s="20" t="s">
        <v>55</v>
      </c>
      <c r="BF72" t="e">
        <f ca="1">AVERAGEIFS(INDIRECT($E$3),INDIRECT($E$3),"&gt;=0",Data!$B:$B,BE72,IF($A$20,Data!$J:$J,Data!#REF!),IF($A$20,"&lt;&gt;5",1))</f>
        <v>#DIV/0!</v>
      </c>
      <c r="BG72" s="20" t="e">
        <f t="shared" ca="1" si="21"/>
        <v>#DIV/0!</v>
      </c>
      <c r="BH72" t="s">
        <v>148</v>
      </c>
      <c r="BI72" s="20" t="e">
        <f ca="1">AVERAGEIFS(INDIRECT($F$3),INDIRECT($F$3),"&gt;=0",Data!$B:$B,BH72,IF($A$20,Data!$J:$J,Data!#REF!),IF($A$20,"&lt;&gt;5",1))</f>
        <v>#DIV/0!</v>
      </c>
      <c r="BJ72" t="e">
        <f t="shared" ca="1" si="22"/>
        <v>#DIV/0!</v>
      </c>
      <c r="BK72" s="20" t="s">
        <v>75</v>
      </c>
      <c r="BL72" t="e">
        <f ca="1">AVERAGEIFS(INDIRECT($G$3),INDIRECT($G$3),"&gt;=0",Data!$B:$B,BK72,IF($A$20,Data!$J:$J,Data!#REF!),IF($A$20,"&lt;&gt;5",1))</f>
        <v>#DIV/0!</v>
      </c>
      <c r="BM72" s="20" t="e">
        <f t="shared" ca="1" si="23"/>
        <v>#DIV/0!</v>
      </c>
      <c r="BN72" t="s">
        <v>56</v>
      </c>
      <c r="BO72">
        <f ca="1">AVERAGEIFS(INDIRECT($H$3),INDIRECT($H$3),"&gt;=0",Data!$B:$B,BN72,IF($A$20,Data!$J:$J,Data!#REF!),IF($A$20,"&lt;&gt;5",1))</f>
        <v>1</v>
      </c>
      <c r="BP72" t="e">
        <f t="shared" ca="1" si="24"/>
        <v>#DIV/0!</v>
      </c>
      <c r="BQ72" t="s">
        <v>98</v>
      </c>
      <c r="BR72" t="e">
        <f ca="1">AVERAGEIFS(INDIRECT($I$3),INDIRECT($I$3),"&gt;=0",Data!$B:$B,BQ72,IF($A$20,Data!$J:$J,Data!#REF!),IF($A$20,"&lt;&gt;5",1))</f>
        <v>#DIV/0!</v>
      </c>
      <c r="BS72" t="e">
        <f t="shared" ca="1" si="25"/>
        <v>#DIV/0!</v>
      </c>
      <c r="BT72" t="s">
        <v>133</v>
      </c>
      <c r="BU72">
        <f ca="1">AVERAGEIFS(INDIRECT($J$3),INDIRECT($J$3),"&gt;=0",Data!$B:$B,BT72,IF($A$20,Data!$J:$J,Data!#REF!),IF($A$20,"&lt;&gt;5",1))</f>
        <v>0.33333333333333331</v>
      </c>
      <c r="BV72">
        <f t="shared" ca="1" si="26"/>
        <v>64</v>
      </c>
    </row>
    <row r="73" spans="10:74" x14ac:dyDescent="0.35">
      <c r="J73">
        <f t="shared" si="27"/>
        <v>65</v>
      </c>
      <c r="K73" t="s">
        <v>75</v>
      </c>
      <c r="L73" t="e">
        <f ca="1">AVERAGEIFS(INDIRECT($B$3),INDIRECT($B$3),"&gt;=0",Data!$B:$B,$K73)</f>
        <v>#DIV/0!</v>
      </c>
      <c r="M73" t="e">
        <f t="shared" ca="1" si="28"/>
        <v>#DIV/0!</v>
      </c>
      <c r="N73" t="s">
        <v>197</v>
      </c>
      <c r="O73" t="e">
        <f ca="1">AVERAGEIFS(INDIRECT($C$3),INDIRECT($C$3),"&gt;=0",Data!$B:$B,$N73)</f>
        <v>#DIV/0!</v>
      </c>
      <c r="P73" t="e">
        <f t="shared" ca="1" si="1"/>
        <v>#DIV/0!</v>
      </c>
      <c r="Q73" t="s">
        <v>189</v>
      </c>
      <c r="R73" t="e">
        <f ca="1">AVERAGEIFS(INDIRECT($D$3),INDIRECT($D$3),"&gt;=0",Data!$B:$B,$Q73)</f>
        <v>#DIV/0!</v>
      </c>
      <c r="S73" t="e">
        <f t="shared" ca="1" si="2"/>
        <v>#DIV/0!</v>
      </c>
      <c r="T73" t="s">
        <v>90</v>
      </c>
      <c r="U73" t="e">
        <f ca="1">AVERAGEIFS(INDIRECT($E$3),INDIRECT($E$3),"&gt;=0",Data!$B:$B,$T73)</f>
        <v>#DIV/0!</v>
      </c>
      <c r="V73" t="e">
        <f t="shared" ca="1" si="3"/>
        <v>#DIV/0!</v>
      </c>
      <c r="W73" t="s">
        <v>76</v>
      </c>
      <c r="X73" t="e">
        <f ca="1">AVERAGEIFS(INDIRECT($F$3),INDIRECT($F$3),"&gt;=0",Data!$B:$B,$W73)</f>
        <v>#DIV/0!</v>
      </c>
      <c r="Y73" t="e">
        <f t="shared" ca="1" si="4"/>
        <v>#DIV/0!</v>
      </c>
      <c r="Z73" t="s">
        <v>47</v>
      </c>
      <c r="AA73">
        <f ca="1">AVERAGEIFS(INDIRECT($G$3),INDIRECT($G$3),"&gt;=0",Data!$B:$B,$Z73)</f>
        <v>0.69230769230769229</v>
      </c>
      <c r="AB73" t="e">
        <f t="shared" ca="1" si="5"/>
        <v>#DIV/0!</v>
      </c>
      <c r="AC73" t="s">
        <v>11</v>
      </c>
      <c r="AD73">
        <f ca="1">AVERAGEIFS(INDIRECT($H$3),INDIRECT($H$3),"&gt;=0",Data!$B:$B,$AC73)</f>
        <v>0.8</v>
      </c>
      <c r="AE73">
        <f t="shared" ca="1" si="6"/>
        <v>65</v>
      </c>
      <c r="AF73" t="s">
        <v>148</v>
      </c>
      <c r="AG73" t="e">
        <f ca="1">AVERAGEIFS(INDIRECT($I$3),INDIRECT($I$3),"&gt;=0",Data!$B:$B,$AF73)</f>
        <v>#DIV/0!</v>
      </c>
      <c r="AH73" t="e">
        <f t="shared" ca="1" si="7"/>
        <v>#DIV/0!</v>
      </c>
      <c r="AI73" t="s">
        <v>133</v>
      </c>
      <c r="AJ73">
        <f ca="1">AVERAGEIFS(INDIRECT($J$3),INDIRECT($J$3),"&gt;=0",Data!$B:$B,$AI73)</f>
        <v>0.33333333333333331</v>
      </c>
      <c r="AK73">
        <f t="shared" ca="1" si="8"/>
        <v>65</v>
      </c>
      <c r="AL73" t="str">
        <f t="shared" ca="1" si="9"/>
        <v>-</v>
      </c>
      <c r="AM73" t="str">
        <f t="shared" ca="1" si="10"/>
        <v>-</v>
      </c>
      <c r="AN73" t="str">
        <f t="shared" ca="1" si="11"/>
        <v>-</v>
      </c>
      <c r="AO73" t="str">
        <f t="shared" ca="1" si="12"/>
        <v>-</v>
      </c>
      <c r="AP73" t="str">
        <f t="shared" ca="1" si="13"/>
        <v>-</v>
      </c>
      <c r="AQ73" t="str">
        <f t="shared" ca="1" si="14"/>
        <v>-</v>
      </c>
      <c r="AR73" t="str">
        <f t="shared" ca="1" si="15"/>
        <v>-</v>
      </c>
      <c r="AS73" t="str">
        <f t="shared" ca="1" si="16"/>
        <v>-</v>
      </c>
      <c r="AT73" t="str">
        <f t="shared" ca="1" si="17"/>
        <v>-</v>
      </c>
      <c r="AU73">
        <f t="shared" si="29"/>
        <v>65</v>
      </c>
      <c r="AV73" t="s">
        <v>40</v>
      </c>
      <c r="AW73" s="20" t="e">
        <f ca="1">AVERAGEIFS(INDIRECT($B$3),INDIRECT($B$3),"&gt;=0",Data!$B:$B,AV73,IF($A$20,Data!$J:$J,Data!#REF!),IF($A$20,"&lt;&gt;5",1))</f>
        <v>#DIV/0!</v>
      </c>
      <c r="AX73" t="e">
        <f t="shared" ca="1" si="18"/>
        <v>#DIV/0!</v>
      </c>
      <c r="AY73" s="20" t="s">
        <v>197</v>
      </c>
      <c r="AZ73" t="e">
        <f ca="1">AVERAGEIFS(INDIRECT($C$3),INDIRECT($C$3),"&gt;=0",Data!$B:$B,AY73,IF($A$20,Data!$J:$J,Data!#REF!),IF($A$20,"&lt;&gt;5",1))</f>
        <v>#DIV/0!</v>
      </c>
      <c r="BA73" s="20" t="e">
        <f t="shared" ca="1" si="19"/>
        <v>#DIV/0!</v>
      </c>
      <c r="BB73" t="s">
        <v>145</v>
      </c>
      <c r="BC73" s="20" t="e">
        <f ca="1">AVERAGEIFS(INDIRECT($D$3),INDIRECT($D$3),"&gt;=0",Data!$B:$B,BB73,IF($A$20,Data!$J:$J,Data!#REF!),IF($A$20,"&lt;&gt;5",1))</f>
        <v>#DIV/0!</v>
      </c>
      <c r="BD73" t="e">
        <f t="shared" ca="1" si="20"/>
        <v>#DIV/0!</v>
      </c>
      <c r="BE73" s="20" t="s">
        <v>161</v>
      </c>
      <c r="BF73" t="e">
        <f ca="1">AVERAGEIFS(INDIRECT($E$3),INDIRECT($E$3),"&gt;=0",Data!$B:$B,BE73,IF($A$20,Data!$J:$J,Data!#REF!),IF($A$20,"&lt;&gt;5",1))</f>
        <v>#DIV/0!</v>
      </c>
      <c r="BG73" s="20" t="e">
        <f t="shared" ca="1" si="21"/>
        <v>#DIV/0!</v>
      </c>
      <c r="BH73" t="s">
        <v>156</v>
      </c>
      <c r="BI73" s="20" t="e">
        <f ca="1">AVERAGEIFS(INDIRECT($F$3),INDIRECT($F$3),"&gt;=0",Data!$B:$B,BH73,IF($A$20,Data!$J:$J,Data!#REF!),IF($A$20,"&lt;&gt;5",1))</f>
        <v>#DIV/0!</v>
      </c>
      <c r="BJ73" t="e">
        <f t="shared" ca="1" si="22"/>
        <v>#DIV/0!</v>
      </c>
      <c r="BK73" s="20" t="s">
        <v>87</v>
      </c>
      <c r="BL73">
        <f ca="1">AVERAGEIFS(INDIRECT($G$3),INDIRECT($G$3),"&gt;=0",Data!$B:$B,BK73,IF($A$20,Data!$J:$J,Data!#REF!),IF($A$20,"&lt;&gt;5",1))</f>
        <v>0.95</v>
      </c>
      <c r="BM73" s="20" t="e">
        <f t="shared" ca="1" si="23"/>
        <v>#DIV/0!</v>
      </c>
      <c r="BN73" t="s">
        <v>141</v>
      </c>
      <c r="BO73" t="e">
        <f ca="1">AVERAGEIFS(INDIRECT($H$3),INDIRECT($H$3),"&gt;=0",Data!$B:$B,BN73,IF($A$20,Data!$J:$J,Data!#REF!),IF($A$20,"&lt;&gt;5",1))</f>
        <v>#DIV/0!</v>
      </c>
      <c r="BP73" t="e">
        <f t="shared" ca="1" si="24"/>
        <v>#DIV/0!</v>
      </c>
      <c r="BQ73" t="s">
        <v>154</v>
      </c>
      <c r="BR73" t="e">
        <f ca="1">AVERAGEIFS(INDIRECT($I$3),INDIRECT($I$3),"&gt;=0",Data!$B:$B,BQ73,IF($A$20,Data!$J:$J,Data!#REF!),IF($A$20,"&lt;&gt;5",1))</f>
        <v>#DIV/0!</v>
      </c>
      <c r="BS73" t="e">
        <f t="shared" ca="1" si="25"/>
        <v>#DIV/0!</v>
      </c>
      <c r="BT73" t="s">
        <v>135</v>
      </c>
      <c r="BU73" t="e">
        <f ca="1">AVERAGEIFS(INDIRECT($J$3),INDIRECT($J$3),"&gt;=0",Data!$B:$B,BT73,IF($A$20,Data!$J:$J,Data!#REF!),IF($A$20,"&lt;&gt;5",1))</f>
        <v>#DIV/0!</v>
      </c>
      <c r="BV73" t="e">
        <f t="shared" ca="1" si="26"/>
        <v>#DIV/0!</v>
      </c>
    </row>
    <row r="74" spans="10:74" x14ac:dyDescent="0.35">
      <c r="J74">
        <f t="shared" si="27"/>
        <v>66</v>
      </c>
      <c r="K74" t="s">
        <v>3</v>
      </c>
      <c r="L74" t="e">
        <f ca="1">AVERAGEIFS(INDIRECT($B$3),INDIRECT($B$3),"&gt;=0",Data!$B:$B,$K74)</f>
        <v>#DIV/0!</v>
      </c>
      <c r="M74" t="e">
        <f t="shared" ca="1" si="28"/>
        <v>#DIV/0!</v>
      </c>
      <c r="N74" t="s">
        <v>181</v>
      </c>
      <c r="O74" t="e">
        <f ca="1">AVERAGEIFS(INDIRECT($C$3),INDIRECT($C$3),"&gt;=0",Data!$B:$B,$N74)</f>
        <v>#DIV/0!</v>
      </c>
      <c r="P74" t="e">
        <f t="shared" ref="P74:P137" ca="1" si="32">IF(O74=O73,P73,$J74)</f>
        <v>#DIV/0!</v>
      </c>
      <c r="Q74" t="s">
        <v>34</v>
      </c>
      <c r="R74" t="e">
        <f ca="1">AVERAGEIFS(INDIRECT($D$3),INDIRECT($D$3),"&gt;=0",Data!$B:$B,$Q74)</f>
        <v>#DIV/0!</v>
      </c>
      <c r="S74" t="e">
        <f t="shared" ref="S74:S137" ca="1" si="33">IF(R74=R73,S73,$J74)</f>
        <v>#DIV/0!</v>
      </c>
      <c r="T74" t="s">
        <v>148</v>
      </c>
      <c r="U74" t="e">
        <f ca="1">AVERAGEIFS(INDIRECT($E$3),INDIRECT($E$3),"&gt;=0",Data!$B:$B,$T74)</f>
        <v>#DIV/0!</v>
      </c>
      <c r="V74" t="e">
        <f t="shared" ref="V74:V137" ca="1" si="34">IF(U74=U73,V73,$J74)</f>
        <v>#DIV/0!</v>
      </c>
      <c r="W74" t="s">
        <v>123</v>
      </c>
      <c r="X74" t="e">
        <f ca="1">AVERAGEIFS(INDIRECT($F$3),INDIRECT($F$3),"&gt;=0",Data!$B:$B,$W74)</f>
        <v>#DIV/0!</v>
      </c>
      <c r="Y74" t="e">
        <f t="shared" ref="Y74:Y137" ca="1" si="35">IF(X74=X73,Y73,$J74)</f>
        <v>#DIV/0!</v>
      </c>
      <c r="Z74" t="s">
        <v>115</v>
      </c>
      <c r="AA74">
        <f ca="1">AVERAGEIFS(INDIRECT($G$3),INDIRECT($G$3),"&gt;=0",Data!$B:$B,$Z74)</f>
        <v>0.45454545454545453</v>
      </c>
      <c r="AB74">
        <f t="shared" ref="AB74:AB137" ca="1" si="36">IF(AA74=AA73,AB73,$J74)</f>
        <v>66</v>
      </c>
      <c r="AC74" t="s">
        <v>63</v>
      </c>
      <c r="AD74" t="e">
        <f ca="1">AVERAGEIFS(INDIRECT($H$3),INDIRECT($H$3),"&gt;=0",Data!$B:$B,$AC74)</f>
        <v>#DIV/0!</v>
      </c>
      <c r="AE74" t="e">
        <f t="shared" ref="AE74:AE137" ca="1" si="37">IF(AD74=AD73,AE73,$J74)</f>
        <v>#DIV/0!</v>
      </c>
      <c r="AF74" t="s">
        <v>154</v>
      </c>
      <c r="AG74" t="e">
        <f ca="1">AVERAGEIFS(INDIRECT($I$3),INDIRECT($I$3),"&gt;=0",Data!$B:$B,$AF74)</f>
        <v>#DIV/0!</v>
      </c>
      <c r="AH74" t="e">
        <f t="shared" ref="AH74:AH137" ca="1" si="38">IF(AG74=AG73,AH73,$J74)</f>
        <v>#DIV/0!</v>
      </c>
      <c r="AI74" t="s">
        <v>135</v>
      </c>
      <c r="AJ74" t="e">
        <f ca="1">AVERAGEIFS(INDIRECT($J$3),INDIRECT($J$3),"&gt;=0",Data!$B:$B,$AI74)</f>
        <v>#DIV/0!</v>
      </c>
      <c r="AK74" t="e">
        <f t="shared" ref="AK74:AK137" ca="1" si="39">IF(AJ74=AJ73,AK73,$J74)</f>
        <v>#DIV/0!</v>
      </c>
      <c r="AL74" t="str">
        <f t="shared" ref="AL74:AL137" ca="1" si="40">IFERROR(IF($A$20,IF(B$4=AW74,AX74,IF(AND(B$4&lt;AW74,B$4&gt;AW75),AX75,0)),IF(B$4=L74,M74,IF(AND(B$4&lt;L74,B$4&gt;L75),M75,0))),"-")</f>
        <v>-</v>
      </c>
      <c r="AM74" t="str">
        <f t="shared" ref="AM74:AM137" ca="1" si="41">IFERROR(IF($A$20,IF(C$4=AZ74,BA74,IF(AND(C$4&lt;AZ74,C$4&gt;AZ75),BA75,0)),IF(C$4=O74,P74,IF(AND(C$4&lt;O74,C$4&gt;O75),P75,0))),"-")</f>
        <v>-</v>
      </c>
      <c r="AN74" t="str">
        <f t="shared" ref="AN74:AN137" ca="1" si="42">IFERROR(IF($A$20,IF(D$4=BC74,BD74,IF(AND(D$4&lt;BC74,D$4&gt;BC75),BD75,0)),IF(D$4=R74,S74,IF(AND(D$4&lt;R74,D$4&gt;R75),S75,0))),"-")</f>
        <v>-</v>
      </c>
      <c r="AO74" t="str">
        <f t="shared" ref="AO74:AO137" ca="1" si="43">IFERROR(IF($A$20,IF(E$4=BF74,BG74,IF(AND(E$4&lt;BF74,E$4&gt;BF75),BG75,0)),IF(E$4=U74,V74,IF(AND(E$4&lt;U74,E$4&gt;U75),V75,0))),"-")</f>
        <v>-</v>
      </c>
      <c r="AP74" t="str">
        <f t="shared" ref="AP74:AP137" ca="1" si="44">IFERROR(IF($A$20,IF(F$4=BI74,BJ74,IF(AND(F$4&lt;BI74,F$4&gt;BI75),BJ75,0)),IF(F$4=X74,Y74,IF(AND(F$4&lt;X74,F$4&gt;X75),Y75,0))),"-")</f>
        <v>-</v>
      </c>
      <c r="AQ74" t="str">
        <f t="shared" ref="AQ74:AQ137" ca="1" si="45">IFERROR(IF($A$20,IF(G$4=BL74,BM74,IF(AND(G$4&lt;BL74,G$4&gt;BL75),BM75,0)),IF(G$4=AA74,AB74,IF(AND(G$4&lt;AA74,G$4&gt;AA75),AB75,0))),"-")</f>
        <v>-</v>
      </c>
      <c r="AR74" t="str">
        <f t="shared" ref="AR74:AR137" ca="1" si="46">IFERROR(IF($A$20,IF(H$4=BO74,BP74,IF(AND(H$4&lt;BO74,H$4&gt;BO75),BP75,0)),IF(H$4=AD74,AE74,IF(AND(H$4&lt;AD74,H$4&gt;AD75),AE75,0))),"-")</f>
        <v>-</v>
      </c>
      <c r="AS74" t="str">
        <f t="shared" ref="AS74:AS137" ca="1" si="47">IFERROR(IF($A$20,IF(I$4=BR74,BS74,IF(AND(I$4&lt;BR74,I$4&gt;BR75),BS75,0)),IF(I$4=AG74,AH74,IF(AND(I$4&lt;AG74,I$4&gt;AG75),AH75,0))),"-")</f>
        <v>-</v>
      </c>
      <c r="AT74" t="str">
        <f t="shared" ref="AT74:AT137" ca="1" si="48">IFERROR(IF($A$20,IF(J$4=BU74,BV74,IF(AND(J$4&lt;BU74,J$4&gt;BU75),BV75,0)),IF(J$4=AJ74,AK74,IF(AND(J$4&lt;AJ74,J$4&gt;AJ75),AK75,0))),"-")</f>
        <v>-</v>
      </c>
      <c r="AU74">
        <f t="shared" si="29"/>
        <v>66</v>
      </c>
      <c r="AV74" t="s">
        <v>76</v>
      </c>
      <c r="AW74" s="20" t="e">
        <f ca="1">AVERAGEIFS(INDIRECT($B$3),INDIRECT($B$3),"&gt;=0",Data!$B:$B,AV74,IF($A$20,Data!$J:$J,Data!#REF!),IF($A$20,"&lt;&gt;5",1))</f>
        <v>#DIV/0!</v>
      </c>
      <c r="AX74" t="e">
        <f t="shared" ref="AX74:AX137" ca="1" si="49">IF(AW74=AW73,AX73,$J74)</f>
        <v>#DIV/0!</v>
      </c>
      <c r="AY74" s="20" t="s">
        <v>181</v>
      </c>
      <c r="AZ74" t="e">
        <f ca="1">AVERAGEIFS(INDIRECT($C$3),INDIRECT($C$3),"&gt;=0",Data!$B:$B,AY74,IF($A$20,Data!$J:$J,Data!#REF!),IF($A$20,"&lt;&gt;5",1))</f>
        <v>#DIV/0!</v>
      </c>
      <c r="BA74" s="20" t="e">
        <f t="shared" ref="BA74:BA137" ca="1" si="50">IF(AZ74=AZ73,BA73,$J74)</f>
        <v>#DIV/0!</v>
      </c>
      <c r="BB74" t="s">
        <v>108</v>
      </c>
      <c r="BC74" s="20" t="e">
        <f ca="1">AVERAGEIFS(INDIRECT($D$3),INDIRECT($D$3),"&gt;=0",Data!$B:$B,BB74,IF($A$20,Data!$J:$J,Data!#REF!),IF($A$20,"&lt;&gt;5",1))</f>
        <v>#DIV/0!</v>
      </c>
      <c r="BD74" t="e">
        <f t="shared" ref="BD74:BD137" ca="1" si="51">IF(BC74=BC73,BD73,$J74)</f>
        <v>#DIV/0!</v>
      </c>
      <c r="BE74" s="20" t="s">
        <v>26</v>
      </c>
      <c r="BF74" t="e">
        <f ca="1">AVERAGEIFS(INDIRECT($E$3),INDIRECT($E$3),"&gt;=0",Data!$B:$B,BE74,IF($A$20,Data!$J:$J,Data!#REF!),IF($A$20,"&lt;&gt;5",1))</f>
        <v>#DIV/0!</v>
      </c>
      <c r="BG74" s="20" t="e">
        <f t="shared" ref="BG74:BG137" ca="1" si="52">IF(BF74=BF73,BG73,$J74)</f>
        <v>#DIV/0!</v>
      </c>
      <c r="BH74" t="s">
        <v>22</v>
      </c>
      <c r="BI74" s="20" t="e">
        <f ca="1">AVERAGEIFS(INDIRECT($F$3),INDIRECT($F$3),"&gt;=0",Data!$B:$B,BH74,IF($A$20,Data!$J:$J,Data!#REF!),IF($A$20,"&lt;&gt;5",1))</f>
        <v>#DIV/0!</v>
      </c>
      <c r="BJ74" t="e">
        <f t="shared" ref="BJ74:BJ137" ca="1" si="53">IF(BI74=BI73,BJ73,$J74)</f>
        <v>#DIV/0!</v>
      </c>
      <c r="BK74" s="20" t="s">
        <v>120</v>
      </c>
      <c r="BL74" t="e">
        <f ca="1">AVERAGEIFS(INDIRECT($G$3),INDIRECT($G$3),"&gt;=0",Data!$B:$B,BK74,IF($A$20,Data!$J:$J,Data!#REF!),IF($A$20,"&lt;&gt;5",1))</f>
        <v>#DIV/0!</v>
      </c>
      <c r="BM74" s="20" t="e">
        <f t="shared" ref="BM74:BM137" ca="1" si="54">IF(BL74=BL73,BM73,$J74)</f>
        <v>#DIV/0!</v>
      </c>
      <c r="BN74" t="s">
        <v>11</v>
      </c>
      <c r="BO74">
        <f ca="1">AVERAGEIFS(INDIRECT($H$3),INDIRECT($H$3),"&gt;=0",Data!$B:$B,BN74,IF($A$20,Data!$J:$J,Data!#REF!),IF($A$20,"&lt;&gt;5",1))</f>
        <v>0.94117647058823528</v>
      </c>
      <c r="BP74" t="e">
        <f t="shared" ref="BP74:BP137" ca="1" si="55">IF(BO74=BO73,BP73,$J74)</f>
        <v>#DIV/0!</v>
      </c>
      <c r="BQ74" t="s">
        <v>175</v>
      </c>
      <c r="BR74" t="e">
        <f ca="1">AVERAGEIFS(INDIRECT($I$3),INDIRECT($I$3),"&gt;=0",Data!$B:$B,BQ74,IF($A$20,Data!$J:$J,Data!#REF!),IF($A$20,"&lt;&gt;5",1))</f>
        <v>#DIV/0!</v>
      </c>
      <c r="BS74" t="e">
        <f t="shared" ref="BS74:BS137" ca="1" si="56">IF(BR74=BR73,BS73,$J74)</f>
        <v>#DIV/0!</v>
      </c>
      <c r="BT74" t="s">
        <v>136</v>
      </c>
      <c r="BU74" t="e">
        <f ca="1">AVERAGEIFS(INDIRECT($J$3),INDIRECT($J$3),"&gt;=0",Data!$B:$B,BT74,IF($A$20,Data!$J:$J,Data!#REF!),IF($A$20,"&lt;&gt;5",1))</f>
        <v>#DIV/0!</v>
      </c>
      <c r="BV74" t="e">
        <f t="shared" ref="BV74:BV137" ca="1" si="57">IF(BU74=BU73,BV73,$J74)</f>
        <v>#DIV/0!</v>
      </c>
    </row>
    <row r="75" spans="10:74" x14ac:dyDescent="0.35">
      <c r="J75">
        <f t="shared" ref="J75:J138" si="58">J74+1</f>
        <v>67</v>
      </c>
      <c r="K75" t="s">
        <v>108</v>
      </c>
      <c r="L75" t="e">
        <f ca="1">AVERAGEIFS(INDIRECT($B$3),INDIRECT($B$3),"&gt;=0",Data!$B:$B,$K75)</f>
        <v>#DIV/0!</v>
      </c>
      <c r="M75" t="e">
        <f t="shared" ref="M75:M138" ca="1" si="59">IF(L75=L74,M74,$J75)</f>
        <v>#DIV/0!</v>
      </c>
      <c r="N75" t="s">
        <v>62</v>
      </c>
      <c r="O75" t="e">
        <f ca="1">AVERAGEIFS(INDIRECT($C$3),INDIRECT($C$3),"&gt;=0",Data!$B:$B,$N75)</f>
        <v>#DIV/0!</v>
      </c>
      <c r="P75" t="e">
        <f t="shared" ca="1" si="32"/>
        <v>#DIV/0!</v>
      </c>
      <c r="Q75" t="s">
        <v>152</v>
      </c>
      <c r="R75" t="e">
        <f ca="1">AVERAGEIFS(INDIRECT($D$3),INDIRECT($D$3),"&gt;=0",Data!$B:$B,$Q75)</f>
        <v>#DIV/0!</v>
      </c>
      <c r="S75" t="e">
        <f t="shared" ca="1" si="33"/>
        <v>#DIV/0!</v>
      </c>
      <c r="T75" t="s">
        <v>192</v>
      </c>
      <c r="U75" t="e">
        <f ca="1">AVERAGEIFS(INDIRECT($E$3),INDIRECT($E$3),"&gt;=0",Data!$B:$B,$T75)</f>
        <v>#DIV/0!</v>
      </c>
      <c r="V75" t="e">
        <f t="shared" ca="1" si="34"/>
        <v>#DIV/0!</v>
      </c>
      <c r="W75" t="s">
        <v>131</v>
      </c>
      <c r="X75" t="e">
        <f ca="1">AVERAGEIFS(INDIRECT($F$3),INDIRECT($F$3),"&gt;=0",Data!$B:$B,$W75)</f>
        <v>#DIV/0!</v>
      </c>
      <c r="Y75" t="e">
        <f t="shared" ca="1" si="35"/>
        <v>#DIV/0!</v>
      </c>
      <c r="Z75" t="s">
        <v>55</v>
      </c>
      <c r="AA75">
        <f ca="1">AVERAGEIFS(INDIRECT($G$3),INDIRECT($G$3),"&gt;=0",Data!$B:$B,$Z75)</f>
        <v>0.91666666666666663</v>
      </c>
      <c r="AB75">
        <f t="shared" ca="1" si="36"/>
        <v>67</v>
      </c>
      <c r="AC75" t="s">
        <v>56</v>
      </c>
      <c r="AD75">
        <f ca="1">AVERAGEIFS(INDIRECT($H$3),INDIRECT($H$3),"&gt;=0",Data!$B:$B,$AC75)</f>
        <v>1</v>
      </c>
      <c r="AE75" t="e">
        <f t="shared" ca="1" si="37"/>
        <v>#DIV/0!</v>
      </c>
      <c r="AF75" t="s">
        <v>158</v>
      </c>
      <c r="AG75" t="e">
        <f ca="1">AVERAGEIFS(INDIRECT($I$3),INDIRECT($I$3),"&gt;=0",Data!$B:$B,$AF75)</f>
        <v>#DIV/0!</v>
      </c>
      <c r="AH75" t="e">
        <f t="shared" ca="1" si="38"/>
        <v>#DIV/0!</v>
      </c>
      <c r="AI75" t="s">
        <v>136</v>
      </c>
      <c r="AJ75" t="e">
        <f ca="1">AVERAGEIFS(INDIRECT($J$3),INDIRECT($J$3),"&gt;=0",Data!$B:$B,$AI75)</f>
        <v>#DIV/0!</v>
      </c>
      <c r="AK75" t="e">
        <f t="shared" ca="1" si="39"/>
        <v>#DIV/0!</v>
      </c>
      <c r="AL75" t="str">
        <f t="shared" ca="1" si="40"/>
        <v>-</v>
      </c>
      <c r="AM75" t="str">
        <f t="shared" ca="1" si="41"/>
        <v>-</v>
      </c>
      <c r="AN75" t="str">
        <f t="shared" ca="1" si="42"/>
        <v>-</v>
      </c>
      <c r="AO75" t="str">
        <f t="shared" ca="1" si="43"/>
        <v>-</v>
      </c>
      <c r="AP75" t="str">
        <f t="shared" ca="1" si="44"/>
        <v>-</v>
      </c>
      <c r="AQ75" t="str">
        <f t="shared" ca="1" si="45"/>
        <v>-</v>
      </c>
      <c r="AR75" t="str">
        <f t="shared" ca="1" si="46"/>
        <v>-</v>
      </c>
      <c r="AS75" t="str">
        <f t="shared" ca="1" si="47"/>
        <v>-</v>
      </c>
      <c r="AT75" t="str">
        <f t="shared" ca="1" si="48"/>
        <v>-</v>
      </c>
      <c r="AU75">
        <f t="shared" ref="AU75:AU138" si="60">AU74+1</f>
        <v>67</v>
      </c>
      <c r="AV75" t="s">
        <v>85</v>
      </c>
      <c r="AW75" s="20" t="e">
        <f ca="1">AVERAGEIFS(INDIRECT($B$3),INDIRECT($B$3),"&gt;=0",Data!$B:$B,AV75,IF($A$20,Data!$J:$J,Data!#REF!),IF($A$20,"&lt;&gt;5",1))</f>
        <v>#DIV/0!</v>
      </c>
      <c r="AX75" t="e">
        <f t="shared" ca="1" si="49"/>
        <v>#DIV/0!</v>
      </c>
      <c r="AY75" s="20" t="s">
        <v>62</v>
      </c>
      <c r="AZ75" t="e">
        <f ca="1">AVERAGEIFS(INDIRECT($C$3),INDIRECT($C$3),"&gt;=0",Data!$B:$B,AY75,IF($A$20,Data!$J:$J,Data!#REF!),IF($A$20,"&lt;&gt;5",1))</f>
        <v>#DIV/0!</v>
      </c>
      <c r="BA75" s="20" t="e">
        <f t="shared" ca="1" si="50"/>
        <v>#DIV/0!</v>
      </c>
      <c r="BB75" t="s">
        <v>22</v>
      </c>
      <c r="BC75" s="20" t="e">
        <f ca="1">AVERAGEIFS(INDIRECT($D$3),INDIRECT($D$3),"&gt;=0",Data!$B:$B,BB75,IF($A$20,Data!$J:$J,Data!#REF!),IF($A$20,"&lt;&gt;5",1))</f>
        <v>#DIV/0!</v>
      </c>
      <c r="BD75" t="e">
        <f t="shared" ca="1" si="51"/>
        <v>#DIV/0!</v>
      </c>
      <c r="BE75" s="20" t="s">
        <v>44</v>
      </c>
      <c r="BF75" t="e">
        <f ca="1">AVERAGEIFS(INDIRECT($E$3),INDIRECT($E$3),"&gt;=0",Data!$B:$B,BE75,IF($A$20,Data!$J:$J,Data!#REF!),IF($A$20,"&lt;&gt;5",1))</f>
        <v>#DIV/0!</v>
      </c>
      <c r="BG75" s="20" t="e">
        <f t="shared" ca="1" si="52"/>
        <v>#DIV/0!</v>
      </c>
      <c r="BH75" t="s">
        <v>189</v>
      </c>
      <c r="BI75" s="20" t="e">
        <f ca="1">AVERAGEIFS(INDIRECT($F$3),INDIRECT($F$3),"&gt;=0",Data!$B:$B,BH75,IF($A$20,Data!$J:$J,Data!#REF!),IF($A$20,"&lt;&gt;5",1))</f>
        <v>#DIV/0!</v>
      </c>
      <c r="BJ75" t="e">
        <f t="shared" ca="1" si="53"/>
        <v>#DIV/0!</v>
      </c>
      <c r="BK75" s="20" t="s">
        <v>129</v>
      </c>
      <c r="BL75" t="e">
        <f ca="1">AVERAGEIFS(INDIRECT($G$3),INDIRECT($G$3),"&gt;=0",Data!$B:$B,BK75,IF($A$20,Data!$J:$J,Data!#REF!),IF($A$20,"&lt;&gt;5",1))</f>
        <v>#DIV/0!</v>
      </c>
      <c r="BM75" s="20" t="e">
        <f t="shared" ca="1" si="54"/>
        <v>#DIV/0!</v>
      </c>
      <c r="BN75" t="s">
        <v>175</v>
      </c>
      <c r="BO75" t="e">
        <f ca="1">AVERAGEIFS(INDIRECT($H$3),INDIRECT($H$3),"&gt;=0",Data!$B:$B,BN75,IF($A$20,Data!$J:$J,Data!#REF!),IF($A$20,"&lt;&gt;5",1))</f>
        <v>#DIV/0!</v>
      </c>
      <c r="BP75" t="e">
        <f t="shared" ca="1" si="55"/>
        <v>#DIV/0!</v>
      </c>
      <c r="BQ75" t="s">
        <v>92</v>
      </c>
      <c r="BR75" t="e">
        <f ca="1">AVERAGEIFS(INDIRECT($I$3),INDIRECT($I$3),"&gt;=0",Data!$B:$B,BQ75,IF($A$20,Data!$J:$J,Data!#REF!),IF($A$20,"&lt;&gt;5",1))</f>
        <v>#DIV/0!</v>
      </c>
      <c r="BS75" t="e">
        <f t="shared" ca="1" si="56"/>
        <v>#DIV/0!</v>
      </c>
      <c r="BT75" t="s">
        <v>129</v>
      </c>
      <c r="BU75" t="e">
        <f ca="1">AVERAGEIFS(INDIRECT($J$3),INDIRECT($J$3),"&gt;=0",Data!$B:$B,BT75,IF($A$20,Data!$J:$J,Data!#REF!),IF($A$20,"&lt;&gt;5",1))</f>
        <v>#DIV/0!</v>
      </c>
      <c r="BV75" t="e">
        <f t="shared" ca="1" si="57"/>
        <v>#DIV/0!</v>
      </c>
    </row>
    <row r="76" spans="10:74" x14ac:dyDescent="0.35">
      <c r="J76">
        <f t="shared" si="58"/>
        <v>68</v>
      </c>
      <c r="K76" t="s">
        <v>110</v>
      </c>
      <c r="L76" t="e">
        <f ca="1">AVERAGEIFS(INDIRECT($B$3),INDIRECT($B$3),"&gt;=0",Data!$B:$B,$K76)</f>
        <v>#DIV/0!</v>
      </c>
      <c r="M76" t="e">
        <f t="shared" ca="1" si="59"/>
        <v>#DIV/0!</v>
      </c>
      <c r="N76" t="s">
        <v>70</v>
      </c>
      <c r="O76" t="e">
        <f ca="1">AVERAGEIFS(INDIRECT($C$3),INDIRECT($C$3),"&gt;=0",Data!$B:$B,$N76)</f>
        <v>#DIV/0!</v>
      </c>
      <c r="P76" t="e">
        <f t="shared" ca="1" si="32"/>
        <v>#DIV/0!</v>
      </c>
      <c r="Q76" t="s">
        <v>17</v>
      </c>
      <c r="R76" t="e">
        <f ca="1">AVERAGEIFS(INDIRECT($D$3),INDIRECT($D$3),"&gt;=0",Data!$B:$B,$Q76)</f>
        <v>#DIV/0!</v>
      </c>
      <c r="S76" t="e">
        <f t="shared" ca="1" si="33"/>
        <v>#DIV/0!</v>
      </c>
      <c r="T76" t="s">
        <v>14</v>
      </c>
      <c r="U76" t="e">
        <f ca="1">AVERAGEIFS(INDIRECT($E$3),INDIRECT($E$3),"&gt;=0",Data!$B:$B,$T76)</f>
        <v>#DIV/0!</v>
      </c>
      <c r="V76" t="e">
        <f t="shared" ca="1" si="34"/>
        <v>#DIV/0!</v>
      </c>
      <c r="W76" t="s">
        <v>138</v>
      </c>
      <c r="X76" t="e">
        <f ca="1">AVERAGEIFS(INDIRECT($F$3),INDIRECT($F$3),"&gt;=0",Data!$B:$B,$W76)</f>
        <v>#DIV/0!</v>
      </c>
      <c r="Y76" t="e">
        <f t="shared" ca="1" si="35"/>
        <v>#DIV/0!</v>
      </c>
      <c r="Z76" t="s">
        <v>87</v>
      </c>
      <c r="AA76">
        <f ca="1">AVERAGEIFS(INDIRECT($G$3),INDIRECT($G$3),"&gt;=0",Data!$B:$B,$Z76)</f>
        <v>0.95238095238095233</v>
      </c>
      <c r="AB76">
        <f t="shared" ca="1" si="36"/>
        <v>68</v>
      </c>
      <c r="AC76" t="s">
        <v>141</v>
      </c>
      <c r="AD76" t="e">
        <f ca="1">AVERAGEIFS(INDIRECT($H$3),INDIRECT($H$3),"&gt;=0",Data!$B:$B,$AC76)</f>
        <v>#DIV/0!</v>
      </c>
      <c r="AE76" t="e">
        <f t="shared" ca="1" si="37"/>
        <v>#DIV/0!</v>
      </c>
      <c r="AF76" t="s">
        <v>174</v>
      </c>
      <c r="AG76" t="e">
        <f ca="1">AVERAGEIFS(INDIRECT($I$3),INDIRECT($I$3),"&gt;=0",Data!$B:$B,$AF76)</f>
        <v>#DIV/0!</v>
      </c>
      <c r="AH76" t="e">
        <f t="shared" ca="1" si="38"/>
        <v>#DIV/0!</v>
      </c>
      <c r="AI76" t="s">
        <v>129</v>
      </c>
      <c r="AJ76" t="e">
        <f ca="1">AVERAGEIFS(INDIRECT($J$3),INDIRECT($J$3),"&gt;=0",Data!$B:$B,$AI76)</f>
        <v>#DIV/0!</v>
      </c>
      <c r="AK76" t="e">
        <f t="shared" ca="1" si="39"/>
        <v>#DIV/0!</v>
      </c>
      <c r="AL76" t="str">
        <f t="shared" ca="1" si="40"/>
        <v>-</v>
      </c>
      <c r="AM76" t="str">
        <f t="shared" ca="1" si="41"/>
        <v>-</v>
      </c>
      <c r="AN76" t="str">
        <f t="shared" ca="1" si="42"/>
        <v>-</v>
      </c>
      <c r="AO76" t="str">
        <f t="shared" ca="1" si="43"/>
        <v>-</v>
      </c>
      <c r="AP76" t="str">
        <f t="shared" ca="1" si="44"/>
        <v>-</v>
      </c>
      <c r="AQ76" t="str">
        <f t="shared" ca="1" si="45"/>
        <v>-</v>
      </c>
      <c r="AR76" t="str">
        <f t="shared" ca="1" si="46"/>
        <v>-</v>
      </c>
      <c r="AS76" t="str">
        <f t="shared" ca="1" si="47"/>
        <v>-</v>
      </c>
      <c r="AT76" t="str">
        <f t="shared" ca="1" si="48"/>
        <v>-</v>
      </c>
      <c r="AU76">
        <f t="shared" si="60"/>
        <v>68</v>
      </c>
      <c r="AV76" t="s">
        <v>79</v>
      </c>
      <c r="AW76" s="20" t="e">
        <f ca="1">AVERAGEIFS(INDIRECT($B$3),INDIRECT($B$3),"&gt;=0",Data!$B:$B,AV76,IF($A$20,Data!$J:$J,Data!#REF!),IF($A$20,"&lt;&gt;5",1))</f>
        <v>#DIV/0!</v>
      </c>
      <c r="AX76" t="e">
        <f t="shared" ca="1" si="49"/>
        <v>#DIV/0!</v>
      </c>
      <c r="AY76" s="20" t="s">
        <v>70</v>
      </c>
      <c r="AZ76" t="e">
        <f ca="1">AVERAGEIFS(INDIRECT($C$3),INDIRECT($C$3),"&gt;=0",Data!$B:$B,AY76,IF($A$20,Data!$J:$J,Data!#REF!),IF($A$20,"&lt;&gt;5",1))</f>
        <v>#DIV/0!</v>
      </c>
      <c r="BA76" s="20" t="e">
        <f t="shared" ca="1" si="50"/>
        <v>#DIV/0!</v>
      </c>
      <c r="BB76" t="s">
        <v>142</v>
      </c>
      <c r="BC76" s="20" t="e">
        <f ca="1">AVERAGEIFS(INDIRECT($D$3),INDIRECT($D$3),"&gt;=0",Data!$B:$B,BB76,IF($A$20,Data!$J:$J,Data!#REF!),IF($A$20,"&lt;&gt;5",1))</f>
        <v>#DIV/0!</v>
      </c>
      <c r="BD76" t="e">
        <f t="shared" ca="1" si="51"/>
        <v>#DIV/0!</v>
      </c>
      <c r="BE76" s="20" t="s">
        <v>148</v>
      </c>
      <c r="BF76" t="e">
        <f ca="1">AVERAGEIFS(INDIRECT($E$3),INDIRECT($E$3),"&gt;=0",Data!$B:$B,BE76,IF($A$20,Data!$J:$J,Data!#REF!),IF($A$20,"&lt;&gt;5",1))</f>
        <v>#DIV/0!</v>
      </c>
      <c r="BG76" s="20" t="e">
        <f t="shared" ca="1" si="52"/>
        <v>#DIV/0!</v>
      </c>
      <c r="BH76" t="s">
        <v>199</v>
      </c>
      <c r="BI76" s="20" t="e">
        <f ca="1">AVERAGEIFS(INDIRECT($F$3),INDIRECT($F$3),"&gt;=0",Data!$B:$B,BH76,IF($A$20,Data!$J:$J,Data!#REF!),IF($A$20,"&lt;&gt;5",1))</f>
        <v>#DIV/0!</v>
      </c>
      <c r="BJ76" t="e">
        <f t="shared" ca="1" si="53"/>
        <v>#DIV/0!</v>
      </c>
      <c r="BK76" s="20" t="s">
        <v>134</v>
      </c>
      <c r="BL76">
        <f ca="1">AVERAGEIFS(INDIRECT($G$3),INDIRECT($G$3),"&gt;=0",Data!$B:$B,BK76,IF($A$20,Data!$J:$J,Data!#REF!),IF($A$20,"&lt;&gt;5",1))</f>
        <v>0.73684210526315785</v>
      </c>
      <c r="BM76" s="20" t="e">
        <f t="shared" ca="1" si="54"/>
        <v>#DIV/0!</v>
      </c>
      <c r="BN76" t="s">
        <v>107</v>
      </c>
      <c r="BO76">
        <f ca="1">AVERAGEIFS(INDIRECT($H$3),INDIRECT($H$3),"&gt;=0",Data!$B:$B,BN76,IF($A$20,Data!$J:$J,Data!#REF!),IF($A$20,"&lt;&gt;5",1))</f>
        <v>1</v>
      </c>
      <c r="BP76" t="e">
        <f t="shared" ca="1" si="55"/>
        <v>#DIV/0!</v>
      </c>
      <c r="BQ76" t="s">
        <v>8</v>
      </c>
      <c r="BR76" t="e">
        <f ca="1">AVERAGEIFS(INDIRECT($I$3),INDIRECT($I$3),"&gt;=0",Data!$B:$B,BQ76,IF($A$20,Data!$J:$J,Data!#REF!),IF($A$20,"&lt;&gt;5",1))</f>
        <v>#DIV/0!</v>
      </c>
      <c r="BS76" t="e">
        <f t="shared" ca="1" si="56"/>
        <v>#DIV/0!</v>
      </c>
      <c r="BT76" t="s">
        <v>120</v>
      </c>
      <c r="BU76" t="e">
        <f ca="1">AVERAGEIFS(INDIRECT($J$3),INDIRECT($J$3),"&gt;=0",Data!$B:$B,BT76,IF($A$20,Data!$J:$J,Data!#REF!),IF($A$20,"&lt;&gt;5",1))</f>
        <v>#DIV/0!</v>
      </c>
      <c r="BV76" t="e">
        <f t="shared" ca="1" si="57"/>
        <v>#DIV/0!</v>
      </c>
    </row>
    <row r="77" spans="10:74" x14ac:dyDescent="0.35">
      <c r="J77">
        <f t="shared" si="58"/>
        <v>69</v>
      </c>
      <c r="K77" t="s">
        <v>122</v>
      </c>
      <c r="L77" t="e">
        <f ca="1">AVERAGEIFS(INDIRECT($B$3),INDIRECT($B$3),"&gt;=0",Data!$B:$B,$K77)</f>
        <v>#DIV/0!</v>
      </c>
      <c r="M77" t="e">
        <f t="shared" ca="1" si="59"/>
        <v>#DIV/0!</v>
      </c>
      <c r="N77" t="s">
        <v>81</v>
      </c>
      <c r="O77" t="e">
        <f ca="1">AVERAGEIFS(INDIRECT($C$3),INDIRECT($C$3),"&gt;=0",Data!$B:$B,$N77)</f>
        <v>#DIV/0!</v>
      </c>
      <c r="P77" t="e">
        <f t="shared" ca="1" si="32"/>
        <v>#DIV/0!</v>
      </c>
      <c r="Q77" t="s">
        <v>120</v>
      </c>
      <c r="R77" t="e">
        <f ca="1">AVERAGEIFS(INDIRECT($D$3),INDIRECT($D$3),"&gt;=0",Data!$B:$B,$Q77)</f>
        <v>#DIV/0!</v>
      </c>
      <c r="S77" t="e">
        <f t="shared" ca="1" si="33"/>
        <v>#DIV/0!</v>
      </c>
      <c r="T77" t="s">
        <v>197</v>
      </c>
      <c r="U77" t="e">
        <f ca="1">AVERAGEIFS(INDIRECT($E$3),INDIRECT($E$3),"&gt;=0",Data!$B:$B,$T77)</f>
        <v>#DIV/0!</v>
      </c>
      <c r="V77" t="e">
        <f t="shared" ca="1" si="34"/>
        <v>#DIV/0!</v>
      </c>
      <c r="W77" t="s">
        <v>140</v>
      </c>
      <c r="X77" t="e">
        <f ca="1">AVERAGEIFS(INDIRECT($F$3),INDIRECT($F$3),"&gt;=0",Data!$B:$B,$W77)</f>
        <v>#DIV/0!</v>
      </c>
      <c r="Y77" t="e">
        <f t="shared" ca="1" si="35"/>
        <v>#DIV/0!</v>
      </c>
      <c r="Z77" t="s">
        <v>120</v>
      </c>
      <c r="AA77" t="e">
        <f ca="1">AVERAGEIFS(INDIRECT($G$3),INDIRECT($G$3),"&gt;=0",Data!$B:$B,$Z77)</f>
        <v>#DIV/0!</v>
      </c>
      <c r="AB77" t="e">
        <f t="shared" ca="1" si="36"/>
        <v>#DIV/0!</v>
      </c>
      <c r="AC77" t="s">
        <v>154</v>
      </c>
      <c r="AD77" t="e">
        <f ca="1">AVERAGEIFS(INDIRECT($H$3),INDIRECT($H$3),"&gt;=0",Data!$B:$B,$AC77)</f>
        <v>#DIV/0!</v>
      </c>
      <c r="AE77" t="e">
        <f t="shared" ca="1" si="37"/>
        <v>#DIV/0!</v>
      </c>
      <c r="AF77" t="s">
        <v>181</v>
      </c>
      <c r="AG77">
        <f ca="1">AVERAGEIFS(INDIRECT($I$3),INDIRECT($I$3),"&gt;=0",Data!$B:$B,$AF77)</f>
        <v>0.70833333333333337</v>
      </c>
      <c r="AH77" t="e">
        <f t="shared" ca="1" si="38"/>
        <v>#DIV/0!</v>
      </c>
      <c r="AI77" t="s">
        <v>120</v>
      </c>
      <c r="AJ77" t="e">
        <f ca="1">AVERAGEIFS(INDIRECT($J$3),INDIRECT($J$3),"&gt;=0",Data!$B:$B,$AI77)</f>
        <v>#DIV/0!</v>
      </c>
      <c r="AK77" t="e">
        <f t="shared" ca="1" si="39"/>
        <v>#DIV/0!</v>
      </c>
      <c r="AL77" t="str">
        <f t="shared" ca="1" si="40"/>
        <v>-</v>
      </c>
      <c r="AM77" t="str">
        <f t="shared" ca="1" si="41"/>
        <v>-</v>
      </c>
      <c r="AN77" t="str">
        <f t="shared" ca="1" si="42"/>
        <v>-</v>
      </c>
      <c r="AO77" t="str">
        <f t="shared" ca="1" si="43"/>
        <v>-</v>
      </c>
      <c r="AP77" t="str">
        <f t="shared" ca="1" si="44"/>
        <v>-</v>
      </c>
      <c r="AQ77" t="str">
        <f t="shared" ca="1" si="45"/>
        <v>-</v>
      </c>
      <c r="AR77" t="str">
        <f t="shared" ca="1" si="46"/>
        <v>-</v>
      </c>
      <c r="AS77" t="str">
        <f t="shared" ca="1" si="47"/>
        <v>-</v>
      </c>
      <c r="AT77" t="str">
        <f t="shared" ca="1" si="48"/>
        <v>-</v>
      </c>
      <c r="AU77">
        <f t="shared" si="60"/>
        <v>69</v>
      </c>
      <c r="AV77" t="s">
        <v>106</v>
      </c>
      <c r="AW77" s="20" t="e">
        <f ca="1">AVERAGEIFS(INDIRECT($B$3),INDIRECT($B$3),"&gt;=0",Data!$B:$B,AV77,IF($A$20,Data!$J:$J,Data!#REF!),IF($A$20,"&lt;&gt;5",1))</f>
        <v>#DIV/0!</v>
      </c>
      <c r="AX77" t="e">
        <f t="shared" ca="1" si="49"/>
        <v>#DIV/0!</v>
      </c>
      <c r="AY77" s="20" t="s">
        <v>81</v>
      </c>
      <c r="AZ77" t="e">
        <f ca="1">AVERAGEIFS(INDIRECT($C$3),INDIRECT($C$3),"&gt;=0",Data!$B:$B,AY77,IF($A$20,Data!$J:$J,Data!#REF!),IF($A$20,"&lt;&gt;5",1))</f>
        <v>#DIV/0!</v>
      </c>
      <c r="BA77" s="20" t="e">
        <f t="shared" ca="1" si="50"/>
        <v>#DIV/0!</v>
      </c>
      <c r="BB77" t="s">
        <v>120</v>
      </c>
      <c r="BC77" s="20" t="e">
        <f ca="1">AVERAGEIFS(INDIRECT($D$3),INDIRECT($D$3),"&gt;=0",Data!$B:$B,BB77,IF($A$20,Data!$J:$J,Data!#REF!),IF($A$20,"&lt;&gt;5",1))</f>
        <v>#DIV/0!</v>
      </c>
      <c r="BD77" t="e">
        <f t="shared" ca="1" si="51"/>
        <v>#DIV/0!</v>
      </c>
      <c r="BE77" s="20" t="s">
        <v>138</v>
      </c>
      <c r="BF77" t="e">
        <f ca="1">AVERAGEIFS(INDIRECT($E$3),INDIRECT($E$3),"&gt;=0",Data!$B:$B,BE77,IF($A$20,Data!$J:$J,Data!#REF!),IF($A$20,"&lt;&gt;5",1))</f>
        <v>#DIV/0!</v>
      </c>
      <c r="BG77" s="20" t="e">
        <f t="shared" ca="1" si="52"/>
        <v>#DIV/0!</v>
      </c>
      <c r="BH77" t="s">
        <v>10</v>
      </c>
      <c r="BI77" s="20" t="e">
        <f ca="1">AVERAGEIFS(INDIRECT($F$3),INDIRECT($F$3),"&gt;=0",Data!$B:$B,BH77,IF($A$20,Data!$J:$J,Data!#REF!),IF($A$20,"&lt;&gt;5",1))</f>
        <v>#DIV/0!</v>
      </c>
      <c r="BJ77" t="e">
        <f t="shared" ca="1" si="53"/>
        <v>#DIV/0!</v>
      </c>
      <c r="BK77" s="20" t="s">
        <v>112</v>
      </c>
      <c r="BL77" t="e">
        <f ca="1">AVERAGEIFS(INDIRECT($G$3),INDIRECT($G$3),"&gt;=0",Data!$B:$B,BK77,IF($A$20,Data!$J:$J,Data!#REF!),IF($A$20,"&lt;&gt;5",1))</f>
        <v>#DIV/0!</v>
      </c>
      <c r="BM77" s="20" t="e">
        <f t="shared" ca="1" si="54"/>
        <v>#DIV/0!</v>
      </c>
      <c r="BN77" t="s">
        <v>154</v>
      </c>
      <c r="BO77" t="e">
        <f ca="1">AVERAGEIFS(INDIRECT($H$3),INDIRECT($H$3),"&gt;=0",Data!$B:$B,BN77,IF($A$20,Data!$J:$J,Data!#REF!),IF($A$20,"&lt;&gt;5",1))</f>
        <v>#DIV/0!</v>
      </c>
      <c r="BP77" t="e">
        <f t="shared" ca="1" si="55"/>
        <v>#DIV/0!</v>
      </c>
      <c r="BQ77" t="s">
        <v>51</v>
      </c>
      <c r="BR77" t="e">
        <f ca="1">AVERAGEIFS(INDIRECT($I$3),INDIRECT($I$3),"&gt;=0",Data!$B:$B,BQ77,IF($A$20,Data!$J:$J,Data!#REF!),IF($A$20,"&lt;&gt;5",1))</f>
        <v>#DIV/0!</v>
      </c>
      <c r="BS77" t="e">
        <f t="shared" ca="1" si="56"/>
        <v>#DIV/0!</v>
      </c>
      <c r="BT77" t="s">
        <v>123</v>
      </c>
      <c r="BU77" t="e">
        <f ca="1">AVERAGEIFS(INDIRECT($J$3),INDIRECT($J$3),"&gt;=0",Data!$B:$B,BT77,IF($A$20,Data!$J:$J,Data!#REF!),IF($A$20,"&lt;&gt;5",1))</f>
        <v>#DIV/0!</v>
      </c>
      <c r="BV77" t="e">
        <f t="shared" ca="1" si="57"/>
        <v>#DIV/0!</v>
      </c>
    </row>
    <row r="78" spans="10:74" x14ac:dyDescent="0.35">
      <c r="J78">
        <f t="shared" si="58"/>
        <v>70</v>
      </c>
      <c r="K78" t="s">
        <v>125</v>
      </c>
      <c r="L78" t="e">
        <f ca="1">AVERAGEIFS(INDIRECT($B$3),INDIRECT($B$3),"&gt;=0",Data!$B:$B,$K78)</f>
        <v>#DIV/0!</v>
      </c>
      <c r="M78" t="e">
        <f t="shared" ca="1" si="59"/>
        <v>#DIV/0!</v>
      </c>
      <c r="N78" t="s">
        <v>133</v>
      </c>
      <c r="O78" t="e">
        <f ca="1">AVERAGEIFS(INDIRECT($C$3),INDIRECT($C$3),"&gt;=0",Data!$B:$B,$N78)</f>
        <v>#DIV/0!</v>
      </c>
      <c r="P78" t="e">
        <f t="shared" ca="1" si="32"/>
        <v>#DIV/0!</v>
      </c>
      <c r="Q78" t="s">
        <v>22</v>
      </c>
      <c r="R78" t="e">
        <f ca="1">AVERAGEIFS(INDIRECT($D$3),INDIRECT($D$3),"&gt;=0",Data!$B:$B,$Q78)</f>
        <v>#DIV/0!</v>
      </c>
      <c r="S78" t="e">
        <f t="shared" ca="1" si="33"/>
        <v>#DIV/0!</v>
      </c>
      <c r="T78" t="s">
        <v>151</v>
      </c>
      <c r="U78" t="e">
        <f ca="1">AVERAGEIFS(INDIRECT($E$3),INDIRECT($E$3),"&gt;=0",Data!$B:$B,$T78)</f>
        <v>#DIV/0!</v>
      </c>
      <c r="V78" t="e">
        <f t="shared" ca="1" si="34"/>
        <v>#DIV/0!</v>
      </c>
      <c r="W78" t="s">
        <v>144</v>
      </c>
      <c r="X78" t="e">
        <f ca="1">AVERAGEIFS(INDIRECT($F$3),INDIRECT($F$3),"&gt;=0",Data!$B:$B,$W78)</f>
        <v>#DIV/0!</v>
      </c>
      <c r="Y78" t="e">
        <f t="shared" ca="1" si="35"/>
        <v>#DIV/0!</v>
      </c>
      <c r="Z78" t="s">
        <v>129</v>
      </c>
      <c r="AA78" t="e">
        <f ca="1">AVERAGEIFS(INDIRECT($G$3),INDIRECT($G$3),"&gt;=0",Data!$B:$B,$Z78)</f>
        <v>#DIV/0!</v>
      </c>
      <c r="AB78" t="e">
        <f t="shared" ca="1" si="36"/>
        <v>#DIV/0!</v>
      </c>
      <c r="AC78" t="s">
        <v>107</v>
      </c>
      <c r="AD78">
        <f ca="1">AVERAGEIFS(INDIRECT($H$3),INDIRECT($H$3),"&gt;=0",Data!$B:$B,$AC78)</f>
        <v>0.94117647058823528</v>
      </c>
      <c r="AE78" t="e">
        <f t="shared" ca="1" si="37"/>
        <v>#DIV/0!</v>
      </c>
      <c r="AF78" t="s">
        <v>175</v>
      </c>
      <c r="AG78" t="e">
        <f ca="1">AVERAGEIFS(INDIRECT($I$3),INDIRECT($I$3),"&gt;=0",Data!$B:$B,$AF78)</f>
        <v>#DIV/0!</v>
      </c>
      <c r="AH78" t="e">
        <f t="shared" ca="1" si="38"/>
        <v>#DIV/0!</v>
      </c>
      <c r="AI78" t="s">
        <v>123</v>
      </c>
      <c r="AJ78" t="e">
        <f ca="1">AVERAGEIFS(INDIRECT($J$3),INDIRECT($J$3),"&gt;=0",Data!$B:$B,$AI78)</f>
        <v>#DIV/0!</v>
      </c>
      <c r="AK78" t="e">
        <f t="shared" ca="1" si="39"/>
        <v>#DIV/0!</v>
      </c>
      <c r="AL78" t="str">
        <f t="shared" ca="1" si="40"/>
        <v>-</v>
      </c>
      <c r="AM78" t="str">
        <f t="shared" ca="1" si="41"/>
        <v>-</v>
      </c>
      <c r="AN78" t="str">
        <f t="shared" ca="1" si="42"/>
        <v>-</v>
      </c>
      <c r="AO78" t="str">
        <f t="shared" ca="1" si="43"/>
        <v>-</v>
      </c>
      <c r="AP78" t="str">
        <f t="shared" ca="1" si="44"/>
        <v>-</v>
      </c>
      <c r="AQ78" t="str">
        <f t="shared" ca="1" si="45"/>
        <v>-</v>
      </c>
      <c r="AR78" t="str">
        <f t="shared" ca="1" si="46"/>
        <v>-</v>
      </c>
      <c r="AS78" t="str">
        <f t="shared" ca="1" si="47"/>
        <v>-</v>
      </c>
      <c r="AT78" t="str">
        <f t="shared" ca="1" si="48"/>
        <v>-</v>
      </c>
      <c r="AU78">
        <f t="shared" si="60"/>
        <v>70</v>
      </c>
      <c r="AV78" t="s">
        <v>32</v>
      </c>
      <c r="AW78" s="20" t="e">
        <f ca="1">AVERAGEIFS(INDIRECT($B$3),INDIRECT($B$3),"&gt;=0",Data!$B:$B,AV78,IF($A$20,Data!$J:$J,Data!#REF!),IF($A$20,"&lt;&gt;5",1))</f>
        <v>#DIV/0!</v>
      </c>
      <c r="AX78" t="e">
        <f t="shared" ca="1" si="49"/>
        <v>#DIV/0!</v>
      </c>
      <c r="AY78" s="20" t="s">
        <v>180</v>
      </c>
      <c r="AZ78" t="e">
        <f ca="1">AVERAGEIFS(INDIRECT($C$3),INDIRECT($C$3),"&gt;=0",Data!$B:$B,AY78,IF($A$20,Data!$J:$J,Data!#REF!),IF($A$20,"&lt;&gt;5",1))</f>
        <v>#DIV/0!</v>
      </c>
      <c r="BA78" s="20" t="e">
        <f t="shared" ca="1" si="50"/>
        <v>#DIV/0!</v>
      </c>
      <c r="BB78" t="s">
        <v>9</v>
      </c>
      <c r="BC78" s="20" t="e">
        <f ca="1">AVERAGEIFS(INDIRECT($D$3),INDIRECT($D$3),"&gt;=0",Data!$B:$B,BB78,IF($A$20,Data!$J:$J,Data!#REF!),IF($A$20,"&lt;&gt;5",1))</f>
        <v>#DIV/0!</v>
      </c>
      <c r="BD78" t="e">
        <f t="shared" ca="1" si="51"/>
        <v>#DIV/0!</v>
      </c>
      <c r="BE78" s="20" t="s">
        <v>94</v>
      </c>
      <c r="BF78" t="e">
        <f ca="1">AVERAGEIFS(INDIRECT($E$3),INDIRECT($E$3),"&gt;=0",Data!$B:$B,BE78,IF($A$20,Data!$J:$J,Data!#REF!),IF($A$20,"&lt;&gt;5",1))</f>
        <v>#DIV/0!</v>
      </c>
      <c r="BG78" s="20" t="e">
        <f t="shared" ca="1" si="52"/>
        <v>#DIV/0!</v>
      </c>
      <c r="BH78" t="s">
        <v>127</v>
      </c>
      <c r="BI78" s="20" t="e">
        <f ca="1">AVERAGEIFS(INDIRECT($F$3),INDIRECT($F$3),"&gt;=0",Data!$B:$B,BH78,IF($A$20,Data!$J:$J,Data!#REF!),IF($A$20,"&lt;&gt;5",1))</f>
        <v>#DIV/0!</v>
      </c>
      <c r="BJ78" t="e">
        <f t="shared" ca="1" si="53"/>
        <v>#DIV/0!</v>
      </c>
      <c r="BK78" s="20" t="s">
        <v>65</v>
      </c>
      <c r="BL78" t="e">
        <f ca="1">AVERAGEIFS(INDIRECT($G$3),INDIRECT($G$3),"&gt;=0",Data!$B:$B,BK78,IF($A$20,Data!$J:$J,Data!#REF!),IF($A$20,"&lt;&gt;5",1))</f>
        <v>#DIV/0!</v>
      </c>
      <c r="BM78" s="20" t="e">
        <f t="shared" ca="1" si="54"/>
        <v>#DIV/0!</v>
      </c>
      <c r="BN78" t="s">
        <v>121</v>
      </c>
      <c r="BO78" t="e">
        <f ca="1">AVERAGEIFS(INDIRECT($H$3),INDIRECT($H$3),"&gt;=0",Data!$B:$B,BN78,IF($A$20,Data!$J:$J,Data!#REF!),IF($A$20,"&lt;&gt;5",1))</f>
        <v>#DIV/0!</v>
      </c>
      <c r="BP78" t="e">
        <f t="shared" ca="1" si="55"/>
        <v>#DIV/0!</v>
      </c>
      <c r="BQ78" t="s">
        <v>107</v>
      </c>
      <c r="BR78">
        <f ca="1">AVERAGEIFS(INDIRECT($I$3),INDIRECT($I$3),"&gt;=0",Data!$B:$B,BQ78,IF($A$20,Data!$J:$J,Data!#REF!),IF($A$20,"&lt;&gt;5",1))</f>
        <v>0.73333333333333328</v>
      </c>
      <c r="BS78" t="e">
        <f t="shared" ca="1" si="56"/>
        <v>#DIV/0!</v>
      </c>
      <c r="BT78" t="s">
        <v>110</v>
      </c>
      <c r="BU78" t="e">
        <f ca="1">AVERAGEIFS(INDIRECT($J$3),INDIRECT($J$3),"&gt;=0",Data!$B:$B,BT78,IF($A$20,Data!$J:$J,Data!#REF!),IF($A$20,"&lt;&gt;5",1))</f>
        <v>#DIV/0!</v>
      </c>
      <c r="BV78" t="e">
        <f t="shared" ca="1" si="57"/>
        <v>#DIV/0!</v>
      </c>
    </row>
    <row r="79" spans="10:74" x14ac:dyDescent="0.35">
      <c r="J79">
        <f t="shared" si="58"/>
        <v>71</v>
      </c>
      <c r="K79" t="s">
        <v>82</v>
      </c>
      <c r="L79" t="e">
        <f ca="1">AVERAGEIFS(INDIRECT($B$3),INDIRECT($B$3),"&gt;=0",Data!$B:$B,$K79)</f>
        <v>#DIV/0!</v>
      </c>
      <c r="M79" t="e">
        <f t="shared" ca="1" si="59"/>
        <v>#DIV/0!</v>
      </c>
      <c r="N79" t="s">
        <v>180</v>
      </c>
      <c r="O79" t="e">
        <f ca="1">AVERAGEIFS(INDIRECT($C$3),INDIRECT($C$3),"&gt;=0",Data!$B:$B,$N79)</f>
        <v>#DIV/0!</v>
      </c>
      <c r="P79" t="e">
        <f t="shared" ca="1" si="32"/>
        <v>#DIV/0!</v>
      </c>
      <c r="Q79" t="s">
        <v>40</v>
      </c>
      <c r="R79" t="e">
        <f ca="1">AVERAGEIFS(INDIRECT($D$3),INDIRECT($D$3),"&gt;=0",Data!$B:$B,$Q79)</f>
        <v>#DIV/0!</v>
      </c>
      <c r="S79" t="e">
        <f t="shared" ca="1" si="33"/>
        <v>#DIV/0!</v>
      </c>
      <c r="T79" t="s">
        <v>81</v>
      </c>
      <c r="U79" t="e">
        <f ca="1">AVERAGEIFS(INDIRECT($E$3),INDIRECT($E$3),"&gt;=0",Data!$B:$B,$T79)</f>
        <v>#DIV/0!</v>
      </c>
      <c r="V79" t="e">
        <f t="shared" ca="1" si="34"/>
        <v>#DIV/0!</v>
      </c>
      <c r="W79" t="s">
        <v>161</v>
      </c>
      <c r="X79" t="e">
        <f ca="1">AVERAGEIFS(INDIRECT($F$3),INDIRECT($F$3),"&gt;=0",Data!$B:$B,$W79)</f>
        <v>#DIV/0!</v>
      </c>
      <c r="Y79" t="e">
        <f t="shared" ca="1" si="35"/>
        <v>#DIV/0!</v>
      </c>
      <c r="Z79" t="s">
        <v>134</v>
      </c>
      <c r="AA79">
        <f ca="1">AVERAGEIFS(INDIRECT($G$3),INDIRECT($G$3),"&gt;=0",Data!$B:$B,$Z79)</f>
        <v>0.75</v>
      </c>
      <c r="AB79" t="e">
        <f t="shared" ca="1" si="36"/>
        <v>#DIV/0!</v>
      </c>
      <c r="AC79" t="s">
        <v>121</v>
      </c>
      <c r="AD79" t="e">
        <f ca="1">AVERAGEIFS(INDIRECT($H$3),INDIRECT($H$3),"&gt;=0",Data!$B:$B,$AC79)</f>
        <v>#DIV/0!</v>
      </c>
      <c r="AE79" t="e">
        <f t="shared" ca="1" si="37"/>
        <v>#DIV/0!</v>
      </c>
      <c r="AF79" t="s">
        <v>54</v>
      </c>
      <c r="AG79" t="e">
        <f ca="1">AVERAGEIFS(INDIRECT($I$3),INDIRECT($I$3),"&gt;=0",Data!$B:$B,$AF79)</f>
        <v>#DIV/0!</v>
      </c>
      <c r="AH79" t="e">
        <f t="shared" ca="1" si="38"/>
        <v>#DIV/0!</v>
      </c>
      <c r="AI79" t="s">
        <v>110</v>
      </c>
      <c r="AJ79" t="e">
        <f ca="1">AVERAGEIFS(INDIRECT($J$3),INDIRECT($J$3),"&gt;=0",Data!$B:$B,$AI79)</f>
        <v>#DIV/0!</v>
      </c>
      <c r="AK79" t="e">
        <f t="shared" ca="1" si="39"/>
        <v>#DIV/0!</v>
      </c>
      <c r="AL79" t="str">
        <f t="shared" ca="1" si="40"/>
        <v>-</v>
      </c>
      <c r="AM79" t="str">
        <f t="shared" ca="1" si="41"/>
        <v>-</v>
      </c>
      <c r="AN79" t="str">
        <f t="shared" ca="1" si="42"/>
        <v>-</v>
      </c>
      <c r="AO79" t="str">
        <f t="shared" ca="1" si="43"/>
        <v>-</v>
      </c>
      <c r="AP79" t="str">
        <f t="shared" ca="1" si="44"/>
        <v>-</v>
      </c>
      <c r="AQ79" t="str">
        <f t="shared" ca="1" si="45"/>
        <v>-</v>
      </c>
      <c r="AR79" t="str">
        <f t="shared" ca="1" si="46"/>
        <v>-</v>
      </c>
      <c r="AS79" t="str">
        <f t="shared" ca="1" si="47"/>
        <v>-</v>
      </c>
      <c r="AT79" t="str">
        <f t="shared" ca="1" si="48"/>
        <v>-</v>
      </c>
      <c r="AU79">
        <f t="shared" si="60"/>
        <v>71</v>
      </c>
      <c r="AV79" t="s">
        <v>41</v>
      </c>
      <c r="AW79" s="20" t="e">
        <f ca="1">AVERAGEIFS(INDIRECT($B$3),INDIRECT($B$3),"&gt;=0",Data!$B:$B,AV79,IF($A$20,Data!$J:$J,Data!#REF!),IF($A$20,"&lt;&gt;5",1))</f>
        <v>#DIV/0!</v>
      </c>
      <c r="AX79" t="e">
        <f t="shared" ca="1" si="49"/>
        <v>#DIV/0!</v>
      </c>
      <c r="AY79" s="20" t="s">
        <v>142</v>
      </c>
      <c r="AZ79" t="e">
        <f ca="1">AVERAGEIFS(INDIRECT($C$3),INDIRECT($C$3),"&gt;=0",Data!$B:$B,AY79,IF($A$20,Data!$J:$J,Data!#REF!),IF($A$20,"&lt;&gt;5",1))</f>
        <v>#DIV/0!</v>
      </c>
      <c r="BA79" s="20" t="e">
        <f t="shared" ca="1" si="50"/>
        <v>#DIV/0!</v>
      </c>
      <c r="BB79" t="s">
        <v>28</v>
      </c>
      <c r="BC79" s="20" t="e">
        <f ca="1">AVERAGEIFS(INDIRECT($D$3),INDIRECT($D$3),"&gt;=0",Data!$B:$B,BB79,IF($A$20,Data!$J:$J,Data!#REF!),IF($A$20,"&lt;&gt;5",1))</f>
        <v>#DIV/0!</v>
      </c>
      <c r="BD79" t="e">
        <f t="shared" ca="1" si="51"/>
        <v>#DIV/0!</v>
      </c>
      <c r="BE79" s="20" t="s">
        <v>153</v>
      </c>
      <c r="BF79" t="e">
        <f ca="1">AVERAGEIFS(INDIRECT($E$3),INDIRECT($E$3),"&gt;=0",Data!$B:$B,BE79,IF($A$20,Data!$J:$J,Data!#REF!),IF($A$20,"&lt;&gt;5",1))</f>
        <v>#DIV/0!</v>
      </c>
      <c r="BG79" s="20" t="e">
        <f t="shared" ca="1" si="52"/>
        <v>#DIV/0!</v>
      </c>
      <c r="BH79" t="s">
        <v>66</v>
      </c>
      <c r="BI79" s="20" t="e">
        <f ca="1">AVERAGEIFS(INDIRECT($F$3),INDIRECT($F$3),"&gt;=0",Data!$B:$B,BH79,IF($A$20,Data!$J:$J,Data!#REF!),IF($A$20,"&lt;&gt;5",1))</f>
        <v>#DIV/0!</v>
      </c>
      <c r="BJ79" t="e">
        <f t="shared" ca="1" si="53"/>
        <v>#DIV/0!</v>
      </c>
      <c r="BK79" s="20" t="s">
        <v>135</v>
      </c>
      <c r="BL79" t="e">
        <f ca="1">AVERAGEIFS(INDIRECT($G$3),INDIRECT($G$3),"&gt;=0",Data!$B:$B,BK79,IF($A$20,Data!$J:$J,Data!#REF!),IF($A$20,"&lt;&gt;5",1))</f>
        <v>#DIV/0!</v>
      </c>
      <c r="BM79" s="20" t="e">
        <f t="shared" ca="1" si="54"/>
        <v>#DIV/0!</v>
      </c>
      <c r="BN79" t="s">
        <v>167</v>
      </c>
      <c r="BO79">
        <f ca="1">AVERAGEIFS(INDIRECT($H$3),INDIRECT($H$3),"&gt;=0",Data!$B:$B,BN79,IF($A$20,Data!$J:$J,Data!#REF!),IF($A$20,"&lt;&gt;5",1))</f>
        <v>1</v>
      </c>
      <c r="BP79" t="e">
        <f t="shared" ca="1" si="55"/>
        <v>#DIV/0!</v>
      </c>
      <c r="BQ79" t="s">
        <v>2</v>
      </c>
      <c r="BR79" t="e">
        <f ca="1">AVERAGEIFS(INDIRECT($I$3),INDIRECT($I$3),"&gt;=0",Data!$B:$B,BQ79,IF($A$20,Data!$J:$J,Data!#REF!),IF($A$20,"&lt;&gt;5",1))</f>
        <v>#DIV/0!</v>
      </c>
      <c r="BS79" t="e">
        <f t="shared" ca="1" si="56"/>
        <v>#DIV/0!</v>
      </c>
      <c r="BT79" t="s">
        <v>121</v>
      </c>
      <c r="BU79" t="e">
        <f ca="1">AVERAGEIFS(INDIRECT($J$3),INDIRECT($J$3),"&gt;=0",Data!$B:$B,BT79,IF($A$20,Data!$J:$J,Data!#REF!),IF($A$20,"&lt;&gt;5",1))</f>
        <v>#DIV/0!</v>
      </c>
      <c r="BV79" t="e">
        <f t="shared" ca="1" si="57"/>
        <v>#DIV/0!</v>
      </c>
    </row>
    <row r="80" spans="10:74" x14ac:dyDescent="0.35">
      <c r="J80">
        <f t="shared" si="58"/>
        <v>72</v>
      </c>
      <c r="K80" t="s">
        <v>60</v>
      </c>
      <c r="L80" t="e">
        <f ca="1">AVERAGEIFS(INDIRECT($B$3),INDIRECT($B$3),"&gt;=0",Data!$B:$B,$K80)</f>
        <v>#DIV/0!</v>
      </c>
      <c r="M80" t="e">
        <f t="shared" ca="1" si="59"/>
        <v>#DIV/0!</v>
      </c>
      <c r="N80" t="s">
        <v>142</v>
      </c>
      <c r="O80" t="e">
        <f ca="1">AVERAGEIFS(INDIRECT($C$3),INDIRECT($C$3),"&gt;=0",Data!$B:$B,$N80)</f>
        <v>#DIV/0!</v>
      </c>
      <c r="P80" t="e">
        <f t="shared" ca="1" si="32"/>
        <v>#DIV/0!</v>
      </c>
      <c r="Q80" t="s">
        <v>73</v>
      </c>
      <c r="R80" t="e">
        <f ca="1">AVERAGEIFS(INDIRECT($D$3),INDIRECT($D$3),"&gt;=0",Data!$B:$B,$Q80)</f>
        <v>#DIV/0!</v>
      </c>
      <c r="S80" t="e">
        <f t="shared" ca="1" si="33"/>
        <v>#DIV/0!</v>
      </c>
      <c r="T80" t="s">
        <v>12</v>
      </c>
      <c r="U80" t="e">
        <f ca="1">AVERAGEIFS(INDIRECT($E$3),INDIRECT($E$3),"&gt;=0",Data!$B:$B,$T80)</f>
        <v>#DIV/0!</v>
      </c>
      <c r="V80" t="e">
        <f t="shared" ca="1" si="34"/>
        <v>#DIV/0!</v>
      </c>
      <c r="W80" t="s">
        <v>170</v>
      </c>
      <c r="X80" t="e">
        <f ca="1">AVERAGEIFS(INDIRECT($F$3),INDIRECT($F$3),"&gt;=0",Data!$B:$B,$W80)</f>
        <v>#DIV/0!</v>
      </c>
      <c r="Y80" t="e">
        <f t="shared" ca="1" si="35"/>
        <v>#DIV/0!</v>
      </c>
      <c r="Z80" t="s">
        <v>112</v>
      </c>
      <c r="AA80" t="e">
        <f ca="1">AVERAGEIFS(INDIRECT($G$3),INDIRECT($G$3),"&gt;=0",Data!$B:$B,$Z80)</f>
        <v>#DIV/0!</v>
      </c>
      <c r="AB80" t="e">
        <f t="shared" ca="1" si="36"/>
        <v>#DIV/0!</v>
      </c>
      <c r="AC80" t="s">
        <v>167</v>
      </c>
      <c r="AD80">
        <f ca="1">AVERAGEIFS(INDIRECT($H$3),INDIRECT($H$3),"&gt;=0",Data!$B:$B,$AC80)</f>
        <v>0.9375</v>
      </c>
      <c r="AE80" t="e">
        <f t="shared" ca="1" si="37"/>
        <v>#DIV/0!</v>
      </c>
      <c r="AF80" t="s">
        <v>92</v>
      </c>
      <c r="AG80" t="e">
        <f ca="1">AVERAGEIFS(INDIRECT($I$3),INDIRECT($I$3),"&gt;=0",Data!$B:$B,$AF80)</f>
        <v>#DIV/0!</v>
      </c>
      <c r="AH80" t="e">
        <f t="shared" ca="1" si="38"/>
        <v>#DIV/0!</v>
      </c>
      <c r="AI80" t="s">
        <v>121</v>
      </c>
      <c r="AJ80" t="e">
        <f ca="1">AVERAGEIFS(INDIRECT($J$3),INDIRECT($J$3),"&gt;=0",Data!$B:$B,$AI80)</f>
        <v>#DIV/0!</v>
      </c>
      <c r="AK80" t="e">
        <f t="shared" ca="1" si="39"/>
        <v>#DIV/0!</v>
      </c>
      <c r="AL80" t="str">
        <f t="shared" ca="1" si="40"/>
        <v>-</v>
      </c>
      <c r="AM80" t="str">
        <f t="shared" ca="1" si="41"/>
        <v>-</v>
      </c>
      <c r="AN80" t="str">
        <f t="shared" ca="1" si="42"/>
        <v>-</v>
      </c>
      <c r="AO80" t="str">
        <f t="shared" ca="1" si="43"/>
        <v>-</v>
      </c>
      <c r="AP80" t="str">
        <f t="shared" ca="1" si="44"/>
        <v>-</v>
      </c>
      <c r="AQ80" t="str">
        <f t="shared" ca="1" si="45"/>
        <v>-</v>
      </c>
      <c r="AR80" t="str">
        <f t="shared" ca="1" si="46"/>
        <v>-</v>
      </c>
      <c r="AS80" t="str">
        <f t="shared" ca="1" si="47"/>
        <v>-</v>
      </c>
      <c r="AT80" t="str">
        <f t="shared" ca="1" si="48"/>
        <v>-</v>
      </c>
      <c r="AU80">
        <f t="shared" si="60"/>
        <v>72</v>
      </c>
      <c r="AV80" t="s">
        <v>78</v>
      </c>
      <c r="AW80" s="20" t="e">
        <f ca="1">AVERAGEIFS(INDIRECT($B$3),INDIRECT($B$3),"&gt;=0",Data!$B:$B,AV80,IF($A$20,Data!$J:$J,Data!#REF!),IF($A$20,"&lt;&gt;5",1))</f>
        <v>#DIV/0!</v>
      </c>
      <c r="AX80" t="e">
        <f t="shared" ca="1" si="49"/>
        <v>#DIV/0!</v>
      </c>
      <c r="AY80" s="20" t="s">
        <v>106</v>
      </c>
      <c r="AZ80" t="e">
        <f ca="1">AVERAGEIFS(INDIRECT($C$3),INDIRECT($C$3),"&gt;=0",Data!$B:$B,AY80,IF($A$20,Data!$J:$J,Data!#REF!),IF($A$20,"&lt;&gt;5",1))</f>
        <v>#DIV/0!</v>
      </c>
      <c r="BA80" s="20" t="e">
        <f t="shared" ca="1" si="50"/>
        <v>#DIV/0!</v>
      </c>
      <c r="BB80" t="s">
        <v>103</v>
      </c>
      <c r="BC80" s="20" t="e">
        <f ca="1">AVERAGEIFS(INDIRECT($D$3),INDIRECT($D$3),"&gt;=0",Data!$B:$B,BB80,IF($A$20,Data!$J:$J,Data!#REF!),IF($A$20,"&lt;&gt;5",1))</f>
        <v>#DIV/0!</v>
      </c>
      <c r="BD80" t="e">
        <f t="shared" ca="1" si="51"/>
        <v>#DIV/0!</v>
      </c>
      <c r="BE80" s="20" t="s">
        <v>48</v>
      </c>
      <c r="BF80" t="e">
        <f ca="1">AVERAGEIFS(INDIRECT($E$3),INDIRECT($E$3),"&gt;=0",Data!$B:$B,BE80,IF($A$20,Data!$J:$J,Data!#REF!),IF($A$20,"&lt;&gt;5",1))</f>
        <v>#DIV/0!</v>
      </c>
      <c r="BG80" s="20" t="e">
        <f t="shared" ca="1" si="52"/>
        <v>#DIV/0!</v>
      </c>
      <c r="BH80" t="s">
        <v>161</v>
      </c>
      <c r="BI80" s="20" t="e">
        <f ca="1">AVERAGEIFS(INDIRECT($F$3),INDIRECT($F$3),"&gt;=0",Data!$B:$B,BH80,IF($A$20,Data!$J:$J,Data!#REF!),IF($A$20,"&lt;&gt;5",1))</f>
        <v>#DIV/0!</v>
      </c>
      <c r="BJ80" t="e">
        <f t="shared" ca="1" si="53"/>
        <v>#DIV/0!</v>
      </c>
      <c r="BK80" s="20" t="s">
        <v>160</v>
      </c>
      <c r="BL80" t="e">
        <f ca="1">AVERAGEIFS(INDIRECT($G$3),INDIRECT($G$3),"&gt;=0",Data!$B:$B,BK80,IF($A$20,Data!$J:$J,Data!#REF!),IF($A$20,"&lt;&gt;5",1))</f>
        <v>#DIV/0!</v>
      </c>
      <c r="BM80" s="20" t="e">
        <f t="shared" ca="1" si="54"/>
        <v>#DIV/0!</v>
      </c>
      <c r="BN80" t="s">
        <v>119</v>
      </c>
      <c r="BO80" t="e">
        <f ca="1">AVERAGEIFS(INDIRECT($H$3),INDIRECT($H$3),"&gt;=0",Data!$B:$B,BN80,IF($A$20,Data!$J:$J,Data!#REF!),IF($A$20,"&lt;&gt;5",1))</f>
        <v>#DIV/0!</v>
      </c>
      <c r="BP80" t="e">
        <f t="shared" ca="1" si="55"/>
        <v>#DIV/0!</v>
      </c>
      <c r="BQ80" t="s">
        <v>23</v>
      </c>
      <c r="BR80" t="e">
        <f ca="1">AVERAGEIFS(INDIRECT($I$3),INDIRECT($I$3),"&gt;=0",Data!$B:$B,BQ80,IF($A$20,Data!$J:$J,Data!#REF!),IF($A$20,"&lt;&gt;5",1))</f>
        <v>#DIV/0!</v>
      </c>
      <c r="BS80" t="e">
        <f t="shared" ca="1" si="56"/>
        <v>#DIV/0!</v>
      </c>
      <c r="BT80" t="s">
        <v>122</v>
      </c>
      <c r="BU80" t="e">
        <f ca="1">AVERAGEIFS(INDIRECT($J$3),INDIRECT($J$3),"&gt;=0",Data!$B:$B,BT80,IF($A$20,Data!$J:$J,Data!#REF!),IF($A$20,"&lt;&gt;5",1))</f>
        <v>#DIV/0!</v>
      </c>
      <c r="BV80" t="e">
        <f t="shared" ca="1" si="57"/>
        <v>#DIV/0!</v>
      </c>
    </row>
    <row r="81" spans="10:74" x14ac:dyDescent="0.35">
      <c r="J81">
        <f t="shared" si="58"/>
        <v>73</v>
      </c>
      <c r="K81" t="s">
        <v>79</v>
      </c>
      <c r="L81" t="e">
        <f ca="1">AVERAGEIFS(INDIRECT($B$3),INDIRECT($B$3),"&gt;=0",Data!$B:$B,$K81)</f>
        <v>#DIV/0!</v>
      </c>
      <c r="M81" t="e">
        <f t="shared" ca="1" si="59"/>
        <v>#DIV/0!</v>
      </c>
      <c r="N81" t="s">
        <v>106</v>
      </c>
      <c r="O81" t="e">
        <f ca="1">AVERAGEIFS(INDIRECT($C$3),INDIRECT($C$3),"&gt;=0",Data!$B:$B,$N81)</f>
        <v>#DIV/0!</v>
      </c>
      <c r="P81" t="e">
        <f t="shared" ca="1" si="32"/>
        <v>#DIV/0!</v>
      </c>
      <c r="Q81" t="s">
        <v>171</v>
      </c>
      <c r="R81" t="e">
        <f ca="1">AVERAGEIFS(INDIRECT($D$3),INDIRECT($D$3),"&gt;=0",Data!$B:$B,$Q81)</f>
        <v>#DIV/0!</v>
      </c>
      <c r="S81" t="e">
        <f t="shared" ca="1" si="33"/>
        <v>#DIV/0!</v>
      </c>
      <c r="T81" t="s">
        <v>40</v>
      </c>
      <c r="U81" t="e">
        <f ca="1">AVERAGEIFS(INDIRECT($E$3),INDIRECT($E$3),"&gt;=0",Data!$B:$B,$T81)</f>
        <v>#DIV/0!</v>
      </c>
      <c r="V81" t="e">
        <f t="shared" ca="1" si="34"/>
        <v>#DIV/0!</v>
      </c>
      <c r="W81" t="s">
        <v>172</v>
      </c>
      <c r="X81" t="e">
        <f ca="1">AVERAGEIFS(INDIRECT($F$3),INDIRECT($F$3),"&gt;=0",Data!$B:$B,$W81)</f>
        <v>#DIV/0!</v>
      </c>
      <c r="Y81" t="e">
        <f t="shared" ca="1" si="35"/>
        <v>#DIV/0!</v>
      </c>
      <c r="Z81" t="s">
        <v>135</v>
      </c>
      <c r="AA81" t="e">
        <f ca="1">AVERAGEIFS(INDIRECT($G$3),INDIRECT($G$3),"&gt;=0",Data!$B:$B,$Z81)</f>
        <v>#DIV/0!</v>
      </c>
      <c r="AB81" t="e">
        <f t="shared" ca="1" si="36"/>
        <v>#DIV/0!</v>
      </c>
      <c r="AC81" t="s">
        <v>119</v>
      </c>
      <c r="AD81" t="e">
        <f ca="1">AVERAGEIFS(INDIRECT($H$3),INDIRECT($H$3),"&gt;=0",Data!$B:$B,$AC81)</f>
        <v>#DIV/0!</v>
      </c>
      <c r="AE81" t="e">
        <f t="shared" ca="1" si="37"/>
        <v>#DIV/0!</v>
      </c>
      <c r="AF81" t="s">
        <v>183</v>
      </c>
      <c r="AG81" t="e">
        <f ca="1">AVERAGEIFS(INDIRECT($I$3),INDIRECT($I$3),"&gt;=0",Data!$B:$B,$AF81)</f>
        <v>#DIV/0!</v>
      </c>
      <c r="AH81" t="e">
        <f t="shared" ca="1" si="38"/>
        <v>#DIV/0!</v>
      </c>
      <c r="AI81" t="s">
        <v>122</v>
      </c>
      <c r="AJ81" t="e">
        <f ca="1">AVERAGEIFS(INDIRECT($J$3),INDIRECT($J$3),"&gt;=0",Data!$B:$B,$AI81)</f>
        <v>#DIV/0!</v>
      </c>
      <c r="AK81" t="e">
        <f t="shared" ca="1" si="39"/>
        <v>#DIV/0!</v>
      </c>
      <c r="AL81" t="str">
        <f t="shared" ca="1" si="40"/>
        <v>-</v>
      </c>
      <c r="AM81" t="str">
        <f t="shared" ca="1" si="41"/>
        <v>-</v>
      </c>
      <c r="AN81" t="str">
        <f t="shared" ca="1" si="42"/>
        <v>-</v>
      </c>
      <c r="AO81" t="str">
        <f t="shared" ca="1" si="43"/>
        <v>-</v>
      </c>
      <c r="AP81" t="str">
        <f t="shared" ca="1" si="44"/>
        <v>-</v>
      </c>
      <c r="AQ81" t="str">
        <f t="shared" ca="1" si="45"/>
        <v>-</v>
      </c>
      <c r="AR81" t="str">
        <f t="shared" ca="1" si="46"/>
        <v>-</v>
      </c>
      <c r="AS81" t="str">
        <f t="shared" ca="1" si="47"/>
        <v>-</v>
      </c>
      <c r="AT81" t="str">
        <f t="shared" ca="1" si="48"/>
        <v>-</v>
      </c>
      <c r="AU81">
        <f t="shared" si="60"/>
        <v>73</v>
      </c>
      <c r="AV81" t="s">
        <v>108</v>
      </c>
      <c r="AW81" s="20" t="e">
        <f ca="1">AVERAGEIFS(INDIRECT($B$3),INDIRECT($B$3),"&gt;=0",Data!$B:$B,AV81,IF($A$20,Data!$J:$J,Data!#REF!),IF($A$20,"&lt;&gt;5",1))</f>
        <v>#DIV/0!</v>
      </c>
      <c r="AX81" t="e">
        <f t="shared" ca="1" si="49"/>
        <v>#DIV/0!</v>
      </c>
      <c r="AY81" s="20" t="s">
        <v>55</v>
      </c>
      <c r="AZ81" t="e">
        <f ca="1">AVERAGEIFS(INDIRECT($C$3),INDIRECT($C$3),"&gt;=0",Data!$B:$B,AY81,IF($A$20,Data!$J:$J,Data!#REF!),IF($A$20,"&lt;&gt;5",1))</f>
        <v>#DIV/0!</v>
      </c>
      <c r="BA81" s="20" t="e">
        <f t="shared" ca="1" si="50"/>
        <v>#DIV/0!</v>
      </c>
      <c r="BB81" t="s">
        <v>170</v>
      </c>
      <c r="BC81" s="20" t="e">
        <f ca="1">AVERAGEIFS(INDIRECT($D$3),INDIRECT($D$3),"&gt;=0",Data!$B:$B,BB81,IF($A$20,Data!$J:$J,Data!#REF!),IF($A$20,"&lt;&gt;5",1))</f>
        <v>#DIV/0!</v>
      </c>
      <c r="BD81" t="e">
        <f t="shared" ca="1" si="51"/>
        <v>#DIV/0!</v>
      </c>
      <c r="BE81" s="20" t="s">
        <v>33</v>
      </c>
      <c r="BF81" t="e">
        <f ca="1">AVERAGEIFS(INDIRECT($E$3),INDIRECT($E$3),"&gt;=0",Data!$B:$B,BE81,IF($A$20,Data!$J:$J,Data!#REF!),IF($A$20,"&lt;&gt;5",1))</f>
        <v>#DIV/0!</v>
      </c>
      <c r="BG81" s="20" t="e">
        <f t="shared" ca="1" si="52"/>
        <v>#DIV/0!</v>
      </c>
      <c r="BH81" t="s">
        <v>195</v>
      </c>
      <c r="BI81" s="20" t="e">
        <f ca="1">AVERAGEIFS(INDIRECT($F$3),INDIRECT($F$3),"&gt;=0",Data!$B:$B,BH81,IF($A$20,Data!$J:$J,Data!#REF!),IF($A$20,"&lt;&gt;5",1))</f>
        <v>#DIV/0!</v>
      </c>
      <c r="BJ81" t="e">
        <f t="shared" ca="1" si="53"/>
        <v>#DIV/0!</v>
      </c>
      <c r="BK81" s="20" t="s">
        <v>166</v>
      </c>
      <c r="BL81">
        <f ca="1">AVERAGEIFS(INDIRECT($G$3),INDIRECT($G$3),"&gt;=0",Data!$B:$B,BK81,IF($A$20,Data!$J:$J,Data!#REF!),IF($A$20,"&lt;&gt;5",1))</f>
        <v>0.72222222222222221</v>
      </c>
      <c r="BM81" s="20" t="e">
        <f t="shared" ca="1" si="54"/>
        <v>#DIV/0!</v>
      </c>
      <c r="BN81" t="s">
        <v>147</v>
      </c>
      <c r="BO81">
        <f ca="1">AVERAGEIFS(INDIRECT($H$3),INDIRECT($H$3),"&gt;=0",Data!$B:$B,BN81,IF($A$20,Data!$J:$J,Data!#REF!),IF($A$20,"&lt;&gt;5",1))</f>
        <v>1</v>
      </c>
      <c r="BP81" t="e">
        <f t="shared" ca="1" si="55"/>
        <v>#DIV/0!</v>
      </c>
      <c r="BQ81" t="s">
        <v>45</v>
      </c>
      <c r="BR81" t="e">
        <f ca="1">AVERAGEIFS(INDIRECT($I$3),INDIRECT($I$3),"&gt;=0",Data!$B:$B,BQ81,IF($A$20,Data!$J:$J,Data!#REF!),IF($A$20,"&lt;&gt;5",1))</f>
        <v>#DIV/0!</v>
      </c>
      <c r="BS81" t="e">
        <f t="shared" ca="1" si="56"/>
        <v>#DIV/0!</v>
      </c>
      <c r="BT81" t="s">
        <v>111</v>
      </c>
      <c r="BU81" t="e">
        <f ca="1">AVERAGEIFS(INDIRECT($J$3),INDIRECT($J$3),"&gt;=0",Data!$B:$B,BT81,IF($A$20,Data!$J:$J,Data!#REF!),IF($A$20,"&lt;&gt;5",1))</f>
        <v>#DIV/0!</v>
      </c>
      <c r="BV81" t="e">
        <f t="shared" ca="1" si="57"/>
        <v>#DIV/0!</v>
      </c>
    </row>
    <row r="82" spans="10:74" x14ac:dyDescent="0.35">
      <c r="J82">
        <f t="shared" si="58"/>
        <v>74</v>
      </c>
      <c r="K82" t="s">
        <v>48</v>
      </c>
      <c r="L82" t="e">
        <f ca="1">AVERAGEIFS(INDIRECT($B$3),INDIRECT($B$3),"&gt;=0",Data!$B:$B,$K82)</f>
        <v>#DIV/0!</v>
      </c>
      <c r="M82" t="e">
        <f t="shared" ca="1" si="59"/>
        <v>#DIV/0!</v>
      </c>
      <c r="N82" t="s">
        <v>55</v>
      </c>
      <c r="O82" t="e">
        <f ca="1">AVERAGEIFS(INDIRECT($C$3),INDIRECT($C$3),"&gt;=0",Data!$B:$B,$N82)</f>
        <v>#DIV/0!</v>
      </c>
      <c r="P82" t="e">
        <f t="shared" ca="1" si="32"/>
        <v>#DIV/0!</v>
      </c>
      <c r="Q82" t="s">
        <v>148</v>
      </c>
      <c r="R82" t="e">
        <f ca="1">AVERAGEIFS(INDIRECT($D$3),INDIRECT($D$3),"&gt;=0",Data!$B:$B,$Q82)</f>
        <v>#DIV/0!</v>
      </c>
      <c r="S82" t="e">
        <f t="shared" ca="1" si="33"/>
        <v>#DIV/0!</v>
      </c>
      <c r="T82" t="s">
        <v>58</v>
      </c>
      <c r="U82" t="e">
        <f ca="1">AVERAGEIFS(INDIRECT($E$3),INDIRECT($E$3),"&gt;=0",Data!$B:$B,$T82)</f>
        <v>#DIV/0!</v>
      </c>
      <c r="V82" t="e">
        <f t="shared" ca="1" si="34"/>
        <v>#DIV/0!</v>
      </c>
      <c r="W82" t="s">
        <v>189</v>
      </c>
      <c r="X82" t="e">
        <f ca="1">AVERAGEIFS(INDIRECT($F$3),INDIRECT($F$3),"&gt;=0",Data!$B:$B,$W82)</f>
        <v>#DIV/0!</v>
      </c>
      <c r="Y82" t="e">
        <f t="shared" ca="1" si="35"/>
        <v>#DIV/0!</v>
      </c>
      <c r="Z82" t="s">
        <v>38</v>
      </c>
      <c r="AA82" t="e">
        <f ca="1">AVERAGEIFS(INDIRECT($G$3),INDIRECT($G$3),"&gt;=0",Data!$B:$B,$Z82)</f>
        <v>#DIV/0!</v>
      </c>
      <c r="AB82" t="e">
        <f t="shared" ca="1" si="36"/>
        <v>#DIV/0!</v>
      </c>
      <c r="AC82" t="s">
        <v>18</v>
      </c>
      <c r="AD82" t="e">
        <f ca="1">AVERAGEIFS(INDIRECT($H$3),INDIRECT($H$3),"&gt;=0",Data!$B:$B,$AC82)</f>
        <v>#DIV/0!</v>
      </c>
      <c r="AE82" t="e">
        <f t="shared" ca="1" si="37"/>
        <v>#DIV/0!</v>
      </c>
      <c r="AF82" t="s">
        <v>8</v>
      </c>
      <c r="AG82" t="e">
        <f ca="1">AVERAGEIFS(INDIRECT($I$3),INDIRECT($I$3),"&gt;=0",Data!$B:$B,$AF82)</f>
        <v>#DIV/0!</v>
      </c>
      <c r="AH82" t="e">
        <f t="shared" ca="1" si="38"/>
        <v>#DIV/0!</v>
      </c>
      <c r="AI82" t="s">
        <v>111</v>
      </c>
      <c r="AJ82" t="e">
        <f ca="1">AVERAGEIFS(INDIRECT($J$3),INDIRECT($J$3),"&gt;=0",Data!$B:$B,$AI82)</f>
        <v>#DIV/0!</v>
      </c>
      <c r="AK82" t="e">
        <f t="shared" ca="1" si="39"/>
        <v>#DIV/0!</v>
      </c>
      <c r="AL82" t="str">
        <f t="shared" ca="1" si="40"/>
        <v>-</v>
      </c>
      <c r="AM82" t="str">
        <f t="shared" ca="1" si="41"/>
        <v>-</v>
      </c>
      <c r="AN82" t="str">
        <f t="shared" ca="1" si="42"/>
        <v>-</v>
      </c>
      <c r="AO82" t="str">
        <f t="shared" ca="1" si="43"/>
        <v>-</v>
      </c>
      <c r="AP82" t="str">
        <f t="shared" ca="1" si="44"/>
        <v>-</v>
      </c>
      <c r="AQ82" t="str">
        <f t="shared" ca="1" si="45"/>
        <v>-</v>
      </c>
      <c r="AR82" t="str">
        <f t="shared" ca="1" si="46"/>
        <v>-</v>
      </c>
      <c r="AS82" t="str">
        <f t="shared" ca="1" si="47"/>
        <v>-</v>
      </c>
      <c r="AT82" t="str">
        <f t="shared" ca="1" si="48"/>
        <v>-</v>
      </c>
      <c r="AU82">
        <f t="shared" si="60"/>
        <v>74</v>
      </c>
      <c r="AV82" t="s">
        <v>83</v>
      </c>
      <c r="AW82" s="20" t="e">
        <f ca="1">AVERAGEIFS(INDIRECT($B$3),INDIRECT($B$3),"&gt;=0",Data!$B:$B,AV82,IF($A$20,Data!$J:$J,Data!#REF!),IF($A$20,"&lt;&gt;5",1))</f>
        <v>#DIV/0!</v>
      </c>
      <c r="AX82" t="e">
        <f t="shared" ca="1" si="49"/>
        <v>#DIV/0!</v>
      </c>
      <c r="AY82" s="20" t="s">
        <v>137</v>
      </c>
      <c r="AZ82" t="e">
        <f ca="1">AVERAGEIFS(INDIRECT($C$3),INDIRECT($C$3),"&gt;=0",Data!$B:$B,AY82,IF($A$20,Data!$J:$J,Data!#REF!),IF($A$20,"&lt;&gt;5",1))</f>
        <v>#DIV/0!</v>
      </c>
      <c r="BA82" s="20" t="e">
        <f t="shared" ca="1" si="50"/>
        <v>#DIV/0!</v>
      </c>
      <c r="BB82" t="s">
        <v>148</v>
      </c>
      <c r="BC82" s="20" t="e">
        <f ca="1">AVERAGEIFS(INDIRECT($D$3),INDIRECT($D$3),"&gt;=0",Data!$B:$B,BB82,IF($A$20,Data!$J:$J,Data!#REF!),IF($A$20,"&lt;&gt;5",1))</f>
        <v>#DIV/0!</v>
      </c>
      <c r="BD82" t="e">
        <f t="shared" ca="1" si="51"/>
        <v>#DIV/0!</v>
      </c>
      <c r="BE82" s="20" t="s">
        <v>151</v>
      </c>
      <c r="BF82" t="e">
        <f ca="1">AVERAGEIFS(INDIRECT($E$3),INDIRECT($E$3),"&gt;=0",Data!$B:$B,BE82,IF($A$20,Data!$J:$J,Data!#REF!),IF($A$20,"&lt;&gt;5",1))</f>
        <v>#DIV/0!</v>
      </c>
      <c r="BG82" s="20" t="e">
        <f t="shared" ca="1" si="52"/>
        <v>#DIV/0!</v>
      </c>
      <c r="BH82" t="s">
        <v>145</v>
      </c>
      <c r="BI82" s="20">
        <f ca="1">AVERAGEIFS(INDIRECT($F$3),INDIRECT($F$3),"&gt;=0",Data!$B:$B,BH82,IF($A$20,Data!$J:$J,Data!#REF!),IF($A$20,"&lt;&gt;5",1))</f>
        <v>0</v>
      </c>
      <c r="BJ82" t="e">
        <f t="shared" ca="1" si="53"/>
        <v>#DIV/0!</v>
      </c>
      <c r="BK82" s="20" t="s">
        <v>34</v>
      </c>
      <c r="BL82">
        <f ca="1">AVERAGEIFS(INDIRECT($G$3),INDIRECT($G$3),"&gt;=0",Data!$B:$B,BK82,IF($A$20,Data!$J:$J,Data!#REF!),IF($A$20,"&lt;&gt;5",1))</f>
        <v>0.70588235294117652</v>
      </c>
      <c r="BM82" s="20">
        <f t="shared" ca="1" si="54"/>
        <v>74</v>
      </c>
      <c r="BN82" t="s">
        <v>18</v>
      </c>
      <c r="BO82" t="e">
        <f ca="1">AVERAGEIFS(INDIRECT($H$3),INDIRECT($H$3),"&gt;=0",Data!$B:$B,BN82,IF($A$20,Data!$J:$J,Data!#REF!),IF($A$20,"&lt;&gt;5",1))</f>
        <v>#DIV/0!</v>
      </c>
      <c r="BP82" t="e">
        <f t="shared" ca="1" si="55"/>
        <v>#DIV/0!</v>
      </c>
      <c r="BQ82" t="s">
        <v>90</v>
      </c>
      <c r="BR82" t="e">
        <f ca="1">AVERAGEIFS(INDIRECT($I$3),INDIRECT($I$3),"&gt;=0",Data!$B:$B,BQ82,IF($A$20,Data!$J:$J,Data!#REF!),IF($A$20,"&lt;&gt;5",1))</f>
        <v>#DIV/0!</v>
      </c>
      <c r="BS82" t="e">
        <f t="shared" ca="1" si="56"/>
        <v>#DIV/0!</v>
      </c>
      <c r="BT82" t="s">
        <v>112</v>
      </c>
      <c r="BU82" t="e">
        <f ca="1">AVERAGEIFS(INDIRECT($J$3),INDIRECT($J$3),"&gt;=0",Data!$B:$B,BT82,IF($A$20,Data!$J:$J,Data!#REF!),IF($A$20,"&lt;&gt;5",1))</f>
        <v>#DIV/0!</v>
      </c>
      <c r="BV82" t="e">
        <f t="shared" ca="1" si="57"/>
        <v>#DIV/0!</v>
      </c>
    </row>
    <row r="83" spans="10:74" x14ac:dyDescent="0.35">
      <c r="J83">
        <f t="shared" si="58"/>
        <v>75</v>
      </c>
      <c r="K83" t="s">
        <v>36</v>
      </c>
      <c r="L83" t="e">
        <f ca="1">AVERAGEIFS(INDIRECT($B$3),INDIRECT($B$3),"&gt;=0",Data!$B:$B,$K83)</f>
        <v>#DIV/0!</v>
      </c>
      <c r="M83" t="e">
        <f t="shared" ca="1" si="59"/>
        <v>#DIV/0!</v>
      </c>
      <c r="N83" t="s">
        <v>137</v>
      </c>
      <c r="O83" t="e">
        <f ca="1">AVERAGEIFS(INDIRECT($C$3),INDIRECT($C$3),"&gt;=0",Data!$B:$B,$N83)</f>
        <v>#DIV/0!</v>
      </c>
      <c r="P83" t="e">
        <f t="shared" ca="1" si="32"/>
        <v>#DIV/0!</v>
      </c>
      <c r="Q83" t="s">
        <v>154</v>
      </c>
      <c r="R83" t="e">
        <f ca="1">AVERAGEIFS(INDIRECT($D$3),INDIRECT($D$3),"&gt;=0",Data!$B:$B,$Q83)</f>
        <v>#DIV/0!</v>
      </c>
      <c r="S83" t="e">
        <f t="shared" ca="1" si="33"/>
        <v>#DIV/0!</v>
      </c>
      <c r="T83" t="s">
        <v>64</v>
      </c>
      <c r="U83" t="e">
        <f ca="1">AVERAGEIFS(INDIRECT($E$3),INDIRECT($E$3),"&gt;=0",Data!$B:$B,$T83)</f>
        <v>#DIV/0!</v>
      </c>
      <c r="V83" t="e">
        <f t="shared" ca="1" si="34"/>
        <v>#DIV/0!</v>
      </c>
      <c r="W83" t="s">
        <v>195</v>
      </c>
      <c r="X83" t="e">
        <f ca="1">AVERAGEIFS(INDIRECT($F$3),INDIRECT($F$3),"&gt;=0",Data!$B:$B,$W83)</f>
        <v>#DIV/0!</v>
      </c>
      <c r="Y83" t="e">
        <f t="shared" ca="1" si="35"/>
        <v>#DIV/0!</v>
      </c>
      <c r="Z83" t="s">
        <v>154</v>
      </c>
      <c r="AA83" t="e">
        <f ca="1">AVERAGEIFS(INDIRECT($G$3),INDIRECT($G$3),"&gt;=0",Data!$B:$B,$Z83)</f>
        <v>#DIV/0!</v>
      </c>
      <c r="AB83" t="e">
        <f t="shared" ca="1" si="36"/>
        <v>#DIV/0!</v>
      </c>
      <c r="AC83" t="s">
        <v>147</v>
      </c>
      <c r="AD83">
        <f ca="1">AVERAGEIFS(INDIRECT($H$3),INDIRECT($H$3),"&gt;=0",Data!$B:$B,$AC83)</f>
        <v>0.96153846153846156</v>
      </c>
      <c r="AE83" t="e">
        <f t="shared" ca="1" si="37"/>
        <v>#DIV/0!</v>
      </c>
      <c r="AF83" t="s">
        <v>51</v>
      </c>
      <c r="AG83" t="e">
        <f ca="1">AVERAGEIFS(INDIRECT($I$3),INDIRECT($I$3),"&gt;=0",Data!$B:$B,$AF83)</f>
        <v>#DIV/0!</v>
      </c>
      <c r="AH83" t="e">
        <f t="shared" ca="1" si="38"/>
        <v>#DIV/0!</v>
      </c>
      <c r="AI83" t="s">
        <v>112</v>
      </c>
      <c r="AJ83" t="e">
        <f ca="1">AVERAGEIFS(INDIRECT($J$3),INDIRECT($J$3),"&gt;=0",Data!$B:$B,$AI83)</f>
        <v>#DIV/0!</v>
      </c>
      <c r="AK83" t="e">
        <f t="shared" ca="1" si="39"/>
        <v>#DIV/0!</v>
      </c>
      <c r="AL83" t="str">
        <f t="shared" ca="1" si="40"/>
        <v>-</v>
      </c>
      <c r="AM83" t="str">
        <f t="shared" ca="1" si="41"/>
        <v>-</v>
      </c>
      <c r="AN83" t="str">
        <f t="shared" ca="1" si="42"/>
        <v>-</v>
      </c>
      <c r="AO83" t="str">
        <f t="shared" ca="1" si="43"/>
        <v>-</v>
      </c>
      <c r="AP83" t="str">
        <f t="shared" ca="1" si="44"/>
        <v>-</v>
      </c>
      <c r="AQ83" t="str">
        <f t="shared" ca="1" si="45"/>
        <v>-</v>
      </c>
      <c r="AR83" t="str">
        <f t="shared" ca="1" si="46"/>
        <v>-</v>
      </c>
      <c r="AS83" t="str">
        <f t="shared" ca="1" si="47"/>
        <v>-</v>
      </c>
      <c r="AT83" t="str">
        <f t="shared" ca="1" si="48"/>
        <v>-</v>
      </c>
      <c r="AU83">
        <f t="shared" si="60"/>
        <v>75</v>
      </c>
      <c r="AV83" t="s">
        <v>174</v>
      </c>
      <c r="AW83" s="20" t="e">
        <f ca="1">AVERAGEIFS(INDIRECT($B$3),INDIRECT($B$3),"&gt;=0",Data!$B:$B,AV83,IF($A$20,Data!$J:$J,Data!#REF!),IF($A$20,"&lt;&gt;5",1))</f>
        <v>#DIV/0!</v>
      </c>
      <c r="AX83" t="e">
        <f t="shared" ca="1" si="49"/>
        <v>#DIV/0!</v>
      </c>
      <c r="AY83" s="20" t="s">
        <v>63</v>
      </c>
      <c r="AZ83" t="e">
        <f ca="1">AVERAGEIFS(INDIRECT($C$3),INDIRECT($C$3),"&gt;=0",Data!$B:$B,AY83,IF($A$20,Data!$J:$J,Data!#REF!),IF($A$20,"&lt;&gt;5",1))</f>
        <v>#DIV/0!</v>
      </c>
      <c r="BA83" s="20" t="e">
        <f t="shared" ca="1" si="50"/>
        <v>#DIV/0!</v>
      </c>
      <c r="BB83" t="s">
        <v>154</v>
      </c>
      <c r="BC83" s="20" t="e">
        <f ca="1">AVERAGEIFS(INDIRECT($D$3),INDIRECT($D$3),"&gt;=0",Data!$B:$B,BB83,IF($A$20,Data!$J:$J,Data!#REF!),IF($A$20,"&lt;&gt;5",1))</f>
        <v>#DIV/0!</v>
      </c>
      <c r="BD83" t="e">
        <f t="shared" ca="1" si="51"/>
        <v>#DIV/0!</v>
      </c>
      <c r="BE83" s="20" t="s">
        <v>197</v>
      </c>
      <c r="BF83" t="e">
        <f ca="1">AVERAGEIFS(INDIRECT($E$3),INDIRECT($E$3),"&gt;=0",Data!$B:$B,BE83,IF($A$20,Data!$J:$J,Data!#REF!),IF($A$20,"&lt;&gt;5",1))</f>
        <v>#DIV/0!</v>
      </c>
      <c r="BG83" s="20" t="e">
        <f t="shared" ca="1" si="52"/>
        <v>#DIV/0!</v>
      </c>
      <c r="BH83" t="s">
        <v>108</v>
      </c>
      <c r="BI83" s="20">
        <f ca="1">AVERAGEIFS(INDIRECT($F$3),INDIRECT($F$3),"&gt;=0",Data!$B:$B,BH83,IF($A$20,Data!$J:$J,Data!#REF!),IF($A$20,"&lt;&gt;5",1))</f>
        <v>0</v>
      </c>
      <c r="BJ83" t="e">
        <f t="shared" ca="1" si="53"/>
        <v>#DIV/0!</v>
      </c>
      <c r="BK83" s="20" t="s">
        <v>107</v>
      </c>
      <c r="BL83">
        <f ca="1">AVERAGEIFS(INDIRECT($G$3),INDIRECT($G$3),"&gt;=0",Data!$B:$B,BK83,IF($A$20,Data!$J:$J,Data!#REF!),IF($A$20,"&lt;&gt;5",1))</f>
        <v>0.5625</v>
      </c>
      <c r="BM83" s="20">
        <f t="shared" ca="1" si="54"/>
        <v>75</v>
      </c>
      <c r="BN83" t="s">
        <v>7</v>
      </c>
      <c r="BO83" t="e">
        <f ca="1">AVERAGEIFS(INDIRECT($H$3),INDIRECT($H$3),"&gt;=0",Data!$B:$B,BN83,IF($A$20,Data!$J:$J,Data!#REF!),IF($A$20,"&lt;&gt;5",1))</f>
        <v>#DIV/0!</v>
      </c>
      <c r="BP83" t="e">
        <f t="shared" ca="1" si="55"/>
        <v>#DIV/0!</v>
      </c>
      <c r="BQ83" t="s">
        <v>130</v>
      </c>
      <c r="BR83" t="e">
        <f ca="1">AVERAGEIFS(INDIRECT($I$3),INDIRECT($I$3),"&gt;=0",Data!$B:$B,BQ83,IF($A$20,Data!$J:$J,Data!#REF!),IF($A$20,"&lt;&gt;5",1))</f>
        <v>#DIV/0!</v>
      </c>
      <c r="BS83" t="e">
        <f t="shared" ca="1" si="56"/>
        <v>#DIV/0!</v>
      </c>
      <c r="BT83" t="s">
        <v>115</v>
      </c>
      <c r="BU83">
        <f ca="1">AVERAGEIFS(INDIRECT($J$3),INDIRECT($J$3),"&gt;=0",Data!$B:$B,BT83,IF($A$20,Data!$J:$J,Data!#REF!),IF($A$20,"&lt;&gt;5",1))</f>
        <v>0.72727272727272729</v>
      </c>
      <c r="BV83" t="e">
        <f t="shared" ca="1" si="57"/>
        <v>#DIV/0!</v>
      </c>
    </row>
    <row r="84" spans="10:74" x14ac:dyDescent="0.35">
      <c r="J84">
        <f t="shared" si="58"/>
        <v>76</v>
      </c>
      <c r="K84" t="s">
        <v>40</v>
      </c>
      <c r="L84" t="e">
        <f ca="1">AVERAGEIFS(INDIRECT($B$3),INDIRECT($B$3),"&gt;=0",Data!$B:$B,$K84)</f>
        <v>#DIV/0!</v>
      </c>
      <c r="M84" t="e">
        <f t="shared" ca="1" si="59"/>
        <v>#DIV/0!</v>
      </c>
      <c r="N84" t="s">
        <v>166</v>
      </c>
      <c r="O84" t="e">
        <f ca="1">AVERAGEIFS(INDIRECT($C$3),INDIRECT($C$3),"&gt;=0",Data!$B:$B,$N84)</f>
        <v>#DIV/0!</v>
      </c>
      <c r="P84" t="e">
        <f t="shared" ca="1" si="32"/>
        <v>#DIV/0!</v>
      </c>
      <c r="Q84" t="s">
        <v>134</v>
      </c>
      <c r="R84" t="e">
        <f ca="1">AVERAGEIFS(INDIRECT($D$3),INDIRECT($D$3),"&gt;=0",Data!$B:$B,$Q84)</f>
        <v>#DIV/0!</v>
      </c>
      <c r="S84" t="e">
        <f t="shared" ca="1" si="33"/>
        <v>#DIV/0!</v>
      </c>
      <c r="T84" t="s">
        <v>91</v>
      </c>
      <c r="U84" t="e">
        <f ca="1">AVERAGEIFS(INDIRECT($E$3),INDIRECT($E$3),"&gt;=0",Data!$B:$B,$T84)</f>
        <v>#DIV/0!</v>
      </c>
      <c r="V84" t="e">
        <f t="shared" ca="1" si="34"/>
        <v>#DIV/0!</v>
      </c>
      <c r="W84" t="s">
        <v>199</v>
      </c>
      <c r="X84" t="e">
        <f ca="1">AVERAGEIFS(INDIRECT($F$3),INDIRECT($F$3),"&gt;=0",Data!$B:$B,$W84)</f>
        <v>#DIV/0!</v>
      </c>
      <c r="Y84" t="e">
        <f t="shared" ca="1" si="35"/>
        <v>#DIV/0!</v>
      </c>
      <c r="Z84" t="s">
        <v>160</v>
      </c>
      <c r="AA84" t="e">
        <f ca="1">AVERAGEIFS(INDIRECT($G$3),INDIRECT($G$3),"&gt;=0",Data!$B:$B,$Z84)</f>
        <v>#DIV/0!</v>
      </c>
      <c r="AB84" t="e">
        <f t="shared" ca="1" si="36"/>
        <v>#DIV/0!</v>
      </c>
      <c r="AC84" t="s">
        <v>7</v>
      </c>
      <c r="AD84" t="e">
        <f ca="1">AVERAGEIFS(INDIRECT($H$3),INDIRECT($H$3),"&gt;=0",Data!$B:$B,$AC84)</f>
        <v>#DIV/0!</v>
      </c>
      <c r="AE84" t="e">
        <f t="shared" ca="1" si="37"/>
        <v>#DIV/0!</v>
      </c>
      <c r="AF84" t="s">
        <v>107</v>
      </c>
      <c r="AG84">
        <f ca="1">AVERAGEIFS(INDIRECT($I$3),INDIRECT($I$3),"&gt;=0",Data!$B:$B,$AF84)</f>
        <v>0.6875</v>
      </c>
      <c r="AH84" t="e">
        <f t="shared" ca="1" si="38"/>
        <v>#DIV/0!</v>
      </c>
      <c r="AI84" t="s">
        <v>115</v>
      </c>
      <c r="AJ84">
        <f ca="1">AVERAGEIFS(INDIRECT($J$3),INDIRECT($J$3),"&gt;=0",Data!$B:$B,$AI84)</f>
        <v>0.72727272727272729</v>
      </c>
      <c r="AK84" t="e">
        <f t="shared" ca="1" si="39"/>
        <v>#DIV/0!</v>
      </c>
      <c r="AL84" t="str">
        <f t="shared" ca="1" si="40"/>
        <v>-</v>
      </c>
      <c r="AM84" t="str">
        <f t="shared" ca="1" si="41"/>
        <v>-</v>
      </c>
      <c r="AN84" t="str">
        <f t="shared" ca="1" si="42"/>
        <v>-</v>
      </c>
      <c r="AO84" t="str">
        <f t="shared" ca="1" si="43"/>
        <v>-</v>
      </c>
      <c r="AP84" t="str">
        <f t="shared" ca="1" si="44"/>
        <v>-</v>
      </c>
      <c r="AQ84" t="str">
        <f t="shared" ca="1" si="45"/>
        <v>-</v>
      </c>
      <c r="AR84" t="str">
        <f t="shared" ca="1" si="46"/>
        <v>-</v>
      </c>
      <c r="AS84" t="str">
        <f t="shared" ca="1" si="47"/>
        <v>-</v>
      </c>
      <c r="AT84" t="str">
        <f t="shared" ca="1" si="48"/>
        <v>-</v>
      </c>
      <c r="AU84">
        <f t="shared" si="60"/>
        <v>76</v>
      </c>
      <c r="AV84" t="s">
        <v>96</v>
      </c>
      <c r="AW84" s="20" t="e">
        <f ca="1">AVERAGEIFS(INDIRECT($B$3),INDIRECT($B$3),"&gt;=0",Data!$B:$B,AV84,IF($A$20,Data!$J:$J,Data!#REF!),IF($A$20,"&lt;&gt;5",1))</f>
        <v>#DIV/0!</v>
      </c>
      <c r="AX84" t="e">
        <f t="shared" ca="1" si="49"/>
        <v>#DIV/0!</v>
      </c>
      <c r="AY84" s="20" t="s">
        <v>95</v>
      </c>
      <c r="AZ84" t="e">
        <f ca="1">AVERAGEIFS(INDIRECT($C$3),INDIRECT($C$3),"&gt;=0",Data!$B:$B,AY84,IF($A$20,Data!$J:$J,Data!#REF!),IF($A$20,"&lt;&gt;5",1))</f>
        <v>#DIV/0!</v>
      </c>
      <c r="BA84" s="20" t="e">
        <f t="shared" ca="1" si="50"/>
        <v>#DIV/0!</v>
      </c>
      <c r="BB84" t="s">
        <v>134</v>
      </c>
      <c r="BC84" s="20" t="e">
        <f ca="1">AVERAGEIFS(INDIRECT($D$3),INDIRECT($D$3),"&gt;=0",Data!$B:$B,BB84,IF($A$20,Data!$J:$J,Data!#REF!),IF($A$20,"&lt;&gt;5",1))</f>
        <v>#DIV/0!</v>
      </c>
      <c r="BD84" t="e">
        <f t="shared" ca="1" si="51"/>
        <v>#DIV/0!</v>
      </c>
      <c r="BE84" s="20" t="s">
        <v>90</v>
      </c>
      <c r="BF84" t="e">
        <f ca="1">AVERAGEIFS(INDIRECT($E$3),INDIRECT($E$3),"&gt;=0",Data!$B:$B,BE84,IF($A$20,Data!$J:$J,Data!#REF!),IF($A$20,"&lt;&gt;5",1))</f>
        <v>#DIV/0!</v>
      </c>
      <c r="BG84" s="20" t="e">
        <f t="shared" ca="1" si="52"/>
        <v>#DIV/0!</v>
      </c>
      <c r="BH84" t="s">
        <v>73</v>
      </c>
      <c r="BI84" s="20" t="e">
        <f ca="1">AVERAGEIFS(INDIRECT($F$3),INDIRECT($F$3),"&gt;=0",Data!$B:$B,BH84,IF($A$20,Data!$J:$J,Data!#REF!),IF($A$20,"&lt;&gt;5",1))</f>
        <v>#DIV/0!</v>
      </c>
      <c r="BJ84" t="e">
        <f t="shared" ca="1" si="53"/>
        <v>#DIV/0!</v>
      </c>
      <c r="BK84" s="20" t="s">
        <v>64</v>
      </c>
      <c r="BL84" t="e">
        <f ca="1">AVERAGEIFS(INDIRECT($G$3),INDIRECT($G$3),"&gt;=0",Data!$B:$B,BK84,IF($A$20,Data!$J:$J,Data!#REF!),IF($A$20,"&lt;&gt;5",1))</f>
        <v>#DIV/0!</v>
      </c>
      <c r="BM84" s="20" t="e">
        <f t="shared" ca="1" si="54"/>
        <v>#DIV/0!</v>
      </c>
      <c r="BN84" t="s">
        <v>44</v>
      </c>
      <c r="BO84">
        <f ca="1">AVERAGEIFS(INDIRECT($H$3),INDIRECT($H$3),"&gt;=0",Data!$B:$B,BN84,IF($A$20,Data!$J:$J,Data!#REF!),IF($A$20,"&lt;&gt;5",1))</f>
        <v>1</v>
      </c>
      <c r="BP84" t="e">
        <f t="shared" ca="1" si="55"/>
        <v>#DIV/0!</v>
      </c>
      <c r="BQ84" t="s">
        <v>138</v>
      </c>
      <c r="BR84" t="e">
        <f ca="1">AVERAGEIFS(INDIRECT($I$3),INDIRECT($I$3),"&gt;=0",Data!$B:$B,BQ84,IF($A$20,Data!$J:$J,Data!#REF!),IF($A$20,"&lt;&gt;5",1))</f>
        <v>#DIV/0!</v>
      </c>
      <c r="BS84" t="e">
        <f t="shared" ca="1" si="56"/>
        <v>#DIV/0!</v>
      </c>
      <c r="BT84" t="s">
        <v>126</v>
      </c>
      <c r="BU84" t="e">
        <f ca="1">AVERAGEIFS(INDIRECT($J$3),INDIRECT($J$3),"&gt;=0",Data!$B:$B,BT84,IF($A$20,Data!$J:$J,Data!#REF!),IF($A$20,"&lt;&gt;5",1))</f>
        <v>#DIV/0!</v>
      </c>
      <c r="BV84" t="e">
        <f t="shared" ca="1" si="57"/>
        <v>#DIV/0!</v>
      </c>
    </row>
    <row r="85" spans="10:74" x14ac:dyDescent="0.35">
      <c r="J85">
        <f t="shared" si="58"/>
        <v>77</v>
      </c>
      <c r="K85" t="s">
        <v>76</v>
      </c>
      <c r="L85" t="e">
        <f ca="1">AVERAGEIFS(INDIRECT($B$3),INDIRECT($B$3),"&gt;=0",Data!$B:$B,$K85)</f>
        <v>#DIV/0!</v>
      </c>
      <c r="M85" t="e">
        <f t="shared" ca="1" si="59"/>
        <v>#DIV/0!</v>
      </c>
      <c r="N85" t="s">
        <v>63</v>
      </c>
      <c r="O85" t="e">
        <f ca="1">AVERAGEIFS(INDIRECT($C$3),INDIRECT($C$3),"&gt;=0",Data!$B:$B,$N85)</f>
        <v>#DIV/0!</v>
      </c>
      <c r="P85" t="e">
        <f t="shared" ca="1" si="32"/>
        <v>#DIV/0!</v>
      </c>
      <c r="Q85" t="s">
        <v>2</v>
      </c>
      <c r="R85" t="e">
        <f ca="1">AVERAGEIFS(INDIRECT($D$3),INDIRECT($D$3),"&gt;=0",Data!$B:$B,$Q85)</f>
        <v>#DIV/0!</v>
      </c>
      <c r="S85" t="e">
        <f t="shared" ca="1" si="33"/>
        <v>#DIV/0!</v>
      </c>
      <c r="T85" t="s">
        <v>94</v>
      </c>
      <c r="U85" t="e">
        <f ca="1">AVERAGEIFS(INDIRECT($E$3),INDIRECT($E$3),"&gt;=0",Data!$B:$B,$T85)</f>
        <v>#DIV/0!</v>
      </c>
      <c r="V85" t="e">
        <f t="shared" ca="1" si="34"/>
        <v>#DIV/0!</v>
      </c>
      <c r="W85" t="s">
        <v>187</v>
      </c>
      <c r="X85">
        <f ca="1">AVERAGEIFS(INDIRECT($F$3),INDIRECT($F$3),"&gt;=0",Data!$B:$B,$W85)</f>
        <v>1</v>
      </c>
      <c r="Y85" t="e">
        <f t="shared" ca="1" si="35"/>
        <v>#DIV/0!</v>
      </c>
      <c r="Z85" t="s">
        <v>166</v>
      </c>
      <c r="AA85">
        <f ca="1">AVERAGEIFS(INDIRECT($G$3),INDIRECT($G$3),"&gt;=0",Data!$B:$B,$Z85)</f>
        <v>0.72222222222222221</v>
      </c>
      <c r="AB85" t="e">
        <f t="shared" ca="1" si="36"/>
        <v>#DIV/0!</v>
      </c>
      <c r="AC85" t="s">
        <v>44</v>
      </c>
      <c r="AD85">
        <f ca="1">AVERAGEIFS(INDIRECT($H$3),INDIRECT($H$3),"&gt;=0",Data!$B:$B,$AC85)</f>
        <v>1</v>
      </c>
      <c r="AE85" t="e">
        <f t="shared" ca="1" si="37"/>
        <v>#DIV/0!</v>
      </c>
      <c r="AF85" t="s">
        <v>188</v>
      </c>
      <c r="AG85" t="e">
        <f ca="1">AVERAGEIFS(INDIRECT($I$3),INDIRECT($I$3),"&gt;=0",Data!$B:$B,$AF85)</f>
        <v>#DIV/0!</v>
      </c>
      <c r="AH85" t="e">
        <f t="shared" ca="1" si="38"/>
        <v>#DIV/0!</v>
      </c>
      <c r="AI85" t="s">
        <v>126</v>
      </c>
      <c r="AJ85" t="e">
        <f ca="1">AVERAGEIFS(INDIRECT($J$3),INDIRECT($J$3),"&gt;=0",Data!$B:$B,$AI85)</f>
        <v>#DIV/0!</v>
      </c>
      <c r="AK85" t="e">
        <f t="shared" ca="1" si="39"/>
        <v>#DIV/0!</v>
      </c>
      <c r="AL85" t="str">
        <f t="shared" ca="1" si="40"/>
        <v>-</v>
      </c>
      <c r="AM85" t="str">
        <f t="shared" ca="1" si="41"/>
        <v>-</v>
      </c>
      <c r="AN85" t="str">
        <f t="shared" ca="1" si="42"/>
        <v>-</v>
      </c>
      <c r="AO85" t="str">
        <f t="shared" ca="1" si="43"/>
        <v>-</v>
      </c>
      <c r="AP85" t="str">
        <f t="shared" ca="1" si="44"/>
        <v>-</v>
      </c>
      <c r="AQ85" t="str">
        <f t="shared" ca="1" si="45"/>
        <v>-</v>
      </c>
      <c r="AR85" t="str">
        <f t="shared" ca="1" si="46"/>
        <v>-</v>
      </c>
      <c r="AS85" t="str">
        <f t="shared" ca="1" si="47"/>
        <v>-</v>
      </c>
      <c r="AT85" t="str">
        <f t="shared" ca="1" si="48"/>
        <v>-</v>
      </c>
      <c r="AU85">
        <f t="shared" si="60"/>
        <v>77</v>
      </c>
      <c r="AV85" t="s">
        <v>151</v>
      </c>
      <c r="AW85" s="20" t="e">
        <f ca="1">AVERAGEIFS(INDIRECT($B$3),INDIRECT($B$3),"&gt;=0",Data!$B:$B,AV85,IF($A$20,Data!$J:$J,Data!#REF!),IF($A$20,"&lt;&gt;5",1))</f>
        <v>#DIV/0!</v>
      </c>
      <c r="AX85" t="e">
        <f t="shared" ca="1" si="49"/>
        <v>#DIV/0!</v>
      </c>
      <c r="AY85" s="20" t="s">
        <v>82</v>
      </c>
      <c r="AZ85" t="e">
        <f ca="1">AVERAGEIFS(INDIRECT($C$3),INDIRECT($C$3),"&gt;=0",Data!$B:$B,AY85,IF($A$20,Data!$J:$J,Data!#REF!),IF($A$20,"&lt;&gt;5",1))</f>
        <v>#DIV/0!</v>
      </c>
      <c r="BA85" s="20" t="e">
        <f t="shared" ca="1" si="50"/>
        <v>#DIV/0!</v>
      </c>
      <c r="BB85" t="s">
        <v>19</v>
      </c>
      <c r="BC85" s="20" t="e">
        <f ca="1">AVERAGEIFS(INDIRECT($D$3),INDIRECT($D$3),"&gt;=0",Data!$B:$B,BB85,IF($A$20,Data!$J:$J,Data!#REF!),IF($A$20,"&lt;&gt;5",1))</f>
        <v>#DIV/0!</v>
      </c>
      <c r="BD85" t="e">
        <f t="shared" ca="1" si="51"/>
        <v>#DIV/0!</v>
      </c>
      <c r="BE85" s="20" t="s">
        <v>192</v>
      </c>
      <c r="BF85" t="e">
        <f ca="1">AVERAGEIFS(INDIRECT($E$3),INDIRECT($E$3),"&gt;=0",Data!$B:$B,BE85,IF($A$20,Data!$J:$J,Data!#REF!),IF($A$20,"&lt;&gt;5",1))</f>
        <v>#DIV/0!</v>
      </c>
      <c r="BG85" s="20" t="e">
        <f t="shared" ca="1" si="52"/>
        <v>#DIV/0!</v>
      </c>
      <c r="BH85" t="s">
        <v>46</v>
      </c>
      <c r="BI85" s="20" t="e">
        <f ca="1">AVERAGEIFS(INDIRECT($F$3),INDIRECT($F$3),"&gt;=0",Data!$B:$B,BH85,IF($A$20,Data!$J:$J,Data!#REF!),IF($A$20,"&lt;&gt;5",1))</f>
        <v>#DIV/0!</v>
      </c>
      <c r="BJ85" t="e">
        <f t="shared" ca="1" si="53"/>
        <v>#DIV/0!</v>
      </c>
      <c r="BK85" s="20" t="s">
        <v>73</v>
      </c>
      <c r="BL85" t="e">
        <f ca="1">AVERAGEIFS(INDIRECT($G$3),INDIRECT($G$3),"&gt;=0",Data!$B:$B,BK85,IF($A$20,Data!$J:$J,Data!#REF!),IF($A$20,"&lt;&gt;5",1))</f>
        <v>#DIV/0!</v>
      </c>
      <c r="BM85" s="20" t="e">
        <f t="shared" ca="1" si="54"/>
        <v>#DIV/0!</v>
      </c>
      <c r="BN85" t="s">
        <v>181</v>
      </c>
      <c r="BO85">
        <f ca="1">AVERAGEIFS(INDIRECT($H$3),INDIRECT($H$3),"&gt;=0",Data!$B:$B,BN85,IF($A$20,Data!$J:$J,Data!#REF!),IF($A$20,"&lt;&gt;5",1))</f>
        <v>1</v>
      </c>
      <c r="BP85" t="e">
        <f t="shared" ca="1" si="55"/>
        <v>#DIV/0!</v>
      </c>
      <c r="BQ85" t="s">
        <v>188</v>
      </c>
      <c r="BR85" t="e">
        <f ca="1">AVERAGEIFS(INDIRECT($I$3),INDIRECT($I$3),"&gt;=0",Data!$B:$B,BQ85,IF($A$20,Data!$J:$J,Data!#REF!),IF($A$20,"&lt;&gt;5",1))</f>
        <v>#DIV/0!</v>
      </c>
      <c r="BS85" t="e">
        <f t="shared" ca="1" si="56"/>
        <v>#DIV/0!</v>
      </c>
      <c r="BT85" t="s">
        <v>124</v>
      </c>
      <c r="BU85" t="e">
        <f ca="1">AVERAGEIFS(INDIRECT($J$3),INDIRECT($J$3),"&gt;=0",Data!$B:$B,BT85,IF($A$20,Data!$J:$J,Data!#REF!),IF($A$20,"&lt;&gt;5",1))</f>
        <v>#DIV/0!</v>
      </c>
      <c r="BV85" t="e">
        <f t="shared" ca="1" si="57"/>
        <v>#DIV/0!</v>
      </c>
    </row>
    <row r="86" spans="10:74" x14ac:dyDescent="0.35">
      <c r="J86">
        <f t="shared" si="58"/>
        <v>78</v>
      </c>
      <c r="K86" t="s">
        <v>83</v>
      </c>
      <c r="L86" t="e">
        <f ca="1">AVERAGEIFS(INDIRECT($B$3),INDIRECT($B$3),"&gt;=0",Data!$B:$B,$K86)</f>
        <v>#DIV/0!</v>
      </c>
      <c r="M86" t="e">
        <f t="shared" ca="1" si="59"/>
        <v>#DIV/0!</v>
      </c>
      <c r="N86" t="s">
        <v>95</v>
      </c>
      <c r="O86" t="e">
        <f ca="1">AVERAGEIFS(INDIRECT($C$3),INDIRECT($C$3),"&gt;=0",Data!$B:$B,$N86)</f>
        <v>#DIV/0!</v>
      </c>
      <c r="P86" t="e">
        <f t="shared" ca="1" si="32"/>
        <v>#DIV/0!</v>
      </c>
      <c r="Q86" t="s">
        <v>21</v>
      </c>
      <c r="R86" t="e">
        <f ca="1">AVERAGEIFS(INDIRECT($D$3),INDIRECT($D$3),"&gt;=0",Data!$B:$B,$Q86)</f>
        <v>#DIV/0!</v>
      </c>
      <c r="S86" t="e">
        <f t="shared" ca="1" si="33"/>
        <v>#DIV/0!</v>
      </c>
      <c r="T86" t="s">
        <v>153</v>
      </c>
      <c r="U86" t="e">
        <f ca="1">AVERAGEIFS(INDIRECT($E$3),INDIRECT($E$3),"&gt;=0",Data!$B:$B,$T86)</f>
        <v>#DIV/0!</v>
      </c>
      <c r="V86" t="e">
        <f t="shared" ca="1" si="34"/>
        <v>#DIV/0!</v>
      </c>
      <c r="W86" t="s">
        <v>41</v>
      </c>
      <c r="X86">
        <f ca="1">AVERAGEIFS(INDIRECT($F$3),INDIRECT($F$3),"&gt;=0",Data!$B:$B,$W86)</f>
        <v>1</v>
      </c>
      <c r="Y86" t="e">
        <f t="shared" ca="1" si="35"/>
        <v>#DIV/0!</v>
      </c>
      <c r="Z86" t="s">
        <v>34</v>
      </c>
      <c r="AA86">
        <f ca="1">AVERAGEIFS(INDIRECT($G$3),INDIRECT($G$3),"&gt;=0",Data!$B:$B,$Z86)</f>
        <v>0.70588235294117652</v>
      </c>
      <c r="AB86">
        <f t="shared" ca="1" si="36"/>
        <v>78</v>
      </c>
      <c r="AC86" t="s">
        <v>134</v>
      </c>
      <c r="AD86">
        <f ca="1">AVERAGEIFS(INDIRECT($H$3),INDIRECT($H$3),"&gt;=0",Data!$B:$B,$AC86)</f>
        <v>0.95238095238095233</v>
      </c>
      <c r="AE86">
        <f t="shared" ca="1" si="37"/>
        <v>78</v>
      </c>
      <c r="AF86" t="s">
        <v>2</v>
      </c>
      <c r="AG86" t="e">
        <f ca="1">AVERAGEIFS(INDIRECT($I$3),INDIRECT($I$3),"&gt;=0",Data!$B:$B,$AF86)</f>
        <v>#DIV/0!</v>
      </c>
      <c r="AH86" t="e">
        <f t="shared" ca="1" si="38"/>
        <v>#DIV/0!</v>
      </c>
      <c r="AI86" t="s">
        <v>124</v>
      </c>
      <c r="AJ86" t="e">
        <f ca="1">AVERAGEIFS(INDIRECT($J$3),INDIRECT($J$3),"&gt;=0",Data!$B:$B,$AI86)</f>
        <v>#DIV/0!</v>
      </c>
      <c r="AK86" t="e">
        <f t="shared" ca="1" si="39"/>
        <v>#DIV/0!</v>
      </c>
      <c r="AL86" t="str">
        <f t="shared" ca="1" si="40"/>
        <v>-</v>
      </c>
      <c r="AM86" t="str">
        <f t="shared" ca="1" si="41"/>
        <v>-</v>
      </c>
      <c r="AN86" t="str">
        <f t="shared" ca="1" si="42"/>
        <v>-</v>
      </c>
      <c r="AO86" t="str">
        <f t="shared" ca="1" si="43"/>
        <v>-</v>
      </c>
      <c r="AP86" t="str">
        <f t="shared" ca="1" si="44"/>
        <v>-</v>
      </c>
      <c r="AQ86" t="str">
        <f t="shared" ca="1" si="45"/>
        <v>-</v>
      </c>
      <c r="AR86" t="str">
        <f t="shared" ca="1" si="46"/>
        <v>-</v>
      </c>
      <c r="AS86" t="str">
        <f t="shared" ca="1" si="47"/>
        <v>-</v>
      </c>
      <c r="AT86" t="str">
        <f t="shared" ca="1" si="48"/>
        <v>-</v>
      </c>
      <c r="AU86">
        <f t="shared" si="60"/>
        <v>78</v>
      </c>
      <c r="AV86" t="s">
        <v>47</v>
      </c>
      <c r="AW86" s="20" t="e">
        <f ca="1">AVERAGEIFS(INDIRECT($B$3),INDIRECT($B$3),"&gt;=0",Data!$B:$B,AV86,IF($A$20,Data!$J:$J,Data!#REF!),IF($A$20,"&lt;&gt;5",1))</f>
        <v>#DIV/0!</v>
      </c>
      <c r="AX86" t="e">
        <f t="shared" ca="1" si="49"/>
        <v>#DIV/0!</v>
      </c>
      <c r="AY86" s="20" t="s">
        <v>51</v>
      </c>
      <c r="AZ86" t="e">
        <f ca="1">AVERAGEIFS(INDIRECT($C$3),INDIRECT($C$3),"&gt;=0",Data!$B:$B,AY86,IF($A$20,Data!$J:$J,Data!#REF!),IF($A$20,"&lt;&gt;5",1))</f>
        <v>#DIV/0!</v>
      </c>
      <c r="BA86" s="20" t="e">
        <f t="shared" ca="1" si="50"/>
        <v>#DIV/0!</v>
      </c>
      <c r="BB86" t="s">
        <v>75</v>
      </c>
      <c r="BC86" s="20" t="e">
        <f ca="1">AVERAGEIFS(INDIRECT($D$3),INDIRECT($D$3),"&gt;=0",Data!$B:$B,BB86,IF($A$20,Data!$J:$J,Data!#REF!),IF($A$20,"&lt;&gt;5",1))</f>
        <v>#DIV/0!</v>
      </c>
      <c r="BD86" t="e">
        <f t="shared" ca="1" si="51"/>
        <v>#DIV/0!</v>
      </c>
      <c r="BE86" s="20" t="s">
        <v>120</v>
      </c>
      <c r="BF86" t="e">
        <f ca="1">AVERAGEIFS(INDIRECT($E$3),INDIRECT($E$3),"&gt;=0",Data!$B:$B,BE86,IF($A$20,Data!$J:$J,Data!#REF!),IF($A$20,"&lt;&gt;5",1))</f>
        <v>#DIV/0!</v>
      </c>
      <c r="BG86" s="20" t="e">
        <f t="shared" ca="1" si="52"/>
        <v>#DIV/0!</v>
      </c>
      <c r="BH86" t="s">
        <v>147</v>
      </c>
      <c r="BI86" s="20">
        <f ca="1">AVERAGEIFS(INDIRECT($F$3),INDIRECT($F$3),"&gt;=0",Data!$B:$B,BH86,IF($A$20,Data!$J:$J,Data!#REF!),IF($A$20,"&lt;&gt;5",1))</f>
        <v>1</v>
      </c>
      <c r="BJ86" t="e">
        <f t="shared" ca="1" si="53"/>
        <v>#DIV/0!</v>
      </c>
      <c r="BK86" s="20" t="s">
        <v>117</v>
      </c>
      <c r="BL86" t="e">
        <f ca="1">AVERAGEIFS(INDIRECT($G$3),INDIRECT($G$3),"&gt;=0",Data!$B:$B,BK86,IF($A$20,Data!$J:$J,Data!#REF!),IF($A$20,"&lt;&gt;5",1))</f>
        <v>#DIV/0!</v>
      </c>
      <c r="BM86" s="20" t="e">
        <f t="shared" ca="1" si="54"/>
        <v>#DIV/0!</v>
      </c>
      <c r="BN86" t="s">
        <v>186</v>
      </c>
      <c r="BO86" t="e">
        <f ca="1">AVERAGEIFS(INDIRECT($H$3),INDIRECT($H$3),"&gt;=0",Data!$B:$B,BN86,IF($A$20,Data!$J:$J,Data!#REF!),IF($A$20,"&lt;&gt;5",1))</f>
        <v>#DIV/0!</v>
      </c>
      <c r="BP86" t="e">
        <f t="shared" ca="1" si="55"/>
        <v>#DIV/0!</v>
      </c>
      <c r="BQ86" t="s">
        <v>54</v>
      </c>
      <c r="BR86" t="e">
        <f ca="1">AVERAGEIFS(INDIRECT($I$3),INDIRECT($I$3),"&gt;=0",Data!$B:$B,BQ86,IF($A$20,Data!$J:$J,Data!#REF!),IF($A$20,"&lt;&gt;5",1))</f>
        <v>#DIV/0!</v>
      </c>
      <c r="BS86" t="e">
        <f t="shared" ca="1" si="56"/>
        <v>#DIV/0!</v>
      </c>
      <c r="BT86" t="s">
        <v>119</v>
      </c>
      <c r="BU86" t="e">
        <f ca="1">AVERAGEIFS(INDIRECT($J$3),INDIRECT($J$3),"&gt;=0",Data!$B:$B,BT86,IF($A$20,Data!$J:$J,Data!#REF!),IF($A$20,"&lt;&gt;5",1))</f>
        <v>#DIV/0!</v>
      </c>
      <c r="BV86" t="e">
        <f t="shared" ca="1" si="57"/>
        <v>#DIV/0!</v>
      </c>
    </row>
    <row r="87" spans="10:74" x14ac:dyDescent="0.35">
      <c r="J87">
        <f t="shared" si="58"/>
        <v>79</v>
      </c>
      <c r="K87" t="s">
        <v>106</v>
      </c>
      <c r="L87" t="e">
        <f ca="1">AVERAGEIFS(INDIRECT($B$3),INDIRECT($B$3),"&gt;=0",Data!$B:$B,$K87)</f>
        <v>#DIV/0!</v>
      </c>
      <c r="M87" t="e">
        <f t="shared" ca="1" si="59"/>
        <v>#DIV/0!</v>
      </c>
      <c r="N87" t="s">
        <v>82</v>
      </c>
      <c r="O87" t="e">
        <f ca="1">AVERAGEIFS(INDIRECT($C$3),INDIRECT($C$3),"&gt;=0",Data!$B:$B,$N87)</f>
        <v>#DIV/0!</v>
      </c>
      <c r="P87" t="e">
        <f t="shared" ca="1" si="32"/>
        <v>#DIV/0!</v>
      </c>
      <c r="Q87" t="s">
        <v>23</v>
      </c>
      <c r="R87" t="e">
        <f ca="1">AVERAGEIFS(INDIRECT($D$3),INDIRECT($D$3),"&gt;=0",Data!$B:$B,$Q87)</f>
        <v>#DIV/0!</v>
      </c>
      <c r="S87" t="e">
        <f t="shared" ca="1" si="33"/>
        <v>#DIV/0!</v>
      </c>
      <c r="T87" t="s">
        <v>120</v>
      </c>
      <c r="U87" t="e">
        <f ca="1">AVERAGEIFS(INDIRECT($E$3),INDIRECT($E$3),"&gt;=0",Data!$B:$B,$T87)</f>
        <v>#DIV/0!</v>
      </c>
      <c r="V87" t="e">
        <f t="shared" ca="1" si="34"/>
        <v>#DIV/0!</v>
      </c>
      <c r="W87" t="s">
        <v>6</v>
      </c>
      <c r="X87" t="e">
        <f ca="1">AVERAGEIFS(INDIRECT($F$3),INDIRECT($F$3),"&gt;=0",Data!$B:$B,$W87)</f>
        <v>#DIV/0!</v>
      </c>
      <c r="Y87" t="e">
        <f t="shared" ca="1" si="35"/>
        <v>#DIV/0!</v>
      </c>
      <c r="Z87" t="s">
        <v>107</v>
      </c>
      <c r="AA87">
        <f ca="1">AVERAGEIFS(INDIRECT($G$3),INDIRECT($G$3),"&gt;=0",Data!$B:$B,$Z87)</f>
        <v>0.58823529411764708</v>
      </c>
      <c r="AB87">
        <f t="shared" ca="1" si="36"/>
        <v>79</v>
      </c>
      <c r="AC87" t="s">
        <v>97</v>
      </c>
      <c r="AD87">
        <f ca="1">AVERAGEIFS(INDIRECT($H$3),INDIRECT($H$3),"&gt;=0",Data!$B:$B,$AC87)</f>
        <v>0.91304347826086951</v>
      </c>
      <c r="AE87">
        <f t="shared" ca="1" si="37"/>
        <v>79</v>
      </c>
      <c r="AF87" t="s">
        <v>10</v>
      </c>
      <c r="AG87" t="e">
        <f ca="1">AVERAGEIFS(INDIRECT($I$3),INDIRECT($I$3),"&gt;=0",Data!$B:$B,$AF87)</f>
        <v>#DIV/0!</v>
      </c>
      <c r="AH87" t="e">
        <f t="shared" ca="1" si="38"/>
        <v>#DIV/0!</v>
      </c>
      <c r="AI87" t="s">
        <v>116</v>
      </c>
      <c r="AJ87" t="e">
        <f ca="1">AVERAGEIFS(INDIRECT($J$3),INDIRECT($J$3),"&gt;=0",Data!$B:$B,$AI87)</f>
        <v>#DIV/0!</v>
      </c>
      <c r="AK87" t="e">
        <f t="shared" ca="1" si="39"/>
        <v>#DIV/0!</v>
      </c>
      <c r="AL87" t="str">
        <f t="shared" ca="1" si="40"/>
        <v>-</v>
      </c>
      <c r="AM87" t="str">
        <f t="shared" ca="1" si="41"/>
        <v>-</v>
      </c>
      <c r="AN87" t="str">
        <f t="shared" ca="1" si="42"/>
        <v>-</v>
      </c>
      <c r="AO87" t="str">
        <f t="shared" ca="1" si="43"/>
        <v>-</v>
      </c>
      <c r="AP87" t="str">
        <f t="shared" ca="1" si="44"/>
        <v>-</v>
      </c>
      <c r="AQ87" t="str">
        <f t="shared" ca="1" si="45"/>
        <v>-</v>
      </c>
      <c r="AR87" t="str">
        <f t="shared" ca="1" si="46"/>
        <v>-</v>
      </c>
      <c r="AS87" t="str">
        <f t="shared" ca="1" si="47"/>
        <v>-</v>
      </c>
      <c r="AT87" t="str">
        <f t="shared" ca="1" si="48"/>
        <v>-</v>
      </c>
      <c r="AU87">
        <f t="shared" si="60"/>
        <v>79</v>
      </c>
      <c r="AV87" t="s">
        <v>187</v>
      </c>
      <c r="AW87" s="20" t="e">
        <f ca="1">AVERAGEIFS(INDIRECT($B$3),INDIRECT($B$3),"&gt;=0",Data!$B:$B,AV87,IF($A$20,Data!$J:$J,Data!#REF!),IF($A$20,"&lt;&gt;5",1))</f>
        <v>#DIV/0!</v>
      </c>
      <c r="AX87" t="e">
        <f t="shared" ca="1" si="49"/>
        <v>#DIV/0!</v>
      </c>
      <c r="AY87" s="20" t="s">
        <v>107</v>
      </c>
      <c r="AZ87" t="e">
        <f ca="1">AVERAGEIFS(INDIRECT($C$3),INDIRECT($C$3),"&gt;=0",Data!$B:$B,AY87,IF($A$20,Data!$J:$J,Data!#REF!),IF($A$20,"&lt;&gt;5",1))</f>
        <v>#DIV/0!</v>
      </c>
      <c r="BA87" s="20" t="e">
        <f t="shared" ca="1" si="50"/>
        <v>#DIV/0!</v>
      </c>
      <c r="BB87" t="s">
        <v>105</v>
      </c>
      <c r="BC87" s="20" t="e">
        <f ca="1">AVERAGEIFS(INDIRECT($D$3),INDIRECT($D$3),"&gt;=0",Data!$B:$B,BB87,IF($A$20,Data!$J:$J,Data!#REF!),IF($A$20,"&lt;&gt;5",1))</f>
        <v>#DIV/0!</v>
      </c>
      <c r="BD87" t="e">
        <f t="shared" ca="1" si="51"/>
        <v>#DIV/0!</v>
      </c>
      <c r="BE87" s="20" t="s">
        <v>156</v>
      </c>
      <c r="BF87" t="e">
        <f ca="1">AVERAGEIFS(INDIRECT($E$3),INDIRECT($E$3),"&gt;=0",Data!$B:$B,BE87,IF($A$20,Data!$J:$J,Data!#REF!),IF($A$20,"&lt;&gt;5",1))</f>
        <v>#DIV/0!</v>
      </c>
      <c r="BG87" s="20" t="e">
        <f t="shared" ca="1" si="52"/>
        <v>#DIV/0!</v>
      </c>
      <c r="BH87" t="s">
        <v>197</v>
      </c>
      <c r="BI87" s="20" t="e">
        <f ca="1">AVERAGEIFS(INDIRECT($F$3),INDIRECT($F$3),"&gt;=0",Data!$B:$B,BH87,IF($A$20,Data!$J:$J,Data!#REF!),IF($A$20,"&lt;&gt;5",1))</f>
        <v>#DIV/0!</v>
      </c>
      <c r="BJ87" t="e">
        <f t="shared" ca="1" si="53"/>
        <v>#DIV/0!</v>
      </c>
      <c r="BK87" s="20" t="s">
        <v>146</v>
      </c>
      <c r="BL87" t="e">
        <f ca="1">AVERAGEIFS(INDIRECT($G$3),INDIRECT($G$3),"&gt;=0",Data!$B:$B,BK87,IF($A$20,Data!$J:$J,Data!#REF!),IF($A$20,"&lt;&gt;5",1))</f>
        <v>#DIV/0!</v>
      </c>
      <c r="BM87" s="20" t="e">
        <f t="shared" ca="1" si="54"/>
        <v>#DIV/0!</v>
      </c>
      <c r="BN87" t="s">
        <v>134</v>
      </c>
      <c r="BO87">
        <f ca="1">AVERAGEIFS(INDIRECT($H$3),INDIRECT($H$3),"&gt;=0",Data!$B:$B,BN87,IF($A$20,Data!$J:$J,Data!#REF!),IF($A$20,"&lt;&gt;5",1))</f>
        <v>1</v>
      </c>
      <c r="BP87" t="e">
        <f t="shared" ca="1" si="55"/>
        <v>#DIV/0!</v>
      </c>
      <c r="BQ87" t="s">
        <v>179</v>
      </c>
      <c r="BR87" t="e">
        <f ca="1">AVERAGEIFS(INDIRECT($I$3),INDIRECT($I$3),"&gt;=0",Data!$B:$B,BQ87,IF($A$20,Data!$J:$J,Data!#REF!),IF($A$20,"&lt;&gt;5",1))</f>
        <v>#DIV/0!</v>
      </c>
      <c r="BS87" t="e">
        <f t="shared" ca="1" si="56"/>
        <v>#DIV/0!</v>
      </c>
      <c r="BT87" t="s">
        <v>118</v>
      </c>
      <c r="BU87" t="e">
        <f ca="1">AVERAGEIFS(INDIRECT($J$3),INDIRECT($J$3),"&gt;=0",Data!$B:$B,BT87,IF($A$20,Data!$J:$J,Data!#REF!),IF($A$20,"&lt;&gt;5",1))</f>
        <v>#DIV/0!</v>
      </c>
      <c r="BV87" t="e">
        <f t="shared" ca="1" si="57"/>
        <v>#DIV/0!</v>
      </c>
    </row>
    <row r="88" spans="10:74" x14ac:dyDescent="0.35">
      <c r="J88">
        <f t="shared" si="58"/>
        <v>80</v>
      </c>
      <c r="K88" t="s">
        <v>155</v>
      </c>
      <c r="L88" t="e">
        <f ca="1">AVERAGEIFS(INDIRECT($B$3),INDIRECT($B$3),"&gt;=0",Data!$B:$B,$K88)</f>
        <v>#DIV/0!</v>
      </c>
      <c r="M88" t="e">
        <f t="shared" ca="1" si="59"/>
        <v>#DIV/0!</v>
      </c>
      <c r="N88" t="s">
        <v>51</v>
      </c>
      <c r="O88" t="e">
        <f ca="1">AVERAGEIFS(INDIRECT($C$3),INDIRECT($C$3),"&gt;=0",Data!$B:$B,$N88)</f>
        <v>#DIV/0!</v>
      </c>
      <c r="P88" t="e">
        <f t="shared" ca="1" si="32"/>
        <v>#DIV/0!</v>
      </c>
      <c r="Q88" t="s">
        <v>57</v>
      </c>
      <c r="R88" t="e">
        <f ca="1">AVERAGEIFS(INDIRECT($D$3),INDIRECT($D$3),"&gt;=0",Data!$B:$B,$Q88)</f>
        <v>#DIV/0!</v>
      </c>
      <c r="S88" t="e">
        <f t="shared" ca="1" si="33"/>
        <v>#DIV/0!</v>
      </c>
      <c r="T88" t="s">
        <v>156</v>
      </c>
      <c r="U88" t="e">
        <f ca="1">AVERAGEIFS(INDIRECT($E$3),INDIRECT($E$3),"&gt;=0",Data!$B:$B,$T88)</f>
        <v>#DIV/0!</v>
      </c>
      <c r="V88" t="e">
        <f t="shared" ca="1" si="34"/>
        <v>#DIV/0!</v>
      </c>
      <c r="W88" t="s">
        <v>72</v>
      </c>
      <c r="X88" t="e">
        <f ca="1">AVERAGEIFS(INDIRECT($F$3),INDIRECT($F$3),"&gt;=0",Data!$B:$B,$W88)</f>
        <v>#DIV/0!</v>
      </c>
      <c r="Y88" t="e">
        <f t="shared" ca="1" si="35"/>
        <v>#DIV/0!</v>
      </c>
      <c r="Z88" t="s">
        <v>64</v>
      </c>
      <c r="AA88" t="e">
        <f ca="1">AVERAGEIFS(INDIRECT($G$3),INDIRECT($G$3),"&gt;=0",Data!$B:$B,$Z88)</f>
        <v>#DIV/0!</v>
      </c>
      <c r="AB88" t="e">
        <f t="shared" ca="1" si="36"/>
        <v>#DIV/0!</v>
      </c>
      <c r="AC88" t="s">
        <v>120</v>
      </c>
      <c r="AD88" t="e">
        <f ca="1">AVERAGEIFS(INDIRECT($H$3),INDIRECT($H$3),"&gt;=0",Data!$B:$B,$AC88)</f>
        <v>#DIV/0!</v>
      </c>
      <c r="AE88" t="e">
        <f t="shared" ca="1" si="37"/>
        <v>#DIV/0!</v>
      </c>
      <c r="AF88" t="s">
        <v>23</v>
      </c>
      <c r="AG88" t="e">
        <f ca="1">AVERAGEIFS(INDIRECT($I$3),INDIRECT($I$3),"&gt;=0",Data!$B:$B,$AF88)</f>
        <v>#DIV/0!</v>
      </c>
      <c r="AH88" t="e">
        <f t="shared" ca="1" si="38"/>
        <v>#DIV/0!</v>
      </c>
      <c r="AI88" t="s">
        <v>119</v>
      </c>
      <c r="AJ88" t="e">
        <f ca="1">AVERAGEIFS(INDIRECT($J$3),INDIRECT($J$3),"&gt;=0",Data!$B:$B,$AI88)</f>
        <v>#DIV/0!</v>
      </c>
      <c r="AK88" t="e">
        <f t="shared" ca="1" si="39"/>
        <v>#DIV/0!</v>
      </c>
      <c r="AL88" t="str">
        <f t="shared" ca="1" si="40"/>
        <v>-</v>
      </c>
      <c r="AM88" t="str">
        <f t="shared" ca="1" si="41"/>
        <v>-</v>
      </c>
      <c r="AN88" t="str">
        <f t="shared" ca="1" si="42"/>
        <v>-</v>
      </c>
      <c r="AO88" t="str">
        <f t="shared" ca="1" si="43"/>
        <v>-</v>
      </c>
      <c r="AP88" t="str">
        <f t="shared" ca="1" si="44"/>
        <v>-</v>
      </c>
      <c r="AQ88" t="str">
        <f t="shared" ca="1" si="45"/>
        <v>-</v>
      </c>
      <c r="AR88" t="str">
        <f t="shared" ca="1" si="46"/>
        <v>-</v>
      </c>
      <c r="AS88" t="str">
        <f t="shared" ca="1" si="47"/>
        <v>-</v>
      </c>
      <c r="AT88" t="str">
        <f t="shared" ca="1" si="48"/>
        <v>-</v>
      </c>
      <c r="AU88">
        <f t="shared" si="60"/>
        <v>80</v>
      </c>
      <c r="AV88" t="s">
        <v>34</v>
      </c>
      <c r="AW88" s="20" t="e">
        <f ca="1">AVERAGEIFS(INDIRECT($B$3),INDIRECT($B$3),"&gt;=0",Data!$B:$B,AV88,IF($A$20,Data!$J:$J,Data!#REF!),IF($A$20,"&lt;&gt;5",1))</f>
        <v>#DIV/0!</v>
      </c>
      <c r="AX88" t="e">
        <f t="shared" ca="1" si="49"/>
        <v>#DIV/0!</v>
      </c>
      <c r="AY88" s="20" t="s">
        <v>168</v>
      </c>
      <c r="AZ88" t="e">
        <f ca="1">AVERAGEIFS(INDIRECT($C$3),INDIRECT($C$3),"&gt;=0",Data!$B:$B,AY88,IF($A$20,Data!$J:$J,Data!#REF!),IF($A$20,"&lt;&gt;5",1))</f>
        <v>#DIV/0!</v>
      </c>
      <c r="BA88" s="20" t="e">
        <f t="shared" ca="1" si="50"/>
        <v>#DIV/0!</v>
      </c>
      <c r="BB88" t="s">
        <v>77</v>
      </c>
      <c r="BC88" s="20" t="e">
        <f ca="1">AVERAGEIFS(INDIRECT($D$3),INDIRECT($D$3),"&gt;=0",Data!$B:$B,BB88,IF($A$20,Data!$J:$J,Data!#REF!),IF($A$20,"&lt;&gt;5",1))</f>
        <v>#DIV/0!</v>
      </c>
      <c r="BD88" t="e">
        <f t="shared" ca="1" si="51"/>
        <v>#DIV/0!</v>
      </c>
      <c r="BE88" s="20" t="s">
        <v>5</v>
      </c>
      <c r="BF88" t="e">
        <f ca="1">AVERAGEIFS(INDIRECT($E$3),INDIRECT($E$3),"&gt;=0",Data!$B:$B,BE88,IF($A$20,Data!$J:$J,Data!#REF!),IF($A$20,"&lt;&gt;5",1))</f>
        <v>#DIV/0!</v>
      </c>
      <c r="BG88" s="20" t="e">
        <f t="shared" ca="1" si="52"/>
        <v>#DIV/0!</v>
      </c>
      <c r="BH88" t="s">
        <v>86</v>
      </c>
      <c r="BI88" s="20">
        <f ca="1">AVERAGEIFS(INDIRECT($F$3),INDIRECT($F$3),"&gt;=0",Data!$B:$B,BH88,IF($A$20,Data!$J:$J,Data!#REF!),IF($A$20,"&lt;&gt;5",1))</f>
        <v>0</v>
      </c>
      <c r="BJ88" t="e">
        <f t="shared" ca="1" si="53"/>
        <v>#DIV/0!</v>
      </c>
      <c r="BK88" s="20" t="s">
        <v>171</v>
      </c>
      <c r="BL88" t="e">
        <f ca="1">AVERAGEIFS(INDIRECT($G$3),INDIRECT($G$3),"&gt;=0",Data!$B:$B,BK88,IF($A$20,Data!$J:$J,Data!#REF!),IF($A$20,"&lt;&gt;5",1))</f>
        <v>#DIV/0!</v>
      </c>
      <c r="BM88" s="20" t="e">
        <f t="shared" ca="1" si="54"/>
        <v>#DIV/0!</v>
      </c>
      <c r="BN88" t="s">
        <v>97</v>
      </c>
      <c r="BO88">
        <f ca="1">AVERAGEIFS(INDIRECT($H$3),INDIRECT($H$3),"&gt;=0",Data!$B:$B,BN88,IF($A$20,Data!$J:$J,Data!#REF!),IF($A$20,"&lt;&gt;5",1))</f>
        <v>1</v>
      </c>
      <c r="BP88" t="e">
        <f t="shared" ca="1" si="55"/>
        <v>#DIV/0!</v>
      </c>
      <c r="BQ88" t="s">
        <v>180</v>
      </c>
      <c r="BR88" t="e">
        <f ca="1">AVERAGEIFS(INDIRECT($I$3),INDIRECT($I$3),"&gt;=0",Data!$B:$B,BQ88,IF($A$20,Data!$J:$J,Data!#REF!),IF($A$20,"&lt;&gt;5",1))</f>
        <v>#DIV/0!</v>
      </c>
      <c r="BS88" t="e">
        <f t="shared" ca="1" si="56"/>
        <v>#DIV/0!</v>
      </c>
      <c r="BT88" t="s">
        <v>114</v>
      </c>
      <c r="BU88" t="e">
        <f ca="1">AVERAGEIFS(INDIRECT($J$3),INDIRECT($J$3),"&gt;=0",Data!$B:$B,BT88,IF($A$20,Data!$J:$J,Data!#REF!),IF($A$20,"&lt;&gt;5",1))</f>
        <v>#DIV/0!</v>
      </c>
      <c r="BV88" t="e">
        <f t="shared" ca="1" si="57"/>
        <v>#DIV/0!</v>
      </c>
    </row>
    <row r="89" spans="10:74" x14ac:dyDescent="0.35">
      <c r="J89">
        <f t="shared" si="58"/>
        <v>81</v>
      </c>
      <c r="K89" t="s">
        <v>174</v>
      </c>
      <c r="L89" t="e">
        <f ca="1">AVERAGEIFS(INDIRECT($B$3),INDIRECT($B$3),"&gt;=0",Data!$B:$B,$K89)</f>
        <v>#DIV/0!</v>
      </c>
      <c r="M89" t="e">
        <f t="shared" ca="1" si="59"/>
        <v>#DIV/0!</v>
      </c>
      <c r="N89" t="s">
        <v>107</v>
      </c>
      <c r="O89" t="e">
        <f ca="1">AVERAGEIFS(INDIRECT($C$3),INDIRECT($C$3),"&gt;=0",Data!$B:$B,$N89)</f>
        <v>#DIV/0!</v>
      </c>
      <c r="P89" t="e">
        <f t="shared" ca="1" si="32"/>
        <v>#DIV/0!</v>
      </c>
      <c r="Q89" t="s">
        <v>60</v>
      </c>
      <c r="R89" t="e">
        <f ca="1">AVERAGEIFS(INDIRECT($D$3),INDIRECT($D$3),"&gt;=0",Data!$B:$B,$Q89)</f>
        <v>#DIV/0!</v>
      </c>
      <c r="S89" t="e">
        <f t="shared" ca="1" si="33"/>
        <v>#DIV/0!</v>
      </c>
      <c r="T89" t="s">
        <v>47</v>
      </c>
      <c r="U89" t="e">
        <f ca="1">AVERAGEIFS(INDIRECT($E$3),INDIRECT($E$3),"&gt;=0",Data!$B:$B,$T89)</f>
        <v>#DIV/0!</v>
      </c>
      <c r="V89" t="e">
        <f t="shared" ca="1" si="34"/>
        <v>#DIV/0!</v>
      </c>
      <c r="W89" t="s">
        <v>75</v>
      </c>
      <c r="X89" t="e">
        <f ca="1">AVERAGEIFS(INDIRECT($F$3),INDIRECT($F$3),"&gt;=0",Data!$B:$B,$W89)</f>
        <v>#DIV/0!</v>
      </c>
      <c r="Y89" t="e">
        <f t="shared" ca="1" si="35"/>
        <v>#DIV/0!</v>
      </c>
      <c r="Z89" t="s">
        <v>73</v>
      </c>
      <c r="AA89" t="e">
        <f ca="1">AVERAGEIFS(INDIRECT($G$3),INDIRECT($G$3),"&gt;=0",Data!$B:$B,$Z89)</f>
        <v>#DIV/0!</v>
      </c>
      <c r="AB89" t="e">
        <f t="shared" ca="1" si="36"/>
        <v>#DIV/0!</v>
      </c>
      <c r="AC89" t="s">
        <v>186</v>
      </c>
      <c r="AD89" t="e">
        <f ca="1">AVERAGEIFS(INDIRECT($H$3),INDIRECT($H$3),"&gt;=0",Data!$B:$B,$AC89)</f>
        <v>#DIV/0!</v>
      </c>
      <c r="AE89" t="e">
        <f t="shared" ca="1" si="37"/>
        <v>#DIV/0!</v>
      </c>
      <c r="AF89" t="s">
        <v>45</v>
      </c>
      <c r="AG89" t="e">
        <f ca="1">AVERAGEIFS(INDIRECT($I$3),INDIRECT($I$3),"&gt;=0",Data!$B:$B,$AF89)</f>
        <v>#DIV/0!</v>
      </c>
      <c r="AH89" t="e">
        <f t="shared" ca="1" si="38"/>
        <v>#DIV/0!</v>
      </c>
      <c r="AI89" t="s">
        <v>118</v>
      </c>
      <c r="AJ89" t="e">
        <f ca="1">AVERAGEIFS(INDIRECT($J$3),INDIRECT($J$3),"&gt;=0",Data!$B:$B,$AI89)</f>
        <v>#DIV/0!</v>
      </c>
      <c r="AK89" t="e">
        <f t="shared" ca="1" si="39"/>
        <v>#DIV/0!</v>
      </c>
      <c r="AL89" t="str">
        <f t="shared" ca="1" si="40"/>
        <v>-</v>
      </c>
      <c r="AM89" t="str">
        <f t="shared" ca="1" si="41"/>
        <v>-</v>
      </c>
      <c r="AN89" t="str">
        <f t="shared" ca="1" si="42"/>
        <v>-</v>
      </c>
      <c r="AO89" t="str">
        <f t="shared" ca="1" si="43"/>
        <v>-</v>
      </c>
      <c r="AP89" t="str">
        <f t="shared" ca="1" si="44"/>
        <v>-</v>
      </c>
      <c r="AQ89" t="str">
        <f t="shared" ca="1" si="45"/>
        <v>-</v>
      </c>
      <c r="AR89" t="str">
        <f t="shared" ca="1" si="46"/>
        <v>-</v>
      </c>
      <c r="AS89" t="str">
        <f t="shared" ca="1" si="47"/>
        <v>-</v>
      </c>
      <c r="AT89" t="str">
        <f t="shared" ca="1" si="48"/>
        <v>-</v>
      </c>
      <c r="AU89">
        <f t="shared" si="60"/>
        <v>81</v>
      </c>
      <c r="AV89" t="s">
        <v>48</v>
      </c>
      <c r="AW89" s="20" t="e">
        <f ca="1">AVERAGEIFS(INDIRECT($B$3),INDIRECT($B$3),"&gt;=0",Data!$B:$B,AV89,IF($A$20,Data!$J:$J,Data!#REF!),IF($A$20,"&lt;&gt;5",1))</f>
        <v>#DIV/0!</v>
      </c>
      <c r="AX89" t="e">
        <f t="shared" ca="1" si="49"/>
        <v>#DIV/0!</v>
      </c>
      <c r="AY89" s="20" t="s">
        <v>21</v>
      </c>
      <c r="AZ89" t="e">
        <f ca="1">AVERAGEIFS(INDIRECT($C$3),INDIRECT($C$3),"&gt;=0",Data!$B:$B,AY89,IF($A$20,Data!$J:$J,Data!#REF!),IF($A$20,"&lt;&gt;5",1))</f>
        <v>#DIV/0!</v>
      </c>
      <c r="BA89" s="20" t="e">
        <f t="shared" ca="1" si="50"/>
        <v>#DIV/0!</v>
      </c>
      <c r="BB89" t="s">
        <v>143</v>
      </c>
      <c r="BC89" s="20" t="e">
        <f ca="1">AVERAGEIFS(INDIRECT($D$3),INDIRECT($D$3),"&gt;=0",Data!$B:$B,BB89,IF($A$20,Data!$J:$J,Data!#REF!),IF($A$20,"&lt;&gt;5",1))</f>
        <v>#DIV/0!</v>
      </c>
      <c r="BD89" t="e">
        <f t="shared" ca="1" si="51"/>
        <v>#DIV/0!</v>
      </c>
      <c r="BE89" s="20" t="s">
        <v>14</v>
      </c>
      <c r="BF89" t="e">
        <f ca="1">AVERAGEIFS(INDIRECT($E$3),INDIRECT($E$3),"&gt;=0",Data!$B:$B,BE89,IF($A$20,Data!$J:$J,Data!#REF!),IF($A$20,"&lt;&gt;5",1))</f>
        <v>#DIV/0!</v>
      </c>
      <c r="BG89" s="20" t="e">
        <f t="shared" ca="1" si="52"/>
        <v>#DIV/0!</v>
      </c>
      <c r="BH89" t="s">
        <v>120</v>
      </c>
      <c r="BI89" s="20" t="e">
        <f ca="1">AVERAGEIFS(INDIRECT($F$3),INDIRECT($F$3),"&gt;=0",Data!$B:$B,BH89,IF($A$20,Data!$J:$J,Data!#REF!),IF($A$20,"&lt;&gt;5",1))</f>
        <v>#DIV/0!</v>
      </c>
      <c r="BJ89" t="e">
        <f t="shared" ca="1" si="53"/>
        <v>#DIV/0!</v>
      </c>
      <c r="BK89" s="20" t="s">
        <v>121</v>
      </c>
      <c r="BL89" t="e">
        <f ca="1">AVERAGEIFS(INDIRECT($G$3),INDIRECT($G$3),"&gt;=0",Data!$B:$B,BK89,IF($A$20,Data!$J:$J,Data!#REF!),IF($A$20,"&lt;&gt;5",1))</f>
        <v>#DIV/0!</v>
      </c>
      <c r="BM89" s="20" t="e">
        <f t="shared" ca="1" si="54"/>
        <v>#DIV/0!</v>
      </c>
      <c r="BN89" t="s">
        <v>120</v>
      </c>
      <c r="BO89" t="e">
        <f ca="1">AVERAGEIFS(INDIRECT($H$3),INDIRECT($H$3),"&gt;=0",Data!$B:$B,BN89,IF($A$20,Data!$J:$J,Data!#REF!),IF($A$20,"&lt;&gt;5",1))</f>
        <v>#DIV/0!</v>
      </c>
      <c r="BP89" t="e">
        <f t="shared" ca="1" si="55"/>
        <v>#DIV/0!</v>
      </c>
      <c r="BQ89" t="s">
        <v>52</v>
      </c>
      <c r="BR89" t="e">
        <f ca="1">AVERAGEIFS(INDIRECT($I$3),INDIRECT($I$3),"&gt;=0",Data!$B:$B,BQ89,IF($A$20,Data!$J:$J,Data!#REF!),IF($A$20,"&lt;&gt;5",1))</f>
        <v>#DIV/0!</v>
      </c>
      <c r="BS89" t="e">
        <f t="shared" ca="1" si="56"/>
        <v>#DIV/0!</v>
      </c>
      <c r="BT89" t="s">
        <v>128</v>
      </c>
      <c r="BU89" t="e">
        <f ca="1">AVERAGEIFS(INDIRECT($J$3),INDIRECT($J$3),"&gt;=0",Data!$B:$B,BT89,IF($A$20,Data!$J:$J,Data!#REF!),IF($A$20,"&lt;&gt;5",1))</f>
        <v>#DIV/0!</v>
      </c>
      <c r="BV89" t="e">
        <f t="shared" ca="1" si="57"/>
        <v>#DIV/0!</v>
      </c>
    </row>
    <row r="90" spans="10:74" x14ac:dyDescent="0.35">
      <c r="J90">
        <f t="shared" si="58"/>
        <v>82</v>
      </c>
      <c r="K90" t="s">
        <v>184</v>
      </c>
      <c r="L90" t="e">
        <f ca="1">AVERAGEIFS(INDIRECT($B$3),INDIRECT($B$3),"&gt;=0",Data!$B:$B,$K90)</f>
        <v>#DIV/0!</v>
      </c>
      <c r="M90" t="e">
        <f t="shared" ca="1" si="59"/>
        <v>#DIV/0!</v>
      </c>
      <c r="N90" t="s">
        <v>168</v>
      </c>
      <c r="O90" t="e">
        <f ca="1">AVERAGEIFS(INDIRECT($C$3),INDIRECT($C$3),"&gt;=0",Data!$B:$B,$N90)</f>
        <v>#DIV/0!</v>
      </c>
      <c r="P90" t="e">
        <f t="shared" ca="1" si="32"/>
        <v>#DIV/0!</v>
      </c>
      <c r="Q90" t="s">
        <v>88</v>
      </c>
      <c r="R90" t="e">
        <f ca="1">AVERAGEIFS(INDIRECT($D$3),INDIRECT($D$3),"&gt;=0",Data!$B:$B,$Q90)</f>
        <v>#DIV/0!</v>
      </c>
      <c r="S90" t="e">
        <f t="shared" ca="1" si="33"/>
        <v>#DIV/0!</v>
      </c>
      <c r="T90" t="s">
        <v>96</v>
      </c>
      <c r="U90" t="e">
        <f ca="1">AVERAGEIFS(INDIRECT($E$3),INDIRECT($E$3),"&gt;=0",Data!$B:$B,$T90)</f>
        <v>#DIV/0!</v>
      </c>
      <c r="V90" t="e">
        <f t="shared" ca="1" si="34"/>
        <v>#DIV/0!</v>
      </c>
      <c r="W90" t="s">
        <v>139</v>
      </c>
      <c r="X90" t="e">
        <f ca="1">AVERAGEIFS(INDIRECT($F$3),INDIRECT($F$3),"&gt;=0",Data!$B:$B,$W90)</f>
        <v>#DIV/0!</v>
      </c>
      <c r="Y90" t="e">
        <f t="shared" ca="1" si="35"/>
        <v>#DIV/0!</v>
      </c>
      <c r="Z90" t="s">
        <v>108</v>
      </c>
      <c r="AA90">
        <f ca="1">AVERAGEIFS(INDIRECT($G$3),INDIRECT($G$3),"&gt;=0",Data!$B:$B,$Z90)</f>
        <v>0.77777777777777779</v>
      </c>
      <c r="AB90" t="e">
        <f t="shared" ca="1" si="36"/>
        <v>#DIV/0!</v>
      </c>
      <c r="AC90" t="s">
        <v>160</v>
      </c>
      <c r="AD90" t="e">
        <f ca="1">AVERAGEIFS(INDIRECT($H$3),INDIRECT($H$3),"&gt;=0",Data!$B:$B,$AC90)</f>
        <v>#DIV/0!</v>
      </c>
      <c r="AE90" t="e">
        <f t="shared" ca="1" si="37"/>
        <v>#DIV/0!</v>
      </c>
      <c r="AF90" t="s">
        <v>49</v>
      </c>
      <c r="AG90" t="e">
        <f ca="1">AVERAGEIFS(INDIRECT($I$3),INDIRECT($I$3),"&gt;=0",Data!$B:$B,$AF90)</f>
        <v>#DIV/0!</v>
      </c>
      <c r="AH90" t="e">
        <f t="shared" ca="1" si="38"/>
        <v>#DIV/0!</v>
      </c>
      <c r="AI90" t="s">
        <v>114</v>
      </c>
      <c r="AJ90" t="e">
        <f ca="1">AVERAGEIFS(INDIRECT($J$3),INDIRECT($J$3),"&gt;=0",Data!$B:$B,$AI90)</f>
        <v>#DIV/0!</v>
      </c>
      <c r="AK90" t="e">
        <f t="shared" ca="1" si="39"/>
        <v>#DIV/0!</v>
      </c>
      <c r="AL90" t="str">
        <f t="shared" ca="1" si="40"/>
        <v>-</v>
      </c>
      <c r="AM90" t="str">
        <f t="shared" ca="1" si="41"/>
        <v>-</v>
      </c>
      <c r="AN90" t="str">
        <f t="shared" ca="1" si="42"/>
        <v>-</v>
      </c>
      <c r="AO90" t="str">
        <f t="shared" ca="1" si="43"/>
        <v>-</v>
      </c>
      <c r="AP90" t="str">
        <f t="shared" ca="1" si="44"/>
        <v>-</v>
      </c>
      <c r="AQ90" t="str">
        <f t="shared" ca="1" si="45"/>
        <v>-</v>
      </c>
      <c r="AR90" t="str">
        <f t="shared" ca="1" si="46"/>
        <v>-</v>
      </c>
      <c r="AS90" t="str">
        <f t="shared" ca="1" si="47"/>
        <v>-</v>
      </c>
      <c r="AT90" t="str">
        <f t="shared" ca="1" si="48"/>
        <v>-</v>
      </c>
      <c r="AU90">
        <f t="shared" si="60"/>
        <v>82</v>
      </c>
      <c r="AV90" t="s">
        <v>120</v>
      </c>
      <c r="AW90" s="20" t="e">
        <f ca="1">AVERAGEIFS(INDIRECT($B$3),INDIRECT($B$3),"&gt;=0",Data!$B:$B,AV90,IF($A$20,Data!$J:$J,Data!#REF!),IF($A$20,"&lt;&gt;5",1))</f>
        <v>#DIV/0!</v>
      </c>
      <c r="AX90" t="e">
        <f t="shared" ca="1" si="49"/>
        <v>#DIV/0!</v>
      </c>
      <c r="AY90" s="20" t="s">
        <v>167</v>
      </c>
      <c r="AZ90" t="e">
        <f ca="1">AVERAGEIFS(INDIRECT($C$3),INDIRECT($C$3),"&gt;=0",Data!$B:$B,AY90,IF($A$20,Data!$J:$J,Data!#REF!),IF($A$20,"&lt;&gt;5",1))</f>
        <v>#DIV/0!</v>
      </c>
      <c r="BA90" s="20" t="e">
        <f t="shared" ca="1" si="50"/>
        <v>#DIV/0!</v>
      </c>
      <c r="BB90" t="s">
        <v>158</v>
      </c>
      <c r="BC90" s="20" t="e">
        <f ca="1">AVERAGEIFS(INDIRECT($D$3),INDIRECT($D$3),"&gt;=0",Data!$B:$B,BB90,IF($A$20,Data!$J:$J,Data!#REF!),IF($A$20,"&lt;&gt;5",1))</f>
        <v>#DIV/0!</v>
      </c>
      <c r="BD90" t="e">
        <f t="shared" ca="1" si="51"/>
        <v>#DIV/0!</v>
      </c>
      <c r="BE90" s="20" t="s">
        <v>106</v>
      </c>
      <c r="BF90" t="e">
        <f ca="1">AVERAGEIFS(INDIRECT($E$3),INDIRECT($E$3),"&gt;=0",Data!$B:$B,BE90,IF($A$20,Data!$J:$J,Data!#REF!),IF($A$20,"&lt;&gt;5",1))</f>
        <v>#DIV/0!</v>
      </c>
      <c r="BG90" s="20" t="e">
        <f t="shared" ca="1" si="52"/>
        <v>#DIV/0!</v>
      </c>
      <c r="BH90" t="s">
        <v>6</v>
      </c>
      <c r="BI90" s="20" t="e">
        <f ca="1">AVERAGEIFS(INDIRECT($F$3),INDIRECT($F$3),"&gt;=0",Data!$B:$B,BH90,IF($A$20,Data!$J:$J,Data!#REF!),IF($A$20,"&lt;&gt;5",1))</f>
        <v>#DIV/0!</v>
      </c>
      <c r="BJ90" t="e">
        <f t="shared" ca="1" si="53"/>
        <v>#DIV/0!</v>
      </c>
      <c r="BK90" s="20" t="s">
        <v>38</v>
      </c>
      <c r="BL90" t="e">
        <f ca="1">AVERAGEIFS(INDIRECT($G$3),INDIRECT($G$3),"&gt;=0",Data!$B:$B,BK90,IF($A$20,Data!$J:$J,Data!#REF!),IF($A$20,"&lt;&gt;5",1))</f>
        <v>#DIV/0!</v>
      </c>
      <c r="BM90" s="20" t="e">
        <f t="shared" ca="1" si="54"/>
        <v>#DIV/0!</v>
      </c>
      <c r="BN90" t="s">
        <v>160</v>
      </c>
      <c r="BO90" t="e">
        <f ca="1">AVERAGEIFS(INDIRECT($H$3),INDIRECT($H$3),"&gt;=0",Data!$B:$B,BN90,IF($A$20,Data!$J:$J,Data!#REF!),IF($A$20,"&lt;&gt;5",1))</f>
        <v>#DIV/0!</v>
      </c>
      <c r="BP90" t="e">
        <f t="shared" ca="1" si="55"/>
        <v>#DIV/0!</v>
      </c>
      <c r="BQ90" t="s">
        <v>170</v>
      </c>
      <c r="BR90" t="e">
        <f ca="1">AVERAGEIFS(INDIRECT($I$3),INDIRECT($I$3),"&gt;=0",Data!$B:$B,BQ90,IF($A$20,Data!$J:$J,Data!#REF!),IF($A$20,"&lt;&gt;5",1))</f>
        <v>#DIV/0!</v>
      </c>
      <c r="BS90" t="e">
        <f t="shared" ca="1" si="56"/>
        <v>#DIV/0!</v>
      </c>
      <c r="BT90" t="s">
        <v>127</v>
      </c>
      <c r="BU90" t="e">
        <f ca="1">AVERAGEIFS(INDIRECT($J$3),INDIRECT($J$3),"&gt;=0",Data!$B:$B,BT90,IF($A$20,Data!$J:$J,Data!#REF!),IF($A$20,"&lt;&gt;5",1))</f>
        <v>#DIV/0!</v>
      </c>
      <c r="BV90" t="e">
        <f t="shared" ca="1" si="57"/>
        <v>#DIV/0!</v>
      </c>
    </row>
    <row r="91" spans="10:74" x14ac:dyDescent="0.35">
      <c r="J91">
        <f t="shared" si="58"/>
        <v>83</v>
      </c>
      <c r="K91" t="s">
        <v>187</v>
      </c>
      <c r="L91" t="e">
        <f ca="1">AVERAGEIFS(INDIRECT($B$3),INDIRECT($B$3),"&gt;=0",Data!$B:$B,$K91)</f>
        <v>#DIV/0!</v>
      </c>
      <c r="M91" t="e">
        <f t="shared" ca="1" si="59"/>
        <v>#DIV/0!</v>
      </c>
      <c r="N91" t="s">
        <v>21</v>
      </c>
      <c r="O91" t="e">
        <f ca="1">AVERAGEIFS(INDIRECT($C$3),INDIRECT($C$3),"&gt;=0",Data!$B:$B,$N91)</f>
        <v>#DIV/0!</v>
      </c>
      <c r="P91" t="e">
        <f t="shared" ca="1" si="32"/>
        <v>#DIV/0!</v>
      </c>
      <c r="Q91" t="s">
        <v>112</v>
      </c>
      <c r="R91" t="e">
        <f ca="1">AVERAGEIFS(INDIRECT($D$3),INDIRECT($D$3),"&gt;=0",Data!$B:$B,$Q91)</f>
        <v>#DIV/0!</v>
      </c>
      <c r="S91" t="e">
        <f t="shared" ca="1" si="33"/>
        <v>#DIV/0!</v>
      </c>
      <c r="T91" t="s">
        <v>106</v>
      </c>
      <c r="U91" t="e">
        <f ca="1">AVERAGEIFS(INDIRECT($E$3),INDIRECT($E$3),"&gt;=0",Data!$B:$B,$T91)</f>
        <v>#DIV/0!</v>
      </c>
      <c r="V91" t="e">
        <f t="shared" ca="1" si="34"/>
        <v>#DIV/0!</v>
      </c>
      <c r="W91" t="s">
        <v>17</v>
      </c>
      <c r="X91" t="e">
        <f ca="1">AVERAGEIFS(INDIRECT($F$3),INDIRECT($F$3),"&gt;=0",Data!$B:$B,$W91)</f>
        <v>#DIV/0!</v>
      </c>
      <c r="Y91" t="e">
        <f t="shared" ca="1" si="35"/>
        <v>#DIV/0!</v>
      </c>
      <c r="Z91" t="s">
        <v>117</v>
      </c>
      <c r="AA91" t="e">
        <f ca="1">AVERAGEIFS(INDIRECT($G$3),INDIRECT($G$3),"&gt;=0",Data!$B:$B,$Z91)</f>
        <v>#DIV/0!</v>
      </c>
      <c r="AB91" t="e">
        <f t="shared" ca="1" si="36"/>
        <v>#DIV/0!</v>
      </c>
      <c r="AC91" t="s">
        <v>175</v>
      </c>
      <c r="AD91" t="e">
        <f ca="1">AVERAGEIFS(INDIRECT($H$3),INDIRECT($H$3),"&gt;=0",Data!$B:$B,$AC91)</f>
        <v>#DIV/0!</v>
      </c>
      <c r="AE91" t="e">
        <f t="shared" ca="1" si="37"/>
        <v>#DIV/0!</v>
      </c>
      <c r="AF91" t="s">
        <v>90</v>
      </c>
      <c r="AG91" t="e">
        <f ca="1">AVERAGEIFS(INDIRECT($I$3),INDIRECT($I$3),"&gt;=0",Data!$B:$B,$AF91)</f>
        <v>#DIV/0!</v>
      </c>
      <c r="AH91" t="e">
        <f t="shared" ca="1" si="38"/>
        <v>#DIV/0!</v>
      </c>
      <c r="AI91" t="s">
        <v>128</v>
      </c>
      <c r="AJ91" t="e">
        <f ca="1">AVERAGEIFS(INDIRECT($J$3),INDIRECT($J$3),"&gt;=0",Data!$B:$B,$AI91)</f>
        <v>#DIV/0!</v>
      </c>
      <c r="AK91" t="e">
        <f t="shared" ca="1" si="39"/>
        <v>#DIV/0!</v>
      </c>
      <c r="AL91" t="str">
        <f t="shared" ca="1" si="40"/>
        <v>-</v>
      </c>
      <c r="AM91" t="str">
        <f t="shared" ca="1" si="41"/>
        <v>-</v>
      </c>
      <c r="AN91" t="str">
        <f t="shared" ca="1" si="42"/>
        <v>-</v>
      </c>
      <c r="AO91" t="str">
        <f t="shared" ca="1" si="43"/>
        <v>-</v>
      </c>
      <c r="AP91" t="str">
        <f t="shared" ca="1" si="44"/>
        <v>-</v>
      </c>
      <c r="AQ91" t="str">
        <f t="shared" ca="1" si="45"/>
        <v>-</v>
      </c>
      <c r="AR91" t="str">
        <f t="shared" ca="1" si="46"/>
        <v>-</v>
      </c>
      <c r="AS91" t="str">
        <f t="shared" ca="1" si="47"/>
        <v>-</v>
      </c>
      <c r="AT91" t="str">
        <f t="shared" ca="1" si="48"/>
        <v>-</v>
      </c>
      <c r="AU91">
        <f t="shared" si="60"/>
        <v>83</v>
      </c>
      <c r="AV91" t="s">
        <v>134</v>
      </c>
      <c r="AW91" s="20" t="e">
        <f ca="1">AVERAGEIFS(INDIRECT($B$3),INDIRECT($B$3),"&gt;=0",Data!$B:$B,AV91,IF($A$20,Data!$J:$J,Data!#REF!),IF($A$20,"&lt;&gt;5",1))</f>
        <v>#DIV/0!</v>
      </c>
      <c r="AX91" t="e">
        <f t="shared" ca="1" si="49"/>
        <v>#DIV/0!</v>
      </c>
      <c r="AY91" s="20" t="s">
        <v>57</v>
      </c>
      <c r="AZ91" t="e">
        <f ca="1">AVERAGEIFS(INDIRECT($C$3),INDIRECT($C$3),"&gt;=0",Data!$B:$B,AY91,IF($A$20,Data!$J:$J,Data!#REF!),IF($A$20,"&lt;&gt;5",1))</f>
        <v>#DIV/0!</v>
      </c>
      <c r="BA91" s="20" t="e">
        <f t="shared" ca="1" si="50"/>
        <v>#DIV/0!</v>
      </c>
      <c r="BB91" t="s">
        <v>181</v>
      </c>
      <c r="BC91" s="20" t="e">
        <f ca="1">AVERAGEIFS(INDIRECT($D$3),INDIRECT($D$3),"&gt;=0",Data!$B:$B,BB91,IF($A$20,Data!$J:$J,Data!#REF!),IF($A$20,"&lt;&gt;5",1))</f>
        <v>#DIV/0!</v>
      </c>
      <c r="BD91" t="e">
        <f t="shared" ca="1" si="51"/>
        <v>#DIV/0!</v>
      </c>
      <c r="BE91" s="20" t="s">
        <v>96</v>
      </c>
      <c r="BF91" t="e">
        <f ca="1">AVERAGEIFS(INDIRECT($E$3),INDIRECT($E$3),"&gt;=0",Data!$B:$B,BE91,IF($A$20,Data!$J:$J,Data!#REF!),IF($A$20,"&lt;&gt;5",1))</f>
        <v>#DIV/0!</v>
      </c>
      <c r="BG91" s="20" t="e">
        <f t="shared" ca="1" si="52"/>
        <v>#DIV/0!</v>
      </c>
      <c r="BH91" t="s">
        <v>72</v>
      </c>
      <c r="BI91" s="20" t="e">
        <f ca="1">AVERAGEIFS(INDIRECT($F$3),INDIRECT($F$3),"&gt;=0",Data!$B:$B,BH91,IF($A$20,Data!$J:$J,Data!#REF!),IF($A$20,"&lt;&gt;5",1))</f>
        <v>#DIV/0!</v>
      </c>
      <c r="BJ91" t="e">
        <f t="shared" ca="1" si="53"/>
        <v>#DIV/0!</v>
      </c>
      <c r="BK91" s="20" t="s">
        <v>103</v>
      </c>
      <c r="BL91" t="e">
        <f ca="1">AVERAGEIFS(INDIRECT($G$3),INDIRECT($G$3),"&gt;=0",Data!$B:$B,BK91,IF($A$20,Data!$J:$J,Data!#REF!),IF($A$20,"&lt;&gt;5",1))</f>
        <v>#DIV/0!</v>
      </c>
      <c r="BM91" s="20" t="e">
        <f t="shared" ca="1" si="54"/>
        <v>#DIV/0!</v>
      </c>
      <c r="BN91" t="s">
        <v>166</v>
      </c>
      <c r="BO91">
        <f ca="1">AVERAGEIFS(INDIRECT($H$3),INDIRECT($H$3),"&gt;=0",Data!$B:$B,BN91,IF($A$20,Data!$J:$J,Data!#REF!),IF($A$20,"&lt;&gt;5",1))</f>
        <v>0.94444444444444442</v>
      </c>
      <c r="BP91" t="e">
        <f t="shared" ca="1" si="55"/>
        <v>#DIV/0!</v>
      </c>
      <c r="BQ91" t="s">
        <v>6</v>
      </c>
      <c r="BR91" t="e">
        <f ca="1">AVERAGEIFS(INDIRECT($I$3),INDIRECT($I$3),"&gt;=0",Data!$B:$B,BQ91,IF($A$20,Data!$J:$J,Data!#REF!),IF($A$20,"&lt;&gt;5",1))</f>
        <v>#DIV/0!</v>
      </c>
      <c r="BS91" t="e">
        <f t="shared" ca="1" si="56"/>
        <v>#DIV/0!</v>
      </c>
      <c r="BT91" t="s">
        <v>113</v>
      </c>
      <c r="BU91" t="e">
        <f ca="1">AVERAGEIFS(INDIRECT($J$3),INDIRECT($J$3),"&gt;=0",Data!$B:$B,BT91,IF($A$20,Data!$J:$J,Data!#REF!),IF($A$20,"&lt;&gt;5",1))</f>
        <v>#DIV/0!</v>
      </c>
      <c r="BV91" t="e">
        <f t="shared" ca="1" si="57"/>
        <v>#DIV/0!</v>
      </c>
    </row>
    <row r="92" spans="10:74" x14ac:dyDescent="0.35">
      <c r="J92">
        <f t="shared" si="58"/>
        <v>84</v>
      </c>
      <c r="K92" t="s">
        <v>85</v>
      </c>
      <c r="L92" t="e">
        <f ca="1">AVERAGEIFS(INDIRECT($B$3),INDIRECT($B$3),"&gt;=0",Data!$B:$B,$K92)</f>
        <v>#DIV/0!</v>
      </c>
      <c r="M92" t="e">
        <f t="shared" ca="1" si="59"/>
        <v>#DIV/0!</v>
      </c>
      <c r="N92" t="s">
        <v>167</v>
      </c>
      <c r="O92" t="e">
        <f ca="1">AVERAGEIFS(INDIRECT($C$3),INDIRECT($C$3),"&gt;=0",Data!$B:$B,$N92)</f>
        <v>#DIV/0!</v>
      </c>
      <c r="P92" t="e">
        <f t="shared" ca="1" si="32"/>
        <v>#DIV/0!</v>
      </c>
      <c r="Q92" t="s">
        <v>144</v>
      </c>
      <c r="R92" t="e">
        <f ca="1">AVERAGEIFS(INDIRECT($D$3),INDIRECT($D$3),"&gt;=0",Data!$B:$B,$Q92)</f>
        <v>#DIV/0!</v>
      </c>
      <c r="S92" t="e">
        <f t="shared" ca="1" si="33"/>
        <v>#DIV/0!</v>
      </c>
      <c r="T92" t="s">
        <v>87</v>
      </c>
      <c r="U92" t="e">
        <f ca="1">AVERAGEIFS(INDIRECT($E$3),INDIRECT($E$3),"&gt;=0",Data!$B:$B,$T92)</f>
        <v>#DIV/0!</v>
      </c>
      <c r="V92" t="e">
        <f t="shared" ca="1" si="34"/>
        <v>#DIV/0!</v>
      </c>
      <c r="W92" t="s">
        <v>120</v>
      </c>
      <c r="X92" t="e">
        <f ca="1">AVERAGEIFS(INDIRECT($F$3),INDIRECT($F$3),"&gt;=0",Data!$B:$B,$W92)</f>
        <v>#DIV/0!</v>
      </c>
      <c r="Y92" t="e">
        <f t="shared" ca="1" si="35"/>
        <v>#DIV/0!</v>
      </c>
      <c r="Z92" t="s">
        <v>121</v>
      </c>
      <c r="AA92" t="e">
        <f ca="1">AVERAGEIFS(INDIRECT($G$3),INDIRECT($G$3),"&gt;=0",Data!$B:$B,$Z92)</f>
        <v>#DIV/0!</v>
      </c>
      <c r="AB92" t="e">
        <f t="shared" ca="1" si="36"/>
        <v>#DIV/0!</v>
      </c>
      <c r="AC92" t="s">
        <v>55</v>
      </c>
      <c r="AD92">
        <f ca="1">AVERAGEIFS(INDIRECT($H$3),INDIRECT($H$3),"&gt;=0",Data!$B:$B,$AC92)</f>
        <v>0.94594594594594594</v>
      </c>
      <c r="AE92" t="e">
        <f t="shared" ca="1" si="37"/>
        <v>#DIV/0!</v>
      </c>
      <c r="AF92" t="s">
        <v>122</v>
      </c>
      <c r="AG92" t="e">
        <f ca="1">AVERAGEIFS(INDIRECT($I$3),INDIRECT($I$3),"&gt;=0",Data!$B:$B,$AF92)</f>
        <v>#DIV/0!</v>
      </c>
      <c r="AH92" t="e">
        <f t="shared" ca="1" si="38"/>
        <v>#DIV/0!</v>
      </c>
      <c r="AI92" t="s">
        <v>127</v>
      </c>
      <c r="AJ92" t="e">
        <f ca="1">AVERAGEIFS(INDIRECT($J$3),INDIRECT($J$3),"&gt;=0",Data!$B:$B,$AI92)</f>
        <v>#DIV/0!</v>
      </c>
      <c r="AK92" t="e">
        <f t="shared" ca="1" si="39"/>
        <v>#DIV/0!</v>
      </c>
      <c r="AL92" t="str">
        <f t="shared" ca="1" si="40"/>
        <v>-</v>
      </c>
      <c r="AM92" t="str">
        <f t="shared" ca="1" si="41"/>
        <v>-</v>
      </c>
      <c r="AN92" t="str">
        <f t="shared" ca="1" si="42"/>
        <v>-</v>
      </c>
      <c r="AO92" t="str">
        <f t="shared" ca="1" si="43"/>
        <v>-</v>
      </c>
      <c r="AP92" t="str">
        <f t="shared" ca="1" si="44"/>
        <v>-</v>
      </c>
      <c r="AQ92" t="str">
        <f t="shared" ca="1" si="45"/>
        <v>-</v>
      </c>
      <c r="AR92" t="str">
        <f t="shared" ca="1" si="46"/>
        <v>-</v>
      </c>
      <c r="AS92" t="str">
        <f t="shared" ca="1" si="47"/>
        <v>-</v>
      </c>
      <c r="AT92" t="str">
        <f t="shared" ca="1" si="48"/>
        <v>-</v>
      </c>
      <c r="AU92">
        <f t="shared" si="60"/>
        <v>84</v>
      </c>
      <c r="AV92" t="s">
        <v>90</v>
      </c>
      <c r="AW92" s="20" t="e">
        <f ca="1">AVERAGEIFS(INDIRECT($B$3),INDIRECT($B$3),"&gt;=0",Data!$B:$B,AV92,IF($A$20,Data!$J:$J,Data!#REF!),IF($A$20,"&lt;&gt;5",1))</f>
        <v>#DIV/0!</v>
      </c>
      <c r="AX92" t="e">
        <f t="shared" ca="1" si="49"/>
        <v>#DIV/0!</v>
      </c>
      <c r="AY92" s="20" t="s">
        <v>16</v>
      </c>
      <c r="AZ92" t="e">
        <f ca="1">AVERAGEIFS(INDIRECT($C$3),INDIRECT($C$3),"&gt;=0",Data!$B:$B,AY92,IF($A$20,Data!$J:$J,Data!#REF!),IF($A$20,"&lt;&gt;5",1))</f>
        <v>#DIV/0!</v>
      </c>
      <c r="BA92" s="20" t="e">
        <f t="shared" ca="1" si="50"/>
        <v>#DIV/0!</v>
      </c>
      <c r="BB92" t="s">
        <v>34</v>
      </c>
      <c r="BC92" s="20" t="e">
        <f ca="1">AVERAGEIFS(INDIRECT($D$3),INDIRECT($D$3),"&gt;=0",Data!$B:$B,BB92,IF($A$20,Data!$J:$J,Data!#REF!),IF($A$20,"&lt;&gt;5",1))</f>
        <v>#DIV/0!</v>
      </c>
      <c r="BD92" t="e">
        <f t="shared" ca="1" si="51"/>
        <v>#DIV/0!</v>
      </c>
      <c r="BE92" s="20" t="s">
        <v>154</v>
      </c>
      <c r="BF92" t="e">
        <f ca="1">AVERAGEIFS(INDIRECT($E$3),INDIRECT($E$3),"&gt;=0",Data!$B:$B,BE92,IF($A$20,Data!$J:$J,Data!#REF!),IF($A$20,"&lt;&gt;5",1))</f>
        <v>#DIV/0!</v>
      </c>
      <c r="BG92" s="20" t="e">
        <f t="shared" ca="1" si="52"/>
        <v>#DIV/0!</v>
      </c>
      <c r="BH92" t="s">
        <v>63</v>
      </c>
      <c r="BI92" s="20" t="e">
        <f ca="1">AVERAGEIFS(INDIRECT($F$3),INDIRECT($F$3),"&gt;=0",Data!$B:$B,BH92,IF($A$20,Data!$J:$J,Data!#REF!),IF($A$20,"&lt;&gt;5",1))</f>
        <v>#DIV/0!</v>
      </c>
      <c r="BJ92" t="e">
        <f t="shared" ca="1" si="53"/>
        <v>#DIV/0!</v>
      </c>
      <c r="BK92" s="20" t="s">
        <v>138</v>
      </c>
      <c r="BL92" t="e">
        <f ca="1">AVERAGEIFS(INDIRECT($G$3),INDIRECT($G$3),"&gt;=0",Data!$B:$B,BK92,IF($A$20,Data!$J:$J,Data!#REF!),IF($A$20,"&lt;&gt;5",1))</f>
        <v>#DIV/0!</v>
      </c>
      <c r="BM92" s="20" t="e">
        <f t="shared" ca="1" si="54"/>
        <v>#DIV/0!</v>
      </c>
      <c r="BN92" t="s">
        <v>103</v>
      </c>
      <c r="BO92" t="e">
        <f ca="1">AVERAGEIFS(INDIRECT($H$3),INDIRECT($H$3),"&gt;=0",Data!$B:$B,BN92,IF($A$20,Data!$J:$J,Data!#REF!),IF($A$20,"&lt;&gt;5",1))</f>
        <v>#DIV/0!</v>
      </c>
      <c r="BP92" t="e">
        <f t="shared" ca="1" si="55"/>
        <v>#DIV/0!</v>
      </c>
      <c r="BQ92" t="s">
        <v>72</v>
      </c>
      <c r="BR92" t="e">
        <f ca="1">AVERAGEIFS(INDIRECT($I$3),INDIRECT($I$3),"&gt;=0",Data!$B:$B,BQ92,IF($A$20,Data!$J:$J,Data!#REF!),IF($A$20,"&lt;&gt;5",1))</f>
        <v>#DIV/0!</v>
      </c>
      <c r="BS92" t="e">
        <f t="shared" ca="1" si="56"/>
        <v>#DIV/0!</v>
      </c>
      <c r="BT92" t="s">
        <v>109</v>
      </c>
      <c r="BU92" t="e">
        <f ca="1">AVERAGEIFS(INDIRECT($J$3),INDIRECT($J$3),"&gt;=0",Data!$B:$B,BT92,IF($A$20,Data!$J:$J,Data!#REF!),IF($A$20,"&lt;&gt;5",1))</f>
        <v>#DIV/0!</v>
      </c>
      <c r="BV92" t="e">
        <f t="shared" ca="1" si="57"/>
        <v>#DIV/0!</v>
      </c>
    </row>
    <row r="93" spans="10:74" x14ac:dyDescent="0.35">
      <c r="J93">
        <f t="shared" si="58"/>
        <v>85</v>
      </c>
      <c r="K93" t="s">
        <v>96</v>
      </c>
      <c r="L93" t="e">
        <f ca="1">AVERAGEIFS(INDIRECT($B$3),INDIRECT($B$3),"&gt;=0",Data!$B:$B,$K93)</f>
        <v>#DIV/0!</v>
      </c>
      <c r="M93" t="e">
        <f t="shared" ca="1" si="59"/>
        <v>#DIV/0!</v>
      </c>
      <c r="N93" t="s">
        <v>57</v>
      </c>
      <c r="O93" t="e">
        <f ca="1">AVERAGEIFS(INDIRECT($C$3),INDIRECT($C$3),"&gt;=0",Data!$B:$B,$N93)</f>
        <v>#DIV/0!</v>
      </c>
      <c r="P93" t="e">
        <f t="shared" ca="1" si="32"/>
        <v>#DIV/0!</v>
      </c>
      <c r="Q93" t="s">
        <v>165</v>
      </c>
      <c r="R93" t="e">
        <f ca="1">AVERAGEIFS(INDIRECT($D$3),INDIRECT($D$3),"&gt;=0",Data!$B:$B,$Q93)</f>
        <v>#DIV/0!</v>
      </c>
      <c r="S93" t="e">
        <f t="shared" ca="1" si="33"/>
        <v>#DIV/0!</v>
      </c>
      <c r="T93" t="s">
        <v>41</v>
      </c>
      <c r="U93" t="e">
        <f ca="1">AVERAGEIFS(INDIRECT($E$3),INDIRECT($E$3),"&gt;=0",Data!$B:$B,$T93)</f>
        <v>#DIV/0!</v>
      </c>
      <c r="V93" t="e">
        <f t="shared" ca="1" si="34"/>
        <v>#DIV/0!</v>
      </c>
      <c r="W93" t="s">
        <v>14</v>
      </c>
      <c r="X93">
        <f ca="1">AVERAGEIFS(INDIRECT($F$3),INDIRECT($F$3),"&gt;=0",Data!$B:$B,$W93)</f>
        <v>0</v>
      </c>
      <c r="Y93" t="e">
        <f t="shared" ca="1" si="35"/>
        <v>#DIV/0!</v>
      </c>
      <c r="Z93" t="s">
        <v>146</v>
      </c>
      <c r="AA93" t="e">
        <f ca="1">AVERAGEIFS(INDIRECT($G$3),INDIRECT($G$3),"&gt;=0",Data!$B:$B,$Z93)</f>
        <v>#DIV/0!</v>
      </c>
      <c r="AB93" t="e">
        <f t="shared" ca="1" si="36"/>
        <v>#DIV/0!</v>
      </c>
      <c r="AC93" t="s">
        <v>166</v>
      </c>
      <c r="AD93">
        <f ca="1">AVERAGEIFS(INDIRECT($H$3),INDIRECT($H$3),"&gt;=0",Data!$B:$B,$AC93)</f>
        <v>0.94444444444444442</v>
      </c>
      <c r="AE93">
        <f t="shared" ca="1" si="37"/>
        <v>85</v>
      </c>
      <c r="AF93" t="s">
        <v>130</v>
      </c>
      <c r="AG93" t="e">
        <f ca="1">AVERAGEIFS(INDIRECT($I$3),INDIRECT($I$3),"&gt;=0",Data!$B:$B,$AF93)</f>
        <v>#DIV/0!</v>
      </c>
      <c r="AH93" t="e">
        <f t="shared" ca="1" si="38"/>
        <v>#DIV/0!</v>
      </c>
      <c r="AI93" t="s">
        <v>113</v>
      </c>
      <c r="AJ93" t="e">
        <f ca="1">AVERAGEIFS(INDIRECT($J$3),INDIRECT($J$3),"&gt;=0",Data!$B:$B,$AI93)</f>
        <v>#DIV/0!</v>
      </c>
      <c r="AK93" t="e">
        <f t="shared" ca="1" si="39"/>
        <v>#DIV/0!</v>
      </c>
      <c r="AL93" t="str">
        <f t="shared" ca="1" si="40"/>
        <v>-</v>
      </c>
      <c r="AM93" t="str">
        <f t="shared" ca="1" si="41"/>
        <v>-</v>
      </c>
      <c r="AN93" t="str">
        <f t="shared" ca="1" si="42"/>
        <v>-</v>
      </c>
      <c r="AO93" t="str">
        <f t="shared" ca="1" si="43"/>
        <v>-</v>
      </c>
      <c r="AP93" t="str">
        <f t="shared" ca="1" si="44"/>
        <v>-</v>
      </c>
      <c r="AQ93" t="str">
        <f t="shared" ca="1" si="45"/>
        <v>-</v>
      </c>
      <c r="AR93" t="str">
        <f t="shared" ca="1" si="46"/>
        <v>-</v>
      </c>
      <c r="AS93" t="str">
        <f t="shared" ca="1" si="47"/>
        <v>-</v>
      </c>
      <c r="AT93" t="str">
        <f t="shared" ca="1" si="48"/>
        <v>-</v>
      </c>
      <c r="AU93">
        <f t="shared" si="60"/>
        <v>85</v>
      </c>
      <c r="AV93" t="s">
        <v>112</v>
      </c>
      <c r="AW93" s="20" t="e">
        <f ca="1">AVERAGEIFS(INDIRECT($B$3),INDIRECT($B$3),"&gt;=0",Data!$B:$B,AV93,IF($A$20,Data!$J:$J,Data!#REF!),IF($A$20,"&lt;&gt;5",1))</f>
        <v>#DIV/0!</v>
      </c>
      <c r="AX93" t="e">
        <f t="shared" ca="1" si="49"/>
        <v>#DIV/0!</v>
      </c>
      <c r="AY93" s="20" t="s">
        <v>96</v>
      </c>
      <c r="AZ93" t="e">
        <f ca="1">AVERAGEIFS(INDIRECT($C$3),INDIRECT($C$3),"&gt;=0",Data!$B:$B,AY93,IF($A$20,Data!$J:$J,Data!#REF!),IF($A$20,"&lt;&gt;5",1))</f>
        <v>#DIV/0!</v>
      </c>
      <c r="BA93" s="20" t="e">
        <f t="shared" ca="1" si="50"/>
        <v>#DIV/0!</v>
      </c>
      <c r="BB93" t="s">
        <v>57</v>
      </c>
      <c r="BC93" s="20" t="e">
        <f ca="1">AVERAGEIFS(INDIRECT($D$3),INDIRECT($D$3),"&gt;=0",Data!$B:$B,BB93,IF($A$20,Data!$J:$J,Data!#REF!),IF($A$20,"&lt;&gt;5",1))</f>
        <v>#DIV/0!</v>
      </c>
      <c r="BD93" t="e">
        <f t="shared" ca="1" si="51"/>
        <v>#DIV/0!</v>
      </c>
      <c r="BE93" s="20" t="s">
        <v>12</v>
      </c>
      <c r="BF93" t="e">
        <f ca="1">AVERAGEIFS(INDIRECT($E$3),INDIRECT($E$3),"&gt;=0",Data!$B:$B,BE93,IF($A$20,Data!$J:$J,Data!#REF!),IF($A$20,"&lt;&gt;5",1))</f>
        <v>#DIV/0!</v>
      </c>
      <c r="BG93" s="20" t="e">
        <f t="shared" ca="1" si="52"/>
        <v>#DIV/0!</v>
      </c>
      <c r="BH93" t="s">
        <v>41</v>
      </c>
      <c r="BI93" s="20">
        <f ca="1">AVERAGEIFS(INDIRECT($F$3),INDIRECT($F$3),"&gt;=0",Data!$B:$B,BH93,IF($A$20,Data!$J:$J,Data!#REF!),IF($A$20,"&lt;&gt;5",1))</f>
        <v>1</v>
      </c>
      <c r="BJ93" t="e">
        <f t="shared" ca="1" si="53"/>
        <v>#DIV/0!</v>
      </c>
      <c r="BK93" s="20" t="s">
        <v>70</v>
      </c>
      <c r="BL93">
        <f ca="1">AVERAGEIFS(INDIRECT($G$3),INDIRECT($G$3),"&gt;=0",Data!$B:$B,BK93,IF($A$20,Data!$J:$J,Data!#REF!),IF($A$20,"&lt;&gt;5",1))</f>
        <v>0.7</v>
      </c>
      <c r="BM93" s="20" t="e">
        <f t="shared" ca="1" si="54"/>
        <v>#DIV/0!</v>
      </c>
      <c r="BN93" t="s">
        <v>55</v>
      </c>
      <c r="BO93">
        <f ca="1">AVERAGEIFS(INDIRECT($H$3),INDIRECT($H$3),"&gt;=0",Data!$B:$B,BN93,IF($A$20,Data!$J:$J,Data!#REF!),IF($A$20,"&lt;&gt;5",1))</f>
        <v>1</v>
      </c>
      <c r="BP93" t="e">
        <f t="shared" ca="1" si="55"/>
        <v>#DIV/0!</v>
      </c>
      <c r="BQ93" t="s">
        <v>34</v>
      </c>
      <c r="BR93">
        <f ca="1">AVERAGEIFS(INDIRECT($I$3),INDIRECT($I$3),"&gt;=0",Data!$B:$B,BQ93,IF($A$20,Data!$J:$J,Data!#REF!),IF($A$20,"&lt;&gt;5",1))</f>
        <v>0.6470588235294118</v>
      </c>
      <c r="BS93" t="e">
        <f t="shared" ca="1" si="56"/>
        <v>#DIV/0!</v>
      </c>
      <c r="BT93" t="s">
        <v>107</v>
      </c>
      <c r="BU93">
        <f ca="1">AVERAGEIFS(INDIRECT($J$3),INDIRECT($J$3),"&gt;=0",Data!$B:$B,BT93,IF($A$20,Data!$J:$J,Data!#REF!),IF($A$20,"&lt;&gt;5",1))</f>
        <v>0.66666666666666663</v>
      </c>
      <c r="BV93" t="e">
        <f t="shared" ca="1" si="57"/>
        <v>#DIV/0!</v>
      </c>
    </row>
    <row r="94" spans="10:74" x14ac:dyDescent="0.35">
      <c r="J94">
        <f t="shared" si="58"/>
        <v>86</v>
      </c>
      <c r="K94" t="s">
        <v>151</v>
      </c>
      <c r="L94" t="e">
        <f ca="1">AVERAGEIFS(INDIRECT($B$3),INDIRECT($B$3),"&gt;=0",Data!$B:$B,$K94)</f>
        <v>#DIV/0!</v>
      </c>
      <c r="M94" t="e">
        <f t="shared" ca="1" si="59"/>
        <v>#DIV/0!</v>
      </c>
      <c r="N94" t="s">
        <v>16</v>
      </c>
      <c r="O94" t="e">
        <f ca="1">AVERAGEIFS(INDIRECT($C$3),INDIRECT($C$3),"&gt;=0",Data!$B:$B,$N94)</f>
        <v>#DIV/0!</v>
      </c>
      <c r="P94" t="e">
        <f t="shared" ca="1" si="32"/>
        <v>#DIV/0!</v>
      </c>
      <c r="Q94" t="s">
        <v>82</v>
      </c>
      <c r="R94" t="e">
        <f ca="1">AVERAGEIFS(INDIRECT($D$3),INDIRECT($D$3),"&gt;=0",Data!$B:$B,$Q94)</f>
        <v>#DIV/0!</v>
      </c>
      <c r="S94" t="e">
        <f t="shared" ca="1" si="33"/>
        <v>#DIV/0!</v>
      </c>
      <c r="T94" t="s">
        <v>48</v>
      </c>
      <c r="U94" t="e">
        <f ca="1">AVERAGEIFS(INDIRECT($E$3),INDIRECT($E$3),"&gt;=0",Data!$B:$B,$T94)</f>
        <v>#DIV/0!</v>
      </c>
      <c r="V94" t="e">
        <f t="shared" ca="1" si="34"/>
        <v>#DIV/0!</v>
      </c>
      <c r="W94" t="s">
        <v>40</v>
      </c>
      <c r="X94" t="e">
        <f ca="1">AVERAGEIFS(INDIRECT($F$3),INDIRECT($F$3),"&gt;=0",Data!$B:$B,$W94)</f>
        <v>#DIV/0!</v>
      </c>
      <c r="Y94" t="e">
        <f t="shared" ca="1" si="35"/>
        <v>#DIV/0!</v>
      </c>
      <c r="Z94" t="s">
        <v>171</v>
      </c>
      <c r="AA94" t="e">
        <f ca="1">AVERAGEIFS(INDIRECT($G$3),INDIRECT($G$3),"&gt;=0",Data!$B:$B,$Z94)</f>
        <v>#DIV/0!</v>
      </c>
      <c r="AB94" t="e">
        <f t="shared" ca="1" si="36"/>
        <v>#DIV/0!</v>
      </c>
      <c r="AC94" t="s">
        <v>46</v>
      </c>
      <c r="AD94" t="e">
        <f ca="1">AVERAGEIFS(INDIRECT($H$3),INDIRECT($H$3),"&gt;=0",Data!$B:$B,$AC94)</f>
        <v>#DIV/0!</v>
      </c>
      <c r="AE94" t="e">
        <f t="shared" ca="1" si="37"/>
        <v>#DIV/0!</v>
      </c>
      <c r="AF94" t="s">
        <v>138</v>
      </c>
      <c r="AG94" t="e">
        <f ca="1">AVERAGEIFS(INDIRECT($I$3),INDIRECT($I$3),"&gt;=0",Data!$B:$B,$AF94)</f>
        <v>#DIV/0!</v>
      </c>
      <c r="AH94" t="e">
        <f t="shared" ca="1" si="38"/>
        <v>#DIV/0!</v>
      </c>
      <c r="AI94" t="s">
        <v>109</v>
      </c>
      <c r="AJ94" t="e">
        <f ca="1">AVERAGEIFS(INDIRECT($J$3),INDIRECT($J$3),"&gt;=0",Data!$B:$B,$AI94)</f>
        <v>#DIV/0!</v>
      </c>
      <c r="AK94" t="e">
        <f t="shared" ca="1" si="39"/>
        <v>#DIV/0!</v>
      </c>
      <c r="AL94" t="str">
        <f t="shared" ca="1" si="40"/>
        <v>-</v>
      </c>
      <c r="AM94" t="str">
        <f t="shared" ca="1" si="41"/>
        <v>-</v>
      </c>
      <c r="AN94" t="str">
        <f t="shared" ca="1" si="42"/>
        <v>-</v>
      </c>
      <c r="AO94" t="str">
        <f t="shared" ca="1" si="43"/>
        <v>-</v>
      </c>
      <c r="AP94" t="str">
        <f t="shared" ca="1" si="44"/>
        <v>-</v>
      </c>
      <c r="AQ94" t="str">
        <f t="shared" ca="1" si="45"/>
        <v>-</v>
      </c>
      <c r="AR94" t="str">
        <f t="shared" ca="1" si="46"/>
        <v>-</v>
      </c>
      <c r="AS94" t="str">
        <f t="shared" ca="1" si="47"/>
        <v>-</v>
      </c>
      <c r="AT94" t="str">
        <f t="shared" ca="1" si="48"/>
        <v>-</v>
      </c>
      <c r="AU94">
        <f t="shared" si="60"/>
        <v>86</v>
      </c>
      <c r="AV94" t="s">
        <v>141</v>
      </c>
      <c r="AW94" s="20" t="e">
        <f ca="1">AVERAGEIFS(INDIRECT($B$3),INDIRECT($B$3),"&gt;=0",Data!$B:$B,AV94,IF($A$20,Data!$J:$J,Data!#REF!),IF($A$20,"&lt;&gt;5",1))</f>
        <v>#DIV/0!</v>
      </c>
      <c r="AX94" t="e">
        <f t="shared" ca="1" si="49"/>
        <v>#DIV/0!</v>
      </c>
      <c r="AY94" s="20" t="s">
        <v>151</v>
      </c>
      <c r="AZ94" t="e">
        <f ca="1">AVERAGEIFS(INDIRECT($C$3),INDIRECT($C$3),"&gt;=0",Data!$B:$B,AY94,IF($A$20,Data!$J:$J,Data!#REF!),IF($A$20,"&lt;&gt;5",1))</f>
        <v>#DIV/0!</v>
      </c>
      <c r="BA94" s="20" t="e">
        <f t="shared" ca="1" si="50"/>
        <v>#DIV/0!</v>
      </c>
      <c r="BB94" t="s">
        <v>161</v>
      </c>
      <c r="BC94" s="20" t="e">
        <f ca="1">AVERAGEIFS(INDIRECT($D$3),INDIRECT($D$3),"&gt;=0",Data!$B:$B,BB94,IF($A$20,Data!$J:$J,Data!#REF!),IF($A$20,"&lt;&gt;5",1))</f>
        <v>#DIV/0!</v>
      </c>
      <c r="BD94" t="e">
        <f t="shared" ca="1" si="51"/>
        <v>#DIV/0!</v>
      </c>
      <c r="BE94" s="20" t="s">
        <v>40</v>
      </c>
      <c r="BF94" t="e">
        <f ca="1">AVERAGEIFS(INDIRECT($E$3),INDIRECT($E$3),"&gt;=0",Data!$B:$B,BE94,IF($A$20,Data!$J:$J,Data!#REF!),IF($A$20,"&lt;&gt;5",1))</f>
        <v>#DIV/0!</v>
      </c>
      <c r="BG94" s="20" t="e">
        <f t="shared" ca="1" si="52"/>
        <v>#DIV/0!</v>
      </c>
      <c r="BH94" t="s">
        <v>121</v>
      </c>
      <c r="BI94" s="20" t="e">
        <f ca="1">AVERAGEIFS(INDIRECT($F$3),INDIRECT($F$3),"&gt;=0",Data!$B:$B,BH94,IF($A$20,Data!$J:$J,Data!#REF!),IF($A$20,"&lt;&gt;5",1))</f>
        <v>#DIV/0!</v>
      </c>
      <c r="BJ94" t="e">
        <f t="shared" ca="1" si="53"/>
        <v>#DIV/0!</v>
      </c>
      <c r="BK94" s="20" t="s">
        <v>97</v>
      </c>
      <c r="BL94">
        <f ca="1">AVERAGEIFS(INDIRECT($G$3),INDIRECT($G$3),"&gt;=0",Data!$B:$B,BK94,IF($A$20,Data!$J:$J,Data!#REF!),IF($A$20,"&lt;&gt;5",1))</f>
        <v>0.90476190476190477</v>
      </c>
      <c r="BM94" s="20">
        <f t="shared" ca="1" si="54"/>
        <v>86</v>
      </c>
      <c r="BN94" t="s">
        <v>92</v>
      </c>
      <c r="BO94" t="e">
        <f ca="1">AVERAGEIFS(INDIRECT($H$3),INDIRECT($H$3),"&gt;=0",Data!$B:$B,BN94,IF($A$20,Data!$J:$J,Data!#REF!),IF($A$20,"&lt;&gt;5",1))</f>
        <v>#DIV/0!</v>
      </c>
      <c r="BP94" t="e">
        <f t="shared" ca="1" si="55"/>
        <v>#DIV/0!</v>
      </c>
      <c r="BQ94" t="s">
        <v>115</v>
      </c>
      <c r="BR94">
        <f ca="1">AVERAGEIFS(INDIRECT($I$3),INDIRECT($I$3),"&gt;=0",Data!$B:$B,BQ94,IF($A$20,Data!$J:$J,Data!#REF!),IF($A$20,"&lt;&gt;5",1))</f>
        <v>0.81818181818181823</v>
      </c>
      <c r="BS94">
        <f t="shared" ca="1" si="56"/>
        <v>86</v>
      </c>
      <c r="BT94" t="s">
        <v>106</v>
      </c>
      <c r="BU94">
        <f ca="1">AVERAGEIFS(INDIRECT($J$3),INDIRECT($J$3),"&gt;=0",Data!$B:$B,BT94,IF($A$20,Data!$J:$J,Data!#REF!),IF($A$20,"&lt;&gt;5",1))</f>
        <v>0.4375</v>
      </c>
      <c r="BV94">
        <f t="shared" ca="1" si="57"/>
        <v>86</v>
      </c>
    </row>
    <row r="95" spans="10:74" x14ac:dyDescent="0.35">
      <c r="J95">
        <f t="shared" si="58"/>
        <v>87</v>
      </c>
      <c r="K95" t="s">
        <v>32</v>
      </c>
      <c r="L95" t="e">
        <f ca="1">AVERAGEIFS(INDIRECT($B$3),INDIRECT($B$3),"&gt;=0",Data!$B:$B,$K95)</f>
        <v>#DIV/0!</v>
      </c>
      <c r="M95" t="e">
        <f t="shared" ca="1" si="59"/>
        <v>#DIV/0!</v>
      </c>
      <c r="N95" t="s">
        <v>96</v>
      </c>
      <c r="O95" t="e">
        <f ca="1">AVERAGEIFS(INDIRECT($C$3),INDIRECT($C$3),"&gt;=0",Data!$B:$B,$N95)</f>
        <v>#DIV/0!</v>
      </c>
      <c r="P95" t="e">
        <f t="shared" ca="1" si="32"/>
        <v>#DIV/0!</v>
      </c>
      <c r="Q95" t="s">
        <v>76</v>
      </c>
      <c r="R95" t="e">
        <f ca="1">AVERAGEIFS(INDIRECT($D$3),INDIRECT($D$3),"&gt;=0",Data!$B:$B,$Q95)</f>
        <v>#DIV/0!</v>
      </c>
      <c r="S95" t="e">
        <f t="shared" ca="1" si="33"/>
        <v>#DIV/0!</v>
      </c>
      <c r="T95" t="s">
        <v>128</v>
      </c>
      <c r="U95" t="e">
        <f ca="1">AVERAGEIFS(INDIRECT($E$3),INDIRECT($E$3),"&gt;=0",Data!$B:$B,$T95)</f>
        <v>#DIV/0!</v>
      </c>
      <c r="V95" t="e">
        <f t="shared" ca="1" si="34"/>
        <v>#DIV/0!</v>
      </c>
      <c r="W95" t="s">
        <v>46</v>
      </c>
      <c r="X95" t="e">
        <f ca="1">AVERAGEIFS(INDIRECT($F$3),INDIRECT($F$3),"&gt;=0",Data!$B:$B,$W95)</f>
        <v>#DIV/0!</v>
      </c>
      <c r="Y95" t="e">
        <f t="shared" ca="1" si="35"/>
        <v>#DIV/0!</v>
      </c>
      <c r="Z95" t="s">
        <v>58</v>
      </c>
      <c r="AA95">
        <f ca="1">AVERAGEIFS(INDIRECT($G$3),INDIRECT($G$3),"&gt;=0",Data!$B:$B,$Z95)</f>
        <v>0.8666666666666667</v>
      </c>
      <c r="AB95" t="e">
        <f t="shared" ca="1" si="36"/>
        <v>#DIV/0!</v>
      </c>
      <c r="AC95" t="s">
        <v>92</v>
      </c>
      <c r="AD95" t="e">
        <f ca="1">AVERAGEIFS(INDIRECT($H$3),INDIRECT($H$3),"&gt;=0",Data!$B:$B,$AC95)</f>
        <v>#DIV/0!</v>
      </c>
      <c r="AE95" t="e">
        <f t="shared" ca="1" si="37"/>
        <v>#DIV/0!</v>
      </c>
      <c r="AF95" t="s">
        <v>164</v>
      </c>
      <c r="AG95" t="e">
        <f ca="1">AVERAGEIFS(INDIRECT($I$3),INDIRECT($I$3),"&gt;=0",Data!$B:$B,$AF95)</f>
        <v>#DIV/0!</v>
      </c>
      <c r="AH95" t="e">
        <f t="shared" ca="1" si="38"/>
        <v>#DIV/0!</v>
      </c>
      <c r="AI95" t="s">
        <v>107</v>
      </c>
      <c r="AJ95">
        <f ca="1">AVERAGEIFS(INDIRECT($J$3),INDIRECT($J$3),"&gt;=0",Data!$B:$B,$AI95)</f>
        <v>0.625</v>
      </c>
      <c r="AK95" t="e">
        <f t="shared" ca="1" si="39"/>
        <v>#DIV/0!</v>
      </c>
      <c r="AL95" t="str">
        <f t="shared" ca="1" si="40"/>
        <v>-</v>
      </c>
      <c r="AM95" t="str">
        <f t="shared" ca="1" si="41"/>
        <v>-</v>
      </c>
      <c r="AN95" t="str">
        <f t="shared" ca="1" si="42"/>
        <v>-</v>
      </c>
      <c r="AO95" t="str">
        <f t="shared" ca="1" si="43"/>
        <v>-</v>
      </c>
      <c r="AP95" t="str">
        <f t="shared" ca="1" si="44"/>
        <v>-</v>
      </c>
      <c r="AQ95" t="str">
        <f t="shared" ca="1" si="45"/>
        <v>-</v>
      </c>
      <c r="AR95" t="str">
        <f t="shared" ca="1" si="46"/>
        <v>-</v>
      </c>
      <c r="AS95" t="str">
        <f t="shared" ca="1" si="47"/>
        <v>-</v>
      </c>
      <c r="AT95" t="str">
        <f t="shared" ca="1" si="48"/>
        <v>-</v>
      </c>
      <c r="AU95">
        <f t="shared" si="60"/>
        <v>87</v>
      </c>
      <c r="AV95" t="s">
        <v>128</v>
      </c>
      <c r="AW95" s="20" t="e">
        <f ca="1">AVERAGEIFS(INDIRECT($B$3),INDIRECT($B$3),"&gt;=0",Data!$B:$B,AV95,IF($A$20,Data!$J:$J,Data!#REF!),IF($A$20,"&lt;&gt;5",1))</f>
        <v>#DIV/0!</v>
      </c>
      <c r="AX95" t="e">
        <f t="shared" ca="1" si="49"/>
        <v>#DIV/0!</v>
      </c>
      <c r="AY95" s="20" t="s">
        <v>18</v>
      </c>
      <c r="AZ95" t="e">
        <f ca="1">AVERAGEIFS(INDIRECT($C$3),INDIRECT($C$3),"&gt;=0",Data!$B:$B,AY95,IF($A$20,Data!$J:$J,Data!#REF!),IF($A$20,"&lt;&gt;5",1))</f>
        <v>#DIV/0!</v>
      </c>
      <c r="BA95" s="20" t="e">
        <f t="shared" ca="1" si="50"/>
        <v>#DIV/0!</v>
      </c>
      <c r="BB95" t="s">
        <v>139</v>
      </c>
      <c r="BC95" s="20" t="e">
        <f ca="1">AVERAGEIFS(INDIRECT($D$3),INDIRECT($D$3),"&gt;=0",Data!$B:$B,BB95,IF($A$20,Data!$J:$J,Data!#REF!),IF($A$20,"&lt;&gt;5",1))</f>
        <v>#DIV/0!</v>
      </c>
      <c r="BD95" t="e">
        <f t="shared" ca="1" si="51"/>
        <v>#DIV/0!</v>
      </c>
      <c r="BE95" s="20" t="s">
        <v>64</v>
      </c>
      <c r="BF95" t="e">
        <f ca="1">AVERAGEIFS(INDIRECT($E$3),INDIRECT($E$3),"&gt;=0",Data!$B:$B,BE95,IF($A$20,Data!$J:$J,Data!#REF!),IF($A$20,"&lt;&gt;5",1))</f>
        <v>#DIV/0!</v>
      </c>
      <c r="BG95" s="20" t="e">
        <f t="shared" ca="1" si="52"/>
        <v>#DIV/0!</v>
      </c>
      <c r="BH95" t="s">
        <v>28</v>
      </c>
      <c r="BI95" s="20" t="e">
        <f ca="1">AVERAGEIFS(INDIRECT($F$3),INDIRECT($F$3),"&gt;=0",Data!$B:$B,BH95,IF($A$20,Data!$J:$J,Data!#REF!),IF($A$20,"&lt;&gt;5",1))</f>
        <v>#DIV/0!</v>
      </c>
      <c r="BJ95" t="e">
        <f t="shared" ca="1" si="53"/>
        <v>#DIV/0!</v>
      </c>
      <c r="BK95" s="20" t="s">
        <v>81</v>
      </c>
      <c r="BL95" t="e">
        <f ca="1">AVERAGEIFS(INDIRECT($G$3),INDIRECT($G$3),"&gt;=0",Data!$B:$B,BK95,IF($A$20,Data!$J:$J,Data!#REF!),IF($A$20,"&lt;&gt;5",1))</f>
        <v>#DIV/0!</v>
      </c>
      <c r="BM95" s="20" t="e">
        <f t="shared" ca="1" si="54"/>
        <v>#DIV/0!</v>
      </c>
      <c r="BN95" t="s">
        <v>46</v>
      </c>
      <c r="BO95" t="e">
        <f ca="1">AVERAGEIFS(INDIRECT($H$3),INDIRECT($H$3),"&gt;=0",Data!$B:$B,BN95,IF($A$20,Data!$J:$J,Data!#REF!),IF($A$20,"&lt;&gt;5",1))</f>
        <v>#DIV/0!</v>
      </c>
      <c r="BP95" t="e">
        <f t="shared" ca="1" si="55"/>
        <v>#DIV/0!</v>
      </c>
      <c r="BQ95" t="s">
        <v>166</v>
      </c>
      <c r="BR95">
        <f ca="1">AVERAGEIFS(INDIRECT($I$3),INDIRECT($I$3),"&gt;=0",Data!$B:$B,BQ95,IF($A$20,Data!$J:$J,Data!#REF!),IF($A$20,"&lt;&gt;5",1))</f>
        <v>0.52941176470588236</v>
      </c>
      <c r="BS95">
        <f t="shared" ca="1" si="56"/>
        <v>87</v>
      </c>
      <c r="BT95" t="s">
        <v>105</v>
      </c>
      <c r="BU95" t="e">
        <f ca="1">AVERAGEIFS(INDIRECT($J$3),INDIRECT($J$3),"&gt;=0",Data!$B:$B,BT95,IF($A$20,Data!$J:$J,Data!#REF!),IF($A$20,"&lt;&gt;5",1))</f>
        <v>#DIV/0!</v>
      </c>
      <c r="BV95" t="e">
        <f t="shared" ca="1" si="57"/>
        <v>#DIV/0!</v>
      </c>
    </row>
    <row r="96" spans="10:74" x14ac:dyDescent="0.35">
      <c r="J96">
        <f t="shared" si="58"/>
        <v>88</v>
      </c>
      <c r="K96" t="s">
        <v>41</v>
      </c>
      <c r="L96" t="e">
        <f ca="1">AVERAGEIFS(INDIRECT($B$3),INDIRECT($B$3),"&gt;=0",Data!$B:$B,$K96)</f>
        <v>#DIV/0!</v>
      </c>
      <c r="M96" t="e">
        <f t="shared" ca="1" si="59"/>
        <v>#DIV/0!</v>
      </c>
      <c r="N96" t="s">
        <v>151</v>
      </c>
      <c r="O96" t="e">
        <f ca="1">AVERAGEIFS(INDIRECT($C$3),INDIRECT($C$3),"&gt;=0",Data!$B:$B,$N96)</f>
        <v>#DIV/0!</v>
      </c>
      <c r="P96" t="e">
        <f t="shared" ca="1" si="32"/>
        <v>#DIV/0!</v>
      </c>
      <c r="Q96" t="s">
        <v>87</v>
      </c>
      <c r="R96" t="e">
        <f ca="1">AVERAGEIFS(INDIRECT($D$3),INDIRECT($D$3),"&gt;=0",Data!$B:$B,$Q96)</f>
        <v>#DIV/0!</v>
      </c>
      <c r="S96" t="e">
        <f t="shared" ca="1" si="33"/>
        <v>#DIV/0!</v>
      </c>
      <c r="T96" t="s">
        <v>4</v>
      </c>
      <c r="U96" t="e">
        <f ca="1">AVERAGEIFS(INDIRECT($E$3),INDIRECT($E$3),"&gt;=0",Data!$B:$B,$T96)</f>
        <v>#DIV/0!</v>
      </c>
      <c r="V96" t="e">
        <f t="shared" ca="1" si="34"/>
        <v>#DIV/0!</v>
      </c>
      <c r="W96" t="s">
        <v>171</v>
      </c>
      <c r="X96" t="e">
        <f ca="1">AVERAGEIFS(INDIRECT($F$3),INDIRECT($F$3),"&gt;=0",Data!$B:$B,$W96)</f>
        <v>#DIV/0!</v>
      </c>
      <c r="Y96" t="e">
        <f t="shared" ca="1" si="35"/>
        <v>#DIV/0!</v>
      </c>
      <c r="Z96" t="s">
        <v>70</v>
      </c>
      <c r="AA96">
        <f ca="1">AVERAGEIFS(INDIRECT($G$3),INDIRECT($G$3),"&gt;=0",Data!$B:$B,$Z96)</f>
        <v>0.72727272727272729</v>
      </c>
      <c r="AB96">
        <f t="shared" ca="1" si="36"/>
        <v>88</v>
      </c>
      <c r="AC96" t="s">
        <v>103</v>
      </c>
      <c r="AD96" t="e">
        <f ca="1">AVERAGEIFS(INDIRECT($H$3),INDIRECT($H$3),"&gt;=0",Data!$B:$B,$AC96)</f>
        <v>#DIV/0!</v>
      </c>
      <c r="AE96" t="e">
        <f t="shared" ca="1" si="37"/>
        <v>#DIV/0!</v>
      </c>
      <c r="AF96" t="s">
        <v>179</v>
      </c>
      <c r="AG96" t="e">
        <f ca="1">AVERAGEIFS(INDIRECT($I$3),INDIRECT($I$3),"&gt;=0",Data!$B:$B,$AF96)</f>
        <v>#DIV/0!</v>
      </c>
      <c r="AH96" t="e">
        <f t="shared" ca="1" si="38"/>
        <v>#DIV/0!</v>
      </c>
      <c r="AI96" t="s">
        <v>106</v>
      </c>
      <c r="AJ96">
        <f ca="1">AVERAGEIFS(INDIRECT($J$3),INDIRECT($J$3),"&gt;=0",Data!$B:$B,$AI96)</f>
        <v>0.3888888888888889</v>
      </c>
      <c r="AK96">
        <f t="shared" ca="1" si="39"/>
        <v>88</v>
      </c>
      <c r="AL96" t="str">
        <f t="shared" ca="1" si="40"/>
        <v>-</v>
      </c>
      <c r="AM96" t="str">
        <f t="shared" ca="1" si="41"/>
        <v>-</v>
      </c>
      <c r="AN96" t="str">
        <f t="shared" ca="1" si="42"/>
        <v>-</v>
      </c>
      <c r="AO96" t="str">
        <f t="shared" ca="1" si="43"/>
        <v>-</v>
      </c>
      <c r="AP96" t="str">
        <f t="shared" ca="1" si="44"/>
        <v>-</v>
      </c>
      <c r="AQ96" t="str">
        <f t="shared" ca="1" si="45"/>
        <v>-</v>
      </c>
      <c r="AR96" t="str">
        <f t="shared" ca="1" si="46"/>
        <v>-</v>
      </c>
      <c r="AS96" t="str">
        <f t="shared" ca="1" si="47"/>
        <v>-</v>
      </c>
      <c r="AT96" t="str">
        <f t="shared" ca="1" si="48"/>
        <v>-</v>
      </c>
      <c r="AU96">
        <f t="shared" si="60"/>
        <v>88</v>
      </c>
      <c r="AV96" t="s">
        <v>197</v>
      </c>
      <c r="AW96" s="20" t="e">
        <f ca="1">AVERAGEIFS(INDIRECT($B$3),INDIRECT($B$3),"&gt;=0",Data!$B:$B,AV96,IF($A$20,Data!$J:$J,Data!#REF!),IF($A$20,"&lt;&gt;5",1))</f>
        <v>#DIV/0!</v>
      </c>
      <c r="AX96" t="e">
        <f t="shared" ca="1" si="49"/>
        <v>#DIV/0!</v>
      </c>
      <c r="AY96" s="20" t="s">
        <v>6</v>
      </c>
      <c r="AZ96" t="e">
        <f ca="1">AVERAGEIFS(INDIRECT($C$3),INDIRECT($C$3),"&gt;=0",Data!$B:$B,AY96,IF($A$20,Data!$J:$J,Data!#REF!),IF($A$20,"&lt;&gt;5",1))</f>
        <v>#DIV/0!</v>
      </c>
      <c r="BA96" s="20" t="e">
        <f t="shared" ca="1" si="50"/>
        <v>#DIV/0!</v>
      </c>
      <c r="BB96" t="s">
        <v>152</v>
      </c>
      <c r="BC96" s="20" t="e">
        <f ca="1">AVERAGEIFS(INDIRECT($D$3),INDIRECT($D$3),"&gt;=0",Data!$B:$B,BB96,IF($A$20,Data!$J:$J,Data!#REF!),IF($A$20,"&lt;&gt;5",1))</f>
        <v>#DIV/0!</v>
      </c>
      <c r="BD96" t="e">
        <f t="shared" ca="1" si="51"/>
        <v>#DIV/0!</v>
      </c>
      <c r="BE96" s="20" t="s">
        <v>128</v>
      </c>
      <c r="BF96" t="e">
        <f ca="1">AVERAGEIFS(INDIRECT($E$3),INDIRECT($E$3),"&gt;=0",Data!$B:$B,BE96,IF($A$20,Data!$J:$J,Data!#REF!),IF($A$20,"&lt;&gt;5",1))</f>
        <v>#DIV/0!</v>
      </c>
      <c r="BG96" s="20" t="e">
        <f t="shared" ca="1" si="52"/>
        <v>#DIV/0!</v>
      </c>
      <c r="BH96" t="s">
        <v>44</v>
      </c>
      <c r="BI96" s="20">
        <f ca="1">AVERAGEIFS(INDIRECT($F$3),INDIRECT($F$3),"&gt;=0",Data!$B:$B,BH96,IF($A$20,Data!$J:$J,Data!#REF!),IF($A$20,"&lt;&gt;5",1))</f>
        <v>1</v>
      </c>
      <c r="BJ96" t="e">
        <f t="shared" ca="1" si="53"/>
        <v>#DIV/0!</v>
      </c>
      <c r="BK96" s="20" t="s">
        <v>9</v>
      </c>
      <c r="BL96" t="e">
        <f ca="1">AVERAGEIFS(INDIRECT($G$3),INDIRECT($G$3),"&gt;=0",Data!$B:$B,BK96,IF($A$20,Data!$J:$J,Data!#REF!),IF($A$20,"&lt;&gt;5",1))</f>
        <v>#DIV/0!</v>
      </c>
      <c r="BM96" s="20" t="e">
        <f t="shared" ca="1" si="54"/>
        <v>#DIV/0!</v>
      </c>
      <c r="BN96" t="s">
        <v>189</v>
      </c>
      <c r="BO96" t="e">
        <f ca="1">AVERAGEIFS(INDIRECT($H$3),INDIRECT($H$3),"&gt;=0",Data!$B:$B,BN96,IF($A$20,Data!$J:$J,Data!#REF!),IF($A$20,"&lt;&gt;5",1))</f>
        <v>#DIV/0!</v>
      </c>
      <c r="BP96" t="e">
        <f t="shared" ca="1" si="55"/>
        <v>#DIV/0!</v>
      </c>
      <c r="BQ96" t="s">
        <v>38</v>
      </c>
      <c r="BR96" t="e">
        <f ca="1">AVERAGEIFS(INDIRECT($I$3),INDIRECT($I$3),"&gt;=0",Data!$B:$B,BQ96,IF($A$20,Data!$J:$J,Data!#REF!),IF($A$20,"&lt;&gt;5",1))</f>
        <v>#DIV/0!</v>
      </c>
      <c r="BS96" t="e">
        <f t="shared" ca="1" si="56"/>
        <v>#DIV/0!</v>
      </c>
      <c r="BT96" t="s">
        <v>100</v>
      </c>
      <c r="BU96" t="e">
        <f ca="1">AVERAGEIFS(INDIRECT($J$3),INDIRECT($J$3),"&gt;=0",Data!$B:$B,BT96,IF($A$20,Data!$J:$J,Data!#REF!),IF($A$20,"&lt;&gt;5",1))</f>
        <v>#DIV/0!</v>
      </c>
      <c r="BV96" t="e">
        <f t="shared" ca="1" si="57"/>
        <v>#DIV/0!</v>
      </c>
    </row>
    <row r="97" spans="10:74" x14ac:dyDescent="0.35">
      <c r="J97">
        <f t="shared" si="58"/>
        <v>89</v>
      </c>
      <c r="K97" t="s">
        <v>78</v>
      </c>
      <c r="L97" t="e">
        <f ca="1">AVERAGEIFS(INDIRECT($B$3),INDIRECT($B$3),"&gt;=0",Data!$B:$B,$K97)</f>
        <v>#DIV/0!</v>
      </c>
      <c r="M97" t="e">
        <f t="shared" ca="1" si="59"/>
        <v>#DIV/0!</v>
      </c>
      <c r="N97" t="s">
        <v>18</v>
      </c>
      <c r="O97" t="e">
        <f ca="1">AVERAGEIFS(INDIRECT($C$3),INDIRECT($C$3),"&gt;=0",Data!$B:$B,$N97)</f>
        <v>#DIV/0!</v>
      </c>
      <c r="P97" t="e">
        <f t="shared" ca="1" si="32"/>
        <v>#DIV/0!</v>
      </c>
      <c r="Q97" t="s">
        <v>140</v>
      </c>
      <c r="R97" t="e">
        <f ca="1">AVERAGEIFS(INDIRECT($D$3),INDIRECT($D$3),"&gt;=0",Data!$B:$B,$Q97)</f>
        <v>#DIV/0!</v>
      </c>
      <c r="S97" t="e">
        <f t="shared" ca="1" si="33"/>
        <v>#DIV/0!</v>
      </c>
      <c r="T97" t="s">
        <v>5</v>
      </c>
      <c r="U97" t="e">
        <f ca="1">AVERAGEIFS(INDIRECT($E$3),INDIRECT($E$3),"&gt;=0",Data!$B:$B,$T97)</f>
        <v>#DIV/0!</v>
      </c>
      <c r="V97" t="e">
        <f t="shared" ca="1" si="34"/>
        <v>#DIV/0!</v>
      </c>
      <c r="W97" t="s">
        <v>184</v>
      </c>
      <c r="X97" t="e">
        <f ca="1">AVERAGEIFS(INDIRECT($F$3),INDIRECT($F$3),"&gt;=0",Data!$B:$B,$W97)</f>
        <v>#DIV/0!</v>
      </c>
      <c r="Y97" t="e">
        <f t="shared" ca="1" si="35"/>
        <v>#DIV/0!</v>
      </c>
      <c r="Z97" t="s">
        <v>97</v>
      </c>
      <c r="AA97">
        <f ca="1">AVERAGEIFS(INDIRECT($G$3),INDIRECT($G$3),"&gt;=0",Data!$B:$B,$Z97)</f>
        <v>0.91304347826086951</v>
      </c>
      <c r="AB97">
        <f t="shared" ca="1" si="36"/>
        <v>89</v>
      </c>
      <c r="AC97" t="s">
        <v>108</v>
      </c>
      <c r="AD97">
        <f ca="1">AVERAGEIFS(INDIRECT($H$3),INDIRECT($H$3),"&gt;=0",Data!$B:$B,$AC97)</f>
        <v>1</v>
      </c>
      <c r="AE97" t="e">
        <f t="shared" ca="1" si="37"/>
        <v>#DIV/0!</v>
      </c>
      <c r="AF97" t="s">
        <v>199</v>
      </c>
      <c r="AG97" t="e">
        <f ca="1">AVERAGEIFS(INDIRECT($I$3),INDIRECT($I$3),"&gt;=0",Data!$B:$B,$AF97)</f>
        <v>#DIV/0!</v>
      </c>
      <c r="AH97" t="e">
        <f t="shared" ca="1" si="38"/>
        <v>#DIV/0!</v>
      </c>
      <c r="AI97" t="s">
        <v>102</v>
      </c>
      <c r="AJ97" t="e">
        <f ca="1">AVERAGEIFS(INDIRECT($J$3),INDIRECT($J$3),"&gt;=0",Data!$B:$B,$AI97)</f>
        <v>#DIV/0!</v>
      </c>
      <c r="AK97" t="e">
        <f t="shared" ca="1" si="39"/>
        <v>#DIV/0!</v>
      </c>
      <c r="AL97" t="str">
        <f t="shared" ca="1" si="40"/>
        <v>-</v>
      </c>
      <c r="AM97" t="str">
        <f t="shared" ca="1" si="41"/>
        <v>-</v>
      </c>
      <c r="AN97" t="str">
        <f t="shared" ca="1" si="42"/>
        <v>-</v>
      </c>
      <c r="AO97" t="str">
        <f t="shared" ca="1" si="43"/>
        <v>-</v>
      </c>
      <c r="AP97" t="str">
        <f t="shared" ca="1" si="44"/>
        <v>-</v>
      </c>
      <c r="AQ97" t="str">
        <f t="shared" ca="1" si="45"/>
        <v>-</v>
      </c>
      <c r="AR97" t="str">
        <f t="shared" ca="1" si="46"/>
        <v>-</v>
      </c>
      <c r="AS97" t="str">
        <f t="shared" ca="1" si="47"/>
        <v>-</v>
      </c>
      <c r="AT97" t="str">
        <f t="shared" ca="1" si="48"/>
        <v>-</v>
      </c>
      <c r="AU97">
        <f t="shared" si="60"/>
        <v>89</v>
      </c>
      <c r="AV97" t="s">
        <v>59</v>
      </c>
      <c r="AW97" s="20" t="e">
        <f ca="1">AVERAGEIFS(INDIRECT($B$3),INDIRECT($B$3),"&gt;=0",Data!$B:$B,AV97,IF($A$20,Data!$J:$J,Data!#REF!),IF($A$20,"&lt;&gt;5",1))</f>
        <v>#DIV/0!</v>
      </c>
      <c r="AX97" t="e">
        <f t="shared" ca="1" si="49"/>
        <v>#DIV/0!</v>
      </c>
      <c r="AY97" s="20" t="s">
        <v>25</v>
      </c>
      <c r="AZ97" t="e">
        <f ca="1">AVERAGEIFS(INDIRECT($C$3),INDIRECT($C$3),"&gt;=0",Data!$B:$B,AY97,IF($A$20,Data!$J:$J,Data!#REF!),IF($A$20,"&lt;&gt;5",1))</f>
        <v>#DIV/0!</v>
      </c>
      <c r="BA97" s="20" t="e">
        <f t="shared" ca="1" si="50"/>
        <v>#DIV/0!</v>
      </c>
      <c r="BB97" t="s">
        <v>17</v>
      </c>
      <c r="BC97" s="20" t="e">
        <f ca="1">AVERAGEIFS(INDIRECT($D$3),INDIRECT($D$3),"&gt;=0",Data!$B:$B,BB97,IF($A$20,Data!$J:$J,Data!#REF!),IF($A$20,"&lt;&gt;5",1))</f>
        <v>#DIV/0!</v>
      </c>
      <c r="BD97" t="e">
        <f t="shared" ca="1" si="51"/>
        <v>#DIV/0!</v>
      </c>
      <c r="BE97" s="20" t="s">
        <v>110</v>
      </c>
      <c r="BF97" t="e">
        <f ca="1">AVERAGEIFS(INDIRECT($E$3),INDIRECT($E$3),"&gt;=0",Data!$B:$B,BE97,IF($A$20,Data!$J:$J,Data!#REF!),IF($A$20,"&lt;&gt;5",1))</f>
        <v>#DIV/0!</v>
      </c>
      <c r="BG97" s="20" t="e">
        <f t="shared" ca="1" si="52"/>
        <v>#DIV/0!</v>
      </c>
      <c r="BH97" t="s">
        <v>76</v>
      </c>
      <c r="BI97" s="20" t="e">
        <f ca="1">AVERAGEIFS(INDIRECT($F$3),INDIRECT($F$3),"&gt;=0",Data!$B:$B,BH97,IF($A$20,Data!$J:$J,Data!#REF!),IF($A$20,"&lt;&gt;5",1))</f>
        <v>#DIV/0!</v>
      </c>
      <c r="BJ97" t="e">
        <f t="shared" ca="1" si="53"/>
        <v>#DIV/0!</v>
      </c>
      <c r="BK97" s="20" t="s">
        <v>183</v>
      </c>
      <c r="BL97" t="e">
        <f ca="1">AVERAGEIFS(INDIRECT($G$3),INDIRECT($G$3),"&gt;=0",Data!$B:$B,BK97,IF($A$20,Data!$J:$J,Data!#REF!),IF($A$20,"&lt;&gt;5",1))</f>
        <v>#DIV/0!</v>
      </c>
      <c r="BM97" s="20" t="e">
        <f t="shared" ca="1" si="54"/>
        <v>#DIV/0!</v>
      </c>
      <c r="BN97" t="s">
        <v>8</v>
      </c>
      <c r="BO97" t="e">
        <f ca="1">AVERAGEIFS(INDIRECT($H$3),INDIRECT($H$3),"&gt;=0",Data!$B:$B,BN97,IF($A$20,Data!$J:$J,Data!#REF!),IF($A$20,"&lt;&gt;5",1))</f>
        <v>#DIV/0!</v>
      </c>
      <c r="BP97" t="e">
        <f t="shared" ca="1" si="55"/>
        <v>#DIV/0!</v>
      </c>
      <c r="BQ97" t="s">
        <v>118</v>
      </c>
      <c r="BR97" t="e">
        <f ca="1">AVERAGEIFS(INDIRECT($I$3),INDIRECT($I$3),"&gt;=0",Data!$B:$B,BQ97,IF($A$20,Data!$J:$J,Data!#REF!),IF($A$20,"&lt;&gt;5",1))</f>
        <v>#DIV/0!</v>
      </c>
      <c r="BS97" t="e">
        <f t="shared" ca="1" si="56"/>
        <v>#DIV/0!</v>
      </c>
      <c r="BT97" t="s">
        <v>99</v>
      </c>
      <c r="BU97" t="e">
        <f ca="1">AVERAGEIFS(INDIRECT($J$3),INDIRECT($J$3),"&gt;=0",Data!$B:$B,BT97,IF($A$20,Data!$J:$J,Data!#REF!),IF($A$20,"&lt;&gt;5",1))</f>
        <v>#DIV/0!</v>
      </c>
      <c r="BV97" t="e">
        <f t="shared" ca="1" si="57"/>
        <v>#DIV/0!</v>
      </c>
    </row>
    <row r="98" spans="10:74" x14ac:dyDescent="0.35">
      <c r="J98">
        <f t="shared" si="58"/>
        <v>90</v>
      </c>
      <c r="K98" t="s">
        <v>120</v>
      </c>
      <c r="L98" t="e">
        <f ca="1">AVERAGEIFS(INDIRECT($B$3),INDIRECT($B$3),"&gt;=0",Data!$B:$B,$K98)</f>
        <v>#DIV/0!</v>
      </c>
      <c r="M98" t="e">
        <f t="shared" ca="1" si="59"/>
        <v>#DIV/0!</v>
      </c>
      <c r="N98" t="s">
        <v>6</v>
      </c>
      <c r="O98" t="e">
        <f ca="1">AVERAGEIFS(INDIRECT($C$3),INDIRECT($C$3),"&gt;=0",Data!$B:$B,$N98)</f>
        <v>#DIV/0!</v>
      </c>
      <c r="P98" t="e">
        <f t="shared" ca="1" si="32"/>
        <v>#DIV/0!</v>
      </c>
      <c r="Q98" t="s">
        <v>161</v>
      </c>
      <c r="R98" t="e">
        <f ca="1">AVERAGEIFS(INDIRECT($D$3),INDIRECT($D$3),"&gt;=0",Data!$B:$B,$Q98)</f>
        <v>#DIV/0!</v>
      </c>
      <c r="S98" t="e">
        <f t="shared" ca="1" si="33"/>
        <v>#DIV/0!</v>
      </c>
      <c r="T98" t="s">
        <v>67</v>
      </c>
      <c r="U98" t="e">
        <f ca="1">AVERAGEIFS(INDIRECT($E$3),INDIRECT($E$3),"&gt;=0",Data!$B:$B,$T98)</f>
        <v>#DIV/0!</v>
      </c>
      <c r="V98" t="e">
        <f t="shared" ca="1" si="34"/>
        <v>#DIV/0!</v>
      </c>
      <c r="W98" t="s">
        <v>152</v>
      </c>
      <c r="X98" t="e">
        <f ca="1">AVERAGEIFS(INDIRECT($F$3),INDIRECT($F$3),"&gt;=0",Data!$B:$B,$W98)</f>
        <v>#DIV/0!</v>
      </c>
      <c r="Y98" t="e">
        <f t="shared" ca="1" si="35"/>
        <v>#DIV/0!</v>
      </c>
      <c r="Z98" t="s">
        <v>71</v>
      </c>
      <c r="AA98" t="e">
        <f ca="1">AVERAGEIFS(INDIRECT($G$3),INDIRECT($G$3),"&gt;=0",Data!$B:$B,$Z98)</f>
        <v>#DIV/0!</v>
      </c>
      <c r="AB98" t="e">
        <f t="shared" ca="1" si="36"/>
        <v>#DIV/0!</v>
      </c>
      <c r="AC98" t="s">
        <v>139</v>
      </c>
      <c r="AD98" t="e">
        <f ca="1">AVERAGEIFS(INDIRECT($H$3),INDIRECT($H$3),"&gt;=0",Data!$B:$B,$AC98)</f>
        <v>#DIV/0!</v>
      </c>
      <c r="AE98" t="e">
        <f t="shared" ca="1" si="37"/>
        <v>#DIV/0!</v>
      </c>
      <c r="AF98" t="s">
        <v>180</v>
      </c>
      <c r="AG98" t="e">
        <f ca="1">AVERAGEIFS(INDIRECT($I$3),INDIRECT($I$3),"&gt;=0",Data!$B:$B,$AF98)</f>
        <v>#DIV/0!</v>
      </c>
      <c r="AH98" t="e">
        <f t="shared" ca="1" si="38"/>
        <v>#DIV/0!</v>
      </c>
      <c r="AI98" t="s">
        <v>105</v>
      </c>
      <c r="AJ98" t="e">
        <f ca="1">AVERAGEIFS(INDIRECT($J$3),INDIRECT($J$3),"&gt;=0",Data!$B:$B,$AI98)</f>
        <v>#DIV/0!</v>
      </c>
      <c r="AK98" t="e">
        <f t="shared" ca="1" si="39"/>
        <v>#DIV/0!</v>
      </c>
      <c r="AL98" t="str">
        <f t="shared" ca="1" si="40"/>
        <v>-</v>
      </c>
      <c r="AM98" t="str">
        <f t="shared" ca="1" si="41"/>
        <v>-</v>
      </c>
      <c r="AN98" t="str">
        <f t="shared" ca="1" si="42"/>
        <v>-</v>
      </c>
      <c r="AO98" t="str">
        <f t="shared" ca="1" si="43"/>
        <v>-</v>
      </c>
      <c r="AP98" t="str">
        <f t="shared" ca="1" si="44"/>
        <v>-</v>
      </c>
      <c r="AQ98" t="str">
        <f t="shared" ca="1" si="45"/>
        <v>-</v>
      </c>
      <c r="AR98" t="str">
        <f t="shared" ca="1" si="46"/>
        <v>-</v>
      </c>
      <c r="AS98" t="str">
        <f t="shared" ca="1" si="47"/>
        <v>-</v>
      </c>
      <c r="AT98" t="str">
        <f t="shared" ca="1" si="48"/>
        <v>-</v>
      </c>
      <c r="AU98">
        <f t="shared" si="60"/>
        <v>90</v>
      </c>
      <c r="AV98" t="s">
        <v>166</v>
      </c>
      <c r="AW98" s="20" t="e">
        <f ca="1">AVERAGEIFS(INDIRECT($B$3),INDIRECT($B$3),"&gt;=0",Data!$B:$B,AV98,IF($A$20,Data!$J:$J,Data!#REF!),IF($A$20,"&lt;&gt;5",1))</f>
        <v>#DIV/0!</v>
      </c>
      <c r="AX98" t="e">
        <f t="shared" ca="1" si="49"/>
        <v>#DIV/0!</v>
      </c>
      <c r="AY98" s="20" t="s">
        <v>163</v>
      </c>
      <c r="AZ98" t="e">
        <f ca="1">AVERAGEIFS(INDIRECT($C$3),INDIRECT($C$3),"&gt;=0",Data!$B:$B,AY98,IF($A$20,Data!$J:$J,Data!#REF!),IF($A$20,"&lt;&gt;5",1))</f>
        <v>#DIV/0!</v>
      </c>
      <c r="BA98" s="20" t="e">
        <f t="shared" ca="1" si="50"/>
        <v>#DIV/0!</v>
      </c>
      <c r="BB98" t="s">
        <v>40</v>
      </c>
      <c r="BC98" s="20" t="e">
        <f ca="1">AVERAGEIFS(INDIRECT($D$3),INDIRECT($D$3),"&gt;=0",Data!$B:$B,BB98,IF($A$20,Data!$J:$J,Data!#REF!),IF($A$20,"&lt;&gt;5",1))</f>
        <v>#DIV/0!</v>
      </c>
      <c r="BD98" t="e">
        <f t="shared" ca="1" si="51"/>
        <v>#DIV/0!</v>
      </c>
      <c r="BE98" s="20" t="s">
        <v>81</v>
      </c>
      <c r="BF98" t="e">
        <f ca="1">AVERAGEIFS(INDIRECT($E$3),INDIRECT($E$3),"&gt;=0",Data!$B:$B,BE98,IF($A$20,Data!$J:$J,Data!#REF!),IF($A$20,"&lt;&gt;5",1))</f>
        <v>#DIV/0!</v>
      </c>
      <c r="BG98" s="20" t="e">
        <f t="shared" ca="1" si="52"/>
        <v>#DIV/0!</v>
      </c>
      <c r="BH98" t="s">
        <v>138</v>
      </c>
      <c r="BI98" s="20" t="e">
        <f ca="1">AVERAGEIFS(INDIRECT($F$3),INDIRECT($F$3),"&gt;=0",Data!$B:$B,BH98,IF($A$20,Data!$J:$J,Data!#REF!),IF($A$20,"&lt;&gt;5",1))</f>
        <v>#DIV/0!</v>
      </c>
      <c r="BJ98" t="e">
        <f t="shared" ca="1" si="53"/>
        <v>#DIV/0!</v>
      </c>
      <c r="BK98" s="20" t="s">
        <v>108</v>
      </c>
      <c r="BL98">
        <f ca="1">AVERAGEIFS(INDIRECT($G$3),INDIRECT($G$3),"&gt;=0",Data!$B:$B,BK98,IF($A$20,Data!$J:$J,Data!#REF!),IF($A$20,"&lt;&gt;5",1))</f>
        <v>0.7142857142857143</v>
      </c>
      <c r="BM98" s="20" t="e">
        <f t="shared" ca="1" si="54"/>
        <v>#DIV/0!</v>
      </c>
      <c r="BN98" t="s">
        <v>117</v>
      </c>
      <c r="BO98" t="e">
        <f ca="1">AVERAGEIFS(INDIRECT($H$3),INDIRECT($H$3),"&gt;=0",Data!$B:$B,BN98,IF($A$20,Data!$J:$J,Data!#REF!),IF($A$20,"&lt;&gt;5",1))</f>
        <v>#DIV/0!</v>
      </c>
      <c r="BP98" t="e">
        <f t="shared" ca="1" si="55"/>
        <v>#DIV/0!</v>
      </c>
      <c r="BQ98" t="s">
        <v>10</v>
      </c>
      <c r="BR98" t="e">
        <f ca="1">AVERAGEIFS(INDIRECT($I$3),INDIRECT($I$3),"&gt;=0",Data!$B:$B,BQ98,IF($A$20,Data!$J:$J,Data!#REF!),IF($A$20,"&lt;&gt;5",1))</f>
        <v>#DIV/0!</v>
      </c>
      <c r="BS98" t="e">
        <f t="shared" ca="1" si="56"/>
        <v>#DIV/0!</v>
      </c>
      <c r="BT98" t="s">
        <v>94</v>
      </c>
      <c r="BU98" t="e">
        <f ca="1">AVERAGEIFS(INDIRECT($J$3),INDIRECT($J$3),"&gt;=0",Data!$B:$B,BT98,IF($A$20,Data!$J:$J,Data!#REF!),IF($A$20,"&lt;&gt;5",1))</f>
        <v>#DIV/0!</v>
      </c>
      <c r="BV98" t="e">
        <f t="shared" ca="1" si="57"/>
        <v>#DIV/0!</v>
      </c>
    </row>
    <row r="99" spans="10:74" x14ac:dyDescent="0.35">
      <c r="J99">
        <f t="shared" si="58"/>
        <v>91</v>
      </c>
      <c r="K99" t="s">
        <v>134</v>
      </c>
      <c r="L99" t="e">
        <f ca="1">AVERAGEIFS(INDIRECT($B$3),INDIRECT($B$3),"&gt;=0",Data!$B:$B,$K99)</f>
        <v>#DIV/0!</v>
      </c>
      <c r="M99" t="e">
        <f t="shared" ca="1" si="59"/>
        <v>#DIV/0!</v>
      </c>
      <c r="N99" t="s">
        <v>25</v>
      </c>
      <c r="O99" t="e">
        <f ca="1">AVERAGEIFS(INDIRECT($C$3),INDIRECT($C$3),"&gt;=0",Data!$B:$B,$N99)</f>
        <v>#DIV/0!</v>
      </c>
      <c r="P99" t="e">
        <f t="shared" ca="1" si="32"/>
        <v>#DIV/0!</v>
      </c>
      <c r="Q99" t="s">
        <v>32</v>
      </c>
      <c r="R99" t="e">
        <f ca="1">AVERAGEIFS(INDIRECT($D$3),INDIRECT($D$3),"&gt;=0",Data!$B:$B,$Q99)</f>
        <v>#DIV/0!</v>
      </c>
      <c r="S99" t="e">
        <f t="shared" ca="1" si="33"/>
        <v>#DIV/0!</v>
      </c>
      <c r="T99" t="s">
        <v>82</v>
      </c>
      <c r="U99" t="e">
        <f ca="1">AVERAGEIFS(INDIRECT($E$3),INDIRECT($E$3),"&gt;=0",Data!$B:$B,$T99)</f>
        <v>#DIV/0!</v>
      </c>
      <c r="V99" t="e">
        <f t="shared" ca="1" si="34"/>
        <v>#DIV/0!</v>
      </c>
      <c r="W99" t="s">
        <v>2</v>
      </c>
      <c r="X99" t="e">
        <f ca="1">AVERAGEIFS(INDIRECT($F$3),INDIRECT($F$3),"&gt;=0",Data!$B:$B,$W99)</f>
        <v>#DIV/0!</v>
      </c>
      <c r="Y99" t="e">
        <f t="shared" ca="1" si="35"/>
        <v>#DIV/0!</v>
      </c>
      <c r="Z99" t="s">
        <v>75</v>
      </c>
      <c r="AA99" t="e">
        <f ca="1">AVERAGEIFS(INDIRECT($G$3),INDIRECT($G$3),"&gt;=0",Data!$B:$B,$Z99)</f>
        <v>#DIV/0!</v>
      </c>
      <c r="AB99" t="e">
        <f t="shared" ca="1" si="36"/>
        <v>#DIV/0!</v>
      </c>
      <c r="AC99" t="s">
        <v>189</v>
      </c>
      <c r="AD99" t="e">
        <f ca="1">AVERAGEIFS(INDIRECT($H$3),INDIRECT($H$3),"&gt;=0",Data!$B:$B,$AC99)</f>
        <v>#DIV/0!</v>
      </c>
      <c r="AE99" t="e">
        <f t="shared" ca="1" si="37"/>
        <v>#DIV/0!</v>
      </c>
      <c r="AF99" t="s">
        <v>6</v>
      </c>
      <c r="AG99" t="e">
        <f ca="1">AVERAGEIFS(INDIRECT($I$3),INDIRECT($I$3),"&gt;=0",Data!$B:$B,$AF99)</f>
        <v>#DIV/0!</v>
      </c>
      <c r="AH99" t="e">
        <f t="shared" ca="1" si="38"/>
        <v>#DIV/0!</v>
      </c>
      <c r="AI99" t="s">
        <v>100</v>
      </c>
      <c r="AJ99" t="e">
        <f ca="1">AVERAGEIFS(INDIRECT($J$3),INDIRECT($J$3),"&gt;=0",Data!$B:$B,$AI99)</f>
        <v>#DIV/0!</v>
      </c>
      <c r="AK99" t="e">
        <f t="shared" ca="1" si="39"/>
        <v>#DIV/0!</v>
      </c>
      <c r="AL99" t="str">
        <f t="shared" ca="1" si="40"/>
        <v>-</v>
      </c>
      <c r="AM99" t="str">
        <f t="shared" ca="1" si="41"/>
        <v>-</v>
      </c>
      <c r="AN99" t="str">
        <f t="shared" ca="1" si="42"/>
        <v>-</v>
      </c>
      <c r="AO99" t="str">
        <f t="shared" ca="1" si="43"/>
        <v>-</v>
      </c>
      <c r="AP99" t="str">
        <f t="shared" ca="1" si="44"/>
        <v>-</v>
      </c>
      <c r="AQ99" t="str">
        <f t="shared" ca="1" si="45"/>
        <v>-</v>
      </c>
      <c r="AR99" t="str">
        <f t="shared" ca="1" si="46"/>
        <v>-</v>
      </c>
      <c r="AS99" t="str">
        <f t="shared" ca="1" si="47"/>
        <v>-</v>
      </c>
      <c r="AT99" t="str">
        <f t="shared" ca="1" si="48"/>
        <v>-</v>
      </c>
      <c r="AU99">
        <f t="shared" si="60"/>
        <v>91</v>
      </c>
      <c r="AV99" t="s">
        <v>193</v>
      </c>
      <c r="AW99" s="20" t="e">
        <f ca="1">AVERAGEIFS(INDIRECT($B$3),INDIRECT($B$3),"&gt;=0",Data!$B:$B,AV99,IF($A$20,Data!$J:$J,Data!#REF!),IF($A$20,"&lt;&gt;5",1))</f>
        <v>#DIV/0!</v>
      </c>
      <c r="AX99" t="e">
        <f t="shared" ca="1" si="49"/>
        <v>#DIV/0!</v>
      </c>
      <c r="AY99" s="20" t="s">
        <v>72</v>
      </c>
      <c r="AZ99" t="e">
        <f ca="1">AVERAGEIFS(INDIRECT($C$3),INDIRECT($C$3),"&gt;=0",Data!$B:$B,AY99,IF($A$20,Data!$J:$J,Data!#REF!),IF($A$20,"&lt;&gt;5",1))</f>
        <v>#DIV/0!</v>
      </c>
      <c r="BA99" s="20" t="e">
        <f t="shared" ca="1" si="50"/>
        <v>#DIV/0!</v>
      </c>
      <c r="BB99" t="s">
        <v>73</v>
      </c>
      <c r="BC99" s="20" t="e">
        <f ca="1">AVERAGEIFS(INDIRECT($D$3),INDIRECT($D$3),"&gt;=0",Data!$B:$B,BB99,IF($A$20,Data!$J:$J,Data!#REF!),IF($A$20,"&lt;&gt;5",1))</f>
        <v>#DIV/0!</v>
      </c>
      <c r="BD99" t="e">
        <f t="shared" ca="1" si="51"/>
        <v>#DIV/0!</v>
      </c>
      <c r="BE99" s="20" t="s">
        <v>87</v>
      </c>
      <c r="BF99" t="e">
        <f ca="1">AVERAGEIFS(INDIRECT($E$3),INDIRECT($E$3),"&gt;=0",Data!$B:$B,BE99,IF($A$20,Data!$J:$J,Data!#REF!),IF($A$20,"&lt;&gt;5",1))</f>
        <v>#DIV/0!</v>
      </c>
      <c r="BG99" s="20" t="e">
        <f t="shared" ca="1" si="52"/>
        <v>#DIV/0!</v>
      </c>
      <c r="BH99" t="s">
        <v>140</v>
      </c>
      <c r="BI99" s="20" t="e">
        <f ca="1">AVERAGEIFS(INDIRECT($F$3),INDIRECT($F$3),"&gt;=0",Data!$B:$B,BH99,IF($A$20,Data!$J:$J,Data!#REF!),IF($A$20,"&lt;&gt;5",1))</f>
        <v>#DIV/0!</v>
      </c>
      <c r="BJ99" t="e">
        <f t="shared" ca="1" si="53"/>
        <v>#DIV/0!</v>
      </c>
      <c r="BK99" s="20" t="s">
        <v>71</v>
      </c>
      <c r="BL99" t="e">
        <f ca="1">AVERAGEIFS(INDIRECT($G$3),INDIRECT($G$3),"&gt;=0",Data!$B:$B,BK99,IF($A$20,Data!$J:$J,Data!#REF!),IF($A$20,"&lt;&gt;5",1))</f>
        <v>#DIV/0!</v>
      </c>
      <c r="BM99" s="20" t="e">
        <f t="shared" ca="1" si="54"/>
        <v>#DIV/0!</v>
      </c>
      <c r="BN99" t="s">
        <v>146</v>
      </c>
      <c r="BO99" t="e">
        <f ca="1">AVERAGEIFS(INDIRECT($H$3),INDIRECT($H$3),"&gt;=0",Data!$B:$B,BN99,IF($A$20,Data!$J:$J,Data!#REF!),IF($A$20,"&lt;&gt;5",1))</f>
        <v>#DIV/0!</v>
      </c>
      <c r="BP99" t="e">
        <f t="shared" ca="1" si="55"/>
        <v>#DIV/0!</v>
      </c>
      <c r="BQ99" t="s">
        <v>49</v>
      </c>
      <c r="BR99" t="e">
        <f ca="1">AVERAGEIFS(INDIRECT($I$3),INDIRECT($I$3),"&gt;=0",Data!$B:$B,BQ99,IF($A$20,Data!$J:$J,Data!#REF!),IF($A$20,"&lt;&gt;5",1))</f>
        <v>#DIV/0!</v>
      </c>
      <c r="BS99" t="e">
        <f t="shared" ca="1" si="56"/>
        <v>#DIV/0!</v>
      </c>
      <c r="BT99" t="s">
        <v>98</v>
      </c>
      <c r="BU99" t="e">
        <f ca="1">AVERAGEIFS(INDIRECT($J$3),INDIRECT($J$3),"&gt;=0",Data!$B:$B,BT99,IF($A$20,Data!$J:$J,Data!#REF!),IF($A$20,"&lt;&gt;5",1))</f>
        <v>#DIV/0!</v>
      </c>
      <c r="BV99" t="e">
        <f t="shared" ca="1" si="57"/>
        <v>#DIV/0!</v>
      </c>
    </row>
    <row r="100" spans="10:74" x14ac:dyDescent="0.35">
      <c r="J100">
        <f t="shared" si="58"/>
        <v>92</v>
      </c>
      <c r="K100" t="s">
        <v>128</v>
      </c>
      <c r="L100" t="e">
        <f ca="1">AVERAGEIFS(INDIRECT($B$3),INDIRECT($B$3),"&gt;=0",Data!$B:$B,$K100)</f>
        <v>#DIV/0!</v>
      </c>
      <c r="M100" t="e">
        <f t="shared" ca="1" si="59"/>
        <v>#DIV/0!</v>
      </c>
      <c r="N100" t="s">
        <v>163</v>
      </c>
      <c r="O100" t="e">
        <f ca="1">AVERAGEIFS(INDIRECT($C$3),INDIRECT($C$3),"&gt;=0",Data!$B:$B,$N100)</f>
        <v>#DIV/0!</v>
      </c>
      <c r="P100" t="e">
        <f t="shared" ca="1" si="32"/>
        <v>#DIV/0!</v>
      </c>
      <c r="Q100" t="s">
        <v>48</v>
      </c>
      <c r="R100" t="e">
        <f ca="1">AVERAGEIFS(INDIRECT($D$3),INDIRECT($D$3),"&gt;=0",Data!$B:$B,$Q100)</f>
        <v>#DIV/0!</v>
      </c>
      <c r="S100" t="e">
        <f t="shared" ca="1" si="33"/>
        <v>#DIV/0!</v>
      </c>
      <c r="T100" t="s">
        <v>110</v>
      </c>
      <c r="U100" t="e">
        <f ca="1">AVERAGEIFS(INDIRECT($E$3),INDIRECT($E$3),"&gt;=0",Data!$B:$B,$T100)</f>
        <v>#DIV/0!</v>
      </c>
      <c r="V100" t="e">
        <f t="shared" ca="1" si="34"/>
        <v>#DIV/0!</v>
      </c>
      <c r="W100" t="s">
        <v>10</v>
      </c>
      <c r="X100" t="e">
        <f ca="1">AVERAGEIFS(INDIRECT($F$3),INDIRECT($F$3),"&gt;=0",Data!$B:$B,$W100)</f>
        <v>#DIV/0!</v>
      </c>
      <c r="Y100" t="e">
        <f t="shared" ca="1" si="35"/>
        <v>#DIV/0!</v>
      </c>
      <c r="Z100" t="s">
        <v>83</v>
      </c>
      <c r="AA100" t="e">
        <f ca="1">AVERAGEIFS(INDIRECT($G$3),INDIRECT($G$3),"&gt;=0",Data!$B:$B,$Z100)</f>
        <v>#DIV/0!</v>
      </c>
      <c r="AB100" t="e">
        <f t="shared" ca="1" si="36"/>
        <v>#DIV/0!</v>
      </c>
      <c r="AC100" t="s">
        <v>8</v>
      </c>
      <c r="AD100" t="e">
        <f ca="1">AVERAGEIFS(INDIRECT($H$3),INDIRECT($H$3),"&gt;=0",Data!$B:$B,$AC100)</f>
        <v>#DIV/0!</v>
      </c>
      <c r="AE100" t="e">
        <f t="shared" ca="1" si="37"/>
        <v>#DIV/0!</v>
      </c>
      <c r="AF100" t="s">
        <v>72</v>
      </c>
      <c r="AG100" t="e">
        <f ca="1">AVERAGEIFS(INDIRECT($I$3),INDIRECT($I$3),"&gt;=0",Data!$B:$B,$AF100)</f>
        <v>#DIV/0!</v>
      </c>
      <c r="AH100" t="e">
        <f t="shared" ca="1" si="38"/>
        <v>#DIV/0!</v>
      </c>
      <c r="AI100" t="s">
        <v>99</v>
      </c>
      <c r="AJ100" t="e">
        <f ca="1">AVERAGEIFS(INDIRECT($J$3),INDIRECT($J$3),"&gt;=0",Data!$B:$B,$AI100)</f>
        <v>#DIV/0!</v>
      </c>
      <c r="AK100" t="e">
        <f t="shared" ca="1" si="39"/>
        <v>#DIV/0!</v>
      </c>
      <c r="AL100" t="str">
        <f t="shared" ca="1" si="40"/>
        <v>-</v>
      </c>
      <c r="AM100" t="str">
        <f t="shared" ca="1" si="41"/>
        <v>-</v>
      </c>
      <c r="AN100" t="str">
        <f t="shared" ca="1" si="42"/>
        <v>-</v>
      </c>
      <c r="AO100" t="str">
        <f t="shared" ca="1" si="43"/>
        <v>-</v>
      </c>
      <c r="AP100" t="str">
        <f t="shared" ca="1" si="44"/>
        <v>-</v>
      </c>
      <c r="AQ100" t="str">
        <f t="shared" ca="1" si="45"/>
        <v>-</v>
      </c>
      <c r="AR100" t="str">
        <f t="shared" ca="1" si="46"/>
        <v>-</v>
      </c>
      <c r="AS100" t="str">
        <f t="shared" ca="1" si="47"/>
        <v>-</v>
      </c>
      <c r="AT100" t="str">
        <f t="shared" ca="1" si="48"/>
        <v>-</v>
      </c>
      <c r="AU100">
        <f t="shared" si="60"/>
        <v>92</v>
      </c>
      <c r="AV100" t="s">
        <v>3</v>
      </c>
      <c r="AW100" s="20" t="e">
        <f ca="1">AVERAGEIFS(INDIRECT($B$3),INDIRECT($B$3),"&gt;=0",Data!$B:$B,AV100,IF($A$20,Data!$J:$J,Data!#REF!),IF($A$20,"&lt;&gt;5",1))</f>
        <v>#DIV/0!</v>
      </c>
      <c r="AX100" t="e">
        <f t="shared" ca="1" si="49"/>
        <v>#DIV/0!</v>
      </c>
      <c r="AY100" s="20" t="s">
        <v>75</v>
      </c>
      <c r="AZ100" t="e">
        <f ca="1">AVERAGEIFS(INDIRECT($C$3),INDIRECT($C$3),"&gt;=0",Data!$B:$B,AY100,IF($A$20,Data!$J:$J,Data!#REF!),IF($A$20,"&lt;&gt;5",1))</f>
        <v>#DIV/0!</v>
      </c>
      <c r="BA100" s="20" t="e">
        <f t="shared" ca="1" si="50"/>
        <v>#DIV/0!</v>
      </c>
      <c r="BB100" t="s">
        <v>171</v>
      </c>
      <c r="BC100" s="20" t="e">
        <f ca="1">AVERAGEIFS(INDIRECT($D$3),INDIRECT($D$3),"&gt;=0",Data!$B:$B,BB100,IF($A$20,Data!$J:$J,Data!#REF!),IF($A$20,"&lt;&gt;5",1))</f>
        <v>#DIV/0!</v>
      </c>
      <c r="BD100" t="e">
        <f t="shared" ca="1" si="51"/>
        <v>#DIV/0!</v>
      </c>
      <c r="BE100" s="20" t="s">
        <v>188</v>
      </c>
      <c r="BF100" t="e">
        <f ca="1">AVERAGEIFS(INDIRECT($E$3),INDIRECT($E$3),"&gt;=0",Data!$B:$B,BE100,IF($A$20,Data!$J:$J,Data!#REF!),IF($A$20,"&lt;&gt;5",1))</f>
        <v>#DIV/0!</v>
      </c>
      <c r="BG100" s="20" t="e">
        <f t="shared" ca="1" si="52"/>
        <v>#DIV/0!</v>
      </c>
      <c r="BH100" t="s">
        <v>170</v>
      </c>
      <c r="BI100" s="20" t="e">
        <f ca="1">AVERAGEIFS(INDIRECT($F$3),INDIRECT($F$3),"&gt;=0",Data!$B:$B,BH100,IF($A$20,Data!$J:$J,Data!#REF!),IF($A$20,"&lt;&gt;5",1))</f>
        <v>#DIV/0!</v>
      </c>
      <c r="BJ100" t="e">
        <f t="shared" ca="1" si="53"/>
        <v>#DIV/0!</v>
      </c>
      <c r="BK100" s="20" t="s">
        <v>83</v>
      </c>
      <c r="BL100" t="e">
        <f ca="1">AVERAGEIFS(INDIRECT($G$3),INDIRECT($G$3),"&gt;=0",Data!$B:$B,BK100,IF($A$20,Data!$J:$J,Data!#REF!),IF($A$20,"&lt;&gt;5",1))</f>
        <v>#DIV/0!</v>
      </c>
      <c r="BM100" s="20" t="e">
        <f t="shared" ca="1" si="54"/>
        <v>#DIV/0!</v>
      </c>
      <c r="BN100" t="s">
        <v>85</v>
      </c>
      <c r="BO100">
        <f ca="1">AVERAGEIFS(INDIRECT($H$3),INDIRECT($H$3),"&gt;=0",Data!$B:$B,BN100,IF($A$20,Data!$J:$J,Data!#REF!),IF($A$20,"&lt;&gt;5",1))</f>
        <v>1</v>
      </c>
      <c r="BP100" t="e">
        <f t="shared" ca="1" si="55"/>
        <v>#DIV/0!</v>
      </c>
      <c r="BQ100" t="s">
        <v>122</v>
      </c>
      <c r="BR100" t="e">
        <f ca="1">AVERAGEIFS(INDIRECT($I$3),INDIRECT($I$3),"&gt;=0",Data!$B:$B,BQ100,IF($A$20,Data!$J:$J,Data!#REF!),IF($A$20,"&lt;&gt;5",1))</f>
        <v>#DIV/0!</v>
      </c>
      <c r="BS100" t="e">
        <f t="shared" ca="1" si="56"/>
        <v>#DIV/0!</v>
      </c>
      <c r="BT100" t="s">
        <v>195</v>
      </c>
      <c r="BU100" t="e">
        <f ca="1">AVERAGEIFS(INDIRECT($J$3),INDIRECT($J$3),"&gt;=0",Data!$B:$B,BT100,IF($A$20,Data!$J:$J,Data!#REF!),IF($A$20,"&lt;&gt;5",1))</f>
        <v>#DIV/0!</v>
      </c>
      <c r="BV100" t="e">
        <f t="shared" ca="1" si="57"/>
        <v>#DIV/0!</v>
      </c>
    </row>
    <row r="101" spans="10:74" x14ac:dyDescent="0.35">
      <c r="J101">
        <f t="shared" si="58"/>
        <v>93</v>
      </c>
      <c r="K101" t="s">
        <v>27</v>
      </c>
      <c r="L101" t="e">
        <f ca="1">AVERAGEIFS(INDIRECT($B$3),INDIRECT($B$3),"&gt;=0",Data!$B:$B,$K101)</f>
        <v>#DIV/0!</v>
      </c>
      <c r="M101" t="e">
        <f t="shared" ca="1" si="59"/>
        <v>#DIV/0!</v>
      </c>
      <c r="N101" t="s">
        <v>72</v>
      </c>
      <c r="O101" t="e">
        <f ca="1">AVERAGEIFS(INDIRECT($C$3),INDIRECT($C$3),"&gt;=0",Data!$B:$B,$N101)</f>
        <v>#DIV/0!</v>
      </c>
      <c r="P101" t="e">
        <f t="shared" ca="1" si="32"/>
        <v>#DIV/0!</v>
      </c>
      <c r="Q101" t="s">
        <v>12</v>
      </c>
      <c r="R101" t="e">
        <f ca="1">AVERAGEIFS(INDIRECT($D$3),INDIRECT($D$3),"&gt;=0",Data!$B:$B,$Q101)</f>
        <v>#DIV/0!</v>
      </c>
      <c r="S101" t="e">
        <f t="shared" ca="1" si="33"/>
        <v>#DIV/0!</v>
      </c>
      <c r="T101" t="s">
        <v>133</v>
      </c>
      <c r="U101" t="e">
        <f ca="1">AVERAGEIFS(INDIRECT($E$3),INDIRECT($E$3),"&gt;=0",Data!$B:$B,$T101)</f>
        <v>#DIV/0!</v>
      </c>
      <c r="V101" t="e">
        <f t="shared" ca="1" si="34"/>
        <v>#DIV/0!</v>
      </c>
      <c r="W101" t="s">
        <v>85</v>
      </c>
      <c r="X101">
        <f ca="1">AVERAGEIFS(INDIRECT($F$3),INDIRECT($F$3),"&gt;=0",Data!$B:$B,$W101)</f>
        <v>0</v>
      </c>
      <c r="Y101" t="e">
        <f t="shared" ca="1" si="35"/>
        <v>#DIV/0!</v>
      </c>
      <c r="Z101" t="s">
        <v>103</v>
      </c>
      <c r="AA101" t="e">
        <f ca="1">AVERAGEIFS(INDIRECT($G$3),INDIRECT($G$3),"&gt;=0",Data!$B:$B,$Z101)</f>
        <v>#DIV/0!</v>
      </c>
      <c r="AB101" t="e">
        <f t="shared" ca="1" si="36"/>
        <v>#DIV/0!</v>
      </c>
      <c r="AC101" t="s">
        <v>181</v>
      </c>
      <c r="AD101">
        <f ca="1">AVERAGEIFS(INDIRECT($H$3),INDIRECT($H$3),"&gt;=0",Data!$B:$B,$AC101)</f>
        <v>0.95652173913043481</v>
      </c>
      <c r="AE101" t="e">
        <f t="shared" ca="1" si="37"/>
        <v>#DIV/0!</v>
      </c>
      <c r="AF101" t="s">
        <v>3</v>
      </c>
      <c r="AG101" t="e">
        <f ca="1">AVERAGEIFS(INDIRECT($I$3),INDIRECT($I$3),"&gt;=0",Data!$B:$B,$AF101)</f>
        <v>#DIV/0!</v>
      </c>
      <c r="AH101" t="e">
        <f t="shared" ca="1" si="38"/>
        <v>#DIV/0!</v>
      </c>
      <c r="AI101" t="s">
        <v>94</v>
      </c>
      <c r="AJ101" t="e">
        <f ca="1">AVERAGEIFS(INDIRECT($J$3),INDIRECT($J$3),"&gt;=0",Data!$B:$B,$AI101)</f>
        <v>#DIV/0!</v>
      </c>
      <c r="AK101" t="e">
        <f t="shared" ca="1" si="39"/>
        <v>#DIV/0!</v>
      </c>
      <c r="AL101" t="str">
        <f t="shared" ca="1" si="40"/>
        <v>-</v>
      </c>
      <c r="AM101" t="str">
        <f t="shared" ca="1" si="41"/>
        <v>-</v>
      </c>
      <c r="AN101" t="str">
        <f t="shared" ca="1" si="42"/>
        <v>-</v>
      </c>
      <c r="AO101" t="str">
        <f t="shared" ca="1" si="43"/>
        <v>-</v>
      </c>
      <c r="AP101" t="str">
        <f t="shared" ca="1" si="44"/>
        <v>-</v>
      </c>
      <c r="AQ101" t="str">
        <f t="shared" ca="1" si="45"/>
        <v>-</v>
      </c>
      <c r="AR101" t="str">
        <f t="shared" ca="1" si="46"/>
        <v>-</v>
      </c>
      <c r="AS101" t="str">
        <f t="shared" ca="1" si="47"/>
        <v>-</v>
      </c>
      <c r="AT101" t="str">
        <f t="shared" ca="1" si="48"/>
        <v>-</v>
      </c>
      <c r="AU101">
        <f t="shared" si="60"/>
        <v>93</v>
      </c>
      <c r="AV101" t="s">
        <v>36</v>
      </c>
      <c r="AW101" s="20" t="e">
        <f ca="1">AVERAGEIFS(INDIRECT($B$3),INDIRECT($B$3),"&gt;=0",Data!$B:$B,AV101,IF($A$20,Data!$J:$J,Data!#REF!),IF($A$20,"&lt;&gt;5",1))</f>
        <v>#DIV/0!</v>
      </c>
      <c r="AX101" t="e">
        <f t="shared" ca="1" si="49"/>
        <v>#DIV/0!</v>
      </c>
      <c r="AY101" s="20" t="s">
        <v>39</v>
      </c>
      <c r="AZ101" t="e">
        <f ca="1">AVERAGEIFS(INDIRECT($C$3),INDIRECT($C$3),"&gt;=0",Data!$B:$B,AY101,IF($A$20,Data!$J:$J,Data!#REF!),IF($A$20,"&lt;&gt;5",1))</f>
        <v>#DIV/0!</v>
      </c>
      <c r="BA101" s="20" t="e">
        <f t="shared" ca="1" si="50"/>
        <v>#DIV/0!</v>
      </c>
      <c r="BB101" t="s">
        <v>82</v>
      </c>
      <c r="BC101" s="20" t="e">
        <f ca="1">AVERAGEIFS(INDIRECT($D$3),INDIRECT($D$3),"&gt;=0",Data!$B:$B,BB101,IF($A$20,Data!$J:$J,Data!#REF!),IF($A$20,"&lt;&gt;5",1))</f>
        <v>#DIV/0!</v>
      </c>
      <c r="BD101" t="e">
        <f t="shared" ca="1" si="51"/>
        <v>#DIV/0!</v>
      </c>
      <c r="BE101" s="20" t="s">
        <v>41</v>
      </c>
      <c r="BF101" t="e">
        <f ca="1">AVERAGEIFS(INDIRECT($E$3),INDIRECT($E$3),"&gt;=0",Data!$B:$B,BE101,IF($A$20,Data!$J:$J,Data!#REF!),IF($A$20,"&lt;&gt;5",1))</f>
        <v>#DIV/0!</v>
      </c>
      <c r="BG101" s="20" t="e">
        <f t="shared" ca="1" si="52"/>
        <v>#DIV/0!</v>
      </c>
      <c r="BH101" t="s">
        <v>172</v>
      </c>
      <c r="BI101" s="20" t="e">
        <f ca="1">AVERAGEIFS(INDIRECT($F$3),INDIRECT($F$3),"&gt;=0",Data!$B:$B,BH101,IF($A$20,Data!$J:$J,Data!#REF!),IF($A$20,"&lt;&gt;5",1))</f>
        <v>#DIV/0!</v>
      </c>
      <c r="BJ101" t="e">
        <f t="shared" ca="1" si="53"/>
        <v>#DIV/0!</v>
      </c>
      <c r="BK101" s="20" t="s">
        <v>177</v>
      </c>
      <c r="BL101" t="e">
        <f ca="1">AVERAGEIFS(INDIRECT($G$3),INDIRECT($G$3),"&gt;=0",Data!$B:$B,BK101,IF($A$20,Data!$J:$J,Data!#REF!),IF($A$20,"&lt;&gt;5",1))</f>
        <v>#DIV/0!</v>
      </c>
      <c r="BM101" s="20" t="e">
        <f t="shared" ca="1" si="54"/>
        <v>#DIV/0!</v>
      </c>
      <c r="BN101" t="s">
        <v>108</v>
      </c>
      <c r="BO101">
        <f ca="1">AVERAGEIFS(INDIRECT($H$3),INDIRECT($H$3),"&gt;=0",Data!$B:$B,BN101,IF($A$20,Data!$J:$J,Data!#REF!),IF($A$20,"&lt;&gt;5",1))</f>
        <v>1</v>
      </c>
      <c r="BP101" t="e">
        <f t="shared" ca="1" si="55"/>
        <v>#DIV/0!</v>
      </c>
      <c r="BQ101" t="s">
        <v>164</v>
      </c>
      <c r="BR101" t="e">
        <f ca="1">AVERAGEIFS(INDIRECT($I$3),INDIRECT($I$3),"&gt;=0",Data!$B:$B,BQ101,IF($A$20,Data!$J:$J,Data!#REF!),IF($A$20,"&lt;&gt;5",1))</f>
        <v>#DIV/0!</v>
      </c>
      <c r="BS101" t="e">
        <f t="shared" ca="1" si="56"/>
        <v>#DIV/0!</v>
      </c>
      <c r="BT101" t="s">
        <v>97</v>
      </c>
      <c r="BU101">
        <f ca="1">AVERAGEIFS(INDIRECT($J$3),INDIRECT($J$3),"&gt;=0",Data!$B:$B,BT101,IF($A$20,Data!$J:$J,Data!#REF!),IF($A$20,"&lt;&gt;5",1))</f>
        <v>0.19047619047619047</v>
      </c>
      <c r="BV101" t="e">
        <f t="shared" ca="1" si="57"/>
        <v>#DIV/0!</v>
      </c>
    </row>
    <row r="102" spans="10:74" x14ac:dyDescent="0.35">
      <c r="J102">
        <f t="shared" si="58"/>
        <v>94</v>
      </c>
      <c r="K102" t="s">
        <v>29</v>
      </c>
      <c r="L102" t="e">
        <f ca="1">AVERAGEIFS(INDIRECT($B$3),INDIRECT($B$3),"&gt;=0",Data!$B:$B,$K102)</f>
        <v>#DIV/0!</v>
      </c>
      <c r="M102" t="e">
        <f t="shared" ca="1" si="59"/>
        <v>#DIV/0!</v>
      </c>
      <c r="N102" t="s">
        <v>75</v>
      </c>
      <c r="O102" t="e">
        <f ca="1">AVERAGEIFS(INDIRECT($C$3),INDIRECT($C$3),"&gt;=0",Data!$B:$B,$N102)</f>
        <v>#DIV/0!</v>
      </c>
      <c r="P102" t="e">
        <f t="shared" ca="1" si="32"/>
        <v>#DIV/0!</v>
      </c>
      <c r="Q102" t="s">
        <v>19</v>
      </c>
      <c r="R102" t="e">
        <f ca="1">AVERAGEIFS(INDIRECT($D$3),INDIRECT($D$3),"&gt;=0",Data!$B:$B,$Q102)</f>
        <v>#DIV/0!</v>
      </c>
      <c r="S102" t="e">
        <f t="shared" ca="1" si="33"/>
        <v>#DIV/0!</v>
      </c>
      <c r="T102" t="s">
        <v>144</v>
      </c>
      <c r="U102" t="e">
        <f ca="1">AVERAGEIFS(INDIRECT($E$3),INDIRECT($E$3),"&gt;=0",Data!$B:$B,$T102)</f>
        <v>#DIV/0!</v>
      </c>
      <c r="V102" t="e">
        <f t="shared" ca="1" si="34"/>
        <v>#DIV/0!</v>
      </c>
      <c r="W102" t="s">
        <v>127</v>
      </c>
      <c r="X102" t="e">
        <f ca="1">AVERAGEIFS(INDIRECT($F$3),INDIRECT($F$3),"&gt;=0",Data!$B:$B,$W102)</f>
        <v>#DIV/0!</v>
      </c>
      <c r="Y102" t="e">
        <f t="shared" ca="1" si="35"/>
        <v>#DIV/0!</v>
      </c>
      <c r="Z102" t="s">
        <v>138</v>
      </c>
      <c r="AA102" t="e">
        <f ca="1">AVERAGEIFS(INDIRECT($G$3),INDIRECT($G$3),"&gt;=0",Data!$B:$B,$Z102)</f>
        <v>#DIV/0!</v>
      </c>
      <c r="AB102" t="e">
        <f t="shared" ca="1" si="36"/>
        <v>#DIV/0!</v>
      </c>
      <c r="AC102" t="s">
        <v>117</v>
      </c>
      <c r="AD102" t="e">
        <f ca="1">AVERAGEIFS(INDIRECT($H$3),INDIRECT($H$3),"&gt;=0",Data!$B:$B,$AC102)</f>
        <v>#DIV/0!</v>
      </c>
      <c r="AE102" t="e">
        <f t="shared" ca="1" si="37"/>
        <v>#DIV/0!</v>
      </c>
      <c r="AF102" t="s">
        <v>52</v>
      </c>
      <c r="AG102" t="e">
        <f ca="1">AVERAGEIFS(INDIRECT($I$3),INDIRECT($I$3),"&gt;=0",Data!$B:$B,$AF102)</f>
        <v>#DIV/0!</v>
      </c>
      <c r="AH102" t="e">
        <f t="shared" ca="1" si="38"/>
        <v>#DIV/0!</v>
      </c>
      <c r="AI102" t="s">
        <v>98</v>
      </c>
      <c r="AJ102" t="e">
        <f ca="1">AVERAGEIFS(INDIRECT($J$3),INDIRECT($J$3),"&gt;=0",Data!$B:$B,$AI102)</f>
        <v>#DIV/0!</v>
      </c>
      <c r="AK102" t="e">
        <f t="shared" ca="1" si="39"/>
        <v>#DIV/0!</v>
      </c>
      <c r="AL102" t="str">
        <f t="shared" ca="1" si="40"/>
        <v>-</v>
      </c>
      <c r="AM102" t="str">
        <f t="shared" ca="1" si="41"/>
        <v>-</v>
      </c>
      <c r="AN102" t="str">
        <f t="shared" ca="1" si="42"/>
        <v>-</v>
      </c>
      <c r="AO102" t="str">
        <f t="shared" ca="1" si="43"/>
        <v>-</v>
      </c>
      <c r="AP102" t="str">
        <f t="shared" ca="1" si="44"/>
        <v>-</v>
      </c>
      <c r="AQ102" t="str">
        <f t="shared" ca="1" si="45"/>
        <v>-</v>
      </c>
      <c r="AR102" t="str">
        <f t="shared" ca="1" si="46"/>
        <v>-</v>
      </c>
      <c r="AS102" t="str">
        <f t="shared" ca="1" si="47"/>
        <v>-</v>
      </c>
      <c r="AT102" t="str">
        <f t="shared" ca="1" si="48"/>
        <v>-</v>
      </c>
      <c r="AU102">
        <f t="shared" si="60"/>
        <v>94</v>
      </c>
      <c r="AV102" t="s">
        <v>155</v>
      </c>
      <c r="AW102" s="20" t="e">
        <f ca="1">AVERAGEIFS(INDIRECT($B$3),INDIRECT($B$3),"&gt;=0",Data!$B:$B,AV102,IF($A$20,Data!$J:$J,Data!#REF!),IF($A$20,"&lt;&gt;5",1))</f>
        <v>#DIV/0!</v>
      </c>
      <c r="AX102" t="e">
        <f t="shared" ca="1" si="49"/>
        <v>#DIV/0!</v>
      </c>
      <c r="AY102" s="20" t="s">
        <v>156</v>
      </c>
      <c r="AZ102" t="e">
        <f ca="1">AVERAGEIFS(INDIRECT($C$3),INDIRECT($C$3),"&gt;=0",Data!$B:$B,AY102,IF($A$20,Data!$J:$J,Data!#REF!),IF($A$20,"&lt;&gt;5",1))</f>
        <v>#DIV/0!</v>
      </c>
      <c r="BA102" s="20" t="e">
        <f t="shared" ca="1" si="50"/>
        <v>#DIV/0!</v>
      </c>
      <c r="BB102" t="s">
        <v>46</v>
      </c>
      <c r="BC102" s="20" t="e">
        <f ca="1">AVERAGEIFS(INDIRECT($D$3),INDIRECT($D$3),"&gt;=0",Data!$B:$B,BB102,IF($A$20,Data!$J:$J,Data!#REF!),IF($A$20,"&lt;&gt;5",1))</f>
        <v>#DIV/0!</v>
      </c>
      <c r="BD102" t="e">
        <f t="shared" ca="1" si="51"/>
        <v>#DIV/0!</v>
      </c>
      <c r="BE102" s="20" t="s">
        <v>47</v>
      </c>
      <c r="BF102" t="e">
        <f ca="1">AVERAGEIFS(INDIRECT($E$3),INDIRECT($E$3),"&gt;=0",Data!$B:$B,BE102,IF($A$20,Data!$J:$J,Data!#REF!),IF($A$20,"&lt;&gt;5",1))</f>
        <v>#DIV/0!</v>
      </c>
      <c r="BG102" s="20" t="e">
        <f t="shared" ca="1" si="52"/>
        <v>#DIV/0!</v>
      </c>
      <c r="BH102" t="s">
        <v>75</v>
      </c>
      <c r="BI102" s="20" t="e">
        <f ca="1">AVERAGEIFS(INDIRECT($F$3),INDIRECT($F$3),"&gt;=0",Data!$B:$B,BH102,IF($A$20,Data!$J:$J,Data!#REF!),IF($A$20,"&lt;&gt;5",1))</f>
        <v>#DIV/0!</v>
      </c>
      <c r="BJ102" t="e">
        <f t="shared" ca="1" si="53"/>
        <v>#DIV/0!</v>
      </c>
      <c r="BK102" s="20" t="s">
        <v>156</v>
      </c>
      <c r="BL102" t="e">
        <f ca="1">AVERAGEIFS(INDIRECT($G$3),INDIRECT($G$3),"&gt;=0",Data!$B:$B,BK102,IF($A$20,Data!$J:$J,Data!#REF!),IF($A$20,"&lt;&gt;5",1))</f>
        <v>#DIV/0!</v>
      </c>
      <c r="BM102" s="20" t="e">
        <f t="shared" ca="1" si="54"/>
        <v>#DIV/0!</v>
      </c>
      <c r="BN102" t="s">
        <v>139</v>
      </c>
      <c r="BO102" t="e">
        <f ca="1">AVERAGEIFS(INDIRECT($H$3),INDIRECT($H$3),"&gt;=0",Data!$B:$B,BN102,IF($A$20,Data!$J:$J,Data!#REF!),IF($A$20,"&lt;&gt;5",1))</f>
        <v>#DIV/0!</v>
      </c>
      <c r="BP102" t="e">
        <f t="shared" ca="1" si="55"/>
        <v>#DIV/0!</v>
      </c>
      <c r="BQ102" t="s">
        <v>156</v>
      </c>
      <c r="BR102" t="e">
        <f ca="1">AVERAGEIFS(INDIRECT($I$3),INDIRECT($I$3),"&gt;=0",Data!$B:$B,BQ102,IF($A$20,Data!$J:$J,Data!#REF!),IF($A$20,"&lt;&gt;5",1))</f>
        <v>#DIV/0!</v>
      </c>
      <c r="BS102" t="e">
        <f t="shared" ca="1" si="56"/>
        <v>#DIV/0!</v>
      </c>
      <c r="BT102" t="s">
        <v>93</v>
      </c>
      <c r="BU102" t="e">
        <f ca="1">AVERAGEIFS(INDIRECT($J$3),INDIRECT($J$3),"&gt;=0",Data!$B:$B,BT102,IF($A$20,Data!$J:$J,Data!#REF!),IF($A$20,"&lt;&gt;5",1))</f>
        <v>#DIV/0!</v>
      </c>
      <c r="BV102" t="e">
        <f t="shared" ca="1" si="57"/>
        <v>#DIV/0!</v>
      </c>
    </row>
    <row r="103" spans="10:74" x14ac:dyDescent="0.35">
      <c r="J103">
        <f t="shared" si="58"/>
        <v>95</v>
      </c>
      <c r="K103" t="s">
        <v>47</v>
      </c>
      <c r="L103" t="e">
        <f ca="1">AVERAGEIFS(INDIRECT($B$3),INDIRECT($B$3),"&gt;=0",Data!$B:$B,$K103)</f>
        <v>#DIV/0!</v>
      </c>
      <c r="M103" t="e">
        <f t="shared" ca="1" si="59"/>
        <v>#DIV/0!</v>
      </c>
      <c r="N103" t="s">
        <v>39</v>
      </c>
      <c r="O103" t="e">
        <f ca="1">AVERAGEIFS(INDIRECT($C$3),INDIRECT($C$3),"&gt;=0",Data!$B:$B,$N103)</f>
        <v>#DIV/0!</v>
      </c>
      <c r="P103" t="e">
        <f t="shared" ca="1" si="32"/>
        <v>#DIV/0!</v>
      </c>
      <c r="Q103" t="s">
        <v>25</v>
      </c>
      <c r="R103" t="e">
        <f ca="1">AVERAGEIFS(INDIRECT($D$3),INDIRECT($D$3),"&gt;=0",Data!$B:$B,$Q103)</f>
        <v>#DIV/0!</v>
      </c>
      <c r="S103" t="e">
        <f t="shared" ca="1" si="33"/>
        <v>#DIV/0!</v>
      </c>
      <c r="T103" t="s">
        <v>149</v>
      </c>
      <c r="U103" t="e">
        <f ca="1">AVERAGEIFS(INDIRECT($E$3),INDIRECT($E$3),"&gt;=0",Data!$B:$B,$T103)</f>
        <v>#DIV/0!</v>
      </c>
      <c r="V103" t="e">
        <f t="shared" ca="1" si="34"/>
        <v>#DIV/0!</v>
      </c>
      <c r="W103" t="s">
        <v>165</v>
      </c>
      <c r="X103" t="e">
        <f ca="1">AVERAGEIFS(INDIRECT($F$3),INDIRECT($F$3),"&gt;=0",Data!$B:$B,$W103)</f>
        <v>#DIV/0!</v>
      </c>
      <c r="Y103" t="e">
        <f t="shared" ca="1" si="35"/>
        <v>#DIV/0!</v>
      </c>
      <c r="Z103" t="s">
        <v>177</v>
      </c>
      <c r="AA103" t="e">
        <f ca="1">AVERAGEIFS(INDIRECT($G$3),INDIRECT($G$3),"&gt;=0",Data!$B:$B,$Z103)</f>
        <v>#DIV/0!</v>
      </c>
      <c r="AB103" t="e">
        <f t="shared" ca="1" si="36"/>
        <v>#DIV/0!</v>
      </c>
      <c r="AC103" t="s">
        <v>146</v>
      </c>
      <c r="AD103" t="e">
        <f ca="1">AVERAGEIFS(INDIRECT($H$3),INDIRECT($H$3),"&gt;=0",Data!$B:$B,$AC103)</f>
        <v>#DIV/0!</v>
      </c>
      <c r="AE103" t="e">
        <f t="shared" ca="1" si="37"/>
        <v>#DIV/0!</v>
      </c>
      <c r="AF103" t="s">
        <v>170</v>
      </c>
      <c r="AG103" t="e">
        <f ca="1">AVERAGEIFS(INDIRECT($I$3),INDIRECT($I$3),"&gt;=0",Data!$B:$B,$AF103)</f>
        <v>#DIV/0!</v>
      </c>
      <c r="AH103" t="e">
        <f t="shared" ca="1" si="38"/>
        <v>#DIV/0!</v>
      </c>
      <c r="AI103" t="s">
        <v>195</v>
      </c>
      <c r="AJ103" t="e">
        <f ca="1">AVERAGEIFS(INDIRECT($J$3),INDIRECT($J$3),"&gt;=0",Data!$B:$B,$AI103)</f>
        <v>#DIV/0!</v>
      </c>
      <c r="AK103" t="e">
        <f t="shared" ca="1" si="39"/>
        <v>#DIV/0!</v>
      </c>
      <c r="AL103" t="str">
        <f t="shared" ca="1" si="40"/>
        <v>-</v>
      </c>
      <c r="AM103" t="str">
        <f t="shared" ca="1" si="41"/>
        <v>-</v>
      </c>
      <c r="AN103" t="str">
        <f t="shared" ca="1" si="42"/>
        <v>-</v>
      </c>
      <c r="AO103" t="str">
        <f t="shared" ca="1" si="43"/>
        <v>-</v>
      </c>
      <c r="AP103" t="str">
        <f t="shared" ca="1" si="44"/>
        <v>-</v>
      </c>
      <c r="AQ103" t="str">
        <f t="shared" ca="1" si="45"/>
        <v>-</v>
      </c>
      <c r="AR103" t="str">
        <f t="shared" ca="1" si="46"/>
        <v>-</v>
      </c>
      <c r="AS103" t="str">
        <f t="shared" ca="1" si="47"/>
        <v>-</v>
      </c>
      <c r="AT103" t="str">
        <f t="shared" ca="1" si="48"/>
        <v>-</v>
      </c>
      <c r="AU103">
        <f t="shared" si="60"/>
        <v>95</v>
      </c>
      <c r="AV103" t="s">
        <v>184</v>
      </c>
      <c r="AW103" s="20" t="e">
        <f ca="1">AVERAGEIFS(INDIRECT($B$3),INDIRECT($B$3),"&gt;=0",Data!$B:$B,AV103,IF($A$20,Data!$J:$J,Data!#REF!),IF($A$20,"&lt;&gt;5",1))</f>
        <v>#DIV/0!</v>
      </c>
      <c r="AX103" t="e">
        <f t="shared" ca="1" si="49"/>
        <v>#DIV/0!</v>
      </c>
      <c r="AY103" s="20" t="s">
        <v>148</v>
      </c>
      <c r="AZ103" t="e">
        <f ca="1">AVERAGEIFS(INDIRECT($C$3),INDIRECT($C$3),"&gt;=0",Data!$B:$B,AY103,IF($A$20,Data!$J:$J,Data!#REF!),IF($A$20,"&lt;&gt;5",1))</f>
        <v>#DIV/0!</v>
      </c>
      <c r="BA103" s="20" t="e">
        <f t="shared" ca="1" si="50"/>
        <v>#DIV/0!</v>
      </c>
      <c r="BB103" t="s">
        <v>110</v>
      </c>
      <c r="BC103" s="20" t="e">
        <f ca="1">AVERAGEIFS(INDIRECT($D$3),INDIRECT($D$3),"&gt;=0",Data!$B:$B,BB103,IF($A$20,Data!$J:$J,Data!#REF!),IF($A$20,"&lt;&gt;5",1))</f>
        <v>#DIV/0!</v>
      </c>
      <c r="BD103" t="e">
        <f t="shared" ca="1" si="51"/>
        <v>#DIV/0!</v>
      </c>
      <c r="BE103" s="20" t="s">
        <v>82</v>
      </c>
      <c r="BF103" t="e">
        <f ca="1">AVERAGEIFS(INDIRECT($E$3),INDIRECT($E$3),"&gt;=0",Data!$B:$B,BE103,IF($A$20,Data!$J:$J,Data!#REF!),IF($A$20,"&lt;&gt;5",1))</f>
        <v>#DIV/0!</v>
      </c>
      <c r="BG103" s="20" t="e">
        <f t="shared" ca="1" si="52"/>
        <v>#DIV/0!</v>
      </c>
      <c r="BH103" t="s">
        <v>19</v>
      </c>
      <c r="BI103" s="20" t="e">
        <f ca="1">AVERAGEIFS(INDIRECT($F$3),INDIRECT($F$3),"&gt;=0",Data!$B:$B,BH103,IF($A$20,Data!$J:$J,Data!#REF!),IF($A$20,"&lt;&gt;5",1))</f>
        <v>#DIV/0!</v>
      </c>
      <c r="BJ103" t="e">
        <f t="shared" ca="1" si="53"/>
        <v>#DIV/0!</v>
      </c>
      <c r="BK103" s="20" t="s">
        <v>197</v>
      </c>
      <c r="BL103" t="e">
        <f ca="1">AVERAGEIFS(INDIRECT($G$3),INDIRECT($G$3),"&gt;=0",Data!$B:$B,BK103,IF($A$20,Data!$J:$J,Data!#REF!),IF($A$20,"&lt;&gt;5",1))</f>
        <v>#DIV/0!</v>
      </c>
      <c r="BM103" s="20" t="e">
        <f t="shared" ca="1" si="54"/>
        <v>#DIV/0!</v>
      </c>
      <c r="BN103" t="s">
        <v>153</v>
      </c>
      <c r="BO103" t="e">
        <f ca="1">AVERAGEIFS(INDIRECT($H$3),INDIRECT($H$3),"&gt;=0",Data!$B:$B,BN103,IF($A$20,Data!$J:$J,Data!#REF!),IF($A$20,"&lt;&gt;5",1))</f>
        <v>#DIV/0!</v>
      </c>
      <c r="BP103" t="e">
        <f t="shared" ca="1" si="55"/>
        <v>#DIV/0!</v>
      </c>
      <c r="BQ103" t="s">
        <v>78</v>
      </c>
      <c r="BR103">
        <f ca="1">AVERAGEIFS(INDIRECT($I$3),INDIRECT($I$3),"&gt;=0",Data!$B:$B,BQ103,IF($A$20,Data!$J:$J,Data!#REF!),IF($A$20,"&lt;&gt;5",1))</f>
        <v>0.43478260869565216</v>
      </c>
      <c r="BS103" t="e">
        <f t="shared" ca="1" si="56"/>
        <v>#DIV/0!</v>
      </c>
      <c r="BT103" t="s">
        <v>90</v>
      </c>
      <c r="BU103" t="e">
        <f ca="1">AVERAGEIFS(INDIRECT($J$3),INDIRECT($J$3),"&gt;=0",Data!$B:$B,BT103,IF($A$20,Data!$J:$J,Data!#REF!),IF($A$20,"&lt;&gt;5",1))</f>
        <v>#DIV/0!</v>
      </c>
      <c r="BV103" t="e">
        <f t="shared" ca="1" si="57"/>
        <v>#DIV/0!</v>
      </c>
    </row>
    <row r="104" spans="10:74" x14ac:dyDescent="0.35">
      <c r="J104">
        <f t="shared" si="58"/>
        <v>96</v>
      </c>
      <c r="K104" t="s">
        <v>59</v>
      </c>
      <c r="L104" t="e">
        <f ca="1">AVERAGEIFS(INDIRECT($B$3),INDIRECT($B$3),"&gt;=0",Data!$B:$B,$K104)</f>
        <v>#DIV/0!</v>
      </c>
      <c r="M104" t="e">
        <f t="shared" ca="1" si="59"/>
        <v>#DIV/0!</v>
      </c>
      <c r="N104" t="s">
        <v>78</v>
      </c>
      <c r="O104" t="e">
        <f ca="1">AVERAGEIFS(INDIRECT($C$3),INDIRECT($C$3),"&gt;=0",Data!$B:$B,$N104)</f>
        <v>#DIV/0!</v>
      </c>
      <c r="P104" t="e">
        <f t="shared" ca="1" si="32"/>
        <v>#DIV/0!</v>
      </c>
      <c r="Q104" t="s">
        <v>29</v>
      </c>
      <c r="R104" t="e">
        <f ca="1">AVERAGEIFS(INDIRECT($D$3),INDIRECT($D$3),"&gt;=0",Data!$B:$B,$Q104)</f>
        <v>#DIV/0!</v>
      </c>
      <c r="S104" t="e">
        <f t="shared" ca="1" si="33"/>
        <v>#DIV/0!</v>
      </c>
      <c r="T104" t="s">
        <v>159</v>
      </c>
      <c r="U104" t="e">
        <f ca="1">AVERAGEIFS(INDIRECT($E$3),INDIRECT($E$3),"&gt;=0",Data!$B:$B,$T104)</f>
        <v>#DIV/0!</v>
      </c>
      <c r="V104" t="e">
        <f t="shared" ca="1" si="34"/>
        <v>#DIV/0!</v>
      </c>
      <c r="W104" t="s">
        <v>173</v>
      </c>
      <c r="X104" t="e">
        <f ca="1">AVERAGEIFS(INDIRECT($F$3),INDIRECT($F$3),"&gt;=0",Data!$B:$B,$W104)</f>
        <v>#DIV/0!</v>
      </c>
      <c r="Y104" t="e">
        <f t="shared" ca="1" si="35"/>
        <v>#DIV/0!</v>
      </c>
      <c r="Z104" t="s">
        <v>184</v>
      </c>
      <c r="AA104" t="e">
        <f ca="1">AVERAGEIFS(INDIRECT($G$3),INDIRECT($G$3),"&gt;=0",Data!$B:$B,$Z104)</f>
        <v>#DIV/0!</v>
      </c>
      <c r="AB104" t="e">
        <f t="shared" ca="1" si="36"/>
        <v>#DIV/0!</v>
      </c>
      <c r="AC104" t="s">
        <v>153</v>
      </c>
      <c r="AD104" t="e">
        <f ca="1">AVERAGEIFS(INDIRECT($H$3),INDIRECT($H$3),"&gt;=0",Data!$B:$B,$AC104)</f>
        <v>#DIV/0!</v>
      </c>
      <c r="AE104" t="e">
        <f t="shared" ca="1" si="37"/>
        <v>#DIV/0!</v>
      </c>
      <c r="AF104" t="s">
        <v>34</v>
      </c>
      <c r="AG104">
        <f ca="1">AVERAGEIFS(INDIRECT($I$3),INDIRECT($I$3),"&gt;=0",Data!$B:$B,$AF104)</f>
        <v>0.6470588235294118</v>
      </c>
      <c r="AH104" t="e">
        <f t="shared" ca="1" si="38"/>
        <v>#DIV/0!</v>
      </c>
      <c r="AI104" t="s">
        <v>97</v>
      </c>
      <c r="AJ104">
        <f ca="1">AVERAGEIFS(INDIRECT($J$3),INDIRECT($J$3),"&gt;=0",Data!$B:$B,$AI104)</f>
        <v>0.17391304347826086</v>
      </c>
      <c r="AK104" t="e">
        <f t="shared" ca="1" si="39"/>
        <v>#DIV/0!</v>
      </c>
      <c r="AL104" t="str">
        <f t="shared" ca="1" si="40"/>
        <v>-</v>
      </c>
      <c r="AM104" t="str">
        <f t="shared" ca="1" si="41"/>
        <v>-</v>
      </c>
      <c r="AN104" t="str">
        <f t="shared" ca="1" si="42"/>
        <v>-</v>
      </c>
      <c r="AO104" t="str">
        <f t="shared" ca="1" si="43"/>
        <v>-</v>
      </c>
      <c r="AP104" t="str">
        <f t="shared" ca="1" si="44"/>
        <v>-</v>
      </c>
      <c r="AQ104" t="str">
        <f t="shared" ca="1" si="45"/>
        <v>-</v>
      </c>
      <c r="AR104" t="str">
        <f t="shared" ca="1" si="46"/>
        <v>-</v>
      </c>
      <c r="AS104" t="str">
        <f t="shared" ca="1" si="47"/>
        <v>-</v>
      </c>
      <c r="AT104" t="str">
        <f t="shared" ca="1" si="48"/>
        <v>-</v>
      </c>
      <c r="AU104">
        <f t="shared" si="60"/>
        <v>96</v>
      </c>
      <c r="AV104" t="s">
        <v>27</v>
      </c>
      <c r="AW104" s="20" t="e">
        <f ca="1">AVERAGEIFS(INDIRECT($B$3),INDIRECT($B$3),"&gt;=0",Data!$B:$B,AV104,IF($A$20,Data!$J:$J,Data!#REF!),IF($A$20,"&lt;&gt;5",1))</f>
        <v>#DIV/0!</v>
      </c>
      <c r="AX104" t="e">
        <f t="shared" ca="1" si="49"/>
        <v>#DIV/0!</v>
      </c>
      <c r="AY104" s="20" t="s">
        <v>195</v>
      </c>
      <c r="AZ104" t="e">
        <f ca="1">AVERAGEIFS(INDIRECT($C$3),INDIRECT($C$3),"&gt;=0",Data!$B:$B,AY104,IF($A$20,Data!$J:$J,Data!#REF!),IF($A$20,"&lt;&gt;5",1))</f>
        <v>#DIV/0!</v>
      </c>
      <c r="BA104" s="20" t="e">
        <f t="shared" ca="1" si="50"/>
        <v>#DIV/0!</v>
      </c>
      <c r="BB104" t="s">
        <v>169</v>
      </c>
      <c r="BC104" s="20" t="e">
        <f ca="1">AVERAGEIFS(INDIRECT($D$3),INDIRECT($D$3),"&gt;=0",Data!$B:$B,BB104,IF($A$20,Data!$J:$J,Data!#REF!),IF($A$20,"&lt;&gt;5",1))</f>
        <v>#DIV/0!</v>
      </c>
      <c r="BD104" t="e">
        <f t="shared" ca="1" si="51"/>
        <v>#DIV/0!</v>
      </c>
      <c r="BE104" s="20" t="s">
        <v>158</v>
      </c>
      <c r="BF104" t="e">
        <f ca="1">AVERAGEIFS(INDIRECT($E$3),INDIRECT($E$3),"&gt;=0",Data!$B:$B,BE104,IF($A$20,Data!$J:$J,Data!#REF!),IF($A$20,"&lt;&gt;5",1))</f>
        <v>#DIV/0!</v>
      </c>
      <c r="BG104" s="20" t="e">
        <f t="shared" ca="1" si="52"/>
        <v>#DIV/0!</v>
      </c>
      <c r="BH104" t="s">
        <v>27</v>
      </c>
      <c r="BI104" s="20" t="e">
        <f ca="1">AVERAGEIFS(INDIRECT($F$3),INDIRECT($F$3),"&gt;=0",Data!$B:$B,BH104,IF($A$20,Data!$J:$J,Data!#REF!),IF($A$20,"&lt;&gt;5",1))</f>
        <v>#DIV/0!</v>
      </c>
      <c r="BJ104" t="e">
        <f t="shared" ca="1" si="53"/>
        <v>#DIV/0!</v>
      </c>
      <c r="BK104" s="20" t="s">
        <v>7</v>
      </c>
      <c r="BL104" t="e">
        <f ca="1">AVERAGEIFS(INDIRECT($G$3),INDIRECT($G$3),"&gt;=0",Data!$B:$B,BK104,IF($A$20,Data!$J:$J,Data!#REF!),IF($A$20,"&lt;&gt;5",1))</f>
        <v>#DIV/0!</v>
      </c>
      <c r="BM104" s="20" t="e">
        <f t="shared" ca="1" si="54"/>
        <v>#DIV/0!</v>
      </c>
      <c r="BN104" t="s">
        <v>174</v>
      </c>
      <c r="BO104" t="e">
        <f ca="1">AVERAGEIFS(INDIRECT($H$3),INDIRECT($H$3),"&gt;=0",Data!$B:$B,BN104,IF($A$20,Data!$J:$J,Data!#REF!),IF($A$20,"&lt;&gt;5",1))</f>
        <v>#DIV/0!</v>
      </c>
      <c r="BP104" t="e">
        <f t="shared" ca="1" si="55"/>
        <v>#DIV/0!</v>
      </c>
      <c r="BQ104" t="s">
        <v>147</v>
      </c>
      <c r="BR104">
        <f ca="1">AVERAGEIFS(INDIRECT($I$3),INDIRECT($I$3),"&gt;=0",Data!$B:$B,BQ104,IF($A$20,Data!$J:$J,Data!#REF!),IF($A$20,"&lt;&gt;5",1))</f>
        <v>0.875</v>
      </c>
      <c r="BS104">
        <f t="shared" ca="1" si="56"/>
        <v>96</v>
      </c>
      <c r="BT104" t="s">
        <v>89</v>
      </c>
      <c r="BU104" t="e">
        <f ca="1">AVERAGEIFS(INDIRECT($J$3),INDIRECT($J$3),"&gt;=0",Data!$B:$B,BT104,IF($A$20,Data!$J:$J,Data!#REF!),IF($A$20,"&lt;&gt;5",1))</f>
        <v>#DIV/0!</v>
      </c>
      <c r="BV104" t="e">
        <f t="shared" ca="1" si="57"/>
        <v>#DIV/0!</v>
      </c>
    </row>
    <row r="105" spans="10:74" x14ac:dyDescent="0.35">
      <c r="J105">
        <f t="shared" si="58"/>
        <v>97</v>
      </c>
      <c r="K105" t="s">
        <v>71</v>
      </c>
      <c r="L105" t="e">
        <f ca="1">AVERAGEIFS(INDIRECT($B$3),INDIRECT($B$3),"&gt;=0",Data!$B:$B,$K105)</f>
        <v>#DIV/0!</v>
      </c>
      <c r="M105" t="e">
        <f t="shared" ca="1" si="59"/>
        <v>#DIV/0!</v>
      </c>
      <c r="N105" t="s">
        <v>14</v>
      </c>
      <c r="O105" t="e">
        <f ca="1">AVERAGEIFS(INDIRECT($C$3),INDIRECT($C$3),"&gt;=0",Data!$B:$B,$N105)</f>
        <v>#DIV/0!</v>
      </c>
      <c r="P105" t="e">
        <f t="shared" ca="1" si="32"/>
        <v>#DIV/0!</v>
      </c>
      <c r="Q105" t="s">
        <v>33</v>
      </c>
      <c r="R105" t="e">
        <f ca="1">AVERAGEIFS(INDIRECT($D$3),INDIRECT($D$3),"&gt;=0",Data!$B:$B,$Q105)</f>
        <v>#DIV/0!</v>
      </c>
      <c r="S105" t="e">
        <f t="shared" ca="1" si="33"/>
        <v>#DIV/0!</v>
      </c>
      <c r="T105" t="s">
        <v>160</v>
      </c>
      <c r="U105" t="e">
        <f ca="1">AVERAGEIFS(INDIRECT($E$3),INDIRECT($E$3),"&gt;=0",Data!$B:$B,$T105)</f>
        <v>#DIV/0!</v>
      </c>
      <c r="V105" t="e">
        <f t="shared" ca="1" si="34"/>
        <v>#DIV/0!</v>
      </c>
      <c r="W105" t="s">
        <v>185</v>
      </c>
      <c r="X105" t="e">
        <f ca="1">AVERAGEIFS(INDIRECT($F$3),INDIRECT($F$3),"&gt;=0",Data!$B:$B,$W105)</f>
        <v>#DIV/0!</v>
      </c>
      <c r="Y105" t="e">
        <f t="shared" ca="1" si="35"/>
        <v>#DIV/0!</v>
      </c>
      <c r="Z105" t="s">
        <v>139</v>
      </c>
      <c r="AA105" t="e">
        <f ca="1">AVERAGEIFS(INDIRECT($G$3),INDIRECT($G$3),"&gt;=0",Data!$B:$B,$Z105)</f>
        <v>#DIV/0!</v>
      </c>
      <c r="AB105" t="e">
        <f t="shared" ca="1" si="36"/>
        <v>#DIV/0!</v>
      </c>
      <c r="AC105" t="s">
        <v>174</v>
      </c>
      <c r="AD105" t="e">
        <f ca="1">AVERAGEIFS(INDIRECT($H$3),INDIRECT($H$3),"&gt;=0",Data!$B:$B,$AC105)</f>
        <v>#DIV/0!</v>
      </c>
      <c r="AE105" t="e">
        <f t="shared" ca="1" si="37"/>
        <v>#DIV/0!</v>
      </c>
      <c r="AF105" t="s">
        <v>65</v>
      </c>
      <c r="AG105" t="e">
        <f ca="1">AVERAGEIFS(INDIRECT($I$3),INDIRECT($I$3),"&gt;=0",Data!$B:$B,$AF105)</f>
        <v>#DIV/0!</v>
      </c>
      <c r="AH105" t="e">
        <f t="shared" ca="1" si="38"/>
        <v>#DIV/0!</v>
      </c>
      <c r="AI105" t="s">
        <v>93</v>
      </c>
      <c r="AJ105" t="e">
        <f ca="1">AVERAGEIFS(INDIRECT($J$3),INDIRECT($J$3),"&gt;=0",Data!$B:$B,$AI105)</f>
        <v>#DIV/0!</v>
      </c>
      <c r="AK105" t="e">
        <f t="shared" ca="1" si="39"/>
        <v>#DIV/0!</v>
      </c>
      <c r="AL105" t="str">
        <f t="shared" ca="1" si="40"/>
        <v>-</v>
      </c>
      <c r="AM105" t="str">
        <f t="shared" ca="1" si="41"/>
        <v>-</v>
      </c>
      <c r="AN105" t="str">
        <f t="shared" ca="1" si="42"/>
        <v>-</v>
      </c>
      <c r="AO105" t="str">
        <f t="shared" ca="1" si="43"/>
        <v>-</v>
      </c>
      <c r="AP105" t="str">
        <f t="shared" ca="1" si="44"/>
        <v>-</v>
      </c>
      <c r="AQ105" t="str">
        <f t="shared" ca="1" si="45"/>
        <v>-</v>
      </c>
      <c r="AR105" t="str">
        <f t="shared" ca="1" si="46"/>
        <v>-</v>
      </c>
      <c r="AS105" t="str">
        <f t="shared" ca="1" si="47"/>
        <v>-</v>
      </c>
      <c r="AT105" t="str">
        <f t="shared" ca="1" si="48"/>
        <v>-</v>
      </c>
      <c r="AU105">
        <f t="shared" si="60"/>
        <v>97</v>
      </c>
      <c r="AV105" t="s">
        <v>71</v>
      </c>
      <c r="AW105" s="20" t="e">
        <f ca="1">AVERAGEIFS(INDIRECT($B$3),INDIRECT($B$3),"&gt;=0",Data!$B:$B,AV105,IF($A$20,Data!$J:$J,Data!#REF!),IF($A$20,"&lt;&gt;5",1))</f>
        <v>#DIV/0!</v>
      </c>
      <c r="AX105" t="e">
        <f t="shared" ca="1" si="49"/>
        <v>#DIV/0!</v>
      </c>
      <c r="AY105" s="20" t="s">
        <v>43</v>
      </c>
      <c r="AZ105" t="e">
        <f ca="1">AVERAGEIFS(INDIRECT($C$3),INDIRECT($C$3),"&gt;=0",Data!$B:$B,AY105,IF($A$20,Data!$J:$J,Data!#REF!),IF($A$20,"&lt;&gt;5",1))</f>
        <v>#DIV/0!</v>
      </c>
      <c r="BA105" s="20" t="e">
        <f t="shared" ca="1" si="50"/>
        <v>#DIV/0!</v>
      </c>
      <c r="BB105" t="s">
        <v>11</v>
      </c>
      <c r="BC105" s="20" t="e">
        <f ca="1">AVERAGEIFS(INDIRECT($D$3),INDIRECT($D$3),"&gt;=0",Data!$B:$B,BB105,IF($A$20,Data!$J:$J,Data!#REF!),IF($A$20,"&lt;&gt;5",1))</f>
        <v>#DIV/0!</v>
      </c>
      <c r="BD105" t="e">
        <f t="shared" ca="1" si="51"/>
        <v>#DIV/0!</v>
      </c>
      <c r="BE105" s="20" t="s">
        <v>133</v>
      </c>
      <c r="BF105" t="e">
        <f ca="1">AVERAGEIFS(INDIRECT($E$3),INDIRECT($E$3),"&gt;=0",Data!$B:$B,BE105,IF($A$20,Data!$J:$J,Data!#REF!),IF($A$20,"&lt;&gt;5",1))</f>
        <v>#DIV/0!</v>
      </c>
      <c r="BG105" s="20" t="e">
        <f t="shared" ca="1" si="52"/>
        <v>#DIV/0!</v>
      </c>
      <c r="BH105" t="s">
        <v>42</v>
      </c>
      <c r="BI105" s="20" t="e">
        <f ca="1">AVERAGEIFS(INDIRECT($F$3),INDIRECT($F$3),"&gt;=0",Data!$B:$B,BH105,IF($A$20,Data!$J:$J,Data!#REF!),IF($A$20,"&lt;&gt;5",1))</f>
        <v>#DIV/0!</v>
      </c>
      <c r="BJ105" t="e">
        <f t="shared" ca="1" si="53"/>
        <v>#DIV/0!</v>
      </c>
      <c r="BK105" s="20" t="s">
        <v>44</v>
      </c>
      <c r="BL105">
        <f ca="1">AVERAGEIFS(INDIRECT($G$3),INDIRECT($G$3),"&gt;=0",Data!$B:$B,BK105,IF($A$20,Data!$J:$J,Data!#REF!),IF($A$20,"&lt;&gt;5",1))</f>
        <v>0.58333333333333337</v>
      </c>
      <c r="BM105" s="20" t="e">
        <f t="shared" ca="1" si="54"/>
        <v>#DIV/0!</v>
      </c>
      <c r="BN105" t="s">
        <v>96</v>
      </c>
      <c r="BO105" t="e">
        <f ca="1">AVERAGEIFS(INDIRECT($H$3),INDIRECT($H$3),"&gt;=0",Data!$B:$B,BN105,IF($A$20,Data!$J:$J,Data!#REF!),IF($A$20,"&lt;&gt;5",1))</f>
        <v>#DIV/0!</v>
      </c>
      <c r="BP105" t="e">
        <f t="shared" ca="1" si="55"/>
        <v>#DIV/0!</v>
      </c>
      <c r="BQ105" t="s">
        <v>141</v>
      </c>
      <c r="BR105" t="e">
        <f ca="1">AVERAGEIFS(INDIRECT($I$3),INDIRECT($I$3),"&gt;=0",Data!$B:$B,BQ105,IF($A$20,Data!$J:$J,Data!#REF!),IF($A$20,"&lt;&gt;5",1))</f>
        <v>#DIV/0!</v>
      </c>
      <c r="BS105" t="e">
        <f t="shared" ca="1" si="56"/>
        <v>#DIV/0!</v>
      </c>
      <c r="BT105" t="s">
        <v>91</v>
      </c>
      <c r="BU105">
        <f ca="1">AVERAGEIFS(INDIRECT($J$3),INDIRECT($J$3),"&gt;=0",Data!$B:$B,BT105,IF($A$20,Data!$J:$J,Data!#REF!),IF($A$20,"&lt;&gt;5",1))</f>
        <v>0.5</v>
      </c>
      <c r="BV105" t="e">
        <f t="shared" ca="1" si="57"/>
        <v>#DIV/0!</v>
      </c>
    </row>
    <row r="106" spans="10:74" x14ac:dyDescent="0.35">
      <c r="J106">
        <f t="shared" si="58"/>
        <v>98</v>
      </c>
      <c r="K106" t="s">
        <v>105</v>
      </c>
      <c r="L106" t="e">
        <f ca="1">AVERAGEIFS(INDIRECT($B$3),INDIRECT($B$3),"&gt;=0",Data!$B:$B,$K106)</f>
        <v>#DIV/0!</v>
      </c>
      <c r="M106" t="e">
        <f t="shared" ca="1" si="59"/>
        <v>#DIV/0!</v>
      </c>
      <c r="N106" t="s">
        <v>156</v>
      </c>
      <c r="O106" t="e">
        <f ca="1">AVERAGEIFS(INDIRECT($C$3),INDIRECT($C$3),"&gt;=0",Data!$B:$B,$N106)</f>
        <v>#DIV/0!</v>
      </c>
      <c r="P106" t="e">
        <f t="shared" ca="1" si="32"/>
        <v>#DIV/0!</v>
      </c>
      <c r="Q106" t="s">
        <v>75</v>
      </c>
      <c r="R106" t="e">
        <f ca="1">AVERAGEIFS(INDIRECT($D$3),INDIRECT($D$3),"&gt;=0",Data!$B:$B,$Q106)</f>
        <v>#DIV/0!</v>
      </c>
      <c r="S106" t="e">
        <f t="shared" ca="1" si="33"/>
        <v>#DIV/0!</v>
      </c>
      <c r="T106" t="s">
        <v>188</v>
      </c>
      <c r="U106" t="e">
        <f ca="1">AVERAGEIFS(INDIRECT($E$3),INDIRECT($E$3),"&gt;=0",Data!$B:$B,$T106)</f>
        <v>#DIV/0!</v>
      </c>
      <c r="V106" t="e">
        <f t="shared" ca="1" si="34"/>
        <v>#DIV/0!</v>
      </c>
      <c r="W106" t="s">
        <v>193</v>
      </c>
      <c r="X106" t="e">
        <f ca="1">AVERAGEIFS(INDIRECT($F$3),INDIRECT($F$3),"&gt;=0",Data!$B:$B,$W106)</f>
        <v>#DIV/0!</v>
      </c>
      <c r="Y106" t="e">
        <f t="shared" ca="1" si="35"/>
        <v>#DIV/0!</v>
      </c>
      <c r="Z106" t="s">
        <v>9</v>
      </c>
      <c r="AA106" t="e">
        <f ca="1">AVERAGEIFS(INDIRECT($G$3),INDIRECT($G$3),"&gt;=0",Data!$B:$B,$Z106)</f>
        <v>#DIV/0!</v>
      </c>
      <c r="AB106" t="e">
        <f t="shared" ca="1" si="36"/>
        <v>#DIV/0!</v>
      </c>
      <c r="AC106" t="s">
        <v>85</v>
      </c>
      <c r="AD106">
        <f ca="1">AVERAGEIFS(INDIRECT($H$3),INDIRECT($H$3),"&gt;=0",Data!$B:$B,$AC106)</f>
        <v>1</v>
      </c>
      <c r="AE106" t="e">
        <f t="shared" ca="1" si="37"/>
        <v>#DIV/0!</v>
      </c>
      <c r="AF106" t="s">
        <v>115</v>
      </c>
      <c r="AG106">
        <f ca="1">AVERAGEIFS(INDIRECT($I$3),INDIRECT($I$3),"&gt;=0",Data!$B:$B,$AF106)</f>
        <v>0.81818181818181823</v>
      </c>
      <c r="AH106" t="e">
        <f t="shared" ca="1" si="38"/>
        <v>#DIV/0!</v>
      </c>
      <c r="AI106" t="s">
        <v>90</v>
      </c>
      <c r="AJ106" t="e">
        <f ca="1">AVERAGEIFS(INDIRECT($J$3),INDIRECT($J$3),"&gt;=0",Data!$B:$B,$AI106)</f>
        <v>#DIV/0!</v>
      </c>
      <c r="AK106" t="e">
        <f t="shared" ca="1" si="39"/>
        <v>#DIV/0!</v>
      </c>
      <c r="AL106" t="str">
        <f t="shared" ca="1" si="40"/>
        <v>-</v>
      </c>
      <c r="AM106" t="str">
        <f t="shared" ca="1" si="41"/>
        <v>-</v>
      </c>
      <c r="AN106" t="str">
        <f t="shared" ca="1" si="42"/>
        <v>-</v>
      </c>
      <c r="AO106" t="str">
        <f t="shared" ca="1" si="43"/>
        <v>-</v>
      </c>
      <c r="AP106" t="str">
        <f t="shared" ca="1" si="44"/>
        <v>-</v>
      </c>
      <c r="AQ106" t="str">
        <f t="shared" ca="1" si="45"/>
        <v>-</v>
      </c>
      <c r="AR106" t="str">
        <f t="shared" ca="1" si="46"/>
        <v>-</v>
      </c>
      <c r="AS106" t="str">
        <f t="shared" ca="1" si="47"/>
        <v>-</v>
      </c>
      <c r="AT106" t="str">
        <f t="shared" ca="1" si="48"/>
        <v>-</v>
      </c>
      <c r="AU106">
        <f t="shared" si="60"/>
        <v>98</v>
      </c>
      <c r="AV106" t="s">
        <v>105</v>
      </c>
      <c r="AW106" s="20" t="e">
        <f ca="1">AVERAGEIFS(INDIRECT($B$3),INDIRECT($B$3),"&gt;=0",Data!$B:$B,AV106,IF($A$20,Data!$J:$J,Data!#REF!),IF($A$20,"&lt;&gt;5",1))</f>
        <v>#DIV/0!</v>
      </c>
      <c r="AX106" t="e">
        <f t="shared" ca="1" si="49"/>
        <v>#DIV/0!</v>
      </c>
      <c r="AY106" s="20" t="s">
        <v>179</v>
      </c>
      <c r="AZ106" t="e">
        <f ca="1">AVERAGEIFS(INDIRECT($C$3),INDIRECT($C$3),"&gt;=0",Data!$B:$B,AY106,IF($A$20,Data!$J:$J,Data!#REF!),IF($A$20,"&lt;&gt;5",1))</f>
        <v>#DIV/0!</v>
      </c>
      <c r="BA106" s="20" t="e">
        <f t="shared" ca="1" si="50"/>
        <v>#DIV/0!</v>
      </c>
      <c r="BB106" t="s">
        <v>48</v>
      </c>
      <c r="BC106" s="20" t="e">
        <f ca="1">AVERAGEIFS(INDIRECT($D$3),INDIRECT($D$3),"&gt;=0",Data!$B:$B,BB106,IF($A$20,Data!$J:$J,Data!#REF!),IF($A$20,"&lt;&gt;5",1))</f>
        <v>#DIV/0!</v>
      </c>
      <c r="BD106" t="e">
        <f t="shared" ca="1" si="51"/>
        <v>#DIV/0!</v>
      </c>
      <c r="BE106" s="20" t="s">
        <v>160</v>
      </c>
      <c r="BF106" t="e">
        <f ca="1">AVERAGEIFS(INDIRECT($E$3),INDIRECT($E$3),"&gt;=0",Data!$B:$B,BE106,IF($A$20,Data!$J:$J,Data!#REF!),IF($A$20,"&lt;&gt;5",1))</f>
        <v>#DIV/0!</v>
      </c>
      <c r="BG106" s="20" t="e">
        <f t="shared" ca="1" si="52"/>
        <v>#DIV/0!</v>
      </c>
      <c r="BH106" t="s">
        <v>149</v>
      </c>
      <c r="BI106" s="20" t="e">
        <f ca="1">AVERAGEIFS(INDIRECT($F$3),INDIRECT($F$3),"&gt;=0",Data!$B:$B,BH106,IF($A$20,Data!$J:$J,Data!#REF!),IF($A$20,"&lt;&gt;5",1))</f>
        <v>#DIV/0!</v>
      </c>
      <c r="BJ106" t="e">
        <f t="shared" ca="1" si="53"/>
        <v>#DIV/0!</v>
      </c>
      <c r="BK106" s="20" t="s">
        <v>89</v>
      </c>
      <c r="BL106" t="e">
        <f ca="1">AVERAGEIFS(INDIRECT($G$3),INDIRECT($G$3),"&gt;=0",Data!$B:$B,BK106,IF($A$20,Data!$J:$J,Data!#REF!),IF($A$20,"&lt;&gt;5",1))</f>
        <v>#DIV/0!</v>
      </c>
      <c r="BM106" s="20" t="e">
        <f t="shared" ca="1" si="54"/>
        <v>#DIV/0!</v>
      </c>
      <c r="BN106" t="s">
        <v>151</v>
      </c>
      <c r="BO106" t="e">
        <f ca="1">AVERAGEIFS(INDIRECT($H$3),INDIRECT($H$3),"&gt;=0",Data!$B:$B,BN106,IF($A$20,Data!$J:$J,Data!#REF!),IF($A$20,"&lt;&gt;5",1))</f>
        <v>#DIV/0!</v>
      </c>
      <c r="BP106" t="e">
        <f t="shared" ca="1" si="55"/>
        <v>#DIV/0!</v>
      </c>
      <c r="BQ106" t="s">
        <v>168</v>
      </c>
      <c r="BR106">
        <f ca="1">AVERAGEIFS(INDIRECT($I$3),INDIRECT($I$3),"&gt;=0",Data!$B:$B,BQ106,IF($A$20,Data!$J:$J,Data!#REF!),IF($A$20,"&lt;&gt;5",1))</f>
        <v>0.46666666666666667</v>
      </c>
      <c r="BS106" t="e">
        <f t="shared" ca="1" si="56"/>
        <v>#DIV/0!</v>
      </c>
      <c r="BT106" t="s">
        <v>88</v>
      </c>
      <c r="BU106" t="e">
        <f ca="1">AVERAGEIFS(INDIRECT($J$3),INDIRECT($J$3),"&gt;=0",Data!$B:$B,BT106,IF($A$20,Data!$J:$J,Data!#REF!),IF($A$20,"&lt;&gt;5",1))</f>
        <v>#DIV/0!</v>
      </c>
      <c r="BV106" t="e">
        <f t="shared" ca="1" si="57"/>
        <v>#DIV/0!</v>
      </c>
    </row>
    <row r="107" spans="10:74" x14ac:dyDescent="0.35">
      <c r="J107">
        <f t="shared" si="58"/>
        <v>99</v>
      </c>
      <c r="K107" t="s">
        <v>113</v>
      </c>
      <c r="L107" t="e">
        <f ca="1">AVERAGEIFS(INDIRECT($B$3),INDIRECT($B$3),"&gt;=0",Data!$B:$B,$K107)</f>
        <v>#DIV/0!</v>
      </c>
      <c r="M107" t="e">
        <f t="shared" ca="1" si="59"/>
        <v>#DIV/0!</v>
      </c>
      <c r="N107" t="s">
        <v>148</v>
      </c>
      <c r="O107" t="e">
        <f ca="1">AVERAGEIFS(INDIRECT($C$3),INDIRECT($C$3),"&gt;=0",Data!$B:$B,$N107)</f>
        <v>#DIV/0!</v>
      </c>
      <c r="P107" t="e">
        <f t="shared" ca="1" si="32"/>
        <v>#DIV/0!</v>
      </c>
      <c r="Q107" t="s">
        <v>85</v>
      </c>
      <c r="R107" t="e">
        <f ca="1">AVERAGEIFS(INDIRECT($D$3),INDIRECT($D$3),"&gt;=0",Data!$B:$B,$Q107)</f>
        <v>#DIV/0!</v>
      </c>
      <c r="S107" t="e">
        <f t="shared" ca="1" si="33"/>
        <v>#DIV/0!</v>
      </c>
      <c r="T107" t="s">
        <v>60</v>
      </c>
      <c r="U107" t="e">
        <f ca="1">AVERAGEIFS(INDIRECT($E$3),INDIRECT($E$3),"&gt;=0",Data!$B:$B,$T107)</f>
        <v>#DIV/0!</v>
      </c>
      <c r="V107" t="e">
        <f t="shared" ca="1" si="34"/>
        <v>#DIV/0!</v>
      </c>
      <c r="W107" t="s">
        <v>8</v>
      </c>
      <c r="X107" t="e">
        <f ca="1">AVERAGEIFS(INDIRECT($F$3),INDIRECT($F$3),"&gt;=0",Data!$B:$B,$W107)</f>
        <v>#DIV/0!</v>
      </c>
      <c r="Y107" t="e">
        <f t="shared" ca="1" si="35"/>
        <v>#DIV/0!</v>
      </c>
      <c r="Z107" t="s">
        <v>65</v>
      </c>
      <c r="AA107" t="e">
        <f ca="1">AVERAGEIFS(INDIRECT($G$3),INDIRECT($G$3),"&gt;=0",Data!$B:$B,$Z107)</f>
        <v>#DIV/0!</v>
      </c>
      <c r="AB107" t="e">
        <f t="shared" ca="1" si="36"/>
        <v>#DIV/0!</v>
      </c>
      <c r="AC107" t="s">
        <v>96</v>
      </c>
      <c r="AD107" t="e">
        <f ca="1">AVERAGEIFS(INDIRECT($H$3),INDIRECT($H$3),"&gt;=0",Data!$B:$B,$AC107)</f>
        <v>#DIV/0!</v>
      </c>
      <c r="AE107" t="e">
        <f t="shared" ca="1" si="37"/>
        <v>#DIV/0!</v>
      </c>
      <c r="AF107" t="s">
        <v>156</v>
      </c>
      <c r="AG107" t="e">
        <f ca="1">AVERAGEIFS(INDIRECT($I$3),INDIRECT($I$3),"&gt;=0",Data!$B:$B,$AF107)</f>
        <v>#DIV/0!</v>
      </c>
      <c r="AH107" t="e">
        <f t="shared" ca="1" si="38"/>
        <v>#DIV/0!</v>
      </c>
      <c r="AI107" t="s">
        <v>89</v>
      </c>
      <c r="AJ107" t="e">
        <f ca="1">AVERAGEIFS(INDIRECT($J$3),INDIRECT($J$3),"&gt;=0",Data!$B:$B,$AI107)</f>
        <v>#DIV/0!</v>
      </c>
      <c r="AK107" t="e">
        <f t="shared" ca="1" si="39"/>
        <v>#DIV/0!</v>
      </c>
      <c r="AL107" t="str">
        <f t="shared" ca="1" si="40"/>
        <v>-</v>
      </c>
      <c r="AM107" t="str">
        <f t="shared" ca="1" si="41"/>
        <v>-</v>
      </c>
      <c r="AN107" t="str">
        <f t="shared" ca="1" si="42"/>
        <v>-</v>
      </c>
      <c r="AO107" t="str">
        <f t="shared" ca="1" si="43"/>
        <v>-</v>
      </c>
      <c r="AP107" t="str">
        <f t="shared" ca="1" si="44"/>
        <v>-</v>
      </c>
      <c r="AQ107" t="str">
        <f t="shared" ca="1" si="45"/>
        <v>-</v>
      </c>
      <c r="AR107" t="str">
        <f t="shared" ca="1" si="46"/>
        <v>-</v>
      </c>
      <c r="AS107" t="str">
        <f t="shared" ca="1" si="47"/>
        <v>-</v>
      </c>
      <c r="AT107" t="str">
        <f t="shared" ca="1" si="48"/>
        <v>-</v>
      </c>
      <c r="AU107">
        <f t="shared" si="60"/>
        <v>99</v>
      </c>
      <c r="AV107" t="s">
        <v>124</v>
      </c>
      <c r="AW107" s="20" t="e">
        <f ca="1">AVERAGEIFS(INDIRECT($B$3),INDIRECT($B$3),"&gt;=0",Data!$B:$B,AV107,IF($A$20,Data!$J:$J,Data!#REF!),IF($A$20,"&lt;&gt;5",1))</f>
        <v>#DIV/0!</v>
      </c>
      <c r="AX107" t="e">
        <f t="shared" ca="1" si="49"/>
        <v>#DIV/0!</v>
      </c>
      <c r="AY107" s="20" t="s">
        <v>79</v>
      </c>
      <c r="AZ107" t="e">
        <f ca="1">AVERAGEIFS(INDIRECT($C$3),INDIRECT($C$3),"&gt;=0",Data!$B:$B,AY107,IF($A$20,Data!$J:$J,Data!#REF!),IF($A$20,"&lt;&gt;5",1))</f>
        <v>#DIV/0!</v>
      </c>
      <c r="BA107" s="20" t="e">
        <f t="shared" ca="1" si="50"/>
        <v>#DIV/0!</v>
      </c>
      <c r="BB107" t="s">
        <v>21</v>
      </c>
      <c r="BC107" s="20" t="e">
        <f ca="1">AVERAGEIFS(INDIRECT($D$3),INDIRECT($D$3),"&gt;=0",Data!$B:$B,BB107,IF($A$20,Data!$J:$J,Data!#REF!),IF($A$20,"&lt;&gt;5",1))</f>
        <v>#DIV/0!</v>
      </c>
      <c r="BD107" t="e">
        <f t="shared" ca="1" si="51"/>
        <v>#DIV/0!</v>
      </c>
      <c r="BE107" s="20" t="s">
        <v>60</v>
      </c>
      <c r="BF107" t="e">
        <f ca="1">AVERAGEIFS(INDIRECT($E$3),INDIRECT($E$3),"&gt;=0",Data!$B:$B,BE107,IF($A$20,Data!$J:$J,Data!#REF!),IF($A$20,"&lt;&gt;5",1))</f>
        <v>#DIV/0!</v>
      </c>
      <c r="BG107" s="20" t="e">
        <f t="shared" ca="1" si="52"/>
        <v>#DIV/0!</v>
      </c>
      <c r="BH107" t="s">
        <v>155</v>
      </c>
      <c r="BI107" s="20" t="e">
        <f ca="1">AVERAGEIFS(INDIRECT($F$3),INDIRECT($F$3),"&gt;=0",Data!$B:$B,BH107,IF($A$20,Data!$J:$J,Data!#REF!),IF($A$20,"&lt;&gt;5",1))</f>
        <v>#DIV/0!</v>
      </c>
      <c r="BJ107" t="e">
        <f t="shared" ca="1" si="53"/>
        <v>#DIV/0!</v>
      </c>
      <c r="BK107" s="20" t="s">
        <v>106</v>
      </c>
      <c r="BL107">
        <f ca="1">AVERAGEIFS(INDIRECT($G$3),INDIRECT($G$3),"&gt;=0",Data!$B:$B,BK107,IF($A$20,Data!$J:$J,Data!#REF!),IF($A$20,"&lt;&gt;5",1))</f>
        <v>0.75</v>
      </c>
      <c r="BM107" s="20" t="e">
        <f t="shared" ca="1" si="54"/>
        <v>#DIV/0!</v>
      </c>
      <c r="BN107" t="s">
        <v>33</v>
      </c>
      <c r="BO107">
        <f ca="1">AVERAGEIFS(INDIRECT($H$3),INDIRECT($H$3),"&gt;=0",Data!$B:$B,BN107,IF($A$20,Data!$J:$J,Data!#REF!),IF($A$20,"&lt;&gt;5",1))</f>
        <v>1</v>
      </c>
      <c r="BP107" t="e">
        <f t="shared" ca="1" si="55"/>
        <v>#DIV/0!</v>
      </c>
      <c r="BQ107" t="s">
        <v>163</v>
      </c>
      <c r="BR107" t="e">
        <f ca="1">AVERAGEIFS(INDIRECT($I$3),INDIRECT($I$3),"&gt;=0",Data!$B:$B,BQ107,IF($A$20,Data!$J:$J,Data!#REF!),IF($A$20,"&lt;&gt;5",1))</f>
        <v>#DIV/0!</v>
      </c>
      <c r="BS107" t="e">
        <f t="shared" ca="1" si="56"/>
        <v>#DIV/0!</v>
      </c>
      <c r="BT107" t="s">
        <v>87</v>
      </c>
      <c r="BU107">
        <f ca="1">AVERAGEIFS(INDIRECT($J$3),INDIRECT($J$3),"&gt;=0",Data!$B:$B,BT107,IF($A$20,Data!$J:$J,Data!#REF!),IF($A$20,"&lt;&gt;5",1))</f>
        <v>0.36363636363636365</v>
      </c>
      <c r="BV107" t="e">
        <f t="shared" ca="1" si="57"/>
        <v>#DIV/0!</v>
      </c>
    </row>
    <row r="108" spans="10:74" x14ac:dyDescent="0.35">
      <c r="J108">
        <f t="shared" si="58"/>
        <v>100</v>
      </c>
      <c r="K108" t="s">
        <v>124</v>
      </c>
      <c r="L108" t="e">
        <f ca="1">AVERAGEIFS(INDIRECT($B$3),INDIRECT($B$3),"&gt;=0",Data!$B:$B,$K108)</f>
        <v>#DIV/0!</v>
      </c>
      <c r="M108" t="e">
        <f t="shared" ca="1" si="59"/>
        <v>#DIV/0!</v>
      </c>
      <c r="N108" t="s">
        <v>195</v>
      </c>
      <c r="O108" t="e">
        <f ca="1">AVERAGEIFS(INDIRECT($C$3),INDIRECT($C$3),"&gt;=0",Data!$B:$B,$N108)</f>
        <v>#DIV/0!</v>
      </c>
      <c r="P108" t="e">
        <f t="shared" ca="1" si="32"/>
        <v>#DIV/0!</v>
      </c>
      <c r="Q108" t="s">
        <v>105</v>
      </c>
      <c r="R108" t="e">
        <f ca="1">AVERAGEIFS(INDIRECT($D$3),INDIRECT($D$3),"&gt;=0",Data!$B:$B,$Q108)</f>
        <v>#DIV/0!</v>
      </c>
      <c r="S108" t="e">
        <f t="shared" ca="1" si="33"/>
        <v>#DIV/0!</v>
      </c>
      <c r="T108" t="s">
        <v>121</v>
      </c>
      <c r="U108" t="e">
        <f ca="1">AVERAGEIFS(INDIRECT($E$3),INDIRECT($E$3),"&gt;=0",Data!$B:$B,$T108)</f>
        <v>#DIV/0!</v>
      </c>
      <c r="V108" t="e">
        <f t="shared" ca="1" si="34"/>
        <v>#DIV/0!</v>
      </c>
      <c r="W108" t="s">
        <v>55</v>
      </c>
      <c r="X108">
        <f ca="1">AVERAGEIFS(INDIRECT($F$3),INDIRECT($F$3),"&gt;=0",Data!$B:$B,$W108)</f>
        <v>1</v>
      </c>
      <c r="Y108" t="e">
        <f t="shared" ca="1" si="35"/>
        <v>#DIV/0!</v>
      </c>
      <c r="Z108" t="s">
        <v>156</v>
      </c>
      <c r="AA108" t="e">
        <f ca="1">AVERAGEIFS(INDIRECT($G$3),INDIRECT($G$3),"&gt;=0",Data!$B:$B,$Z108)</f>
        <v>#DIV/0!</v>
      </c>
      <c r="AB108" t="e">
        <f t="shared" ca="1" si="36"/>
        <v>#DIV/0!</v>
      </c>
      <c r="AC108" t="s">
        <v>151</v>
      </c>
      <c r="AD108" t="e">
        <f ca="1">AVERAGEIFS(INDIRECT($H$3),INDIRECT($H$3),"&gt;=0",Data!$B:$B,$AC108)</f>
        <v>#DIV/0!</v>
      </c>
      <c r="AE108" t="e">
        <f t="shared" ca="1" si="37"/>
        <v>#DIV/0!</v>
      </c>
      <c r="AF108" t="s">
        <v>166</v>
      </c>
      <c r="AG108">
        <f ca="1">AVERAGEIFS(INDIRECT($I$3),INDIRECT($I$3),"&gt;=0",Data!$B:$B,$AF108)</f>
        <v>0.52941176470588236</v>
      </c>
      <c r="AH108" t="e">
        <f t="shared" ca="1" si="38"/>
        <v>#DIV/0!</v>
      </c>
      <c r="AI108" t="s">
        <v>91</v>
      </c>
      <c r="AJ108">
        <f ca="1">AVERAGEIFS(INDIRECT($J$3),INDIRECT($J$3),"&gt;=0",Data!$B:$B,$AI108)</f>
        <v>0.375</v>
      </c>
      <c r="AK108" t="e">
        <f t="shared" ca="1" si="39"/>
        <v>#DIV/0!</v>
      </c>
      <c r="AL108" t="str">
        <f t="shared" ca="1" si="40"/>
        <v>-</v>
      </c>
      <c r="AM108" t="str">
        <f t="shared" ca="1" si="41"/>
        <v>-</v>
      </c>
      <c r="AN108" t="str">
        <f t="shared" ca="1" si="42"/>
        <v>-</v>
      </c>
      <c r="AO108" t="str">
        <f t="shared" ca="1" si="43"/>
        <v>-</v>
      </c>
      <c r="AP108" t="str">
        <f t="shared" ca="1" si="44"/>
        <v>-</v>
      </c>
      <c r="AQ108" t="str">
        <f t="shared" ca="1" si="45"/>
        <v>-</v>
      </c>
      <c r="AR108" t="str">
        <f t="shared" ca="1" si="46"/>
        <v>-</v>
      </c>
      <c r="AS108" t="str">
        <f t="shared" ca="1" si="47"/>
        <v>-</v>
      </c>
      <c r="AT108" t="str">
        <f t="shared" ca="1" si="48"/>
        <v>-</v>
      </c>
      <c r="AU108">
        <f t="shared" si="60"/>
        <v>100</v>
      </c>
      <c r="AV108" t="s">
        <v>167</v>
      </c>
      <c r="AW108" s="20" t="e">
        <f ca="1">AVERAGEIFS(INDIRECT($B$3),INDIRECT($B$3),"&gt;=0",Data!$B:$B,AV108,IF($A$20,Data!$J:$J,Data!#REF!),IF($A$20,"&lt;&gt;5",1))</f>
        <v>#DIV/0!</v>
      </c>
      <c r="AX108" t="e">
        <f t="shared" ca="1" si="49"/>
        <v>#DIV/0!</v>
      </c>
      <c r="AY108" s="20" t="s">
        <v>97</v>
      </c>
      <c r="AZ108" t="e">
        <f ca="1">AVERAGEIFS(INDIRECT($C$3),INDIRECT($C$3),"&gt;=0",Data!$B:$B,AY108,IF($A$20,Data!$J:$J,Data!#REF!),IF($A$20,"&lt;&gt;5",1))</f>
        <v>#DIV/0!</v>
      </c>
      <c r="BA108" s="20" t="e">
        <f t="shared" ca="1" si="50"/>
        <v>#DIV/0!</v>
      </c>
      <c r="BB108" t="s">
        <v>25</v>
      </c>
      <c r="BC108" s="20" t="e">
        <f ca="1">AVERAGEIFS(INDIRECT($D$3),INDIRECT($D$3),"&gt;=0",Data!$B:$B,BB108,IF($A$20,Data!$J:$J,Data!#REF!),IF($A$20,"&lt;&gt;5",1))</f>
        <v>#DIV/0!</v>
      </c>
      <c r="BD108" t="e">
        <f t="shared" ca="1" si="51"/>
        <v>#DIV/0!</v>
      </c>
      <c r="BE108" s="20" t="s">
        <v>121</v>
      </c>
      <c r="BF108" t="e">
        <f ca="1">AVERAGEIFS(INDIRECT($E$3),INDIRECT($E$3),"&gt;=0",Data!$B:$B,BE108,IF($A$20,Data!$J:$J,Data!#REF!),IF($A$20,"&lt;&gt;5",1))</f>
        <v>#DIV/0!</v>
      </c>
      <c r="BG108" s="20" t="e">
        <f t="shared" ca="1" si="52"/>
        <v>#DIV/0!</v>
      </c>
      <c r="BH108" t="s">
        <v>158</v>
      </c>
      <c r="BI108" s="20" t="e">
        <f ca="1">AVERAGEIFS(INDIRECT($F$3),INDIRECT($F$3),"&gt;=0",Data!$B:$B,BH108,IF($A$20,Data!$J:$J,Data!#REF!),IF($A$20,"&lt;&gt;5",1))</f>
        <v>#DIV/0!</v>
      </c>
      <c r="BJ108" t="e">
        <f t="shared" ca="1" si="53"/>
        <v>#DIV/0!</v>
      </c>
      <c r="BK108" s="20" t="s">
        <v>30</v>
      </c>
      <c r="BL108" t="e">
        <f ca="1">AVERAGEIFS(INDIRECT($G$3),INDIRECT($G$3),"&gt;=0",Data!$B:$B,BK108,IF($A$20,Data!$J:$J,Data!#REF!),IF($A$20,"&lt;&gt;5",1))</f>
        <v>#DIV/0!</v>
      </c>
      <c r="BM108" s="20" t="e">
        <f t="shared" ca="1" si="54"/>
        <v>#DIV/0!</v>
      </c>
      <c r="BN108" t="s">
        <v>47</v>
      </c>
      <c r="BO108">
        <f ca="1">AVERAGEIFS(INDIRECT($H$3),INDIRECT($H$3),"&gt;=0",Data!$B:$B,BN108,IF($A$20,Data!$J:$J,Data!#REF!),IF($A$20,"&lt;&gt;5",1))</f>
        <v>1</v>
      </c>
      <c r="BP108" t="e">
        <f t="shared" ca="1" si="55"/>
        <v>#DIV/0!</v>
      </c>
      <c r="BQ108" t="s">
        <v>161</v>
      </c>
      <c r="BR108" t="e">
        <f ca="1">AVERAGEIFS(INDIRECT($I$3),INDIRECT($I$3),"&gt;=0",Data!$B:$B,BQ108,IF($A$20,Data!$J:$J,Data!#REF!),IF($A$20,"&lt;&gt;5",1))</f>
        <v>#DIV/0!</v>
      </c>
      <c r="BS108" t="e">
        <f t="shared" ca="1" si="56"/>
        <v>#DIV/0!</v>
      </c>
      <c r="BT108" t="s">
        <v>86</v>
      </c>
      <c r="BU108">
        <f ca="1">AVERAGEIFS(INDIRECT($J$3),INDIRECT($J$3),"&gt;=0",Data!$B:$B,BT108,IF($A$20,Data!$J:$J,Data!#REF!),IF($A$20,"&lt;&gt;5",1))</f>
        <v>0.44444444444444442</v>
      </c>
      <c r="BV108">
        <f t="shared" ca="1" si="57"/>
        <v>100</v>
      </c>
    </row>
    <row r="109" spans="10:74" x14ac:dyDescent="0.35">
      <c r="J109">
        <f t="shared" si="58"/>
        <v>101</v>
      </c>
      <c r="K109" t="s">
        <v>167</v>
      </c>
      <c r="L109" t="e">
        <f ca="1">AVERAGEIFS(INDIRECT($B$3),INDIRECT($B$3),"&gt;=0",Data!$B:$B,$K109)</f>
        <v>#DIV/0!</v>
      </c>
      <c r="M109" t="e">
        <f t="shared" ca="1" si="59"/>
        <v>#DIV/0!</v>
      </c>
      <c r="N109" t="s">
        <v>7</v>
      </c>
      <c r="O109" t="e">
        <f ca="1">AVERAGEIFS(INDIRECT($C$3),INDIRECT($C$3),"&gt;=0",Data!$B:$B,$N109)</f>
        <v>#DIV/0!</v>
      </c>
      <c r="P109" t="e">
        <f t="shared" ca="1" si="32"/>
        <v>#DIV/0!</v>
      </c>
      <c r="Q109" t="s">
        <v>190</v>
      </c>
      <c r="R109" t="e">
        <f ca="1">AVERAGEIFS(INDIRECT($D$3),INDIRECT($D$3),"&gt;=0",Data!$B:$B,$Q109)</f>
        <v>#DIV/0!</v>
      </c>
      <c r="S109" t="e">
        <f t="shared" ca="1" si="33"/>
        <v>#DIV/0!</v>
      </c>
      <c r="T109" t="s">
        <v>154</v>
      </c>
      <c r="U109" t="e">
        <f ca="1">AVERAGEIFS(INDIRECT($E$3),INDIRECT($E$3),"&gt;=0",Data!$B:$B,$T109)</f>
        <v>#DIV/0!</v>
      </c>
      <c r="V109" t="e">
        <f t="shared" ca="1" si="34"/>
        <v>#DIV/0!</v>
      </c>
      <c r="W109" t="s">
        <v>128</v>
      </c>
      <c r="X109" t="e">
        <f ca="1">AVERAGEIFS(INDIRECT($F$3),INDIRECT($F$3),"&gt;=0",Data!$B:$B,$W109)</f>
        <v>#DIV/0!</v>
      </c>
      <c r="Y109" t="e">
        <f t="shared" ca="1" si="35"/>
        <v>#DIV/0!</v>
      </c>
      <c r="Z109" t="s">
        <v>183</v>
      </c>
      <c r="AA109" t="e">
        <f ca="1">AVERAGEIFS(INDIRECT($G$3),INDIRECT($G$3),"&gt;=0",Data!$B:$B,$Z109)</f>
        <v>#DIV/0!</v>
      </c>
      <c r="AB109" t="e">
        <f t="shared" ca="1" si="36"/>
        <v>#DIV/0!</v>
      </c>
      <c r="AC109" t="s">
        <v>79</v>
      </c>
      <c r="AD109" t="e">
        <f ca="1">AVERAGEIFS(INDIRECT($H$3),INDIRECT($H$3),"&gt;=0",Data!$B:$B,$AC109)</f>
        <v>#DIV/0!</v>
      </c>
      <c r="AE109" t="e">
        <f t="shared" ca="1" si="37"/>
        <v>#DIV/0!</v>
      </c>
      <c r="AF109" t="s">
        <v>78</v>
      </c>
      <c r="AG109">
        <f ca="1">AVERAGEIFS(INDIRECT($I$3),INDIRECT($I$3),"&gt;=0",Data!$B:$B,$AF109)</f>
        <v>0.41666666666666669</v>
      </c>
      <c r="AH109">
        <f t="shared" ca="1" si="38"/>
        <v>101</v>
      </c>
      <c r="AI109" t="s">
        <v>88</v>
      </c>
      <c r="AJ109" t="e">
        <f ca="1">AVERAGEIFS(INDIRECT($J$3),INDIRECT($J$3),"&gt;=0",Data!$B:$B,$AI109)</f>
        <v>#DIV/0!</v>
      </c>
      <c r="AK109" t="e">
        <f t="shared" ca="1" si="39"/>
        <v>#DIV/0!</v>
      </c>
      <c r="AL109" t="str">
        <f t="shared" ca="1" si="40"/>
        <v>-</v>
      </c>
      <c r="AM109" t="str">
        <f t="shared" ca="1" si="41"/>
        <v>-</v>
      </c>
      <c r="AN109" t="str">
        <f t="shared" ca="1" si="42"/>
        <v>-</v>
      </c>
      <c r="AO109" t="str">
        <f t="shared" ca="1" si="43"/>
        <v>-</v>
      </c>
      <c r="AP109" t="str">
        <f t="shared" ca="1" si="44"/>
        <v>-</v>
      </c>
      <c r="AQ109" t="str">
        <f t="shared" ca="1" si="45"/>
        <v>-</v>
      </c>
      <c r="AR109" t="str">
        <f t="shared" ca="1" si="46"/>
        <v>-</v>
      </c>
      <c r="AS109" t="str">
        <f t="shared" ca="1" si="47"/>
        <v>-</v>
      </c>
      <c r="AT109" t="str">
        <f t="shared" ca="1" si="48"/>
        <v>-</v>
      </c>
      <c r="AU109">
        <f t="shared" si="60"/>
        <v>101</v>
      </c>
      <c r="AV109" t="s">
        <v>135</v>
      </c>
      <c r="AW109" s="20" t="e">
        <f ca="1">AVERAGEIFS(INDIRECT($B$3),INDIRECT($B$3),"&gt;=0",Data!$B:$B,AV109,IF($A$20,Data!$J:$J,Data!#REF!),IF($A$20,"&lt;&gt;5",1))</f>
        <v>#DIV/0!</v>
      </c>
      <c r="AX109" t="e">
        <f t="shared" ca="1" si="49"/>
        <v>#DIV/0!</v>
      </c>
      <c r="AY109" s="20" t="s">
        <v>134</v>
      </c>
      <c r="AZ109" t="e">
        <f ca="1">AVERAGEIFS(INDIRECT($C$3),INDIRECT($C$3),"&gt;=0",Data!$B:$B,AY109,IF($A$20,Data!$J:$J,Data!#REF!),IF($A$20,"&lt;&gt;5",1))</f>
        <v>#DIV/0!</v>
      </c>
      <c r="BA109" s="20" t="e">
        <f t="shared" ca="1" si="50"/>
        <v>#DIV/0!</v>
      </c>
      <c r="BB109" t="s">
        <v>87</v>
      </c>
      <c r="BC109" s="20" t="e">
        <f ca="1">AVERAGEIFS(INDIRECT($D$3),INDIRECT($D$3),"&gt;=0",Data!$B:$B,BB109,IF($A$20,Data!$J:$J,Data!#REF!),IF($A$20,"&lt;&gt;5",1))</f>
        <v>#DIV/0!</v>
      </c>
      <c r="BD109" t="e">
        <f t="shared" ca="1" si="51"/>
        <v>#DIV/0!</v>
      </c>
      <c r="BE109" s="20" t="s">
        <v>168</v>
      </c>
      <c r="BF109" t="e">
        <f ca="1">AVERAGEIFS(INDIRECT($E$3),INDIRECT($E$3),"&gt;=0",Data!$B:$B,BE109,IF($A$20,Data!$J:$J,Data!#REF!),IF($A$20,"&lt;&gt;5",1))</f>
        <v>#DIV/0!</v>
      </c>
      <c r="BG109" s="20" t="e">
        <f t="shared" ca="1" si="52"/>
        <v>#DIV/0!</v>
      </c>
      <c r="BH109" t="s">
        <v>187</v>
      </c>
      <c r="BI109" s="20">
        <f ca="1">AVERAGEIFS(INDIRECT($F$3),INDIRECT($F$3),"&gt;=0",Data!$B:$B,BH109,IF($A$20,Data!$J:$J,Data!#REF!),IF($A$20,"&lt;&gt;5",1))</f>
        <v>1</v>
      </c>
      <c r="BJ109" t="e">
        <f t="shared" ca="1" si="53"/>
        <v>#DIV/0!</v>
      </c>
      <c r="BK109" s="20" t="s">
        <v>58</v>
      </c>
      <c r="BL109">
        <f ca="1">AVERAGEIFS(INDIRECT($G$3),INDIRECT($G$3),"&gt;=0",Data!$B:$B,BK109,IF($A$20,Data!$J:$J,Data!#REF!),IF($A$20,"&lt;&gt;5",1))</f>
        <v>0.81818181818181823</v>
      </c>
      <c r="BM109" s="20" t="e">
        <f t="shared" ca="1" si="54"/>
        <v>#DIV/0!</v>
      </c>
      <c r="BN109" t="s">
        <v>138</v>
      </c>
      <c r="BO109" t="e">
        <f ca="1">AVERAGEIFS(INDIRECT($H$3),INDIRECT($H$3),"&gt;=0",Data!$B:$B,BN109,IF($A$20,Data!$J:$J,Data!#REF!),IF($A$20,"&lt;&gt;5",1))</f>
        <v>#DIV/0!</v>
      </c>
      <c r="BP109" t="e">
        <f t="shared" ca="1" si="55"/>
        <v>#DIV/0!</v>
      </c>
      <c r="BQ109" t="s">
        <v>81</v>
      </c>
      <c r="BR109" t="e">
        <f ca="1">AVERAGEIFS(INDIRECT($I$3),INDIRECT($I$3),"&gt;=0",Data!$B:$B,BQ109,IF($A$20,Data!$J:$J,Data!#REF!),IF($A$20,"&lt;&gt;5",1))</f>
        <v>#DIV/0!</v>
      </c>
      <c r="BS109" t="e">
        <f t="shared" ca="1" si="56"/>
        <v>#DIV/0!</v>
      </c>
      <c r="BT109" t="s">
        <v>80</v>
      </c>
      <c r="BU109" t="e">
        <f ca="1">AVERAGEIFS(INDIRECT($J$3),INDIRECT($J$3),"&gt;=0",Data!$B:$B,BT109,IF($A$20,Data!$J:$J,Data!#REF!),IF($A$20,"&lt;&gt;5",1))</f>
        <v>#DIV/0!</v>
      </c>
      <c r="BV109" t="e">
        <f t="shared" ca="1" si="57"/>
        <v>#DIV/0!</v>
      </c>
    </row>
    <row r="110" spans="10:74" x14ac:dyDescent="0.35">
      <c r="J110">
        <f t="shared" si="58"/>
        <v>102</v>
      </c>
      <c r="K110" t="s">
        <v>197</v>
      </c>
      <c r="L110" t="e">
        <f ca="1">AVERAGEIFS(INDIRECT($B$3),INDIRECT($B$3),"&gt;=0",Data!$B:$B,$K110)</f>
        <v>#DIV/0!</v>
      </c>
      <c r="M110" t="e">
        <f t="shared" ca="1" si="59"/>
        <v>#DIV/0!</v>
      </c>
      <c r="N110" t="s">
        <v>87</v>
      </c>
      <c r="O110" t="e">
        <f ca="1">AVERAGEIFS(INDIRECT($C$3),INDIRECT($C$3),"&gt;=0",Data!$B:$B,$N110)</f>
        <v>#DIV/0!</v>
      </c>
      <c r="P110" t="e">
        <f t="shared" ca="1" si="32"/>
        <v>#DIV/0!</v>
      </c>
      <c r="Q110" t="s">
        <v>70</v>
      </c>
      <c r="R110" t="e">
        <f ca="1">AVERAGEIFS(INDIRECT($D$3),INDIRECT($D$3),"&gt;=0",Data!$B:$B,$Q110)</f>
        <v>#DIV/0!</v>
      </c>
      <c r="S110" t="e">
        <f t="shared" ca="1" si="33"/>
        <v>#DIV/0!</v>
      </c>
      <c r="T110" t="s">
        <v>168</v>
      </c>
      <c r="U110" t="e">
        <f ca="1">AVERAGEIFS(INDIRECT($E$3),INDIRECT($E$3),"&gt;=0",Data!$B:$B,$T110)</f>
        <v>#DIV/0!</v>
      </c>
      <c r="V110" t="e">
        <f t="shared" ca="1" si="34"/>
        <v>#DIV/0!</v>
      </c>
      <c r="W110" t="s">
        <v>13</v>
      </c>
      <c r="X110" t="e">
        <f ca="1">AVERAGEIFS(INDIRECT($F$3),INDIRECT($F$3),"&gt;=0",Data!$B:$B,$W110)</f>
        <v>#DIV/0!</v>
      </c>
      <c r="Y110" t="e">
        <f t="shared" ca="1" si="35"/>
        <v>#DIV/0!</v>
      </c>
      <c r="Z110" t="s">
        <v>197</v>
      </c>
      <c r="AA110" t="e">
        <f ca="1">AVERAGEIFS(INDIRECT($G$3),INDIRECT($G$3),"&gt;=0",Data!$B:$B,$Z110)</f>
        <v>#DIV/0!</v>
      </c>
      <c r="AB110" t="e">
        <f t="shared" ca="1" si="36"/>
        <v>#DIV/0!</v>
      </c>
      <c r="AC110" t="s">
        <v>25</v>
      </c>
      <c r="AD110" t="e">
        <f ca="1">AVERAGEIFS(INDIRECT($H$3),INDIRECT($H$3),"&gt;=0",Data!$B:$B,$AC110)</f>
        <v>#DIV/0!</v>
      </c>
      <c r="AE110" t="e">
        <f t="shared" ca="1" si="37"/>
        <v>#DIV/0!</v>
      </c>
      <c r="AF110" t="s">
        <v>147</v>
      </c>
      <c r="AG110">
        <f ca="1">AVERAGEIFS(INDIRECT($I$3),INDIRECT($I$3),"&gt;=0",Data!$B:$B,$AF110)</f>
        <v>0.80769230769230771</v>
      </c>
      <c r="AH110">
        <f t="shared" ca="1" si="38"/>
        <v>102</v>
      </c>
      <c r="AI110" t="s">
        <v>87</v>
      </c>
      <c r="AJ110">
        <f ca="1">AVERAGEIFS(INDIRECT($J$3),INDIRECT($J$3),"&gt;=0",Data!$B:$B,$AI110)</f>
        <v>0.34782608695652173</v>
      </c>
      <c r="AK110" t="e">
        <f t="shared" ca="1" si="39"/>
        <v>#DIV/0!</v>
      </c>
      <c r="AL110" t="str">
        <f t="shared" ca="1" si="40"/>
        <v>-</v>
      </c>
      <c r="AM110" t="str">
        <f t="shared" ca="1" si="41"/>
        <v>-</v>
      </c>
      <c r="AN110" t="str">
        <f t="shared" ca="1" si="42"/>
        <v>-</v>
      </c>
      <c r="AO110" t="str">
        <f t="shared" ca="1" si="43"/>
        <v>-</v>
      </c>
      <c r="AP110" t="str">
        <f t="shared" ca="1" si="44"/>
        <v>-</v>
      </c>
      <c r="AQ110" t="str">
        <f t="shared" ca="1" si="45"/>
        <v>-</v>
      </c>
      <c r="AR110" t="str">
        <f t="shared" ca="1" si="46"/>
        <v>-</v>
      </c>
      <c r="AS110" t="str">
        <f t="shared" ca="1" si="47"/>
        <v>-</v>
      </c>
      <c r="AT110" t="str">
        <f t="shared" ca="1" si="48"/>
        <v>-</v>
      </c>
      <c r="AU110">
        <f t="shared" si="60"/>
        <v>102</v>
      </c>
      <c r="AV110" t="s">
        <v>189</v>
      </c>
      <c r="AW110" s="20" t="e">
        <f ca="1">AVERAGEIFS(INDIRECT($B$3),INDIRECT($B$3),"&gt;=0",Data!$B:$B,AV110,IF($A$20,Data!$J:$J,Data!#REF!),IF($A$20,"&lt;&gt;5",1))</f>
        <v>#DIV/0!</v>
      </c>
      <c r="AX110" t="e">
        <f t="shared" ca="1" si="49"/>
        <v>#DIV/0!</v>
      </c>
      <c r="AY110" s="20" t="s">
        <v>129</v>
      </c>
      <c r="AZ110" t="e">
        <f ca="1">AVERAGEIFS(INDIRECT($C$3),INDIRECT($C$3),"&gt;=0",Data!$B:$B,AY110,IF($A$20,Data!$J:$J,Data!#REF!),IF($A$20,"&lt;&gt;5",1))</f>
        <v>#DIV/0!</v>
      </c>
      <c r="BA110" s="20" t="e">
        <f t="shared" ca="1" si="50"/>
        <v>#DIV/0!</v>
      </c>
      <c r="BB110" t="s">
        <v>2</v>
      </c>
      <c r="BC110" s="20" t="e">
        <f ca="1">AVERAGEIFS(INDIRECT($D$3),INDIRECT($D$3),"&gt;=0",Data!$B:$B,BB110,IF($A$20,Data!$J:$J,Data!#REF!),IF($A$20,"&lt;&gt;5",1))</f>
        <v>#DIV/0!</v>
      </c>
      <c r="BD110" t="e">
        <f t="shared" ca="1" si="51"/>
        <v>#DIV/0!</v>
      </c>
      <c r="BE110" s="20" t="s">
        <v>180</v>
      </c>
      <c r="BF110" t="e">
        <f ca="1">AVERAGEIFS(INDIRECT($E$3),INDIRECT($E$3),"&gt;=0",Data!$B:$B,BE110,IF($A$20,Data!$J:$J,Data!#REF!),IF($A$20,"&lt;&gt;5",1))</f>
        <v>#DIV/0!</v>
      </c>
      <c r="BG110" s="20" t="e">
        <f t="shared" ca="1" si="52"/>
        <v>#DIV/0!</v>
      </c>
      <c r="BH110" t="s">
        <v>21</v>
      </c>
      <c r="BI110" s="20" t="e">
        <f ca="1">AVERAGEIFS(INDIRECT($F$3),INDIRECT($F$3),"&gt;=0",Data!$B:$B,BH110,IF($A$20,Data!$J:$J,Data!#REF!),IF($A$20,"&lt;&gt;5",1))</f>
        <v>#DIV/0!</v>
      </c>
      <c r="BJ110" t="e">
        <f t="shared" ca="1" si="53"/>
        <v>#DIV/0!</v>
      </c>
      <c r="BK110" s="20" t="s">
        <v>62</v>
      </c>
      <c r="BL110">
        <f ca="1">AVERAGEIFS(INDIRECT($G$3),INDIRECT($G$3),"&gt;=0",Data!$B:$B,BK110,IF($A$20,Data!$J:$J,Data!#REF!),IF($A$20,"&lt;&gt;5",1))</f>
        <v>0.89473684210526316</v>
      </c>
      <c r="BM110" s="20">
        <f t="shared" ca="1" si="54"/>
        <v>102</v>
      </c>
      <c r="BN110" t="s">
        <v>187</v>
      </c>
      <c r="BO110">
        <f ca="1">AVERAGEIFS(INDIRECT($H$3),INDIRECT($H$3),"&gt;=0",Data!$B:$B,BN110,IF($A$20,Data!$J:$J,Data!#REF!),IF($A$20,"&lt;&gt;5",1))</f>
        <v>0.96666666666666667</v>
      </c>
      <c r="BP110" t="e">
        <f t="shared" ca="1" si="55"/>
        <v>#DIV/0!</v>
      </c>
      <c r="BQ110" t="s">
        <v>93</v>
      </c>
      <c r="BR110" t="e">
        <f ca="1">AVERAGEIFS(INDIRECT($I$3),INDIRECT($I$3),"&gt;=0",Data!$B:$B,BQ110,IF($A$20,Data!$J:$J,Data!#REF!),IF($A$20,"&lt;&gt;5",1))</f>
        <v>#DIV/0!</v>
      </c>
      <c r="BS110" t="e">
        <f t="shared" ca="1" si="56"/>
        <v>#DIV/0!</v>
      </c>
      <c r="BT110" t="s">
        <v>82</v>
      </c>
      <c r="BU110">
        <f ca="1">AVERAGEIFS(INDIRECT($J$3),INDIRECT($J$3),"&gt;=0",Data!$B:$B,BT110,IF($A$20,Data!$J:$J,Data!#REF!),IF($A$20,"&lt;&gt;5",1))</f>
        <v>0.35714285714285715</v>
      </c>
      <c r="BV110" t="e">
        <f t="shared" ca="1" si="57"/>
        <v>#DIV/0!</v>
      </c>
    </row>
    <row r="111" spans="10:74" x14ac:dyDescent="0.35">
      <c r="J111">
        <f t="shared" si="58"/>
        <v>103</v>
      </c>
      <c r="K111" t="s">
        <v>34</v>
      </c>
      <c r="L111" t="e">
        <f ca="1">AVERAGEIFS(INDIRECT($B$3),INDIRECT($B$3),"&gt;=0",Data!$B:$B,$K111)</f>
        <v>#DIV/0!</v>
      </c>
      <c r="M111" t="e">
        <f t="shared" ca="1" si="59"/>
        <v>#DIV/0!</v>
      </c>
      <c r="N111" t="s">
        <v>43</v>
      </c>
      <c r="O111" t="e">
        <f ca="1">AVERAGEIFS(INDIRECT($C$3),INDIRECT($C$3),"&gt;=0",Data!$B:$B,$N111)</f>
        <v>#DIV/0!</v>
      </c>
      <c r="P111" t="e">
        <f t="shared" ca="1" si="32"/>
        <v>#DIV/0!</v>
      </c>
      <c r="Q111" t="s">
        <v>14</v>
      </c>
      <c r="R111" t="e">
        <f ca="1">AVERAGEIFS(INDIRECT($D$3),INDIRECT($D$3),"&gt;=0",Data!$B:$B,$Q111)</f>
        <v>#DIV/0!</v>
      </c>
      <c r="S111" t="e">
        <f t="shared" ca="1" si="33"/>
        <v>#DIV/0!</v>
      </c>
      <c r="T111" t="s">
        <v>180</v>
      </c>
      <c r="U111" t="e">
        <f ca="1">AVERAGEIFS(INDIRECT($E$3),INDIRECT($E$3),"&gt;=0",Data!$B:$B,$T111)</f>
        <v>#DIV/0!</v>
      </c>
      <c r="V111" t="e">
        <f t="shared" ca="1" si="34"/>
        <v>#DIV/0!</v>
      </c>
      <c r="W111" t="s">
        <v>19</v>
      </c>
      <c r="X111" t="e">
        <f ca="1">AVERAGEIFS(INDIRECT($F$3),INDIRECT($F$3),"&gt;=0",Data!$B:$B,$W111)</f>
        <v>#DIV/0!</v>
      </c>
      <c r="Y111" t="e">
        <f t="shared" ca="1" si="35"/>
        <v>#DIV/0!</v>
      </c>
      <c r="Z111" t="s">
        <v>7</v>
      </c>
      <c r="AA111" t="e">
        <f ca="1">AVERAGEIFS(INDIRECT($G$3),INDIRECT($G$3),"&gt;=0",Data!$B:$B,$Z111)</f>
        <v>#DIV/0!</v>
      </c>
      <c r="AB111" t="e">
        <f t="shared" ca="1" si="36"/>
        <v>#DIV/0!</v>
      </c>
      <c r="AC111" t="s">
        <v>27</v>
      </c>
      <c r="AD111" t="e">
        <f ca="1">AVERAGEIFS(INDIRECT($H$3),INDIRECT($H$3),"&gt;=0",Data!$B:$B,$AC111)</f>
        <v>#DIV/0!</v>
      </c>
      <c r="AE111" t="e">
        <f t="shared" ca="1" si="37"/>
        <v>#DIV/0!</v>
      </c>
      <c r="AF111" t="s">
        <v>42</v>
      </c>
      <c r="AG111" t="e">
        <f ca="1">AVERAGEIFS(INDIRECT($I$3),INDIRECT($I$3),"&gt;=0",Data!$B:$B,$AF111)</f>
        <v>#DIV/0!</v>
      </c>
      <c r="AH111" t="e">
        <f t="shared" ca="1" si="38"/>
        <v>#DIV/0!</v>
      </c>
      <c r="AI111" t="s">
        <v>86</v>
      </c>
      <c r="AJ111">
        <f ca="1">AVERAGEIFS(INDIRECT($J$3),INDIRECT($J$3),"&gt;=0",Data!$B:$B,$AI111)</f>
        <v>0.44444444444444442</v>
      </c>
      <c r="AK111">
        <f t="shared" ca="1" si="39"/>
        <v>103</v>
      </c>
      <c r="AL111" t="str">
        <f t="shared" ca="1" si="40"/>
        <v>-</v>
      </c>
      <c r="AM111" t="str">
        <f t="shared" ca="1" si="41"/>
        <v>-</v>
      </c>
      <c r="AN111" t="str">
        <f t="shared" ca="1" si="42"/>
        <v>-</v>
      </c>
      <c r="AO111" t="str">
        <f t="shared" ca="1" si="43"/>
        <v>-</v>
      </c>
      <c r="AP111" t="str">
        <f t="shared" ca="1" si="44"/>
        <v>-</v>
      </c>
      <c r="AQ111" t="str">
        <f t="shared" ca="1" si="45"/>
        <v>-</v>
      </c>
      <c r="AR111" t="str">
        <f t="shared" ca="1" si="46"/>
        <v>-</v>
      </c>
      <c r="AS111" t="str">
        <f t="shared" ca="1" si="47"/>
        <v>-</v>
      </c>
      <c r="AT111" t="str">
        <f t="shared" ca="1" si="48"/>
        <v>-</v>
      </c>
      <c r="AU111">
        <f t="shared" si="60"/>
        <v>103</v>
      </c>
      <c r="AV111" t="s">
        <v>70</v>
      </c>
      <c r="AW111" s="20" t="e">
        <f ca="1">AVERAGEIFS(INDIRECT($B$3),INDIRECT($B$3),"&gt;=0",Data!$B:$B,AV111,IF($A$20,Data!$J:$J,Data!#REF!),IF($A$20,"&lt;&gt;5",1))</f>
        <v>#DIV/0!</v>
      </c>
      <c r="AX111" t="e">
        <f t="shared" ca="1" si="49"/>
        <v>#DIV/0!</v>
      </c>
      <c r="AY111" s="20" t="s">
        <v>93</v>
      </c>
      <c r="AZ111" t="e">
        <f ca="1">AVERAGEIFS(INDIRECT($C$3),INDIRECT($C$3),"&gt;=0",Data!$B:$B,AY111,IF($A$20,Data!$J:$J,Data!#REF!),IF($A$20,"&lt;&gt;5",1))</f>
        <v>#DIV/0!</v>
      </c>
      <c r="BA111" s="20" t="e">
        <f t="shared" ca="1" si="50"/>
        <v>#DIV/0!</v>
      </c>
      <c r="BB111" t="s">
        <v>23</v>
      </c>
      <c r="BC111" s="20" t="e">
        <f ca="1">AVERAGEIFS(INDIRECT($D$3),INDIRECT($D$3),"&gt;=0",Data!$B:$B,BB111,IF($A$20,Data!$J:$J,Data!#REF!),IF($A$20,"&lt;&gt;5",1))</f>
        <v>#DIV/0!</v>
      </c>
      <c r="BD111" t="e">
        <f t="shared" ca="1" si="51"/>
        <v>#DIV/0!</v>
      </c>
      <c r="BE111" s="20" t="s">
        <v>70</v>
      </c>
      <c r="BF111" t="e">
        <f ca="1">AVERAGEIFS(INDIRECT($E$3),INDIRECT($E$3),"&gt;=0",Data!$B:$B,BE111,IF($A$20,Data!$J:$J,Data!#REF!),IF($A$20,"&lt;&gt;5",1))</f>
        <v>#DIV/0!</v>
      </c>
      <c r="BG111" s="20" t="e">
        <f t="shared" ca="1" si="52"/>
        <v>#DIV/0!</v>
      </c>
      <c r="BH111" t="s">
        <v>17</v>
      </c>
      <c r="BI111" s="20" t="e">
        <f ca="1">AVERAGEIFS(INDIRECT($F$3),INDIRECT($F$3),"&gt;=0",Data!$B:$B,BH111,IF($A$20,Data!$J:$J,Data!#REF!),IF($A$20,"&lt;&gt;5",1))</f>
        <v>#DIV/0!</v>
      </c>
      <c r="BJ111" t="e">
        <f t="shared" ca="1" si="53"/>
        <v>#DIV/0!</v>
      </c>
      <c r="BK111" s="20" t="s">
        <v>185</v>
      </c>
      <c r="BL111" t="e">
        <f ca="1">AVERAGEIFS(INDIRECT($G$3),INDIRECT($G$3),"&gt;=0",Data!$B:$B,BK111,IF($A$20,Data!$J:$J,Data!#REF!),IF($A$20,"&lt;&gt;5",1))</f>
        <v>#DIV/0!</v>
      </c>
      <c r="BM111" s="20" t="e">
        <f t="shared" ca="1" si="54"/>
        <v>#DIV/0!</v>
      </c>
      <c r="BN111" t="s">
        <v>152</v>
      </c>
      <c r="BO111" t="e">
        <f ca="1">AVERAGEIFS(INDIRECT($H$3),INDIRECT($H$3),"&gt;=0",Data!$B:$B,BN111,IF($A$20,Data!$J:$J,Data!#REF!),IF($A$20,"&lt;&gt;5",1))</f>
        <v>#DIV/0!</v>
      </c>
      <c r="BP111" t="e">
        <f t="shared" ca="1" si="55"/>
        <v>#DIV/0!</v>
      </c>
      <c r="BQ111" t="s">
        <v>167</v>
      </c>
      <c r="BR111">
        <f ca="1">AVERAGEIFS(INDIRECT($I$3),INDIRECT($I$3),"&gt;=0",Data!$B:$B,BQ111,IF($A$20,Data!$J:$J,Data!#REF!),IF($A$20,"&lt;&gt;5",1))</f>
        <v>1</v>
      </c>
      <c r="BS111" t="e">
        <f t="shared" ca="1" si="56"/>
        <v>#DIV/0!</v>
      </c>
      <c r="BT111" t="s">
        <v>84</v>
      </c>
      <c r="BU111" t="e">
        <f ca="1">AVERAGEIFS(INDIRECT($J$3),INDIRECT($J$3),"&gt;=0",Data!$B:$B,BT111,IF($A$20,Data!$J:$J,Data!#REF!),IF($A$20,"&lt;&gt;5",1))</f>
        <v>#DIV/0!</v>
      </c>
      <c r="BV111" t="e">
        <f t="shared" ca="1" si="57"/>
        <v>#DIV/0!</v>
      </c>
    </row>
    <row r="112" spans="10:74" x14ac:dyDescent="0.35">
      <c r="J112">
        <f t="shared" si="58"/>
        <v>104</v>
      </c>
      <c r="K112" t="s">
        <v>90</v>
      </c>
      <c r="L112" t="e">
        <f ca="1">AVERAGEIFS(INDIRECT($B$3),INDIRECT($B$3),"&gt;=0",Data!$B:$B,$K112)</f>
        <v>#DIV/0!</v>
      </c>
      <c r="M112" t="e">
        <f t="shared" ca="1" si="59"/>
        <v>#DIV/0!</v>
      </c>
      <c r="N112" t="s">
        <v>179</v>
      </c>
      <c r="O112" t="e">
        <f ca="1">AVERAGEIFS(INDIRECT($C$3),INDIRECT($C$3),"&gt;=0",Data!$B:$B,$N112)</f>
        <v>#DIV/0!</v>
      </c>
      <c r="P112" t="e">
        <f t="shared" ca="1" si="32"/>
        <v>#DIV/0!</v>
      </c>
      <c r="Q112" t="s">
        <v>46</v>
      </c>
      <c r="R112" t="e">
        <f ca="1">AVERAGEIFS(INDIRECT($D$3),INDIRECT($D$3),"&gt;=0",Data!$B:$B,$Q112)</f>
        <v>#DIV/0!</v>
      </c>
      <c r="S112" t="e">
        <f t="shared" ca="1" si="33"/>
        <v>#DIV/0!</v>
      </c>
      <c r="T112" t="s">
        <v>157</v>
      </c>
      <c r="U112" t="e">
        <f ca="1">AVERAGEIFS(INDIRECT($E$3),INDIRECT($E$3),"&gt;=0",Data!$B:$B,$T112)</f>
        <v>#DIV/0!</v>
      </c>
      <c r="V112" t="e">
        <f t="shared" ca="1" si="34"/>
        <v>#DIV/0!</v>
      </c>
      <c r="W112" t="s">
        <v>27</v>
      </c>
      <c r="X112" t="e">
        <f ca="1">AVERAGEIFS(INDIRECT($F$3),INDIRECT($F$3),"&gt;=0",Data!$B:$B,$W112)</f>
        <v>#DIV/0!</v>
      </c>
      <c r="Y112" t="e">
        <f t="shared" ca="1" si="35"/>
        <v>#DIV/0!</v>
      </c>
      <c r="Z112" t="s">
        <v>44</v>
      </c>
      <c r="AA112">
        <f ca="1">AVERAGEIFS(INDIRECT($G$3),INDIRECT($G$3),"&gt;=0",Data!$B:$B,$Z112)</f>
        <v>0.58333333333333337</v>
      </c>
      <c r="AB112" t="e">
        <f t="shared" ca="1" si="36"/>
        <v>#DIV/0!</v>
      </c>
      <c r="AC112" t="s">
        <v>30</v>
      </c>
      <c r="AD112" t="e">
        <f ca="1">AVERAGEIFS(INDIRECT($H$3),INDIRECT($H$3),"&gt;=0",Data!$B:$B,$AC112)</f>
        <v>#DIV/0!</v>
      </c>
      <c r="AE112" t="e">
        <f t="shared" ca="1" si="37"/>
        <v>#DIV/0!</v>
      </c>
      <c r="AF112" t="s">
        <v>66</v>
      </c>
      <c r="AG112" t="e">
        <f ca="1">AVERAGEIFS(INDIRECT($I$3),INDIRECT($I$3),"&gt;=0",Data!$B:$B,$AF112)</f>
        <v>#DIV/0!</v>
      </c>
      <c r="AH112" t="e">
        <f t="shared" ca="1" si="38"/>
        <v>#DIV/0!</v>
      </c>
      <c r="AI112" t="s">
        <v>80</v>
      </c>
      <c r="AJ112" t="e">
        <f ca="1">AVERAGEIFS(INDIRECT($J$3),INDIRECT($J$3),"&gt;=0",Data!$B:$B,$AI112)</f>
        <v>#DIV/0!</v>
      </c>
      <c r="AK112" t="e">
        <f t="shared" ca="1" si="39"/>
        <v>#DIV/0!</v>
      </c>
      <c r="AL112" t="str">
        <f t="shared" ca="1" si="40"/>
        <v>-</v>
      </c>
      <c r="AM112" t="str">
        <f t="shared" ca="1" si="41"/>
        <v>-</v>
      </c>
      <c r="AN112" t="str">
        <f t="shared" ca="1" si="42"/>
        <v>-</v>
      </c>
      <c r="AO112" t="str">
        <f t="shared" ca="1" si="43"/>
        <v>-</v>
      </c>
      <c r="AP112" t="str">
        <f t="shared" ca="1" si="44"/>
        <v>-</v>
      </c>
      <c r="AQ112" t="str">
        <f t="shared" ca="1" si="45"/>
        <v>-</v>
      </c>
      <c r="AR112" t="str">
        <f t="shared" ca="1" si="46"/>
        <v>-</v>
      </c>
      <c r="AS112" t="str">
        <f t="shared" ca="1" si="47"/>
        <v>-</v>
      </c>
      <c r="AT112" t="str">
        <f t="shared" ca="1" si="48"/>
        <v>-</v>
      </c>
      <c r="AU112">
        <f t="shared" si="60"/>
        <v>104</v>
      </c>
      <c r="AV112" t="s">
        <v>53</v>
      </c>
      <c r="AW112" s="20" t="e">
        <f ca="1">AVERAGEIFS(INDIRECT($B$3),INDIRECT($B$3),"&gt;=0",Data!$B:$B,AV112,IF($A$20,Data!$J:$J,Data!#REF!),IF($A$20,"&lt;&gt;5",1))</f>
        <v>#DIV/0!</v>
      </c>
      <c r="AX112" t="e">
        <f t="shared" ca="1" si="49"/>
        <v>#DIV/0!</v>
      </c>
      <c r="AY112" s="20" t="s">
        <v>120</v>
      </c>
      <c r="AZ112" t="e">
        <f ca="1">AVERAGEIFS(INDIRECT($C$3),INDIRECT($C$3),"&gt;=0",Data!$B:$B,AY112,IF($A$20,Data!$J:$J,Data!#REF!),IF($A$20,"&lt;&gt;5",1))</f>
        <v>#DIV/0!</v>
      </c>
      <c r="BA112" s="20" t="e">
        <f t="shared" ca="1" si="50"/>
        <v>#DIV/0!</v>
      </c>
      <c r="BB112" t="s">
        <v>88</v>
      </c>
      <c r="BC112" s="20" t="e">
        <f ca="1">AVERAGEIFS(INDIRECT($D$3),INDIRECT($D$3),"&gt;=0",Data!$B:$B,BB112,IF($A$20,Data!$J:$J,Data!#REF!),IF($A$20,"&lt;&gt;5",1))</f>
        <v>#DIV/0!</v>
      </c>
      <c r="BD112" t="e">
        <f t="shared" ca="1" si="51"/>
        <v>#DIV/0!</v>
      </c>
      <c r="BE112" s="20" t="s">
        <v>134</v>
      </c>
      <c r="BF112" t="e">
        <f ca="1">AVERAGEIFS(INDIRECT($E$3),INDIRECT($E$3),"&gt;=0",Data!$B:$B,BE112,IF($A$20,Data!$J:$J,Data!#REF!),IF($A$20,"&lt;&gt;5",1))</f>
        <v>#DIV/0!</v>
      </c>
      <c r="BG112" s="20" t="e">
        <f t="shared" ca="1" si="52"/>
        <v>#DIV/0!</v>
      </c>
      <c r="BH112" t="s">
        <v>14</v>
      </c>
      <c r="BI112" s="20">
        <f ca="1">AVERAGEIFS(INDIRECT($F$3),INDIRECT($F$3),"&gt;=0",Data!$B:$B,BH112,IF($A$20,Data!$J:$J,Data!#REF!),IF($A$20,"&lt;&gt;5",1))</f>
        <v>0</v>
      </c>
      <c r="BJ112" t="e">
        <f t="shared" ca="1" si="53"/>
        <v>#DIV/0!</v>
      </c>
      <c r="BK112" s="20" t="s">
        <v>152</v>
      </c>
      <c r="BL112" t="e">
        <f ca="1">AVERAGEIFS(INDIRECT($G$3),INDIRECT($G$3),"&gt;=0",Data!$B:$B,BK112,IF($A$20,Data!$J:$J,Data!#REF!),IF($A$20,"&lt;&gt;5",1))</f>
        <v>#DIV/0!</v>
      </c>
      <c r="BM112" s="20" t="e">
        <f t="shared" ca="1" si="54"/>
        <v>#DIV/0!</v>
      </c>
      <c r="BN112" t="s">
        <v>25</v>
      </c>
      <c r="BO112" t="e">
        <f ca="1">AVERAGEIFS(INDIRECT($H$3),INDIRECT($H$3),"&gt;=0",Data!$B:$B,BN112,IF($A$20,Data!$J:$J,Data!#REF!),IF($A$20,"&lt;&gt;5",1))</f>
        <v>#DIV/0!</v>
      </c>
      <c r="BP112" t="e">
        <f t="shared" ca="1" si="55"/>
        <v>#DIV/0!</v>
      </c>
      <c r="BQ112" t="s">
        <v>121</v>
      </c>
      <c r="BR112" t="e">
        <f ca="1">AVERAGEIFS(INDIRECT($I$3),INDIRECT($I$3),"&gt;=0",Data!$B:$B,BQ112,IF($A$20,Data!$J:$J,Data!#REF!),IF($A$20,"&lt;&gt;5",1))</f>
        <v>#DIV/0!</v>
      </c>
      <c r="BS112" t="e">
        <f t="shared" ca="1" si="56"/>
        <v>#DIV/0!</v>
      </c>
      <c r="BT112" t="s">
        <v>83</v>
      </c>
      <c r="BU112" t="e">
        <f ca="1">AVERAGEIFS(INDIRECT($J$3),INDIRECT($J$3),"&gt;=0",Data!$B:$B,BT112,IF($A$20,Data!$J:$J,Data!#REF!),IF($A$20,"&lt;&gt;5",1))</f>
        <v>#DIV/0!</v>
      </c>
      <c r="BV112" t="e">
        <f t="shared" ca="1" si="57"/>
        <v>#DIV/0!</v>
      </c>
    </row>
    <row r="113" spans="10:74" x14ac:dyDescent="0.35">
      <c r="J113">
        <f t="shared" si="58"/>
        <v>105</v>
      </c>
      <c r="K113" t="s">
        <v>112</v>
      </c>
      <c r="L113" t="e">
        <f ca="1">AVERAGEIFS(INDIRECT($B$3),INDIRECT($B$3),"&gt;=0",Data!$B:$B,$K113)</f>
        <v>#DIV/0!</v>
      </c>
      <c r="M113" t="e">
        <f t="shared" ca="1" si="59"/>
        <v>#DIV/0!</v>
      </c>
      <c r="N113" t="s">
        <v>79</v>
      </c>
      <c r="O113" t="e">
        <f ca="1">AVERAGEIFS(INDIRECT($C$3),INDIRECT($C$3),"&gt;=0",Data!$B:$B,$N113)</f>
        <v>#DIV/0!</v>
      </c>
      <c r="P113" t="e">
        <f t="shared" ca="1" si="32"/>
        <v>#DIV/0!</v>
      </c>
      <c r="Q113" t="s">
        <v>110</v>
      </c>
      <c r="R113" t="e">
        <f ca="1">AVERAGEIFS(INDIRECT($D$3),INDIRECT($D$3),"&gt;=0",Data!$B:$B,$Q113)</f>
        <v>#DIV/0!</v>
      </c>
      <c r="S113" t="e">
        <f t="shared" ca="1" si="33"/>
        <v>#DIV/0!</v>
      </c>
      <c r="T113" t="s">
        <v>62</v>
      </c>
      <c r="U113" t="e">
        <f ca="1">AVERAGEIFS(INDIRECT($E$3),INDIRECT($E$3),"&gt;=0",Data!$B:$B,$T113)</f>
        <v>#DIV/0!</v>
      </c>
      <c r="V113" t="e">
        <f t="shared" ca="1" si="34"/>
        <v>#DIV/0!</v>
      </c>
      <c r="W113" t="s">
        <v>29</v>
      </c>
      <c r="X113" t="e">
        <f ca="1">AVERAGEIFS(INDIRECT($F$3),INDIRECT($F$3),"&gt;=0",Data!$B:$B,$W113)</f>
        <v>#DIV/0!</v>
      </c>
      <c r="Y113" t="e">
        <f t="shared" ca="1" si="35"/>
        <v>#DIV/0!</v>
      </c>
      <c r="Z113" t="s">
        <v>49</v>
      </c>
      <c r="AA113" t="e">
        <f ca="1">AVERAGEIFS(INDIRECT($G$3),INDIRECT($G$3),"&gt;=0",Data!$B:$B,$Z113)</f>
        <v>#DIV/0!</v>
      </c>
      <c r="AB113" t="e">
        <f t="shared" ca="1" si="36"/>
        <v>#DIV/0!</v>
      </c>
      <c r="AC113" t="s">
        <v>33</v>
      </c>
      <c r="AD113">
        <f ca="1">AVERAGEIFS(INDIRECT($H$3),INDIRECT($H$3),"&gt;=0",Data!$B:$B,$AC113)</f>
        <v>1</v>
      </c>
      <c r="AE113" t="e">
        <f t="shared" ca="1" si="37"/>
        <v>#DIV/0!</v>
      </c>
      <c r="AF113" t="s">
        <v>75</v>
      </c>
      <c r="AG113" t="e">
        <f ca="1">AVERAGEIFS(INDIRECT($I$3),INDIRECT($I$3),"&gt;=0",Data!$B:$B,$AF113)</f>
        <v>#DIV/0!</v>
      </c>
      <c r="AH113" t="e">
        <f t="shared" ca="1" si="38"/>
        <v>#DIV/0!</v>
      </c>
      <c r="AI113" t="s">
        <v>82</v>
      </c>
      <c r="AJ113">
        <f ca="1">AVERAGEIFS(INDIRECT($J$3),INDIRECT($J$3),"&gt;=0",Data!$B:$B,$AI113)</f>
        <v>0.33333333333333331</v>
      </c>
      <c r="AK113" t="e">
        <f t="shared" ca="1" si="39"/>
        <v>#DIV/0!</v>
      </c>
      <c r="AL113" t="str">
        <f t="shared" ca="1" si="40"/>
        <v>-</v>
      </c>
      <c r="AM113" t="str">
        <f t="shared" ca="1" si="41"/>
        <v>-</v>
      </c>
      <c r="AN113" t="str">
        <f t="shared" ca="1" si="42"/>
        <v>-</v>
      </c>
      <c r="AO113" t="str">
        <f t="shared" ca="1" si="43"/>
        <v>-</v>
      </c>
      <c r="AP113" t="str">
        <f t="shared" ca="1" si="44"/>
        <v>-</v>
      </c>
      <c r="AQ113" t="str">
        <f t="shared" ca="1" si="45"/>
        <v>-</v>
      </c>
      <c r="AR113" t="str">
        <f t="shared" ca="1" si="46"/>
        <v>-</v>
      </c>
      <c r="AS113" t="str">
        <f t="shared" ca="1" si="47"/>
        <v>-</v>
      </c>
      <c r="AT113" t="str">
        <f t="shared" ca="1" si="48"/>
        <v>-</v>
      </c>
      <c r="AU113">
        <f t="shared" si="60"/>
        <v>105</v>
      </c>
      <c r="AV113" t="s">
        <v>100</v>
      </c>
      <c r="AW113" s="20" t="e">
        <f ca="1">AVERAGEIFS(INDIRECT($B$3),INDIRECT($B$3),"&gt;=0",Data!$B:$B,AV113,IF($A$20,Data!$J:$J,Data!#REF!),IF($A$20,"&lt;&gt;5",1))</f>
        <v>#DIV/0!</v>
      </c>
      <c r="AX113" t="e">
        <f t="shared" ca="1" si="49"/>
        <v>#DIV/0!</v>
      </c>
      <c r="AY113" s="20" t="s">
        <v>126</v>
      </c>
      <c r="AZ113" t="e">
        <f ca="1">AVERAGEIFS(INDIRECT($C$3),INDIRECT($C$3),"&gt;=0",Data!$B:$B,AY113,IF($A$20,Data!$J:$J,Data!#REF!),IF($A$20,"&lt;&gt;5",1))</f>
        <v>#DIV/0!</v>
      </c>
      <c r="BA113" s="20" t="e">
        <f t="shared" ca="1" si="50"/>
        <v>#DIV/0!</v>
      </c>
      <c r="BB113" t="s">
        <v>112</v>
      </c>
      <c r="BC113" s="20" t="e">
        <f ca="1">AVERAGEIFS(INDIRECT($D$3),INDIRECT($D$3),"&gt;=0",Data!$B:$B,BB113,IF($A$20,Data!$J:$J,Data!#REF!),IF($A$20,"&lt;&gt;5",1))</f>
        <v>#DIV/0!</v>
      </c>
      <c r="BD113" t="e">
        <f t="shared" ca="1" si="51"/>
        <v>#DIV/0!</v>
      </c>
      <c r="BE113" s="20" t="s">
        <v>175</v>
      </c>
      <c r="BF113" t="e">
        <f ca="1">AVERAGEIFS(INDIRECT($E$3),INDIRECT($E$3),"&gt;=0",Data!$B:$B,BE113,IF($A$20,Data!$J:$J,Data!#REF!),IF($A$20,"&lt;&gt;5",1))</f>
        <v>#DIV/0!</v>
      </c>
      <c r="BG113" s="20" t="e">
        <f t="shared" ca="1" si="52"/>
        <v>#DIV/0!</v>
      </c>
      <c r="BH113" t="s">
        <v>40</v>
      </c>
      <c r="BI113" s="20" t="e">
        <f ca="1">AVERAGEIFS(INDIRECT($F$3),INDIRECT($F$3),"&gt;=0",Data!$B:$B,BH113,IF($A$20,Data!$J:$J,Data!#REF!),IF($A$20,"&lt;&gt;5",1))</f>
        <v>#DIV/0!</v>
      </c>
      <c r="BJ113" t="e">
        <f t="shared" ca="1" si="53"/>
        <v>#DIV/0!</v>
      </c>
      <c r="BK113" s="20" t="s">
        <v>92</v>
      </c>
      <c r="BL113" t="e">
        <f ca="1">AVERAGEIFS(INDIRECT($G$3),INDIRECT($G$3),"&gt;=0",Data!$B:$B,BK113,IF($A$20,Data!$J:$J,Data!#REF!),IF($A$20,"&lt;&gt;5",1))</f>
        <v>#DIV/0!</v>
      </c>
      <c r="BM113" s="20" t="e">
        <f t="shared" ca="1" si="54"/>
        <v>#DIV/0!</v>
      </c>
      <c r="BN113" t="s">
        <v>39</v>
      </c>
      <c r="BO113" t="e">
        <f ca="1">AVERAGEIFS(INDIRECT($H$3),INDIRECT($H$3),"&gt;=0",Data!$B:$B,BN113,IF($A$20,Data!$J:$J,Data!#REF!),IF($A$20,"&lt;&gt;5",1))</f>
        <v>#DIV/0!</v>
      </c>
      <c r="BP113" t="e">
        <f t="shared" ca="1" si="55"/>
        <v>#DIV/0!</v>
      </c>
      <c r="BQ113" t="s">
        <v>151</v>
      </c>
      <c r="BR113" t="e">
        <f ca="1">AVERAGEIFS(INDIRECT($I$3),INDIRECT($I$3),"&gt;=0",Data!$B:$B,BQ113,IF($A$20,Data!$J:$J,Data!#REF!),IF($A$20,"&lt;&gt;5",1))</f>
        <v>#DIV/0!</v>
      </c>
      <c r="BS113" t="e">
        <f t="shared" ca="1" si="56"/>
        <v>#DIV/0!</v>
      </c>
      <c r="BT113" t="s">
        <v>79</v>
      </c>
      <c r="BU113" t="e">
        <f ca="1">AVERAGEIFS(INDIRECT($J$3),INDIRECT($J$3),"&gt;=0",Data!$B:$B,BT113,IF($A$20,Data!$J:$J,Data!#REF!),IF($A$20,"&lt;&gt;5",1))</f>
        <v>#DIV/0!</v>
      </c>
      <c r="BV113" t="e">
        <f t="shared" ca="1" si="57"/>
        <v>#DIV/0!</v>
      </c>
    </row>
    <row r="114" spans="10:74" x14ac:dyDescent="0.35">
      <c r="J114">
        <f t="shared" si="58"/>
        <v>106</v>
      </c>
      <c r="K114" t="s">
        <v>135</v>
      </c>
      <c r="L114" t="e">
        <f ca="1">AVERAGEIFS(INDIRECT($B$3),INDIRECT($B$3),"&gt;=0",Data!$B:$B,$K114)</f>
        <v>#DIV/0!</v>
      </c>
      <c r="M114" t="e">
        <f t="shared" ca="1" si="59"/>
        <v>#DIV/0!</v>
      </c>
      <c r="N114" t="s">
        <v>97</v>
      </c>
      <c r="O114" t="e">
        <f ca="1">AVERAGEIFS(INDIRECT($C$3),INDIRECT($C$3),"&gt;=0",Data!$B:$B,$N114)</f>
        <v>#DIV/0!</v>
      </c>
      <c r="P114" t="e">
        <f t="shared" ca="1" si="32"/>
        <v>#DIV/0!</v>
      </c>
      <c r="Q114" t="s">
        <v>166</v>
      </c>
      <c r="R114" t="e">
        <f ca="1">AVERAGEIFS(INDIRECT($D$3),INDIRECT($D$3),"&gt;=0",Data!$B:$B,$Q114)</f>
        <v>#DIV/0!</v>
      </c>
      <c r="S114" t="e">
        <f t="shared" ca="1" si="33"/>
        <v>#DIV/0!</v>
      </c>
      <c r="T114" t="s">
        <v>70</v>
      </c>
      <c r="U114" t="e">
        <f ca="1">AVERAGEIFS(INDIRECT($E$3),INDIRECT($E$3),"&gt;=0",Data!$B:$B,$T114)</f>
        <v>#DIV/0!</v>
      </c>
      <c r="V114" t="e">
        <f t="shared" ca="1" si="34"/>
        <v>#DIV/0!</v>
      </c>
      <c r="W114" t="s">
        <v>54</v>
      </c>
      <c r="X114" t="e">
        <f ca="1">AVERAGEIFS(INDIRECT($F$3),INDIRECT($F$3),"&gt;=0",Data!$B:$B,$W114)</f>
        <v>#DIV/0!</v>
      </c>
      <c r="Y114" t="e">
        <f t="shared" ca="1" si="35"/>
        <v>#DIV/0!</v>
      </c>
      <c r="Z114" t="s">
        <v>89</v>
      </c>
      <c r="AA114" t="e">
        <f ca="1">AVERAGEIFS(INDIRECT($G$3),INDIRECT($G$3),"&gt;=0",Data!$B:$B,$Z114)</f>
        <v>#DIV/0!</v>
      </c>
      <c r="AB114" t="e">
        <f t="shared" ca="1" si="36"/>
        <v>#DIV/0!</v>
      </c>
      <c r="AC114" t="s">
        <v>39</v>
      </c>
      <c r="AD114" t="e">
        <f ca="1">AVERAGEIFS(INDIRECT($H$3),INDIRECT($H$3),"&gt;=0",Data!$B:$B,$AC114)</f>
        <v>#DIV/0!</v>
      </c>
      <c r="AE114" t="e">
        <f t="shared" ca="1" si="37"/>
        <v>#DIV/0!</v>
      </c>
      <c r="AF114" t="s">
        <v>77</v>
      </c>
      <c r="AG114" t="e">
        <f ca="1">AVERAGEIFS(INDIRECT($I$3),INDIRECT($I$3),"&gt;=0",Data!$B:$B,$AF114)</f>
        <v>#DIV/0!</v>
      </c>
      <c r="AH114" t="e">
        <f t="shared" ca="1" si="38"/>
        <v>#DIV/0!</v>
      </c>
      <c r="AI114" t="s">
        <v>84</v>
      </c>
      <c r="AJ114" t="e">
        <f ca="1">AVERAGEIFS(INDIRECT($J$3),INDIRECT($J$3),"&gt;=0",Data!$B:$B,$AI114)</f>
        <v>#DIV/0!</v>
      </c>
      <c r="AK114" t="e">
        <f t="shared" ca="1" si="39"/>
        <v>#DIV/0!</v>
      </c>
      <c r="AL114" t="str">
        <f t="shared" ca="1" si="40"/>
        <v>-</v>
      </c>
      <c r="AM114" t="str">
        <f t="shared" ca="1" si="41"/>
        <v>-</v>
      </c>
      <c r="AN114" t="str">
        <f t="shared" ca="1" si="42"/>
        <v>-</v>
      </c>
      <c r="AO114" t="str">
        <f t="shared" ca="1" si="43"/>
        <v>-</v>
      </c>
      <c r="AP114" t="str">
        <f t="shared" ca="1" si="44"/>
        <v>-</v>
      </c>
      <c r="AQ114" t="str">
        <f t="shared" ca="1" si="45"/>
        <v>-</v>
      </c>
      <c r="AR114" t="str">
        <f t="shared" ca="1" si="46"/>
        <v>-</v>
      </c>
      <c r="AS114" t="str">
        <f t="shared" ca="1" si="47"/>
        <v>-</v>
      </c>
      <c r="AT114" t="str">
        <f t="shared" ca="1" si="48"/>
        <v>-</v>
      </c>
      <c r="AU114">
        <f t="shared" si="60"/>
        <v>106</v>
      </c>
      <c r="AV114" t="s">
        <v>133</v>
      </c>
      <c r="AW114" s="20" t="e">
        <f ca="1">AVERAGEIFS(INDIRECT($B$3),INDIRECT($B$3),"&gt;=0",Data!$B:$B,AV114,IF($A$20,Data!$J:$J,Data!#REF!),IF($A$20,"&lt;&gt;5",1))</f>
        <v>#DIV/0!</v>
      </c>
      <c r="AX114" t="e">
        <f t="shared" ca="1" si="49"/>
        <v>#DIV/0!</v>
      </c>
      <c r="AY114" s="20" t="s">
        <v>189</v>
      </c>
      <c r="AZ114" t="e">
        <f ca="1">AVERAGEIFS(INDIRECT($C$3),INDIRECT($C$3),"&gt;=0",Data!$B:$B,AY114,IF($A$20,Data!$J:$J,Data!#REF!),IF($A$20,"&lt;&gt;5",1))</f>
        <v>#DIV/0!</v>
      </c>
      <c r="BA114" s="20" t="e">
        <f t="shared" ca="1" si="50"/>
        <v>#DIV/0!</v>
      </c>
      <c r="BB114" t="s">
        <v>32</v>
      </c>
      <c r="BC114" s="20" t="e">
        <f ca="1">AVERAGEIFS(INDIRECT($D$3),INDIRECT($D$3),"&gt;=0",Data!$B:$B,BB114,IF($A$20,Data!$J:$J,Data!#REF!),IF($A$20,"&lt;&gt;5",1))</f>
        <v>#DIV/0!</v>
      </c>
      <c r="BD114" t="e">
        <f t="shared" ca="1" si="51"/>
        <v>#DIV/0!</v>
      </c>
      <c r="BE114" s="20" t="s">
        <v>189</v>
      </c>
      <c r="BF114" t="e">
        <f ca="1">AVERAGEIFS(INDIRECT($E$3),INDIRECT($E$3),"&gt;=0",Data!$B:$B,BE114,IF($A$20,Data!$J:$J,Data!#REF!),IF($A$20,"&lt;&gt;5",1))</f>
        <v>#DIV/0!</v>
      </c>
      <c r="BG114" s="20" t="e">
        <f t="shared" ca="1" si="52"/>
        <v>#DIV/0!</v>
      </c>
      <c r="BH114" t="s">
        <v>171</v>
      </c>
      <c r="BI114" s="20" t="e">
        <f ca="1">AVERAGEIFS(INDIRECT($F$3),INDIRECT($F$3),"&gt;=0",Data!$B:$B,BH114,IF($A$20,Data!$J:$J,Data!#REF!),IF($A$20,"&lt;&gt;5",1))</f>
        <v>#DIV/0!</v>
      </c>
      <c r="BJ114" t="e">
        <f t="shared" ca="1" si="53"/>
        <v>#DIV/0!</v>
      </c>
      <c r="BK114" s="20" t="s">
        <v>139</v>
      </c>
      <c r="BL114" t="e">
        <f ca="1">AVERAGEIFS(INDIRECT($G$3),INDIRECT($G$3),"&gt;=0",Data!$B:$B,BK114,IF($A$20,Data!$J:$J,Data!#REF!),IF($A$20,"&lt;&gt;5",1))</f>
        <v>#DIV/0!</v>
      </c>
      <c r="BM114" s="20" t="e">
        <f t="shared" ca="1" si="54"/>
        <v>#DIV/0!</v>
      </c>
      <c r="BN114" t="s">
        <v>72</v>
      </c>
      <c r="BO114" t="e">
        <f ca="1">AVERAGEIFS(INDIRECT($H$3),INDIRECT($H$3),"&gt;=0",Data!$B:$B,BN114,IF($A$20,Data!$J:$J,Data!#REF!),IF($A$20,"&lt;&gt;5",1))</f>
        <v>#DIV/0!</v>
      </c>
      <c r="BP114" t="e">
        <f t="shared" ca="1" si="55"/>
        <v>#DIV/0!</v>
      </c>
      <c r="BQ114" t="s">
        <v>185</v>
      </c>
      <c r="BR114" t="e">
        <f ca="1">AVERAGEIFS(INDIRECT($I$3),INDIRECT($I$3),"&gt;=0",Data!$B:$B,BQ114,IF($A$20,Data!$J:$J,Data!#REF!),IF($A$20,"&lt;&gt;5",1))</f>
        <v>#DIV/0!</v>
      </c>
      <c r="BS114" t="e">
        <f t="shared" ca="1" si="56"/>
        <v>#DIV/0!</v>
      </c>
      <c r="BT114" t="s">
        <v>81</v>
      </c>
      <c r="BU114" t="e">
        <f ca="1">AVERAGEIFS(INDIRECT($J$3),INDIRECT($J$3),"&gt;=0",Data!$B:$B,BT114,IF($A$20,Data!$J:$J,Data!#REF!),IF($A$20,"&lt;&gt;5",1))</f>
        <v>#DIV/0!</v>
      </c>
      <c r="BV114" t="e">
        <f t="shared" ca="1" si="57"/>
        <v>#DIV/0!</v>
      </c>
    </row>
    <row r="115" spans="10:74" x14ac:dyDescent="0.35">
      <c r="J115">
        <f t="shared" si="58"/>
        <v>107</v>
      </c>
      <c r="K115" t="s">
        <v>141</v>
      </c>
      <c r="L115" t="e">
        <f ca="1">AVERAGEIFS(INDIRECT($B$3),INDIRECT($B$3),"&gt;=0",Data!$B:$B,$K115)</f>
        <v>#DIV/0!</v>
      </c>
      <c r="M115" t="e">
        <f t="shared" ca="1" si="59"/>
        <v>#DIV/0!</v>
      </c>
      <c r="N115" t="s">
        <v>134</v>
      </c>
      <c r="O115" t="e">
        <f ca="1">AVERAGEIFS(INDIRECT($C$3),INDIRECT($C$3),"&gt;=0",Data!$B:$B,$N115)</f>
        <v>#DIV/0!</v>
      </c>
      <c r="P115" t="e">
        <f t="shared" ca="1" si="32"/>
        <v>#DIV/0!</v>
      </c>
      <c r="Q115" t="s">
        <v>169</v>
      </c>
      <c r="R115" t="e">
        <f ca="1">AVERAGEIFS(INDIRECT($D$3),INDIRECT($D$3),"&gt;=0",Data!$B:$B,$Q115)</f>
        <v>#DIV/0!</v>
      </c>
      <c r="S115" t="e">
        <f t="shared" ca="1" si="33"/>
        <v>#DIV/0!</v>
      </c>
      <c r="T115" t="s">
        <v>134</v>
      </c>
      <c r="U115" t="e">
        <f ca="1">AVERAGEIFS(INDIRECT($E$3),INDIRECT($E$3),"&gt;=0",Data!$B:$B,$T115)</f>
        <v>#DIV/0!</v>
      </c>
      <c r="V115" t="e">
        <f t="shared" ca="1" si="34"/>
        <v>#DIV/0!</v>
      </c>
      <c r="W115" t="s">
        <v>87</v>
      </c>
      <c r="X115">
        <f ca="1">AVERAGEIFS(INDIRECT($F$3),INDIRECT($F$3),"&gt;=0",Data!$B:$B,$W115)</f>
        <v>1</v>
      </c>
      <c r="Y115" t="e">
        <f t="shared" ca="1" si="35"/>
        <v>#DIV/0!</v>
      </c>
      <c r="Z115" t="s">
        <v>199</v>
      </c>
      <c r="AA115" t="e">
        <f ca="1">AVERAGEIFS(INDIRECT($G$3),INDIRECT($G$3),"&gt;=0",Data!$B:$B,$Z115)</f>
        <v>#DIV/0!</v>
      </c>
      <c r="AB115" t="e">
        <f t="shared" ca="1" si="36"/>
        <v>#DIV/0!</v>
      </c>
      <c r="AC115" t="s">
        <v>47</v>
      </c>
      <c r="AD115">
        <f ca="1">AVERAGEIFS(INDIRECT($H$3),INDIRECT($H$3),"&gt;=0",Data!$B:$B,$AC115)</f>
        <v>1</v>
      </c>
      <c r="AE115" t="e">
        <f t="shared" ca="1" si="37"/>
        <v>#DIV/0!</v>
      </c>
      <c r="AF115" t="s">
        <v>81</v>
      </c>
      <c r="AG115" t="e">
        <f ca="1">AVERAGEIFS(INDIRECT($I$3),INDIRECT($I$3),"&gt;=0",Data!$B:$B,$AF115)</f>
        <v>#DIV/0!</v>
      </c>
      <c r="AH115" t="e">
        <f t="shared" ca="1" si="38"/>
        <v>#DIV/0!</v>
      </c>
      <c r="AI115" t="s">
        <v>83</v>
      </c>
      <c r="AJ115" t="e">
        <f ca="1">AVERAGEIFS(INDIRECT($J$3),INDIRECT($J$3),"&gt;=0",Data!$B:$B,$AI115)</f>
        <v>#DIV/0!</v>
      </c>
      <c r="AK115" t="e">
        <f t="shared" ca="1" si="39"/>
        <v>#DIV/0!</v>
      </c>
      <c r="AL115" t="str">
        <f t="shared" ca="1" si="40"/>
        <v>-</v>
      </c>
      <c r="AM115" t="str">
        <f t="shared" ca="1" si="41"/>
        <v>-</v>
      </c>
      <c r="AN115" t="str">
        <f t="shared" ca="1" si="42"/>
        <v>-</v>
      </c>
      <c r="AO115" t="str">
        <f t="shared" ca="1" si="43"/>
        <v>-</v>
      </c>
      <c r="AP115" t="str">
        <f t="shared" ca="1" si="44"/>
        <v>-</v>
      </c>
      <c r="AQ115" t="str">
        <f t="shared" ca="1" si="45"/>
        <v>-</v>
      </c>
      <c r="AR115" t="str">
        <f t="shared" ca="1" si="46"/>
        <v>-</v>
      </c>
      <c r="AS115" t="str">
        <f t="shared" ca="1" si="47"/>
        <v>-</v>
      </c>
      <c r="AT115" t="str">
        <f t="shared" ca="1" si="48"/>
        <v>-</v>
      </c>
      <c r="AU115">
        <f t="shared" si="60"/>
        <v>107</v>
      </c>
      <c r="AV115" t="s">
        <v>145</v>
      </c>
      <c r="AW115" s="20" t="e">
        <f ca="1">AVERAGEIFS(INDIRECT($B$3),INDIRECT($B$3),"&gt;=0",Data!$B:$B,AV115,IF($A$20,Data!$J:$J,Data!#REF!),IF($A$20,"&lt;&gt;5",1))</f>
        <v>#DIV/0!</v>
      </c>
      <c r="AX115" t="e">
        <f t="shared" ca="1" si="49"/>
        <v>#DIV/0!</v>
      </c>
      <c r="AY115" s="20" t="s">
        <v>17</v>
      </c>
      <c r="AZ115" t="e">
        <f ca="1">AVERAGEIFS(INDIRECT($C$3),INDIRECT($C$3),"&gt;=0",Data!$B:$B,AY115,IF($A$20,Data!$J:$J,Data!#REF!),IF($A$20,"&lt;&gt;5",1))</f>
        <v>#DIV/0!</v>
      </c>
      <c r="BA115" s="20" t="e">
        <f t="shared" ca="1" si="50"/>
        <v>#DIV/0!</v>
      </c>
      <c r="BB115" t="s">
        <v>177</v>
      </c>
      <c r="BC115" s="20" t="e">
        <f ca="1">AVERAGEIFS(INDIRECT($D$3),INDIRECT($D$3),"&gt;=0",Data!$B:$B,BB115,IF($A$20,Data!$J:$J,Data!#REF!),IF($A$20,"&lt;&gt;5",1))</f>
        <v>#DIV/0!</v>
      </c>
      <c r="BD115" t="e">
        <f t="shared" ca="1" si="51"/>
        <v>#DIV/0!</v>
      </c>
      <c r="BE115" s="20" t="s">
        <v>27</v>
      </c>
      <c r="BF115" t="e">
        <f ca="1">AVERAGEIFS(INDIRECT($E$3),INDIRECT($E$3),"&gt;=0",Data!$B:$B,BE115,IF($A$20,Data!$J:$J,Data!#REF!),IF($A$20,"&lt;&gt;5",1))</f>
        <v>#DIV/0!</v>
      </c>
      <c r="BG115" s="20" t="e">
        <f t="shared" ca="1" si="52"/>
        <v>#DIV/0!</v>
      </c>
      <c r="BH115" t="s">
        <v>8</v>
      </c>
      <c r="BI115" s="20" t="e">
        <f ca="1">AVERAGEIFS(INDIRECT($F$3),INDIRECT($F$3),"&gt;=0",Data!$B:$B,BH115,IF($A$20,Data!$J:$J,Data!#REF!),IF($A$20,"&lt;&gt;5",1))</f>
        <v>#DIV/0!</v>
      </c>
      <c r="BJ115" t="e">
        <f t="shared" ca="1" si="53"/>
        <v>#DIV/0!</v>
      </c>
      <c r="BK115" s="20" t="s">
        <v>184</v>
      </c>
      <c r="BL115" t="e">
        <f ca="1">AVERAGEIFS(INDIRECT($G$3),INDIRECT($G$3),"&gt;=0",Data!$B:$B,BK115,IF($A$20,Data!$J:$J,Data!#REF!),IF($A$20,"&lt;&gt;5",1))</f>
        <v>#DIV/0!</v>
      </c>
      <c r="BM115" s="20" t="e">
        <f t="shared" ca="1" si="54"/>
        <v>#DIV/0!</v>
      </c>
      <c r="BN115" t="s">
        <v>163</v>
      </c>
      <c r="BO115" t="e">
        <f ca="1">AVERAGEIFS(INDIRECT($H$3),INDIRECT($H$3),"&gt;=0",Data!$B:$B,BN115,IF($A$20,Data!$J:$J,Data!#REF!),IF($A$20,"&lt;&gt;5",1))</f>
        <v>#DIV/0!</v>
      </c>
      <c r="BP115" t="e">
        <f t="shared" ca="1" si="55"/>
        <v>#DIV/0!</v>
      </c>
      <c r="BQ115" t="s">
        <v>65</v>
      </c>
      <c r="BR115" t="e">
        <f ca="1">AVERAGEIFS(INDIRECT($I$3),INDIRECT($I$3),"&gt;=0",Data!$B:$B,BQ115,IF($A$20,Data!$J:$J,Data!#REF!),IF($A$20,"&lt;&gt;5",1))</f>
        <v>#DIV/0!</v>
      </c>
      <c r="BS115" t="e">
        <f t="shared" ca="1" si="56"/>
        <v>#DIV/0!</v>
      </c>
      <c r="BT115" t="s">
        <v>85</v>
      </c>
      <c r="BU115">
        <f ca="1">AVERAGEIFS(INDIRECT($J$3),INDIRECT($J$3),"&gt;=0",Data!$B:$B,BT115,IF($A$20,Data!$J:$J,Data!#REF!),IF($A$20,"&lt;&gt;5",1))</f>
        <v>0.46666666666666667</v>
      </c>
      <c r="BV115" t="e">
        <f t="shared" ca="1" si="57"/>
        <v>#DIV/0!</v>
      </c>
    </row>
    <row r="116" spans="10:74" x14ac:dyDescent="0.35">
      <c r="J116">
        <f t="shared" si="58"/>
        <v>108</v>
      </c>
      <c r="K116" t="s">
        <v>189</v>
      </c>
      <c r="L116" t="e">
        <f ca="1">AVERAGEIFS(INDIRECT($B$3),INDIRECT($B$3),"&gt;=0",Data!$B:$B,$K116)</f>
        <v>#DIV/0!</v>
      </c>
      <c r="M116" t="e">
        <f t="shared" ca="1" si="59"/>
        <v>#DIV/0!</v>
      </c>
      <c r="N116" t="s">
        <v>129</v>
      </c>
      <c r="O116" t="e">
        <f ca="1">AVERAGEIFS(INDIRECT($C$3),INDIRECT($C$3),"&gt;=0",Data!$B:$B,$N116)</f>
        <v>#DIV/0!</v>
      </c>
      <c r="P116" t="e">
        <f t="shared" ca="1" si="32"/>
        <v>#DIV/0!</v>
      </c>
      <c r="Q116" t="s">
        <v>187</v>
      </c>
      <c r="R116" t="e">
        <f ca="1">AVERAGEIFS(INDIRECT($D$3),INDIRECT($D$3),"&gt;=0",Data!$B:$B,$Q116)</f>
        <v>#DIV/0!</v>
      </c>
      <c r="S116" t="e">
        <f t="shared" ca="1" si="33"/>
        <v>#DIV/0!</v>
      </c>
      <c r="T116" t="s">
        <v>112</v>
      </c>
      <c r="U116" t="e">
        <f ca="1">AVERAGEIFS(INDIRECT($E$3),INDIRECT($E$3),"&gt;=0",Data!$B:$B,$T116)</f>
        <v>#DIV/0!</v>
      </c>
      <c r="V116" t="e">
        <f t="shared" ca="1" si="34"/>
        <v>#DIV/0!</v>
      </c>
      <c r="W116" t="s">
        <v>190</v>
      </c>
      <c r="X116" t="e">
        <f ca="1">AVERAGEIFS(INDIRECT($F$3),INDIRECT($F$3),"&gt;=0",Data!$B:$B,$W116)</f>
        <v>#DIV/0!</v>
      </c>
      <c r="Y116" t="e">
        <f t="shared" ca="1" si="35"/>
        <v>#DIV/0!</v>
      </c>
      <c r="Z116" t="s">
        <v>62</v>
      </c>
      <c r="AA116">
        <f ca="1">AVERAGEIFS(INDIRECT($G$3),INDIRECT($G$3),"&gt;=0",Data!$B:$B,$Z116)</f>
        <v>0.9</v>
      </c>
      <c r="AB116" t="e">
        <f t="shared" ca="1" si="36"/>
        <v>#DIV/0!</v>
      </c>
      <c r="AC116" t="s">
        <v>49</v>
      </c>
      <c r="AD116" t="e">
        <f ca="1">AVERAGEIFS(INDIRECT($H$3),INDIRECT($H$3),"&gt;=0",Data!$B:$B,$AC116)</f>
        <v>#DIV/0!</v>
      </c>
      <c r="AE116" t="e">
        <f t="shared" ca="1" si="37"/>
        <v>#DIV/0!</v>
      </c>
      <c r="AF116" t="s">
        <v>84</v>
      </c>
      <c r="AG116" t="e">
        <f ca="1">AVERAGEIFS(INDIRECT($I$3),INDIRECT($I$3),"&gt;=0",Data!$B:$B,$AF116)</f>
        <v>#DIV/0!</v>
      </c>
      <c r="AH116" t="e">
        <f t="shared" ca="1" si="38"/>
        <v>#DIV/0!</v>
      </c>
      <c r="AI116" t="s">
        <v>79</v>
      </c>
      <c r="AJ116" t="e">
        <f ca="1">AVERAGEIFS(INDIRECT($J$3),INDIRECT($J$3),"&gt;=0",Data!$B:$B,$AI116)</f>
        <v>#DIV/0!</v>
      </c>
      <c r="AK116" t="e">
        <f t="shared" ca="1" si="39"/>
        <v>#DIV/0!</v>
      </c>
      <c r="AL116" t="str">
        <f t="shared" ca="1" si="40"/>
        <v>-</v>
      </c>
      <c r="AM116" t="str">
        <f t="shared" ca="1" si="41"/>
        <v>-</v>
      </c>
      <c r="AN116" t="str">
        <f t="shared" ca="1" si="42"/>
        <v>-</v>
      </c>
      <c r="AO116" t="str">
        <f t="shared" ca="1" si="43"/>
        <v>-</v>
      </c>
      <c r="AP116" t="str">
        <f t="shared" ca="1" si="44"/>
        <v>-</v>
      </c>
      <c r="AQ116" t="str">
        <f t="shared" ca="1" si="45"/>
        <v>-</v>
      </c>
      <c r="AR116" t="str">
        <f t="shared" ca="1" si="46"/>
        <v>-</v>
      </c>
      <c r="AS116" t="str">
        <f t="shared" ca="1" si="47"/>
        <v>-</v>
      </c>
      <c r="AT116" t="str">
        <f t="shared" ca="1" si="48"/>
        <v>-</v>
      </c>
      <c r="AU116">
        <f t="shared" si="60"/>
        <v>108</v>
      </c>
      <c r="AV116" t="s">
        <v>56</v>
      </c>
      <c r="AW116" s="20" t="e">
        <f ca="1">AVERAGEIFS(INDIRECT($B$3),INDIRECT($B$3),"&gt;=0",Data!$B:$B,AV116,IF($A$20,Data!$J:$J,Data!#REF!),IF($A$20,"&lt;&gt;5",1))</f>
        <v>#DIV/0!</v>
      </c>
      <c r="AX116" t="e">
        <f t="shared" ca="1" si="49"/>
        <v>#DIV/0!</v>
      </c>
      <c r="AY116" s="20" t="s">
        <v>135</v>
      </c>
      <c r="AZ116" t="e">
        <f ca="1">AVERAGEIFS(INDIRECT($C$3),INDIRECT($C$3),"&gt;=0",Data!$B:$B,AY116,IF($A$20,Data!$J:$J,Data!#REF!),IF($A$20,"&lt;&gt;5",1))</f>
        <v>#DIV/0!</v>
      </c>
      <c r="BA116" s="20" t="e">
        <f t="shared" ca="1" si="50"/>
        <v>#DIV/0!</v>
      </c>
      <c r="BB116" t="s">
        <v>184</v>
      </c>
      <c r="BC116" s="20" t="e">
        <f ca="1">AVERAGEIFS(INDIRECT($D$3),INDIRECT($D$3),"&gt;=0",Data!$B:$B,BB116,IF($A$20,Data!$J:$J,Data!#REF!),IF($A$20,"&lt;&gt;5",1))</f>
        <v>#DIV/0!</v>
      </c>
      <c r="BD116" t="e">
        <f t="shared" ca="1" si="51"/>
        <v>#DIV/0!</v>
      </c>
      <c r="BE116" s="20" t="s">
        <v>74</v>
      </c>
      <c r="BF116" t="e">
        <f ca="1">AVERAGEIFS(INDIRECT($E$3),INDIRECT($E$3),"&gt;=0",Data!$B:$B,BE116,IF($A$20,Data!$J:$J,Data!#REF!),IF($A$20,"&lt;&gt;5",1))</f>
        <v>#DIV/0!</v>
      </c>
      <c r="BG116" s="20" t="e">
        <f t="shared" ca="1" si="52"/>
        <v>#DIV/0!</v>
      </c>
      <c r="BH116" t="s">
        <v>128</v>
      </c>
      <c r="BI116" s="20" t="e">
        <f ca="1">AVERAGEIFS(INDIRECT($F$3),INDIRECT($F$3),"&gt;=0",Data!$B:$B,BH116,IF($A$20,Data!$J:$J,Data!#REF!),IF($A$20,"&lt;&gt;5",1))</f>
        <v>#DIV/0!</v>
      </c>
      <c r="BJ116" t="e">
        <f t="shared" ca="1" si="53"/>
        <v>#DIV/0!</v>
      </c>
      <c r="BK116" s="20" t="s">
        <v>49</v>
      </c>
      <c r="BL116" t="e">
        <f ca="1">AVERAGEIFS(INDIRECT($G$3),INDIRECT($G$3),"&gt;=0",Data!$B:$B,BK116,IF($A$20,Data!$J:$J,Data!#REF!),IF($A$20,"&lt;&gt;5",1))</f>
        <v>#DIV/0!</v>
      </c>
      <c r="BM116" s="20" t="e">
        <f t="shared" ca="1" si="54"/>
        <v>#DIV/0!</v>
      </c>
      <c r="BN116" t="s">
        <v>115</v>
      </c>
      <c r="BO116">
        <f ca="1">AVERAGEIFS(INDIRECT($H$3),INDIRECT($H$3),"&gt;=0",Data!$B:$B,BN116,IF($A$20,Data!$J:$J,Data!#REF!),IF($A$20,"&lt;&gt;5",1))</f>
        <v>1</v>
      </c>
      <c r="BP116" t="e">
        <f t="shared" ca="1" si="55"/>
        <v>#DIV/0!</v>
      </c>
      <c r="BQ116" t="s">
        <v>75</v>
      </c>
      <c r="BR116" t="e">
        <f ca="1">AVERAGEIFS(INDIRECT($I$3),INDIRECT($I$3),"&gt;=0",Data!$B:$B,BQ116,IF($A$20,Data!$J:$J,Data!#REF!),IF($A$20,"&lt;&gt;5",1))</f>
        <v>#DIV/0!</v>
      </c>
      <c r="BS116" t="e">
        <f t="shared" ca="1" si="56"/>
        <v>#DIV/0!</v>
      </c>
      <c r="BT116" t="s">
        <v>78</v>
      </c>
      <c r="BU116">
        <f ca="1">AVERAGEIFS(INDIRECT($J$3),INDIRECT($J$3),"&gt;=0",Data!$B:$B,BT116,IF($A$20,Data!$J:$J,Data!#REF!),IF($A$20,"&lt;&gt;5",1))</f>
        <v>0.27272727272727271</v>
      </c>
      <c r="BV116">
        <f t="shared" ca="1" si="57"/>
        <v>108</v>
      </c>
    </row>
    <row r="117" spans="10:74" x14ac:dyDescent="0.35">
      <c r="J117">
        <f t="shared" si="58"/>
        <v>109</v>
      </c>
      <c r="K117" t="s">
        <v>70</v>
      </c>
      <c r="L117" t="e">
        <f ca="1">AVERAGEIFS(INDIRECT($B$3),INDIRECT($B$3),"&gt;=0",Data!$B:$B,$K117)</f>
        <v>#DIV/0!</v>
      </c>
      <c r="M117" t="e">
        <f t="shared" ca="1" si="59"/>
        <v>#DIV/0!</v>
      </c>
      <c r="N117" t="s">
        <v>93</v>
      </c>
      <c r="O117" t="e">
        <f ca="1">AVERAGEIFS(INDIRECT($C$3),INDIRECT($C$3),"&gt;=0",Data!$B:$B,$N117)</f>
        <v>#DIV/0!</v>
      </c>
      <c r="P117" t="e">
        <f t="shared" ca="1" si="32"/>
        <v>#DIV/0!</v>
      </c>
      <c r="Q117" t="s">
        <v>186</v>
      </c>
      <c r="R117" t="e">
        <f ca="1">AVERAGEIFS(INDIRECT($D$3),INDIRECT($D$3),"&gt;=0",Data!$B:$B,$Q117)</f>
        <v>#DIV/0!</v>
      </c>
      <c r="S117" t="e">
        <f t="shared" ca="1" si="33"/>
        <v>#DIV/0!</v>
      </c>
      <c r="T117" t="s">
        <v>175</v>
      </c>
      <c r="U117" t="e">
        <f ca="1">AVERAGEIFS(INDIRECT($E$3),INDIRECT($E$3),"&gt;=0",Data!$B:$B,$T117)</f>
        <v>#DIV/0!</v>
      </c>
      <c r="V117" t="e">
        <f t="shared" ca="1" si="34"/>
        <v>#DIV/0!</v>
      </c>
      <c r="W117" t="s">
        <v>26</v>
      </c>
      <c r="X117" t="e">
        <f ca="1">AVERAGEIFS(INDIRECT($F$3),INDIRECT($F$3),"&gt;=0",Data!$B:$B,$W117)</f>
        <v>#DIV/0!</v>
      </c>
      <c r="Y117" t="e">
        <f t="shared" ca="1" si="35"/>
        <v>#DIV/0!</v>
      </c>
      <c r="Z117" t="s">
        <v>92</v>
      </c>
      <c r="AA117" t="e">
        <f ca="1">AVERAGEIFS(INDIRECT($G$3),INDIRECT($G$3),"&gt;=0",Data!$B:$B,$Z117)</f>
        <v>#DIV/0!</v>
      </c>
      <c r="AB117" t="e">
        <f t="shared" ca="1" si="36"/>
        <v>#DIV/0!</v>
      </c>
      <c r="AC117" t="s">
        <v>72</v>
      </c>
      <c r="AD117" t="e">
        <f ca="1">AVERAGEIFS(INDIRECT($H$3),INDIRECT($H$3),"&gt;=0",Data!$B:$B,$AC117)</f>
        <v>#DIV/0!</v>
      </c>
      <c r="AE117" t="e">
        <f t="shared" ca="1" si="37"/>
        <v>#DIV/0!</v>
      </c>
      <c r="AF117" t="s">
        <v>93</v>
      </c>
      <c r="AG117" t="e">
        <f ca="1">AVERAGEIFS(INDIRECT($I$3),INDIRECT($I$3),"&gt;=0",Data!$B:$B,$AF117)</f>
        <v>#DIV/0!</v>
      </c>
      <c r="AH117" t="e">
        <f t="shared" ca="1" si="38"/>
        <v>#DIV/0!</v>
      </c>
      <c r="AI117" t="s">
        <v>81</v>
      </c>
      <c r="AJ117" t="e">
        <f ca="1">AVERAGEIFS(INDIRECT($J$3),INDIRECT($J$3),"&gt;=0",Data!$B:$B,$AI117)</f>
        <v>#DIV/0!</v>
      </c>
      <c r="AK117" t="e">
        <f t="shared" ca="1" si="39"/>
        <v>#DIV/0!</v>
      </c>
      <c r="AL117" t="str">
        <f t="shared" ca="1" si="40"/>
        <v>-</v>
      </c>
      <c r="AM117" t="str">
        <f t="shared" ca="1" si="41"/>
        <v>-</v>
      </c>
      <c r="AN117" t="str">
        <f t="shared" ca="1" si="42"/>
        <v>-</v>
      </c>
      <c r="AO117" t="str">
        <f t="shared" ca="1" si="43"/>
        <v>-</v>
      </c>
      <c r="AP117" t="str">
        <f t="shared" ca="1" si="44"/>
        <v>-</v>
      </c>
      <c r="AQ117" t="str">
        <f t="shared" ca="1" si="45"/>
        <v>-</v>
      </c>
      <c r="AR117" t="str">
        <f t="shared" ca="1" si="46"/>
        <v>-</v>
      </c>
      <c r="AS117" t="str">
        <f t="shared" ca="1" si="47"/>
        <v>-</v>
      </c>
      <c r="AT117" t="str">
        <f t="shared" ca="1" si="48"/>
        <v>-</v>
      </c>
      <c r="AU117">
        <f t="shared" si="60"/>
        <v>109</v>
      </c>
      <c r="AV117" t="s">
        <v>21</v>
      </c>
      <c r="AW117" s="20" t="e">
        <f ca="1">AVERAGEIFS(INDIRECT($B$3),INDIRECT($B$3),"&gt;=0",Data!$B:$B,AV117,IF($A$20,Data!$J:$J,Data!#REF!),IF($A$20,"&lt;&gt;5",1))</f>
        <v>#DIV/0!</v>
      </c>
      <c r="AX117" t="e">
        <f t="shared" ca="1" si="49"/>
        <v>#DIV/0!</v>
      </c>
      <c r="AY117" s="20" t="s">
        <v>154</v>
      </c>
      <c r="AZ117" t="e">
        <f ca="1">AVERAGEIFS(INDIRECT($C$3),INDIRECT($C$3),"&gt;=0",Data!$B:$B,AY117,IF($A$20,Data!$J:$J,Data!#REF!),IF($A$20,"&lt;&gt;5",1))</f>
        <v>#DIV/0!</v>
      </c>
      <c r="BA117" s="20" t="e">
        <f t="shared" ca="1" si="50"/>
        <v>#DIV/0!</v>
      </c>
      <c r="BB117" t="s">
        <v>187</v>
      </c>
      <c r="BC117" s="20" t="e">
        <f ca="1">AVERAGEIFS(INDIRECT($D$3),INDIRECT($D$3),"&gt;=0",Data!$B:$B,BB117,IF($A$20,Data!$J:$J,Data!#REF!),IF($A$20,"&lt;&gt;5",1))</f>
        <v>#DIV/0!</v>
      </c>
      <c r="BD117" t="e">
        <f t="shared" ca="1" si="51"/>
        <v>#DIV/0!</v>
      </c>
      <c r="BE117" s="20" t="s">
        <v>75</v>
      </c>
      <c r="BF117" t="e">
        <f ca="1">AVERAGEIFS(INDIRECT($E$3),INDIRECT($E$3),"&gt;=0",Data!$B:$B,BE117,IF($A$20,Data!$J:$J,Data!#REF!),IF($A$20,"&lt;&gt;5",1))</f>
        <v>#DIV/0!</v>
      </c>
      <c r="BG117" s="20" t="e">
        <f t="shared" ca="1" si="52"/>
        <v>#DIV/0!</v>
      </c>
      <c r="BH117" t="s">
        <v>110</v>
      </c>
      <c r="BI117" s="20" t="e">
        <f ca="1">AVERAGEIFS(INDIRECT($F$3),INDIRECT($F$3),"&gt;=0",Data!$B:$B,BH117,IF($A$20,Data!$J:$J,Data!#REF!),IF($A$20,"&lt;&gt;5",1))</f>
        <v>#DIV/0!</v>
      </c>
      <c r="BJ117" t="e">
        <f t="shared" ca="1" si="53"/>
        <v>#DIV/0!</v>
      </c>
      <c r="BK117" s="20" t="s">
        <v>179</v>
      </c>
      <c r="BL117" t="e">
        <f ca="1">AVERAGEIFS(INDIRECT($G$3),INDIRECT($G$3),"&gt;=0",Data!$B:$B,BK117,IF($A$20,Data!$J:$J,Data!#REF!),IF($A$20,"&lt;&gt;5",1))</f>
        <v>#DIV/0!</v>
      </c>
      <c r="BM117" s="20" t="e">
        <f t="shared" ca="1" si="54"/>
        <v>#DIV/0!</v>
      </c>
      <c r="BN117" t="s">
        <v>183</v>
      </c>
      <c r="BO117" t="e">
        <f ca="1">AVERAGEIFS(INDIRECT($H$3),INDIRECT($H$3),"&gt;=0",Data!$B:$B,BN117,IF($A$20,Data!$J:$J,Data!#REF!),IF($A$20,"&lt;&gt;5",1))</f>
        <v>#DIV/0!</v>
      </c>
      <c r="BP117" t="e">
        <f t="shared" ca="1" si="55"/>
        <v>#DIV/0!</v>
      </c>
      <c r="BQ117" t="s">
        <v>119</v>
      </c>
      <c r="BR117" t="e">
        <f ca="1">AVERAGEIFS(INDIRECT($I$3),INDIRECT($I$3),"&gt;=0",Data!$B:$B,BQ117,IF($A$20,Data!$J:$J,Data!#REF!),IF($A$20,"&lt;&gt;5",1))</f>
        <v>#DIV/0!</v>
      </c>
      <c r="BS117" t="e">
        <f t="shared" ca="1" si="56"/>
        <v>#DIV/0!</v>
      </c>
      <c r="BT117" t="s">
        <v>74</v>
      </c>
      <c r="BU117" t="e">
        <f ca="1">AVERAGEIFS(INDIRECT($J$3),INDIRECT($J$3),"&gt;=0",Data!$B:$B,BT117,IF($A$20,Data!$J:$J,Data!#REF!),IF($A$20,"&lt;&gt;5",1))</f>
        <v>#DIV/0!</v>
      </c>
      <c r="BV117" t="e">
        <f t="shared" ca="1" si="57"/>
        <v>#DIV/0!</v>
      </c>
    </row>
    <row r="118" spans="10:74" x14ac:dyDescent="0.35">
      <c r="J118">
        <f t="shared" si="58"/>
        <v>110</v>
      </c>
      <c r="K118" t="s">
        <v>18</v>
      </c>
      <c r="L118" t="e">
        <f ca="1">AVERAGEIFS(INDIRECT($B$3),INDIRECT($B$3),"&gt;=0",Data!$B:$B,$K118)</f>
        <v>#DIV/0!</v>
      </c>
      <c r="M118" t="e">
        <f t="shared" ca="1" si="59"/>
        <v>#DIV/0!</v>
      </c>
      <c r="N118" t="s">
        <v>120</v>
      </c>
      <c r="O118" t="e">
        <f ca="1">AVERAGEIFS(INDIRECT($C$3),INDIRECT($C$3),"&gt;=0",Data!$B:$B,$N118)</f>
        <v>#DIV/0!</v>
      </c>
      <c r="P118" t="e">
        <f t="shared" ca="1" si="32"/>
        <v>#DIV/0!</v>
      </c>
      <c r="Q118" t="s">
        <v>41</v>
      </c>
      <c r="R118" t="e">
        <f ca="1">AVERAGEIFS(INDIRECT($D$3),INDIRECT($D$3),"&gt;=0",Data!$B:$B,$Q118)</f>
        <v>#DIV/0!</v>
      </c>
      <c r="S118" t="e">
        <f t="shared" ca="1" si="33"/>
        <v>#DIV/0!</v>
      </c>
      <c r="T118" t="s">
        <v>189</v>
      </c>
      <c r="U118" t="e">
        <f ca="1">AVERAGEIFS(INDIRECT($E$3),INDIRECT($E$3),"&gt;=0",Data!$B:$B,$T118)</f>
        <v>#DIV/0!</v>
      </c>
      <c r="V118" t="e">
        <f t="shared" ca="1" si="34"/>
        <v>#DIV/0!</v>
      </c>
      <c r="W118" t="s">
        <v>21</v>
      </c>
      <c r="X118" t="e">
        <f ca="1">AVERAGEIFS(INDIRECT($F$3),INDIRECT($F$3),"&gt;=0",Data!$B:$B,$W118)</f>
        <v>#DIV/0!</v>
      </c>
      <c r="Y118" t="e">
        <f t="shared" ca="1" si="35"/>
        <v>#DIV/0!</v>
      </c>
      <c r="Z118" t="s">
        <v>152</v>
      </c>
      <c r="AA118" t="e">
        <f ca="1">AVERAGEIFS(INDIRECT($G$3),INDIRECT($G$3),"&gt;=0",Data!$B:$B,$Z118)</f>
        <v>#DIV/0!</v>
      </c>
      <c r="AB118" t="e">
        <f t="shared" ca="1" si="36"/>
        <v>#DIV/0!</v>
      </c>
      <c r="AC118" t="s">
        <v>83</v>
      </c>
      <c r="AD118" t="e">
        <f ca="1">AVERAGEIFS(INDIRECT($H$3),INDIRECT($H$3),"&gt;=0",Data!$B:$B,$AC118)</f>
        <v>#DIV/0!</v>
      </c>
      <c r="AE118" t="e">
        <f t="shared" ca="1" si="37"/>
        <v>#DIV/0!</v>
      </c>
      <c r="AF118" t="s">
        <v>124</v>
      </c>
      <c r="AG118" t="e">
        <f ca="1">AVERAGEIFS(INDIRECT($I$3),INDIRECT($I$3),"&gt;=0",Data!$B:$B,$AF118)</f>
        <v>#DIV/0!</v>
      </c>
      <c r="AH118" t="e">
        <f t="shared" ca="1" si="38"/>
        <v>#DIV/0!</v>
      </c>
      <c r="AI118" t="s">
        <v>85</v>
      </c>
      <c r="AJ118">
        <f ca="1">AVERAGEIFS(INDIRECT($J$3),INDIRECT($J$3),"&gt;=0",Data!$B:$B,$AI118)</f>
        <v>0.46666666666666667</v>
      </c>
      <c r="AK118" t="e">
        <f t="shared" ca="1" si="39"/>
        <v>#DIV/0!</v>
      </c>
      <c r="AL118" t="str">
        <f t="shared" ca="1" si="40"/>
        <v>-</v>
      </c>
      <c r="AM118" t="str">
        <f t="shared" ca="1" si="41"/>
        <v>-</v>
      </c>
      <c r="AN118" t="str">
        <f t="shared" ca="1" si="42"/>
        <v>-</v>
      </c>
      <c r="AO118" t="str">
        <f t="shared" ca="1" si="43"/>
        <v>-</v>
      </c>
      <c r="AP118" t="str">
        <f t="shared" ca="1" si="44"/>
        <v>-</v>
      </c>
      <c r="AQ118" t="str">
        <f t="shared" ca="1" si="45"/>
        <v>-</v>
      </c>
      <c r="AR118" t="str">
        <f t="shared" ca="1" si="46"/>
        <v>-</v>
      </c>
      <c r="AS118" t="str">
        <f t="shared" ca="1" si="47"/>
        <v>-</v>
      </c>
      <c r="AT118" t="str">
        <f t="shared" ca="1" si="48"/>
        <v>-</v>
      </c>
      <c r="AU118">
        <f t="shared" si="60"/>
        <v>110</v>
      </c>
      <c r="AV118" t="s">
        <v>147</v>
      </c>
      <c r="AW118" s="20" t="e">
        <f ca="1">AVERAGEIFS(INDIRECT($B$3),INDIRECT($B$3),"&gt;=0",Data!$B:$B,AV118,IF($A$20,Data!$J:$J,Data!#REF!),IF($A$20,"&lt;&gt;5",1))</f>
        <v>#DIV/0!</v>
      </c>
      <c r="AX118" t="e">
        <f t="shared" ca="1" si="49"/>
        <v>#DIV/0!</v>
      </c>
      <c r="AY118" s="20" t="s">
        <v>125</v>
      </c>
      <c r="AZ118" t="e">
        <f ca="1">AVERAGEIFS(INDIRECT($C$3),INDIRECT($C$3),"&gt;=0",Data!$B:$B,AY118,IF($A$20,Data!$J:$J,Data!#REF!),IF($A$20,"&lt;&gt;5",1))</f>
        <v>#DIV/0!</v>
      </c>
      <c r="BA118" s="20" t="e">
        <f t="shared" ca="1" si="50"/>
        <v>#DIV/0!</v>
      </c>
      <c r="BB118" t="s">
        <v>76</v>
      </c>
      <c r="BC118" s="20" t="e">
        <f ca="1">AVERAGEIFS(INDIRECT($D$3),INDIRECT($D$3),"&gt;=0",Data!$B:$B,BB118,IF($A$20,Data!$J:$J,Data!#REF!),IF($A$20,"&lt;&gt;5",1))</f>
        <v>#DIV/0!</v>
      </c>
      <c r="BD118" t="e">
        <f t="shared" ca="1" si="51"/>
        <v>#DIV/0!</v>
      </c>
      <c r="BE118" s="20" t="s">
        <v>105</v>
      </c>
      <c r="BF118" t="e">
        <f ca="1">AVERAGEIFS(INDIRECT($E$3),INDIRECT($E$3),"&gt;=0",Data!$B:$B,BE118,IF($A$20,Data!$J:$J,Data!#REF!),IF($A$20,"&lt;&gt;5",1))</f>
        <v>#DIV/0!</v>
      </c>
      <c r="BG118" s="20" t="e">
        <f t="shared" ca="1" si="52"/>
        <v>#DIV/0!</v>
      </c>
      <c r="BH118" t="s">
        <v>169</v>
      </c>
      <c r="BI118" s="20" t="e">
        <f ca="1">AVERAGEIFS(INDIRECT($F$3),INDIRECT($F$3),"&gt;=0",Data!$B:$B,BH118,IF($A$20,Data!$J:$J,Data!#REF!),IF($A$20,"&lt;&gt;5",1))</f>
        <v>#DIV/0!</v>
      </c>
      <c r="BJ118" t="e">
        <f t="shared" ca="1" si="53"/>
        <v>#DIV/0!</v>
      </c>
      <c r="BK118" s="20" t="s">
        <v>78</v>
      </c>
      <c r="BL118">
        <f ca="1">AVERAGEIFS(INDIRECT($G$3),INDIRECT($G$3),"&gt;=0",Data!$B:$B,BK118,IF($A$20,Data!$J:$J,Data!#REF!),IF($A$20,"&lt;&gt;5",1))</f>
        <v>0.75</v>
      </c>
      <c r="BM118" s="20" t="e">
        <f t="shared" ca="1" si="54"/>
        <v>#DIV/0!</v>
      </c>
      <c r="BN118" t="s">
        <v>79</v>
      </c>
      <c r="BO118" t="e">
        <f ca="1">AVERAGEIFS(INDIRECT($H$3),INDIRECT($H$3),"&gt;=0",Data!$B:$B,BN118,IF($A$20,Data!$J:$J,Data!#REF!),IF($A$20,"&lt;&gt;5",1))</f>
        <v>#DIV/0!</v>
      </c>
      <c r="BP118" t="e">
        <f t="shared" ca="1" si="55"/>
        <v>#DIV/0!</v>
      </c>
      <c r="BQ118" t="s">
        <v>187</v>
      </c>
      <c r="BR118">
        <f ca="1">AVERAGEIFS(INDIRECT($I$3),INDIRECT($I$3),"&gt;=0",Data!$B:$B,BQ118,IF($A$20,Data!$J:$J,Data!#REF!),IF($A$20,"&lt;&gt;5",1))</f>
        <v>0.56666666666666665</v>
      </c>
      <c r="BS118" t="e">
        <f t="shared" ca="1" si="56"/>
        <v>#DIV/0!</v>
      </c>
      <c r="BT118" t="s">
        <v>75</v>
      </c>
      <c r="BU118" t="e">
        <f ca="1">AVERAGEIFS(INDIRECT($J$3),INDIRECT($J$3),"&gt;=0",Data!$B:$B,BT118,IF($A$20,Data!$J:$J,Data!#REF!),IF($A$20,"&lt;&gt;5",1))</f>
        <v>#DIV/0!</v>
      </c>
      <c r="BV118" t="e">
        <f t="shared" ca="1" si="57"/>
        <v>#DIV/0!</v>
      </c>
    </row>
    <row r="119" spans="10:74" x14ac:dyDescent="0.35">
      <c r="J119">
        <f t="shared" si="58"/>
        <v>111</v>
      </c>
      <c r="K119" t="s">
        <v>119</v>
      </c>
      <c r="L119" t="e">
        <f ca="1">AVERAGEIFS(INDIRECT($B$3),INDIRECT($B$3),"&gt;=0",Data!$B:$B,$K119)</f>
        <v>#DIV/0!</v>
      </c>
      <c r="M119" t="e">
        <f t="shared" ca="1" si="59"/>
        <v>#DIV/0!</v>
      </c>
      <c r="N119" t="s">
        <v>175</v>
      </c>
      <c r="O119" t="e">
        <f ca="1">AVERAGEIFS(INDIRECT($C$3),INDIRECT($C$3),"&gt;=0",Data!$B:$B,$N119)</f>
        <v>#DIV/0!</v>
      </c>
      <c r="P119" t="e">
        <f t="shared" ca="1" si="32"/>
        <v>#DIV/0!</v>
      </c>
      <c r="Q119" t="s">
        <v>151</v>
      </c>
      <c r="R119" t="e">
        <f ca="1">AVERAGEIFS(INDIRECT($D$3),INDIRECT($D$3),"&gt;=0",Data!$B:$B,$Q119)</f>
        <v>#DIV/0!</v>
      </c>
      <c r="S119" t="e">
        <f t="shared" ca="1" si="33"/>
        <v>#DIV/0!</v>
      </c>
      <c r="T119" t="s">
        <v>8</v>
      </c>
      <c r="U119" t="e">
        <f ca="1">AVERAGEIFS(INDIRECT($E$3),INDIRECT($E$3),"&gt;=0",Data!$B:$B,$T119)</f>
        <v>#DIV/0!</v>
      </c>
      <c r="V119" t="e">
        <f t="shared" ca="1" si="34"/>
        <v>#DIV/0!</v>
      </c>
      <c r="W119" t="s">
        <v>95</v>
      </c>
      <c r="X119" t="e">
        <f ca="1">AVERAGEIFS(INDIRECT($F$3),INDIRECT($F$3),"&gt;=0",Data!$B:$B,$W119)</f>
        <v>#DIV/0!</v>
      </c>
      <c r="Y119" t="e">
        <f t="shared" ca="1" si="35"/>
        <v>#DIV/0!</v>
      </c>
      <c r="Z119" t="s">
        <v>81</v>
      </c>
      <c r="AA119" t="e">
        <f ca="1">AVERAGEIFS(INDIRECT($G$3),INDIRECT($G$3),"&gt;=0",Data!$B:$B,$Z119)</f>
        <v>#DIV/0!</v>
      </c>
      <c r="AB119" t="e">
        <f t="shared" ca="1" si="36"/>
        <v>#DIV/0!</v>
      </c>
      <c r="AC119" t="s">
        <v>93</v>
      </c>
      <c r="AD119" t="e">
        <f ca="1">AVERAGEIFS(INDIRECT($H$3),INDIRECT($H$3),"&gt;=0",Data!$B:$B,$AC119)</f>
        <v>#DIV/0!</v>
      </c>
      <c r="AE119" t="e">
        <f t="shared" ca="1" si="37"/>
        <v>#DIV/0!</v>
      </c>
      <c r="AF119" t="s">
        <v>143</v>
      </c>
      <c r="AG119" t="e">
        <f ca="1">AVERAGEIFS(INDIRECT($I$3),INDIRECT($I$3),"&gt;=0",Data!$B:$B,$AF119)</f>
        <v>#DIV/0!</v>
      </c>
      <c r="AH119" t="e">
        <f t="shared" ca="1" si="38"/>
        <v>#DIV/0!</v>
      </c>
      <c r="AI119" t="s">
        <v>78</v>
      </c>
      <c r="AJ119">
        <f ca="1">AVERAGEIFS(INDIRECT($J$3),INDIRECT($J$3),"&gt;=0",Data!$B:$B,$AI119)</f>
        <v>0.2608695652173913</v>
      </c>
      <c r="AK119">
        <f t="shared" ca="1" si="39"/>
        <v>111</v>
      </c>
      <c r="AL119" t="str">
        <f t="shared" ca="1" si="40"/>
        <v>-</v>
      </c>
      <c r="AM119" t="str">
        <f t="shared" ca="1" si="41"/>
        <v>-</v>
      </c>
      <c r="AN119" t="str">
        <f t="shared" ca="1" si="42"/>
        <v>-</v>
      </c>
      <c r="AO119" t="str">
        <f t="shared" ca="1" si="43"/>
        <v>-</v>
      </c>
      <c r="AP119" t="str">
        <f t="shared" ca="1" si="44"/>
        <v>-</v>
      </c>
      <c r="AQ119" t="str">
        <f t="shared" ca="1" si="45"/>
        <v>-</v>
      </c>
      <c r="AR119" t="str">
        <f t="shared" ca="1" si="46"/>
        <v>-</v>
      </c>
      <c r="AS119" t="str">
        <f t="shared" ca="1" si="47"/>
        <v>-</v>
      </c>
      <c r="AT119" t="str">
        <f t="shared" ca="1" si="48"/>
        <v>-</v>
      </c>
      <c r="AU119">
        <f t="shared" si="60"/>
        <v>111</v>
      </c>
      <c r="AV119" t="s">
        <v>18</v>
      </c>
      <c r="AW119" s="20" t="e">
        <f ca="1">AVERAGEIFS(INDIRECT($B$3),INDIRECT($B$3),"&gt;=0",Data!$B:$B,AV119,IF($A$20,Data!$J:$J,Data!#REF!),IF($A$20,"&lt;&gt;5",1))</f>
        <v>#DIV/0!</v>
      </c>
      <c r="AX119" t="e">
        <f t="shared" ca="1" si="49"/>
        <v>#DIV/0!</v>
      </c>
      <c r="AY119" s="20" t="s">
        <v>110</v>
      </c>
      <c r="AZ119" t="e">
        <f ca="1">AVERAGEIFS(INDIRECT($C$3),INDIRECT($C$3),"&gt;=0",Data!$B:$B,AY119,IF($A$20,Data!$J:$J,Data!#REF!),IF($A$20,"&lt;&gt;5",1))</f>
        <v>#DIV/0!</v>
      </c>
      <c r="BA119" s="20" t="e">
        <f t="shared" ca="1" si="50"/>
        <v>#DIV/0!</v>
      </c>
      <c r="BB119" t="s">
        <v>60</v>
      </c>
      <c r="BC119" s="20" t="e">
        <f ca="1">AVERAGEIFS(INDIRECT($D$3),INDIRECT($D$3),"&gt;=0",Data!$B:$B,BB119,IF($A$20,Data!$J:$J,Data!#REF!),IF($A$20,"&lt;&gt;5",1))</f>
        <v>#DIV/0!</v>
      </c>
      <c r="BD119" t="e">
        <f t="shared" ca="1" si="51"/>
        <v>#DIV/0!</v>
      </c>
      <c r="BE119" s="20" t="s">
        <v>174</v>
      </c>
      <c r="BF119" t="e">
        <f ca="1">AVERAGEIFS(INDIRECT($E$3),INDIRECT($E$3),"&gt;=0",Data!$B:$B,BE119,IF($A$20,Data!$J:$J,Data!#REF!),IF($A$20,"&lt;&gt;5",1))</f>
        <v>#DIV/0!</v>
      </c>
      <c r="BG119" s="20" t="e">
        <f t="shared" ca="1" si="52"/>
        <v>#DIV/0!</v>
      </c>
      <c r="BH119" t="s">
        <v>79</v>
      </c>
      <c r="BI119" s="20" t="e">
        <f ca="1">AVERAGEIFS(INDIRECT($F$3),INDIRECT($F$3),"&gt;=0",Data!$B:$B,BH119,IF($A$20,Data!$J:$J,Data!#REF!),IF($A$20,"&lt;&gt;5",1))</f>
        <v>#DIV/0!</v>
      </c>
      <c r="BJ119" t="e">
        <f t="shared" ca="1" si="53"/>
        <v>#DIV/0!</v>
      </c>
      <c r="BK119" s="20" t="s">
        <v>2</v>
      </c>
      <c r="BL119" t="e">
        <f ca="1">AVERAGEIFS(INDIRECT($G$3),INDIRECT($G$3),"&gt;=0",Data!$B:$B,BK119,IF($A$20,Data!$J:$J,Data!#REF!),IF($A$20,"&lt;&gt;5",1))</f>
        <v>#DIV/0!</v>
      </c>
      <c r="BM119" s="20" t="e">
        <f t="shared" ca="1" si="54"/>
        <v>#DIV/0!</v>
      </c>
      <c r="BN119" t="s">
        <v>93</v>
      </c>
      <c r="BO119" t="e">
        <f ca="1">AVERAGEIFS(INDIRECT($H$3),INDIRECT($H$3),"&gt;=0",Data!$B:$B,BN119,IF($A$20,Data!$J:$J,Data!#REF!),IF($A$20,"&lt;&gt;5",1))</f>
        <v>#DIV/0!</v>
      </c>
      <c r="BP119" t="e">
        <f t="shared" ca="1" si="55"/>
        <v>#DIV/0!</v>
      </c>
      <c r="BQ119" t="s">
        <v>152</v>
      </c>
      <c r="BR119" t="e">
        <f ca="1">AVERAGEIFS(INDIRECT($I$3),INDIRECT($I$3),"&gt;=0",Data!$B:$B,BQ119,IF($A$20,Data!$J:$J,Data!#REF!),IF($A$20,"&lt;&gt;5",1))</f>
        <v>#DIV/0!</v>
      </c>
      <c r="BS119" t="e">
        <f t="shared" ca="1" si="56"/>
        <v>#DIV/0!</v>
      </c>
      <c r="BT119" t="s">
        <v>77</v>
      </c>
      <c r="BU119" t="e">
        <f ca="1">AVERAGEIFS(INDIRECT($J$3),INDIRECT($J$3),"&gt;=0",Data!$B:$B,BT119,IF($A$20,Data!$J:$J,Data!#REF!),IF($A$20,"&lt;&gt;5",1))</f>
        <v>#DIV/0!</v>
      </c>
      <c r="BV119" t="e">
        <f t="shared" ca="1" si="57"/>
        <v>#DIV/0!</v>
      </c>
    </row>
    <row r="120" spans="10:74" x14ac:dyDescent="0.35">
      <c r="J120">
        <f t="shared" si="58"/>
        <v>112</v>
      </c>
      <c r="K120" t="s">
        <v>166</v>
      </c>
      <c r="L120" t="e">
        <f ca="1">AVERAGEIFS(INDIRECT($B$3),INDIRECT($B$3),"&gt;=0",Data!$B:$B,$K120)</f>
        <v>#DIV/0!</v>
      </c>
      <c r="M120" t="e">
        <f t="shared" ca="1" si="59"/>
        <v>#DIV/0!</v>
      </c>
      <c r="N120" t="s">
        <v>187</v>
      </c>
      <c r="O120" t="e">
        <f ca="1">AVERAGEIFS(INDIRECT($C$3),INDIRECT($C$3),"&gt;=0",Data!$B:$B,$N120)</f>
        <v>#DIV/0!</v>
      </c>
      <c r="P120" t="e">
        <f t="shared" ca="1" si="32"/>
        <v>#DIV/0!</v>
      </c>
      <c r="Q120" t="s">
        <v>11</v>
      </c>
      <c r="R120" t="e">
        <f ca="1">AVERAGEIFS(INDIRECT($D$3),INDIRECT($D$3),"&gt;=0",Data!$B:$B,$Q120)</f>
        <v>#DIV/0!</v>
      </c>
      <c r="S120" t="e">
        <f t="shared" ca="1" si="33"/>
        <v>#DIV/0!</v>
      </c>
      <c r="T120" t="s">
        <v>27</v>
      </c>
      <c r="U120" t="e">
        <f ca="1">AVERAGEIFS(INDIRECT($E$3),INDIRECT($E$3),"&gt;=0",Data!$B:$B,$T120)</f>
        <v>#DIV/0!</v>
      </c>
      <c r="V120" t="e">
        <f t="shared" ca="1" si="34"/>
        <v>#DIV/0!</v>
      </c>
      <c r="W120" t="s">
        <v>110</v>
      </c>
      <c r="X120" t="e">
        <f ca="1">AVERAGEIFS(INDIRECT($F$3),INDIRECT($F$3),"&gt;=0",Data!$B:$B,$W120)</f>
        <v>#DIV/0!</v>
      </c>
      <c r="Y120" t="e">
        <f t="shared" ca="1" si="35"/>
        <v>#DIV/0!</v>
      </c>
      <c r="Z120" t="s">
        <v>179</v>
      </c>
      <c r="AA120" t="e">
        <f ca="1">AVERAGEIFS(INDIRECT($G$3),INDIRECT($G$3),"&gt;=0",Data!$B:$B,$Z120)</f>
        <v>#DIV/0!</v>
      </c>
      <c r="AB120" t="e">
        <f t="shared" ca="1" si="36"/>
        <v>#DIV/0!</v>
      </c>
      <c r="AC120" t="s">
        <v>124</v>
      </c>
      <c r="AD120" t="e">
        <f ca="1">AVERAGEIFS(INDIRECT($H$3),INDIRECT($H$3),"&gt;=0",Data!$B:$B,$AC120)</f>
        <v>#DIV/0!</v>
      </c>
      <c r="AE120" t="e">
        <f t="shared" ca="1" si="37"/>
        <v>#DIV/0!</v>
      </c>
      <c r="AF120" t="s">
        <v>155</v>
      </c>
      <c r="AG120" t="e">
        <f ca="1">AVERAGEIFS(INDIRECT($I$3),INDIRECT($I$3),"&gt;=0",Data!$B:$B,$AF120)</f>
        <v>#DIV/0!</v>
      </c>
      <c r="AH120" t="e">
        <f t="shared" ca="1" si="38"/>
        <v>#DIV/0!</v>
      </c>
      <c r="AI120" t="s">
        <v>74</v>
      </c>
      <c r="AJ120" t="e">
        <f ca="1">AVERAGEIFS(INDIRECT($J$3),INDIRECT($J$3),"&gt;=0",Data!$B:$B,$AI120)</f>
        <v>#DIV/0!</v>
      </c>
      <c r="AK120" t="e">
        <f t="shared" ca="1" si="39"/>
        <v>#DIV/0!</v>
      </c>
      <c r="AL120" t="str">
        <f t="shared" ca="1" si="40"/>
        <v>-</v>
      </c>
      <c r="AM120" t="str">
        <f t="shared" ca="1" si="41"/>
        <v>-</v>
      </c>
      <c r="AN120" t="str">
        <f t="shared" ca="1" si="42"/>
        <v>-</v>
      </c>
      <c r="AO120" t="str">
        <f t="shared" ca="1" si="43"/>
        <v>-</v>
      </c>
      <c r="AP120" t="str">
        <f t="shared" ca="1" si="44"/>
        <v>-</v>
      </c>
      <c r="AQ120" t="str">
        <f t="shared" ca="1" si="45"/>
        <v>-</v>
      </c>
      <c r="AR120" t="str">
        <f t="shared" ca="1" si="46"/>
        <v>-</v>
      </c>
      <c r="AS120" t="str">
        <f t="shared" ca="1" si="47"/>
        <v>-</v>
      </c>
      <c r="AT120" t="str">
        <f t="shared" ca="1" si="48"/>
        <v>-</v>
      </c>
      <c r="AU120">
        <f t="shared" si="60"/>
        <v>112</v>
      </c>
      <c r="AV120" t="s">
        <v>119</v>
      </c>
      <c r="AW120" s="20" t="e">
        <f ca="1">AVERAGEIFS(INDIRECT($B$3),INDIRECT($B$3),"&gt;=0",Data!$B:$B,AV120,IF($A$20,Data!$J:$J,Data!#REF!),IF($A$20,"&lt;&gt;5",1))</f>
        <v>#DIV/0!</v>
      </c>
      <c r="AX120" t="e">
        <f t="shared" ca="1" si="49"/>
        <v>#DIV/0!</v>
      </c>
      <c r="AY120" s="20" t="s">
        <v>169</v>
      </c>
      <c r="AZ120" t="e">
        <f ca="1">AVERAGEIFS(INDIRECT($C$3),INDIRECT($C$3),"&gt;=0",Data!$B:$B,AY120,IF($A$20,Data!$J:$J,Data!#REF!),IF($A$20,"&lt;&gt;5",1))</f>
        <v>#DIV/0!</v>
      </c>
      <c r="BA120" s="20" t="e">
        <f t="shared" ca="1" si="50"/>
        <v>#DIV/0!</v>
      </c>
      <c r="BB120" t="s">
        <v>12</v>
      </c>
      <c r="BC120" s="20" t="e">
        <f ca="1">AVERAGEIFS(INDIRECT($D$3),INDIRECT($D$3),"&gt;=0",Data!$B:$B,BB120,IF($A$20,Data!$J:$J,Data!#REF!),IF($A$20,"&lt;&gt;5",1))</f>
        <v>#DIV/0!</v>
      </c>
      <c r="BD120" t="e">
        <f t="shared" ca="1" si="51"/>
        <v>#DIV/0!</v>
      </c>
      <c r="BE120" s="20" t="s">
        <v>36</v>
      </c>
      <c r="BF120" t="e">
        <f ca="1">AVERAGEIFS(INDIRECT($E$3),INDIRECT($E$3),"&gt;=0",Data!$B:$B,BE120,IF($A$20,Data!$J:$J,Data!#REF!),IF($A$20,"&lt;&gt;5",1))</f>
        <v>#DIV/0!</v>
      </c>
      <c r="BG120" s="20" t="e">
        <f t="shared" ca="1" si="52"/>
        <v>#DIV/0!</v>
      </c>
      <c r="BH120" t="s">
        <v>173</v>
      </c>
      <c r="BI120" s="20" t="e">
        <f ca="1">AVERAGEIFS(INDIRECT($F$3),INDIRECT($F$3),"&gt;=0",Data!$B:$B,BH120,IF($A$20,Data!$J:$J,Data!#REF!),IF($A$20,"&lt;&gt;5",1))</f>
        <v>#DIV/0!</v>
      </c>
      <c r="BJ120" t="e">
        <f t="shared" ca="1" si="53"/>
        <v>#DIV/0!</v>
      </c>
      <c r="BK120" s="20" t="s">
        <v>23</v>
      </c>
      <c r="BL120" t="e">
        <f ca="1">AVERAGEIFS(INDIRECT($G$3),INDIRECT($G$3),"&gt;=0",Data!$B:$B,BK120,IF($A$20,Data!$J:$J,Data!#REF!),IF($A$20,"&lt;&gt;5",1))</f>
        <v>#DIV/0!</v>
      </c>
      <c r="BM120" s="20" t="e">
        <f t="shared" ca="1" si="54"/>
        <v>#DIV/0!</v>
      </c>
      <c r="BN120" t="s">
        <v>78</v>
      </c>
      <c r="BO120">
        <f ca="1">AVERAGEIFS(INDIRECT($H$3),INDIRECT($H$3),"&gt;=0",Data!$B:$B,BN120,IF($A$20,Data!$J:$J,Data!#REF!),IF($A$20,"&lt;&gt;5",1))</f>
        <v>0.95833333333333337</v>
      </c>
      <c r="BP120" t="e">
        <f t="shared" ca="1" si="55"/>
        <v>#DIV/0!</v>
      </c>
      <c r="BQ120" t="s">
        <v>157</v>
      </c>
      <c r="BR120" t="e">
        <f ca="1">AVERAGEIFS(INDIRECT($I$3),INDIRECT($I$3),"&gt;=0",Data!$B:$B,BQ120,IF($A$20,Data!$J:$J,Data!#REF!),IF($A$20,"&lt;&gt;5",1))</f>
        <v>#DIV/0!</v>
      </c>
      <c r="BS120" t="e">
        <f t="shared" ca="1" si="56"/>
        <v>#DIV/0!</v>
      </c>
      <c r="BT120" t="s">
        <v>73</v>
      </c>
      <c r="BU120" t="e">
        <f ca="1">AVERAGEIFS(INDIRECT($J$3),INDIRECT($J$3),"&gt;=0",Data!$B:$B,BT120,IF($A$20,Data!$J:$J,Data!#REF!),IF($A$20,"&lt;&gt;5",1))</f>
        <v>#DIV/0!</v>
      </c>
      <c r="BV120" t="e">
        <f t="shared" ca="1" si="57"/>
        <v>#DIV/0!</v>
      </c>
    </row>
    <row r="121" spans="10:74" x14ac:dyDescent="0.35">
      <c r="J121">
        <f t="shared" si="58"/>
        <v>113</v>
      </c>
      <c r="K121" t="s">
        <v>139</v>
      </c>
      <c r="L121" t="e">
        <f ca="1">AVERAGEIFS(INDIRECT($B$3),INDIRECT($B$3),"&gt;=0",Data!$B:$B,$K121)</f>
        <v>#DIV/0!</v>
      </c>
      <c r="M121" t="e">
        <f t="shared" ca="1" si="59"/>
        <v>#DIV/0!</v>
      </c>
      <c r="N121" t="s">
        <v>126</v>
      </c>
      <c r="O121" t="e">
        <f ca="1">AVERAGEIFS(INDIRECT($C$3),INDIRECT($C$3),"&gt;=0",Data!$B:$B,$N121)</f>
        <v>#DIV/0!</v>
      </c>
      <c r="P121" t="e">
        <f t="shared" ca="1" si="32"/>
        <v>#DIV/0!</v>
      </c>
      <c r="Q121" t="s">
        <v>137</v>
      </c>
      <c r="R121" t="e">
        <f ca="1">AVERAGEIFS(INDIRECT($D$3),INDIRECT($D$3),"&gt;=0",Data!$B:$B,$Q121)</f>
        <v>#DIV/0!</v>
      </c>
      <c r="S121" t="e">
        <f t="shared" ca="1" si="33"/>
        <v>#DIV/0!</v>
      </c>
      <c r="T121" t="s">
        <v>29</v>
      </c>
      <c r="U121" t="e">
        <f ca="1">AVERAGEIFS(INDIRECT($E$3),INDIRECT($E$3),"&gt;=0",Data!$B:$B,$T121)</f>
        <v>#DIV/0!</v>
      </c>
      <c r="V121" t="e">
        <f t="shared" ca="1" si="34"/>
        <v>#DIV/0!</v>
      </c>
      <c r="W121" t="s">
        <v>112</v>
      </c>
      <c r="X121" t="e">
        <f ca="1">AVERAGEIFS(INDIRECT($F$3),INDIRECT($F$3),"&gt;=0",Data!$B:$B,$W121)</f>
        <v>#DIV/0!</v>
      </c>
      <c r="Y121" t="e">
        <f t="shared" ca="1" si="35"/>
        <v>#DIV/0!</v>
      </c>
      <c r="Z121" t="s">
        <v>185</v>
      </c>
      <c r="AA121" t="e">
        <f ca="1">AVERAGEIFS(INDIRECT($G$3),INDIRECT($G$3),"&gt;=0",Data!$B:$B,$Z121)</f>
        <v>#DIV/0!</v>
      </c>
      <c r="AB121" t="e">
        <f t="shared" ca="1" si="36"/>
        <v>#DIV/0!</v>
      </c>
      <c r="AC121" t="s">
        <v>138</v>
      </c>
      <c r="AD121" t="e">
        <f ca="1">AVERAGEIFS(INDIRECT($H$3),INDIRECT($H$3),"&gt;=0",Data!$B:$B,$AC121)</f>
        <v>#DIV/0!</v>
      </c>
      <c r="AE121" t="e">
        <f t="shared" ca="1" si="37"/>
        <v>#DIV/0!</v>
      </c>
      <c r="AF121" t="s">
        <v>163</v>
      </c>
      <c r="AG121" t="e">
        <f ca="1">AVERAGEIFS(INDIRECT($I$3),INDIRECT($I$3),"&gt;=0",Data!$B:$B,$AF121)</f>
        <v>#DIV/0!</v>
      </c>
      <c r="AH121" t="e">
        <f t="shared" ca="1" si="38"/>
        <v>#DIV/0!</v>
      </c>
      <c r="AI121" t="s">
        <v>75</v>
      </c>
      <c r="AJ121" t="e">
        <f ca="1">AVERAGEIFS(INDIRECT($J$3),INDIRECT($J$3),"&gt;=0",Data!$B:$B,$AI121)</f>
        <v>#DIV/0!</v>
      </c>
      <c r="AK121" t="e">
        <f t="shared" ca="1" si="39"/>
        <v>#DIV/0!</v>
      </c>
      <c r="AL121" t="str">
        <f t="shared" ca="1" si="40"/>
        <v>-</v>
      </c>
      <c r="AM121" t="str">
        <f t="shared" ca="1" si="41"/>
        <v>-</v>
      </c>
      <c r="AN121" t="str">
        <f t="shared" ca="1" si="42"/>
        <v>-</v>
      </c>
      <c r="AO121" t="str">
        <f t="shared" ca="1" si="43"/>
        <v>-</v>
      </c>
      <c r="AP121" t="str">
        <f t="shared" ca="1" si="44"/>
        <v>-</v>
      </c>
      <c r="AQ121" t="str">
        <f t="shared" ca="1" si="45"/>
        <v>-</v>
      </c>
      <c r="AR121" t="str">
        <f t="shared" ca="1" si="46"/>
        <v>-</v>
      </c>
      <c r="AS121" t="str">
        <f t="shared" ca="1" si="47"/>
        <v>-</v>
      </c>
      <c r="AT121" t="str">
        <f t="shared" ca="1" si="48"/>
        <v>-</v>
      </c>
      <c r="AU121">
        <f t="shared" si="60"/>
        <v>113</v>
      </c>
      <c r="AV121" t="s">
        <v>43</v>
      </c>
      <c r="AW121" s="20" t="e">
        <f ca="1">AVERAGEIFS(INDIRECT($B$3),INDIRECT($B$3),"&gt;=0",Data!$B:$B,AV121,IF($A$20,Data!$J:$J,Data!#REF!),IF($A$20,"&lt;&gt;5",1))</f>
        <v>#DIV/0!</v>
      </c>
      <c r="AX121" t="e">
        <f t="shared" ca="1" si="49"/>
        <v>#DIV/0!</v>
      </c>
      <c r="AY121" s="20" t="s">
        <v>38</v>
      </c>
      <c r="AZ121" t="e">
        <f ca="1">AVERAGEIFS(INDIRECT($C$3),INDIRECT($C$3),"&gt;=0",Data!$B:$B,AY121,IF($A$20,Data!$J:$J,Data!#REF!),IF($A$20,"&lt;&gt;5",1))</f>
        <v>#DIV/0!</v>
      </c>
      <c r="BA121" s="20" t="e">
        <f t="shared" ca="1" si="50"/>
        <v>#DIV/0!</v>
      </c>
      <c r="BB121" t="s">
        <v>33</v>
      </c>
      <c r="BC121" s="20" t="e">
        <f ca="1">AVERAGEIFS(INDIRECT($D$3),INDIRECT($D$3),"&gt;=0",Data!$B:$B,BB121,IF($A$20,Data!$J:$J,Data!#REF!),IF($A$20,"&lt;&gt;5",1))</f>
        <v>#DIV/0!</v>
      </c>
      <c r="BD121" t="e">
        <f t="shared" ca="1" si="51"/>
        <v>#DIV/0!</v>
      </c>
      <c r="BE121" s="20" t="s">
        <v>84</v>
      </c>
      <c r="BF121" t="e">
        <f ca="1">AVERAGEIFS(INDIRECT($E$3),INDIRECT($E$3),"&gt;=0",Data!$B:$B,BE121,IF($A$20,Data!$J:$J,Data!#REF!),IF($A$20,"&lt;&gt;5",1))</f>
        <v>#DIV/0!</v>
      </c>
      <c r="BG121" s="20" t="e">
        <f t="shared" ca="1" si="52"/>
        <v>#DIV/0!</v>
      </c>
      <c r="BH121" t="s">
        <v>119</v>
      </c>
      <c r="BI121" s="20" t="e">
        <f ca="1">AVERAGEIFS(INDIRECT($F$3),INDIRECT($F$3),"&gt;=0",Data!$B:$B,BH121,IF($A$20,Data!$J:$J,Data!#REF!),IF($A$20,"&lt;&gt;5",1))</f>
        <v>#DIV/0!</v>
      </c>
      <c r="BJ121" t="e">
        <f t="shared" ca="1" si="53"/>
        <v>#DIV/0!</v>
      </c>
      <c r="BK121" s="20" t="s">
        <v>45</v>
      </c>
      <c r="BL121" t="e">
        <f ca="1">AVERAGEIFS(INDIRECT($G$3),INDIRECT($G$3),"&gt;=0",Data!$B:$B,BK121,IF($A$20,Data!$J:$J,Data!#REF!),IF($A$20,"&lt;&gt;5",1))</f>
        <v>#DIV/0!</v>
      </c>
      <c r="BM121" s="20" t="e">
        <f t="shared" ca="1" si="54"/>
        <v>#DIV/0!</v>
      </c>
      <c r="BN121" t="s">
        <v>27</v>
      </c>
      <c r="BO121" t="e">
        <f ca="1">AVERAGEIFS(INDIRECT($H$3),INDIRECT($H$3),"&gt;=0",Data!$B:$B,BN121,IF($A$20,Data!$J:$J,Data!#REF!),IF($A$20,"&lt;&gt;5",1))</f>
        <v>#DIV/0!</v>
      </c>
      <c r="BP121" t="e">
        <f t="shared" ca="1" si="55"/>
        <v>#DIV/0!</v>
      </c>
      <c r="BQ121" t="s">
        <v>158</v>
      </c>
      <c r="BR121" t="e">
        <f ca="1">AVERAGEIFS(INDIRECT($I$3),INDIRECT($I$3),"&gt;=0",Data!$B:$B,BQ121,IF($A$20,Data!$J:$J,Data!#REF!),IF($A$20,"&lt;&gt;5",1))</f>
        <v>#DIV/0!</v>
      </c>
      <c r="BS121" t="e">
        <f t="shared" ca="1" si="56"/>
        <v>#DIV/0!</v>
      </c>
      <c r="BT121" t="s">
        <v>64</v>
      </c>
      <c r="BU121" t="e">
        <f ca="1">AVERAGEIFS(INDIRECT($J$3),INDIRECT($J$3),"&gt;=0",Data!$B:$B,BT121,IF($A$20,Data!$J:$J,Data!#REF!),IF($A$20,"&lt;&gt;5",1))</f>
        <v>#DIV/0!</v>
      </c>
      <c r="BV121" t="e">
        <f t="shared" ca="1" si="57"/>
        <v>#DIV/0!</v>
      </c>
    </row>
    <row r="122" spans="10:74" x14ac:dyDescent="0.35">
      <c r="J122">
        <f t="shared" si="58"/>
        <v>114</v>
      </c>
      <c r="K122" t="s">
        <v>43</v>
      </c>
      <c r="L122" t="e">
        <f ca="1">AVERAGEIFS(INDIRECT($B$3),INDIRECT($B$3),"&gt;=0",Data!$B:$B,$K122)</f>
        <v>#DIV/0!</v>
      </c>
      <c r="M122" t="e">
        <f t="shared" ca="1" si="59"/>
        <v>#DIV/0!</v>
      </c>
      <c r="N122" t="s">
        <v>189</v>
      </c>
      <c r="O122" t="e">
        <f ca="1">AVERAGEIFS(INDIRECT($C$3),INDIRECT($C$3),"&gt;=0",Data!$B:$B,$N122)</f>
        <v>#DIV/0!</v>
      </c>
      <c r="P122" t="e">
        <f t="shared" ca="1" si="32"/>
        <v>#DIV/0!</v>
      </c>
      <c r="Q122" t="s">
        <v>26</v>
      </c>
      <c r="R122" t="e">
        <f ca="1">AVERAGEIFS(INDIRECT($D$3),INDIRECT($D$3),"&gt;=0",Data!$B:$B,$Q122)</f>
        <v>#DIV/0!</v>
      </c>
      <c r="S122" t="e">
        <f t="shared" ca="1" si="33"/>
        <v>#DIV/0!</v>
      </c>
      <c r="T122" t="s">
        <v>74</v>
      </c>
      <c r="U122" t="e">
        <f ca="1">AVERAGEIFS(INDIRECT($E$3),INDIRECT($E$3),"&gt;=0",Data!$B:$B,$T122)</f>
        <v>#DIV/0!</v>
      </c>
      <c r="V122" t="e">
        <f t="shared" ca="1" si="34"/>
        <v>#DIV/0!</v>
      </c>
      <c r="W122" t="s">
        <v>169</v>
      </c>
      <c r="X122" t="e">
        <f ca="1">AVERAGEIFS(INDIRECT($F$3),INDIRECT($F$3),"&gt;=0",Data!$B:$B,$W122)</f>
        <v>#DIV/0!</v>
      </c>
      <c r="Y122" t="e">
        <f t="shared" ca="1" si="35"/>
        <v>#DIV/0!</v>
      </c>
      <c r="Z122" t="s">
        <v>78</v>
      </c>
      <c r="AA122">
        <f ca="1">AVERAGEIFS(INDIRECT($G$3),INDIRECT($G$3),"&gt;=0",Data!$B:$B,$Z122)</f>
        <v>0.76</v>
      </c>
      <c r="AB122" t="e">
        <f t="shared" ca="1" si="36"/>
        <v>#DIV/0!</v>
      </c>
      <c r="AC122" t="s">
        <v>152</v>
      </c>
      <c r="AD122" t="e">
        <f ca="1">AVERAGEIFS(INDIRECT($H$3),INDIRECT($H$3),"&gt;=0",Data!$B:$B,$AC122)</f>
        <v>#DIV/0!</v>
      </c>
      <c r="AE122" t="e">
        <f t="shared" ca="1" si="37"/>
        <v>#DIV/0!</v>
      </c>
      <c r="AF122" t="s">
        <v>167</v>
      </c>
      <c r="AG122">
        <f ca="1">AVERAGEIFS(INDIRECT($I$3),INDIRECT($I$3),"&gt;=0",Data!$B:$B,$AF122)</f>
        <v>0.9375</v>
      </c>
      <c r="AH122" t="e">
        <f t="shared" ca="1" si="38"/>
        <v>#DIV/0!</v>
      </c>
      <c r="AI122" t="s">
        <v>77</v>
      </c>
      <c r="AJ122" t="e">
        <f ca="1">AVERAGEIFS(INDIRECT($J$3),INDIRECT($J$3),"&gt;=0",Data!$B:$B,$AI122)</f>
        <v>#DIV/0!</v>
      </c>
      <c r="AK122" t="e">
        <f t="shared" ca="1" si="39"/>
        <v>#DIV/0!</v>
      </c>
      <c r="AL122" t="str">
        <f t="shared" ca="1" si="40"/>
        <v>-</v>
      </c>
      <c r="AM122" t="str">
        <f t="shared" ca="1" si="41"/>
        <v>-</v>
      </c>
      <c r="AN122" t="str">
        <f t="shared" ca="1" si="42"/>
        <v>-</v>
      </c>
      <c r="AO122" t="str">
        <f t="shared" ca="1" si="43"/>
        <v>-</v>
      </c>
      <c r="AP122" t="str">
        <f t="shared" ca="1" si="44"/>
        <v>-</v>
      </c>
      <c r="AQ122" t="str">
        <f t="shared" ca="1" si="45"/>
        <v>-</v>
      </c>
      <c r="AR122" t="str">
        <f t="shared" ca="1" si="46"/>
        <v>-</v>
      </c>
      <c r="AS122" t="str">
        <f t="shared" ca="1" si="47"/>
        <v>-</v>
      </c>
      <c r="AT122" t="str">
        <f t="shared" ca="1" si="48"/>
        <v>-</v>
      </c>
      <c r="AU122">
        <f t="shared" si="60"/>
        <v>114</v>
      </c>
      <c r="AV122" t="s">
        <v>72</v>
      </c>
      <c r="AW122" s="20" t="e">
        <f ca="1">AVERAGEIFS(INDIRECT($B$3),INDIRECT($B$3),"&gt;=0",Data!$B:$B,AV122,IF($A$20,Data!$J:$J,Data!#REF!),IF($A$20,"&lt;&gt;5",1))</f>
        <v>#DIV/0!</v>
      </c>
      <c r="AX122" t="e">
        <f t="shared" ca="1" si="49"/>
        <v>#DIV/0!</v>
      </c>
      <c r="AY122" s="20" t="s">
        <v>122</v>
      </c>
      <c r="AZ122" t="e">
        <f ca="1">AVERAGEIFS(INDIRECT($C$3),INDIRECT($C$3),"&gt;=0",Data!$B:$B,AY122,IF($A$20,Data!$J:$J,Data!#REF!),IF($A$20,"&lt;&gt;5",1))</f>
        <v>#DIV/0!</v>
      </c>
      <c r="BA122" s="20" t="e">
        <f t="shared" ca="1" si="50"/>
        <v>#DIV/0!</v>
      </c>
      <c r="BB122" t="s">
        <v>85</v>
      </c>
      <c r="BC122" s="20" t="e">
        <f ca="1">AVERAGEIFS(INDIRECT($D$3),INDIRECT($D$3),"&gt;=0",Data!$B:$B,BB122,IF($A$20,Data!$J:$J,Data!#REF!),IF($A$20,"&lt;&gt;5",1))</f>
        <v>#DIV/0!</v>
      </c>
      <c r="BD122" t="e">
        <f t="shared" ca="1" si="51"/>
        <v>#DIV/0!</v>
      </c>
      <c r="BE122" s="20" t="s">
        <v>118</v>
      </c>
      <c r="BF122" t="e">
        <f ca="1">AVERAGEIFS(INDIRECT($E$3),INDIRECT($E$3),"&gt;=0",Data!$B:$B,BE122,IF($A$20,Data!$J:$J,Data!#REF!),IF($A$20,"&lt;&gt;5",1))</f>
        <v>#DIV/0!</v>
      </c>
      <c r="BG122" s="20" t="e">
        <f t="shared" ca="1" si="52"/>
        <v>#DIV/0!</v>
      </c>
      <c r="BH122" t="s">
        <v>2</v>
      </c>
      <c r="BI122" s="20" t="e">
        <f ca="1">AVERAGEIFS(INDIRECT($F$3),INDIRECT($F$3),"&gt;=0",Data!$B:$B,BH122,IF($A$20,Data!$J:$J,Data!#REF!),IF($A$20,"&lt;&gt;5",1))</f>
        <v>#DIV/0!</v>
      </c>
      <c r="BJ122" t="e">
        <f t="shared" ca="1" si="53"/>
        <v>#DIV/0!</v>
      </c>
      <c r="BK122" s="20" t="s">
        <v>85</v>
      </c>
      <c r="BL122">
        <f ca="1">AVERAGEIFS(INDIRECT($G$3),INDIRECT($G$3),"&gt;=0",Data!$B:$B,BK122,IF($A$20,Data!$J:$J,Data!#REF!),IF($A$20,"&lt;&gt;5",1))</f>
        <v>0.73333333333333328</v>
      </c>
      <c r="BM122" s="20" t="e">
        <f t="shared" ca="1" si="54"/>
        <v>#DIV/0!</v>
      </c>
      <c r="BN122" t="s">
        <v>30</v>
      </c>
      <c r="BO122" t="e">
        <f ca="1">AVERAGEIFS(INDIRECT($H$3),INDIRECT($H$3),"&gt;=0",Data!$B:$B,BN122,IF($A$20,Data!$J:$J,Data!#REF!),IF($A$20,"&lt;&gt;5",1))</f>
        <v>#DIV/0!</v>
      </c>
      <c r="BP122" t="e">
        <f t="shared" ca="1" si="55"/>
        <v>#DIV/0!</v>
      </c>
      <c r="BQ122" t="s">
        <v>3</v>
      </c>
      <c r="BR122" t="e">
        <f ca="1">AVERAGEIFS(INDIRECT($I$3),INDIRECT($I$3),"&gt;=0",Data!$B:$B,BQ122,IF($A$20,Data!$J:$J,Data!#REF!),IF($A$20,"&lt;&gt;5",1))</f>
        <v>#DIV/0!</v>
      </c>
      <c r="BS122" t="e">
        <f t="shared" ca="1" si="56"/>
        <v>#DIV/0!</v>
      </c>
      <c r="BT122" t="s">
        <v>72</v>
      </c>
      <c r="BU122" t="e">
        <f ca="1">AVERAGEIFS(INDIRECT($J$3),INDIRECT($J$3),"&gt;=0",Data!$B:$B,BT122,IF($A$20,Data!$J:$J,Data!#REF!),IF($A$20,"&lt;&gt;5",1))</f>
        <v>#DIV/0!</v>
      </c>
      <c r="BV122" t="e">
        <f t="shared" ca="1" si="57"/>
        <v>#DIV/0!</v>
      </c>
    </row>
    <row r="123" spans="10:74" x14ac:dyDescent="0.35">
      <c r="J123">
        <f t="shared" si="58"/>
        <v>115</v>
      </c>
      <c r="K123" t="s">
        <v>53</v>
      </c>
      <c r="L123" t="e">
        <f ca="1">AVERAGEIFS(INDIRECT($B$3),INDIRECT($B$3),"&gt;=0",Data!$B:$B,$K123)</f>
        <v>#DIV/0!</v>
      </c>
      <c r="M123" t="e">
        <f t="shared" ca="1" si="59"/>
        <v>#DIV/0!</v>
      </c>
      <c r="N123" t="s">
        <v>192</v>
      </c>
      <c r="O123" t="e">
        <f ca="1">AVERAGEIFS(INDIRECT($C$3),INDIRECT($C$3),"&gt;=0",Data!$B:$B,$N123)</f>
        <v>#DIV/0!</v>
      </c>
      <c r="P123" t="e">
        <f t="shared" ca="1" si="32"/>
        <v>#DIV/0!</v>
      </c>
      <c r="Q123" t="s">
        <v>139</v>
      </c>
      <c r="R123" t="e">
        <f ca="1">AVERAGEIFS(INDIRECT($D$3),INDIRECT($D$3),"&gt;=0",Data!$B:$B,$Q123)</f>
        <v>#DIV/0!</v>
      </c>
      <c r="S123" t="e">
        <f t="shared" ca="1" si="33"/>
        <v>#DIV/0!</v>
      </c>
      <c r="T123" t="s">
        <v>75</v>
      </c>
      <c r="U123" t="e">
        <f ca="1">AVERAGEIFS(INDIRECT($E$3),INDIRECT($E$3),"&gt;=0",Data!$B:$B,$T123)</f>
        <v>#DIV/0!</v>
      </c>
      <c r="V123" t="e">
        <f t="shared" ca="1" si="34"/>
        <v>#DIV/0!</v>
      </c>
      <c r="W123" t="s">
        <v>129</v>
      </c>
      <c r="X123" t="e">
        <f ca="1">AVERAGEIFS(INDIRECT($F$3),INDIRECT($F$3),"&gt;=0",Data!$B:$B,$W123)</f>
        <v>#DIV/0!</v>
      </c>
      <c r="Y123" t="e">
        <f t="shared" ca="1" si="35"/>
        <v>#DIV/0!</v>
      </c>
      <c r="Z123" t="s">
        <v>2</v>
      </c>
      <c r="AA123" t="e">
        <f ca="1">AVERAGEIFS(INDIRECT($G$3),INDIRECT($G$3),"&gt;=0",Data!$B:$B,$Z123)</f>
        <v>#DIV/0!</v>
      </c>
      <c r="AB123" t="e">
        <f t="shared" ca="1" si="36"/>
        <v>#DIV/0!</v>
      </c>
      <c r="AC123" t="s">
        <v>163</v>
      </c>
      <c r="AD123" t="e">
        <f ca="1">AVERAGEIFS(INDIRECT($H$3),INDIRECT($H$3),"&gt;=0",Data!$B:$B,$AC123)</f>
        <v>#DIV/0!</v>
      </c>
      <c r="AE123" t="e">
        <f t="shared" ca="1" si="37"/>
        <v>#DIV/0!</v>
      </c>
      <c r="AF123" t="s">
        <v>168</v>
      </c>
      <c r="AG123">
        <f ca="1">AVERAGEIFS(INDIRECT($I$3),INDIRECT($I$3),"&gt;=0",Data!$B:$B,$AF123)</f>
        <v>0.4375</v>
      </c>
      <c r="AH123">
        <f t="shared" ca="1" si="38"/>
        <v>115</v>
      </c>
      <c r="AI123" t="s">
        <v>73</v>
      </c>
      <c r="AJ123" t="e">
        <f ca="1">AVERAGEIFS(INDIRECT($J$3),INDIRECT($J$3),"&gt;=0",Data!$B:$B,$AI123)</f>
        <v>#DIV/0!</v>
      </c>
      <c r="AK123" t="e">
        <f t="shared" ca="1" si="39"/>
        <v>#DIV/0!</v>
      </c>
      <c r="AL123" t="str">
        <f t="shared" ca="1" si="40"/>
        <v>-</v>
      </c>
      <c r="AM123" t="str">
        <f t="shared" ca="1" si="41"/>
        <v>-</v>
      </c>
      <c r="AN123" t="str">
        <f t="shared" ca="1" si="42"/>
        <v>-</v>
      </c>
      <c r="AO123" t="str">
        <f t="shared" ca="1" si="43"/>
        <v>-</v>
      </c>
      <c r="AP123" t="str">
        <f t="shared" ca="1" si="44"/>
        <v>-</v>
      </c>
      <c r="AQ123" t="str">
        <f t="shared" ca="1" si="45"/>
        <v>-</v>
      </c>
      <c r="AR123" t="str">
        <f t="shared" ca="1" si="46"/>
        <v>-</v>
      </c>
      <c r="AS123" t="str">
        <f t="shared" ca="1" si="47"/>
        <v>-</v>
      </c>
      <c r="AT123" t="str">
        <f t="shared" ca="1" si="48"/>
        <v>-</v>
      </c>
      <c r="AU123">
        <f t="shared" si="60"/>
        <v>115</v>
      </c>
      <c r="AV123" t="s">
        <v>188</v>
      </c>
      <c r="AW123" s="20" t="e">
        <f ca="1">AVERAGEIFS(INDIRECT($B$3),INDIRECT($B$3),"&gt;=0",Data!$B:$B,AV123,IF($A$20,Data!$J:$J,Data!#REF!),IF($A$20,"&lt;&gt;5",1))</f>
        <v>#DIV/0!</v>
      </c>
      <c r="AX123" t="e">
        <f t="shared" ca="1" si="49"/>
        <v>#DIV/0!</v>
      </c>
      <c r="AY123" s="20" t="s">
        <v>48</v>
      </c>
      <c r="AZ123" t="e">
        <f ca="1">AVERAGEIFS(INDIRECT($C$3),INDIRECT($C$3),"&gt;=0",Data!$B:$B,AY123,IF($A$20,Data!$J:$J,Data!#REF!),IF($A$20,"&lt;&gt;5",1))</f>
        <v>#DIV/0!</v>
      </c>
      <c r="BA123" s="20" t="e">
        <f t="shared" ca="1" si="50"/>
        <v>#DIV/0!</v>
      </c>
      <c r="BB123" t="s">
        <v>190</v>
      </c>
      <c r="BC123" s="20" t="e">
        <f ca="1">AVERAGEIFS(INDIRECT($D$3),INDIRECT($D$3),"&gt;=0",Data!$B:$B,BB123,IF($A$20,Data!$J:$J,Data!#REF!),IF($A$20,"&lt;&gt;5",1))</f>
        <v>#DIV/0!</v>
      </c>
      <c r="BD123" t="e">
        <f t="shared" ca="1" si="51"/>
        <v>#DIV/0!</v>
      </c>
      <c r="BE123" s="20" t="s">
        <v>184</v>
      </c>
      <c r="BF123" t="e">
        <f ca="1">AVERAGEIFS(INDIRECT($E$3),INDIRECT($E$3),"&gt;=0",Data!$B:$B,BE123,IF($A$20,Data!$J:$J,Data!#REF!),IF($A$20,"&lt;&gt;5",1))</f>
        <v>#DIV/0!</v>
      </c>
      <c r="BG123" s="20" t="e">
        <f t="shared" ca="1" si="52"/>
        <v>#DIV/0!</v>
      </c>
      <c r="BH123" t="s">
        <v>85</v>
      </c>
      <c r="BI123" s="20">
        <f ca="1">AVERAGEIFS(INDIRECT($F$3),INDIRECT($F$3),"&gt;=0",Data!$B:$B,BH123,IF($A$20,Data!$J:$J,Data!#REF!),IF($A$20,"&lt;&gt;5",1))</f>
        <v>0</v>
      </c>
      <c r="BJ123" t="e">
        <f t="shared" ca="1" si="53"/>
        <v>#DIV/0!</v>
      </c>
      <c r="BK123" s="20" t="s">
        <v>86</v>
      </c>
      <c r="BL123">
        <f ca="1">AVERAGEIFS(INDIRECT($G$3),INDIRECT($G$3),"&gt;=0",Data!$B:$B,BK123,IF($A$20,Data!$J:$J,Data!#REF!),IF($A$20,"&lt;&gt;5",1))</f>
        <v>0.66666666666666663</v>
      </c>
      <c r="BM123" s="20">
        <f t="shared" ca="1" si="54"/>
        <v>115</v>
      </c>
      <c r="BN123" t="s">
        <v>49</v>
      </c>
      <c r="BO123" t="e">
        <f ca="1">AVERAGEIFS(INDIRECT($H$3),INDIRECT($H$3),"&gt;=0",Data!$B:$B,BN123,IF($A$20,Data!$J:$J,Data!#REF!),IF($A$20,"&lt;&gt;5",1))</f>
        <v>#DIV/0!</v>
      </c>
      <c r="BP123" t="e">
        <f t="shared" ca="1" si="55"/>
        <v>#DIV/0!</v>
      </c>
      <c r="BQ123" t="s">
        <v>42</v>
      </c>
      <c r="BR123" t="e">
        <f ca="1">AVERAGEIFS(INDIRECT($I$3),INDIRECT($I$3),"&gt;=0",Data!$B:$B,BQ123,IF($A$20,Data!$J:$J,Data!#REF!),IF($A$20,"&lt;&gt;5",1))</f>
        <v>#DIV/0!</v>
      </c>
      <c r="BS123" t="e">
        <f t="shared" ca="1" si="56"/>
        <v>#DIV/0!</v>
      </c>
      <c r="BT123" t="s">
        <v>71</v>
      </c>
      <c r="BU123" t="e">
        <f ca="1">AVERAGEIFS(INDIRECT($J$3),INDIRECT($J$3),"&gt;=0",Data!$B:$B,BT123,IF($A$20,Data!$J:$J,Data!#REF!),IF($A$20,"&lt;&gt;5",1))</f>
        <v>#DIV/0!</v>
      </c>
      <c r="BV123" t="e">
        <f t="shared" ca="1" si="57"/>
        <v>#DIV/0!</v>
      </c>
    </row>
    <row r="124" spans="10:74" x14ac:dyDescent="0.35">
      <c r="J124">
        <f t="shared" si="58"/>
        <v>116</v>
      </c>
      <c r="K124" t="s">
        <v>67</v>
      </c>
      <c r="L124" t="e">
        <f ca="1">AVERAGEIFS(INDIRECT($B$3),INDIRECT($B$3),"&gt;=0",Data!$B:$B,$K124)</f>
        <v>#DIV/0!</v>
      </c>
      <c r="M124" t="e">
        <f t="shared" ca="1" si="59"/>
        <v>#DIV/0!</v>
      </c>
      <c r="N124" t="s">
        <v>17</v>
      </c>
      <c r="O124" t="e">
        <f ca="1">AVERAGEIFS(INDIRECT($C$3),INDIRECT($C$3),"&gt;=0",Data!$B:$B,$N124)</f>
        <v>#DIV/0!</v>
      </c>
      <c r="P124" t="e">
        <f t="shared" ca="1" si="32"/>
        <v>#DIV/0!</v>
      </c>
      <c r="Q124" t="s">
        <v>55</v>
      </c>
      <c r="R124" t="e">
        <f ca="1">AVERAGEIFS(INDIRECT($D$3),INDIRECT($D$3),"&gt;=0",Data!$B:$B,$Q124)</f>
        <v>#DIV/0!</v>
      </c>
      <c r="S124" t="e">
        <f t="shared" ca="1" si="33"/>
        <v>#DIV/0!</v>
      </c>
      <c r="T124" t="s">
        <v>105</v>
      </c>
      <c r="U124" t="e">
        <f ca="1">AVERAGEIFS(INDIRECT($E$3),INDIRECT($E$3),"&gt;=0",Data!$B:$B,$T124)</f>
        <v>#DIV/0!</v>
      </c>
      <c r="V124" t="e">
        <f t="shared" ca="1" si="34"/>
        <v>#DIV/0!</v>
      </c>
      <c r="W124" t="s">
        <v>179</v>
      </c>
      <c r="X124" t="e">
        <f ca="1">AVERAGEIFS(INDIRECT($F$3),INDIRECT($F$3),"&gt;=0",Data!$B:$B,$W124)</f>
        <v>#DIV/0!</v>
      </c>
      <c r="Y124" t="e">
        <f t="shared" ca="1" si="35"/>
        <v>#DIV/0!</v>
      </c>
      <c r="Z124" t="s">
        <v>10</v>
      </c>
      <c r="AA124" t="e">
        <f ca="1">AVERAGEIFS(INDIRECT($G$3),INDIRECT($G$3),"&gt;=0",Data!$B:$B,$Z124)</f>
        <v>#DIV/0!</v>
      </c>
      <c r="AB124" t="e">
        <f t="shared" ca="1" si="36"/>
        <v>#DIV/0!</v>
      </c>
      <c r="AC124" t="s">
        <v>106</v>
      </c>
      <c r="AD124">
        <f ca="1">AVERAGEIFS(INDIRECT($H$3),INDIRECT($H$3),"&gt;=0",Data!$B:$B,$AC124)</f>
        <v>0.94444444444444442</v>
      </c>
      <c r="AE124" t="e">
        <f t="shared" ca="1" si="37"/>
        <v>#DIV/0!</v>
      </c>
      <c r="AF124" t="s">
        <v>198</v>
      </c>
      <c r="AG124" t="e">
        <f ca="1">AVERAGEIFS(INDIRECT($I$3),INDIRECT($I$3),"&gt;=0",Data!$B:$B,$AF124)</f>
        <v>#DIV/0!</v>
      </c>
      <c r="AH124" t="e">
        <f t="shared" ca="1" si="38"/>
        <v>#DIV/0!</v>
      </c>
      <c r="AI124" t="s">
        <v>64</v>
      </c>
      <c r="AJ124" t="e">
        <f ca="1">AVERAGEIFS(INDIRECT($J$3),INDIRECT($J$3),"&gt;=0",Data!$B:$B,$AI124)</f>
        <v>#DIV/0!</v>
      </c>
      <c r="AK124" t="e">
        <f t="shared" ca="1" si="39"/>
        <v>#DIV/0!</v>
      </c>
      <c r="AL124" t="str">
        <f t="shared" ca="1" si="40"/>
        <v>-</v>
      </c>
      <c r="AM124" t="str">
        <f t="shared" ca="1" si="41"/>
        <v>-</v>
      </c>
      <c r="AN124" t="str">
        <f t="shared" ca="1" si="42"/>
        <v>-</v>
      </c>
      <c r="AO124" t="str">
        <f t="shared" ca="1" si="43"/>
        <v>-</v>
      </c>
      <c r="AP124" t="str">
        <f t="shared" ca="1" si="44"/>
        <v>-</v>
      </c>
      <c r="AQ124" t="str">
        <f t="shared" ca="1" si="45"/>
        <v>-</v>
      </c>
      <c r="AR124" t="str">
        <f t="shared" ca="1" si="46"/>
        <v>-</v>
      </c>
      <c r="AS124" t="str">
        <f t="shared" ca="1" si="47"/>
        <v>-</v>
      </c>
      <c r="AT124" t="str">
        <f t="shared" ca="1" si="48"/>
        <v>-</v>
      </c>
      <c r="AU124">
        <f t="shared" si="60"/>
        <v>116</v>
      </c>
      <c r="AV124" t="s">
        <v>195</v>
      </c>
      <c r="AW124" s="20" t="e">
        <f ca="1">AVERAGEIFS(INDIRECT($B$3),INDIRECT($B$3),"&gt;=0",Data!$B:$B,AV124,IF($A$20,Data!$J:$J,Data!#REF!),IF($A$20,"&lt;&gt;5",1))</f>
        <v>#DIV/0!</v>
      </c>
      <c r="AX124" t="e">
        <f t="shared" ca="1" si="49"/>
        <v>#DIV/0!</v>
      </c>
      <c r="AY124" s="20" t="s">
        <v>83</v>
      </c>
      <c r="AZ124" t="e">
        <f ca="1">AVERAGEIFS(INDIRECT($C$3),INDIRECT($C$3),"&gt;=0",Data!$B:$B,AY124,IF($A$20,Data!$J:$J,Data!#REF!),IF($A$20,"&lt;&gt;5",1))</f>
        <v>#DIV/0!</v>
      </c>
      <c r="BA124" s="20" t="e">
        <f t="shared" ca="1" si="50"/>
        <v>#DIV/0!</v>
      </c>
      <c r="BB124" t="s">
        <v>70</v>
      </c>
      <c r="BC124" s="20" t="e">
        <f ca="1">AVERAGEIFS(INDIRECT($D$3),INDIRECT($D$3),"&gt;=0",Data!$B:$B,BB124,IF($A$20,Data!$J:$J,Data!#REF!),IF($A$20,"&lt;&gt;5",1))</f>
        <v>#DIV/0!</v>
      </c>
      <c r="BD124" t="e">
        <f t="shared" ca="1" si="51"/>
        <v>#DIV/0!</v>
      </c>
      <c r="BE124" s="20" t="s">
        <v>193</v>
      </c>
      <c r="BF124" t="e">
        <f ca="1">AVERAGEIFS(INDIRECT($E$3),INDIRECT($E$3),"&gt;=0",Data!$B:$B,BE124,IF($A$20,Data!$J:$J,Data!#REF!),IF($A$20,"&lt;&gt;5",1))</f>
        <v>#DIV/0!</v>
      </c>
      <c r="BG124" s="20" t="e">
        <f t="shared" ca="1" si="52"/>
        <v>#DIV/0!</v>
      </c>
      <c r="BH124" t="s">
        <v>185</v>
      </c>
      <c r="BI124" s="20" t="e">
        <f ca="1">AVERAGEIFS(INDIRECT($F$3),INDIRECT($F$3),"&gt;=0",Data!$B:$B,BH124,IF($A$20,Data!$J:$J,Data!#REF!),IF($A$20,"&lt;&gt;5",1))</f>
        <v>#DIV/0!</v>
      </c>
      <c r="BJ124" t="e">
        <f t="shared" ca="1" si="53"/>
        <v>#DIV/0!</v>
      </c>
      <c r="BK124" s="20" t="s">
        <v>186</v>
      </c>
      <c r="BL124" t="e">
        <f ca="1">AVERAGEIFS(INDIRECT($G$3),INDIRECT($G$3),"&gt;=0",Data!$B:$B,BK124,IF($A$20,Data!$J:$J,Data!#REF!),IF($A$20,"&lt;&gt;5",1))</f>
        <v>#DIV/0!</v>
      </c>
      <c r="BM124" s="20" t="e">
        <f t="shared" ca="1" si="54"/>
        <v>#DIV/0!</v>
      </c>
      <c r="BN124" t="s">
        <v>83</v>
      </c>
      <c r="BO124" t="e">
        <f ca="1">AVERAGEIFS(INDIRECT($H$3),INDIRECT($H$3),"&gt;=0",Data!$B:$B,BN124,IF($A$20,Data!$J:$J,Data!#REF!),IF($A$20,"&lt;&gt;5",1))</f>
        <v>#DIV/0!</v>
      </c>
      <c r="BP124" t="e">
        <f t="shared" ca="1" si="55"/>
        <v>#DIV/0!</v>
      </c>
      <c r="BQ124" t="s">
        <v>77</v>
      </c>
      <c r="BR124" t="e">
        <f ca="1">AVERAGEIFS(INDIRECT($I$3),INDIRECT($I$3),"&gt;=0",Data!$B:$B,BQ124,IF($A$20,Data!$J:$J,Data!#REF!),IF($A$20,"&lt;&gt;5",1))</f>
        <v>#DIV/0!</v>
      </c>
      <c r="BS124" t="e">
        <f t="shared" ca="1" si="56"/>
        <v>#DIV/0!</v>
      </c>
      <c r="BT124" t="s">
        <v>70</v>
      </c>
      <c r="BU124">
        <f ca="1">AVERAGEIFS(INDIRECT($J$3),INDIRECT($J$3),"&gt;=0",Data!$B:$B,BT124,IF($A$20,Data!$J:$J,Data!#REF!),IF($A$20,"&lt;&gt;5",1))</f>
        <v>0.3</v>
      </c>
      <c r="BV124" t="e">
        <f t="shared" ca="1" si="57"/>
        <v>#DIV/0!</v>
      </c>
    </row>
    <row r="125" spans="10:74" x14ac:dyDescent="0.35">
      <c r="J125">
        <f t="shared" si="58"/>
        <v>117</v>
      </c>
      <c r="K125" t="s">
        <v>72</v>
      </c>
      <c r="L125" t="e">
        <f ca="1">AVERAGEIFS(INDIRECT($B$3),INDIRECT($B$3),"&gt;=0",Data!$B:$B,$K125)</f>
        <v>#DIV/0!</v>
      </c>
      <c r="M125" t="e">
        <f t="shared" ca="1" si="59"/>
        <v>#DIV/0!</v>
      </c>
      <c r="N125" t="s">
        <v>135</v>
      </c>
      <c r="O125" t="e">
        <f ca="1">AVERAGEIFS(INDIRECT($C$3),INDIRECT($C$3),"&gt;=0",Data!$B:$B,$N125)</f>
        <v>#DIV/0!</v>
      </c>
      <c r="P125" t="e">
        <f t="shared" ca="1" si="32"/>
        <v>#DIV/0!</v>
      </c>
      <c r="Q125" t="s">
        <v>24</v>
      </c>
      <c r="R125" t="e">
        <f ca="1">AVERAGEIFS(INDIRECT($D$3),INDIRECT($D$3),"&gt;=0",Data!$B:$B,$Q125)</f>
        <v>#DIV/0!</v>
      </c>
      <c r="S125" t="e">
        <f t="shared" ca="1" si="33"/>
        <v>#DIV/0!</v>
      </c>
      <c r="T125" t="s">
        <v>113</v>
      </c>
      <c r="U125" t="e">
        <f ca="1">AVERAGEIFS(INDIRECT($E$3),INDIRECT($E$3),"&gt;=0",Data!$B:$B,$T125)</f>
        <v>#DIV/0!</v>
      </c>
      <c r="V125" t="e">
        <f t="shared" ca="1" si="34"/>
        <v>#DIV/0!</v>
      </c>
      <c r="W125" t="s">
        <v>186</v>
      </c>
      <c r="X125" t="e">
        <f ca="1">AVERAGEIFS(INDIRECT($F$3),INDIRECT($F$3),"&gt;=0",Data!$B:$B,$W125)</f>
        <v>#DIV/0!</v>
      </c>
      <c r="Y125" t="e">
        <f t="shared" ca="1" si="35"/>
        <v>#DIV/0!</v>
      </c>
      <c r="Z125" t="s">
        <v>20</v>
      </c>
      <c r="AA125" t="e">
        <f ca="1">AVERAGEIFS(INDIRECT($G$3),INDIRECT($G$3),"&gt;=0",Data!$B:$B,$Z125)</f>
        <v>#DIV/0!</v>
      </c>
      <c r="AB125" t="e">
        <f t="shared" ca="1" si="36"/>
        <v>#DIV/0!</v>
      </c>
      <c r="AC125" t="s">
        <v>142</v>
      </c>
      <c r="AD125" t="e">
        <f ca="1">AVERAGEIFS(INDIRECT($H$3),INDIRECT($H$3),"&gt;=0",Data!$B:$B,$AC125)</f>
        <v>#DIV/0!</v>
      </c>
      <c r="AE125" t="e">
        <f t="shared" ca="1" si="37"/>
        <v>#DIV/0!</v>
      </c>
      <c r="AF125" t="s">
        <v>141</v>
      </c>
      <c r="AG125" t="e">
        <f ca="1">AVERAGEIFS(INDIRECT($I$3),INDIRECT($I$3),"&gt;=0",Data!$B:$B,$AF125)</f>
        <v>#DIV/0!</v>
      </c>
      <c r="AH125" t="e">
        <f t="shared" ca="1" si="38"/>
        <v>#DIV/0!</v>
      </c>
      <c r="AI125" t="s">
        <v>72</v>
      </c>
      <c r="AJ125" t="e">
        <f ca="1">AVERAGEIFS(INDIRECT($J$3),INDIRECT($J$3),"&gt;=0",Data!$B:$B,$AI125)</f>
        <v>#DIV/0!</v>
      </c>
      <c r="AK125" t="e">
        <f t="shared" ca="1" si="39"/>
        <v>#DIV/0!</v>
      </c>
      <c r="AL125" t="str">
        <f t="shared" ca="1" si="40"/>
        <v>-</v>
      </c>
      <c r="AM125" t="str">
        <f t="shared" ca="1" si="41"/>
        <v>-</v>
      </c>
      <c r="AN125" t="str">
        <f t="shared" ca="1" si="42"/>
        <v>-</v>
      </c>
      <c r="AO125" t="str">
        <f t="shared" ca="1" si="43"/>
        <v>-</v>
      </c>
      <c r="AP125" t="str">
        <f t="shared" ca="1" si="44"/>
        <v>-</v>
      </c>
      <c r="AQ125" t="str">
        <f t="shared" ca="1" si="45"/>
        <v>-</v>
      </c>
      <c r="AR125" t="str">
        <f t="shared" ca="1" si="46"/>
        <v>-</v>
      </c>
      <c r="AS125" t="str">
        <f t="shared" ca="1" si="47"/>
        <v>-</v>
      </c>
      <c r="AT125" t="str">
        <f t="shared" ca="1" si="48"/>
        <v>-</v>
      </c>
      <c r="AU125">
        <f t="shared" si="60"/>
        <v>117</v>
      </c>
      <c r="AV125" t="s">
        <v>169</v>
      </c>
      <c r="AW125" s="20" t="e">
        <f ca="1">AVERAGEIFS(INDIRECT($B$3),INDIRECT($B$3),"&gt;=0",Data!$B:$B,AV125,IF($A$20,Data!$J:$J,Data!#REF!),IF($A$20,"&lt;&gt;5",1))</f>
        <v>#DIV/0!</v>
      </c>
      <c r="AX125" t="e">
        <f t="shared" ca="1" si="49"/>
        <v>#DIV/0!</v>
      </c>
      <c r="AY125" s="20" t="s">
        <v>114</v>
      </c>
      <c r="AZ125" t="e">
        <f ca="1">AVERAGEIFS(INDIRECT($C$3),INDIRECT($C$3),"&gt;=0",Data!$B:$B,AY125,IF($A$20,Data!$J:$J,Data!#REF!),IF($A$20,"&lt;&gt;5",1))</f>
        <v>#DIV/0!</v>
      </c>
      <c r="BA125" s="20" t="e">
        <f t="shared" ca="1" si="50"/>
        <v>#DIV/0!</v>
      </c>
      <c r="BB125" t="s">
        <v>151</v>
      </c>
      <c r="BC125" s="20" t="e">
        <f ca="1">AVERAGEIFS(INDIRECT($D$3),INDIRECT($D$3),"&gt;=0",Data!$B:$B,BB125,IF($A$20,Data!$J:$J,Data!#REF!),IF($A$20,"&lt;&gt;5",1))</f>
        <v>#DIV/0!</v>
      </c>
      <c r="BD125" t="e">
        <f t="shared" ca="1" si="51"/>
        <v>#DIV/0!</v>
      </c>
      <c r="BE125" s="20" t="s">
        <v>157</v>
      </c>
      <c r="BF125" t="e">
        <f ca="1">AVERAGEIFS(INDIRECT($E$3),INDIRECT($E$3),"&gt;=0",Data!$B:$B,BE125,IF($A$20,Data!$J:$J,Data!#REF!),IF($A$20,"&lt;&gt;5",1))</f>
        <v>#DIV/0!</v>
      </c>
      <c r="BG125" s="20" t="e">
        <f t="shared" ca="1" si="52"/>
        <v>#DIV/0!</v>
      </c>
      <c r="BH125" t="s">
        <v>87</v>
      </c>
      <c r="BI125" s="20">
        <f ca="1">AVERAGEIFS(INDIRECT($F$3),INDIRECT($F$3),"&gt;=0",Data!$B:$B,BH125,IF($A$20,Data!$J:$J,Data!#REF!),IF($A$20,"&lt;&gt;5",1))</f>
        <v>1</v>
      </c>
      <c r="BJ125" t="e">
        <f t="shared" ca="1" si="53"/>
        <v>#DIV/0!</v>
      </c>
      <c r="BK125" s="20" t="s">
        <v>192</v>
      </c>
      <c r="BL125" t="e">
        <f ca="1">AVERAGEIFS(INDIRECT($G$3),INDIRECT($G$3),"&gt;=0",Data!$B:$B,BK125,IF($A$20,Data!$J:$J,Data!#REF!),IF($A$20,"&lt;&gt;5",1))</f>
        <v>#DIV/0!</v>
      </c>
      <c r="BM125" s="20" t="e">
        <f t="shared" ca="1" si="54"/>
        <v>#DIV/0!</v>
      </c>
      <c r="BN125" t="s">
        <v>124</v>
      </c>
      <c r="BO125" t="e">
        <f ca="1">AVERAGEIFS(INDIRECT($H$3),INDIRECT($H$3),"&gt;=0",Data!$B:$B,BN125,IF($A$20,Data!$J:$J,Data!#REF!),IF($A$20,"&lt;&gt;5",1))</f>
        <v>#DIV/0!</v>
      </c>
      <c r="BP125" t="e">
        <f t="shared" ca="1" si="55"/>
        <v>#DIV/0!</v>
      </c>
      <c r="BQ125" t="s">
        <v>84</v>
      </c>
      <c r="BR125" t="e">
        <f ca="1">AVERAGEIFS(INDIRECT($I$3),INDIRECT($I$3),"&gt;=0",Data!$B:$B,BQ125,IF($A$20,Data!$J:$J,Data!#REF!),IF($A$20,"&lt;&gt;5",1))</f>
        <v>#DIV/0!</v>
      </c>
      <c r="BS125" t="e">
        <f t="shared" ca="1" si="56"/>
        <v>#DIV/0!</v>
      </c>
      <c r="BT125" t="s">
        <v>48</v>
      </c>
      <c r="BU125">
        <f ca="1">AVERAGEIFS(INDIRECT($J$3),INDIRECT($J$3),"&gt;=0",Data!$B:$B,BT125,IF($A$20,Data!$J:$J,Data!#REF!),IF($A$20,"&lt;&gt;5",1))</f>
        <v>0.45</v>
      </c>
      <c r="BV125">
        <f t="shared" ca="1" si="57"/>
        <v>117</v>
      </c>
    </row>
    <row r="126" spans="10:74" x14ac:dyDescent="0.35">
      <c r="J126">
        <f t="shared" si="58"/>
        <v>118</v>
      </c>
      <c r="K126" t="s">
        <v>98</v>
      </c>
      <c r="L126" t="e">
        <f ca="1">AVERAGEIFS(INDIRECT($B$3),INDIRECT($B$3),"&gt;=0",Data!$B:$B,$K126)</f>
        <v>#DIV/0!</v>
      </c>
      <c r="M126" t="e">
        <f t="shared" ca="1" si="59"/>
        <v>#DIV/0!</v>
      </c>
      <c r="N126" t="s">
        <v>154</v>
      </c>
      <c r="O126" t="e">
        <f ca="1">AVERAGEIFS(INDIRECT($C$3),INDIRECT($C$3),"&gt;=0",Data!$B:$B,$N126)</f>
        <v>#DIV/0!</v>
      </c>
      <c r="P126" t="e">
        <f t="shared" ca="1" si="32"/>
        <v>#DIV/0!</v>
      </c>
      <c r="Q126" t="s">
        <v>37</v>
      </c>
      <c r="R126" t="e">
        <f ca="1">AVERAGEIFS(INDIRECT($D$3),INDIRECT($D$3),"&gt;=0",Data!$B:$B,$Q126)</f>
        <v>#DIV/0!</v>
      </c>
      <c r="S126" t="e">
        <f t="shared" ca="1" si="33"/>
        <v>#DIV/0!</v>
      </c>
      <c r="T126" t="s">
        <v>146</v>
      </c>
      <c r="U126" t="e">
        <f ca="1">AVERAGEIFS(INDIRECT($E$3),INDIRECT($E$3),"&gt;=0",Data!$B:$B,$T126)</f>
        <v>#DIV/0!</v>
      </c>
      <c r="V126" t="e">
        <f t="shared" ca="1" si="34"/>
        <v>#DIV/0!</v>
      </c>
      <c r="W126" t="s">
        <v>79</v>
      </c>
      <c r="X126" t="e">
        <f ca="1">AVERAGEIFS(INDIRECT($F$3),INDIRECT($F$3),"&gt;=0",Data!$B:$B,$W126)</f>
        <v>#DIV/0!</v>
      </c>
      <c r="Y126" t="e">
        <f t="shared" ca="1" si="35"/>
        <v>#DIV/0!</v>
      </c>
      <c r="Z126" t="s">
        <v>23</v>
      </c>
      <c r="AA126" t="e">
        <f ca="1">AVERAGEIFS(INDIRECT($G$3),INDIRECT($G$3),"&gt;=0",Data!$B:$B,$Z126)</f>
        <v>#DIV/0!</v>
      </c>
      <c r="AB126" t="e">
        <f t="shared" ca="1" si="36"/>
        <v>#DIV/0!</v>
      </c>
      <c r="AC126" t="s">
        <v>78</v>
      </c>
      <c r="AD126">
        <f ca="1">AVERAGEIFS(INDIRECT($H$3),INDIRECT($H$3),"&gt;=0",Data!$B:$B,$AC126)</f>
        <v>0.92</v>
      </c>
      <c r="AE126" t="e">
        <f t="shared" ca="1" si="37"/>
        <v>#DIV/0!</v>
      </c>
      <c r="AF126" t="s">
        <v>187</v>
      </c>
      <c r="AG126">
        <f ca="1">AVERAGEIFS(INDIRECT($I$3),INDIRECT($I$3),"&gt;=0",Data!$B:$B,$AF126)</f>
        <v>0.52777777777777779</v>
      </c>
      <c r="AH126" t="e">
        <f t="shared" ca="1" si="38"/>
        <v>#DIV/0!</v>
      </c>
      <c r="AI126" t="s">
        <v>71</v>
      </c>
      <c r="AJ126" t="e">
        <f ca="1">AVERAGEIFS(INDIRECT($J$3),INDIRECT($J$3),"&gt;=0",Data!$B:$B,$AI126)</f>
        <v>#DIV/0!</v>
      </c>
      <c r="AK126" t="e">
        <f t="shared" ca="1" si="39"/>
        <v>#DIV/0!</v>
      </c>
      <c r="AL126" t="str">
        <f t="shared" ca="1" si="40"/>
        <v>-</v>
      </c>
      <c r="AM126" t="str">
        <f t="shared" ca="1" si="41"/>
        <v>-</v>
      </c>
      <c r="AN126" t="str">
        <f t="shared" ca="1" si="42"/>
        <v>-</v>
      </c>
      <c r="AO126" t="str">
        <f t="shared" ca="1" si="43"/>
        <v>-</v>
      </c>
      <c r="AP126" t="str">
        <f t="shared" ca="1" si="44"/>
        <v>-</v>
      </c>
      <c r="AQ126" t="str">
        <f t="shared" ca="1" si="45"/>
        <v>-</v>
      </c>
      <c r="AR126" t="str">
        <f t="shared" ca="1" si="46"/>
        <v>-</v>
      </c>
      <c r="AS126" t="str">
        <f t="shared" ca="1" si="47"/>
        <v>-</v>
      </c>
      <c r="AT126" t="str">
        <f t="shared" ca="1" si="48"/>
        <v>-</v>
      </c>
      <c r="AU126">
        <f t="shared" si="60"/>
        <v>118</v>
      </c>
      <c r="AV126" t="s">
        <v>6</v>
      </c>
      <c r="AW126" s="20" t="e">
        <f ca="1">AVERAGEIFS(INDIRECT($B$3),INDIRECT($B$3),"&gt;=0",Data!$B:$B,AV126,IF($A$20,Data!$J:$J,Data!#REF!),IF($A$20,"&lt;&gt;5",1))</f>
        <v>#DIV/0!</v>
      </c>
      <c r="AX126" t="e">
        <f t="shared" ca="1" si="49"/>
        <v>#DIV/0!</v>
      </c>
      <c r="AY126" s="20" t="s">
        <v>94</v>
      </c>
      <c r="AZ126" t="e">
        <f ca="1">AVERAGEIFS(INDIRECT($C$3),INDIRECT($C$3),"&gt;=0",Data!$B:$B,AY126,IF($A$20,Data!$J:$J,Data!#REF!),IF($A$20,"&lt;&gt;5",1))</f>
        <v>#DIV/0!</v>
      </c>
      <c r="BA126" s="20" t="e">
        <f t="shared" ca="1" si="50"/>
        <v>#DIV/0!</v>
      </c>
      <c r="BB126" t="s">
        <v>83</v>
      </c>
      <c r="BC126" s="20" t="e">
        <f ca="1">AVERAGEIFS(INDIRECT($D$3),INDIRECT($D$3),"&gt;=0",Data!$B:$B,BB126,IF($A$20,Data!$J:$J,Data!#REF!),IF($A$20,"&lt;&gt;5",1))</f>
        <v>#DIV/0!</v>
      </c>
      <c r="BD126" t="e">
        <f t="shared" ca="1" si="51"/>
        <v>#DIV/0!</v>
      </c>
      <c r="BE126" s="20" t="s">
        <v>62</v>
      </c>
      <c r="BF126" t="e">
        <f ca="1">AVERAGEIFS(INDIRECT($E$3),INDIRECT($E$3),"&gt;=0",Data!$B:$B,BE126,IF($A$20,Data!$J:$J,Data!#REF!),IF($A$20,"&lt;&gt;5",1))</f>
        <v>#DIV/0!</v>
      </c>
      <c r="BG126" s="20" t="e">
        <f t="shared" ca="1" si="52"/>
        <v>#DIV/0!</v>
      </c>
      <c r="BH126" t="s">
        <v>129</v>
      </c>
      <c r="BI126" s="20" t="e">
        <f ca="1">AVERAGEIFS(INDIRECT($F$3),INDIRECT($F$3),"&gt;=0",Data!$B:$B,BH126,IF($A$20,Data!$J:$J,Data!#REF!),IF($A$20,"&lt;&gt;5",1))</f>
        <v>#DIV/0!</v>
      </c>
      <c r="BJ126" t="e">
        <f t="shared" ca="1" si="53"/>
        <v>#DIV/0!</v>
      </c>
      <c r="BK126" s="20" t="s">
        <v>104</v>
      </c>
      <c r="BL126" t="e">
        <f ca="1">AVERAGEIFS(INDIRECT($G$3),INDIRECT($G$3),"&gt;=0",Data!$B:$B,BK126,IF($A$20,Data!$J:$J,Data!#REF!),IF($A$20,"&lt;&gt;5",1))</f>
        <v>#DIV/0!</v>
      </c>
      <c r="BM126" s="20" t="e">
        <f t="shared" ca="1" si="54"/>
        <v>#DIV/0!</v>
      </c>
      <c r="BN126" t="s">
        <v>106</v>
      </c>
      <c r="BO126">
        <f ca="1">AVERAGEIFS(INDIRECT($H$3),INDIRECT($H$3),"&gt;=0",Data!$B:$B,BN126,IF($A$20,Data!$J:$J,Data!#REF!),IF($A$20,"&lt;&gt;5",1))</f>
        <v>1</v>
      </c>
      <c r="BP126" t="e">
        <f t="shared" ca="1" si="55"/>
        <v>#DIV/0!</v>
      </c>
      <c r="BQ126" t="s">
        <v>124</v>
      </c>
      <c r="BR126" t="e">
        <f ca="1">AVERAGEIFS(INDIRECT($I$3),INDIRECT($I$3),"&gt;=0",Data!$B:$B,BQ126,IF($A$20,Data!$J:$J,Data!#REF!),IF($A$20,"&lt;&gt;5",1))</f>
        <v>#DIV/0!</v>
      </c>
      <c r="BS126" t="e">
        <f t="shared" ca="1" si="56"/>
        <v>#DIV/0!</v>
      </c>
      <c r="BT126" t="s">
        <v>63</v>
      </c>
      <c r="BU126" t="e">
        <f ca="1">AVERAGEIFS(INDIRECT($J$3),INDIRECT($J$3),"&gt;=0",Data!$B:$B,BT126,IF($A$20,Data!$J:$J,Data!#REF!),IF($A$20,"&lt;&gt;5",1))</f>
        <v>#DIV/0!</v>
      </c>
      <c r="BV126" t="e">
        <f t="shared" ca="1" si="57"/>
        <v>#DIV/0!</v>
      </c>
    </row>
    <row r="127" spans="10:74" x14ac:dyDescent="0.35">
      <c r="J127">
        <f t="shared" si="58"/>
        <v>119</v>
      </c>
      <c r="K127" t="s">
        <v>100</v>
      </c>
      <c r="L127" t="e">
        <f ca="1">AVERAGEIFS(INDIRECT($B$3),INDIRECT($B$3),"&gt;=0",Data!$B:$B,$K127)</f>
        <v>#DIV/0!</v>
      </c>
      <c r="M127" t="e">
        <f t="shared" ca="1" si="59"/>
        <v>#DIV/0!</v>
      </c>
      <c r="N127" t="s">
        <v>125</v>
      </c>
      <c r="O127" t="e">
        <f ca="1">AVERAGEIFS(INDIRECT($C$3),INDIRECT($C$3),"&gt;=0",Data!$B:$B,$N127)</f>
        <v>#DIV/0!</v>
      </c>
      <c r="P127" t="e">
        <f t="shared" ca="1" si="32"/>
        <v>#DIV/0!</v>
      </c>
      <c r="Q127" t="s">
        <v>43</v>
      </c>
      <c r="R127" t="e">
        <f ca="1">AVERAGEIFS(INDIRECT($D$3),INDIRECT($D$3),"&gt;=0",Data!$B:$B,$Q127)</f>
        <v>#DIV/0!</v>
      </c>
      <c r="S127" t="e">
        <f t="shared" ca="1" si="33"/>
        <v>#DIV/0!</v>
      </c>
      <c r="T127" t="s">
        <v>174</v>
      </c>
      <c r="U127" t="e">
        <f ca="1">AVERAGEIFS(INDIRECT($E$3),INDIRECT($E$3),"&gt;=0",Data!$B:$B,$T127)</f>
        <v>#DIV/0!</v>
      </c>
      <c r="V127" t="e">
        <f t="shared" ca="1" si="34"/>
        <v>#DIV/0!</v>
      </c>
      <c r="W127" t="s">
        <v>50</v>
      </c>
      <c r="X127">
        <f ca="1">AVERAGEIFS(INDIRECT($F$3),INDIRECT($F$3),"&gt;=0",Data!$B:$B,$W127)</f>
        <v>0</v>
      </c>
      <c r="Y127" t="e">
        <f t="shared" ca="1" si="35"/>
        <v>#DIV/0!</v>
      </c>
      <c r="Z127" t="s">
        <v>39</v>
      </c>
      <c r="AA127" t="e">
        <f ca="1">AVERAGEIFS(INDIRECT($G$3),INDIRECT($G$3),"&gt;=0",Data!$B:$B,$Z127)</f>
        <v>#DIV/0!</v>
      </c>
      <c r="AB127" t="e">
        <f t="shared" ca="1" si="36"/>
        <v>#DIV/0!</v>
      </c>
      <c r="AC127" t="s">
        <v>115</v>
      </c>
      <c r="AD127">
        <f ca="1">AVERAGEIFS(INDIRECT($H$3),INDIRECT($H$3),"&gt;=0",Data!$B:$B,$AC127)</f>
        <v>1</v>
      </c>
      <c r="AE127">
        <f t="shared" ca="1" si="37"/>
        <v>119</v>
      </c>
      <c r="AF127" t="s">
        <v>119</v>
      </c>
      <c r="AG127" t="e">
        <f ca="1">AVERAGEIFS(INDIRECT($I$3),INDIRECT($I$3),"&gt;=0",Data!$B:$B,$AF127)</f>
        <v>#DIV/0!</v>
      </c>
      <c r="AH127" t="e">
        <f t="shared" ca="1" si="38"/>
        <v>#DIV/0!</v>
      </c>
      <c r="AI127" t="s">
        <v>70</v>
      </c>
      <c r="AJ127">
        <f ca="1">AVERAGEIFS(INDIRECT($J$3),INDIRECT($J$3),"&gt;=0",Data!$B:$B,$AI127)</f>
        <v>0.27272727272727271</v>
      </c>
      <c r="AK127" t="e">
        <f t="shared" ca="1" si="39"/>
        <v>#DIV/0!</v>
      </c>
      <c r="AL127" t="str">
        <f t="shared" ca="1" si="40"/>
        <v>-</v>
      </c>
      <c r="AM127" t="str">
        <f t="shared" ca="1" si="41"/>
        <v>-</v>
      </c>
      <c r="AN127" t="str">
        <f t="shared" ca="1" si="42"/>
        <v>-</v>
      </c>
      <c r="AO127" t="str">
        <f t="shared" ca="1" si="43"/>
        <v>-</v>
      </c>
      <c r="AP127" t="str">
        <f t="shared" ca="1" si="44"/>
        <v>-</v>
      </c>
      <c r="AQ127" t="str">
        <f t="shared" ca="1" si="45"/>
        <v>-</v>
      </c>
      <c r="AR127" t="str">
        <f t="shared" ca="1" si="46"/>
        <v>-</v>
      </c>
      <c r="AS127" t="str">
        <f t="shared" ca="1" si="47"/>
        <v>-</v>
      </c>
      <c r="AT127" t="str">
        <f t="shared" ca="1" si="48"/>
        <v>-</v>
      </c>
      <c r="AU127">
        <f t="shared" si="60"/>
        <v>119</v>
      </c>
      <c r="AV127" t="s">
        <v>163</v>
      </c>
      <c r="AW127" s="20" t="e">
        <f ca="1">AVERAGEIFS(INDIRECT($B$3),INDIRECT($B$3),"&gt;=0",Data!$B:$B,AV127,IF($A$20,Data!$J:$J,Data!#REF!),IF($A$20,"&lt;&gt;5",1))</f>
        <v>#DIV/0!</v>
      </c>
      <c r="AX127" t="e">
        <f t="shared" ca="1" si="49"/>
        <v>#DIV/0!</v>
      </c>
      <c r="AY127" s="20" t="s">
        <v>46</v>
      </c>
      <c r="AZ127" t="e">
        <f ca="1">AVERAGEIFS(INDIRECT($C$3),INDIRECT($C$3),"&gt;=0",Data!$B:$B,AY127,IF($A$20,Data!$J:$J,Data!#REF!),IF($A$20,"&lt;&gt;5",1))</f>
        <v>#DIV/0!</v>
      </c>
      <c r="BA127" s="20" t="e">
        <f t="shared" ca="1" si="50"/>
        <v>#DIV/0!</v>
      </c>
      <c r="BB127" t="s">
        <v>14</v>
      </c>
      <c r="BC127" s="20" t="e">
        <f ca="1">AVERAGEIFS(INDIRECT($D$3),INDIRECT($D$3),"&gt;=0",Data!$B:$B,BB127,IF($A$20,Data!$J:$J,Data!#REF!),IF($A$20,"&lt;&gt;5",1))</f>
        <v>#DIV/0!</v>
      </c>
      <c r="BD127" t="e">
        <f t="shared" ca="1" si="51"/>
        <v>#DIV/0!</v>
      </c>
      <c r="BE127" s="20" t="s">
        <v>35</v>
      </c>
      <c r="BF127" t="e">
        <f ca="1">AVERAGEIFS(INDIRECT($E$3),INDIRECT($E$3),"&gt;=0",Data!$B:$B,BE127,IF($A$20,Data!$J:$J,Data!#REF!),IF($A$20,"&lt;&gt;5",1))</f>
        <v>#DIV/0!</v>
      </c>
      <c r="BG127" s="20" t="e">
        <f t="shared" ca="1" si="52"/>
        <v>#DIV/0!</v>
      </c>
      <c r="BH127" t="s">
        <v>179</v>
      </c>
      <c r="BI127" s="20" t="e">
        <f ca="1">AVERAGEIFS(INDIRECT($F$3),INDIRECT($F$3),"&gt;=0",Data!$B:$B,BH127,IF($A$20,Data!$J:$J,Data!#REF!),IF($A$20,"&lt;&gt;5",1))</f>
        <v>#DIV/0!</v>
      </c>
      <c r="BJ127" t="e">
        <f t="shared" ca="1" si="53"/>
        <v>#DIV/0!</v>
      </c>
      <c r="BK127" s="20" t="s">
        <v>41</v>
      </c>
      <c r="BL127">
        <f ca="1">AVERAGEIFS(INDIRECT($G$3),INDIRECT($G$3),"&gt;=0",Data!$B:$B,BK127,IF($A$20,Data!$J:$J,Data!#REF!),IF($A$20,"&lt;&gt;5",1))</f>
        <v>0.72</v>
      </c>
      <c r="BM127" s="20" t="e">
        <f t="shared" ca="1" si="54"/>
        <v>#DIV/0!</v>
      </c>
      <c r="BN127" t="s">
        <v>128</v>
      </c>
      <c r="BO127" t="e">
        <f ca="1">AVERAGEIFS(INDIRECT($H$3),INDIRECT($H$3),"&gt;=0",Data!$B:$B,BN127,IF($A$20,Data!$J:$J,Data!#REF!),IF($A$20,"&lt;&gt;5",1))</f>
        <v>#DIV/0!</v>
      </c>
      <c r="BP127" t="e">
        <f t="shared" ca="1" si="55"/>
        <v>#DIV/0!</v>
      </c>
      <c r="BQ127" t="s">
        <v>143</v>
      </c>
      <c r="BR127" t="e">
        <f ca="1">AVERAGEIFS(INDIRECT($I$3),INDIRECT($I$3),"&gt;=0",Data!$B:$B,BQ127,IF($A$20,Data!$J:$J,Data!#REF!),IF($A$20,"&lt;&gt;5",1))</f>
        <v>#DIV/0!</v>
      </c>
      <c r="BS127" t="e">
        <f t="shared" ca="1" si="56"/>
        <v>#DIV/0!</v>
      </c>
      <c r="BT127" t="s">
        <v>67</v>
      </c>
      <c r="BU127" t="e">
        <f ca="1">AVERAGEIFS(INDIRECT($J$3),INDIRECT($J$3),"&gt;=0",Data!$B:$B,BT127,IF($A$20,Data!$J:$J,Data!#REF!),IF($A$20,"&lt;&gt;5",1))</f>
        <v>#DIV/0!</v>
      </c>
      <c r="BV127" t="e">
        <f t="shared" ca="1" si="57"/>
        <v>#DIV/0!</v>
      </c>
    </row>
    <row r="128" spans="10:74" x14ac:dyDescent="0.35">
      <c r="J128">
        <f t="shared" si="58"/>
        <v>120</v>
      </c>
      <c r="K128" t="s">
        <v>104</v>
      </c>
      <c r="L128" t="e">
        <f ca="1">AVERAGEIFS(INDIRECT($B$3),INDIRECT($B$3),"&gt;=0",Data!$B:$B,$K128)</f>
        <v>#DIV/0!</v>
      </c>
      <c r="M128" t="e">
        <f t="shared" ca="1" si="59"/>
        <v>#DIV/0!</v>
      </c>
      <c r="N128" t="s">
        <v>92</v>
      </c>
      <c r="O128" t="e">
        <f ca="1">AVERAGEIFS(INDIRECT($C$3),INDIRECT($C$3),"&gt;=0",Data!$B:$B,$N128)</f>
        <v>#DIV/0!</v>
      </c>
      <c r="P128" t="e">
        <f t="shared" ca="1" si="32"/>
        <v>#DIV/0!</v>
      </c>
      <c r="Q128" t="s">
        <v>64</v>
      </c>
      <c r="R128" t="e">
        <f ca="1">AVERAGEIFS(INDIRECT($D$3),INDIRECT($D$3),"&gt;=0",Data!$B:$B,$Q128)</f>
        <v>#DIV/0!</v>
      </c>
      <c r="S128" t="e">
        <f t="shared" ca="1" si="33"/>
        <v>#DIV/0!</v>
      </c>
      <c r="T128" t="s">
        <v>183</v>
      </c>
      <c r="U128" t="e">
        <f ca="1">AVERAGEIFS(INDIRECT($E$3),INDIRECT($E$3),"&gt;=0",Data!$B:$B,$T128)</f>
        <v>#DIV/0!</v>
      </c>
      <c r="V128" t="e">
        <f t="shared" ca="1" si="34"/>
        <v>#DIV/0!</v>
      </c>
      <c r="W128" t="s">
        <v>12</v>
      </c>
      <c r="X128">
        <f ca="1">AVERAGEIFS(INDIRECT($F$3),INDIRECT($F$3),"&gt;=0",Data!$B:$B,$W128)</f>
        <v>0</v>
      </c>
      <c r="Y128" t="e">
        <f t="shared" ca="1" si="35"/>
        <v>#DIV/0!</v>
      </c>
      <c r="Z128" t="s">
        <v>41</v>
      </c>
      <c r="AA128">
        <f ca="1">AVERAGEIFS(INDIRECT($G$3),INDIRECT($G$3),"&gt;=0",Data!$B:$B,$Z128)</f>
        <v>0.73076923076923073</v>
      </c>
      <c r="AB128" t="e">
        <f t="shared" ca="1" si="36"/>
        <v>#DIV/0!</v>
      </c>
      <c r="AC128" t="s">
        <v>128</v>
      </c>
      <c r="AD128" t="e">
        <f ca="1">AVERAGEIFS(INDIRECT($H$3),INDIRECT($H$3),"&gt;=0",Data!$B:$B,$AC128)</f>
        <v>#DIV/0!</v>
      </c>
      <c r="AE128" t="e">
        <f t="shared" ca="1" si="37"/>
        <v>#DIV/0!</v>
      </c>
      <c r="AF128" t="s">
        <v>121</v>
      </c>
      <c r="AG128" t="e">
        <f ca="1">AVERAGEIFS(INDIRECT($I$3),INDIRECT($I$3),"&gt;=0",Data!$B:$B,$AF128)</f>
        <v>#DIV/0!</v>
      </c>
      <c r="AH128" t="e">
        <f t="shared" ca="1" si="38"/>
        <v>#DIV/0!</v>
      </c>
      <c r="AI128" t="s">
        <v>48</v>
      </c>
      <c r="AJ128">
        <f ca="1">AVERAGEIFS(INDIRECT($J$3),INDIRECT($J$3),"&gt;=0",Data!$B:$B,$AI128)</f>
        <v>0.36</v>
      </c>
      <c r="AK128">
        <f t="shared" ca="1" si="39"/>
        <v>120</v>
      </c>
      <c r="AL128" t="str">
        <f t="shared" ca="1" si="40"/>
        <v>-</v>
      </c>
      <c r="AM128" t="str">
        <f t="shared" ca="1" si="41"/>
        <v>-</v>
      </c>
      <c r="AN128" t="str">
        <f t="shared" ca="1" si="42"/>
        <v>-</v>
      </c>
      <c r="AO128" t="str">
        <f t="shared" ca="1" si="43"/>
        <v>-</v>
      </c>
      <c r="AP128" t="str">
        <f t="shared" ca="1" si="44"/>
        <v>-</v>
      </c>
      <c r="AQ128" t="str">
        <f t="shared" ca="1" si="45"/>
        <v>-</v>
      </c>
      <c r="AR128" t="str">
        <f t="shared" ca="1" si="46"/>
        <v>-</v>
      </c>
      <c r="AS128" t="str">
        <f t="shared" ca="1" si="47"/>
        <v>-</v>
      </c>
      <c r="AT128" t="str">
        <f t="shared" ca="1" si="48"/>
        <v>-</v>
      </c>
      <c r="AU128">
        <f t="shared" si="60"/>
        <v>120</v>
      </c>
      <c r="AV128" t="s">
        <v>50</v>
      </c>
      <c r="AW128" s="20" t="e">
        <f ca="1">AVERAGEIFS(INDIRECT($B$3),INDIRECT($B$3),"&gt;=0",Data!$B:$B,AV128,IF($A$20,Data!$J:$J,Data!#REF!),IF($A$20,"&lt;&gt;5",1))</f>
        <v>#DIV/0!</v>
      </c>
      <c r="AX128" t="e">
        <f t="shared" ca="1" si="49"/>
        <v>#DIV/0!</v>
      </c>
      <c r="AY128" s="20" t="s">
        <v>22</v>
      </c>
      <c r="AZ128" t="e">
        <f ca="1">AVERAGEIFS(INDIRECT($C$3),INDIRECT($C$3),"&gt;=0",Data!$B:$B,AY128,IF($A$20,Data!$J:$J,Data!#REF!),IF($A$20,"&lt;&gt;5",1))</f>
        <v>#DIV/0!</v>
      </c>
      <c r="BA128" s="20" t="e">
        <f t="shared" ca="1" si="50"/>
        <v>#DIV/0!</v>
      </c>
      <c r="BB128" t="s">
        <v>41</v>
      </c>
      <c r="BC128" s="20" t="e">
        <f ca="1">AVERAGEIFS(INDIRECT($D$3),INDIRECT($D$3),"&gt;=0",Data!$B:$B,BB128,IF($A$20,Data!$J:$J,Data!#REF!),IF($A$20,"&lt;&gt;5",1))</f>
        <v>#DIV/0!</v>
      </c>
      <c r="BD128" t="e">
        <f t="shared" ca="1" si="51"/>
        <v>#DIV/0!</v>
      </c>
      <c r="BE128" s="20" t="s">
        <v>139</v>
      </c>
      <c r="BF128" t="e">
        <f ca="1">AVERAGEIFS(INDIRECT($E$3),INDIRECT($E$3),"&gt;=0",Data!$B:$B,BE128,IF($A$20,Data!$J:$J,Data!#REF!),IF($A$20,"&lt;&gt;5",1))</f>
        <v>#DIV/0!</v>
      </c>
      <c r="BG128" s="20" t="e">
        <f t="shared" ca="1" si="52"/>
        <v>#DIV/0!</v>
      </c>
      <c r="BH128" t="s">
        <v>152</v>
      </c>
      <c r="BI128" s="20" t="e">
        <f ca="1">AVERAGEIFS(INDIRECT($F$3),INDIRECT($F$3),"&gt;=0",Data!$B:$B,BH128,IF($A$20,Data!$J:$J,Data!#REF!),IF($A$20,"&lt;&gt;5",1))</f>
        <v>#DIV/0!</v>
      </c>
      <c r="BJ128" t="e">
        <f t="shared" ca="1" si="53"/>
        <v>#DIV/0!</v>
      </c>
      <c r="BK128" s="20" t="s">
        <v>39</v>
      </c>
      <c r="BL128" t="e">
        <f ca="1">AVERAGEIFS(INDIRECT($G$3),INDIRECT($G$3),"&gt;=0",Data!$B:$B,BK128,IF($A$20,Data!$J:$J,Data!#REF!),IF($A$20,"&lt;&gt;5",1))</f>
        <v>#DIV/0!</v>
      </c>
      <c r="BM128" s="20" t="e">
        <f t="shared" ca="1" si="54"/>
        <v>#DIV/0!</v>
      </c>
      <c r="BN128" t="s">
        <v>194</v>
      </c>
      <c r="BO128" t="e">
        <f ca="1">AVERAGEIFS(INDIRECT($H$3),INDIRECT($H$3),"&gt;=0",Data!$B:$B,BN128,IF($A$20,Data!$J:$J,Data!#REF!),IF($A$20,"&lt;&gt;5",1))</f>
        <v>#DIV/0!</v>
      </c>
      <c r="BP128" t="e">
        <f t="shared" ca="1" si="55"/>
        <v>#DIV/0!</v>
      </c>
      <c r="BQ128" t="s">
        <v>155</v>
      </c>
      <c r="BR128" t="e">
        <f ca="1">AVERAGEIFS(INDIRECT($I$3),INDIRECT($I$3),"&gt;=0",Data!$B:$B,BQ128,IF($A$20,Data!$J:$J,Data!#REF!),IF($A$20,"&lt;&gt;5",1))</f>
        <v>#DIV/0!</v>
      </c>
      <c r="BS128" t="e">
        <f t="shared" ca="1" si="56"/>
        <v>#DIV/0!</v>
      </c>
      <c r="BT128" t="s">
        <v>61</v>
      </c>
      <c r="BU128" t="e">
        <f ca="1">AVERAGEIFS(INDIRECT($J$3),INDIRECT($J$3),"&gt;=0",Data!$B:$B,BT128,IF($A$20,Data!$J:$J,Data!#REF!),IF($A$20,"&lt;&gt;5",1))</f>
        <v>#DIV/0!</v>
      </c>
      <c r="BV128" t="e">
        <f t="shared" ca="1" si="57"/>
        <v>#DIV/0!</v>
      </c>
    </row>
    <row r="129" spans="10:74" x14ac:dyDescent="0.35">
      <c r="J129">
        <f t="shared" si="58"/>
        <v>121</v>
      </c>
      <c r="K129" t="s">
        <v>131</v>
      </c>
      <c r="L129" t="e">
        <f ca="1">AVERAGEIFS(INDIRECT($B$3),INDIRECT($B$3),"&gt;=0",Data!$B:$B,$K129)</f>
        <v>#DIV/0!</v>
      </c>
      <c r="M129" t="e">
        <f t="shared" ca="1" si="59"/>
        <v>#DIV/0!</v>
      </c>
      <c r="N129" t="s">
        <v>110</v>
      </c>
      <c r="O129" t="e">
        <f ca="1">AVERAGEIFS(INDIRECT($C$3),INDIRECT($C$3),"&gt;=0",Data!$B:$B,$N129)</f>
        <v>#DIV/0!</v>
      </c>
      <c r="P129" t="e">
        <f t="shared" ca="1" si="32"/>
        <v>#DIV/0!</v>
      </c>
      <c r="Q129" t="s">
        <v>68</v>
      </c>
      <c r="R129" t="e">
        <f ca="1">AVERAGEIFS(INDIRECT($D$3),INDIRECT($D$3),"&gt;=0",Data!$B:$B,$Q129)</f>
        <v>#DIV/0!</v>
      </c>
      <c r="S129" t="e">
        <f t="shared" ca="1" si="33"/>
        <v>#DIV/0!</v>
      </c>
      <c r="T129" t="s">
        <v>92</v>
      </c>
      <c r="U129" t="e">
        <f ca="1">AVERAGEIFS(INDIRECT($E$3),INDIRECT($E$3),"&gt;=0",Data!$B:$B,$T129)</f>
        <v>#DIV/0!</v>
      </c>
      <c r="V129" t="e">
        <f t="shared" ca="1" si="34"/>
        <v>#DIV/0!</v>
      </c>
      <c r="W129" t="s">
        <v>119</v>
      </c>
      <c r="X129" t="e">
        <f ca="1">AVERAGEIFS(INDIRECT($F$3),INDIRECT($F$3),"&gt;=0",Data!$B:$B,$W129)</f>
        <v>#DIV/0!</v>
      </c>
      <c r="Y129" t="e">
        <f t="shared" ca="1" si="35"/>
        <v>#DIV/0!</v>
      </c>
      <c r="Z129" t="s">
        <v>45</v>
      </c>
      <c r="AA129" t="e">
        <f ca="1">AVERAGEIFS(INDIRECT($G$3),INDIRECT($G$3),"&gt;=0",Data!$B:$B,$Z129)</f>
        <v>#DIV/0!</v>
      </c>
      <c r="AB129" t="e">
        <f t="shared" ca="1" si="36"/>
        <v>#DIV/0!</v>
      </c>
      <c r="AC129" t="s">
        <v>183</v>
      </c>
      <c r="AD129" t="e">
        <f ca="1">AVERAGEIFS(INDIRECT($H$3),INDIRECT($H$3),"&gt;=0",Data!$B:$B,$AC129)</f>
        <v>#DIV/0!</v>
      </c>
      <c r="AE129" t="e">
        <f t="shared" ca="1" si="37"/>
        <v>#DIV/0!</v>
      </c>
      <c r="AF129" t="s">
        <v>151</v>
      </c>
      <c r="AG129" t="e">
        <f ca="1">AVERAGEIFS(INDIRECT($I$3),INDIRECT($I$3),"&gt;=0",Data!$B:$B,$AF129)</f>
        <v>#DIV/0!</v>
      </c>
      <c r="AH129" t="e">
        <f t="shared" ca="1" si="38"/>
        <v>#DIV/0!</v>
      </c>
      <c r="AI129" t="s">
        <v>63</v>
      </c>
      <c r="AJ129" t="e">
        <f ca="1">AVERAGEIFS(INDIRECT($J$3),INDIRECT($J$3),"&gt;=0",Data!$B:$B,$AI129)</f>
        <v>#DIV/0!</v>
      </c>
      <c r="AK129" t="e">
        <f t="shared" ca="1" si="39"/>
        <v>#DIV/0!</v>
      </c>
      <c r="AL129" t="str">
        <f t="shared" ca="1" si="40"/>
        <v>-</v>
      </c>
      <c r="AM129" t="str">
        <f t="shared" ca="1" si="41"/>
        <v>-</v>
      </c>
      <c r="AN129" t="str">
        <f t="shared" ca="1" si="42"/>
        <v>-</v>
      </c>
      <c r="AO129" t="str">
        <f t="shared" ca="1" si="43"/>
        <v>-</v>
      </c>
      <c r="AP129" t="str">
        <f t="shared" ca="1" si="44"/>
        <v>-</v>
      </c>
      <c r="AQ129" t="str">
        <f t="shared" ca="1" si="45"/>
        <v>-</v>
      </c>
      <c r="AR129" t="str">
        <f t="shared" ca="1" si="46"/>
        <v>-</v>
      </c>
      <c r="AS129" t="str">
        <f t="shared" ca="1" si="47"/>
        <v>-</v>
      </c>
      <c r="AT129" t="str">
        <f t="shared" ca="1" si="48"/>
        <v>-</v>
      </c>
      <c r="AU129">
        <f t="shared" si="60"/>
        <v>121</v>
      </c>
      <c r="AV129" t="s">
        <v>113</v>
      </c>
      <c r="AW129" s="20" t="e">
        <f ca="1">AVERAGEIFS(INDIRECT($B$3),INDIRECT($B$3),"&gt;=0",Data!$B:$B,AV129,IF($A$20,Data!$J:$J,Data!#REF!),IF($A$20,"&lt;&gt;5",1))</f>
        <v>#DIV/0!</v>
      </c>
      <c r="AX129" t="e">
        <f t="shared" ca="1" si="49"/>
        <v>#DIV/0!</v>
      </c>
      <c r="AY129" s="20" t="s">
        <v>119</v>
      </c>
      <c r="AZ129" t="e">
        <f ca="1">AVERAGEIFS(INDIRECT($C$3),INDIRECT($C$3),"&gt;=0",Data!$B:$B,AY129,IF($A$20,Data!$J:$J,Data!#REF!),IF($A$20,"&lt;&gt;5",1))</f>
        <v>#DIV/0!</v>
      </c>
      <c r="BA129" s="20" t="e">
        <f t="shared" ca="1" si="50"/>
        <v>#DIV/0!</v>
      </c>
      <c r="BB129" t="s">
        <v>166</v>
      </c>
      <c r="BC129" s="20" t="e">
        <f ca="1">AVERAGEIFS(INDIRECT($D$3),INDIRECT($D$3),"&gt;=0",Data!$B:$B,BB129,IF($A$20,Data!$J:$J,Data!#REF!),IF($A$20,"&lt;&gt;5",1))</f>
        <v>#DIV/0!</v>
      </c>
      <c r="BD129" t="e">
        <f t="shared" ca="1" si="51"/>
        <v>#DIV/0!</v>
      </c>
      <c r="BE129" s="20" t="s">
        <v>8</v>
      </c>
      <c r="BF129" t="e">
        <f ca="1">AVERAGEIFS(INDIRECT($E$3),INDIRECT($E$3),"&gt;=0",Data!$B:$B,BE129,IF($A$20,Data!$J:$J,Data!#REF!),IF($A$20,"&lt;&gt;5",1))</f>
        <v>#DIV/0!</v>
      </c>
      <c r="BG129" s="20" t="e">
        <f t="shared" ca="1" si="52"/>
        <v>#DIV/0!</v>
      </c>
      <c r="BH129" t="s">
        <v>26</v>
      </c>
      <c r="BI129" s="20" t="e">
        <f ca="1">AVERAGEIFS(INDIRECT($F$3),INDIRECT($F$3),"&gt;=0",Data!$B:$B,BH129,IF($A$20,Data!$J:$J,Data!#REF!),IF($A$20,"&lt;&gt;5",1))</f>
        <v>#DIV/0!</v>
      </c>
      <c r="BJ129" t="e">
        <f t="shared" ca="1" si="53"/>
        <v>#DIV/0!</v>
      </c>
      <c r="BK129" s="20" t="s">
        <v>57</v>
      </c>
      <c r="BL129" t="e">
        <f ca="1">AVERAGEIFS(INDIRECT($G$3),INDIRECT($G$3),"&gt;=0",Data!$B:$B,BK129,IF($A$20,Data!$J:$J,Data!#REF!),IF($A$20,"&lt;&gt;5",1))</f>
        <v>#DIV/0!</v>
      </c>
      <c r="BM129" s="20" t="e">
        <f t="shared" ca="1" si="54"/>
        <v>#DIV/0!</v>
      </c>
      <c r="BN129" t="s">
        <v>95</v>
      </c>
      <c r="BO129" t="e">
        <f ca="1">AVERAGEIFS(INDIRECT($H$3),INDIRECT($H$3),"&gt;=0",Data!$B:$B,BN129,IF($A$20,Data!$J:$J,Data!#REF!),IF($A$20,"&lt;&gt;5",1))</f>
        <v>#DIV/0!</v>
      </c>
      <c r="BP129" t="e">
        <f t="shared" ca="1" si="55"/>
        <v>#DIV/0!</v>
      </c>
      <c r="BQ129" t="s">
        <v>5</v>
      </c>
      <c r="BR129" t="e">
        <f ca="1">AVERAGEIFS(INDIRECT($I$3),INDIRECT($I$3),"&gt;=0",Data!$B:$B,BQ129,IF($A$20,Data!$J:$J,Data!#REF!),IF($A$20,"&lt;&gt;5",1))</f>
        <v>#DIV/0!</v>
      </c>
      <c r="BS129" t="e">
        <f t="shared" ca="1" si="56"/>
        <v>#DIV/0!</v>
      </c>
      <c r="BT129" t="s">
        <v>60</v>
      </c>
      <c r="BU129">
        <f ca="1">AVERAGEIFS(INDIRECT($J$3),INDIRECT($J$3),"&gt;=0",Data!$B:$B,BT129,IF($A$20,Data!$J:$J,Data!#REF!),IF($A$20,"&lt;&gt;5",1))</f>
        <v>0.33333333333333331</v>
      </c>
      <c r="BV129" t="e">
        <f t="shared" ca="1" si="57"/>
        <v>#DIV/0!</v>
      </c>
    </row>
    <row r="130" spans="10:74" x14ac:dyDescent="0.35">
      <c r="J130">
        <f t="shared" si="58"/>
        <v>122</v>
      </c>
      <c r="K130" t="s">
        <v>133</v>
      </c>
      <c r="L130" t="e">
        <f ca="1">AVERAGEIFS(INDIRECT($B$3),INDIRECT($B$3),"&gt;=0",Data!$B:$B,$K130)</f>
        <v>#DIV/0!</v>
      </c>
      <c r="M130" t="e">
        <f t="shared" ca="1" si="59"/>
        <v>#DIV/0!</v>
      </c>
      <c r="N130" t="s">
        <v>169</v>
      </c>
      <c r="O130" t="e">
        <f ca="1">AVERAGEIFS(INDIRECT($C$3),INDIRECT($C$3),"&gt;=0",Data!$B:$B,$N130)</f>
        <v>#DIV/0!</v>
      </c>
      <c r="P130" t="e">
        <f t="shared" ca="1" si="32"/>
        <v>#DIV/0!</v>
      </c>
      <c r="Q130" t="s">
        <v>77</v>
      </c>
      <c r="R130" t="e">
        <f ca="1">AVERAGEIFS(INDIRECT($D$3),INDIRECT($D$3),"&gt;=0",Data!$B:$B,$Q130)</f>
        <v>#DIV/0!</v>
      </c>
      <c r="S130" t="e">
        <f t="shared" ca="1" si="33"/>
        <v>#DIV/0!</v>
      </c>
      <c r="T130" t="s">
        <v>35</v>
      </c>
      <c r="U130" t="e">
        <f ca="1">AVERAGEIFS(INDIRECT($E$3),INDIRECT($E$3),"&gt;=0",Data!$B:$B,$T130)</f>
        <v>#DIV/0!</v>
      </c>
      <c r="V130" t="e">
        <f t="shared" ca="1" si="34"/>
        <v>#DIV/0!</v>
      </c>
      <c r="W130" t="s">
        <v>180</v>
      </c>
      <c r="X130" t="e">
        <f ca="1">AVERAGEIFS(INDIRECT($F$3),INDIRECT($F$3),"&gt;=0",Data!$B:$B,$W130)</f>
        <v>#DIV/0!</v>
      </c>
      <c r="Y130" t="e">
        <f t="shared" ca="1" si="35"/>
        <v>#DIV/0!</v>
      </c>
      <c r="Z130" t="s">
        <v>48</v>
      </c>
      <c r="AA130">
        <f ca="1">AVERAGEIFS(INDIRECT($G$3),INDIRECT($G$3),"&gt;=0",Data!$B:$B,$Z130)</f>
        <v>0.79166666666666663</v>
      </c>
      <c r="AB130" t="e">
        <f t="shared" ca="1" si="36"/>
        <v>#DIV/0!</v>
      </c>
      <c r="AC130" t="s">
        <v>43</v>
      </c>
      <c r="AD130" t="e">
        <f ca="1">AVERAGEIFS(INDIRECT($H$3),INDIRECT($H$3),"&gt;=0",Data!$B:$B,$AC130)</f>
        <v>#DIV/0!</v>
      </c>
      <c r="AE130" t="e">
        <f t="shared" ca="1" si="37"/>
        <v>#DIV/0!</v>
      </c>
      <c r="AF130" t="s">
        <v>5</v>
      </c>
      <c r="AG130" t="e">
        <f ca="1">AVERAGEIFS(INDIRECT($I$3),INDIRECT($I$3),"&gt;=0",Data!$B:$B,$AF130)</f>
        <v>#DIV/0!</v>
      </c>
      <c r="AH130" t="e">
        <f t="shared" ca="1" si="38"/>
        <v>#DIV/0!</v>
      </c>
      <c r="AI130" t="s">
        <v>67</v>
      </c>
      <c r="AJ130" t="e">
        <f ca="1">AVERAGEIFS(INDIRECT($J$3),INDIRECT($J$3),"&gt;=0",Data!$B:$B,$AI130)</f>
        <v>#DIV/0!</v>
      </c>
      <c r="AK130" t="e">
        <f t="shared" ca="1" si="39"/>
        <v>#DIV/0!</v>
      </c>
      <c r="AL130" t="str">
        <f t="shared" ca="1" si="40"/>
        <v>-</v>
      </c>
      <c r="AM130" t="str">
        <f t="shared" ca="1" si="41"/>
        <v>-</v>
      </c>
      <c r="AN130" t="str">
        <f t="shared" ca="1" si="42"/>
        <v>-</v>
      </c>
      <c r="AO130" t="str">
        <f t="shared" ca="1" si="43"/>
        <v>-</v>
      </c>
      <c r="AP130" t="str">
        <f t="shared" ca="1" si="44"/>
        <v>-</v>
      </c>
      <c r="AQ130" t="str">
        <f t="shared" ca="1" si="45"/>
        <v>-</v>
      </c>
      <c r="AR130" t="str">
        <f t="shared" ca="1" si="46"/>
        <v>-</v>
      </c>
      <c r="AS130" t="str">
        <f t="shared" ca="1" si="47"/>
        <v>-</v>
      </c>
      <c r="AT130" t="str">
        <f t="shared" ca="1" si="48"/>
        <v>-</v>
      </c>
      <c r="AU130">
        <f t="shared" si="60"/>
        <v>122</v>
      </c>
      <c r="AV130" t="s">
        <v>98</v>
      </c>
      <c r="AW130" s="20" t="e">
        <f ca="1">AVERAGEIFS(INDIRECT($B$3),INDIRECT($B$3),"&gt;=0",Data!$B:$B,AV130,IF($A$20,Data!$J:$J,Data!#REF!),IF($A$20,"&lt;&gt;5",1))</f>
        <v>#DIV/0!</v>
      </c>
      <c r="AX130" t="e">
        <f t="shared" ca="1" si="49"/>
        <v>#DIV/0!</v>
      </c>
      <c r="AY130" s="20" t="s">
        <v>123</v>
      </c>
      <c r="AZ130" t="e">
        <f ca="1">AVERAGEIFS(INDIRECT($C$3),INDIRECT($C$3),"&gt;=0",Data!$B:$B,AY130,IF($A$20,Data!$J:$J,Data!#REF!),IF($A$20,"&lt;&gt;5",1))</f>
        <v>#DIV/0!</v>
      </c>
      <c r="BA130" s="20" t="e">
        <f t="shared" ca="1" si="50"/>
        <v>#DIV/0!</v>
      </c>
      <c r="BB130" t="s">
        <v>137</v>
      </c>
      <c r="BC130" s="20" t="e">
        <f ca="1">AVERAGEIFS(INDIRECT($D$3),INDIRECT($D$3),"&gt;=0",Data!$B:$B,BB130,IF($A$20,Data!$J:$J,Data!#REF!),IF($A$20,"&lt;&gt;5",1))</f>
        <v>#DIV/0!</v>
      </c>
      <c r="BD130" t="e">
        <f t="shared" ca="1" si="51"/>
        <v>#DIV/0!</v>
      </c>
      <c r="BE130" s="20" t="s">
        <v>54</v>
      </c>
      <c r="BF130" t="e">
        <f ca="1">AVERAGEIFS(INDIRECT($E$3),INDIRECT($E$3),"&gt;=0",Data!$B:$B,BE130,IF($A$20,Data!$J:$J,Data!#REF!),IF($A$20,"&lt;&gt;5",1))</f>
        <v>#DIV/0!</v>
      </c>
      <c r="BG130" s="20" t="e">
        <f t="shared" ca="1" si="52"/>
        <v>#DIV/0!</v>
      </c>
      <c r="BH130" t="s">
        <v>95</v>
      </c>
      <c r="BI130" s="20" t="e">
        <f ca="1">AVERAGEIFS(INDIRECT($F$3),INDIRECT($F$3),"&gt;=0",Data!$B:$B,BH130,IF($A$20,Data!$J:$J,Data!#REF!),IF($A$20,"&lt;&gt;5",1))</f>
        <v>#DIV/0!</v>
      </c>
      <c r="BJ130" t="e">
        <f t="shared" ca="1" si="53"/>
        <v>#DIV/0!</v>
      </c>
      <c r="BK130" s="20" t="s">
        <v>95</v>
      </c>
      <c r="BL130" t="e">
        <f ca="1">AVERAGEIFS(INDIRECT($G$3),INDIRECT($G$3),"&gt;=0",Data!$B:$B,BK130,IF($A$20,Data!$J:$J,Data!#REF!),IF($A$20,"&lt;&gt;5",1))</f>
        <v>#DIV/0!</v>
      </c>
      <c r="BM130" s="20" t="e">
        <f t="shared" ca="1" si="54"/>
        <v>#DIV/0!</v>
      </c>
      <c r="BN130" t="s">
        <v>43</v>
      </c>
      <c r="BO130" t="e">
        <f ca="1">AVERAGEIFS(INDIRECT($H$3),INDIRECT($H$3),"&gt;=0",Data!$B:$B,BN130,IF($A$20,Data!$J:$J,Data!#REF!),IF($A$20,"&lt;&gt;5",1))</f>
        <v>#DIV/0!</v>
      </c>
      <c r="BP130" t="e">
        <f t="shared" ca="1" si="55"/>
        <v>#DIV/0!</v>
      </c>
      <c r="BQ130" t="s">
        <v>19</v>
      </c>
      <c r="BR130" t="e">
        <f ca="1">AVERAGEIFS(INDIRECT($I$3),INDIRECT($I$3),"&gt;=0",Data!$B:$B,BQ130,IF($A$20,Data!$J:$J,Data!#REF!),IF($A$20,"&lt;&gt;5",1))</f>
        <v>#DIV/0!</v>
      </c>
      <c r="BS130" t="e">
        <f t="shared" ca="1" si="56"/>
        <v>#DIV/0!</v>
      </c>
      <c r="BT130" t="s">
        <v>58</v>
      </c>
      <c r="BU130">
        <f ca="1">AVERAGEIFS(INDIRECT($J$3),INDIRECT($J$3),"&gt;=0",Data!$B:$B,BT130,IF($A$20,Data!$J:$J,Data!#REF!),IF($A$20,"&lt;&gt;5",1))</f>
        <v>0.45454545454545453</v>
      </c>
      <c r="BV130">
        <f t="shared" ca="1" si="57"/>
        <v>122</v>
      </c>
    </row>
    <row r="131" spans="10:74" x14ac:dyDescent="0.35">
      <c r="J131">
        <f t="shared" si="58"/>
        <v>123</v>
      </c>
      <c r="K131" t="s">
        <v>140</v>
      </c>
      <c r="L131" t="e">
        <f ca="1">AVERAGEIFS(INDIRECT($B$3),INDIRECT($B$3),"&gt;=0",Data!$B:$B,$K131)</f>
        <v>#DIV/0!</v>
      </c>
      <c r="M131" t="e">
        <f t="shared" ca="1" si="59"/>
        <v>#DIV/0!</v>
      </c>
      <c r="N131" t="s">
        <v>38</v>
      </c>
      <c r="O131" t="e">
        <f ca="1">AVERAGEIFS(INDIRECT($C$3),INDIRECT($C$3),"&gt;=0",Data!$B:$B,$N131)</f>
        <v>#DIV/0!</v>
      </c>
      <c r="P131" t="e">
        <f t="shared" ca="1" si="32"/>
        <v>#DIV/0!</v>
      </c>
      <c r="Q131" t="s">
        <v>80</v>
      </c>
      <c r="R131" t="e">
        <f ca="1">AVERAGEIFS(INDIRECT($D$3),INDIRECT($D$3),"&gt;=0",Data!$B:$B,$Q131)</f>
        <v>#DIV/0!</v>
      </c>
      <c r="S131" t="e">
        <f t="shared" ca="1" si="33"/>
        <v>#DIV/0!</v>
      </c>
      <c r="T131" t="s">
        <v>129</v>
      </c>
      <c r="U131" t="e">
        <f ca="1">AVERAGEIFS(INDIRECT($E$3),INDIRECT($E$3),"&gt;=0",Data!$B:$B,$T131)</f>
        <v>#DIV/0!</v>
      </c>
      <c r="V131" t="e">
        <f t="shared" ca="1" si="34"/>
        <v>#DIV/0!</v>
      </c>
      <c r="W131" t="s">
        <v>24</v>
      </c>
      <c r="X131" t="e">
        <f ca="1">AVERAGEIFS(INDIRECT($F$3),INDIRECT($F$3),"&gt;=0",Data!$B:$B,$W131)</f>
        <v>#DIV/0!</v>
      </c>
      <c r="Y131" t="e">
        <f t="shared" ca="1" si="35"/>
        <v>#DIV/0!</v>
      </c>
      <c r="Z131" t="s">
        <v>57</v>
      </c>
      <c r="AA131" t="e">
        <f ca="1">AVERAGEIFS(INDIRECT($G$3),INDIRECT($G$3),"&gt;=0",Data!$B:$B,$Z131)</f>
        <v>#DIV/0!</v>
      </c>
      <c r="AB131" t="e">
        <f t="shared" ca="1" si="36"/>
        <v>#DIV/0!</v>
      </c>
      <c r="AC131" t="s">
        <v>95</v>
      </c>
      <c r="AD131" t="e">
        <f ca="1">AVERAGEIFS(INDIRECT($H$3),INDIRECT($H$3),"&gt;=0",Data!$B:$B,$AC131)</f>
        <v>#DIV/0!</v>
      </c>
      <c r="AE131" t="e">
        <f t="shared" ca="1" si="37"/>
        <v>#DIV/0!</v>
      </c>
      <c r="AF131" t="s">
        <v>19</v>
      </c>
      <c r="AG131" t="e">
        <f ca="1">AVERAGEIFS(INDIRECT($I$3),INDIRECT($I$3),"&gt;=0",Data!$B:$B,$AF131)</f>
        <v>#DIV/0!</v>
      </c>
      <c r="AH131" t="e">
        <f t="shared" ca="1" si="38"/>
        <v>#DIV/0!</v>
      </c>
      <c r="AI131" t="s">
        <v>61</v>
      </c>
      <c r="AJ131" t="e">
        <f ca="1">AVERAGEIFS(INDIRECT($J$3),INDIRECT($J$3),"&gt;=0",Data!$B:$B,$AI131)</f>
        <v>#DIV/0!</v>
      </c>
      <c r="AK131" t="e">
        <f t="shared" ca="1" si="39"/>
        <v>#DIV/0!</v>
      </c>
      <c r="AL131" t="str">
        <f t="shared" ca="1" si="40"/>
        <v>-</v>
      </c>
      <c r="AM131" t="str">
        <f t="shared" ca="1" si="41"/>
        <v>-</v>
      </c>
      <c r="AN131" t="str">
        <f t="shared" ca="1" si="42"/>
        <v>-</v>
      </c>
      <c r="AO131" t="str">
        <f t="shared" ca="1" si="43"/>
        <v>-</v>
      </c>
      <c r="AP131" t="str">
        <f t="shared" ca="1" si="44"/>
        <v>-</v>
      </c>
      <c r="AQ131" t="str">
        <f t="shared" ca="1" si="45"/>
        <v>-</v>
      </c>
      <c r="AR131" t="str">
        <f t="shared" ca="1" si="46"/>
        <v>-</v>
      </c>
      <c r="AS131" t="str">
        <f t="shared" ca="1" si="47"/>
        <v>-</v>
      </c>
      <c r="AT131" t="str">
        <f t="shared" ca="1" si="48"/>
        <v>-</v>
      </c>
      <c r="AU131">
        <f t="shared" si="60"/>
        <v>123</v>
      </c>
      <c r="AV131" t="s">
        <v>104</v>
      </c>
      <c r="AW131" s="20" t="e">
        <f ca="1">AVERAGEIFS(INDIRECT($B$3),INDIRECT($B$3),"&gt;=0",Data!$B:$B,AV131,IF($A$20,Data!$J:$J,Data!#REF!),IF($A$20,"&lt;&gt;5",1))</f>
        <v>#DIV/0!</v>
      </c>
      <c r="AX131" t="e">
        <f t="shared" ca="1" si="49"/>
        <v>#DIV/0!</v>
      </c>
      <c r="AY131" s="20" t="s">
        <v>74</v>
      </c>
      <c r="AZ131" t="e">
        <f ca="1">AVERAGEIFS(INDIRECT($C$3),INDIRECT($C$3),"&gt;=0",Data!$B:$B,AY131,IF($A$20,Data!$J:$J,Data!#REF!),IF($A$20,"&lt;&gt;5",1))</f>
        <v>#DIV/0!</v>
      </c>
      <c r="BA131" s="20" t="e">
        <f t="shared" ca="1" si="50"/>
        <v>#DIV/0!</v>
      </c>
      <c r="BB131" t="s">
        <v>126</v>
      </c>
      <c r="BC131" s="20" t="e">
        <f ca="1">AVERAGEIFS(INDIRECT($D$3),INDIRECT($D$3),"&gt;=0",Data!$B:$B,BB131,IF($A$20,Data!$J:$J,Data!#REF!),IF($A$20,"&lt;&gt;5",1))</f>
        <v>#DIV/0!</v>
      </c>
      <c r="BD131" t="e">
        <f t="shared" ca="1" si="51"/>
        <v>#DIV/0!</v>
      </c>
      <c r="BE131" s="20" t="s">
        <v>112</v>
      </c>
      <c r="BF131" t="e">
        <f ca="1">AVERAGEIFS(INDIRECT($E$3),INDIRECT($E$3),"&gt;=0",Data!$B:$B,BE131,IF($A$20,Data!$J:$J,Data!#REF!),IF($A$20,"&lt;&gt;5",1))</f>
        <v>#DIV/0!</v>
      </c>
      <c r="BG131" s="20" t="e">
        <f t="shared" ca="1" si="52"/>
        <v>#DIV/0!</v>
      </c>
      <c r="BH131" t="s">
        <v>54</v>
      </c>
      <c r="BI131" s="20" t="e">
        <f ca="1">AVERAGEIFS(INDIRECT($F$3),INDIRECT($F$3),"&gt;=0",Data!$B:$B,BH131,IF($A$20,Data!$J:$J,Data!#REF!),IF($A$20,"&lt;&gt;5",1))</f>
        <v>#DIV/0!</v>
      </c>
      <c r="BJ131" t="e">
        <f t="shared" ca="1" si="53"/>
        <v>#DIV/0!</v>
      </c>
      <c r="BK131" s="20" t="s">
        <v>168</v>
      </c>
      <c r="BL131">
        <f ca="1">AVERAGEIFS(INDIRECT($G$3),INDIRECT($G$3),"&gt;=0",Data!$B:$B,BK131,IF($A$20,Data!$J:$J,Data!#REF!),IF($A$20,"&lt;&gt;5",1))</f>
        <v>0.8</v>
      </c>
      <c r="BM131" s="20" t="e">
        <f t="shared" ca="1" si="54"/>
        <v>#DIV/0!</v>
      </c>
      <c r="BN131" t="s">
        <v>156</v>
      </c>
      <c r="BO131" t="e">
        <f ca="1">AVERAGEIFS(INDIRECT($H$3),INDIRECT($H$3),"&gt;=0",Data!$B:$B,BN131,IF($A$20,Data!$J:$J,Data!#REF!),IF($A$20,"&lt;&gt;5",1))</f>
        <v>#DIV/0!</v>
      </c>
      <c r="BP131" t="e">
        <f t="shared" ca="1" si="55"/>
        <v>#DIV/0!</v>
      </c>
      <c r="BQ131" t="s">
        <v>30</v>
      </c>
      <c r="BR131" t="e">
        <f ca="1">AVERAGEIFS(INDIRECT($I$3),INDIRECT($I$3),"&gt;=0",Data!$B:$B,BQ131,IF($A$20,Data!$J:$J,Data!#REF!),IF($A$20,"&lt;&gt;5",1))</f>
        <v>#DIV/0!</v>
      </c>
      <c r="BS131" t="e">
        <f t="shared" ca="1" si="56"/>
        <v>#DIV/0!</v>
      </c>
      <c r="BT131" t="s">
        <v>59</v>
      </c>
      <c r="BU131" t="e">
        <f ca="1">AVERAGEIFS(INDIRECT($J$3),INDIRECT($J$3),"&gt;=0",Data!$B:$B,BT131,IF($A$20,Data!$J:$J,Data!#REF!),IF($A$20,"&lt;&gt;5",1))</f>
        <v>#DIV/0!</v>
      </c>
      <c r="BV131" t="e">
        <f t="shared" ca="1" si="57"/>
        <v>#DIV/0!</v>
      </c>
    </row>
    <row r="132" spans="10:74" x14ac:dyDescent="0.35">
      <c r="J132">
        <f t="shared" si="58"/>
        <v>124</v>
      </c>
      <c r="K132" t="s">
        <v>145</v>
      </c>
      <c r="L132" t="e">
        <f ca="1">AVERAGEIFS(INDIRECT($B$3),INDIRECT($B$3),"&gt;=0",Data!$B:$B,$K132)</f>
        <v>#DIV/0!</v>
      </c>
      <c r="M132" t="e">
        <f t="shared" ca="1" si="59"/>
        <v>#DIV/0!</v>
      </c>
      <c r="N132" t="s">
        <v>122</v>
      </c>
      <c r="O132" t="e">
        <f ca="1">AVERAGEIFS(INDIRECT($C$3),INDIRECT($C$3),"&gt;=0",Data!$B:$B,$N132)</f>
        <v>#DIV/0!</v>
      </c>
      <c r="P132" t="e">
        <f t="shared" ca="1" si="32"/>
        <v>#DIV/0!</v>
      </c>
      <c r="Q132" t="s">
        <v>83</v>
      </c>
      <c r="R132" t="e">
        <f ca="1">AVERAGEIFS(INDIRECT($D$3),INDIRECT($D$3),"&gt;=0",Data!$B:$B,$Q132)</f>
        <v>#DIV/0!</v>
      </c>
      <c r="S132" t="e">
        <f t="shared" ca="1" si="33"/>
        <v>#DIV/0!</v>
      </c>
      <c r="T132" t="s">
        <v>54</v>
      </c>
      <c r="U132" t="e">
        <f ca="1">AVERAGEIFS(INDIRECT($E$3),INDIRECT($E$3),"&gt;=0",Data!$B:$B,$T132)</f>
        <v>#DIV/0!</v>
      </c>
      <c r="V132" t="e">
        <f t="shared" ca="1" si="34"/>
        <v>#DIV/0!</v>
      </c>
      <c r="W132" t="s">
        <v>25</v>
      </c>
      <c r="X132" t="e">
        <f ca="1">AVERAGEIFS(INDIRECT($F$3),INDIRECT($F$3),"&gt;=0",Data!$B:$B,$W132)</f>
        <v>#DIV/0!</v>
      </c>
      <c r="Y132" t="e">
        <f t="shared" ca="1" si="35"/>
        <v>#DIV/0!</v>
      </c>
      <c r="Z132" t="s">
        <v>69</v>
      </c>
      <c r="AA132" t="e">
        <f ca="1">AVERAGEIFS(INDIRECT($G$3),INDIRECT($G$3),"&gt;=0",Data!$B:$B,$Z132)</f>
        <v>#DIV/0!</v>
      </c>
      <c r="AB132" t="e">
        <f t="shared" ca="1" si="36"/>
        <v>#DIV/0!</v>
      </c>
      <c r="AC132" t="s">
        <v>99</v>
      </c>
      <c r="AD132" t="e">
        <f ca="1">AVERAGEIFS(INDIRECT($H$3),INDIRECT($H$3),"&gt;=0",Data!$B:$B,$AC132)</f>
        <v>#DIV/0!</v>
      </c>
      <c r="AE132" t="e">
        <f t="shared" ca="1" si="37"/>
        <v>#DIV/0!</v>
      </c>
      <c r="AF132" t="s">
        <v>30</v>
      </c>
      <c r="AG132" t="e">
        <f ca="1">AVERAGEIFS(INDIRECT($I$3),INDIRECT($I$3),"&gt;=0",Data!$B:$B,$AF132)</f>
        <v>#DIV/0!</v>
      </c>
      <c r="AH132" t="e">
        <f t="shared" ca="1" si="38"/>
        <v>#DIV/0!</v>
      </c>
      <c r="AI132" t="s">
        <v>60</v>
      </c>
      <c r="AJ132">
        <f ca="1">AVERAGEIFS(INDIRECT($J$3),INDIRECT($J$3),"&gt;=0",Data!$B:$B,$AI132)</f>
        <v>0.33333333333333331</v>
      </c>
      <c r="AK132" t="e">
        <f t="shared" ca="1" si="39"/>
        <v>#DIV/0!</v>
      </c>
      <c r="AL132" t="str">
        <f t="shared" ca="1" si="40"/>
        <v>-</v>
      </c>
      <c r="AM132" t="str">
        <f t="shared" ca="1" si="41"/>
        <v>-</v>
      </c>
      <c r="AN132" t="str">
        <f t="shared" ca="1" si="42"/>
        <v>-</v>
      </c>
      <c r="AO132" t="str">
        <f t="shared" ca="1" si="43"/>
        <v>-</v>
      </c>
      <c r="AP132" t="str">
        <f t="shared" ca="1" si="44"/>
        <v>-</v>
      </c>
      <c r="AQ132" t="str">
        <f t="shared" ca="1" si="45"/>
        <v>-</v>
      </c>
      <c r="AR132" t="str">
        <f t="shared" ca="1" si="46"/>
        <v>-</v>
      </c>
      <c r="AS132" t="str">
        <f t="shared" ca="1" si="47"/>
        <v>-</v>
      </c>
      <c r="AT132" t="str">
        <f t="shared" ca="1" si="48"/>
        <v>-</v>
      </c>
      <c r="AU132">
        <f t="shared" si="60"/>
        <v>124</v>
      </c>
      <c r="AV132" t="s">
        <v>131</v>
      </c>
      <c r="AW132" s="20" t="e">
        <f ca="1">AVERAGEIFS(INDIRECT($B$3),INDIRECT($B$3),"&gt;=0",Data!$B:$B,AV132,IF($A$20,Data!$J:$J,Data!#REF!),IF($A$20,"&lt;&gt;5",1))</f>
        <v>#DIV/0!</v>
      </c>
      <c r="AX132" t="e">
        <f t="shared" ca="1" si="49"/>
        <v>#DIV/0!</v>
      </c>
      <c r="AY132" s="20" t="s">
        <v>5</v>
      </c>
      <c r="AZ132" t="e">
        <f ca="1">AVERAGEIFS(INDIRECT($C$3),INDIRECT($C$3),"&gt;=0",Data!$B:$B,AY132,IF($A$20,Data!$J:$J,Data!#REF!),IF($A$20,"&lt;&gt;5",1))</f>
        <v>#DIV/0!</v>
      </c>
      <c r="BA132" s="20" t="e">
        <f t="shared" ca="1" si="50"/>
        <v>#DIV/0!</v>
      </c>
      <c r="BB132" t="s">
        <v>179</v>
      </c>
      <c r="BC132" s="20" t="e">
        <f ca="1">AVERAGEIFS(INDIRECT($D$3),INDIRECT($D$3),"&gt;=0",Data!$B:$B,BB132,IF($A$20,Data!$J:$J,Data!#REF!),IF($A$20,"&lt;&gt;5",1))</f>
        <v>#DIV/0!</v>
      </c>
      <c r="BD132" t="e">
        <f t="shared" ca="1" si="51"/>
        <v>#DIV/0!</v>
      </c>
      <c r="BE132" s="20" t="s">
        <v>129</v>
      </c>
      <c r="BF132" t="e">
        <f ca="1">AVERAGEIFS(INDIRECT($E$3),INDIRECT($E$3),"&gt;=0",Data!$B:$B,BE132,IF($A$20,Data!$J:$J,Data!#REF!),IF($A$20,"&lt;&gt;5",1))</f>
        <v>#DIV/0!</v>
      </c>
      <c r="BG132" s="20" t="e">
        <f t="shared" ca="1" si="52"/>
        <v>#DIV/0!</v>
      </c>
      <c r="BH132" t="s">
        <v>55</v>
      </c>
      <c r="BI132" s="20">
        <f ca="1">AVERAGEIFS(INDIRECT($F$3),INDIRECT($F$3),"&gt;=0",Data!$B:$B,BH132,IF($A$20,Data!$J:$J,Data!#REF!),IF($A$20,"&lt;&gt;5",1))</f>
        <v>1</v>
      </c>
      <c r="BJ132" t="e">
        <f t="shared" ca="1" si="53"/>
        <v>#DIV/0!</v>
      </c>
      <c r="BK132" s="20" t="s">
        <v>109</v>
      </c>
      <c r="BL132" t="e">
        <f ca="1">AVERAGEIFS(INDIRECT($G$3),INDIRECT($G$3),"&gt;=0",Data!$B:$B,BK132,IF($A$20,Data!$J:$J,Data!#REF!),IF($A$20,"&lt;&gt;5",1))</f>
        <v>#DIV/0!</v>
      </c>
      <c r="BM132" s="20" t="e">
        <f t="shared" ca="1" si="54"/>
        <v>#DIV/0!</v>
      </c>
      <c r="BN132" t="s">
        <v>161</v>
      </c>
      <c r="BO132" t="e">
        <f ca="1">AVERAGEIFS(INDIRECT($H$3),INDIRECT($H$3),"&gt;=0",Data!$B:$B,BN132,IF($A$20,Data!$J:$J,Data!#REF!),IF($A$20,"&lt;&gt;5",1))</f>
        <v>#DIV/0!</v>
      </c>
      <c r="BP132" t="e">
        <f t="shared" ca="1" si="55"/>
        <v>#DIV/0!</v>
      </c>
      <c r="BQ132" t="s">
        <v>70</v>
      </c>
      <c r="BR132">
        <f ca="1">AVERAGEIFS(INDIRECT($I$3),INDIRECT($I$3),"&gt;=0",Data!$B:$B,BQ132,IF($A$20,Data!$J:$J,Data!#REF!),IF($A$20,"&lt;&gt;5",1))</f>
        <v>0.55000000000000004</v>
      </c>
      <c r="BS132" t="e">
        <f t="shared" ca="1" si="56"/>
        <v>#DIV/0!</v>
      </c>
      <c r="BT132" t="s">
        <v>56</v>
      </c>
      <c r="BU132">
        <f ca="1">AVERAGEIFS(INDIRECT($J$3),INDIRECT($J$3),"&gt;=0",Data!$B:$B,BT132,IF($A$20,Data!$J:$J,Data!#REF!),IF($A$20,"&lt;&gt;5",1))</f>
        <v>0.23529411764705882</v>
      </c>
      <c r="BV132" t="e">
        <f t="shared" ca="1" si="57"/>
        <v>#DIV/0!</v>
      </c>
    </row>
    <row r="133" spans="10:74" x14ac:dyDescent="0.35">
      <c r="J133">
        <f t="shared" si="58"/>
        <v>125</v>
      </c>
      <c r="K133" t="s">
        <v>150</v>
      </c>
      <c r="L133" t="e">
        <f ca="1">AVERAGEIFS(INDIRECT($B$3),INDIRECT($B$3),"&gt;=0",Data!$B:$B,$K133)</f>
        <v>#DIV/0!</v>
      </c>
      <c r="M133" t="e">
        <f t="shared" ca="1" si="59"/>
        <v>#DIV/0!</v>
      </c>
      <c r="N133" t="s">
        <v>48</v>
      </c>
      <c r="O133" t="e">
        <f ca="1">AVERAGEIFS(INDIRECT($C$3),INDIRECT($C$3),"&gt;=0",Data!$B:$B,$N133)</f>
        <v>#DIV/0!</v>
      </c>
      <c r="P133" t="e">
        <f t="shared" ca="1" si="32"/>
        <v>#DIV/0!</v>
      </c>
      <c r="Q133" t="s">
        <v>89</v>
      </c>
      <c r="R133" t="e">
        <f ca="1">AVERAGEIFS(INDIRECT($D$3),INDIRECT($D$3),"&gt;=0",Data!$B:$B,$Q133)</f>
        <v>#DIV/0!</v>
      </c>
      <c r="S133" t="e">
        <f t="shared" ca="1" si="33"/>
        <v>#DIV/0!</v>
      </c>
      <c r="T133" t="s">
        <v>187</v>
      </c>
      <c r="U133" t="e">
        <f ca="1">AVERAGEIFS(INDIRECT($E$3),INDIRECT($E$3),"&gt;=0",Data!$B:$B,$T133)</f>
        <v>#DIV/0!</v>
      </c>
      <c r="V133" t="e">
        <f t="shared" ca="1" si="34"/>
        <v>#DIV/0!</v>
      </c>
      <c r="W133" t="s">
        <v>33</v>
      </c>
      <c r="X133">
        <f ca="1">AVERAGEIFS(INDIRECT($F$3),INDIRECT($F$3),"&gt;=0",Data!$B:$B,$W133)</f>
        <v>0</v>
      </c>
      <c r="Y133" t="e">
        <f t="shared" ca="1" si="35"/>
        <v>#DIV/0!</v>
      </c>
      <c r="Z133" t="s">
        <v>85</v>
      </c>
      <c r="AA133">
        <f ca="1">AVERAGEIFS(INDIRECT($G$3),INDIRECT($G$3),"&gt;=0",Data!$B:$B,$Z133)</f>
        <v>0.73333333333333328</v>
      </c>
      <c r="AB133" t="e">
        <f t="shared" ca="1" si="36"/>
        <v>#DIV/0!</v>
      </c>
      <c r="AC133" t="s">
        <v>104</v>
      </c>
      <c r="AD133" t="e">
        <f ca="1">AVERAGEIFS(INDIRECT($H$3),INDIRECT($H$3),"&gt;=0",Data!$B:$B,$AC133)</f>
        <v>#DIV/0!</v>
      </c>
      <c r="AE133" t="e">
        <f t="shared" ca="1" si="37"/>
        <v>#DIV/0!</v>
      </c>
      <c r="AF133" t="s">
        <v>113</v>
      </c>
      <c r="AG133" t="e">
        <f ca="1">AVERAGEIFS(INDIRECT($I$3),INDIRECT($I$3),"&gt;=0",Data!$B:$B,$AF133)</f>
        <v>#DIV/0!</v>
      </c>
      <c r="AH133" t="e">
        <f t="shared" ca="1" si="38"/>
        <v>#DIV/0!</v>
      </c>
      <c r="AI133" t="s">
        <v>58</v>
      </c>
      <c r="AJ133">
        <f ca="1">AVERAGEIFS(INDIRECT($J$3),INDIRECT($J$3),"&gt;=0",Data!$B:$B,$AI133)</f>
        <v>0.33333333333333331</v>
      </c>
      <c r="AK133" t="e">
        <f t="shared" ca="1" si="39"/>
        <v>#DIV/0!</v>
      </c>
      <c r="AL133" t="str">
        <f t="shared" ca="1" si="40"/>
        <v>-</v>
      </c>
      <c r="AM133" t="str">
        <f t="shared" ca="1" si="41"/>
        <v>-</v>
      </c>
      <c r="AN133" t="str">
        <f t="shared" ca="1" si="42"/>
        <v>-</v>
      </c>
      <c r="AO133" t="str">
        <f t="shared" ca="1" si="43"/>
        <v>-</v>
      </c>
      <c r="AP133" t="str">
        <f t="shared" ca="1" si="44"/>
        <v>-</v>
      </c>
      <c r="AQ133" t="str">
        <f t="shared" ca="1" si="45"/>
        <v>-</v>
      </c>
      <c r="AR133" t="str">
        <f t="shared" ca="1" si="46"/>
        <v>-</v>
      </c>
      <c r="AS133" t="str">
        <f t="shared" ca="1" si="47"/>
        <v>-</v>
      </c>
      <c r="AT133" t="str">
        <f t="shared" ca="1" si="48"/>
        <v>-</v>
      </c>
      <c r="AU133">
        <f t="shared" si="60"/>
        <v>125</v>
      </c>
      <c r="AV133" t="s">
        <v>150</v>
      </c>
      <c r="AW133" s="20" t="e">
        <f ca="1">AVERAGEIFS(INDIRECT($B$3),INDIRECT($B$3),"&gt;=0",Data!$B:$B,AV133,IF($A$20,Data!$J:$J,Data!#REF!),IF($A$20,"&lt;&gt;5",1))</f>
        <v>#DIV/0!</v>
      </c>
      <c r="AX133" t="e">
        <f t="shared" ca="1" si="49"/>
        <v>#DIV/0!</v>
      </c>
      <c r="AY133" s="20" t="s">
        <v>124</v>
      </c>
      <c r="AZ133" t="e">
        <f ca="1">AVERAGEIFS(INDIRECT($C$3),INDIRECT($C$3),"&gt;=0",Data!$B:$B,AY133,IF($A$20,Data!$J:$J,Data!#REF!),IF($A$20,"&lt;&gt;5",1))</f>
        <v>#DIV/0!</v>
      </c>
      <c r="BA133" s="20" t="e">
        <f t="shared" ca="1" si="50"/>
        <v>#DIV/0!</v>
      </c>
      <c r="BB133" t="s">
        <v>186</v>
      </c>
      <c r="BC133" s="20" t="e">
        <f ca="1">AVERAGEIFS(INDIRECT($D$3),INDIRECT($D$3),"&gt;=0",Data!$B:$B,BB133,IF($A$20,Data!$J:$J,Data!#REF!),IF($A$20,"&lt;&gt;5",1))</f>
        <v>#DIV/0!</v>
      </c>
      <c r="BD133" t="e">
        <f t="shared" ca="1" si="51"/>
        <v>#DIV/0!</v>
      </c>
      <c r="BE133" s="20" t="s">
        <v>65</v>
      </c>
      <c r="BF133" t="e">
        <f ca="1">AVERAGEIFS(INDIRECT($E$3),INDIRECT($E$3),"&gt;=0",Data!$B:$B,BE133,IF($A$20,Data!$J:$J,Data!#REF!),IF($A$20,"&lt;&gt;5",1))</f>
        <v>#DIV/0!</v>
      </c>
      <c r="BG133" s="20" t="e">
        <f t="shared" ca="1" si="52"/>
        <v>#DIV/0!</v>
      </c>
      <c r="BH133" t="s">
        <v>190</v>
      </c>
      <c r="BI133" s="20" t="e">
        <f ca="1">AVERAGEIFS(INDIRECT($F$3),INDIRECT($F$3),"&gt;=0",Data!$B:$B,BH133,IF($A$20,Data!$J:$J,Data!#REF!),IF($A$20,"&lt;&gt;5",1))</f>
        <v>#DIV/0!</v>
      </c>
      <c r="BJ133" t="e">
        <f t="shared" ca="1" si="53"/>
        <v>#DIV/0!</v>
      </c>
      <c r="BK133" s="20" t="s">
        <v>126</v>
      </c>
      <c r="BL133" t="e">
        <f ca="1">AVERAGEIFS(INDIRECT($G$3),INDIRECT($G$3),"&gt;=0",Data!$B:$B,BK133,IF($A$20,Data!$J:$J,Data!#REF!),IF($A$20,"&lt;&gt;5",1))</f>
        <v>#DIV/0!</v>
      </c>
      <c r="BM133" s="20" t="e">
        <f t="shared" ca="1" si="54"/>
        <v>#DIV/0!</v>
      </c>
      <c r="BN133" t="s">
        <v>185</v>
      </c>
      <c r="BO133" t="e">
        <f ca="1">AVERAGEIFS(INDIRECT($H$3),INDIRECT($H$3),"&gt;=0",Data!$B:$B,BN133,IF($A$20,Data!$J:$J,Data!#REF!),IF($A$20,"&lt;&gt;5",1))</f>
        <v>#DIV/0!</v>
      </c>
      <c r="BP133" t="e">
        <f t="shared" ca="1" si="55"/>
        <v>#DIV/0!</v>
      </c>
      <c r="BQ133" t="s">
        <v>62</v>
      </c>
      <c r="BR133">
        <f ca="1">AVERAGEIFS(INDIRECT($I$3),INDIRECT($I$3),"&gt;=0",Data!$B:$B,BQ133,IF($A$20,Data!$J:$J,Data!#REF!),IF($A$20,"&lt;&gt;5",1))</f>
        <v>0.47368421052631576</v>
      </c>
      <c r="BS133">
        <f t="shared" ca="1" si="56"/>
        <v>125</v>
      </c>
      <c r="BT133" t="s">
        <v>69</v>
      </c>
      <c r="BU133" t="e">
        <f ca="1">AVERAGEIFS(INDIRECT($J$3),INDIRECT($J$3),"&gt;=0",Data!$B:$B,BT133,IF($A$20,Data!$J:$J,Data!#REF!),IF($A$20,"&lt;&gt;5",1))</f>
        <v>#DIV/0!</v>
      </c>
      <c r="BV133" t="e">
        <f t="shared" ca="1" si="57"/>
        <v>#DIV/0!</v>
      </c>
    </row>
    <row r="134" spans="10:74" x14ac:dyDescent="0.35">
      <c r="J134">
        <f t="shared" si="58"/>
        <v>126</v>
      </c>
      <c r="K134" t="s">
        <v>158</v>
      </c>
      <c r="L134" t="e">
        <f ca="1">AVERAGEIFS(INDIRECT($B$3),INDIRECT($B$3),"&gt;=0",Data!$B:$B,$K134)</f>
        <v>#DIV/0!</v>
      </c>
      <c r="M134" t="e">
        <f t="shared" ca="1" si="59"/>
        <v>#DIV/0!</v>
      </c>
      <c r="N134" t="s">
        <v>8</v>
      </c>
      <c r="O134" t="e">
        <f ca="1">AVERAGEIFS(INDIRECT($C$3),INDIRECT($C$3),"&gt;=0",Data!$B:$B,$N134)</f>
        <v>#DIV/0!</v>
      </c>
      <c r="P134" t="e">
        <f t="shared" ca="1" si="32"/>
        <v>#DIV/0!</v>
      </c>
      <c r="Q134" t="s">
        <v>126</v>
      </c>
      <c r="R134" t="e">
        <f ca="1">AVERAGEIFS(INDIRECT($D$3),INDIRECT($D$3),"&gt;=0",Data!$B:$B,$Q134)</f>
        <v>#DIV/0!</v>
      </c>
      <c r="S134" t="e">
        <f t="shared" ca="1" si="33"/>
        <v>#DIV/0!</v>
      </c>
      <c r="T134" t="s">
        <v>78</v>
      </c>
      <c r="U134" t="e">
        <f ca="1">AVERAGEIFS(INDIRECT($E$3),INDIRECT($E$3),"&gt;=0",Data!$B:$B,$T134)</f>
        <v>#DIV/0!</v>
      </c>
      <c r="V134" t="e">
        <f t="shared" ca="1" si="34"/>
        <v>#DIV/0!</v>
      </c>
      <c r="W134" t="s">
        <v>37</v>
      </c>
      <c r="X134" t="e">
        <f ca="1">AVERAGEIFS(INDIRECT($F$3),INDIRECT($F$3),"&gt;=0",Data!$B:$B,$W134)</f>
        <v>#DIV/0!</v>
      </c>
      <c r="Y134" t="e">
        <f t="shared" ca="1" si="35"/>
        <v>#DIV/0!</v>
      </c>
      <c r="Z134" t="s">
        <v>86</v>
      </c>
      <c r="AA134">
        <f ca="1">AVERAGEIFS(INDIRECT($G$3),INDIRECT($G$3),"&gt;=0",Data!$B:$B,$Z134)</f>
        <v>0.66666666666666663</v>
      </c>
      <c r="AB134">
        <f t="shared" ca="1" si="36"/>
        <v>126</v>
      </c>
      <c r="AC134" t="s">
        <v>131</v>
      </c>
      <c r="AD134" t="e">
        <f ca="1">AVERAGEIFS(INDIRECT($H$3),INDIRECT($H$3),"&gt;=0",Data!$B:$B,$AC134)</f>
        <v>#DIV/0!</v>
      </c>
      <c r="AE134" t="e">
        <f t="shared" ca="1" si="37"/>
        <v>#DIV/0!</v>
      </c>
      <c r="AF134" t="s">
        <v>139</v>
      </c>
      <c r="AG134" t="e">
        <f ca="1">AVERAGEIFS(INDIRECT($I$3),INDIRECT($I$3),"&gt;=0",Data!$B:$B,$AF134)</f>
        <v>#DIV/0!</v>
      </c>
      <c r="AH134" t="e">
        <f t="shared" ca="1" si="38"/>
        <v>#DIV/0!</v>
      </c>
      <c r="AI134" t="s">
        <v>59</v>
      </c>
      <c r="AJ134" t="e">
        <f ca="1">AVERAGEIFS(INDIRECT($J$3),INDIRECT($J$3),"&gt;=0",Data!$B:$B,$AI134)</f>
        <v>#DIV/0!</v>
      </c>
      <c r="AK134" t="e">
        <f t="shared" ca="1" si="39"/>
        <v>#DIV/0!</v>
      </c>
      <c r="AL134" t="str">
        <f t="shared" ca="1" si="40"/>
        <v>-</v>
      </c>
      <c r="AM134" t="str">
        <f t="shared" ca="1" si="41"/>
        <v>-</v>
      </c>
      <c r="AN134" t="str">
        <f t="shared" ca="1" si="42"/>
        <v>-</v>
      </c>
      <c r="AO134" t="str">
        <f t="shared" ca="1" si="43"/>
        <v>-</v>
      </c>
      <c r="AP134" t="str">
        <f t="shared" ca="1" si="44"/>
        <v>-</v>
      </c>
      <c r="AQ134" t="str">
        <f t="shared" ca="1" si="45"/>
        <v>-</v>
      </c>
      <c r="AR134" t="str">
        <f t="shared" ca="1" si="46"/>
        <v>-</v>
      </c>
      <c r="AS134" t="str">
        <f t="shared" ca="1" si="47"/>
        <v>-</v>
      </c>
      <c r="AT134" t="str">
        <f t="shared" ca="1" si="48"/>
        <v>-</v>
      </c>
      <c r="AU134">
        <f t="shared" si="60"/>
        <v>126</v>
      </c>
      <c r="AV134" t="s">
        <v>156</v>
      </c>
      <c r="AW134" s="20" t="e">
        <f ca="1">AVERAGEIFS(INDIRECT($B$3),INDIRECT($B$3),"&gt;=0",Data!$B:$B,AV134,IF($A$20,Data!$J:$J,Data!#REF!),IF($A$20,"&lt;&gt;5",1))</f>
        <v>#DIV/0!</v>
      </c>
      <c r="AX134" t="e">
        <f t="shared" ca="1" si="49"/>
        <v>#DIV/0!</v>
      </c>
      <c r="AY134" s="20" t="s">
        <v>139</v>
      </c>
      <c r="AZ134" t="e">
        <f ca="1">AVERAGEIFS(INDIRECT($C$3),INDIRECT($C$3),"&gt;=0",Data!$B:$B,AY134,IF($A$20,Data!$J:$J,Data!#REF!),IF($A$20,"&lt;&gt;5",1))</f>
        <v>#DIV/0!</v>
      </c>
      <c r="BA134" s="20" t="e">
        <f t="shared" ca="1" si="50"/>
        <v>#DIV/0!</v>
      </c>
      <c r="BB134" t="s">
        <v>26</v>
      </c>
      <c r="BC134" s="20" t="e">
        <f ca="1">AVERAGEIFS(INDIRECT($D$3),INDIRECT($D$3),"&gt;=0",Data!$B:$B,BB134,IF($A$20,Data!$J:$J,Data!#REF!),IF($A$20,"&lt;&gt;5",1))</f>
        <v>#DIV/0!</v>
      </c>
      <c r="BD134" t="e">
        <f t="shared" ca="1" si="51"/>
        <v>#DIV/0!</v>
      </c>
      <c r="BE134" s="20" t="s">
        <v>92</v>
      </c>
      <c r="BF134" t="e">
        <f ca="1">AVERAGEIFS(INDIRECT($E$3),INDIRECT($E$3),"&gt;=0",Data!$B:$B,BE134,IF($A$20,Data!$J:$J,Data!#REF!),IF($A$20,"&lt;&gt;5",1))</f>
        <v>#DIV/0!</v>
      </c>
      <c r="BG134" s="20" t="e">
        <f t="shared" ca="1" si="52"/>
        <v>#DIV/0!</v>
      </c>
      <c r="BH134" t="s">
        <v>114</v>
      </c>
      <c r="BI134" s="20" t="e">
        <f ca="1">AVERAGEIFS(INDIRECT($F$3),INDIRECT($F$3),"&gt;=0",Data!$B:$B,BH134,IF($A$20,Data!$J:$J,Data!#REF!),IF($A$20,"&lt;&gt;5",1))</f>
        <v>#DIV/0!</v>
      </c>
      <c r="BJ134" t="e">
        <f t="shared" ca="1" si="53"/>
        <v>#DIV/0!</v>
      </c>
      <c r="BK134" s="20" t="s">
        <v>52</v>
      </c>
      <c r="BL134" t="e">
        <f ca="1">AVERAGEIFS(INDIRECT($G$3),INDIRECT($G$3),"&gt;=0",Data!$B:$B,BK134,IF($A$20,Data!$J:$J,Data!#REF!),IF($A$20,"&lt;&gt;5",1))</f>
        <v>#DIV/0!</v>
      </c>
      <c r="BM134" s="20" t="e">
        <f t="shared" ca="1" si="54"/>
        <v>#DIV/0!</v>
      </c>
      <c r="BN134" t="s">
        <v>142</v>
      </c>
      <c r="BO134" t="e">
        <f ca="1">AVERAGEIFS(INDIRECT($H$3),INDIRECT($H$3),"&gt;=0",Data!$B:$B,BN134,IF($A$20,Data!$J:$J,Data!#REF!),IF($A$20,"&lt;&gt;5",1))</f>
        <v>#DIV/0!</v>
      </c>
      <c r="BP134" t="e">
        <f t="shared" ca="1" si="55"/>
        <v>#DIV/0!</v>
      </c>
      <c r="BQ134" t="s">
        <v>17</v>
      </c>
      <c r="BR134" t="e">
        <f ca="1">AVERAGEIFS(INDIRECT($I$3),INDIRECT($I$3),"&gt;=0",Data!$B:$B,BQ134,IF($A$20,Data!$J:$J,Data!#REF!),IF($A$20,"&lt;&gt;5",1))</f>
        <v>#DIV/0!</v>
      </c>
      <c r="BS134" t="e">
        <f t="shared" ca="1" si="56"/>
        <v>#DIV/0!</v>
      </c>
      <c r="BT134" t="s">
        <v>160</v>
      </c>
      <c r="BU134" t="e">
        <f ca="1">AVERAGEIFS(INDIRECT($J$3),INDIRECT($J$3),"&gt;=0",Data!$B:$B,BT134,IF($A$20,Data!$J:$J,Data!#REF!),IF($A$20,"&lt;&gt;5",1))</f>
        <v>#DIV/0!</v>
      </c>
      <c r="BV134" t="e">
        <f t="shared" ca="1" si="57"/>
        <v>#DIV/0!</v>
      </c>
    </row>
    <row r="135" spans="10:74" x14ac:dyDescent="0.35">
      <c r="J135">
        <f t="shared" si="58"/>
        <v>127</v>
      </c>
      <c r="K135" t="s">
        <v>169</v>
      </c>
      <c r="L135" t="e">
        <f ca="1">AVERAGEIFS(INDIRECT($B$3),INDIRECT($B$3),"&gt;=0",Data!$B:$B,$K135)</f>
        <v>#DIV/0!</v>
      </c>
      <c r="M135" t="e">
        <f t="shared" ca="1" si="59"/>
        <v>#DIV/0!</v>
      </c>
      <c r="N135" t="s">
        <v>83</v>
      </c>
      <c r="O135" t="e">
        <f ca="1">AVERAGEIFS(INDIRECT($C$3),INDIRECT($C$3),"&gt;=0",Data!$B:$B,$N135)</f>
        <v>#DIV/0!</v>
      </c>
      <c r="P135" t="e">
        <f t="shared" ca="1" si="32"/>
        <v>#DIV/0!</v>
      </c>
      <c r="Q135" t="s">
        <v>143</v>
      </c>
      <c r="R135" t="e">
        <f ca="1">AVERAGEIFS(INDIRECT($D$3),INDIRECT($D$3),"&gt;=0",Data!$B:$B,$Q135)</f>
        <v>#DIV/0!</v>
      </c>
      <c r="S135" t="e">
        <f t="shared" ca="1" si="33"/>
        <v>#DIV/0!</v>
      </c>
      <c r="T135" t="s">
        <v>36</v>
      </c>
      <c r="U135" t="e">
        <f ca="1">AVERAGEIFS(INDIRECT($E$3),INDIRECT($E$3),"&gt;=0",Data!$B:$B,$T135)</f>
        <v>#DIV/0!</v>
      </c>
      <c r="V135" t="e">
        <f t="shared" ca="1" si="34"/>
        <v>#DIV/0!</v>
      </c>
      <c r="W135" t="s">
        <v>42</v>
      </c>
      <c r="X135" t="e">
        <f ca="1">AVERAGEIFS(INDIRECT($F$3),INDIRECT($F$3),"&gt;=0",Data!$B:$B,$W135)</f>
        <v>#DIV/0!</v>
      </c>
      <c r="Y135" t="e">
        <f t="shared" ca="1" si="35"/>
        <v>#DIV/0!</v>
      </c>
      <c r="Z135" t="s">
        <v>95</v>
      </c>
      <c r="AA135" t="e">
        <f ca="1">AVERAGEIFS(INDIRECT($G$3),INDIRECT($G$3),"&gt;=0",Data!$B:$B,$Z135)</f>
        <v>#DIV/0!</v>
      </c>
      <c r="AB135" t="e">
        <f t="shared" ca="1" si="36"/>
        <v>#DIV/0!</v>
      </c>
      <c r="AC135" t="s">
        <v>156</v>
      </c>
      <c r="AD135" t="e">
        <f ca="1">AVERAGEIFS(INDIRECT($H$3),INDIRECT($H$3),"&gt;=0",Data!$B:$B,$AC135)</f>
        <v>#DIV/0!</v>
      </c>
      <c r="AE135" t="e">
        <f t="shared" ca="1" si="37"/>
        <v>#DIV/0!</v>
      </c>
      <c r="AF135" t="s">
        <v>185</v>
      </c>
      <c r="AG135" t="e">
        <f ca="1">AVERAGEIFS(INDIRECT($I$3),INDIRECT($I$3),"&gt;=0",Data!$B:$B,$AF135)</f>
        <v>#DIV/0!</v>
      </c>
      <c r="AH135" t="e">
        <f t="shared" ca="1" si="38"/>
        <v>#DIV/0!</v>
      </c>
      <c r="AI135" t="s">
        <v>56</v>
      </c>
      <c r="AJ135">
        <f ca="1">AVERAGEIFS(INDIRECT($J$3),INDIRECT($J$3),"&gt;=0",Data!$B:$B,$AI135)</f>
        <v>0.23529411764705882</v>
      </c>
      <c r="AK135" t="e">
        <f t="shared" ca="1" si="39"/>
        <v>#DIV/0!</v>
      </c>
      <c r="AL135" t="str">
        <f t="shared" ca="1" si="40"/>
        <v>-</v>
      </c>
      <c r="AM135" t="str">
        <f t="shared" ca="1" si="41"/>
        <v>-</v>
      </c>
      <c r="AN135" t="str">
        <f t="shared" ca="1" si="42"/>
        <v>-</v>
      </c>
      <c r="AO135" t="str">
        <f t="shared" ca="1" si="43"/>
        <v>-</v>
      </c>
      <c r="AP135" t="str">
        <f t="shared" ca="1" si="44"/>
        <v>-</v>
      </c>
      <c r="AQ135" t="str">
        <f t="shared" ca="1" si="45"/>
        <v>-</v>
      </c>
      <c r="AR135" t="str">
        <f t="shared" ca="1" si="46"/>
        <v>-</v>
      </c>
      <c r="AS135" t="str">
        <f t="shared" ca="1" si="47"/>
        <v>-</v>
      </c>
      <c r="AT135" t="str">
        <f t="shared" ca="1" si="48"/>
        <v>-</v>
      </c>
      <c r="AU135">
        <f t="shared" si="60"/>
        <v>127</v>
      </c>
      <c r="AV135" t="s">
        <v>86</v>
      </c>
      <c r="AW135" s="20" t="e">
        <f ca="1">AVERAGEIFS(INDIRECT($B$3),INDIRECT($B$3),"&gt;=0",Data!$B:$B,AV135,IF($A$20,Data!$J:$J,Data!#REF!),IF($A$20,"&lt;&gt;5",1))</f>
        <v>#DIV/0!</v>
      </c>
      <c r="AX135" t="e">
        <f t="shared" ca="1" si="49"/>
        <v>#DIV/0!</v>
      </c>
      <c r="AY135" s="20" t="s">
        <v>105</v>
      </c>
      <c r="AZ135" t="e">
        <f ca="1">AVERAGEIFS(INDIRECT($C$3),INDIRECT($C$3),"&gt;=0",Data!$B:$B,AY135,IF($A$20,Data!$J:$J,Data!#REF!),IF($A$20,"&lt;&gt;5",1))</f>
        <v>#DIV/0!</v>
      </c>
      <c r="BA135" s="20" t="e">
        <f t="shared" ca="1" si="50"/>
        <v>#DIV/0!</v>
      </c>
      <c r="BB135" t="s">
        <v>43</v>
      </c>
      <c r="BC135" s="20" t="e">
        <f ca="1">AVERAGEIFS(INDIRECT($D$3),INDIRECT($D$3),"&gt;=0",Data!$B:$B,BB135,IF($A$20,Data!$J:$J,Data!#REF!),IF($A$20,"&lt;&gt;5",1))</f>
        <v>#DIV/0!</v>
      </c>
      <c r="BD135" t="e">
        <f t="shared" ca="1" si="51"/>
        <v>#DIV/0!</v>
      </c>
      <c r="BE135" s="20" t="s">
        <v>146</v>
      </c>
      <c r="BF135" t="e">
        <f ca="1">AVERAGEIFS(INDIRECT($E$3),INDIRECT($E$3),"&gt;=0",Data!$B:$B,BE135,IF($A$20,Data!$J:$J,Data!#REF!),IF($A$20,"&lt;&gt;5",1))</f>
        <v>#DIV/0!</v>
      </c>
      <c r="BG135" s="20" t="e">
        <f t="shared" ca="1" si="52"/>
        <v>#DIV/0!</v>
      </c>
      <c r="BH135" t="s">
        <v>125</v>
      </c>
      <c r="BI135" s="20" t="e">
        <f ca="1">AVERAGEIFS(INDIRECT($F$3),INDIRECT($F$3),"&gt;=0",Data!$B:$B,BH135,IF($A$20,Data!$J:$J,Data!#REF!),IF($A$20,"&lt;&gt;5",1))</f>
        <v>#DIV/0!</v>
      </c>
      <c r="BJ135" t="e">
        <f t="shared" ca="1" si="53"/>
        <v>#DIV/0!</v>
      </c>
      <c r="BK135" s="20" t="s">
        <v>181</v>
      </c>
      <c r="BL135">
        <f ca="1">AVERAGEIFS(INDIRECT($G$3),INDIRECT($G$3),"&gt;=0",Data!$B:$B,BK135,IF($A$20,Data!$J:$J,Data!#REF!),IF($A$20,"&lt;&gt;5",1))</f>
        <v>0.76190476190476186</v>
      </c>
      <c r="BM135" s="20" t="e">
        <f t="shared" ca="1" si="54"/>
        <v>#DIV/0!</v>
      </c>
      <c r="BN135" t="s">
        <v>12</v>
      </c>
      <c r="BO135">
        <f ca="1">AVERAGEIFS(INDIRECT($H$3),INDIRECT($H$3),"&gt;=0",Data!$B:$B,BN135,IF($A$20,Data!$J:$J,Data!#REF!),IF($A$20,"&lt;&gt;5",1))</f>
        <v>1</v>
      </c>
      <c r="BP135" t="e">
        <f t="shared" ca="1" si="55"/>
        <v>#DIV/0!</v>
      </c>
      <c r="BQ135" t="s">
        <v>33</v>
      </c>
      <c r="BR135">
        <f ca="1">AVERAGEIFS(INDIRECT($I$3),INDIRECT($I$3),"&gt;=0",Data!$B:$B,BQ135,IF($A$20,Data!$J:$J,Data!#REF!),IF($A$20,"&lt;&gt;5",1))</f>
        <v>0.5714285714285714</v>
      </c>
      <c r="BS135" t="e">
        <f t="shared" ca="1" si="56"/>
        <v>#DIV/0!</v>
      </c>
      <c r="BT135" t="s">
        <v>54</v>
      </c>
      <c r="BU135" t="e">
        <f ca="1">AVERAGEIFS(INDIRECT($J$3),INDIRECT($J$3),"&gt;=0",Data!$B:$B,BT135,IF($A$20,Data!$J:$J,Data!#REF!),IF($A$20,"&lt;&gt;5",1))</f>
        <v>#DIV/0!</v>
      </c>
      <c r="BV135" t="e">
        <f t="shared" ca="1" si="57"/>
        <v>#DIV/0!</v>
      </c>
    </row>
    <row r="136" spans="10:74" x14ac:dyDescent="0.35">
      <c r="J136">
        <f t="shared" si="58"/>
        <v>128</v>
      </c>
      <c r="K136" t="s">
        <v>178</v>
      </c>
      <c r="L136" t="e">
        <f ca="1">AVERAGEIFS(INDIRECT($B$3),INDIRECT($B$3),"&gt;=0",Data!$B:$B,$K136)</f>
        <v>#DIV/0!</v>
      </c>
      <c r="M136" t="e">
        <f t="shared" ca="1" si="59"/>
        <v>#DIV/0!</v>
      </c>
      <c r="N136" t="s">
        <v>114</v>
      </c>
      <c r="O136" t="e">
        <f ca="1">AVERAGEIFS(INDIRECT($C$3),INDIRECT($C$3),"&gt;=0",Data!$B:$B,$N136)</f>
        <v>#DIV/0!</v>
      </c>
      <c r="P136" t="e">
        <f t="shared" ca="1" si="32"/>
        <v>#DIV/0!</v>
      </c>
      <c r="Q136" t="s">
        <v>158</v>
      </c>
      <c r="R136" t="e">
        <f ca="1">AVERAGEIFS(INDIRECT($D$3),INDIRECT($D$3),"&gt;=0",Data!$B:$B,$Q136)</f>
        <v>#DIV/0!</v>
      </c>
      <c r="S136" t="e">
        <f t="shared" ca="1" si="33"/>
        <v>#DIV/0!</v>
      </c>
      <c r="T136" t="s">
        <v>43</v>
      </c>
      <c r="U136" t="e">
        <f ca="1">AVERAGEIFS(INDIRECT($E$3),INDIRECT($E$3),"&gt;=0",Data!$B:$B,$T136)</f>
        <v>#DIV/0!</v>
      </c>
      <c r="V136" t="e">
        <f t="shared" ca="1" si="34"/>
        <v>#DIV/0!</v>
      </c>
      <c r="W136" t="s">
        <v>43</v>
      </c>
      <c r="X136" t="e">
        <f ca="1">AVERAGEIFS(INDIRECT($F$3),INDIRECT($F$3),"&gt;=0",Data!$B:$B,$W136)</f>
        <v>#DIV/0!</v>
      </c>
      <c r="Y136" t="e">
        <f t="shared" ca="1" si="35"/>
        <v>#DIV/0!</v>
      </c>
      <c r="Z136" t="s">
        <v>101</v>
      </c>
      <c r="AA136" t="e">
        <f ca="1">AVERAGEIFS(INDIRECT($G$3),INDIRECT($G$3),"&gt;=0",Data!$B:$B,$Z136)</f>
        <v>#DIV/0!</v>
      </c>
      <c r="AB136" t="e">
        <f t="shared" ca="1" si="36"/>
        <v>#DIV/0!</v>
      </c>
      <c r="AC136" t="s">
        <v>158</v>
      </c>
      <c r="AD136" t="e">
        <f ca="1">AVERAGEIFS(INDIRECT($H$3),INDIRECT($H$3),"&gt;=0",Data!$B:$B,$AC136)</f>
        <v>#DIV/0!</v>
      </c>
      <c r="AE136" t="e">
        <f t="shared" ca="1" si="37"/>
        <v>#DIV/0!</v>
      </c>
      <c r="AF136" t="s">
        <v>70</v>
      </c>
      <c r="AG136">
        <f ca="1">AVERAGEIFS(INDIRECT($I$3),INDIRECT($I$3),"&gt;=0",Data!$B:$B,$AF136)</f>
        <v>0.54545454545454541</v>
      </c>
      <c r="AH136" t="e">
        <f t="shared" ca="1" si="38"/>
        <v>#DIV/0!</v>
      </c>
      <c r="AI136" t="s">
        <v>69</v>
      </c>
      <c r="AJ136" t="e">
        <f ca="1">AVERAGEIFS(INDIRECT($J$3),INDIRECT($J$3),"&gt;=0",Data!$B:$B,$AI136)</f>
        <v>#DIV/0!</v>
      </c>
      <c r="AK136" t="e">
        <f t="shared" ca="1" si="39"/>
        <v>#DIV/0!</v>
      </c>
      <c r="AL136" t="str">
        <f t="shared" ca="1" si="40"/>
        <v>-</v>
      </c>
      <c r="AM136" t="str">
        <f t="shared" ca="1" si="41"/>
        <v>-</v>
      </c>
      <c r="AN136" t="str">
        <f t="shared" ca="1" si="42"/>
        <v>-</v>
      </c>
      <c r="AO136" t="str">
        <f t="shared" ca="1" si="43"/>
        <v>-</v>
      </c>
      <c r="AP136" t="str">
        <f t="shared" ca="1" si="44"/>
        <v>-</v>
      </c>
      <c r="AQ136" t="str">
        <f t="shared" ca="1" si="45"/>
        <v>-</v>
      </c>
      <c r="AR136" t="str">
        <f t="shared" ca="1" si="46"/>
        <v>-</v>
      </c>
      <c r="AS136" t="str">
        <f t="shared" ca="1" si="47"/>
        <v>-</v>
      </c>
      <c r="AT136" t="str">
        <f t="shared" ca="1" si="48"/>
        <v>-</v>
      </c>
      <c r="AU136">
        <f t="shared" si="60"/>
        <v>128</v>
      </c>
      <c r="AV136" t="s">
        <v>172</v>
      </c>
      <c r="AW136" s="20" t="e">
        <f ca="1">AVERAGEIFS(INDIRECT($B$3),INDIRECT($B$3),"&gt;=0",Data!$B:$B,AV136,IF($A$20,Data!$J:$J,Data!#REF!),IF($A$20,"&lt;&gt;5",1))</f>
        <v>#DIV/0!</v>
      </c>
      <c r="AX136" t="e">
        <f t="shared" ca="1" si="49"/>
        <v>#DIV/0!</v>
      </c>
      <c r="AY136" s="20" t="s">
        <v>30</v>
      </c>
      <c r="AZ136" t="e">
        <f ca="1">AVERAGEIFS(INDIRECT($C$3),INDIRECT($C$3),"&gt;=0",Data!$B:$B,AY136,IF($A$20,Data!$J:$J,Data!#REF!),IF($A$20,"&lt;&gt;5",1))</f>
        <v>#DIV/0!</v>
      </c>
      <c r="BA136" s="20" t="e">
        <f t="shared" ca="1" si="50"/>
        <v>#DIV/0!</v>
      </c>
      <c r="BB136" t="s">
        <v>55</v>
      </c>
      <c r="BC136" s="20" t="e">
        <f ca="1">AVERAGEIFS(INDIRECT($D$3),INDIRECT($D$3),"&gt;=0",Data!$B:$B,BB136,IF($A$20,Data!$J:$J,Data!#REF!),IF($A$20,"&lt;&gt;5",1))</f>
        <v>#DIV/0!</v>
      </c>
      <c r="BD136" t="e">
        <f t="shared" ca="1" si="51"/>
        <v>#DIV/0!</v>
      </c>
      <c r="BE136" s="20" t="s">
        <v>183</v>
      </c>
      <c r="BF136" t="e">
        <f ca="1">AVERAGEIFS(INDIRECT($E$3),INDIRECT($E$3),"&gt;=0",Data!$B:$B,BE136,IF($A$20,Data!$J:$J,Data!#REF!),IF($A$20,"&lt;&gt;5",1))</f>
        <v>#DIV/0!</v>
      </c>
      <c r="BG136" s="20" t="e">
        <f t="shared" ca="1" si="52"/>
        <v>#DIV/0!</v>
      </c>
      <c r="BH136" t="s">
        <v>174</v>
      </c>
      <c r="BI136" s="20" t="e">
        <f ca="1">AVERAGEIFS(INDIRECT($F$3),INDIRECT($F$3),"&gt;=0",Data!$B:$B,BH136,IF($A$20,Data!$J:$J,Data!#REF!),IF($A$20,"&lt;&gt;5",1))</f>
        <v>#DIV/0!</v>
      </c>
      <c r="BJ136" t="e">
        <f t="shared" ca="1" si="53"/>
        <v>#DIV/0!</v>
      </c>
      <c r="BK136" s="20" t="s">
        <v>25</v>
      </c>
      <c r="BL136" t="e">
        <f ca="1">AVERAGEIFS(INDIRECT($G$3),INDIRECT($G$3),"&gt;=0",Data!$B:$B,BK136,IF($A$20,Data!$J:$J,Data!#REF!),IF($A$20,"&lt;&gt;5",1))</f>
        <v>#DIV/0!</v>
      </c>
      <c r="BM136" s="20" t="e">
        <f t="shared" ca="1" si="54"/>
        <v>#DIV/0!</v>
      </c>
      <c r="BN136" t="s">
        <v>99</v>
      </c>
      <c r="BO136" t="e">
        <f ca="1">AVERAGEIFS(INDIRECT($H$3),INDIRECT($H$3),"&gt;=0",Data!$B:$B,BN136,IF($A$20,Data!$J:$J,Data!#REF!),IF($A$20,"&lt;&gt;5",1))</f>
        <v>#DIV/0!</v>
      </c>
      <c r="BP136" t="e">
        <f t="shared" ca="1" si="55"/>
        <v>#DIV/0!</v>
      </c>
      <c r="BQ136" t="s">
        <v>50</v>
      </c>
      <c r="BR136">
        <f ca="1">AVERAGEIFS(INDIRECT($I$3),INDIRECT($I$3),"&gt;=0",Data!$B:$B,BQ136,IF($A$20,Data!$J:$J,Data!#REF!),IF($A$20,"&lt;&gt;5",1))</f>
        <v>0.76923076923076927</v>
      </c>
      <c r="BS136">
        <f t="shared" ca="1" si="56"/>
        <v>128</v>
      </c>
      <c r="BT136" t="s">
        <v>51</v>
      </c>
      <c r="BU136" t="e">
        <f ca="1">AVERAGEIFS(INDIRECT($J$3),INDIRECT($J$3),"&gt;=0",Data!$B:$B,BT136,IF($A$20,Data!$J:$J,Data!#REF!),IF($A$20,"&lt;&gt;5",1))</f>
        <v>#DIV/0!</v>
      </c>
      <c r="BV136" t="e">
        <f t="shared" ca="1" si="57"/>
        <v>#DIV/0!</v>
      </c>
    </row>
    <row r="137" spans="10:74" x14ac:dyDescent="0.35">
      <c r="J137">
        <f t="shared" si="58"/>
        <v>129</v>
      </c>
      <c r="K137" t="s">
        <v>182</v>
      </c>
      <c r="L137" t="e">
        <f ca="1">AVERAGEIFS(INDIRECT($B$3),INDIRECT($B$3),"&gt;=0",Data!$B:$B,$K137)</f>
        <v>#DIV/0!</v>
      </c>
      <c r="M137" t="e">
        <f t="shared" ca="1" si="59"/>
        <v>#DIV/0!</v>
      </c>
      <c r="N137" t="s">
        <v>94</v>
      </c>
      <c r="O137" t="e">
        <f ca="1">AVERAGEIFS(INDIRECT($C$3),INDIRECT($C$3),"&gt;=0",Data!$B:$B,$N137)</f>
        <v>#DIV/0!</v>
      </c>
      <c r="P137" t="e">
        <f t="shared" ca="1" si="32"/>
        <v>#DIV/0!</v>
      </c>
      <c r="Q137" t="s">
        <v>160</v>
      </c>
      <c r="R137" t="e">
        <f ca="1">AVERAGEIFS(INDIRECT($D$3),INDIRECT($D$3),"&gt;=0",Data!$B:$B,$Q137)</f>
        <v>#DIV/0!</v>
      </c>
      <c r="S137" t="e">
        <f t="shared" ca="1" si="33"/>
        <v>#DIV/0!</v>
      </c>
      <c r="T137" t="s">
        <v>46</v>
      </c>
      <c r="U137" t="e">
        <f ca="1">AVERAGEIFS(INDIRECT($E$3),INDIRECT($E$3),"&gt;=0",Data!$B:$B,$T137)</f>
        <v>#DIV/0!</v>
      </c>
      <c r="V137" t="e">
        <f t="shared" ca="1" si="34"/>
        <v>#DIV/0!</v>
      </c>
      <c r="W137" t="s">
        <v>64</v>
      </c>
      <c r="X137" t="e">
        <f ca="1">AVERAGEIFS(INDIRECT($F$3),INDIRECT($F$3),"&gt;=0",Data!$B:$B,$W137)</f>
        <v>#DIV/0!</v>
      </c>
      <c r="Y137" t="e">
        <f t="shared" ca="1" si="35"/>
        <v>#DIV/0!</v>
      </c>
      <c r="Z137" t="s">
        <v>106</v>
      </c>
      <c r="AA137">
        <f ca="1">AVERAGEIFS(INDIRECT($G$3),INDIRECT($G$3),"&gt;=0",Data!$B:$B,$Z137)</f>
        <v>0.77777777777777779</v>
      </c>
      <c r="AB137" t="e">
        <f t="shared" ca="1" si="36"/>
        <v>#DIV/0!</v>
      </c>
      <c r="AC137" t="s">
        <v>161</v>
      </c>
      <c r="AD137" t="e">
        <f ca="1">AVERAGEIFS(INDIRECT($H$3),INDIRECT($H$3),"&gt;=0",Data!$B:$B,$AC137)</f>
        <v>#DIV/0!</v>
      </c>
      <c r="AE137" t="e">
        <f t="shared" ca="1" si="37"/>
        <v>#DIV/0!</v>
      </c>
      <c r="AF137" t="s">
        <v>152</v>
      </c>
      <c r="AG137" t="e">
        <f ca="1">AVERAGEIFS(INDIRECT($I$3),INDIRECT($I$3),"&gt;=0",Data!$B:$B,$AF137)</f>
        <v>#DIV/0!</v>
      </c>
      <c r="AH137" t="e">
        <f t="shared" ca="1" si="38"/>
        <v>#DIV/0!</v>
      </c>
      <c r="AI137" t="s">
        <v>160</v>
      </c>
      <c r="AJ137" t="e">
        <f ca="1">AVERAGEIFS(INDIRECT($J$3),INDIRECT($J$3),"&gt;=0",Data!$B:$B,$AI137)</f>
        <v>#DIV/0!</v>
      </c>
      <c r="AK137" t="e">
        <f t="shared" ca="1" si="39"/>
        <v>#DIV/0!</v>
      </c>
      <c r="AL137" t="str">
        <f t="shared" ca="1" si="40"/>
        <v>-</v>
      </c>
      <c r="AM137" t="str">
        <f t="shared" ca="1" si="41"/>
        <v>-</v>
      </c>
      <c r="AN137" t="str">
        <f t="shared" ca="1" si="42"/>
        <v>-</v>
      </c>
      <c r="AO137" t="str">
        <f t="shared" ca="1" si="43"/>
        <v>-</v>
      </c>
      <c r="AP137" t="str">
        <f t="shared" ca="1" si="44"/>
        <v>-</v>
      </c>
      <c r="AQ137" t="str">
        <f t="shared" ca="1" si="45"/>
        <v>-</v>
      </c>
      <c r="AR137" t="str">
        <f t="shared" ca="1" si="46"/>
        <v>-</v>
      </c>
      <c r="AS137" t="str">
        <f t="shared" ca="1" si="47"/>
        <v>-</v>
      </c>
      <c r="AT137" t="str">
        <f t="shared" ca="1" si="48"/>
        <v>-</v>
      </c>
      <c r="AU137">
        <f t="shared" si="60"/>
        <v>129</v>
      </c>
      <c r="AV137" t="s">
        <v>192</v>
      </c>
      <c r="AW137" s="20" t="e">
        <f ca="1">AVERAGEIFS(INDIRECT($B$3),INDIRECT($B$3),"&gt;=0",Data!$B:$B,AV137,IF($A$20,Data!$J:$J,Data!#REF!),IF($A$20,"&lt;&gt;5",1))</f>
        <v>#DIV/0!</v>
      </c>
      <c r="AX137" t="e">
        <f t="shared" ca="1" si="49"/>
        <v>#DIV/0!</v>
      </c>
      <c r="AY137" s="20" t="s">
        <v>19</v>
      </c>
      <c r="AZ137" t="e">
        <f ca="1">AVERAGEIFS(INDIRECT($C$3),INDIRECT($C$3),"&gt;=0",Data!$B:$B,AY137,IF($A$20,Data!$J:$J,Data!#REF!),IF($A$20,"&lt;&gt;5",1))</f>
        <v>#DIV/0!</v>
      </c>
      <c r="BA137" s="20" t="e">
        <f t="shared" ca="1" si="50"/>
        <v>#DIV/0!</v>
      </c>
      <c r="BB137" t="s">
        <v>24</v>
      </c>
      <c r="BC137" s="20" t="e">
        <f ca="1">AVERAGEIFS(INDIRECT($D$3),INDIRECT($D$3),"&gt;=0",Data!$B:$B,BB137,IF($A$20,Data!$J:$J,Data!#REF!),IF($A$20,"&lt;&gt;5",1))</f>
        <v>#DIV/0!</v>
      </c>
      <c r="BD137" t="e">
        <f t="shared" ca="1" si="51"/>
        <v>#DIV/0!</v>
      </c>
      <c r="BE137" s="20" t="s">
        <v>46</v>
      </c>
      <c r="BF137" t="e">
        <f ca="1">AVERAGEIFS(INDIRECT($E$3),INDIRECT($E$3),"&gt;=0",Data!$B:$B,BE137,IF($A$20,Data!$J:$J,Data!#REF!),IF($A$20,"&lt;&gt;5",1))</f>
        <v>#DIV/0!</v>
      </c>
      <c r="BG137" s="20" t="e">
        <f t="shared" ca="1" si="52"/>
        <v>#DIV/0!</v>
      </c>
      <c r="BH137" t="s">
        <v>112</v>
      </c>
      <c r="BI137" s="20" t="e">
        <f ca="1">AVERAGEIFS(INDIRECT($F$3),INDIRECT($F$3),"&gt;=0",Data!$B:$B,BH137,IF($A$20,Data!$J:$J,Data!#REF!),IF($A$20,"&lt;&gt;5",1))</f>
        <v>#DIV/0!</v>
      </c>
      <c r="BJ137" t="e">
        <f t="shared" ca="1" si="53"/>
        <v>#DIV/0!</v>
      </c>
      <c r="BK137" s="20" t="s">
        <v>187</v>
      </c>
      <c r="BL137">
        <f ca="1">AVERAGEIFS(INDIRECT($G$3),INDIRECT($G$3),"&gt;=0",Data!$B:$B,BK137,IF($A$20,Data!$J:$J,Data!#REF!),IF($A$20,"&lt;&gt;5",1))</f>
        <v>0.66666666666666663</v>
      </c>
      <c r="BM137" s="20" t="e">
        <f t="shared" ca="1" si="54"/>
        <v>#DIV/0!</v>
      </c>
      <c r="BN137" t="s">
        <v>104</v>
      </c>
      <c r="BO137" t="e">
        <f ca="1">AVERAGEIFS(INDIRECT($H$3),INDIRECT($H$3),"&gt;=0",Data!$B:$B,BN137,IF($A$20,Data!$J:$J,Data!#REF!),IF($A$20,"&lt;&gt;5",1))</f>
        <v>#DIV/0!</v>
      </c>
      <c r="BP137" t="e">
        <f t="shared" ca="1" si="55"/>
        <v>#DIV/0!</v>
      </c>
      <c r="BQ137" t="s">
        <v>53</v>
      </c>
      <c r="BR137" t="e">
        <f ca="1">AVERAGEIFS(INDIRECT($I$3),INDIRECT($I$3),"&gt;=0",Data!$B:$B,BQ137,IF($A$20,Data!$J:$J,Data!#REF!),IF($A$20,"&lt;&gt;5",1))</f>
        <v>#DIV/0!</v>
      </c>
      <c r="BS137" t="e">
        <f t="shared" ca="1" si="56"/>
        <v>#DIV/0!</v>
      </c>
      <c r="BT137" t="s">
        <v>49</v>
      </c>
      <c r="BU137" t="e">
        <f ca="1">AVERAGEIFS(INDIRECT($J$3),INDIRECT($J$3),"&gt;=0",Data!$B:$B,BT137,IF($A$20,Data!$J:$J,Data!#REF!),IF($A$20,"&lt;&gt;5",1))</f>
        <v>#DIV/0!</v>
      </c>
      <c r="BV137" t="e">
        <f t="shared" ca="1" si="57"/>
        <v>#DIV/0!</v>
      </c>
    </row>
    <row r="138" spans="10:74" x14ac:dyDescent="0.35">
      <c r="J138">
        <f t="shared" si="58"/>
        <v>130</v>
      </c>
      <c r="K138" t="s">
        <v>188</v>
      </c>
      <c r="L138" t="e">
        <f ca="1">AVERAGEIFS(INDIRECT($B$3),INDIRECT($B$3),"&gt;=0",Data!$B:$B,$K138)</f>
        <v>#DIV/0!</v>
      </c>
      <c r="M138" t="e">
        <f t="shared" ca="1" si="59"/>
        <v>#DIV/0!</v>
      </c>
      <c r="N138" t="s">
        <v>46</v>
      </c>
      <c r="O138" t="e">
        <f ca="1">AVERAGEIFS(INDIRECT($C$3),INDIRECT($C$3),"&gt;=0",Data!$B:$B,$N138)</f>
        <v>#DIV/0!</v>
      </c>
      <c r="P138" t="e">
        <f t="shared" ref="P138:P201" ca="1" si="61">IF(O138=O137,P137,$J138)</f>
        <v>#DIV/0!</v>
      </c>
      <c r="Q138" t="s">
        <v>172</v>
      </c>
      <c r="R138" t="e">
        <f ca="1">AVERAGEIFS(INDIRECT($D$3),INDIRECT($D$3),"&gt;=0",Data!$B:$B,$Q138)</f>
        <v>#DIV/0!</v>
      </c>
      <c r="S138" t="e">
        <f t="shared" ref="S138:S201" ca="1" si="62">IF(R138=R137,S137,$J138)</f>
        <v>#DIV/0!</v>
      </c>
      <c r="T138" t="s">
        <v>49</v>
      </c>
      <c r="U138" t="e">
        <f ca="1">AVERAGEIFS(INDIRECT($E$3),INDIRECT($E$3),"&gt;=0",Data!$B:$B,$T138)</f>
        <v>#DIV/0!</v>
      </c>
      <c r="V138" t="e">
        <f t="shared" ref="V138:V201" ca="1" si="63">IF(U138=U137,V137,$J138)</f>
        <v>#DIV/0!</v>
      </c>
      <c r="W138" t="s">
        <v>66</v>
      </c>
      <c r="X138" t="e">
        <f ca="1">AVERAGEIFS(INDIRECT($F$3),INDIRECT($F$3),"&gt;=0",Data!$B:$B,$W138)</f>
        <v>#DIV/0!</v>
      </c>
      <c r="Y138" t="e">
        <f t="shared" ref="Y138:Y201" ca="1" si="64">IF(X138=X137,Y137,$J138)</f>
        <v>#DIV/0!</v>
      </c>
      <c r="Z138" t="s">
        <v>109</v>
      </c>
      <c r="AA138" t="e">
        <f ca="1">AVERAGEIFS(INDIRECT($G$3),INDIRECT($G$3),"&gt;=0",Data!$B:$B,$Z138)</f>
        <v>#DIV/0!</v>
      </c>
      <c r="AB138" t="e">
        <f t="shared" ref="AB138:AB201" ca="1" si="65">IF(AA138=AA137,AB137,$J138)</f>
        <v>#DIV/0!</v>
      </c>
      <c r="AC138" t="s">
        <v>194</v>
      </c>
      <c r="AD138" t="e">
        <f ca="1">AVERAGEIFS(INDIRECT($H$3),INDIRECT($H$3),"&gt;=0",Data!$B:$B,$AC138)</f>
        <v>#DIV/0!</v>
      </c>
      <c r="AE138" t="e">
        <f t="shared" ref="AE138:AE201" ca="1" si="66">IF(AD138=AD137,AE137,$J138)</f>
        <v>#DIV/0!</v>
      </c>
      <c r="AF138" t="s">
        <v>157</v>
      </c>
      <c r="AG138" t="e">
        <f ca="1">AVERAGEIFS(INDIRECT($I$3),INDIRECT($I$3),"&gt;=0",Data!$B:$B,$AF138)</f>
        <v>#DIV/0!</v>
      </c>
      <c r="AH138" t="e">
        <f t="shared" ref="AH138:AH201" ca="1" si="67">IF(AG138=AG137,AH137,$J138)</f>
        <v>#DIV/0!</v>
      </c>
      <c r="AI138" t="s">
        <v>54</v>
      </c>
      <c r="AJ138" t="e">
        <f ca="1">AVERAGEIFS(INDIRECT($J$3),INDIRECT($J$3),"&gt;=0",Data!$B:$B,$AI138)</f>
        <v>#DIV/0!</v>
      </c>
      <c r="AK138" t="e">
        <f t="shared" ref="AK138:AK201" ca="1" si="68">IF(AJ138=AJ137,AK137,$J138)</f>
        <v>#DIV/0!</v>
      </c>
      <c r="AL138" t="str">
        <f t="shared" ref="AL138:AL201" ca="1" si="69">IFERROR(IF($A$20,IF(B$4=AW138,AX138,IF(AND(B$4&lt;AW138,B$4&gt;AW139),AX139,0)),IF(B$4=L138,M138,IF(AND(B$4&lt;L138,B$4&gt;L139),M139,0))),"-")</f>
        <v>-</v>
      </c>
      <c r="AM138" t="str">
        <f t="shared" ref="AM138:AM201" ca="1" si="70">IFERROR(IF($A$20,IF(C$4=AZ138,BA138,IF(AND(C$4&lt;AZ138,C$4&gt;AZ139),BA139,0)),IF(C$4=O138,P138,IF(AND(C$4&lt;O138,C$4&gt;O139),P139,0))),"-")</f>
        <v>-</v>
      </c>
      <c r="AN138" t="str">
        <f t="shared" ref="AN138:AN201" ca="1" si="71">IFERROR(IF($A$20,IF(D$4=BC138,BD138,IF(AND(D$4&lt;BC138,D$4&gt;BC139),BD139,0)),IF(D$4=R138,S138,IF(AND(D$4&lt;R138,D$4&gt;R139),S139,0))),"-")</f>
        <v>-</v>
      </c>
      <c r="AO138" t="str">
        <f t="shared" ref="AO138:AO201" ca="1" si="72">IFERROR(IF($A$20,IF(E$4=BF138,BG138,IF(AND(E$4&lt;BF138,E$4&gt;BF139),BG139,0)),IF(E$4=U138,V138,IF(AND(E$4&lt;U138,E$4&gt;U139),V139,0))),"-")</f>
        <v>-</v>
      </c>
      <c r="AP138" t="str">
        <f t="shared" ref="AP138:AP201" ca="1" si="73">IFERROR(IF($A$20,IF(F$4=BI138,BJ138,IF(AND(F$4&lt;BI138,F$4&gt;BI139),BJ139,0)),IF(F$4=X138,Y138,IF(AND(F$4&lt;X138,F$4&gt;X139),Y139,0))),"-")</f>
        <v>-</v>
      </c>
      <c r="AQ138" t="str">
        <f t="shared" ref="AQ138:AQ201" ca="1" si="74">IFERROR(IF($A$20,IF(G$4=BL138,BM138,IF(AND(G$4&lt;BL138,G$4&gt;BL139),BM139,0)),IF(G$4=AA138,AB138,IF(AND(G$4&lt;AA138,G$4&gt;AA139),AB139,0))),"-")</f>
        <v>-</v>
      </c>
      <c r="AR138" t="str">
        <f t="shared" ref="AR138:AR201" ca="1" si="75">IFERROR(IF($A$20,IF(H$4=BO138,BP138,IF(AND(H$4&lt;BO138,H$4&gt;BO139),BP139,0)),IF(H$4=AD138,AE138,IF(AND(H$4&lt;AD138,H$4&gt;AD139),AE139,0))),"-")</f>
        <v>-</v>
      </c>
      <c r="AS138" t="str">
        <f t="shared" ref="AS138:AS201" ca="1" si="76">IFERROR(IF($A$20,IF(I$4=BR138,BS138,IF(AND(I$4&lt;BR138,I$4&gt;BR139),BS139,0)),IF(I$4=AG138,AH138,IF(AND(I$4&lt;AG138,I$4&gt;AG139),AH139,0))),"-")</f>
        <v>-</v>
      </c>
      <c r="AT138" t="str">
        <f t="shared" ref="AT138:AT201" ca="1" si="77">IFERROR(IF($A$20,IF(J$4=BU138,BV138,IF(AND(J$4&lt;BU138,J$4&gt;BU139),BV139,0)),IF(J$4=AJ138,AK138,IF(AND(J$4&lt;AJ138,J$4&gt;AJ139),AK139,0))),"-")</f>
        <v>-</v>
      </c>
      <c r="AU138">
        <f t="shared" si="60"/>
        <v>130</v>
      </c>
      <c r="AV138" t="s">
        <v>148</v>
      </c>
      <c r="AW138" s="20" t="e">
        <f ca="1">AVERAGEIFS(INDIRECT($B$3),INDIRECT($B$3),"&gt;=0",Data!$B:$B,AV138,IF($A$20,Data!$J:$J,Data!#REF!),IF($A$20,"&lt;&gt;5",1))</f>
        <v>#DIV/0!</v>
      </c>
      <c r="AX138" t="e">
        <f t="shared" ref="AX138:AX201" ca="1" si="78">IF(AW138=AW137,AX137,$J138)</f>
        <v>#DIV/0!</v>
      </c>
      <c r="AY138" s="20" t="s">
        <v>104</v>
      </c>
      <c r="AZ138" t="e">
        <f ca="1">AVERAGEIFS(INDIRECT($C$3),INDIRECT($C$3),"&gt;=0",Data!$B:$B,AY138,IF($A$20,Data!$J:$J,Data!#REF!),IF($A$20,"&lt;&gt;5",1))</f>
        <v>#DIV/0!</v>
      </c>
      <c r="BA138" s="20" t="e">
        <f t="shared" ref="BA138:BA201" ca="1" si="79">IF(AZ138=AZ137,BA137,$J138)</f>
        <v>#DIV/0!</v>
      </c>
      <c r="BB138" t="s">
        <v>64</v>
      </c>
      <c r="BC138" s="20" t="e">
        <f ca="1">AVERAGEIFS(INDIRECT($D$3),INDIRECT($D$3),"&gt;=0",Data!$B:$B,BB138,IF($A$20,Data!$J:$J,Data!#REF!),IF($A$20,"&lt;&gt;5",1))</f>
        <v>#DIV/0!</v>
      </c>
      <c r="BD138" t="e">
        <f t="shared" ref="BD138:BD200" ca="1" si="80">IF(BC138=BC137,BD137,$J138)</f>
        <v>#DIV/0!</v>
      </c>
      <c r="BE138" s="20" t="s">
        <v>49</v>
      </c>
      <c r="BF138" t="e">
        <f ca="1">AVERAGEIFS(INDIRECT($E$3),INDIRECT($E$3),"&gt;=0",Data!$B:$B,BE138,IF($A$20,Data!$J:$J,Data!#REF!),IF($A$20,"&lt;&gt;5",1))</f>
        <v>#DIV/0!</v>
      </c>
      <c r="BG138" s="20" t="e">
        <f t="shared" ref="BG138:BG200" ca="1" si="81">IF(BF138=BF137,BG137,$J138)</f>
        <v>#DIV/0!</v>
      </c>
      <c r="BH138" t="s">
        <v>180</v>
      </c>
      <c r="BI138" s="20" t="e">
        <f ca="1">AVERAGEIFS(INDIRECT($F$3),INDIRECT($F$3),"&gt;=0",Data!$B:$B,BH138,IF($A$20,Data!$J:$J,Data!#REF!),IF($A$20,"&lt;&gt;5",1))</f>
        <v>#DIV/0!</v>
      </c>
      <c r="BJ138" t="e">
        <f t="shared" ref="BJ138:BJ200" ca="1" si="82">IF(BI138=BI137,BJ137,$J138)</f>
        <v>#DIV/0!</v>
      </c>
      <c r="BK138" s="20" t="s">
        <v>48</v>
      </c>
      <c r="BL138">
        <f ca="1">AVERAGEIFS(INDIRECT($G$3),INDIRECT($G$3),"&gt;=0",Data!$B:$B,BK138,IF($A$20,Data!$J:$J,Data!#REF!),IF($A$20,"&lt;&gt;5",1))</f>
        <v>0.73684210526315785</v>
      </c>
      <c r="BM138" s="20">
        <f t="shared" ref="BM138:BM200" ca="1" si="83">IF(BL138=BL137,BM137,$J138)</f>
        <v>130</v>
      </c>
      <c r="BN138" t="s">
        <v>131</v>
      </c>
      <c r="BO138" t="e">
        <f ca="1">AVERAGEIFS(INDIRECT($H$3),INDIRECT($H$3),"&gt;=0",Data!$B:$B,BN138,IF($A$20,Data!$J:$J,Data!#REF!),IF($A$20,"&lt;&gt;5",1))</f>
        <v>#DIV/0!</v>
      </c>
      <c r="BP138" t="e">
        <f t="shared" ref="BP138:BP201" ca="1" si="84">IF(BO138=BO137,BP137,$J138)</f>
        <v>#DIV/0!</v>
      </c>
      <c r="BQ138" t="s">
        <v>103</v>
      </c>
      <c r="BR138" t="e">
        <f ca="1">AVERAGEIFS(INDIRECT($I$3),INDIRECT($I$3),"&gt;=0",Data!$B:$B,BQ138,IF($A$20,Data!$J:$J,Data!#REF!),IF($A$20,"&lt;&gt;5",1))</f>
        <v>#DIV/0!</v>
      </c>
      <c r="BS138" t="e">
        <f t="shared" ref="BS138:BS200" ca="1" si="85">IF(BR138=BR137,BS137,$J138)</f>
        <v>#DIV/0!</v>
      </c>
      <c r="BT138" t="s">
        <v>50</v>
      </c>
      <c r="BU138">
        <f ca="1">AVERAGEIFS(INDIRECT($J$3),INDIRECT($J$3),"&gt;=0",Data!$B:$B,BT138,IF($A$20,Data!$J:$J,Data!#REF!),IF($A$20,"&lt;&gt;5",1))</f>
        <v>0.61538461538461542</v>
      </c>
      <c r="BV138" t="e">
        <f t="shared" ref="BV138:BV201" ca="1" si="86">IF(BU138=BU137,BV137,$J138)</f>
        <v>#DIV/0!</v>
      </c>
    </row>
    <row r="139" spans="10:74" x14ac:dyDescent="0.35">
      <c r="J139">
        <f t="shared" ref="J139:J202" si="87">J138+1</f>
        <v>131</v>
      </c>
      <c r="K139" t="s">
        <v>195</v>
      </c>
      <c r="L139" t="e">
        <f ca="1">AVERAGEIFS(INDIRECT($B$3),INDIRECT($B$3),"&gt;=0",Data!$B:$B,$K139)</f>
        <v>#DIV/0!</v>
      </c>
      <c r="M139" t="e">
        <f t="shared" ref="M139:M202" ca="1" si="88">IF(L139=L138,M138,$J139)</f>
        <v>#DIV/0!</v>
      </c>
      <c r="N139" t="s">
        <v>188</v>
      </c>
      <c r="O139" t="e">
        <f ca="1">AVERAGEIFS(INDIRECT($C$3),INDIRECT($C$3),"&gt;=0",Data!$B:$B,$N139)</f>
        <v>#DIV/0!</v>
      </c>
      <c r="P139" t="e">
        <f t="shared" ca="1" si="61"/>
        <v>#DIV/0!</v>
      </c>
      <c r="Q139" t="s">
        <v>177</v>
      </c>
      <c r="R139" t="e">
        <f ca="1">AVERAGEIFS(INDIRECT($D$3),INDIRECT($D$3),"&gt;=0",Data!$B:$B,$Q139)</f>
        <v>#DIV/0!</v>
      </c>
      <c r="S139" t="e">
        <f t="shared" ca="1" si="62"/>
        <v>#DIV/0!</v>
      </c>
      <c r="T139" t="s">
        <v>84</v>
      </c>
      <c r="U139" t="e">
        <f ca="1">AVERAGEIFS(INDIRECT($E$3),INDIRECT($E$3),"&gt;=0",Data!$B:$B,$T139)</f>
        <v>#DIV/0!</v>
      </c>
      <c r="V139" t="e">
        <f t="shared" ca="1" si="63"/>
        <v>#DIV/0!</v>
      </c>
      <c r="W139" t="s">
        <v>68</v>
      </c>
      <c r="X139" t="e">
        <f ca="1">AVERAGEIFS(INDIRECT($F$3),INDIRECT($F$3),"&gt;=0",Data!$B:$B,$W139)</f>
        <v>#DIV/0!</v>
      </c>
      <c r="Y139" t="e">
        <f t="shared" ca="1" si="64"/>
        <v>#DIV/0!</v>
      </c>
      <c r="Z139" t="s">
        <v>126</v>
      </c>
      <c r="AA139" t="e">
        <f ca="1">AVERAGEIFS(INDIRECT($G$3),INDIRECT($G$3),"&gt;=0",Data!$B:$B,$Z139)</f>
        <v>#DIV/0!</v>
      </c>
      <c r="AB139" t="e">
        <f t="shared" ca="1" si="65"/>
        <v>#DIV/0!</v>
      </c>
      <c r="AC139" t="s">
        <v>187</v>
      </c>
      <c r="AD139">
        <f ca="1">AVERAGEIFS(INDIRECT($H$3),INDIRECT($H$3),"&gt;=0",Data!$B:$B,$AC139)</f>
        <v>0.88888888888888884</v>
      </c>
      <c r="AE139" t="e">
        <f t="shared" ca="1" si="66"/>
        <v>#DIV/0!</v>
      </c>
      <c r="AF139" t="s">
        <v>62</v>
      </c>
      <c r="AG139">
        <f ca="1">AVERAGEIFS(INDIRECT($I$3),INDIRECT($I$3),"&gt;=0",Data!$B:$B,$AF139)</f>
        <v>0.45</v>
      </c>
      <c r="AH139" t="e">
        <f t="shared" ca="1" si="67"/>
        <v>#DIV/0!</v>
      </c>
      <c r="AI139" t="s">
        <v>51</v>
      </c>
      <c r="AJ139" t="e">
        <f ca="1">AVERAGEIFS(INDIRECT($J$3),INDIRECT($J$3),"&gt;=0",Data!$B:$B,$AI139)</f>
        <v>#DIV/0!</v>
      </c>
      <c r="AK139" t="e">
        <f t="shared" ca="1" si="68"/>
        <v>#DIV/0!</v>
      </c>
      <c r="AL139" t="str">
        <f t="shared" ca="1" si="69"/>
        <v>-</v>
      </c>
      <c r="AM139" t="str">
        <f t="shared" ca="1" si="70"/>
        <v>-</v>
      </c>
      <c r="AN139" t="str">
        <f t="shared" ca="1" si="71"/>
        <v>-</v>
      </c>
      <c r="AO139" t="str">
        <f t="shared" ca="1" si="72"/>
        <v>-</v>
      </c>
      <c r="AP139" t="str">
        <f t="shared" ca="1" si="73"/>
        <v>-</v>
      </c>
      <c r="AQ139" t="str">
        <f t="shared" ca="1" si="74"/>
        <v>-</v>
      </c>
      <c r="AR139" t="str">
        <f t="shared" ca="1" si="75"/>
        <v>-</v>
      </c>
      <c r="AS139" t="str">
        <f t="shared" ca="1" si="76"/>
        <v>-</v>
      </c>
      <c r="AT139" t="str">
        <f t="shared" ca="1" si="77"/>
        <v>-</v>
      </c>
      <c r="AU139">
        <f t="shared" ref="AU139:AU202" si="89">AU138+1</f>
        <v>131</v>
      </c>
      <c r="AV139" t="s">
        <v>44</v>
      </c>
      <c r="AW139" s="20" t="e">
        <f ca="1">AVERAGEIFS(INDIRECT($B$3),INDIRECT($B$3),"&gt;=0",Data!$B:$B,AV139,IF($A$20,Data!$J:$J,Data!#REF!),IF($A$20,"&lt;&gt;5",1))</f>
        <v>#DIV/0!</v>
      </c>
      <c r="AX139" t="e">
        <f t="shared" ca="1" si="78"/>
        <v>#DIV/0!</v>
      </c>
      <c r="AY139" s="20" t="s">
        <v>71</v>
      </c>
      <c r="AZ139" t="e">
        <f ca="1">AVERAGEIFS(INDIRECT($C$3),INDIRECT($C$3),"&gt;=0",Data!$B:$B,AY139,IF($A$20,Data!$J:$J,Data!#REF!),IF($A$20,"&lt;&gt;5",1))</f>
        <v>#DIV/0!</v>
      </c>
      <c r="BA139" s="20" t="e">
        <f t="shared" ca="1" si="79"/>
        <v>#DIV/0!</v>
      </c>
      <c r="BB139" t="s">
        <v>80</v>
      </c>
      <c r="BC139" s="20" t="e">
        <f ca="1">AVERAGEIFS(INDIRECT($D$3),INDIRECT($D$3),"&gt;=0",Data!$B:$B,BB139,IF($A$20,Data!$J:$J,Data!#REF!),IF($A$20,"&lt;&gt;5",1))</f>
        <v>#DIV/0!</v>
      </c>
      <c r="BD139" t="e">
        <f t="shared" ca="1" si="80"/>
        <v>#DIV/0!</v>
      </c>
      <c r="BE139" s="20" t="s">
        <v>169</v>
      </c>
      <c r="BF139" t="e">
        <f ca="1">AVERAGEIFS(INDIRECT($E$3),INDIRECT($E$3),"&gt;=0",Data!$B:$B,BE139,IF($A$20,Data!$J:$J,Data!#REF!),IF($A$20,"&lt;&gt;5",1))</f>
        <v>#DIV/0!</v>
      </c>
      <c r="BG139" s="20" t="e">
        <f t="shared" ca="1" si="81"/>
        <v>#DIV/0!</v>
      </c>
      <c r="BH139" t="s">
        <v>186</v>
      </c>
      <c r="BI139" s="20" t="e">
        <f ca="1">AVERAGEIFS(INDIRECT($F$3),INDIRECT($F$3),"&gt;=0",Data!$B:$B,BH139,IF($A$20,Data!$J:$J,Data!#REF!),IF($A$20,"&lt;&gt;5",1))</f>
        <v>#DIV/0!</v>
      </c>
      <c r="BJ139" t="e">
        <f t="shared" ca="1" si="82"/>
        <v>#DIV/0!</v>
      </c>
      <c r="BK139" s="20" t="s">
        <v>33</v>
      </c>
      <c r="BL139">
        <f ca="1">AVERAGEIFS(INDIRECT($G$3),INDIRECT($G$3),"&gt;=0",Data!$B:$B,BK139,IF($A$20,Data!$J:$J,Data!#REF!),IF($A$20,"&lt;&gt;5",1))</f>
        <v>0.8</v>
      </c>
      <c r="BM139" s="20">
        <f t="shared" ca="1" si="83"/>
        <v>131</v>
      </c>
      <c r="BN139" t="s">
        <v>129</v>
      </c>
      <c r="BO139" t="e">
        <f ca="1">AVERAGEIFS(INDIRECT($H$3),INDIRECT($H$3),"&gt;=0",Data!$B:$B,BN139,IF($A$20,Data!$J:$J,Data!#REF!),IF($A$20,"&lt;&gt;5",1))</f>
        <v>#DIV/0!</v>
      </c>
      <c r="BP139" t="e">
        <f t="shared" ca="1" si="84"/>
        <v>#DIV/0!</v>
      </c>
      <c r="BQ139" t="s">
        <v>190</v>
      </c>
      <c r="BR139" t="e">
        <f ca="1">AVERAGEIFS(INDIRECT($I$3),INDIRECT($I$3),"&gt;=0",Data!$B:$B,BQ139,IF($A$20,Data!$J:$J,Data!#REF!),IF($A$20,"&lt;&gt;5",1))</f>
        <v>#DIV/0!</v>
      </c>
      <c r="BS139" t="e">
        <f t="shared" ca="1" si="85"/>
        <v>#DIV/0!</v>
      </c>
      <c r="BT139" t="s">
        <v>47</v>
      </c>
      <c r="BU139">
        <f ca="1">AVERAGEIFS(INDIRECT($J$3),INDIRECT($J$3),"&gt;=0",Data!$B:$B,BT139,IF($A$20,Data!$J:$J,Data!#REF!),IF($A$20,"&lt;&gt;5",1))</f>
        <v>0.38461538461538464</v>
      </c>
      <c r="BV139">
        <f t="shared" ca="1" si="86"/>
        <v>131</v>
      </c>
    </row>
    <row r="140" spans="10:74" x14ac:dyDescent="0.35">
      <c r="J140">
        <f t="shared" si="87"/>
        <v>132</v>
      </c>
      <c r="K140" t="s">
        <v>147</v>
      </c>
      <c r="L140" t="e">
        <f ca="1">AVERAGEIFS(INDIRECT($B$3),INDIRECT($B$3),"&gt;=0",Data!$B:$B,$K140)</f>
        <v>#DIV/0!</v>
      </c>
      <c r="M140" t="e">
        <f t="shared" ca="1" si="88"/>
        <v>#DIV/0!</v>
      </c>
      <c r="N140" t="s">
        <v>22</v>
      </c>
      <c r="O140" t="e">
        <f ca="1">AVERAGEIFS(INDIRECT($C$3),INDIRECT($C$3),"&gt;=0",Data!$B:$B,$N140)</f>
        <v>#DIV/0!</v>
      </c>
      <c r="P140" t="e">
        <f t="shared" ca="1" si="61"/>
        <v>#DIV/0!</v>
      </c>
      <c r="Q140" t="s">
        <v>179</v>
      </c>
      <c r="R140" t="e">
        <f ca="1">AVERAGEIFS(INDIRECT($D$3),INDIRECT($D$3),"&gt;=0",Data!$B:$B,$Q140)</f>
        <v>#DIV/0!</v>
      </c>
      <c r="S140" t="e">
        <f t="shared" ca="1" si="62"/>
        <v>#DIV/0!</v>
      </c>
      <c r="T140" t="s">
        <v>118</v>
      </c>
      <c r="U140" t="e">
        <f ca="1">AVERAGEIFS(INDIRECT($E$3),INDIRECT($E$3),"&gt;=0",Data!$B:$B,$T140)</f>
        <v>#DIV/0!</v>
      </c>
      <c r="V140" t="e">
        <f t="shared" ca="1" si="63"/>
        <v>#DIV/0!</v>
      </c>
      <c r="W140" t="s">
        <v>80</v>
      </c>
      <c r="X140" t="e">
        <f ca="1">AVERAGEIFS(INDIRECT($F$3),INDIRECT($F$3),"&gt;=0",Data!$B:$B,$W140)</f>
        <v>#DIV/0!</v>
      </c>
      <c r="Y140" t="e">
        <f t="shared" ca="1" si="64"/>
        <v>#DIV/0!</v>
      </c>
      <c r="Z140" t="s">
        <v>168</v>
      </c>
      <c r="AA140">
        <f ca="1">AVERAGEIFS(INDIRECT($G$3),INDIRECT($G$3),"&gt;=0",Data!$B:$B,$Z140)</f>
        <v>0.8125</v>
      </c>
      <c r="AB140" t="e">
        <f t="shared" ca="1" si="65"/>
        <v>#DIV/0!</v>
      </c>
      <c r="AC140" t="s">
        <v>129</v>
      </c>
      <c r="AD140" t="e">
        <f ca="1">AVERAGEIFS(INDIRECT($H$3),INDIRECT($H$3),"&gt;=0",Data!$B:$B,$AC140)</f>
        <v>#DIV/0!</v>
      </c>
      <c r="AE140" t="e">
        <f t="shared" ca="1" si="66"/>
        <v>#DIV/0!</v>
      </c>
      <c r="AF140" t="s">
        <v>97</v>
      </c>
      <c r="AG140">
        <f ca="1">AVERAGEIFS(INDIRECT($I$3),INDIRECT($I$3),"&gt;=0",Data!$B:$B,$AF140)</f>
        <v>0.45454545454545453</v>
      </c>
      <c r="AH140">
        <f t="shared" ca="1" si="67"/>
        <v>132</v>
      </c>
      <c r="AI140" t="s">
        <v>49</v>
      </c>
      <c r="AJ140" t="e">
        <f ca="1">AVERAGEIFS(INDIRECT($J$3),INDIRECT($J$3),"&gt;=0",Data!$B:$B,$AI140)</f>
        <v>#DIV/0!</v>
      </c>
      <c r="AK140" t="e">
        <f t="shared" ca="1" si="68"/>
        <v>#DIV/0!</v>
      </c>
      <c r="AL140" t="str">
        <f t="shared" ca="1" si="69"/>
        <v>-</v>
      </c>
      <c r="AM140" t="str">
        <f t="shared" ca="1" si="70"/>
        <v>-</v>
      </c>
      <c r="AN140" t="str">
        <f t="shared" ca="1" si="71"/>
        <v>-</v>
      </c>
      <c r="AO140" t="str">
        <f t="shared" ca="1" si="72"/>
        <v>-</v>
      </c>
      <c r="AP140" t="str">
        <f t="shared" ca="1" si="73"/>
        <v>-</v>
      </c>
      <c r="AQ140" t="str">
        <f t="shared" ca="1" si="74"/>
        <v>-</v>
      </c>
      <c r="AR140" t="str">
        <f t="shared" ca="1" si="75"/>
        <v>-</v>
      </c>
      <c r="AS140" t="str">
        <f t="shared" ca="1" si="76"/>
        <v>-</v>
      </c>
      <c r="AT140" t="str">
        <f t="shared" ca="1" si="77"/>
        <v>-</v>
      </c>
      <c r="AU140">
        <f t="shared" si="89"/>
        <v>132</v>
      </c>
      <c r="AV140" t="s">
        <v>139</v>
      </c>
      <c r="AW140" s="20" t="e">
        <f ca="1">AVERAGEIFS(INDIRECT($B$3),INDIRECT($B$3),"&gt;=0",Data!$B:$B,AV140,IF($A$20,Data!$J:$J,Data!#REF!),IF($A$20,"&lt;&gt;5",1))</f>
        <v>#DIV/0!</v>
      </c>
      <c r="AX140" t="e">
        <f t="shared" ca="1" si="78"/>
        <v>#DIV/0!</v>
      </c>
      <c r="AY140" s="20" t="s">
        <v>98</v>
      </c>
      <c r="AZ140" t="e">
        <f ca="1">AVERAGEIFS(INDIRECT($C$3),INDIRECT($C$3),"&gt;=0",Data!$B:$B,AY140,IF($A$20,Data!$J:$J,Data!#REF!),IF($A$20,"&lt;&gt;5",1))</f>
        <v>#DIV/0!</v>
      </c>
      <c r="BA140" s="20" t="e">
        <f t="shared" ca="1" si="79"/>
        <v>#DIV/0!</v>
      </c>
      <c r="BB140" t="s">
        <v>89</v>
      </c>
      <c r="BC140" s="20" t="e">
        <f ca="1">AVERAGEIFS(INDIRECT($D$3),INDIRECT($D$3),"&gt;=0",Data!$B:$B,BB140,IF($A$20,Data!$J:$J,Data!#REF!),IF($A$20,"&lt;&gt;5",1))</f>
        <v>#DIV/0!</v>
      </c>
      <c r="BD140" t="e">
        <f t="shared" ca="1" si="80"/>
        <v>#DIV/0!</v>
      </c>
      <c r="BE140" s="20" t="s">
        <v>78</v>
      </c>
      <c r="BF140" t="e">
        <f ca="1">AVERAGEIFS(INDIRECT($E$3),INDIRECT($E$3),"&gt;=0",Data!$B:$B,BE140,IF($A$20,Data!$J:$J,Data!#REF!),IF($A$20,"&lt;&gt;5",1))</f>
        <v>#DIV/0!</v>
      </c>
      <c r="BG140" s="20" t="e">
        <f t="shared" ca="1" si="81"/>
        <v>#DIV/0!</v>
      </c>
      <c r="BH140" t="s">
        <v>43</v>
      </c>
      <c r="BI140" s="20" t="e">
        <f ca="1">AVERAGEIFS(INDIRECT($F$3),INDIRECT($F$3),"&gt;=0",Data!$B:$B,BH140,IF($A$20,Data!$J:$J,Data!#REF!),IF($A$20,"&lt;&gt;5",1))</f>
        <v>#DIV/0!</v>
      </c>
      <c r="BJ140" t="e">
        <f t="shared" ca="1" si="82"/>
        <v>#DIV/0!</v>
      </c>
      <c r="BK140" s="20" t="s">
        <v>10</v>
      </c>
      <c r="BL140" t="e">
        <f ca="1">AVERAGEIFS(INDIRECT($G$3),INDIRECT($G$3),"&gt;=0",Data!$B:$B,BK140,IF($A$20,Data!$J:$J,Data!#REF!),IF($A$20,"&lt;&gt;5",1))</f>
        <v>#DIV/0!</v>
      </c>
      <c r="BM140" s="20" t="e">
        <f t="shared" ca="1" si="83"/>
        <v>#DIV/0!</v>
      </c>
      <c r="BN140" t="s">
        <v>51</v>
      </c>
      <c r="BO140" t="e">
        <f ca="1">AVERAGEIFS(INDIRECT($H$3),INDIRECT($H$3),"&gt;=0",Data!$B:$B,BN140,IF($A$20,Data!$J:$J,Data!#REF!),IF($A$20,"&lt;&gt;5",1))</f>
        <v>#DIV/0!</v>
      </c>
      <c r="BP140" t="e">
        <f t="shared" ca="1" si="84"/>
        <v>#DIV/0!</v>
      </c>
      <c r="BQ140" t="s">
        <v>104</v>
      </c>
      <c r="BR140" t="e">
        <f ca="1">AVERAGEIFS(INDIRECT($I$3),INDIRECT($I$3),"&gt;=0",Data!$B:$B,BQ140,IF($A$20,Data!$J:$J,Data!#REF!),IF($A$20,"&lt;&gt;5",1))</f>
        <v>#DIV/0!</v>
      </c>
      <c r="BS140" t="e">
        <f t="shared" ca="1" si="85"/>
        <v>#DIV/0!</v>
      </c>
      <c r="BT140" t="s">
        <v>46</v>
      </c>
      <c r="BU140" t="e">
        <f ca="1">AVERAGEIFS(INDIRECT($J$3),INDIRECT($J$3),"&gt;=0",Data!$B:$B,BT140,IF($A$20,Data!$J:$J,Data!#REF!),IF($A$20,"&lt;&gt;5",1))</f>
        <v>#DIV/0!</v>
      </c>
      <c r="BV140" t="e">
        <f t="shared" ca="1" si="86"/>
        <v>#DIV/0!</v>
      </c>
    </row>
    <row r="141" spans="10:74" x14ac:dyDescent="0.35">
      <c r="J141">
        <f t="shared" si="87"/>
        <v>133</v>
      </c>
      <c r="K141" t="s">
        <v>56</v>
      </c>
      <c r="L141" t="e">
        <f ca="1">AVERAGEIFS(INDIRECT($B$3),INDIRECT($B$3),"&gt;=0",Data!$B:$B,$K141)</f>
        <v>#DIV/0!</v>
      </c>
      <c r="M141" t="e">
        <f t="shared" ca="1" si="88"/>
        <v>#DIV/0!</v>
      </c>
      <c r="N141" t="s">
        <v>119</v>
      </c>
      <c r="O141" t="e">
        <f ca="1">AVERAGEIFS(INDIRECT($C$3),INDIRECT($C$3),"&gt;=0",Data!$B:$B,$N141)</f>
        <v>#DIV/0!</v>
      </c>
      <c r="P141" t="e">
        <f t="shared" ca="1" si="61"/>
        <v>#DIV/0!</v>
      </c>
      <c r="Q141" t="s">
        <v>192</v>
      </c>
      <c r="R141" t="e">
        <f ca="1">AVERAGEIFS(INDIRECT($D$3),INDIRECT($D$3),"&gt;=0",Data!$B:$B,$Q141)</f>
        <v>#DIV/0!</v>
      </c>
      <c r="S141" t="e">
        <f t="shared" ca="1" si="62"/>
        <v>#DIV/0!</v>
      </c>
      <c r="T141" t="s">
        <v>169</v>
      </c>
      <c r="U141" t="e">
        <f ca="1">AVERAGEIFS(INDIRECT($E$3),INDIRECT($E$3),"&gt;=0",Data!$B:$B,$T141)</f>
        <v>#DIV/0!</v>
      </c>
      <c r="V141" t="e">
        <f t="shared" ca="1" si="63"/>
        <v>#DIV/0!</v>
      </c>
      <c r="W141" t="s">
        <v>89</v>
      </c>
      <c r="X141" t="e">
        <f ca="1">AVERAGEIFS(INDIRECT($F$3),INDIRECT($F$3),"&gt;=0",Data!$B:$B,$W141)</f>
        <v>#DIV/0!</v>
      </c>
      <c r="Y141" t="e">
        <f t="shared" ca="1" si="64"/>
        <v>#DIV/0!</v>
      </c>
      <c r="Z141" t="s">
        <v>186</v>
      </c>
      <c r="AA141" t="e">
        <f ca="1">AVERAGEIFS(INDIRECT($G$3),INDIRECT($G$3),"&gt;=0",Data!$B:$B,$Z141)</f>
        <v>#DIV/0!</v>
      </c>
      <c r="AB141" t="e">
        <f t="shared" ca="1" si="65"/>
        <v>#DIV/0!</v>
      </c>
      <c r="AC141" t="s">
        <v>185</v>
      </c>
      <c r="AD141" t="e">
        <f ca="1">AVERAGEIFS(INDIRECT($H$3),INDIRECT($H$3),"&gt;=0",Data!$B:$B,$AC141)</f>
        <v>#DIV/0!</v>
      </c>
      <c r="AE141" t="e">
        <f t="shared" ca="1" si="66"/>
        <v>#DIV/0!</v>
      </c>
      <c r="AF141" t="s">
        <v>17</v>
      </c>
      <c r="AG141" t="e">
        <f ca="1">AVERAGEIFS(INDIRECT($I$3),INDIRECT($I$3),"&gt;=0",Data!$B:$B,$AF141)</f>
        <v>#DIV/0!</v>
      </c>
      <c r="AH141" t="e">
        <f t="shared" ca="1" si="67"/>
        <v>#DIV/0!</v>
      </c>
      <c r="AI141" t="s">
        <v>50</v>
      </c>
      <c r="AJ141">
        <f ca="1">AVERAGEIFS(INDIRECT($J$3),INDIRECT($J$3),"&gt;=0",Data!$B:$B,$AI141)</f>
        <v>0.61538461538461542</v>
      </c>
      <c r="AK141" t="e">
        <f t="shared" ca="1" si="68"/>
        <v>#DIV/0!</v>
      </c>
      <c r="AL141" t="str">
        <f t="shared" ca="1" si="69"/>
        <v>-</v>
      </c>
      <c r="AM141" t="str">
        <f t="shared" ca="1" si="70"/>
        <v>-</v>
      </c>
      <c r="AN141" t="str">
        <f t="shared" ca="1" si="71"/>
        <v>-</v>
      </c>
      <c r="AO141" t="str">
        <f t="shared" ca="1" si="72"/>
        <v>-</v>
      </c>
      <c r="AP141" t="str">
        <f t="shared" ca="1" si="73"/>
        <v>-</v>
      </c>
      <c r="AQ141" t="str">
        <f t="shared" ca="1" si="74"/>
        <v>-</v>
      </c>
      <c r="AR141" t="str">
        <f t="shared" ca="1" si="75"/>
        <v>-</v>
      </c>
      <c r="AS141" t="str">
        <f t="shared" ca="1" si="76"/>
        <v>-</v>
      </c>
      <c r="AT141" t="str">
        <f t="shared" ca="1" si="77"/>
        <v>-</v>
      </c>
      <c r="AU141">
        <f t="shared" si="89"/>
        <v>133</v>
      </c>
      <c r="AV141" t="s">
        <v>93</v>
      </c>
      <c r="AW141" s="20" t="e">
        <f ca="1">AVERAGEIFS(INDIRECT($B$3),INDIRECT($B$3),"&gt;=0",Data!$B:$B,AV141,IF($A$20,Data!$J:$J,Data!#REF!),IF($A$20,"&lt;&gt;5",1))</f>
        <v>#DIV/0!</v>
      </c>
      <c r="AX141" t="e">
        <f t="shared" ca="1" si="78"/>
        <v>#DIV/0!</v>
      </c>
      <c r="AY141" s="20" t="s">
        <v>99</v>
      </c>
      <c r="AZ141" t="e">
        <f ca="1">AVERAGEIFS(INDIRECT($C$3),INDIRECT($C$3),"&gt;=0",Data!$B:$B,AY141,IF($A$20,Data!$J:$J,Data!#REF!),IF($A$20,"&lt;&gt;5",1))</f>
        <v>#DIV/0!</v>
      </c>
      <c r="BA141" s="20" t="e">
        <f t="shared" ca="1" si="79"/>
        <v>#DIV/0!</v>
      </c>
      <c r="BB141" t="s">
        <v>160</v>
      </c>
      <c r="BC141" s="20" t="e">
        <f ca="1">AVERAGEIFS(INDIRECT($D$3),INDIRECT($D$3),"&gt;=0",Data!$B:$B,BB141,IF($A$20,Data!$J:$J,Data!#REF!),IF($A$20,"&lt;&gt;5",1))</f>
        <v>#DIV/0!</v>
      </c>
      <c r="BD141" t="e">
        <f t="shared" ca="1" si="80"/>
        <v>#DIV/0!</v>
      </c>
      <c r="BE141" s="20" t="s">
        <v>43</v>
      </c>
      <c r="BF141" t="e">
        <f ca="1">AVERAGEIFS(INDIRECT($E$3),INDIRECT($E$3),"&gt;=0",Data!$B:$B,BE141,IF($A$20,Data!$J:$J,Data!#REF!),IF($A$20,"&lt;&gt;5",1))</f>
        <v>#DIV/0!</v>
      </c>
      <c r="BG141" s="20" t="e">
        <f t="shared" ca="1" si="81"/>
        <v>#DIV/0!</v>
      </c>
      <c r="BH141" t="s">
        <v>188</v>
      </c>
      <c r="BI141" s="20" t="e">
        <f ca="1">AVERAGEIFS(INDIRECT($F$3),INDIRECT($F$3),"&gt;=0",Data!$B:$B,BH141,IF($A$20,Data!$J:$J,Data!#REF!),IF($A$20,"&lt;&gt;5",1))</f>
        <v>#DIV/0!</v>
      </c>
      <c r="BJ141" t="e">
        <f t="shared" ca="1" si="82"/>
        <v>#DIV/0!</v>
      </c>
      <c r="BK141" s="20" t="s">
        <v>20</v>
      </c>
      <c r="BL141" t="e">
        <f ca="1">AVERAGEIFS(INDIRECT($G$3),INDIRECT($G$3),"&gt;=0",Data!$B:$B,BK141,IF($A$20,Data!$J:$J,Data!#REF!),IF($A$20,"&lt;&gt;5",1))</f>
        <v>#DIV/0!</v>
      </c>
      <c r="BM141" s="20" t="e">
        <f t="shared" ca="1" si="83"/>
        <v>#DIV/0!</v>
      </c>
      <c r="BN141" t="s">
        <v>168</v>
      </c>
      <c r="BO141">
        <f ca="1">AVERAGEIFS(INDIRECT($H$3),INDIRECT($H$3),"&gt;=0",Data!$B:$B,BN141,IF($A$20,Data!$J:$J,Data!#REF!),IF($A$20,"&lt;&gt;5",1))</f>
        <v>1</v>
      </c>
      <c r="BP141" t="e">
        <f t="shared" ca="1" si="84"/>
        <v>#DIV/0!</v>
      </c>
      <c r="BQ141" t="s">
        <v>97</v>
      </c>
      <c r="BR141">
        <f ca="1">AVERAGEIFS(INDIRECT($I$3),INDIRECT($I$3),"&gt;=0",Data!$B:$B,BQ141,IF($A$20,Data!$J:$J,Data!#REF!),IF($A$20,"&lt;&gt;5",1))</f>
        <v>0.5</v>
      </c>
      <c r="BS141" t="e">
        <f t="shared" ca="1" si="85"/>
        <v>#DIV/0!</v>
      </c>
      <c r="BT141" t="s">
        <v>76</v>
      </c>
      <c r="BU141" t="e">
        <f ca="1">AVERAGEIFS(INDIRECT($J$3),INDIRECT($J$3),"&gt;=0",Data!$B:$B,BT141,IF($A$20,Data!$J:$J,Data!#REF!),IF($A$20,"&lt;&gt;5",1))</f>
        <v>#DIV/0!</v>
      </c>
      <c r="BV141" t="e">
        <f t="shared" ca="1" si="86"/>
        <v>#DIV/0!</v>
      </c>
    </row>
    <row r="142" spans="10:74" x14ac:dyDescent="0.35">
      <c r="J142">
        <f t="shared" si="87"/>
        <v>134</v>
      </c>
      <c r="K142" t="s">
        <v>6</v>
      </c>
      <c r="L142" t="e">
        <f ca="1">AVERAGEIFS(INDIRECT($B$3),INDIRECT($B$3),"&gt;=0",Data!$B:$B,$K142)</f>
        <v>#DIV/0!</v>
      </c>
      <c r="M142" t="e">
        <f t="shared" ca="1" si="88"/>
        <v>#DIV/0!</v>
      </c>
      <c r="N142" t="s">
        <v>59</v>
      </c>
      <c r="O142" t="e">
        <f ca="1">AVERAGEIFS(INDIRECT($C$3),INDIRECT($C$3),"&gt;=0",Data!$B:$B,$N142)</f>
        <v>#DIV/0!</v>
      </c>
      <c r="P142" t="e">
        <f t="shared" ca="1" si="61"/>
        <v>#DIV/0!</v>
      </c>
      <c r="Q142" t="s">
        <v>194</v>
      </c>
      <c r="R142" t="e">
        <f ca="1">AVERAGEIFS(INDIRECT($D$3),INDIRECT($D$3),"&gt;=0",Data!$B:$B,$Q142)</f>
        <v>#DIV/0!</v>
      </c>
      <c r="S142" t="e">
        <f t="shared" ca="1" si="62"/>
        <v>#DIV/0!</v>
      </c>
      <c r="T142" t="s">
        <v>184</v>
      </c>
      <c r="U142" t="e">
        <f ca="1">AVERAGEIFS(INDIRECT($E$3),INDIRECT($E$3),"&gt;=0",Data!$B:$B,$T142)</f>
        <v>#DIV/0!</v>
      </c>
      <c r="V142" t="e">
        <f t="shared" ca="1" si="63"/>
        <v>#DIV/0!</v>
      </c>
      <c r="W142" t="s">
        <v>90</v>
      </c>
      <c r="X142" t="e">
        <f ca="1">AVERAGEIFS(INDIRECT($F$3),INDIRECT($F$3),"&gt;=0",Data!$B:$B,$W142)</f>
        <v>#DIV/0!</v>
      </c>
      <c r="Y142" t="e">
        <f t="shared" ca="1" si="64"/>
        <v>#DIV/0!</v>
      </c>
      <c r="Z142" t="s">
        <v>187</v>
      </c>
      <c r="AA142">
        <f ca="1">AVERAGEIFS(INDIRECT($G$3),INDIRECT($G$3),"&gt;=0",Data!$B:$B,$Z142)</f>
        <v>0.72222222222222221</v>
      </c>
      <c r="AB142" t="e">
        <f t="shared" ca="1" si="65"/>
        <v>#DIV/0!</v>
      </c>
      <c r="AC142" t="s">
        <v>12</v>
      </c>
      <c r="AD142">
        <f ca="1">AVERAGEIFS(INDIRECT($H$3),INDIRECT($H$3),"&gt;=0",Data!$B:$B,$AC142)</f>
        <v>1</v>
      </c>
      <c r="AE142" t="e">
        <f t="shared" ca="1" si="66"/>
        <v>#DIV/0!</v>
      </c>
      <c r="AF142" t="s">
        <v>21</v>
      </c>
      <c r="AG142" t="e">
        <f ca="1">AVERAGEIFS(INDIRECT($I$3),INDIRECT($I$3),"&gt;=0",Data!$B:$B,$AF142)</f>
        <v>#DIV/0!</v>
      </c>
      <c r="AH142" t="e">
        <f t="shared" ca="1" si="67"/>
        <v>#DIV/0!</v>
      </c>
      <c r="AI142" t="s">
        <v>47</v>
      </c>
      <c r="AJ142">
        <f ca="1">AVERAGEIFS(INDIRECT($J$3),INDIRECT($J$3),"&gt;=0",Data!$B:$B,$AI142)</f>
        <v>0.38461538461538464</v>
      </c>
      <c r="AK142">
        <f t="shared" ca="1" si="68"/>
        <v>134</v>
      </c>
      <c r="AL142" t="str">
        <f t="shared" ca="1" si="69"/>
        <v>-</v>
      </c>
      <c r="AM142" t="str">
        <f t="shared" ca="1" si="70"/>
        <v>-</v>
      </c>
      <c r="AN142" t="str">
        <f t="shared" ca="1" si="71"/>
        <v>-</v>
      </c>
      <c r="AO142" t="str">
        <f t="shared" ca="1" si="72"/>
        <v>-</v>
      </c>
      <c r="AP142" t="str">
        <f t="shared" ca="1" si="73"/>
        <v>-</v>
      </c>
      <c r="AQ142" t="str">
        <f t="shared" ca="1" si="74"/>
        <v>-</v>
      </c>
      <c r="AR142" t="str">
        <f t="shared" ca="1" si="75"/>
        <v>-</v>
      </c>
      <c r="AS142" t="str">
        <f t="shared" ca="1" si="76"/>
        <v>-</v>
      </c>
      <c r="AT142" t="str">
        <f t="shared" ca="1" si="77"/>
        <v>-</v>
      </c>
      <c r="AU142">
        <f t="shared" si="89"/>
        <v>134</v>
      </c>
      <c r="AV142" t="s">
        <v>16</v>
      </c>
      <c r="AW142" s="20" t="e">
        <f ca="1">AVERAGEIFS(INDIRECT($B$3),INDIRECT($B$3),"&gt;=0",Data!$B:$B,AV142,IF($A$20,Data!$J:$J,Data!#REF!),IF($A$20,"&lt;&gt;5",1))</f>
        <v>#DIV/0!</v>
      </c>
      <c r="AX142" t="e">
        <f t="shared" ca="1" si="78"/>
        <v>#DIV/0!</v>
      </c>
      <c r="AY142" s="20" t="s">
        <v>131</v>
      </c>
      <c r="AZ142" t="e">
        <f ca="1">AVERAGEIFS(INDIRECT($C$3),INDIRECT($C$3),"&gt;=0",Data!$B:$B,AY142,IF($A$20,Data!$J:$J,Data!#REF!),IF($A$20,"&lt;&gt;5",1))</f>
        <v>#DIV/0!</v>
      </c>
      <c r="BA142" s="20" t="e">
        <f t="shared" ca="1" si="79"/>
        <v>#DIV/0!</v>
      </c>
      <c r="BB142" t="s">
        <v>172</v>
      </c>
      <c r="BC142" s="20" t="e">
        <f ca="1">AVERAGEIFS(INDIRECT($D$3),INDIRECT($D$3),"&gt;=0",Data!$B:$B,BB142,IF($A$20,Data!$J:$J,Data!#REF!),IF($A$20,"&lt;&gt;5",1))</f>
        <v>#DIV/0!</v>
      </c>
      <c r="BD142" t="e">
        <f t="shared" ca="1" si="80"/>
        <v>#DIV/0!</v>
      </c>
      <c r="BE142" s="20" t="s">
        <v>187</v>
      </c>
      <c r="BF142" t="e">
        <f ca="1">AVERAGEIFS(INDIRECT($E$3),INDIRECT($E$3),"&gt;=0",Data!$B:$B,BE142,IF($A$20,Data!$J:$J,Data!#REF!),IF($A$20,"&lt;&gt;5",1))</f>
        <v>#DIV/0!</v>
      </c>
      <c r="BG142" s="20" t="e">
        <f t="shared" ca="1" si="81"/>
        <v>#DIV/0!</v>
      </c>
      <c r="BH142" t="s">
        <v>50</v>
      </c>
      <c r="BI142" s="20">
        <f ca="1">AVERAGEIFS(INDIRECT($F$3),INDIRECT($F$3),"&gt;=0",Data!$B:$B,BH142,IF($A$20,Data!$J:$J,Data!#REF!),IF($A$20,"&lt;&gt;5",1))</f>
        <v>0</v>
      </c>
      <c r="BJ142" t="e">
        <f t="shared" ca="1" si="82"/>
        <v>#DIV/0!</v>
      </c>
      <c r="BK142" s="20" t="s">
        <v>69</v>
      </c>
      <c r="BL142" t="e">
        <f ca="1">AVERAGEIFS(INDIRECT($G$3),INDIRECT($G$3),"&gt;=0",Data!$B:$B,BK142,IF($A$20,Data!$J:$J,Data!#REF!),IF($A$20,"&lt;&gt;5",1))</f>
        <v>#DIV/0!</v>
      </c>
      <c r="BM142" s="20" t="e">
        <f t="shared" ca="1" si="83"/>
        <v>#DIV/0!</v>
      </c>
      <c r="BN142" t="s">
        <v>180</v>
      </c>
      <c r="BO142" t="e">
        <f ca="1">AVERAGEIFS(INDIRECT($H$3),INDIRECT($H$3),"&gt;=0",Data!$B:$B,BN142,IF($A$20,Data!$J:$J,Data!#REF!),IF($A$20,"&lt;&gt;5",1))</f>
        <v>#DIV/0!</v>
      </c>
      <c r="BP142" t="e">
        <f t="shared" ca="1" si="84"/>
        <v>#DIV/0!</v>
      </c>
      <c r="BQ142" t="s">
        <v>137</v>
      </c>
      <c r="BR142">
        <f ca="1">AVERAGEIFS(INDIRECT($I$3),INDIRECT($I$3),"&gt;=0",Data!$B:$B,BQ142,IF($A$20,Data!$J:$J,Data!#REF!),IF($A$20,"&lt;&gt;5",1))</f>
        <v>0.55555555555555558</v>
      </c>
      <c r="BS142">
        <f t="shared" ca="1" si="85"/>
        <v>134</v>
      </c>
      <c r="BT142" t="s">
        <v>36</v>
      </c>
      <c r="BU142" t="e">
        <f ca="1">AVERAGEIFS(INDIRECT($J$3),INDIRECT($J$3),"&gt;=0",Data!$B:$B,BT142,IF($A$20,Data!$J:$J,Data!#REF!),IF($A$20,"&lt;&gt;5",1))</f>
        <v>#DIV/0!</v>
      </c>
      <c r="BV142" t="e">
        <f t="shared" ca="1" si="86"/>
        <v>#DIV/0!</v>
      </c>
    </row>
    <row r="143" spans="10:74" x14ac:dyDescent="0.35">
      <c r="J143">
        <f t="shared" si="87"/>
        <v>135</v>
      </c>
      <c r="K143" t="s">
        <v>163</v>
      </c>
      <c r="L143" t="e">
        <f ca="1">AVERAGEIFS(INDIRECT($B$3),INDIRECT($B$3),"&gt;=0",Data!$B:$B,$K143)</f>
        <v>#DIV/0!</v>
      </c>
      <c r="M143" t="e">
        <f t="shared" ca="1" si="88"/>
        <v>#DIV/0!</v>
      </c>
      <c r="N143" t="s">
        <v>123</v>
      </c>
      <c r="O143" t="e">
        <f ca="1">AVERAGEIFS(INDIRECT($C$3),INDIRECT($C$3),"&gt;=0",Data!$B:$B,$N143)</f>
        <v>#DIV/0!</v>
      </c>
      <c r="P143" t="e">
        <f t="shared" ca="1" si="61"/>
        <v>#DIV/0!</v>
      </c>
      <c r="Q143" t="s">
        <v>62</v>
      </c>
      <c r="R143" t="e">
        <f ca="1">AVERAGEIFS(INDIRECT($D$3),INDIRECT($D$3),"&gt;=0",Data!$B:$B,$Q143)</f>
        <v>#DIV/0!</v>
      </c>
      <c r="S143" t="e">
        <f t="shared" ca="1" si="62"/>
        <v>#DIV/0!</v>
      </c>
      <c r="T143" t="s">
        <v>32</v>
      </c>
      <c r="U143" t="e">
        <f ca="1">AVERAGEIFS(INDIRECT($E$3),INDIRECT($E$3),"&gt;=0",Data!$B:$B,$T143)</f>
        <v>#DIV/0!</v>
      </c>
      <c r="V143" t="e">
        <f t="shared" ca="1" si="63"/>
        <v>#DIV/0!</v>
      </c>
      <c r="W143" t="s">
        <v>100</v>
      </c>
      <c r="X143" t="e">
        <f ca="1">AVERAGEIFS(INDIRECT($F$3),INDIRECT($F$3),"&gt;=0",Data!$B:$B,$W143)</f>
        <v>#DIV/0!</v>
      </c>
      <c r="Y143" t="e">
        <f t="shared" ca="1" si="64"/>
        <v>#DIV/0!</v>
      </c>
      <c r="Z143" t="s">
        <v>192</v>
      </c>
      <c r="AA143" t="e">
        <f ca="1">AVERAGEIFS(INDIRECT($G$3),INDIRECT($G$3),"&gt;=0",Data!$B:$B,$Z143)</f>
        <v>#DIV/0!</v>
      </c>
      <c r="AB143" t="e">
        <f t="shared" ca="1" si="65"/>
        <v>#DIV/0!</v>
      </c>
      <c r="AC143" t="s">
        <v>51</v>
      </c>
      <c r="AD143" t="e">
        <f ca="1">AVERAGEIFS(INDIRECT($H$3),INDIRECT($H$3),"&gt;=0",Data!$B:$B,$AC143)</f>
        <v>#DIV/0!</v>
      </c>
      <c r="AE143" t="e">
        <f t="shared" ca="1" si="66"/>
        <v>#DIV/0!</v>
      </c>
      <c r="AF143" t="s">
        <v>33</v>
      </c>
      <c r="AG143">
        <f ca="1">AVERAGEIFS(INDIRECT($I$3),INDIRECT($I$3),"&gt;=0",Data!$B:$B,$AF143)</f>
        <v>0.5714285714285714</v>
      </c>
      <c r="AH143" t="e">
        <f t="shared" ca="1" si="67"/>
        <v>#DIV/0!</v>
      </c>
      <c r="AI143" t="s">
        <v>46</v>
      </c>
      <c r="AJ143" t="e">
        <f ca="1">AVERAGEIFS(INDIRECT($J$3),INDIRECT($J$3),"&gt;=0",Data!$B:$B,$AI143)</f>
        <v>#DIV/0!</v>
      </c>
      <c r="AK143" t="e">
        <f t="shared" ca="1" si="68"/>
        <v>#DIV/0!</v>
      </c>
      <c r="AL143" t="str">
        <f t="shared" ca="1" si="69"/>
        <v>-</v>
      </c>
      <c r="AM143" t="str">
        <f t="shared" ca="1" si="70"/>
        <v>-</v>
      </c>
      <c r="AN143" t="str">
        <f t="shared" ca="1" si="71"/>
        <v>-</v>
      </c>
      <c r="AO143" t="str">
        <f t="shared" ca="1" si="72"/>
        <v>-</v>
      </c>
      <c r="AP143" t="str">
        <f t="shared" ca="1" si="73"/>
        <v>-</v>
      </c>
      <c r="AQ143" t="str">
        <f t="shared" ca="1" si="74"/>
        <v>-</v>
      </c>
      <c r="AR143" t="str">
        <f t="shared" ca="1" si="75"/>
        <v>-</v>
      </c>
      <c r="AS143" t="str">
        <f t="shared" ca="1" si="76"/>
        <v>-</v>
      </c>
      <c r="AT143" t="str">
        <f t="shared" ca="1" si="77"/>
        <v>-</v>
      </c>
      <c r="AU143">
        <f t="shared" si="89"/>
        <v>135</v>
      </c>
      <c r="AV143" t="s">
        <v>138</v>
      </c>
      <c r="AW143" s="20" t="e">
        <f ca="1">AVERAGEIFS(INDIRECT($B$3),INDIRECT($B$3),"&gt;=0",Data!$B:$B,AV143,IF($A$20,Data!$J:$J,Data!#REF!),IF($A$20,"&lt;&gt;5",1))</f>
        <v>#DIV/0!</v>
      </c>
      <c r="AX143" t="e">
        <f t="shared" ca="1" si="78"/>
        <v>#DIV/0!</v>
      </c>
      <c r="AY143" s="20" t="s">
        <v>58</v>
      </c>
      <c r="AZ143" t="e">
        <f ca="1">AVERAGEIFS(INDIRECT($C$3),INDIRECT($C$3),"&gt;=0",Data!$B:$B,AY143,IF($A$20,Data!$J:$J,Data!#REF!),IF($A$20,"&lt;&gt;5",1))</f>
        <v>#DIV/0!</v>
      </c>
      <c r="BA143" s="20" t="e">
        <f t="shared" ca="1" si="79"/>
        <v>#DIV/0!</v>
      </c>
      <c r="BB143" t="s">
        <v>192</v>
      </c>
      <c r="BC143" s="20" t="e">
        <f ca="1">AVERAGEIFS(INDIRECT($D$3),INDIRECT($D$3),"&gt;=0",Data!$B:$B,BB143,IF($A$20,Data!$J:$J,Data!#REF!),IF($A$20,"&lt;&gt;5",1))</f>
        <v>#DIV/0!</v>
      </c>
      <c r="BD143" t="e">
        <f t="shared" ca="1" si="80"/>
        <v>#DIV/0!</v>
      </c>
      <c r="BE143" s="20" t="s">
        <v>32</v>
      </c>
      <c r="BF143" t="e">
        <f ca="1">AVERAGEIFS(INDIRECT($E$3),INDIRECT($E$3),"&gt;=0",Data!$B:$B,BE143,IF($A$20,Data!$J:$J,Data!#REF!),IF($A$20,"&lt;&gt;5",1))</f>
        <v>#DIV/0!</v>
      </c>
      <c r="BG143" s="20" t="e">
        <f t="shared" ca="1" si="81"/>
        <v>#DIV/0!</v>
      </c>
      <c r="BH143" t="s">
        <v>25</v>
      </c>
      <c r="BI143" s="20" t="e">
        <f ca="1">AVERAGEIFS(INDIRECT($F$3),INDIRECT($F$3),"&gt;=0",Data!$B:$B,BH143,IF($A$20,Data!$J:$J,Data!#REF!),IF($A$20,"&lt;&gt;5",1))</f>
        <v>#DIV/0!</v>
      </c>
      <c r="BJ143" t="e">
        <f t="shared" ca="1" si="82"/>
        <v>#DIV/0!</v>
      </c>
      <c r="BK143" s="20" t="s">
        <v>101</v>
      </c>
      <c r="BL143" t="e">
        <f ca="1">AVERAGEIFS(INDIRECT($G$3),INDIRECT($G$3),"&gt;=0",Data!$B:$B,BK143,IF($A$20,Data!$J:$J,Data!#REF!),IF($A$20,"&lt;&gt;5",1))</f>
        <v>#DIV/0!</v>
      </c>
      <c r="BM143" s="20" t="e">
        <f t="shared" ca="1" si="83"/>
        <v>#DIV/0!</v>
      </c>
      <c r="BN143" t="s">
        <v>32</v>
      </c>
      <c r="BO143">
        <f ca="1">AVERAGEIFS(INDIRECT($H$3),INDIRECT($H$3),"&gt;=0",Data!$B:$B,BN143,IF($A$20,Data!$J:$J,Data!#REF!),IF($A$20,"&lt;&gt;5",1))</f>
        <v>1</v>
      </c>
      <c r="BP143" t="e">
        <f t="shared" ca="1" si="84"/>
        <v>#DIV/0!</v>
      </c>
      <c r="BQ143" t="s">
        <v>43</v>
      </c>
      <c r="BR143" t="e">
        <f ca="1">AVERAGEIFS(INDIRECT($I$3),INDIRECT($I$3),"&gt;=0",Data!$B:$B,BQ143,IF($A$20,Data!$J:$J,Data!#REF!),IF($A$20,"&lt;&gt;5",1))</f>
        <v>#DIV/0!</v>
      </c>
      <c r="BS143" t="e">
        <f t="shared" ca="1" si="85"/>
        <v>#DIV/0!</v>
      </c>
      <c r="BT143" t="s">
        <v>44</v>
      </c>
      <c r="BU143">
        <f ca="1">AVERAGEIFS(INDIRECT($J$3),INDIRECT($J$3),"&gt;=0",Data!$B:$B,BT143,IF($A$20,Data!$J:$J,Data!#REF!),IF($A$20,"&lt;&gt;5",1))</f>
        <v>0.44444444444444442</v>
      </c>
      <c r="BV143" t="e">
        <f t="shared" ca="1" si="86"/>
        <v>#DIV/0!</v>
      </c>
    </row>
    <row r="144" spans="10:74" x14ac:dyDescent="0.35">
      <c r="J144">
        <f t="shared" si="87"/>
        <v>136</v>
      </c>
      <c r="K144" t="s">
        <v>156</v>
      </c>
      <c r="L144" t="e">
        <f ca="1">AVERAGEIFS(INDIRECT($B$3),INDIRECT($B$3),"&gt;=0",Data!$B:$B,$K144)</f>
        <v>#DIV/0!</v>
      </c>
      <c r="M144" t="e">
        <f t="shared" ca="1" si="88"/>
        <v>#DIV/0!</v>
      </c>
      <c r="N144" t="s">
        <v>74</v>
      </c>
      <c r="O144" t="e">
        <f ca="1">AVERAGEIFS(INDIRECT($C$3),INDIRECT($C$3),"&gt;=0",Data!$B:$B,$N144)</f>
        <v>#DIV/0!</v>
      </c>
      <c r="P144" t="e">
        <f t="shared" ca="1" si="61"/>
        <v>#DIV/0!</v>
      </c>
      <c r="Q144" t="s">
        <v>175</v>
      </c>
      <c r="R144" t="e">
        <f ca="1">AVERAGEIFS(INDIRECT($D$3),INDIRECT($D$3),"&gt;=0",Data!$B:$B,$Q144)</f>
        <v>#DIV/0!</v>
      </c>
      <c r="S144" t="e">
        <f t="shared" ca="1" si="62"/>
        <v>#DIV/0!</v>
      </c>
      <c r="T144" t="s">
        <v>139</v>
      </c>
      <c r="U144" t="e">
        <f ca="1">AVERAGEIFS(INDIRECT($E$3),INDIRECT($E$3),"&gt;=0",Data!$B:$B,$T144)</f>
        <v>#DIV/0!</v>
      </c>
      <c r="V144" t="e">
        <f t="shared" ca="1" si="63"/>
        <v>#DIV/0!</v>
      </c>
      <c r="W144" t="s">
        <v>114</v>
      </c>
      <c r="X144" t="e">
        <f ca="1">AVERAGEIFS(INDIRECT($F$3),INDIRECT($F$3),"&gt;=0",Data!$B:$B,$W144)</f>
        <v>#DIV/0!</v>
      </c>
      <c r="Y144" t="e">
        <f t="shared" ca="1" si="64"/>
        <v>#DIV/0!</v>
      </c>
      <c r="Z144" t="s">
        <v>181</v>
      </c>
      <c r="AA144">
        <f ca="1">AVERAGEIFS(INDIRECT($G$3),INDIRECT($G$3),"&gt;=0",Data!$B:$B,$Z144)</f>
        <v>0.78260869565217395</v>
      </c>
      <c r="AB144" t="e">
        <f t="shared" ca="1" si="65"/>
        <v>#DIV/0!</v>
      </c>
      <c r="AC144" t="s">
        <v>168</v>
      </c>
      <c r="AD144">
        <f ca="1">AVERAGEIFS(INDIRECT($H$3),INDIRECT($H$3),"&gt;=0",Data!$B:$B,$AC144)</f>
        <v>0.9375</v>
      </c>
      <c r="AE144" t="e">
        <f t="shared" ca="1" si="66"/>
        <v>#DIV/0!</v>
      </c>
      <c r="AF144" t="s">
        <v>43</v>
      </c>
      <c r="AG144" t="e">
        <f ca="1">AVERAGEIFS(INDIRECT($I$3),INDIRECT($I$3),"&gt;=0",Data!$B:$B,$AF144)</f>
        <v>#DIV/0!</v>
      </c>
      <c r="AH144" t="e">
        <f t="shared" ca="1" si="67"/>
        <v>#DIV/0!</v>
      </c>
      <c r="AI144" t="s">
        <v>76</v>
      </c>
      <c r="AJ144" t="e">
        <f ca="1">AVERAGEIFS(INDIRECT($J$3),INDIRECT($J$3),"&gt;=0",Data!$B:$B,$AI144)</f>
        <v>#DIV/0!</v>
      </c>
      <c r="AK144" t="e">
        <f t="shared" ca="1" si="68"/>
        <v>#DIV/0!</v>
      </c>
      <c r="AL144" t="str">
        <f t="shared" ca="1" si="69"/>
        <v>-</v>
      </c>
      <c r="AM144" t="str">
        <f t="shared" ca="1" si="70"/>
        <v>-</v>
      </c>
      <c r="AN144" t="str">
        <f t="shared" ca="1" si="71"/>
        <v>-</v>
      </c>
      <c r="AO144" t="str">
        <f t="shared" ca="1" si="72"/>
        <v>-</v>
      </c>
      <c r="AP144" t="str">
        <f t="shared" ca="1" si="73"/>
        <v>-</v>
      </c>
      <c r="AQ144" t="str">
        <f t="shared" ca="1" si="74"/>
        <v>-</v>
      </c>
      <c r="AR144" t="str">
        <f t="shared" ca="1" si="75"/>
        <v>-</v>
      </c>
      <c r="AS144" t="str">
        <f t="shared" ca="1" si="76"/>
        <v>-</v>
      </c>
      <c r="AT144" t="str">
        <f t="shared" ca="1" si="77"/>
        <v>-</v>
      </c>
      <c r="AU144">
        <f t="shared" si="89"/>
        <v>136</v>
      </c>
      <c r="AV144" t="s">
        <v>107</v>
      </c>
      <c r="AW144" s="20" t="e">
        <f ca="1">AVERAGEIFS(INDIRECT($B$3),INDIRECT($B$3),"&gt;=0",Data!$B:$B,AV144,IF($A$20,Data!$J:$J,Data!#REF!),IF($A$20,"&lt;&gt;5",1))</f>
        <v>#DIV/0!</v>
      </c>
      <c r="AX144" t="e">
        <f t="shared" ca="1" si="78"/>
        <v>#DIV/0!</v>
      </c>
      <c r="AY144" s="20" t="s">
        <v>101</v>
      </c>
      <c r="AZ144" t="e">
        <f ca="1">AVERAGEIFS(INDIRECT($C$3),INDIRECT($C$3),"&gt;=0",Data!$B:$B,AY144,IF($A$20,Data!$J:$J,Data!#REF!),IF($A$20,"&lt;&gt;5",1))</f>
        <v>#DIV/0!</v>
      </c>
      <c r="BA144" s="20" t="e">
        <f t="shared" ca="1" si="79"/>
        <v>#DIV/0!</v>
      </c>
      <c r="BB144" t="s">
        <v>194</v>
      </c>
      <c r="BC144" s="20" t="e">
        <f ca="1">AVERAGEIFS(INDIRECT($D$3),INDIRECT($D$3),"&gt;=0",Data!$B:$B,BB144,IF($A$20,Data!$J:$J,Data!#REF!),IF($A$20,"&lt;&gt;5",1))</f>
        <v>#DIV/0!</v>
      </c>
      <c r="BD144" t="e">
        <f t="shared" ca="1" si="80"/>
        <v>#DIV/0!</v>
      </c>
      <c r="BE144" s="20" t="s">
        <v>122</v>
      </c>
      <c r="BF144" t="e">
        <f ca="1">AVERAGEIFS(INDIRECT($E$3),INDIRECT($E$3),"&gt;=0",Data!$B:$B,BE144,IF($A$20,Data!$J:$J,Data!#REF!),IF($A$20,"&lt;&gt;5",1))</f>
        <v>#DIV/0!</v>
      </c>
      <c r="BG144" s="20" t="e">
        <f t="shared" ca="1" si="81"/>
        <v>#DIV/0!</v>
      </c>
      <c r="BH144" t="s">
        <v>12</v>
      </c>
      <c r="BI144" s="20">
        <f ca="1">AVERAGEIFS(INDIRECT($F$3),INDIRECT($F$3),"&gt;=0",Data!$B:$B,BH144,IF($A$20,Data!$J:$J,Data!#REF!),IF($A$20,"&lt;&gt;5",1))</f>
        <v>0</v>
      </c>
      <c r="BJ144" t="e">
        <f t="shared" ca="1" si="82"/>
        <v>#DIV/0!</v>
      </c>
      <c r="BK144" s="20" t="s">
        <v>22</v>
      </c>
      <c r="BL144" t="e">
        <f ca="1">AVERAGEIFS(INDIRECT($G$3),INDIRECT($G$3),"&gt;=0",Data!$B:$B,BK144,IF($A$20,Data!$J:$J,Data!#REF!),IF($A$20,"&lt;&gt;5",1))</f>
        <v>#DIV/0!</v>
      </c>
      <c r="BM144" s="20" t="e">
        <f t="shared" ca="1" si="83"/>
        <v>#DIV/0!</v>
      </c>
      <c r="BN144" t="s">
        <v>2</v>
      </c>
      <c r="BO144" t="e">
        <f ca="1">AVERAGEIFS(INDIRECT($H$3),INDIRECT($H$3),"&gt;=0",Data!$B:$B,BN144,IF($A$20,Data!$J:$J,Data!#REF!),IF($A$20,"&lt;&gt;5",1))</f>
        <v>#DIV/0!</v>
      </c>
      <c r="BP144" t="e">
        <f t="shared" ca="1" si="84"/>
        <v>#DIV/0!</v>
      </c>
      <c r="BQ144" t="s">
        <v>76</v>
      </c>
      <c r="BR144" t="e">
        <f ca="1">AVERAGEIFS(INDIRECT($I$3),INDIRECT($I$3),"&gt;=0",Data!$B:$B,BQ144,IF($A$20,Data!$J:$J,Data!#REF!),IF($A$20,"&lt;&gt;5",1))</f>
        <v>#DIV/0!</v>
      </c>
      <c r="BS144" t="e">
        <f t="shared" ca="1" si="85"/>
        <v>#DIV/0!</v>
      </c>
      <c r="BT144" t="s">
        <v>40</v>
      </c>
      <c r="BU144" t="e">
        <f ca="1">AVERAGEIFS(INDIRECT($J$3),INDIRECT($J$3),"&gt;=0",Data!$B:$B,BT144,IF($A$20,Data!$J:$J,Data!#REF!),IF($A$20,"&lt;&gt;5",1))</f>
        <v>#DIV/0!</v>
      </c>
      <c r="BV144" t="e">
        <f t="shared" ca="1" si="86"/>
        <v>#DIV/0!</v>
      </c>
    </row>
    <row r="145" spans="10:74" x14ac:dyDescent="0.35">
      <c r="J145">
        <f t="shared" si="87"/>
        <v>137</v>
      </c>
      <c r="K145" t="s">
        <v>21</v>
      </c>
      <c r="L145" t="e">
        <f ca="1">AVERAGEIFS(INDIRECT($B$3),INDIRECT($B$3),"&gt;=0",Data!$B:$B,$K145)</f>
        <v>#DIV/0!</v>
      </c>
      <c r="M145" t="e">
        <f t="shared" ca="1" si="88"/>
        <v>#DIV/0!</v>
      </c>
      <c r="N145" t="s">
        <v>5</v>
      </c>
      <c r="O145" t="e">
        <f ca="1">AVERAGEIFS(INDIRECT($C$3),INDIRECT($C$3),"&gt;=0",Data!$B:$B,$N145)</f>
        <v>#DIV/0!</v>
      </c>
      <c r="P145" t="e">
        <f t="shared" ca="1" si="61"/>
        <v>#DIV/0!</v>
      </c>
      <c r="Q145" t="s">
        <v>54</v>
      </c>
      <c r="R145" t="e">
        <f ca="1">AVERAGEIFS(INDIRECT($D$3),INDIRECT($D$3),"&gt;=0",Data!$B:$B,$Q145)</f>
        <v>#DIV/0!</v>
      </c>
      <c r="S145" t="e">
        <f t="shared" ca="1" si="62"/>
        <v>#DIV/0!</v>
      </c>
      <c r="T145" t="s">
        <v>56</v>
      </c>
      <c r="U145" t="e">
        <f ca="1">AVERAGEIFS(INDIRECT($E$3),INDIRECT($E$3),"&gt;=0",Data!$B:$B,$T145)</f>
        <v>#DIV/0!</v>
      </c>
      <c r="V145" t="e">
        <f t="shared" ca="1" si="63"/>
        <v>#DIV/0!</v>
      </c>
      <c r="W145" t="s">
        <v>125</v>
      </c>
      <c r="X145" t="e">
        <f ca="1">AVERAGEIFS(INDIRECT($F$3),INDIRECT($F$3),"&gt;=0",Data!$B:$B,$W145)</f>
        <v>#DIV/0!</v>
      </c>
      <c r="Y145" t="e">
        <f t="shared" ca="1" si="64"/>
        <v>#DIV/0!</v>
      </c>
      <c r="Z145" t="s">
        <v>25</v>
      </c>
      <c r="AA145" t="e">
        <f ca="1">AVERAGEIFS(INDIRECT($G$3),INDIRECT($G$3),"&gt;=0",Data!$B:$B,$Z145)</f>
        <v>#DIV/0!</v>
      </c>
      <c r="AB145" t="e">
        <f t="shared" ca="1" si="65"/>
        <v>#DIV/0!</v>
      </c>
      <c r="AC145" t="s">
        <v>180</v>
      </c>
      <c r="AD145" t="e">
        <f ca="1">AVERAGEIFS(INDIRECT($H$3),INDIRECT($H$3),"&gt;=0",Data!$B:$B,$AC145)</f>
        <v>#DIV/0!</v>
      </c>
      <c r="AE145" t="e">
        <f t="shared" ca="1" si="66"/>
        <v>#DIV/0!</v>
      </c>
      <c r="AF145" t="s">
        <v>50</v>
      </c>
      <c r="AG145">
        <f ca="1">AVERAGEIFS(INDIRECT($I$3),INDIRECT($I$3),"&gt;=0",Data!$B:$B,$AF145)</f>
        <v>0.76923076923076927</v>
      </c>
      <c r="AH145" t="e">
        <f t="shared" ca="1" si="67"/>
        <v>#DIV/0!</v>
      </c>
      <c r="AI145" t="s">
        <v>36</v>
      </c>
      <c r="AJ145" t="e">
        <f ca="1">AVERAGEIFS(INDIRECT($J$3),INDIRECT($J$3),"&gt;=0",Data!$B:$B,$AI145)</f>
        <v>#DIV/0!</v>
      </c>
      <c r="AK145" t="e">
        <f t="shared" ca="1" si="68"/>
        <v>#DIV/0!</v>
      </c>
      <c r="AL145" t="str">
        <f t="shared" ca="1" si="69"/>
        <v>-</v>
      </c>
      <c r="AM145" t="str">
        <f t="shared" ca="1" si="70"/>
        <v>-</v>
      </c>
      <c r="AN145" t="str">
        <f t="shared" ca="1" si="71"/>
        <v>-</v>
      </c>
      <c r="AO145" t="str">
        <f t="shared" ca="1" si="72"/>
        <v>-</v>
      </c>
      <c r="AP145" t="str">
        <f t="shared" ca="1" si="73"/>
        <v>-</v>
      </c>
      <c r="AQ145" t="str">
        <f t="shared" ca="1" si="74"/>
        <v>-</v>
      </c>
      <c r="AR145" t="str">
        <f t="shared" ca="1" si="75"/>
        <v>-</v>
      </c>
      <c r="AS145" t="str">
        <f t="shared" ca="1" si="76"/>
        <v>-</v>
      </c>
      <c r="AT145" t="str">
        <f t="shared" ca="1" si="77"/>
        <v>-</v>
      </c>
      <c r="AU145">
        <f t="shared" si="89"/>
        <v>137</v>
      </c>
      <c r="AV145" t="s">
        <v>140</v>
      </c>
      <c r="AW145" s="20" t="e">
        <f ca="1">AVERAGEIFS(INDIRECT($B$3),INDIRECT($B$3),"&gt;=0",Data!$B:$B,AV145,IF($A$20,Data!$J:$J,Data!#REF!),IF($A$20,"&lt;&gt;5",1))</f>
        <v>#DIV/0!</v>
      </c>
      <c r="AX145" t="e">
        <f t="shared" ca="1" si="78"/>
        <v>#DIV/0!</v>
      </c>
      <c r="AY145" s="20" t="s">
        <v>127</v>
      </c>
      <c r="AZ145" t="e">
        <f ca="1">AVERAGEIFS(INDIRECT($C$3),INDIRECT($C$3),"&gt;=0",Data!$B:$B,AY145,IF($A$20,Data!$J:$J,Data!#REF!),IF($A$20,"&lt;&gt;5",1))</f>
        <v>#DIV/0!</v>
      </c>
      <c r="BA145" s="20" t="e">
        <f t="shared" ca="1" si="79"/>
        <v>#DIV/0!</v>
      </c>
      <c r="BB145" t="s">
        <v>62</v>
      </c>
      <c r="BC145" s="20" t="e">
        <f ca="1">AVERAGEIFS(INDIRECT($D$3),INDIRECT($D$3),"&gt;=0",Data!$B:$B,BB145,IF($A$20,Data!$J:$J,Data!#REF!),IF($A$20,"&lt;&gt;5",1))</f>
        <v>#DIV/0!</v>
      </c>
      <c r="BD145" t="e">
        <f t="shared" ca="1" si="80"/>
        <v>#DIV/0!</v>
      </c>
      <c r="BE145" s="20" t="s">
        <v>126</v>
      </c>
      <c r="BF145" t="e">
        <f ca="1">AVERAGEIFS(INDIRECT($E$3),INDIRECT($E$3),"&gt;=0",Data!$B:$B,BE145,IF($A$20,Data!$J:$J,Data!#REF!),IF($A$20,"&lt;&gt;5",1))</f>
        <v>#DIV/0!</v>
      </c>
      <c r="BG145" s="20" t="e">
        <f t="shared" ca="1" si="81"/>
        <v>#DIV/0!</v>
      </c>
      <c r="BH145" t="s">
        <v>142</v>
      </c>
      <c r="BI145" s="20" t="e">
        <f ca="1">AVERAGEIFS(INDIRECT($F$3),INDIRECT($F$3),"&gt;=0",Data!$B:$B,BH145,IF($A$20,Data!$J:$J,Data!#REF!),IF($A$20,"&lt;&gt;5",1))</f>
        <v>#DIV/0!</v>
      </c>
      <c r="BJ145" t="e">
        <f t="shared" ca="1" si="82"/>
        <v>#DIV/0!</v>
      </c>
      <c r="BK145" s="20" t="s">
        <v>110</v>
      </c>
      <c r="BL145" t="e">
        <f ca="1">AVERAGEIFS(INDIRECT($G$3),INDIRECT($G$3),"&gt;=0",Data!$B:$B,BK145,IF($A$20,Data!$J:$J,Data!#REF!),IF($A$20,"&lt;&gt;5",1))</f>
        <v>#DIV/0!</v>
      </c>
      <c r="BM145" s="20" t="e">
        <f t="shared" ca="1" si="83"/>
        <v>#DIV/0!</v>
      </c>
      <c r="BN145" t="s">
        <v>88</v>
      </c>
      <c r="BO145" t="e">
        <f ca="1">AVERAGEIFS(INDIRECT($H$3),INDIRECT($H$3),"&gt;=0",Data!$B:$B,BN145,IF($A$20,Data!$J:$J,Data!#REF!),IF($A$20,"&lt;&gt;5",1))</f>
        <v>#DIV/0!</v>
      </c>
      <c r="BP145" t="e">
        <f t="shared" ca="1" si="84"/>
        <v>#DIV/0!</v>
      </c>
      <c r="BQ145" t="s">
        <v>63</v>
      </c>
      <c r="BR145" t="e">
        <f ca="1">AVERAGEIFS(INDIRECT($I$3),INDIRECT($I$3),"&gt;=0",Data!$B:$B,BQ145,IF($A$20,Data!$J:$J,Data!#REF!),IF($A$20,"&lt;&gt;5",1))</f>
        <v>#DIV/0!</v>
      </c>
      <c r="BS145" t="e">
        <f t="shared" ca="1" si="85"/>
        <v>#DIV/0!</v>
      </c>
      <c r="BT145" t="s">
        <v>39</v>
      </c>
      <c r="BU145" t="e">
        <f ca="1">AVERAGEIFS(INDIRECT($J$3),INDIRECT($J$3),"&gt;=0",Data!$B:$B,BT145,IF($A$20,Data!$J:$J,Data!#REF!),IF($A$20,"&lt;&gt;5",1))</f>
        <v>#DIV/0!</v>
      </c>
      <c r="BV145" t="e">
        <f t="shared" ca="1" si="86"/>
        <v>#DIV/0!</v>
      </c>
    </row>
    <row r="146" spans="10:74" x14ac:dyDescent="0.35">
      <c r="J146">
        <f t="shared" si="87"/>
        <v>138</v>
      </c>
      <c r="K146" t="s">
        <v>38</v>
      </c>
      <c r="L146" t="e">
        <f ca="1">AVERAGEIFS(INDIRECT($B$3),INDIRECT($B$3),"&gt;=0",Data!$B:$B,$K146)</f>
        <v>#DIV/0!</v>
      </c>
      <c r="M146" t="e">
        <f t="shared" ca="1" si="88"/>
        <v>#DIV/0!</v>
      </c>
      <c r="N146" t="s">
        <v>124</v>
      </c>
      <c r="O146" t="e">
        <f ca="1">AVERAGEIFS(INDIRECT($C$3),INDIRECT($C$3),"&gt;=0",Data!$B:$B,$N146)</f>
        <v>#DIV/0!</v>
      </c>
      <c r="P146" t="e">
        <f t="shared" ca="1" si="61"/>
        <v>#DIV/0!</v>
      </c>
      <c r="Q146" t="s">
        <v>79</v>
      </c>
      <c r="R146" t="e">
        <f ca="1">AVERAGEIFS(INDIRECT($D$3),INDIRECT($D$3),"&gt;=0",Data!$B:$B,$Q146)</f>
        <v>#DIV/0!</v>
      </c>
      <c r="S146" t="e">
        <f t="shared" ca="1" si="62"/>
        <v>#DIV/0!</v>
      </c>
      <c r="T146" t="s">
        <v>65</v>
      </c>
      <c r="U146" t="e">
        <f ca="1">AVERAGEIFS(INDIRECT($E$3),INDIRECT($E$3),"&gt;=0",Data!$B:$B,$T146)</f>
        <v>#DIV/0!</v>
      </c>
      <c r="V146" t="e">
        <f t="shared" ca="1" si="63"/>
        <v>#DIV/0!</v>
      </c>
      <c r="W146" t="s">
        <v>137</v>
      </c>
      <c r="X146">
        <f ca="1">AVERAGEIFS(INDIRECT($F$3),INDIRECT($F$3),"&gt;=0",Data!$B:$B,$W146)</f>
        <v>0</v>
      </c>
      <c r="Y146" t="e">
        <f t="shared" ca="1" si="64"/>
        <v>#DIV/0!</v>
      </c>
      <c r="Z146" t="s">
        <v>22</v>
      </c>
      <c r="AA146" t="e">
        <f ca="1">AVERAGEIFS(INDIRECT($G$3),INDIRECT($G$3),"&gt;=0",Data!$B:$B,$Z146)</f>
        <v>#DIV/0!</v>
      </c>
      <c r="AB146" t="e">
        <f t="shared" ca="1" si="65"/>
        <v>#DIV/0!</v>
      </c>
      <c r="AC146" t="s">
        <v>32</v>
      </c>
      <c r="AD146">
        <f ca="1">AVERAGEIFS(INDIRECT($H$3),INDIRECT($H$3),"&gt;=0",Data!$B:$B,$AC146)</f>
        <v>0.96153846153846156</v>
      </c>
      <c r="AE146" t="e">
        <f t="shared" ca="1" si="66"/>
        <v>#DIV/0!</v>
      </c>
      <c r="AF146" t="s">
        <v>53</v>
      </c>
      <c r="AG146" t="e">
        <f ca="1">AVERAGEIFS(INDIRECT($I$3),INDIRECT($I$3),"&gt;=0",Data!$B:$B,$AF146)</f>
        <v>#DIV/0!</v>
      </c>
      <c r="AH146" t="e">
        <f t="shared" ca="1" si="67"/>
        <v>#DIV/0!</v>
      </c>
      <c r="AI146" t="s">
        <v>44</v>
      </c>
      <c r="AJ146">
        <f ca="1">AVERAGEIFS(INDIRECT($J$3),INDIRECT($J$3),"&gt;=0",Data!$B:$B,$AI146)</f>
        <v>0.44444444444444442</v>
      </c>
      <c r="AK146" t="e">
        <f t="shared" ca="1" si="68"/>
        <v>#DIV/0!</v>
      </c>
      <c r="AL146" t="str">
        <f t="shared" ca="1" si="69"/>
        <v>-</v>
      </c>
      <c r="AM146" t="str">
        <f t="shared" ca="1" si="70"/>
        <v>-</v>
      </c>
      <c r="AN146" t="str">
        <f t="shared" ca="1" si="71"/>
        <v>-</v>
      </c>
      <c r="AO146" t="str">
        <f t="shared" ca="1" si="72"/>
        <v>-</v>
      </c>
      <c r="AP146" t="str">
        <f t="shared" ca="1" si="73"/>
        <v>-</v>
      </c>
      <c r="AQ146" t="str">
        <f t="shared" ca="1" si="74"/>
        <v>-</v>
      </c>
      <c r="AR146" t="str">
        <f t="shared" ca="1" si="75"/>
        <v>-</v>
      </c>
      <c r="AS146" t="str">
        <f t="shared" ca="1" si="76"/>
        <v>-</v>
      </c>
      <c r="AT146" t="str">
        <f t="shared" ca="1" si="77"/>
        <v>-</v>
      </c>
      <c r="AU146">
        <f t="shared" si="89"/>
        <v>138</v>
      </c>
      <c r="AV146" t="s">
        <v>52</v>
      </c>
      <c r="AW146" s="20" t="e">
        <f ca="1">AVERAGEIFS(INDIRECT($B$3),INDIRECT($B$3),"&gt;=0",Data!$B:$B,AV146,IF($A$20,Data!$J:$J,Data!#REF!),IF($A$20,"&lt;&gt;5",1))</f>
        <v>#DIV/0!</v>
      </c>
      <c r="AX146" t="e">
        <f t="shared" ca="1" si="78"/>
        <v>#DIV/0!</v>
      </c>
      <c r="AY146" s="20" t="s">
        <v>193</v>
      </c>
      <c r="AZ146" t="e">
        <f ca="1">AVERAGEIFS(INDIRECT($C$3),INDIRECT($C$3),"&gt;=0",Data!$B:$B,AY146,IF($A$20,Data!$J:$J,Data!#REF!),IF($A$20,"&lt;&gt;5",1))</f>
        <v>#DIV/0!</v>
      </c>
      <c r="BA146" s="20" t="e">
        <f t="shared" ca="1" si="79"/>
        <v>#DIV/0!</v>
      </c>
      <c r="BB146" t="s">
        <v>188</v>
      </c>
      <c r="BC146" s="20" t="e">
        <f ca="1">AVERAGEIFS(INDIRECT($D$3),INDIRECT($D$3),"&gt;=0",Data!$B:$B,BB146,IF($A$20,Data!$J:$J,Data!#REF!),IF($A$20,"&lt;&gt;5",1))</f>
        <v>#DIV/0!</v>
      </c>
      <c r="BD146" t="e">
        <f t="shared" ca="1" si="80"/>
        <v>#DIV/0!</v>
      </c>
      <c r="BE146" s="20" t="s">
        <v>173</v>
      </c>
      <c r="BF146" t="e">
        <f ca="1">AVERAGEIFS(INDIRECT($E$3),INDIRECT($E$3),"&gt;=0",Data!$B:$B,BE146,IF($A$20,Data!$J:$J,Data!#REF!),IF($A$20,"&lt;&gt;5",1))</f>
        <v>#DIV/0!</v>
      </c>
      <c r="BG146" s="20" t="e">
        <f t="shared" ca="1" si="81"/>
        <v>#DIV/0!</v>
      </c>
      <c r="BH146" t="s">
        <v>35</v>
      </c>
      <c r="BI146" s="20" t="e">
        <f ca="1">AVERAGEIFS(INDIRECT($F$3),INDIRECT($F$3),"&gt;=0",Data!$B:$B,BH146,IF($A$20,Data!$J:$J,Data!#REF!),IF($A$20,"&lt;&gt;5",1))</f>
        <v>#DIV/0!</v>
      </c>
      <c r="BJ146" t="e">
        <f t="shared" ca="1" si="82"/>
        <v>#DIV/0!</v>
      </c>
      <c r="BK146" s="20" t="s">
        <v>122</v>
      </c>
      <c r="BL146" t="e">
        <f ca="1">AVERAGEIFS(INDIRECT($G$3),INDIRECT($G$3),"&gt;=0",Data!$B:$B,BK146,IF($A$20,Data!$J:$J,Data!#REF!),IF($A$20,"&lt;&gt;5",1))</f>
        <v>#DIV/0!</v>
      </c>
      <c r="BM146" s="20" t="e">
        <f t="shared" ca="1" si="83"/>
        <v>#DIV/0!</v>
      </c>
      <c r="BN146" t="s">
        <v>89</v>
      </c>
      <c r="BO146" t="e">
        <f ca="1">AVERAGEIFS(INDIRECT($H$3),INDIRECT($H$3),"&gt;=0",Data!$B:$B,BN146,IF($A$20,Data!$J:$J,Data!#REF!),IF($A$20,"&lt;&gt;5",1))</f>
        <v>#DIV/0!</v>
      </c>
      <c r="BP146" t="e">
        <f t="shared" ca="1" si="84"/>
        <v>#DIV/0!</v>
      </c>
      <c r="BQ146" t="s">
        <v>21</v>
      </c>
      <c r="BR146" t="e">
        <f ca="1">AVERAGEIFS(INDIRECT($I$3),INDIRECT($I$3),"&gt;=0",Data!$B:$B,BQ146,IF($A$20,Data!$J:$J,Data!#REF!),IF($A$20,"&lt;&gt;5",1))</f>
        <v>#DIV/0!</v>
      </c>
      <c r="BS146" t="e">
        <f t="shared" ca="1" si="85"/>
        <v>#DIV/0!</v>
      </c>
      <c r="BT146" t="s">
        <v>38</v>
      </c>
      <c r="BU146" t="e">
        <f ca="1">AVERAGEIFS(INDIRECT($J$3),INDIRECT($J$3),"&gt;=0",Data!$B:$B,BT146,IF($A$20,Data!$J:$J,Data!#REF!),IF($A$20,"&lt;&gt;5",1))</f>
        <v>#DIV/0!</v>
      </c>
      <c r="BV146" t="e">
        <f t="shared" ca="1" si="86"/>
        <v>#DIV/0!</v>
      </c>
    </row>
    <row r="147" spans="10:74" x14ac:dyDescent="0.35">
      <c r="J147">
        <f t="shared" si="87"/>
        <v>139</v>
      </c>
      <c r="K147" t="s">
        <v>93</v>
      </c>
      <c r="L147" t="e">
        <f ca="1">AVERAGEIFS(INDIRECT($B$3),INDIRECT($B$3),"&gt;=0",Data!$B:$B,$K147)</f>
        <v>#DIV/0!</v>
      </c>
      <c r="M147" t="e">
        <f t="shared" ca="1" si="88"/>
        <v>#DIV/0!</v>
      </c>
      <c r="N147" t="s">
        <v>139</v>
      </c>
      <c r="O147" t="e">
        <f ca="1">AVERAGEIFS(INDIRECT($C$3),INDIRECT($C$3),"&gt;=0",Data!$B:$B,$N147)</f>
        <v>#DIV/0!</v>
      </c>
      <c r="P147" t="e">
        <f t="shared" ca="1" si="61"/>
        <v>#DIV/0!</v>
      </c>
      <c r="Q147" t="s">
        <v>188</v>
      </c>
      <c r="R147" t="e">
        <f ca="1">AVERAGEIFS(INDIRECT($D$3),INDIRECT($D$3),"&gt;=0",Data!$B:$B,$Q147)</f>
        <v>#DIV/0!</v>
      </c>
      <c r="S147" t="e">
        <f t="shared" ca="1" si="62"/>
        <v>#DIV/0!</v>
      </c>
      <c r="T147" t="s">
        <v>95</v>
      </c>
      <c r="U147" t="e">
        <f ca="1">AVERAGEIFS(INDIRECT($E$3),INDIRECT($E$3),"&gt;=0",Data!$B:$B,$T147)</f>
        <v>#DIV/0!</v>
      </c>
      <c r="V147" t="e">
        <f t="shared" ca="1" si="63"/>
        <v>#DIV/0!</v>
      </c>
      <c r="W147" t="s">
        <v>149</v>
      </c>
      <c r="X147" t="e">
        <f ca="1">AVERAGEIFS(INDIRECT($F$3),INDIRECT($F$3),"&gt;=0",Data!$B:$B,$W147)</f>
        <v>#DIV/0!</v>
      </c>
      <c r="Y147" t="e">
        <f t="shared" ca="1" si="64"/>
        <v>#DIV/0!</v>
      </c>
      <c r="Z147" t="s">
        <v>52</v>
      </c>
      <c r="AA147" t="e">
        <f ca="1">AVERAGEIFS(INDIRECT($G$3),INDIRECT($G$3),"&gt;=0",Data!$B:$B,$Z147)</f>
        <v>#DIV/0!</v>
      </c>
      <c r="AB147" t="e">
        <f t="shared" ca="1" si="65"/>
        <v>#DIV/0!</v>
      </c>
      <c r="AC147" t="s">
        <v>2</v>
      </c>
      <c r="AD147" t="e">
        <f ca="1">AVERAGEIFS(INDIRECT($H$3),INDIRECT($H$3),"&gt;=0",Data!$B:$B,$AC147)</f>
        <v>#DIV/0!</v>
      </c>
      <c r="AE147" t="e">
        <f t="shared" ca="1" si="66"/>
        <v>#DIV/0!</v>
      </c>
      <c r="AF147" t="s">
        <v>103</v>
      </c>
      <c r="AG147" t="e">
        <f ca="1">AVERAGEIFS(INDIRECT($I$3),INDIRECT($I$3),"&gt;=0",Data!$B:$B,$AF147)</f>
        <v>#DIV/0!</v>
      </c>
      <c r="AH147" t="e">
        <f t="shared" ca="1" si="67"/>
        <v>#DIV/0!</v>
      </c>
      <c r="AI147" t="s">
        <v>40</v>
      </c>
      <c r="AJ147" t="e">
        <f ca="1">AVERAGEIFS(INDIRECT($J$3),INDIRECT($J$3),"&gt;=0",Data!$B:$B,$AI147)</f>
        <v>#DIV/0!</v>
      </c>
      <c r="AK147" t="e">
        <f t="shared" ca="1" si="68"/>
        <v>#DIV/0!</v>
      </c>
      <c r="AL147" t="str">
        <f t="shared" ca="1" si="69"/>
        <v>-</v>
      </c>
      <c r="AM147" t="str">
        <f t="shared" ca="1" si="70"/>
        <v>-</v>
      </c>
      <c r="AN147" t="str">
        <f t="shared" ca="1" si="71"/>
        <v>-</v>
      </c>
      <c r="AO147" t="str">
        <f t="shared" ca="1" si="72"/>
        <v>-</v>
      </c>
      <c r="AP147" t="str">
        <f t="shared" ca="1" si="73"/>
        <v>-</v>
      </c>
      <c r="AQ147" t="str">
        <f t="shared" ca="1" si="74"/>
        <v>-</v>
      </c>
      <c r="AR147" t="str">
        <f t="shared" ca="1" si="75"/>
        <v>-</v>
      </c>
      <c r="AS147" t="str">
        <f t="shared" ca="1" si="76"/>
        <v>-</v>
      </c>
      <c r="AT147" t="str">
        <f t="shared" ca="1" si="77"/>
        <v>-</v>
      </c>
      <c r="AU147">
        <f t="shared" si="89"/>
        <v>139</v>
      </c>
      <c r="AV147" t="s">
        <v>170</v>
      </c>
      <c r="AW147" s="20" t="e">
        <f ca="1">AVERAGEIFS(INDIRECT($B$3),INDIRECT($B$3),"&gt;=0",Data!$B:$B,AV147,IF($A$20,Data!$J:$J,Data!#REF!),IF($A$20,"&lt;&gt;5",1))</f>
        <v>#DIV/0!</v>
      </c>
      <c r="AX147" t="e">
        <f t="shared" ca="1" si="78"/>
        <v>#DIV/0!</v>
      </c>
      <c r="AY147" s="20" t="s">
        <v>69</v>
      </c>
      <c r="AZ147" t="e">
        <f ca="1">AVERAGEIFS(INDIRECT($C$3),INDIRECT($C$3),"&gt;=0",Data!$B:$B,AY147,IF($A$20,Data!$J:$J,Data!#REF!),IF($A$20,"&lt;&gt;5",1))</f>
        <v>#DIV/0!</v>
      </c>
      <c r="BA147" s="20" t="e">
        <f t="shared" ca="1" si="79"/>
        <v>#DIV/0!</v>
      </c>
      <c r="BB147" t="s">
        <v>97</v>
      </c>
      <c r="BC147" s="20" t="e">
        <f ca="1">AVERAGEIFS(INDIRECT($D$3),INDIRECT($D$3),"&gt;=0",Data!$B:$B,BB147,IF($A$20,Data!$J:$J,Data!#REF!),IF($A$20,"&lt;&gt;5",1))</f>
        <v>#DIV/0!</v>
      </c>
      <c r="BD147" t="e">
        <f t="shared" ca="1" si="80"/>
        <v>#DIV/0!</v>
      </c>
      <c r="BE147" s="20" t="s">
        <v>20</v>
      </c>
      <c r="BF147" t="e">
        <f ca="1">AVERAGEIFS(INDIRECT($E$3),INDIRECT($E$3),"&gt;=0",Data!$B:$B,BE147,IF($A$20,Data!$J:$J,Data!#REF!),IF($A$20,"&lt;&gt;5",1))</f>
        <v>#DIV/0!</v>
      </c>
      <c r="BG147" s="20" t="e">
        <f t="shared" ca="1" si="81"/>
        <v>#DIV/0!</v>
      </c>
      <c r="BH147" t="s">
        <v>137</v>
      </c>
      <c r="BI147" s="20">
        <f ca="1">AVERAGEIFS(INDIRECT($F$3),INDIRECT($F$3),"&gt;=0",Data!$B:$B,BH147,IF($A$20,Data!$J:$J,Data!#REF!),IF($A$20,"&lt;&gt;5",1))</f>
        <v>0</v>
      </c>
      <c r="BJ147" t="e">
        <f t="shared" ca="1" si="82"/>
        <v>#DIV/0!</v>
      </c>
      <c r="BK147" s="20" t="s">
        <v>125</v>
      </c>
      <c r="BL147" t="e">
        <f ca="1">AVERAGEIFS(INDIRECT($G$3),INDIRECT($G$3),"&gt;=0",Data!$B:$B,BK147,IF($A$20,Data!$J:$J,Data!#REF!),IF($A$20,"&lt;&gt;5",1))</f>
        <v>#DIV/0!</v>
      </c>
      <c r="BM147" s="20" t="e">
        <f t="shared" ca="1" si="83"/>
        <v>#DIV/0!</v>
      </c>
      <c r="BN147" t="s">
        <v>172</v>
      </c>
      <c r="BO147" t="e">
        <f ca="1">AVERAGEIFS(INDIRECT($H$3),INDIRECT($H$3),"&gt;=0",Data!$B:$B,BN147,IF($A$20,Data!$J:$J,Data!#REF!),IF($A$20,"&lt;&gt;5",1))</f>
        <v>#DIV/0!</v>
      </c>
      <c r="BP147" t="e">
        <f t="shared" ca="1" si="84"/>
        <v>#DIV/0!</v>
      </c>
      <c r="BQ147" t="s">
        <v>57</v>
      </c>
      <c r="BR147" t="e">
        <f ca="1">AVERAGEIFS(INDIRECT($I$3),INDIRECT($I$3),"&gt;=0",Data!$B:$B,BQ147,IF($A$20,Data!$J:$J,Data!#REF!),IF($A$20,"&lt;&gt;5",1))</f>
        <v>#DIV/0!</v>
      </c>
      <c r="BS147" t="e">
        <f t="shared" ca="1" si="85"/>
        <v>#DIV/0!</v>
      </c>
      <c r="BT147" t="s">
        <v>42</v>
      </c>
      <c r="BU147" t="e">
        <f ca="1">AVERAGEIFS(INDIRECT($J$3),INDIRECT($J$3),"&gt;=0",Data!$B:$B,BT147,IF($A$20,Data!$J:$J,Data!#REF!),IF($A$20,"&lt;&gt;5",1))</f>
        <v>#DIV/0!</v>
      </c>
      <c r="BV147" t="e">
        <f t="shared" ca="1" si="86"/>
        <v>#DIV/0!</v>
      </c>
    </row>
    <row r="148" spans="10:74" x14ac:dyDescent="0.35">
      <c r="J148">
        <f t="shared" si="87"/>
        <v>140</v>
      </c>
      <c r="K148" t="s">
        <v>50</v>
      </c>
      <c r="L148" t="e">
        <f ca="1">AVERAGEIFS(INDIRECT($B$3),INDIRECT($B$3),"&gt;=0",Data!$B:$B,$K148)</f>
        <v>#DIV/0!</v>
      </c>
      <c r="M148" t="e">
        <f t="shared" ca="1" si="88"/>
        <v>#DIV/0!</v>
      </c>
      <c r="N148" t="s">
        <v>105</v>
      </c>
      <c r="O148" t="e">
        <f ca="1">AVERAGEIFS(INDIRECT($C$3),INDIRECT($C$3),"&gt;=0",Data!$B:$B,$N148)</f>
        <v>#DIV/0!</v>
      </c>
      <c r="P148" t="e">
        <f t="shared" ca="1" si="61"/>
        <v>#DIV/0!</v>
      </c>
      <c r="Q148" t="s">
        <v>97</v>
      </c>
      <c r="R148" t="e">
        <f ca="1">AVERAGEIFS(INDIRECT($D$3),INDIRECT($D$3),"&gt;=0",Data!$B:$B,$Q148)</f>
        <v>#DIV/0!</v>
      </c>
      <c r="S148" t="e">
        <f t="shared" ca="1" si="62"/>
        <v>#DIV/0!</v>
      </c>
      <c r="T148" t="s">
        <v>122</v>
      </c>
      <c r="U148" t="e">
        <f ca="1">AVERAGEIFS(INDIRECT($E$3),INDIRECT($E$3),"&gt;=0",Data!$B:$B,$T148)</f>
        <v>#DIV/0!</v>
      </c>
      <c r="V148" t="e">
        <f t="shared" ca="1" si="63"/>
        <v>#DIV/0!</v>
      </c>
      <c r="W148" t="s">
        <v>155</v>
      </c>
      <c r="X148" t="e">
        <f ca="1">AVERAGEIFS(INDIRECT($F$3),INDIRECT($F$3),"&gt;=0",Data!$B:$B,$W148)</f>
        <v>#DIV/0!</v>
      </c>
      <c r="Y148" t="e">
        <f t="shared" ca="1" si="64"/>
        <v>#DIV/0!</v>
      </c>
      <c r="Z148" t="s">
        <v>110</v>
      </c>
      <c r="AA148" t="e">
        <f ca="1">AVERAGEIFS(INDIRECT($G$3),INDIRECT($G$3),"&gt;=0",Data!$B:$B,$Z148)</f>
        <v>#DIV/0!</v>
      </c>
      <c r="AB148" t="e">
        <f t="shared" ca="1" si="65"/>
        <v>#DIV/0!</v>
      </c>
      <c r="AC148" t="s">
        <v>41</v>
      </c>
      <c r="AD148">
        <f ca="1">AVERAGEIFS(INDIRECT($H$3),INDIRECT($H$3),"&gt;=0",Data!$B:$B,$AC148)</f>
        <v>0.96153846153846156</v>
      </c>
      <c r="AE148" t="e">
        <f t="shared" ca="1" si="66"/>
        <v>#DIV/0!</v>
      </c>
      <c r="AF148" t="s">
        <v>131</v>
      </c>
      <c r="AG148" t="e">
        <f ca="1">AVERAGEIFS(INDIRECT($I$3),INDIRECT($I$3),"&gt;=0",Data!$B:$B,$AF148)</f>
        <v>#DIV/0!</v>
      </c>
      <c r="AH148" t="e">
        <f t="shared" ca="1" si="67"/>
        <v>#DIV/0!</v>
      </c>
      <c r="AI148" t="s">
        <v>39</v>
      </c>
      <c r="AJ148" t="e">
        <f ca="1">AVERAGEIFS(INDIRECT($J$3),INDIRECT($J$3),"&gt;=0",Data!$B:$B,$AI148)</f>
        <v>#DIV/0!</v>
      </c>
      <c r="AK148" t="e">
        <f t="shared" ca="1" si="68"/>
        <v>#DIV/0!</v>
      </c>
      <c r="AL148" t="str">
        <f t="shared" ca="1" si="69"/>
        <v>-</v>
      </c>
      <c r="AM148" t="str">
        <f t="shared" ca="1" si="70"/>
        <v>-</v>
      </c>
      <c r="AN148" t="str">
        <f t="shared" ca="1" si="71"/>
        <v>-</v>
      </c>
      <c r="AO148" t="str">
        <f t="shared" ca="1" si="72"/>
        <v>-</v>
      </c>
      <c r="AP148" t="str">
        <f t="shared" ca="1" si="73"/>
        <v>-</v>
      </c>
      <c r="AQ148" t="str">
        <f t="shared" ca="1" si="74"/>
        <v>-</v>
      </c>
      <c r="AR148" t="str">
        <f t="shared" ca="1" si="75"/>
        <v>-</v>
      </c>
      <c r="AS148" t="str">
        <f t="shared" ca="1" si="76"/>
        <v>-</v>
      </c>
      <c r="AT148" t="str">
        <f t="shared" ca="1" si="77"/>
        <v>-</v>
      </c>
      <c r="AU148">
        <f t="shared" si="89"/>
        <v>140</v>
      </c>
      <c r="AV148" t="s">
        <v>54</v>
      </c>
      <c r="AW148" s="20" t="e">
        <f ca="1">AVERAGEIFS(INDIRECT($B$3),INDIRECT($B$3),"&gt;=0",Data!$B:$B,AV148,IF($A$20,Data!$J:$J,Data!#REF!),IF($A$20,"&lt;&gt;5",1))</f>
        <v>#DIV/0!</v>
      </c>
      <c r="AX148" t="e">
        <f t="shared" ca="1" si="78"/>
        <v>#DIV/0!</v>
      </c>
      <c r="AY148" s="20" t="s">
        <v>20</v>
      </c>
      <c r="AZ148" t="e">
        <f ca="1">AVERAGEIFS(INDIRECT($C$3),INDIRECT($C$3),"&gt;=0",Data!$B:$B,AY148,IF($A$20,Data!$J:$J,Data!#REF!),IF($A$20,"&lt;&gt;5",1))</f>
        <v>#DIV/0!</v>
      </c>
      <c r="BA148" s="20" t="e">
        <f t="shared" ca="1" si="79"/>
        <v>#DIV/0!</v>
      </c>
      <c r="BB148" t="s">
        <v>122</v>
      </c>
      <c r="BC148" s="20" t="e">
        <f ca="1">AVERAGEIFS(INDIRECT($D$3),INDIRECT($D$3),"&gt;=0",Data!$B:$B,BB148,IF($A$20,Data!$J:$J,Data!#REF!),IF($A$20,"&lt;&gt;5",1))</f>
        <v>#DIV/0!</v>
      </c>
      <c r="BD148" t="e">
        <f t="shared" ca="1" si="80"/>
        <v>#DIV/0!</v>
      </c>
      <c r="BE148" s="20" t="s">
        <v>69</v>
      </c>
      <c r="BF148" t="e">
        <f ca="1">AVERAGEIFS(INDIRECT($E$3),INDIRECT($E$3),"&gt;=0",Data!$B:$B,BE148,IF($A$20,Data!$J:$J,Data!#REF!),IF($A$20,"&lt;&gt;5",1))</f>
        <v>#DIV/0!</v>
      </c>
      <c r="BG148" s="20" t="e">
        <f t="shared" ca="1" si="81"/>
        <v>#DIV/0!</v>
      </c>
      <c r="BH148" t="s">
        <v>134</v>
      </c>
      <c r="BI148" s="20">
        <f ca="1">AVERAGEIFS(INDIRECT($F$3),INDIRECT($F$3),"&gt;=0",Data!$B:$B,BH148,IF($A$20,Data!$J:$J,Data!#REF!),IF($A$20,"&lt;&gt;5",1))</f>
        <v>0</v>
      </c>
      <c r="BJ148" t="e">
        <f t="shared" ca="1" si="82"/>
        <v>#DIV/0!</v>
      </c>
      <c r="BK148" s="20" t="s">
        <v>180</v>
      </c>
      <c r="BL148" t="e">
        <f ca="1">AVERAGEIFS(INDIRECT($G$3),INDIRECT($G$3),"&gt;=0",Data!$B:$B,BK148,IF($A$20,Data!$J:$J,Data!#REF!),IF($A$20,"&lt;&gt;5",1))</f>
        <v>#DIV/0!</v>
      </c>
      <c r="BM148" s="20" t="e">
        <f t="shared" ca="1" si="83"/>
        <v>#DIV/0!</v>
      </c>
      <c r="BN148" t="s">
        <v>192</v>
      </c>
      <c r="BO148" t="e">
        <f ca="1">AVERAGEIFS(INDIRECT($H$3),INDIRECT($H$3),"&gt;=0",Data!$B:$B,BN148,IF($A$20,Data!$J:$J,Data!#REF!),IF($A$20,"&lt;&gt;5",1))</f>
        <v>#DIV/0!</v>
      </c>
      <c r="BP148" t="e">
        <f t="shared" ca="1" si="84"/>
        <v>#DIV/0!</v>
      </c>
      <c r="BQ148" t="s">
        <v>26</v>
      </c>
      <c r="BR148" t="e">
        <f ca="1">AVERAGEIFS(INDIRECT($I$3),INDIRECT($I$3),"&gt;=0",Data!$B:$B,BQ148,IF($A$20,Data!$J:$J,Data!#REF!),IF($A$20,"&lt;&gt;5",1))</f>
        <v>#DIV/0!</v>
      </c>
      <c r="BS148" t="e">
        <f t="shared" ca="1" si="85"/>
        <v>#DIV/0!</v>
      </c>
      <c r="BT148" t="s">
        <v>41</v>
      </c>
      <c r="BU148">
        <f ca="1">AVERAGEIFS(INDIRECT($J$3),INDIRECT($J$3),"&gt;=0",Data!$B:$B,BT148,IF($A$20,Data!$J:$J,Data!#REF!),IF($A$20,"&lt;&gt;5",1))</f>
        <v>0.36</v>
      </c>
      <c r="BV148" t="e">
        <f t="shared" ca="1" si="86"/>
        <v>#DIV/0!</v>
      </c>
    </row>
    <row r="149" spans="10:74" x14ac:dyDescent="0.35">
      <c r="J149">
        <f t="shared" si="87"/>
        <v>141</v>
      </c>
      <c r="K149" t="s">
        <v>54</v>
      </c>
      <c r="L149" t="e">
        <f ca="1">AVERAGEIFS(INDIRECT($B$3),INDIRECT($B$3),"&gt;=0",Data!$B:$B,$K149)</f>
        <v>#DIV/0!</v>
      </c>
      <c r="M149" t="e">
        <f t="shared" ca="1" si="88"/>
        <v>#DIV/0!</v>
      </c>
      <c r="N149" t="s">
        <v>30</v>
      </c>
      <c r="O149" t="e">
        <f ca="1">AVERAGEIFS(INDIRECT($C$3),INDIRECT($C$3),"&gt;=0",Data!$B:$B,$N149)</f>
        <v>#DIV/0!</v>
      </c>
      <c r="P149" t="e">
        <f t="shared" ca="1" si="61"/>
        <v>#DIV/0!</v>
      </c>
      <c r="Q149" t="s">
        <v>122</v>
      </c>
      <c r="R149" t="e">
        <f ca="1">AVERAGEIFS(INDIRECT($D$3),INDIRECT($D$3),"&gt;=0",Data!$B:$B,$Q149)</f>
        <v>#DIV/0!</v>
      </c>
      <c r="S149" t="e">
        <f t="shared" ca="1" si="62"/>
        <v>#DIV/0!</v>
      </c>
      <c r="T149" t="s">
        <v>126</v>
      </c>
      <c r="U149" t="e">
        <f ca="1">AVERAGEIFS(INDIRECT($E$3),INDIRECT($E$3),"&gt;=0",Data!$B:$B,$T149)</f>
        <v>#DIV/0!</v>
      </c>
      <c r="V149" t="e">
        <f t="shared" ca="1" si="63"/>
        <v>#DIV/0!</v>
      </c>
      <c r="W149" t="s">
        <v>158</v>
      </c>
      <c r="X149" t="e">
        <f ca="1">AVERAGEIFS(INDIRECT($F$3),INDIRECT($F$3),"&gt;=0",Data!$B:$B,$W149)</f>
        <v>#DIV/0!</v>
      </c>
      <c r="Y149" t="e">
        <f t="shared" ca="1" si="64"/>
        <v>#DIV/0!</v>
      </c>
      <c r="Z149" t="s">
        <v>122</v>
      </c>
      <c r="AA149" t="e">
        <f ca="1">AVERAGEIFS(INDIRECT($G$3),INDIRECT($G$3),"&gt;=0",Data!$B:$B,$Z149)</f>
        <v>#DIV/0!</v>
      </c>
      <c r="AB149" t="e">
        <f t="shared" ca="1" si="65"/>
        <v>#DIV/0!</v>
      </c>
      <c r="AC149" t="s">
        <v>57</v>
      </c>
      <c r="AD149" t="e">
        <f ca="1">AVERAGEIFS(INDIRECT($H$3),INDIRECT($H$3),"&gt;=0",Data!$B:$B,$AC149)</f>
        <v>#DIV/0!</v>
      </c>
      <c r="AE149" t="e">
        <f t="shared" ca="1" si="66"/>
        <v>#DIV/0!</v>
      </c>
      <c r="AF149" t="s">
        <v>137</v>
      </c>
      <c r="AG149">
        <f ca="1">AVERAGEIFS(INDIRECT($I$3),INDIRECT($I$3),"&gt;=0",Data!$B:$B,$AF149)</f>
        <v>0.52631578947368418</v>
      </c>
      <c r="AH149" t="e">
        <f t="shared" ca="1" si="67"/>
        <v>#DIV/0!</v>
      </c>
      <c r="AI149" t="s">
        <v>38</v>
      </c>
      <c r="AJ149" t="e">
        <f ca="1">AVERAGEIFS(INDIRECT($J$3),INDIRECT($J$3),"&gt;=0",Data!$B:$B,$AI149)</f>
        <v>#DIV/0!</v>
      </c>
      <c r="AK149" t="e">
        <f t="shared" ca="1" si="68"/>
        <v>#DIV/0!</v>
      </c>
      <c r="AL149" t="str">
        <f t="shared" ca="1" si="69"/>
        <v>-</v>
      </c>
      <c r="AM149" t="str">
        <f t="shared" ca="1" si="70"/>
        <v>-</v>
      </c>
      <c r="AN149" t="str">
        <f t="shared" ca="1" si="71"/>
        <v>-</v>
      </c>
      <c r="AO149" t="str">
        <f t="shared" ca="1" si="72"/>
        <v>-</v>
      </c>
      <c r="AP149" t="str">
        <f t="shared" ca="1" si="73"/>
        <v>-</v>
      </c>
      <c r="AQ149" t="str">
        <f t="shared" ca="1" si="74"/>
        <v>-</v>
      </c>
      <c r="AR149" t="str">
        <f t="shared" ca="1" si="75"/>
        <v>-</v>
      </c>
      <c r="AS149" t="str">
        <f t="shared" ca="1" si="76"/>
        <v>-</v>
      </c>
      <c r="AT149" t="str">
        <f t="shared" ca="1" si="77"/>
        <v>-</v>
      </c>
      <c r="AU149">
        <f t="shared" si="89"/>
        <v>141</v>
      </c>
      <c r="AV149" t="s">
        <v>157</v>
      </c>
      <c r="AW149" s="20" t="e">
        <f ca="1">AVERAGEIFS(INDIRECT($B$3),INDIRECT($B$3),"&gt;=0",Data!$B:$B,AV149,IF($A$20,Data!$J:$J,Data!#REF!),IF($A$20,"&lt;&gt;5",1))</f>
        <v>#DIV/0!</v>
      </c>
      <c r="AX149" t="e">
        <f t="shared" ca="1" si="78"/>
        <v>#DIV/0!</v>
      </c>
      <c r="AY149" s="20" t="s">
        <v>164</v>
      </c>
      <c r="AZ149" t="e">
        <f ca="1">AVERAGEIFS(INDIRECT($C$3),INDIRECT($C$3),"&gt;=0",Data!$B:$B,AY149,IF($A$20,Data!$J:$J,Data!#REF!),IF($A$20,"&lt;&gt;5",1))</f>
        <v>#DIV/0!</v>
      </c>
      <c r="BA149" s="20" t="e">
        <f t="shared" ca="1" si="79"/>
        <v>#DIV/0!</v>
      </c>
      <c r="BB149" t="s">
        <v>27</v>
      </c>
      <c r="BC149" s="20" t="e">
        <f ca="1">AVERAGEIFS(INDIRECT($D$3),INDIRECT($D$3),"&gt;=0",Data!$B:$B,BB149,IF($A$20,Data!$J:$J,Data!#REF!),IF($A$20,"&lt;&gt;5",1))</f>
        <v>#DIV/0!</v>
      </c>
      <c r="BD149" t="e">
        <f t="shared" ca="1" si="80"/>
        <v>#DIV/0!</v>
      </c>
      <c r="BE149" s="20" t="s">
        <v>101</v>
      </c>
      <c r="BF149" t="e">
        <f ca="1">AVERAGEIFS(INDIRECT($E$3),INDIRECT($E$3),"&gt;=0",Data!$B:$B,BE149,IF($A$20,Data!$J:$J,Data!#REF!),IF($A$20,"&lt;&gt;5",1))</f>
        <v>#DIV/0!</v>
      </c>
      <c r="BG149" s="20" t="e">
        <f t="shared" ca="1" si="81"/>
        <v>#DIV/0!</v>
      </c>
      <c r="BH149" t="s">
        <v>24</v>
      </c>
      <c r="BI149" s="20" t="e">
        <f ca="1">AVERAGEIFS(INDIRECT($F$3),INDIRECT($F$3),"&gt;=0",Data!$B:$B,BH149,IF($A$20,Data!$J:$J,Data!#REF!),IF($A$20,"&lt;&gt;5",1))</f>
        <v>#DIV/0!</v>
      </c>
      <c r="BJ149" t="e">
        <f t="shared" ca="1" si="82"/>
        <v>#DIV/0!</v>
      </c>
      <c r="BK149" s="20" t="s">
        <v>12</v>
      </c>
      <c r="BL149">
        <f ca="1">AVERAGEIFS(INDIRECT($G$3),INDIRECT($G$3),"&gt;=0",Data!$B:$B,BK149,IF($A$20,Data!$J:$J,Data!#REF!),IF($A$20,"&lt;&gt;5",1))</f>
        <v>0.5</v>
      </c>
      <c r="BM149" s="20" t="e">
        <f t="shared" ca="1" si="83"/>
        <v>#DIV/0!</v>
      </c>
      <c r="BN149" t="s">
        <v>150</v>
      </c>
      <c r="BO149" t="e">
        <f ca="1">AVERAGEIFS(INDIRECT($H$3),INDIRECT($H$3),"&gt;=0",Data!$B:$B,BN149,IF($A$20,Data!$J:$J,Data!#REF!),IF($A$20,"&lt;&gt;5",1))</f>
        <v>#DIV/0!</v>
      </c>
      <c r="BP149" t="e">
        <f t="shared" ca="1" si="84"/>
        <v>#DIV/0!</v>
      </c>
      <c r="BQ149" t="s">
        <v>113</v>
      </c>
      <c r="BR149" t="e">
        <f ca="1">AVERAGEIFS(INDIRECT($I$3),INDIRECT($I$3),"&gt;=0",Data!$B:$B,BQ149,IF($A$20,Data!$J:$J,Data!#REF!),IF($A$20,"&lt;&gt;5",1))</f>
        <v>#DIV/0!</v>
      </c>
      <c r="BS149" t="e">
        <f t="shared" ca="1" si="85"/>
        <v>#DIV/0!</v>
      </c>
      <c r="BT149" t="s">
        <v>34</v>
      </c>
      <c r="BU149">
        <f ca="1">AVERAGEIFS(INDIRECT($J$3),INDIRECT($J$3),"&gt;=0",Data!$B:$B,BT149,IF($A$20,Data!$J:$J,Data!#REF!),IF($A$20,"&lt;&gt;5",1))</f>
        <v>0.6470588235294118</v>
      </c>
      <c r="BV149">
        <f t="shared" ca="1" si="86"/>
        <v>141</v>
      </c>
    </row>
    <row r="150" spans="10:74" x14ac:dyDescent="0.35">
      <c r="J150">
        <f t="shared" si="87"/>
        <v>142</v>
      </c>
      <c r="K150" t="s">
        <v>65</v>
      </c>
      <c r="L150" t="e">
        <f ca="1">AVERAGEIFS(INDIRECT($B$3),INDIRECT($B$3),"&gt;=0",Data!$B:$B,$K150)</f>
        <v>#DIV/0!</v>
      </c>
      <c r="M150" t="e">
        <f t="shared" ca="1" si="88"/>
        <v>#DIV/0!</v>
      </c>
      <c r="N150" t="s">
        <v>19</v>
      </c>
      <c r="O150" t="e">
        <f ca="1">AVERAGEIFS(INDIRECT($C$3),INDIRECT($C$3),"&gt;=0",Data!$B:$B,$N150)</f>
        <v>#DIV/0!</v>
      </c>
      <c r="P150" t="e">
        <f t="shared" ca="1" si="61"/>
        <v>#DIV/0!</v>
      </c>
      <c r="Q150" t="s">
        <v>8</v>
      </c>
      <c r="R150" t="e">
        <f ca="1">AVERAGEIFS(INDIRECT($D$3),INDIRECT($D$3),"&gt;=0",Data!$B:$B,$Q150)</f>
        <v>#DIV/0!</v>
      </c>
      <c r="S150" t="e">
        <f t="shared" ca="1" si="62"/>
        <v>#DIV/0!</v>
      </c>
      <c r="T150" t="s">
        <v>173</v>
      </c>
      <c r="U150" t="e">
        <f ca="1">AVERAGEIFS(INDIRECT($E$3),INDIRECT($E$3),"&gt;=0",Data!$B:$B,$T150)</f>
        <v>#DIV/0!</v>
      </c>
      <c r="V150" t="e">
        <f t="shared" ca="1" si="63"/>
        <v>#DIV/0!</v>
      </c>
      <c r="W150" t="s">
        <v>174</v>
      </c>
      <c r="X150" t="e">
        <f ca="1">AVERAGEIFS(INDIRECT($F$3),INDIRECT($F$3),"&gt;=0",Data!$B:$B,$W150)</f>
        <v>#DIV/0!</v>
      </c>
      <c r="Y150" t="e">
        <f t="shared" ca="1" si="64"/>
        <v>#DIV/0!</v>
      </c>
      <c r="Z150" t="s">
        <v>125</v>
      </c>
      <c r="AA150" t="e">
        <f ca="1">AVERAGEIFS(INDIRECT($G$3),INDIRECT($G$3),"&gt;=0",Data!$B:$B,$Z150)</f>
        <v>#DIV/0!</v>
      </c>
      <c r="AB150" t="e">
        <f t="shared" ca="1" si="65"/>
        <v>#DIV/0!</v>
      </c>
      <c r="AC150" t="s">
        <v>88</v>
      </c>
      <c r="AD150" t="e">
        <f ca="1">AVERAGEIFS(INDIRECT($H$3),INDIRECT($H$3),"&gt;=0",Data!$B:$B,$AC150)</f>
        <v>#DIV/0!</v>
      </c>
      <c r="AE150" t="e">
        <f t="shared" ca="1" si="66"/>
        <v>#DIV/0!</v>
      </c>
      <c r="AF150" t="s">
        <v>159</v>
      </c>
      <c r="AG150" t="e">
        <f ca="1">AVERAGEIFS(INDIRECT($I$3),INDIRECT($I$3),"&gt;=0",Data!$B:$B,$AF150)</f>
        <v>#DIV/0!</v>
      </c>
      <c r="AH150" t="e">
        <f t="shared" ca="1" si="67"/>
        <v>#DIV/0!</v>
      </c>
      <c r="AI150" t="s">
        <v>42</v>
      </c>
      <c r="AJ150" t="e">
        <f ca="1">AVERAGEIFS(INDIRECT($J$3),INDIRECT($J$3),"&gt;=0",Data!$B:$B,$AI150)</f>
        <v>#DIV/0!</v>
      </c>
      <c r="AK150" t="e">
        <f t="shared" ca="1" si="68"/>
        <v>#DIV/0!</v>
      </c>
      <c r="AL150" t="str">
        <f t="shared" ca="1" si="69"/>
        <v>-</v>
      </c>
      <c r="AM150" t="str">
        <f t="shared" ca="1" si="70"/>
        <v>-</v>
      </c>
      <c r="AN150" t="str">
        <f t="shared" ca="1" si="71"/>
        <v>-</v>
      </c>
      <c r="AO150" t="str">
        <f t="shared" ca="1" si="72"/>
        <v>-</v>
      </c>
      <c r="AP150" t="str">
        <f t="shared" ca="1" si="73"/>
        <v>-</v>
      </c>
      <c r="AQ150" t="str">
        <f t="shared" ca="1" si="74"/>
        <v>-</v>
      </c>
      <c r="AR150" t="str">
        <f t="shared" ca="1" si="75"/>
        <v>-</v>
      </c>
      <c r="AS150" t="str">
        <f t="shared" ca="1" si="76"/>
        <v>-</v>
      </c>
      <c r="AT150" t="str">
        <f t="shared" ca="1" si="77"/>
        <v>-</v>
      </c>
      <c r="AU150">
        <f t="shared" si="89"/>
        <v>142</v>
      </c>
      <c r="AV150" t="s">
        <v>186</v>
      </c>
      <c r="AW150" s="20" t="e">
        <f ca="1">AVERAGEIFS(INDIRECT($B$3),INDIRECT($B$3),"&gt;=0",Data!$B:$B,AV150,IF($A$20,Data!$J:$J,Data!#REF!),IF($A$20,"&lt;&gt;5",1))</f>
        <v>#DIV/0!</v>
      </c>
      <c r="AX150" t="e">
        <f t="shared" ca="1" si="78"/>
        <v>#DIV/0!</v>
      </c>
      <c r="AY150" s="20" t="s">
        <v>10</v>
      </c>
      <c r="AZ150" t="e">
        <f ca="1">AVERAGEIFS(INDIRECT($C$3),INDIRECT($C$3),"&gt;=0",Data!$B:$B,AY150,IF($A$20,Data!$J:$J,Data!#REF!),IF($A$20,"&lt;&gt;5",1))</f>
        <v>#DIV/0!</v>
      </c>
      <c r="BA150" s="20" t="e">
        <f t="shared" ca="1" si="79"/>
        <v>#DIV/0!</v>
      </c>
      <c r="BB150" t="s">
        <v>69</v>
      </c>
      <c r="BC150" s="20" t="e">
        <f ca="1">AVERAGEIFS(INDIRECT($D$3),INDIRECT($D$3),"&gt;=0",Data!$B:$B,BB150,IF($A$20,Data!$J:$J,Data!#REF!),IF($A$20,"&lt;&gt;5",1))</f>
        <v>#DIV/0!</v>
      </c>
      <c r="BD150" t="e">
        <f t="shared" ca="1" si="80"/>
        <v>#DIV/0!</v>
      </c>
      <c r="BE150" s="20" t="s">
        <v>150</v>
      </c>
      <c r="BF150" t="e">
        <f ca="1">AVERAGEIFS(INDIRECT($E$3),INDIRECT($E$3),"&gt;=0",Data!$B:$B,BE150,IF($A$20,Data!$J:$J,Data!#REF!),IF($A$20,"&lt;&gt;5",1))</f>
        <v>#DIV/0!</v>
      </c>
      <c r="BG150" s="20" t="e">
        <f t="shared" ca="1" si="81"/>
        <v>#DIV/0!</v>
      </c>
      <c r="BH150" t="s">
        <v>33</v>
      </c>
      <c r="BI150" s="20">
        <f ca="1">AVERAGEIFS(INDIRECT($F$3),INDIRECT($F$3),"&gt;=0",Data!$B:$B,BH150,IF($A$20,Data!$J:$J,Data!#REF!),IF($A$20,"&lt;&gt;5",1))</f>
        <v>0</v>
      </c>
      <c r="BJ150" t="e">
        <f t="shared" ca="1" si="82"/>
        <v>#DIV/0!</v>
      </c>
      <c r="BK150" s="20" t="s">
        <v>40</v>
      </c>
      <c r="BL150" t="e">
        <f ca="1">AVERAGEIFS(INDIRECT($G$3),INDIRECT($G$3),"&gt;=0",Data!$B:$B,BK150,IF($A$20,Data!$J:$J,Data!#REF!),IF($A$20,"&lt;&gt;5",1))</f>
        <v>#DIV/0!</v>
      </c>
      <c r="BM150" s="20" t="e">
        <f t="shared" ca="1" si="83"/>
        <v>#DIV/0!</v>
      </c>
      <c r="BN150" t="s">
        <v>41</v>
      </c>
      <c r="BO150">
        <f ca="1">AVERAGEIFS(INDIRECT($H$3),INDIRECT($H$3),"&gt;=0",Data!$B:$B,BN150,IF($A$20,Data!$J:$J,Data!#REF!),IF($A$20,"&lt;&gt;5",1))</f>
        <v>1</v>
      </c>
      <c r="BP150" t="e">
        <f t="shared" ca="1" si="84"/>
        <v>#DIV/0!</v>
      </c>
      <c r="BQ150" t="s">
        <v>139</v>
      </c>
      <c r="BR150" t="e">
        <f ca="1">AVERAGEIFS(INDIRECT($I$3),INDIRECT($I$3),"&gt;=0",Data!$B:$B,BQ150,IF($A$20,Data!$J:$J,Data!#REF!),IF($A$20,"&lt;&gt;5",1))</f>
        <v>#DIV/0!</v>
      </c>
      <c r="BS150" t="e">
        <f t="shared" ca="1" si="85"/>
        <v>#DIV/0!</v>
      </c>
      <c r="BT150" t="s">
        <v>43</v>
      </c>
      <c r="BU150" t="e">
        <f ca="1">AVERAGEIFS(INDIRECT($J$3),INDIRECT($J$3),"&gt;=0",Data!$B:$B,BT150,IF($A$20,Data!$J:$J,Data!#REF!),IF($A$20,"&lt;&gt;5",1))</f>
        <v>#DIV/0!</v>
      </c>
      <c r="BV150" t="e">
        <f t="shared" ca="1" si="86"/>
        <v>#DIV/0!</v>
      </c>
    </row>
    <row r="151" spans="10:74" x14ac:dyDescent="0.35">
      <c r="J151">
        <f t="shared" si="87"/>
        <v>143</v>
      </c>
      <c r="K151" t="s">
        <v>148</v>
      </c>
      <c r="L151" t="e">
        <f ca="1">AVERAGEIFS(INDIRECT($B$3),INDIRECT($B$3),"&gt;=0",Data!$B:$B,$K151)</f>
        <v>#DIV/0!</v>
      </c>
      <c r="M151" t="e">
        <f t="shared" ca="1" si="88"/>
        <v>#DIV/0!</v>
      </c>
      <c r="N151" t="s">
        <v>104</v>
      </c>
      <c r="O151" t="e">
        <f ca="1">AVERAGEIFS(INDIRECT($C$3),INDIRECT($C$3),"&gt;=0",Data!$B:$B,$N151)</f>
        <v>#DIV/0!</v>
      </c>
      <c r="P151" t="e">
        <f t="shared" ca="1" si="61"/>
        <v>#DIV/0!</v>
      </c>
      <c r="Q151" t="s">
        <v>168</v>
      </c>
      <c r="R151" t="e">
        <f ca="1">AVERAGEIFS(INDIRECT($D$3),INDIRECT($D$3),"&gt;=0",Data!$B:$B,$Q151)</f>
        <v>#DIV/0!</v>
      </c>
      <c r="S151" t="e">
        <f t="shared" ca="1" si="62"/>
        <v>#DIV/0!</v>
      </c>
      <c r="T151" t="s">
        <v>20</v>
      </c>
      <c r="U151" t="e">
        <f ca="1">AVERAGEIFS(INDIRECT($E$3),INDIRECT($E$3),"&gt;=0",Data!$B:$B,$T151)</f>
        <v>#DIV/0!</v>
      </c>
      <c r="V151" t="e">
        <f t="shared" ca="1" si="63"/>
        <v>#DIV/0!</v>
      </c>
      <c r="W151" t="s">
        <v>178</v>
      </c>
      <c r="X151" t="e">
        <f ca="1">AVERAGEIFS(INDIRECT($F$3),INDIRECT($F$3),"&gt;=0",Data!$B:$B,$W151)</f>
        <v>#DIV/0!</v>
      </c>
      <c r="Y151" t="e">
        <f t="shared" ca="1" si="64"/>
        <v>#DIV/0!</v>
      </c>
      <c r="Z151" t="s">
        <v>33</v>
      </c>
      <c r="AA151">
        <f ca="1">AVERAGEIFS(INDIRECT($G$3),INDIRECT($G$3),"&gt;=0",Data!$B:$B,$Z151)</f>
        <v>0.8</v>
      </c>
      <c r="AB151" t="e">
        <f t="shared" ca="1" si="65"/>
        <v>#DIV/0!</v>
      </c>
      <c r="AC151" t="s">
        <v>89</v>
      </c>
      <c r="AD151" t="e">
        <f ca="1">AVERAGEIFS(INDIRECT($H$3),INDIRECT($H$3),"&gt;=0",Data!$B:$B,$AC151)</f>
        <v>#DIV/0!</v>
      </c>
      <c r="AE151" t="e">
        <f t="shared" ca="1" si="66"/>
        <v>#DIV/0!</v>
      </c>
      <c r="AF151" t="s">
        <v>161</v>
      </c>
      <c r="AG151" t="e">
        <f ca="1">AVERAGEIFS(INDIRECT($I$3),INDIRECT($I$3),"&gt;=0",Data!$B:$B,$AF151)</f>
        <v>#DIV/0!</v>
      </c>
      <c r="AH151" t="e">
        <f t="shared" ca="1" si="67"/>
        <v>#DIV/0!</v>
      </c>
      <c r="AI151" t="s">
        <v>41</v>
      </c>
      <c r="AJ151">
        <f ca="1">AVERAGEIFS(INDIRECT($J$3),INDIRECT($J$3),"&gt;=0",Data!$B:$B,$AI151)</f>
        <v>0.34615384615384615</v>
      </c>
      <c r="AK151" t="e">
        <f t="shared" ca="1" si="68"/>
        <v>#DIV/0!</v>
      </c>
      <c r="AL151" t="str">
        <f t="shared" ca="1" si="69"/>
        <v>-</v>
      </c>
      <c r="AM151" t="str">
        <f t="shared" ca="1" si="70"/>
        <v>-</v>
      </c>
      <c r="AN151" t="str">
        <f t="shared" ca="1" si="71"/>
        <v>-</v>
      </c>
      <c r="AO151" t="str">
        <f t="shared" ca="1" si="72"/>
        <v>-</v>
      </c>
      <c r="AP151" t="str">
        <f t="shared" ca="1" si="73"/>
        <v>-</v>
      </c>
      <c r="AQ151" t="str">
        <f t="shared" ca="1" si="74"/>
        <v>-</v>
      </c>
      <c r="AR151" t="str">
        <f t="shared" ca="1" si="75"/>
        <v>-</v>
      </c>
      <c r="AS151" t="str">
        <f t="shared" ca="1" si="76"/>
        <v>-</v>
      </c>
      <c r="AT151" t="str">
        <f t="shared" ca="1" si="77"/>
        <v>-</v>
      </c>
      <c r="AU151">
        <f t="shared" si="89"/>
        <v>143</v>
      </c>
      <c r="AV151" t="s">
        <v>12</v>
      </c>
      <c r="AW151" s="20" t="e">
        <f ca="1">AVERAGEIFS(INDIRECT($B$3),INDIRECT($B$3),"&gt;=0",Data!$B:$B,AV151,IF($A$20,Data!$J:$J,Data!#REF!),IF($A$20,"&lt;&gt;5",1))</f>
        <v>#DIV/0!</v>
      </c>
      <c r="AX151" t="e">
        <f t="shared" ca="1" si="78"/>
        <v>#DIV/0!</v>
      </c>
      <c r="AY151" s="20" t="s">
        <v>65</v>
      </c>
      <c r="AZ151" t="e">
        <f ca="1">AVERAGEIFS(INDIRECT($C$3),INDIRECT($C$3),"&gt;=0",Data!$B:$B,AY151,IF($A$20,Data!$J:$J,Data!#REF!),IF($A$20,"&lt;&gt;5",1))</f>
        <v>#DIV/0!</v>
      </c>
      <c r="BA151" s="20" t="e">
        <f t="shared" ca="1" si="79"/>
        <v>#DIV/0!</v>
      </c>
      <c r="BB151" t="s">
        <v>101</v>
      </c>
      <c r="BC151" s="20" t="e">
        <f ca="1">AVERAGEIFS(INDIRECT($D$3),INDIRECT($D$3),"&gt;=0",Data!$B:$B,BB151,IF($A$20,Data!$J:$J,Data!#REF!),IF($A$20,"&lt;&gt;5",1))</f>
        <v>#DIV/0!</v>
      </c>
      <c r="BD151" t="e">
        <f t="shared" ca="1" si="80"/>
        <v>#DIV/0!</v>
      </c>
      <c r="BE151" s="20" t="s">
        <v>164</v>
      </c>
      <c r="BF151" t="e">
        <f ca="1">AVERAGEIFS(INDIRECT($E$3),INDIRECT($E$3),"&gt;=0",Data!$B:$B,BE151,IF($A$20,Data!$J:$J,Data!#REF!),IF($A$20,"&lt;&gt;5",1))</f>
        <v>#DIV/0!</v>
      </c>
      <c r="BG151" s="20" t="e">
        <f t="shared" ca="1" si="81"/>
        <v>#DIV/0!</v>
      </c>
      <c r="BH151" t="s">
        <v>64</v>
      </c>
      <c r="BI151" s="20" t="e">
        <f ca="1">AVERAGEIFS(INDIRECT($F$3),INDIRECT($F$3),"&gt;=0",Data!$B:$B,BH151,IF($A$20,Data!$J:$J,Data!#REF!),IF($A$20,"&lt;&gt;5",1))</f>
        <v>#DIV/0!</v>
      </c>
      <c r="BJ151" t="e">
        <f t="shared" ca="1" si="82"/>
        <v>#DIV/0!</v>
      </c>
      <c r="BK151" s="20" t="s">
        <v>88</v>
      </c>
      <c r="BL151" t="e">
        <f ca="1">AVERAGEIFS(INDIRECT($G$3),INDIRECT($G$3),"&gt;=0",Data!$B:$B,BK151,IF($A$20,Data!$J:$J,Data!#REF!),IF($A$20,"&lt;&gt;5",1))</f>
        <v>#DIV/0!</v>
      </c>
      <c r="BM151" s="20" t="e">
        <f t="shared" ca="1" si="83"/>
        <v>#DIV/0!</v>
      </c>
      <c r="BN151" t="s">
        <v>57</v>
      </c>
      <c r="BO151" t="e">
        <f ca="1">AVERAGEIFS(INDIRECT($H$3),INDIRECT($H$3),"&gt;=0",Data!$B:$B,BN151,IF($A$20,Data!$J:$J,Data!#REF!),IF($A$20,"&lt;&gt;5",1))</f>
        <v>#DIV/0!</v>
      </c>
      <c r="BP151" t="e">
        <f t="shared" ca="1" si="84"/>
        <v>#DIV/0!</v>
      </c>
      <c r="BQ151" t="s">
        <v>131</v>
      </c>
      <c r="BR151" t="e">
        <f ca="1">AVERAGEIFS(INDIRECT($I$3),INDIRECT($I$3),"&gt;=0",Data!$B:$B,BQ151,IF($A$20,Data!$J:$J,Data!#REF!),IF($A$20,"&lt;&gt;5",1))</f>
        <v>#DIV/0!</v>
      </c>
      <c r="BS151" t="e">
        <f t="shared" ca="1" si="85"/>
        <v>#DIV/0!</v>
      </c>
      <c r="BT151" t="s">
        <v>32</v>
      </c>
      <c r="BU151">
        <f ca="1">AVERAGEIFS(INDIRECT($J$3),INDIRECT($J$3),"&gt;=0",Data!$B:$B,BT151,IF($A$20,Data!$J:$J,Data!#REF!),IF($A$20,"&lt;&gt;5",1))</f>
        <v>0.25</v>
      </c>
      <c r="BV151" t="e">
        <f t="shared" ca="1" si="86"/>
        <v>#DIV/0!</v>
      </c>
    </row>
    <row r="152" spans="10:74" x14ac:dyDescent="0.35">
      <c r="J152">
        <f t="shared" si="87"/>
        <v>144</v>
      </c>
      <c r="K152" t="s">
        <v>10</v>
      </c>
      <c r="L152" t="e">
        <f ca="1">AVERAGEIFS(INDIRECT($B$3),INDIRECT($B$3),"&gt;=0",Data!$B:$B,$K152)</f>
        <v>#DIV/0!</v>
      </c>
      <c r="M152" t="e">
        <f t="shared" ca="1" si="88"/>
        <v>#DIV/0!</v>
      </c>
      <c r="N152" t="s">
        <v>71</v>
      </c>
      <c r="O152" t="e">
        <f ca="1">AVERAGEIFS(INDIRECT($C$3),INDIRECT($C$3),"&gt;=0",Data!$B:$B,$N152)</f>
        <v>#DIV/0!</v>
      </c>
      <c r="P152" t="e">
        <f t="shared" ca="1" si="61"/>
        <v>#DIV/0!</v>
      </c>
      <c r="Q152" t="s">
        <v>27</v>
      </c>
      <c r="R152" t="e">
        <f ca="1">AVERAGEIFS(INDIRECT($D$3),INDIRECT($D$3),"&gt;=0",Data!$B:$B,$Q152)</f>
        <v>#DIV/0!</v>
      </c>
      <c r="S152" t="e">
        <f t="shared" ca="1" si="62"/>
        <v>#DIV/0!</v>
      </c>
      <c r="T152" t="s">
        <v>45</v>
      </c>
      <c r="U152" t="e">
        <f ca="1">AVERAGEIFS(INDIRECT($E$3),INDIRECT($E$3),"&gt;=0",Data!$B:$B,$T152)</f>
        <v>#DIV/0!</v>
      </c>
      <c r="V152" t="e">
        <f t="shared" ca="1" si="63"/>
        <v>#DIV/0!</v>
      </c>
      <c r="W152" t="s">
        <v>188</v>
      </c>
      <c r="X152" t="e">
        <f ca="1">AVERAGEIFS(INDIRECT($F$3),INDIRECT($F$3),"&gt;=0",Data!$B:$B,$W152)</f>
        <v>#DIV/0!</v>
      </c>
      <c r="Y152" t="e">
        <f t="shared" ca="1" si="64"/>
        <v>#DIV/0!</v>
      </c>
      <c r="Z152" t="s">
        <v>180</v>
      </c>
      <c r="AA152" t="e">
        <f ca="1">AVERAGEIFS(INDIRECT($G$3),INDIRECT($G$3),"&gt;=0",Data!$B:$B,$Z152)</f>
        <v>#DIV/0!</v>
      </c>
      <c r="AB152" t="e">
        <f t="shared" ca="1" si="65"/>
        <v>#DIV/0!</v>
      </c>
      <c r="AC152" t="s">
        <v>101</v>
      </c>
      <c r="AD152" t="e">
        <f ca="1">AVERAGEIFS(INDIRECT($H$3),INDIRECT($H$3),"&gt;=0",Data!$B:$B,$AC152)</f>
        <v>#DIV/0!</v>
      </c>
      <c r="AE152" t="e">
        <f t="shared" ca="1" si="66"/>
        <v>#DIV/0!</v>
      </c>
      <c r="AF152" t="s">
        <v>190</v>
      </c>
      <c r="AG152" t="e">
        <f ca="1">AVERAGEIFS(INDIRECT($I$3),INDIRECT($I$3),"&gt;=0",Data!$B:$B,$AF152)</f>
        <v>#DIV/0!</v>
      </c>
      <c r="AH152" t="e">
        <f t="shared" ca="1" si="67"/>
        <v>#DIV/0!</v>
      </c>
      <c r="AI152" t="s">
        <v>34</v>
      </c>
      <c r="AJ152">
        <f ca="1">AVERAGEIFS(INDIRECT($J$3),INDIRECT($J$3),"&gt;=0",Data!$B:$B,$AI152)</f>
        <v>0.6470588235294118</v>
      </c>
      <c r="AK152">
        <f t="shared" ca="1" si="68"/>
        <v>144</v>
      </c>
      <c r="AL152" t="str">
        <f t="shared" ca="1" si="69"/>
        <v>-</v>
      </c>
      <c r="AM152" t="str">
        <f t="shared" ca="1" si="70"/>
        <v>-</v>
      </c>
      <c r="AN152" t="str">
        <f t="shared" ca="1" si="71"/>
        <v>-</v>
      </c>
      <c r="AO152" t="str">
        <f t="shared" ca="1" si="72"/>
        <v>-</v>
      </c>
      <c r="AP152" t="str">
        <f t="shared" ca="1" si="73"/>
        <v>-</v>
      </c>
      <c r="AQ152" t="str">
        <f t="shared" ca="1" si="74"/>
        <v>-</v>
      </c>
      <c r="AR152" t="str">
        <f t="shared" ca="1" si="75"/>
        <v>-</v>
      </c>
      <c r="AS152" t="str">
        <f t="shared" ca="1" si="76"/>
        <v>-</v>
      </c>
      <c r="AT152" t="str">
        <f t="shared" ca="1" si="77"/>
        <v>-</v>
      </c>
      <c r="AU152">
        <f t="shared" si="89"/>
        <v>144</v>
      </c>
      <c r="AV152" t="s">
        <v>180</v>
      </c>
      <c r="AW152" s="20" t="e">
        <f ca="1">AVERAGEIFS(INDIRECT($B$3),INDIRECT($B$3),"&gt;=0",Data!$B:$B,AV152,IF($A$20,Data!$J:$J,Data!#REF!),IF($A$20,"&lt;&gt;5",1))</f>
        <v>#DIV/0!</v>
      </c>
      <c r="AX152" t="e">
        <f t="shared" ca="1" si="78"/>
        <v>#DIV/0!</v>
      </c>
      <c r="AY152" s="20" t="s">
        <v>84</v>
      </c>
      <c r="AZ152" t="e">
        <f ca="1">AVERAGEIFS(INDIRECT($C$3),INDIRECT($C$3),"&gt;=0",Data!$B:$B,AY152,IF($A$20,Data!$J:$J,Data!#REF!),IF($A$20,"&lt;&gt;5",1))</f>
        <v>#DIV/0!</v>
      </c>
      <c r="BA152" s="20" t="e">
        <f t="shared" ca="1" si="79"/>
        <v>#DIV/0!</v>
      </c>
      <c r="BB152" t="s">
        <v>127</v>
      </c>
      <c r="BC152" s="20" t="e">
        <f ca="1">AVERAGEIFS(INDIRECT($D$3),INDIRECT($D$3),"&gt;=0",Data!$B:$B,BB152,IF($A$20,Data!$J:$J,Data!#REF!),IF($A$20,"&lt;&gt;5",1))</f>
        <v>#DIV/0!</v>
      </c>
      <c r="BD152" t="e">
        <f t="shared" ca="1" si="80"/>
        <v>#DIV/0!</v>
      </c>
      <c r="BE152" s="20" t="s">
        <v>199</v>
      </c>
      <c r="BF152" t="e">
        <f ca="1">AVERAGEIFS(INDIRECT($E$3),INDIRECT($E$3),"&gt;=0",Data!$B:$B,BE152,IF($A$20,Data!$J:$J,Data!#REF!),IF($A$20,"&lt;&gt;5",1))</f>
        <v>#DIV/0!</v>
      </c>
      <c r="BG152" s="20" t="e">
        <f t="shared" ca="1" si="81"/>
        <v>#DIV/0!</v>
      </c>
      <c r="BH152" t="s">
        <v>80</v>
      </c>
      <c r="BI152" s="20" t="e">
        <f ca="1">AVERAGEIFS(INDIRECT($F$3),INDIRECT($F$3),"&gt;=0",Data!$B:$B,BH152,IF($A$20,Data!$J:$J,Data!#REF!),IF($A$20,"&lt;&gt;5",1))</f>
        <v>#DIV/0!</v>
      </c>
      <c r="BJ152" t="e">
        <f t="shared" ca="1" si="82"/>
        <v>#DIV/0!</v>
      </c>
      <c r="BK152" s="20" t="s">
        <v>82</v>
      </c>
      <c r="BL152">
        <f ca="1">AVERAGEIFS(INDIRECT($G$3),INDIRECT($G$3),"&gt;=0",Data!$B:$B,BK152,IF($A$20,Data!$J:$J,Data!#REF!),IF($A$20,"&lt;&gt;5",1))</f>
        <v>0.75</v>
      </c>
      <c r="BM152" s="20" t="e">
        <f t="shared" ca="1" si="83"/>
        <v>#DIV/0!</v>
      </c>
      <c r="BN152" t="s">
        <v>109</v>
      </c>
      <c r="BO152" t="e">
        <f ca="1">AVERAGEIFS(INDIRECT($H$3),INDIRECT($H$3),"&gt;=0",Data!$B:$B,BN152,IF($A$20,Data!$J:$J,Data!#REF!),IF($A$20,"&lt;&gt;5",1))</f>
        <v>#DIV/0!</v>
      </c>
      <c r="BP152" t="e">
        <f t="shared" ca="1" si="84"/>
        <v>#DIV/0!</v>
      </c>
      <c r="BQ152" t="s">
        <v>134</v>
      </c>
      <c r="BR152">
        <f ca="1">AVERAGEIFS(INDIRECT($I$3),INDIRECT($I$3),"&gt;=0",Data!$B:$B,BQ152,IF($A$20,Data!$J:$J,Data!#REF!),IF($A$20,"&lt;&gt;5",1))</f>
        <v>0.7</v>
      </c>
      <c r="BS152" t="e">
        <f t="shared" ca="1" si="85"/>
        <v>#DIV/0!</v>
      </c>
      <c r="BT152" t="s">
        <v>37</v>
      </c>
      <c r="BU152" t="e">
        <f ca="1">AVERAGEIFS(INDIRECT($J$3),INDIRECT($J$3),"&gt;=0",Data!$B:$B,BT152,IF($A$20,Data!$J:$J,Data!#REF!),IF($A$20,"&lt;&gt;5",1))</f>
        <v>#DIV/0!</v>
      </c>
      <c r="BV152" t="e">
        <f t="shared" ca="1" si="86"/>
        <v>#DIV/0!</v>
      </c>
    </row>
    <row r="153" spans="10:74" x14ac:dyDescent="0.35">
      <c r="J153">
        <f t="shared" si="87"/>
        <v>145</v>
      </c>
      <c r="K153" t="s">
        <v>16</v>
      </c>
      <c r="L153" t="e">
        <f ca="1">AVERAGEIFS(INDIRECT($B$3),INDIRECT($B$3),"&gt;=0",Data!$B:$B,$K153)</f>
        <v>#DIV/0!</v>
      </c>
      <c r="M153" t="e">
        <f t="shared" ca="1" si="88"/>
        <v>#DIV/0!</v>
      </c>
      <c r="N153" t="s">
        <v>161</v>
      </c>
      <c r="O153" t="e">
        <f ca="1">AVERAGEIFS(INDIRECT($C$3),INDIRECT($C$3),"&gt;=0",Data!$B:$B,$N153)</f>
        <v>#DIV/0!</v>
      </c>
      <c r="P153" t="e">
        <f t="shared" ca="1" si="61"/>
        <v>#DIV/0!</v>
      </c>
      <c r="Q153" t="s">
        <v>138</v>
      </c>
      <c r="R153" t="e">
        <f ca="1">AVERAGEIFS(INDIRECT($D$3),INDIRECT($D$3),"&gt;=0",Data!$B:$B,$Q153)</f>
        <v>#DIV/0!</v>
      </c>
      <c r="S153" t="e">
        <f t="shared" ca="1" si="62"/>
        <v>#DIV/0!</v>
      </c>
      <c r="T153" t="s">
        <v>57</v>
      </c>
      <c r="U153" t="e">
        <f ca="1">AVERAGEIFS(INDIRECT($E$3),INDIRECT($E$3),"&gt;=0",Data!$B:$B,$T153)</f>
        <v>#DIV/0!</v>
      </c>
      <c r="V153" t="e">
        <f t="shared" ca="1" si="63"/>
        <v>#DIV/0!</v>
      </c>
      <c r="W153" t="s">
        <v>194</v>
      </c>
      <c r="X153" t="e">
        <f ca="1">AVERAGEIFS(INDIRECT($F$3),INDIRECT($F$3),"&gt;=0",Data!$B:$B,$W153)</f>
        <v>#DIV/0!</v>
      </c>
      <c r="Y153" t="e">
        <f t="shared" ca="1" si="64"/>
        <v>#DIV/0!</v>
      </c>
      <c r="Z153" t="s">
        <v>12</v>
      </c>
      <c r="AA153">
        <f ca="1">AVERAGEIFS(INDIRECT($G$3),INDIRECT($G$3),"&gt;=0",Data!$B:$B,$Z153)</f>
        <v>0.53333333333333333</v>
      </c>
      <c r="AB153" t="e">
        <f t="shared" ca="1" si="65"/>
        <v>#DIV/0!</v>
      </c>
      <c r="AC153" t="s">
        <v>109</v>
      </c>
      <c r="AD153" t="e">
        <f ca="1">AVERAGEIFS(INDIRECT($H$3),INDIRECT($H$3),"&gt;=0",Data!$B:$B,$AC153)</f>
        <v>#DIV/0!</v>
      </c>
      <c r="AE153" t="e">
        <f t="shared" ca="1" si="66"/>
        <v>#DIV/0!</v>
      </c>
      <c r="AF153" t="s">
        <v>63</v>
      </c>
      <c r="AG153" t="e">
        <f ca="1">AVERAGEIFS(INDIRECT($I$3),INDIRECT($I$3),"&gt;=0",Data!$B:$B,$AF153)</f>
        <v>#DIV/0!</v>
      </c>
      <c r="AH153" t="e">
        <f t="shared" ca="1" si="67"/>
        <v>#DIV/0!</v>
      </c>
      <c r="AI153" t="s">
        <v>31</v>
      </c>
      <c r="AJ153" t="e">
        <f ca="1">AVERAGEIFS(INDIRECT($J$3),INDIRECT($J$3),"&gt;=0",Data!$B:$B,$AI153)</f>
        <v>#DIV/0!</v>
      </c>
      <c r="AK153" t="e">
        <f t="shared" ca="1" si="68"/>
        <v>#DIV/0!</v>
      </c>
      <c r="AL153" t="str">
        <f t="shared" ca="1" si="69"/>
        <v>-</v>
      </c>
      <c r="AM153" t="str">
        <f t="shared" ca="1" si="70"/>
        <v>-</v>
      </c>
      <c r="AN153" t="str">
        <f t="shared" ca="1" si="71"/>
        <v>-</v>
      </c>
      <c r="AO153" t="str">
        <f t="shared" ca="1" si="72"/>
        <v>-</v>
      </c>
      <c r="AP153" t="str">
        <f t="shared" ca="1" si="73"/>
        <v>-</v>
      </c>
      <c r="AQ153" t="str">
        <f t="shared" ca="1" si="74"/>
        <v>-</v>
      </c>
      <c r="AR153" t="str">
        <f t="shared" ca="1" si="75"/>
        <v>-</v>
      </c>
      <c r="AS153" t="str">
        <f t="shared" ca="1" si="76"/>
        <v>-</v>
      </c>
      <c r="AT153" t="str">
        <f t="shared" ca="1" si="77"/>
        <v>-</v>
      </c>
      <c r="AU153">
        <f t="shared" si="89"/>
        <v>145</v>
      </c>
      <c r="AV153" t="s">
        <v>29</v>
      </c>
      <c r="AW153" s="20" t="e">
        <f ca="1">AVERAGEIFS(INDIRECT($B$3),INDIRECT($B$3),"&gt;=0",Data!$B:$B,AV153,IF($A$20,Data!$J:$J,Data!#REF!),IF($A$20,"&lt;&gt;5",1))</f>
        <v>#DIV/0!</v>
      </c>
      <c r="AX153" t="e">
        <f t="shared" ca="1" si="78"/>
        <v>#DIV/0!</v>
      </c>
      <c r="AY153" s="20" t="s">
        <v>149</v>
      </c>
      <c r="AZ153" t="e">
        <f ca="1">AVERAGEIFS(INDIRECT($C$3),INDIRECT($C$3),"&gt;=0",Data!$B:$B,AY153,IF($A$20,Data!$J:$J,Data!#REF!),IF($A$20,"&lt;&gt;5",1))</f>
        <v>#DIV/0!</v>
      </c>
      <c r="BA153" s="20" t="e">
        <f t="shared" ca="1" si="79"/>
        <v>#DIV/0!</v>
      </c>
      <c r="BB153" t="s">
        <v>91</v>
      </c>
      <c r="BC153" s="20" t="e">
        <f ca="1">AVERAGEIFS(INDIRECT($D$3),INDIRECT($D$3),"&gt;=0",Data!$B:$B,BB153,IF($A$20,Data!$J:$J,Data!#REF!),IF($A$20,"&lt;&gt;5",1))</f>
        <v>#DIV/0!</v>
      </c>
      <c r="BD153" t="e">
        <f t="shared" ca="1" si="80"/>
        <v>#DIV/0!</v>
      </c>
      <c r="BE153" s="20" t="s">
        <v>56</v>
      </c>
      <c r="BF153" t="e">
        <f ca="1">AVERAGEIFS(INDIRECT($E$3),INDIRECT($E$3),"&gt;=0",Data!$B:$B,BE153,IF($A$20,Data!$J:$J,Data!#REF!),IF($A$20,"&lt;&gt;5",1))</f>
        <v>#DIV/0!</v>
      </c>
      <c r="BG153" s="20" t="e">
        <f t="shared" ca="1" si="81"/>
        <v>#DIV/0!</v>
      </c>
      <c r="BH153" t="s">
        <v>89</v>
      </c>
      <c r="BI153" s="20" t="e">
        <f ca="1">AVERAGEIFS(INDIRECT($F$3),INDIRECT($F$3),"&gt;=0",Data!$B:$B,BH153,IF($A$20,Data!$J:$J,Data!#REF!),IF($A$20,"&lt;&gt;5",1))</f>
        <v>#DIV/0!</v>
      </c>
      <c r="BJ153" t="e">
        <f t="shared" ca="1" si="82"/>
        <v>#DIV/0!</v>
      </c>
      <c r="BK153" s="20" t="s">
        <v>161</v>
      </c>
      <c r="BL153" t="e">
        <f ca="1">AVERAGEIFS(INDIRECT($G$3),INDIRECT($G$3),"&gt;=0",Data!$B:$B,BK153,IF($A$20,Data!$J:$J,Data!#REF!),IF($A$20,"&lt;&gt;5",1))</f>
        <v>#DIV/0!</v>
      </c>
      <c r="BM153" s="20" t="e">
        <f t="shared" ca="1" si="83"/>
        <v>#DIV/0!</v>
      </c>
      <c r="BN153" t="s">
        <v>126</v>
      </c>
      <c r="BO153" t="e">
        <f ca="1">AVERAGEIFS(INDIRECT($H$3),INDIRECT($H$3),"&gt;=0",Data!$B:$B,BN153,IF($A$20,Data!$J:$J,Data!#REF!),IF($A$20,"&lt;&gt;5",1))</f>
        <v>#DIV/0!</v>
      </c>
      <c r="BP153" t="e">
        <f t="shared" ca="1" si="84"/>
        <v>#DIV/0!</v>
      </c>
      <c r="BQ153" t="s">
        <v>41</v>
      </c>
      <c r="BR153">
        <f ca="1">AVERAGEIFS(INDIRECT($I$3),INDIRECT($I$3),"&gt;=0",Data!$B:$B,BQ153,IF($A$20,Data!$J:$J,Data!#REF!),IF($A$20,"&lt;&gt;5",1))</f>
        <v>0.56000000000000005</v>
      </c>
      <c r="BS153">
        <f t="shared" ca="1" si="85"/>
        <v>145</v>
      </c>
      <c r="BT153" t="s">
        <v>95</v>
      </c>
      <c r="BU153" t="e">
        <f ca="1">AVERAGEIFS(INDIRECT($J$3),INDIRECT($J$3),"&gt;=0",Data!$B:$B,BT153,IF($A$20,Data!$J:$J,Data!#REF!),IF($A$20,"&lt;&gt;5",1))</f>
        <v>#DIV/0!</v>
      </c>
      <c r="BV153" t="e">
        <f t="shared" ca="1" si="86"/>
        <v>#DIV/0!</v>
      </c>
    </row>
    <row r="154" spans="10:74" x14ac:dyDescent="0.35">
      <c r="J154">
        <f t="shared" si="87"/>
        <v>146</v>
      </c>
      <c r="K154" t="s">
        <v>20</v>
      </c>
      <c r="L154" t="e">
        <f ca="1">AVERAGEIFS(INDIRECT($B$3),INDIRECT($B$3),"&gt;=0",Data!$B:$B,$K154)</f>
        <v>#DIV/0!</v>
      </c>
      <c r="M154" t="e">
        <f t="shared" ca="1" si="88"/>
        <v>#DIV/0!</v>
      </c>
      <c r="N154" t="s">
        <v>98</v>
      </c>
      <c r="O154" t="e">
        <f ca="1">AVERAGEIFS(INDIRECT($C$3),INDIRECT($C$3),"&gt;=0",Data!$B:$B,$N154)</f>
        <v>#DIV/0!</v>
      </c>
      <c r="P154" t="e">
        <f t="shared" ca="1" si="61"/>
        <v>#DIV/0!</v>
      </c>
      <c r="Q154" t="s">
        <v>184</v>
      </c>
      <c r="R154" t="e">
        <f ca="1">AVERAGEIFS(INDIRECT($D$3),INDIRECT($D$3),"&gt;=0",Data!$B:$B,$Q154)</f>
        <v>#DIV/0!</v>
      </c>
      <c r="S154" t="e">
        <f t="shared" ca="1" si="62"/>
        <v>#DIV/0!</v>
      </c>
      <c r="T154" t="s">
        <v>59</v>
      </c>
      <c r="U154" t="e">
        <f ca="1">AVERAGEIFS(INDIRECT($E$3),INDIRECT($E$3),"&gt;=0",Data!$B:$B,$T154)</f>
        <v>#DIV/0!</v>
      </c>
      <c r="V154" t="e">
        <f t="shared" ca="1" si="63"/>
        <v>#DIV/0!</v>
      </c>
      <c r="W154" t="s">
        <v>196</v>
      </c>
      <c r="X154" t="e">
        <f ca="1">AVERAGEIFS(INDIRECT($F$3),INDIRECT($F$3),"&gt;=0",Data!$B:$B,$W154)</f>
        <v>#DIV/0!</v>
      </c>
      <c r="Y154" t="e">
        <f t="shared" ca="1" si="64"/>
        <v>#DIV/0!</v>
      </c>
      <c r="Z154" t="s">
        <v>40</v>
      </c>
      <c r="AA154" t="e">
        <f ca="1">AVERAGEIFS(INDIRECT($G$3),INDIRECT($G$3),"&gt;=0",Data!$B:$B,$Z154)</f>
        <v>#DIV/0!</v>
      </c>
      <c r="AB154" t="e">
        <f t="shared" ca="1" si="65"/>
        <v>#DIV/0!</v>
      </c>
      <c r="AC154" t="s">
        <v>126</v>
      </c>
      <c r="AD154" t="e">
        <f ca="1">AVERAGEIFS(INDIRECT($H$3),INDIRECT($H$3),"&gt;=0",Data!$B:$B,$AC154)</f>
        <v>#DIV/0!</v>
      </c>
      <c r="AE154" t="e">
        <f t="shared" ca="1" si="66"/>
        <v>#DIV/0!</v>
      </c>
      <c r="AF154" t="s">
        <v>57</v>
      </c>
      <c r="AG154" t="e">
        <f ca="1">AVERAGEIFS(INDIRECT($I$3),INDIRECT($I$3),"&gt;=0",Data!$B:$B,$AF154)</f>
        <v>#DIV/0!</v>
      </c>
      <c r="AH154" t="e">
        <f t="shared" ca="1" si="67"/>
        <v>#DIV/0!</v>
      </c>
      <c r="AI154" t="s">
        <v>43</v>
      </c>
      <c r="AJ154" t="e">
        <f ca="1">AVERAGEIFS(INDIRECT($J$3),INDIRECT($J$3),"&gt;=0",Data!$B:$B,$AI154)</f>
        <v>#DIV/0!</v>
      </c>
      <c r="AK154" t="e">
        <f t="shared" ca="1" si="68"/>
        <v>#DIV/0!</v>
      </c>
      <c r="AL154" t="str">
        <f t="shared" ca="1" si="69"/>
        <v>-</v>
      </c>
      <c r="AM154" t="str">
        <f t="shared" ca="1" si="70"/>
        <v>-</v>
      </c>
      <c r="AN154" t="str">
        <f t="shared" ca="1" si="71"/>
        <v>-</v>
      </c>
      <c r="AO154" t="str">
        <f t="shared" ca="1" si="72"/>
        <v>-</v>
      </c>
      <c r="AP154" t="str">
        <f t="shared" ca="1" si="73"/>
        <v>-</v>
      </c>
      <c r="AQ154" t="str">
        <f t="shared" ca="1" si="74"/>
        <v>-</v>
      </c>
      <c r="AR154" t="str">
        <f t="shared" ca="1" si="75"/>
        <v>-</v>
      </c>
      <c r="AS154" t="str">
        <f t="shared" ca="1" si="76"/>
        <v>-</v>
      </c>
      <c r="AT154" t="str">
        <f t="shared" ca="1" si="77"/>
        <v>-</v>
      </c>
      <c r="AU154">
        <f t="shared" si="89"/>
        <v>146</v>
      </c>
      <c r="AV154" t="s">
        <v>67</v>
      </c>
      <c r="AW154" s="20" t="e">
        <f ca="1">AVERAGEIFS(INDIRECT($B$3),INDIRECT($B$3),"&gt;=0",Data!$B:$B,AV154,IF($A$20,Data!$J:$J,Data!#REF!),IF($A$20,"&lt;&gt;5",1))</f>
        <v>#DIV/0!</v>
      </c>
      <c r="AX154" t="e">
        <f t="shared" ca="1" si="78"/>
        <v>#DIV/0!</v>
      </c>
      <c r="AY154" s="20" t="s">
        <v>36</v>
      </c>
      <c r="AZ154" t="e">
        <f ca="1">AVERAGEIFS(INDIRECT($C$3),INDIRECT($C$3),"&gt;=0",Data!$B:$B,AY154,IF($A$20,Data!$J:$J,Data!#REF!),IF($A$20,"&lt;&gt;5",1))</f>
        <v>#DIV/0!</v>
      </c>
      <c r="BA154" s="20" t="e">
        <f t="shared" ca="1" si="79"/>
        <v>#DIV/0!</v>
      </c>
      <c r="BB154" t="s">
        <v>118</v>
      </c>
      <c r="BC154" s="20" t="e">
        <f ca="1">AVERAGEIFS(INDIRECT($D$3),INDIRECT($D$3),"&gt;=0",Data!$B:$B,BB154,IF($A$20,Data!$J:$J,Data!#REF!),IF($A$20,"&lt;&gt;5",1))</f>
        <v>#DIV/0!</v>
      </c>
      <c r="BD154" t="e">
        <f t="shared" ca="1" si="80"/>
        <v>#DIV/0!</v>
      </c>
      <c r="BE154" s="20" t="s">
        <v>95</v>
      </c>
      <c r="BF154" t="e">
        <f ca="1">AVERAGEIFS(INDIRECT($E$3),INDIRECT($E$3),"&gt;=0",Data!$B:$B,BE154,IF($A$20,Data!$J:$J,Data!#REF!),IF($A$20,"&lt;&gt;5",1))</f>
        <v>#DIV/0!</v>
      </c>
      <c r="BG154" s="20" t="e">
        <f t="shared" ca="1" si="81"/>
        <v>#DIV/0!</v>
      </c>
      <c r="BH154" t="s">
        <v>90</v>
      </c>
      <c r="BI154" s="20" t="e">
        <f ca="1">AVERAGEIFS(INDIRECT($F$3),INDIRECT($F$3),"&gt;=0",Data!$B:$B,BH154,IF($A$20,Data!$J:$J,Data!#REF!),IF($A$20,"&lt;&gt;5",1))</f>
        <v>#DIV/0!</v>
      </c>
      <c r="BJ154" t="e">
        <f t="shared" ca="1" si="82"/>
        <v>#DIV/0!</v>
      </c>
      <c r="BK154" s="20" t="s">
        <v>26</v>
      </c>
      <c r="BL154" t="e">
        <f ca="1">AVERAGEIFS(INDIRECT($G$3),INDIRECT($G$3),"&gt;=0",Data!$B:$B,BK154,IF($A$20,Data!$J:$J,Data!#REF!),IF($A$20,"&lt;&gt;5",1))</f>
        <v>#DIV/0!</v>
      </c>
      <c r="BM154" s="20" t="e">
        <f t="shared" ca="1" si="83"/>
        <v>#DIV/0!</v>
      </c>
      <c r="BN154" t="s">
        <v>130</v>
      </c>
      <c r="BO154" t="e">
        <f ca="1">AVERAGEIFS(INDIRECT($H$3),INDIRECT($H$3),"&gt;=0",Data!$B:$B,BN154,IF($A$20,Data!$J:$J,Data!#REF!),IF($A$20,"&lt;&gt;5",1))</f>
        <v>#DIV/0!</v>
      </c>
      <c r="BP154" t="e">
        <f t="shared" ca="1" si="84"/>
        <v>#DIV/0!</v>
      </c>
      <c r="BQ154" t="s">
        <v>112</v>
      </c>
      <c r="BR154" t="e">
        <f ca="1">AVERAGEIFS(INDIRECT($I$3),INDIRECT($I$3),"&gt;=0",Data!$B:$B,BQ154,IF($A$20,Data!$J:$J,Data!#REF!),IF($A$20,"&lt;&gt;5",1))</f>
        <v>#DIV/0!</v>
      </c>
      <c r="BS154" t="e">
        <f t="shared" ca="1" si="85"/>
        <v>#DIV/0!</v>
      </c>
      <c r="BT154" t="s">
        <v>16</v>
      </c>
      <c r="BU154" t="e">
        <f ca="1">AVERAGEIFS(INDIRECT($J$3),INDIRECT($J$3),"&gt;=0",Data!$B:$B,BT154,IF($A$20,Data!$J:$J,Data!#REF!),IF($A$20,"&lt;&gt;5",1))</f>
        <v>#DIV/0!</v>
      </c>
      <c r="BV154" t="e">
        <f t="shared" ca="1" si="86"/>
        <v>#DIV/0!</v>
      </c>
    </row>
    <row r="155" spans="10:74" x14ac:dyDescent="0.35">
      <c r="J155">
        <f t="shared" si="87"/>
        <v>147</v>
      </c>
      <c r="K155" t="s">
        <v>86</v>
      </c>
      <c r="L155" t="e">
        <f ca="1">AVERAGEIFS(INDIRECT($B$3),INDIRECT($B$3),"&gt;=0",Data!$B:$B,$K155)</f>
        <v>#DIV/0!</v>
      </c>
      <c r="M155" t="e">
        <f t="shared" ca="1" si="88"/>
        <v>#DIV/0!</v>
      </c>
      <c r="N155" t="s">
        <v>99</v>
      </c>
      <c r="O155" t="e">
        <f ca="1">AVERAGEIFS(INDIRECT($C$3),INDIRECT($C$3),"&gt;=0",Data!$B:$B,$N155)</f>
        <v>#DIV/0!</v>
      </c>
      <c r="P155" t="e">
        <f t="shared" ca="1" si="61"/>
        <v>#DIV/0!</v>
      </c>
      <c r="Q155" t="s">
        <v>156</v>
      </c>
      <c r="R155" t="e">
        <f ca="1">AVERAGEIFS(INDIRECT($D$3),INDIRECT($D$3),"&gt;=0",Data!$B:$B,$Q155)</f>
        <v>#DIV/0!</v>
      </c>
      <c r="S155" t="e">
        <f t="shared" ca="1" si="62"/>
        <v>#DIV/0!</v>
      </c>
      <c r="T155" t="s">
        <v>69</v>
      </c>
      <c r="U155" t="e">
        <f ca="1">AVERAGEIFS(INDIRECT($E$3),INDIRECT($E$3),"&gt;=0",Data!$B:$B,$T155)</f>
        <v>#DIV/0!</v>
      </c>
      <c r="V155" t="e">
        <f t="shared" ca="1" si="63"/>
        <v>#DIV/0!</v>
      </c>
      <c r="W155" t="s">
        <v>134</v>
      </c>
      <c r="X155">
        <f ca="1">AVERAGEIFS(INDIRECT($F$3),INDIRECT($F$3),"&gt;=0",Data!$B:$B,$W155)</f>
        <v>0</v>
      </c>
      <c r="Y155" t="e">
        <f t="shared" ca="1" si="64"/>
        <v>#DIV/0!</v>
      </c>
      <c r="Z155" t="s">
        <v>82</v>
      </c>
      <c r="AA155">
        <f ca="1">AVERAGEIFS(INDIRECT($G$3),INDIRECT($G$3),"&gt;=0",Data!$B:$B,$Z155)</f>
        <v>0.76470588235294112</v>
      </c>
      <c r="AB155" t="e">
        <f t="shared" ca="1" si="65"/>
        <v>#DIV/0!</v>
      </c>
      <c r="AC155" t="s">
        <v>127</v>
      </c>
      <c r="AD155" t="e">
        <f ca="1">AVERAGEIFS(INDIRECT($H$3),INDIRECT($H$3),"&gt;=0",Data!$B:$B,$AC155)</f>
        <v>#DIV/0!</v>
      </c>
      <c r="AE155" t="e">
        <f t="shared" ca="1" si="66"/>
        <v>#DIV/0!</v>
      </c>
      <c r="AF155" t="s">
        <v>76</v>
      </c>
      <c r="AG155" t="e">
        <f ca="1">AVERAGEIFS(INDIRECT($I$3),INDIRECT($I$3),"&gt;=0",Data!$B:$B,$AF155)</f>
        <v>#DIV/0!</v>
      </c>
      <c r="AH155" t="e">
        <f t="shared" ca="1" si="67"/>
        <v>#DIV/0!</v>
      </c>
      <c r="AI155" t="s">
        <v>32</v>
      </c>
      <c r="AJ155">
        <f ca="1">AVERAGEIFS(INDIRECT($J$3),INDIRECT($J$3),"&gt;=0",Data!$B:$B,$AI155)</f>
        <v>0.24</v>
      </c>
      <c r="AK155" t="e">
        <f t="shared" ca="1" si="68"/>
        <v>#DIV/0!</v>
      </c>
      <c r="AL155" t="str">
        <f t="shared" ca="1" si="69"/>
        <v>-</v>
      </c>
      <c r="AM155" t="str">
        <f t="shared" ca="1" si="70"/>
        <v>-</v>
      </c>
      <c r="AN155" t="str">
        <f t="shared" ca="1" si="71"/>
        <v>-</v>
      </c>
      <c r="AO155" t="str">
        <f t="shared" ca="1" si="72"/>
        <v>-</v>
      </c>
      <c r="AP155" t="str">
        <f t="shared" ca="1" si="73"/>
        <v>-</v>
      </c>
      <c r="AQ155" t="str">
        <f t="shared" ca="1" si="74"/>
        <v>-</v>
      </c>
      <c r="AR155" t="str">
        <f t="shared" ca="1" si="75"/>
        <v>-</v>
      </c>
      <c r="AS155" t="str">
        <f t="shared" ca="1" si="76"/>
        <v>-</v>
      </c>
      <c r="AT155" t="str">
        <f t="shared" ca="1" si="77"/>
        <v>-</v>
      </c>
      <c r="AU155">
        <f t="shared" si="89"/>
        <v>147</v>
      </c>
      <c r="AV155" t="s">
        <v>178</v>
      </c>
      <c r="AW155" s="20" t="e">
        <f ca="1">AVERAGEIFS(INDIRECT($B$3),INDIRECT($B$3),"&gt;=0",Data!$B:$B,AV155,IF($A$20,Data!$J:$J,Data!#REF!),IF($A$20,"&lt;&gt;5",1))</f>
        <v>#DIV/0!</v>
      </c>
      <c r="AX155" t="e">
        <f t="shared" ca="1" si="78"/>
        <v>#DIV/0!</v>
      </c>
      <c r="AY155" s="20" t="s">
        <v>91</v>
      </c>
      <c r="AZ155" t="e">
        <f ca="1">AVERAGEIFS(INDIRECT($C$3),INDIRECT($C$3),"&gt;=0",Data!$B:$B,AY155,IF($A$20,Data!$J:$J,Data!#REF!),IF($A$20,"&lt;&gt;5",1))</f>
        <v>#DIV/0!</v>
      </c>
      <c r="BA155" s="20" t="e">
        <f t="shared" ca="1" si="79"/>
        <v>#DIV/0!</v>
      </c>
      <c r="BB155" t="s">
        <v>4</v>
      </c>
      <c r="BC155" s="20" t="e">
        <f ca="1">AVERAGEIFS(INDIRECT($D$3),INDIRECT($D$3),"&gt;=0",Data!$B:$B,BB155,IF($A$20,Data!$J:$J,Data!#REF!),IF($A$20,"&lt;&gt;5",1))</f>
        <v>#DIV/0!</v>
      </c>
      <c r="BD155" t="e">
        <f t="shared" ca="1" si="80"/>
        <v>#DIV/0!</v>
      </c>
      <c r="BE155" s="20" t="s">
        <v>142</v>
      </c>
      <c r="BF155" t="e">
        <f ca="1">AVERAGEIFS(INDIRECT($E$3),INDIRECT($E$3),"&gt;=0",Data!$B:$B,BE155,IF($A$20,Data!$J:$J,Data!#REF!),IF($A$20,"&lt;&gt;5",1))</f>
        <v>#DIV/0!</v>
      </c>
      <c r="BG155" s="20" t="e">
        <f t="shared" ca="1" si="81"/>
        <v>#DIV/0!</v>
      </c>
      <c r="BH155" t="s">
        <v>100</v>
      </c>
      <c r="BI155" s="20" t="e">
        <f ca="1">AVERAGEIFS(INDIRECT($F$3),INDIRECT($F$3),"&gt;=0",Data!$B:$B,BH155,IF($A$20,Data!$J:$J,Data!#REF!),IF($A$20,"&lt;&gt;5",1))</f>
        <v>#DIV/0!</v>
      </c>
      <c r="BJ155" t="e">
        <f t="shared" ca="1" si="82"/>
        <v>#DIV/0!</v>
      </c>
      <c r="BK155" s="20" t="s">
        <v>153</v>
      </c>
      <c r="BL155" t="e">
        <f ca="1">AVERAGEIFS(INDIRECT($G$3),INDIRECT($G$3),"&gt;=0",Data!$B:$B,BK155,IF($A$20,Data!$J:$J,Data!#REF!),IF($A$20,"&lt;&gt;5",1))</f>
        <v>#DIV/0!</v>
      </c>
      <c r="BM155" s="20" t="e">
        <f t="shared" ca="1" si="83"/>
        <v>#DIV/0!</v>
      </c>
      <c r="BN155" t="s">
        <v>62</v>
      </c>
      <c r="BO155">
        <f ca="1">AVERAGEIFS(INDIRECT($H$3),INDIRECT($H$3),"&gt;=0",Data!$B:$B,BN155,IF($A$20,Data!$J:$J,Data!#REF!),IF($A$20,"&lt;&gt;5",1))</f>
        <v>1</v>
      </c>
      <c r="BP155" t="e">
        <f t="shared" ca="1" si="84"/>
        <v>#DIV/0!</v>
      </c>
      <c r="BQ155" t="s">
        <v>145</v>
      </c>
      <c r="BR155">
        <f ca="1">AVERAGEIFS(INDIRECT($I$3),INDIRECT($I$3),"&gt;=0",Data!$B:$B,BQ155,IF($A$20,Data!$J:$J,Data!#REF!),IF($A$20,"&lt;&gt;5",1))</f>
        <v>0.7142857142857143</v>
      </c>
      <c r="BS155" t="e">
        <f t="shared" ca="1" si="85"/>
        <v>#DIV/0!</v>
      </c>
      <c r="BT155" t="s">
        <v>28</v>
      </c>
      <c r="BU155" t="e">
        <f ca="1">AVERAGEIFS(INDIRECT($J$3),INDIRECT($J$3),"&gt;=0",Data!$B:$B,BT155,IF($A$20,Data!$J:$J,Data!#REF!),IF($A$20,"&lt;&gt;5",1))</f>
        <v>#DIV/0!</v>
      </c>
      <c r="BV155" t="e">
        <f t="shared" ca="1" si="86"/>
        <v>#DIV/0!</v>
      </c>
    </row>
    <row r="156" spans="10:74" x14ac:dyDescent="0.35">
      <c r="J156">
        <f t="shared" si="87"/>
        <v>148</v>
      </c>
      <c r="K156" t="s">
        <v>101</v>
      </c>
      <c r="L156" t="e">
        <f ca="1">AVERAGEIFS(INDIRECT($B$3),INDIRECT($B$3),"&gt;=0",Data!$B:$B,$K156)</f>
        <v>#DIV/0!</v>
      </c>
      <c r="M156" t="e">
        <f t="shared" ca="1" si="88"/>
        <v>#DIV/0!</v>
      </c>
      <c r="N156" t="s">
        <v>131</v>
      </c>
      <c r="O156" t="e">
        <f ca="1">AVERAGEIFS(INDIRECT($C$3),INDIRECT($C$3),"&gt;=0",Data!$B:$B,$N156)</f>
        <v>#DIV/0!</v>
      </c>
      <c r="P156" t="e">
        <f t="shared" ca="1" si="61"/>
        <v>#DIV/0!</v>
      </c>
      <c r="Q156" t="s">
        <v>35</v>
      </c>
      <c r="R156" t="e">
        <f ca="1">AVERAGEIFS(INDIRECT($D$3),INDIRECT($D$3),"&gt;=0",Data!$B:$B,$Q156)</f>
        <v>#DIV/0!</v>
      </c>
      <c r="S156" t="e">
        <f t="shared" ca="1" si="62"/>
        <v>#DIV/0!</v>
      </c>
      <c r="T156" t="s">
        <v>101</v>
      </c>
      <c r="U156" t="e">
        <f ca="1">AVERAGEIFS(INDIRECT($E$3),INDIRECT($E$3),"&gt;=0",Data!$B:$B,$T156)</f>
        <v>#DIV/0!</v>
      </c>
      <c r="V156" t="e">
        <f t="shared" ca="1" si="63"/>
        <v>#DIV/0!</v>
      </c>
      <c r="W156" t="s">
        <v>142</v>
      </c>
      <c r="X156" t="e">
        <f ca="1">AVERAGEIFS(INDIRECT($F$3),INDIRECT($F$3),"&gt;=0",Data!$B:$B,$W156)</f>
        <v>#DIV/0!</v>
      </c>
      <c r="Y156" t="e">
        <f t="shared" ca="1" si="64"/>
        <v>#DIV/0!</v>
      </c>
      <c r="Z156" t="s">
        <v>88</v>
      </c>
      <c r="AA156" t="e">
        <f ca="1">AVERAGEIFS(INDIRECT($G$3),INDIRECT($G$3),"&gt;=0",Data!$B:$B,$Z156)</f>
        <v>#DIV/0!</v>
      </c>
      <c r="AB156" t="e">
        <f t="shared" ca="1" si="65"/>
        <v>#DIV/0!</v>
      </c>
      <c r="AC156" t="s">
        <v>172</v>
      </c>
      <c r="AD156" t="e">
        <f ca="1">AVERAGEIFS(INDIRECT($H$3),INDIRECT($H$3),"&gt;=0",Data!$B:$B,$AC156)</f>
        <v>#DIV/0!</v>
      </c>
      <c r="AE156" t="e">
        <f t="shared" ca="1" si="66"/>
        <v>#DIV/0!</v>
      </c>
      <c r="AF156" t="s">
        <v>104</v>
      </c>
      <c r="AG156" t="e">
        <f ca="1">AVERAGEIFS(INDIRECT($I$3),INDIRECT($I$3),"&gt;=0",Data!$B:$B,$AF156)</f>
        <v>#DIV/0!</v>
      </c>
      <c r="AH156" t="e">
        <f t="shared" ca="1" si="67"/>
        <v>#DIV/0!</v>
      </c>
      <c r="AI156" t="s">
        <v>37</v>
      </c>
      <c r="AJ156" t="e">
        <f ca="1">AVERAGEIFS(INDIRECT($J$3),INDIRECT($J$3),"&gt;=0",Data!$B:$B,$AI156)</f>
        <v>#DIV/0!</v>
      </c>
      <c r="AK156" t="e">
        <f t="shared" ca="1" si="68"/>
        <v>#DIV/0!</v>
      </c>
      <c r="AL156" t="str">
        <f t="shared" ca="1" si="69"/>
        <v>-</v>
      </c>
      <c r="AM156" t="str">
        <f t="shared" ca="1" si="70"/>
        <v>-</v>
      </c>
      <c r="AN156" t="str">
        <f t="shared" ca="1" si="71"/>
        <v>-</v>
      </c>
      <c r="AO156" t="str">
        <f t="shared" ca="1" si="72"/>
        <v>-</v>
      </c>
      <c r="AP156" t="str">
        <f t="shared" ca="1" si="73"/>
        <v>-</v>
      </c>
      <c r="AQ156" t="str">
        <f t="shared" ca="1" si="74"/>
        <v>-</v>
      </c>
      <c r="AR156" t="str">
        <f t="shared" ca="1" si="75"/>
        <v>-</v>
      </c>
      <c r="AS156" t="str">
        <f t="shared" ca="1" si="76"/>
        <v>-</v>
      </c>
      <c r="AT156" t="str">
        <f t="shared" ca="1" si="77"/>
        <v>-</v>
      </c>
      <c r="AU156">
        <f t="shared" si="89"/>
        <v>148</v>
      </c>
      <c r="AV156" t="s">
        <v>38</v>
      </c>
      <c r="AW156" s="20" t="e">
        <f ca="1">AVERAGEIFS(INDIRECT($B$3),INDIRECT($B$3),"&gt;=0",Data!$B:$B,AV156,IF($A$20,Data!$J:$J,Data!#REF!),IF($A$20,"&lt;&gt;5",1))</f>
        <v>#DIV/0!</v>
      </c>
      <c r="AX156" t="e">
        <f t="shared" ca="1" si="78"/>
        <v>#DIV/0!</v>
      </c>
      <c r="AY156" s="20" t="s">
        <v>155</v>
      </c>
      <c r="AZ156" t="e">
        <f ca="1">AVERAGEIFS(INDIRECT($C$3),INDIRECT($C$3),"&gt;=0",Data!$B:$B,AY156,IF($A$20,Data!$J:$J,Data!#REF!),IF($A$20,"&lt;&gt;5",1))</f>
        <v>#DIV/0!</v>
      </c>
      <c r="BA156" s="20" t="e">
        <f t="shared" ca="1" si="79"/>
        <v>#DIV/0!</v>
      </c>
      <c r="BB156" t="s">
        <v>67</v>
      </c>
      <c r="BC156" s="20" t="e">
        <f ca="1">AVERAGEIFS(INDIRECT($D$3),INDIRECT($D$3),"&gt;=0",Data!$B:$B,BB156,IF($A$20,Data!$J:$J,Data!#REF!),IF($A$20,"&lt;&gt;5",1))</f>
        <v>#DIV/0!</v>
      </c>
      <c r="BD156" t="e">
        <f t="shared" ca="1" si="80"/>
        <v>#DIV/0!</v>
      </c>
      <c r="BE156" s="20" t="s">
        <v>135</v>
      </c>
      <c r="BF156" t="e">
        <f ca="1">AVERAGEIFS(INDIRECT($E$3),INDIRECT($E$3),"&gt;=0",Data!$B:$B,BE156,IF($A$20,Data!$J:$J,Data!#REF!),IF($A$20,"&lt;&gt;5",1))</f>
        <v>#DIV/0!</v>
      </c>
      <c r="BG156" s="20" t="e">
        <f t="shared" ca="1" si="81"/>
        <v>#DIV/0!</v>
      </c>
      <c r="BH156" t="s">
        <v>194</v>
      </c>
      <c r="BI156" s="20" t="e">
        <f ca="1">AVERAGEIFS(INDIRECT($F$3),INDIRECT($F$3),"&gt;=0",Data!$B:$B,BH156,IF($A$20,Data!$J:$J,Data!#REF!),IF($A$20,"&lt;&gt;5",1))</f>
        <v>#DIV/0!</v>
      </c>
      <c r="BJ156" t="e">
        <f t="shared" ca="1" si="82"/>
        <v>#DIV/0!</v>
      </c>
      <c r="BK156" s="20" t="s">
        <v>174</v>
      </c>
      <c r="BL156" t="e">
        <f ca="1">AVERAGEIFS(INDIRECT($G$3),INDIRECT($G$3),"&gt;=0",Data!$B:$B,BK156,IF($A$20,Data!$J:$J,Data!#REF!),IF($A$20,"&lt;&gt;5",1))</f>
        <v>#DIV/0!</v>
      </c>
      <c r="BM156" s="20" t="e">
        <f t="shared" ca="1" si="83"/>
        <v>#DIV/0!</v>
      </c>
      <c r="BN156" t="s">
        <v>60</v>
      </c>
      <c r="BO156">
        <f ca="1">AVERAGEIFS(INDIRECT($H$3),INDIRECT($H$3),"&gt;=0",Data!$B:$B,BN156,IF($A$20,Data!$J:$J,Data!#REF!),IF($A$20,"&lt;&gt;5",1))</f>
        <v>1</v>
      </c>
      <c r="BP156" t="e">
        <f t="shared" ca="1" si="84"/>
        <v>#DIV/0!</v>
      </c>
      <c r="BQ156" t="s">
        <v>197</v>
      </c>
      <c r="BR156" t="e">
        <f ca="1">AVERAGEIFS(INDIRECT($I$3),INDIRECT($I$3),"&gt;=0",Data!$B:$B,BQ156,IF($A$20,Data!$J:$J,Data!#REF!),IF($A$20,"&lt;&gt;5",1))</f>
        <v>#DIV/0!</v>
      </c>
      <c r="BS156" t="e">
        <f t="shared" ca="1" si="85"/>
        <v>#DIV/0!</v>
      </c>
      <c r="BT156" t="s">
        <v>191</v>
      </c>
      <c r="BU156" t="e">
        <f ca="1">AVERAGEIFS(INDIRECT($J$3),INDIRECT($J$3),"&gt;=0",Data!$B:$B,BT156,IF($A$20,Data!$J:$J,Data!#REF!),IF($A$20,"&lt;&gt;5",1))</f>
        <v>#DIV/0!</v>
      </c>
      <c r="BV156" t="e">
        <f t="shared" ca="1" si="86"/>
        <v>#DIV/0!</v>
      </c>
    </row>
    <row r="157" spans="10:74" x14ac:dyDescent="0.35">
      <c r="J157">
        <f t="shared" si="87"/>
        <v>149</v>
      </c>
      <c r="K157" t="s">
        <v>172</v>
      </c>
      <c r="L157" t="e">
        <f ca="1">AVERAGEIFS(INDIRECT($B$3),INDIRECT($B$3),"&gt;=0",Data!$B:$B,$K157)</f>
        <v>#DIV/0!</v>
      </c>
      <c r="M157" t="e">
        <f t="shared" ca="1" si="88"/>
        <v>#DIV/0!</v>
      </c>
      <c r="N157" t="s">
        <v>54</v>
      </c>
      <c r="O157" t="e">
        <f ca="1">AVERAGEIFS(INDIRECT($C$3),INDIRECT($C$3),"&gt;=0",Data!$B:$B,$N157)</f>
        <v>#DIV/0!</v>
      </c>
      <c r="P157" t="e">
        <f t="shared" ca="1" si="61"/>
        <v>#DIV/0!</v>
      </c>
      <c r="Q157" t="s">
        <v>39</v>
      </c>
      <c r="R157" t="e">
        <f ca="1">AVERAGEIFS(INDIRECT($D$3),INDIRECT($D$3),"&gt;=0",Data!$B:$B,$Q157)</f>
        <v>#DIV/0!</v>
      </c>
      <c r="S157" t="e">
        <f t="shared" ca="1" si="62"/>
        <v>#DIV/0!</v>
      </c>
      <c r="T157" t="s">
        <v>135</v>
      </c>
      <c r="U157" t="e">
        <f ca="1">AVERAGEIFS(INDIRECT($E$3),INDIRECT($E$3),"&gt;=0",Data!$B:$B,$T157)</f>
        <v>#DIV/0!</v>
      </c>
      <c r="V157" t="e">
        <f t="shared" ca="1" si="63"/>
        <v>#DIV/0!</v>
      </c>
      <c r="W157" t="s">
        <v>39</v>
      </c>
      <c r="X157" t="e">
        <f ca="1">AVERAGEIFS(INDIRECT($F$3),INDIRECT($F$3),"&gt;=0",Data!$B:$B,$W157)</f>
        <v>#DIV/0!</v>
      </c>
      <c r="Y157" t="e">
        <f t="shared" ca="1" si="64"/>
        <v>#DIV/0!</v>
      </c>
      <c r="Z157" t="s">
        <v>104</v>
      </c>
      <c r="AA157" t="e">
        <f ca="1">AVERAGEIFS(INDIRECT($G$3),INDIRECT($G$3),"&gt;=0",Data!$B:$B,$Z157)</f>
        <v>#DIV/0!</v>
      </c>
      <c r="AB157" t="e">
        <f t="shared" ca="1" si="65"/>
        <v>#DIV/0!</v>
      </c>
      <c r="AC157" t="s">
        <v>192</v>
      </c>
      <c r="AD157" t="e">
        <f ca="1">AVERAGEIFS(INDIRECT($H$3),INDIRECT($H$3),"&gt;=0",Data!$B:$B,$AC157)</f>
        <v>#DIV/0!</v>
      </c>
      <c r="AE157" t="e">
        <f t="shared" ca="1" si="66"/>
        <v>#DIV/0!</v>
      </c>
      <c r="AF157" t="s">
        <v>134</v>
      </c>
      <c r="AG157">
        <f ca="1">AVERAGEIFS(INDIRECT($I$3),INDIRECT($I$3),"&gt;=0",Data!$B:$B,$AF157)</f>
        <v>0.66666666666666663</v>
      </c>
      <c r="AH157" t="e">
        <f t="shared" ca="1" si="67"/>
        <v>#DIV/0!</v>
      </c>
      <c r="AI157" t="s">
        <v>95</v>
      </c>
      <c r="AJ157" t="e">
        <f ca="1">AVERAGEIFS(INDIRECT($J$3),INDIRECT($J$3),"&gt;=0",Data!$B:$B,$AI157)</f>
        <v>#DIV/0!</v>
      </c>
      <c r="AK157" t="e">
        <f t="shared" ca="1" si="68"/>
        <v>#DIV/0!</v>
      </c>
      <c r="AL157" t="str">
        <f t="shared" ca="1" si="69"/>
        <v>-</v>
      </c>
      <c r="AM157" t="str">
        <f t="shared" ca="1" si="70"/>
        <v>-</v>
      </c>
      <c r="AN157" t="str">
        <f t="shared" ca="1" si="71"/>
        <v>-</v>
      </c>
      <c r="AO157" t="str">
        <f t="shared" ca="1" si="72"/>
        <v>-</v>
      </c>
      <c r="AP157" t="str">
        <f t="shared" ca="1" si="73"/>
        <v>-</v>
      </c>
      <c r="AQ157" t="str">
        <f t="shared" ca="1" si="74"/>
        <v>-</v>
      </c>
      <c r="AR157" t="str">
        <f t="shared" ca="1" si="75"/>
        <v>-</v>
      </c>
      <c r="AS157" t="str">
        <f t="shared" ca="1" si="76"/>
        <v>-</v>
      </c>
      <c r="AT157" t="str">
        <f t="shared" ca="1" si="77"/>
        <v>-</v>
      </c>
      <c r="AU157">
        <f t="shared" si="89"/>
        <v>149</v>
      </c>
      <c r="AV157" t="s">
        <v>65</v>
      </c>
      <c r="AW157" s="20" t="e">
        <f ca="1">AVERAGEIFS(INDIRECT($B$3),INDIRECT($B$3),"&gt;=0",Data!$B:$B,AV157,IF($A$20,Data!$J:$J,Data!#REF!),IF($A$20,"&lt;&gt;5",1))</f>
        <v>#DIV/0!</v>
      </c>
      <c r="AX157" t="e">
        <f t="shared" ca="1" si="78"/>
        <v>#DIV/0!</v>
      </c>
      <c r="AY157" s="20" t="s">
        <v>140</v>
      </c>
      <c r="AZ157" t="e">
        <f ca="1">AVERAGEIFS(INDIRECT($C$3),INDIRECT($C$3),"&gt;=0",Data!$B:$B,AY157,IF($A$20,Data!$J:$J,Data!#REF!),IF($A$20,"&lt;&gt;5",1))</f>
        <v>#DIV/0!</v>
      </c>
      <c r="BA157" s="20" t="e">
        <f t="shared" ca="1" si="79"/>
        <v>#DIV/0!</v>
      </c>
      <c r="BB157" t="s">
        <v>155</v>
      </c>
      <c r="BC157" s="20" t="e">
        <f ca="1">AVERAGEIFS(INDIRECT($D$3),INDIRECT($D$3),"&gt;=0",Data!$B:$B,BB157,IF($A$20,Data!$J:$J,Data!#REF!),IF($A$20,"&lt;&gt;5",1))</f>
        <v>#DIV/0!</v>
      </c>
      <c r="BD157" t="e">
        <f t="shared" ca="1" si="80"/>
        <v>#DIV/0!</v>
      </c>
      <c r="BE157" s="20" t="s">
        <v>57</v>
      </c>
      <c r="BF157" t="e">
        <f ca="1">AVERAGEIFS(INDIRECT($E$3),INDIRECT($E$3),"&gt;=0",Data!$B:$B,BE157,IF($A$20,Data!$J:$J,Data!#REF!),IF($A$20,"&lt;&gt;5",1))</f>
        <v>#DIV/0!</v>
      </c>
      <c r="BG157" s="20" t="e">
        <f t="shared" ca="1" si="81"/>
        <v>#DIV/0!</v>
      </c>
      <c r="BH157" t="s">
        <v>39</v>
      </c>
      <c r="BI157" s="20" t="e">
        <f ca="1">AVERAGEIFS(INDIRECT($F$3),INDIRECT($F$3),"&gt;=0",Data!$B:$B,BH157,IF($A$20,Data!$J:$J,Data!#REF!),IF($A$20,"&lt;&gt;5",1))</f>
        <v>#DIV/0!</v>
      </c>
      <c r="BJ157" t="e">
        <f t="shared" ca="1" si="82"/>
        <v>#DIV/0!</v>
      </c>
      <c r="BK157" s="20" t="s">
        <v>190</v>
      </c>
      <c r="BL157" t="e">
        <f ca="1">AVERAGEIFS(INDIRECT($G$3),INDIRECT($G$3),"&gt;=0",Data!$B:$B,BK157,IF($A$20,Data!$J:$J,Data!#REF!),IF($A$20,"&lt;&gt;5",1))</f>
        <v>#DIV/0!</v>
      </c>
      <c r="BM157" s="20" t="e">
        <f t="shared" ca="1" si="83"/>
        <v>#DIV/0!</v>
      </c>
      <c r="BN157" t="s">
        <v>14</v>
      </c>
      <c r="BO157">
        <f ca="1">AVERAGEIFS(INDIRECT($H$3),INDIRECT($H$3),"&gt;=0",Data!$B:$B,BN157,IF($A$20,Data!$J:$J,Data!#REF!),IF($A$20,"&lt;&gt;5",1))</f>
        <v>0.92307692307692313</v>
      </c>
      <c r="BP157">
        <f t="shared" ca="1" si="84"/>
        <v>149</v>
      </c>
      <c r="BQ157" t="s">
        <v>60</v>
      </c>
      <c r="BR157">
        <f ca="1">AVERAGEIFS(INDIRECT($I$3),INDIRECT($I$3),"&gt;=0",Data!$B:$B,BQ157,IF($A$20,Data!$J:$J,Data!#REF!),IF($A$20,"&lt;&gt;5",1))</f>
        <v>0.63157894736842102</v>
      </c>
      <c r="BS157" t="e">
        <f t="shared" ca="1" si="85"/>
        <v>#DIV/0!</v>
      </c>
      <c r="BT157" t="s">
        <v>26</v>
      </c>
      <c r="BU157" t="e">
        <f ca="1">AVERAGEIFS(INDIRECT($J$3),INDIRECT($J$3),"&gt;=0",Data!$B:$B,BT157,IF($A$20,Data!$J:$J,Data!#REF!),IF($A$20,"&lt;&gt;5",1))</f>
        <v>#DIV/0!</v>
      </c>
      <c r="BV157" t="e">
        <f t="shared" ca="1" si="86"/>
        <v>#DIV/0!</v>
      </c>
    </row>
    <row r="158" spans="10:74" x14ac:dyDescent="0.35">
      <c r="J158">
        <f t="shared" si="87"/>
        <v>150</v>
      </c>
      <c r="K158" t="s">
        <v>192</v>
      </c>
      <c r="L158" t="e">
        <f ca="1">AVERAGEIFS(INDIRECT($B$3),INDIRECT($B$3),"&gt;=0",Data!$B:$B,$K158)</f>
        <v>#DIV/0!</v>
      </c>
      <c r="M158" t="e">
        <f t="shared" ca="1" si="88"/>
        <v>#DIV/0!</v>
      </c>
      <c r="N158" t="s">
        <v>58</v>
      </c>
      <c r="O158" t="e">
        <f ca="1">AVERAGEIFS(INDIRECT($C$3),INDIRECT($C$3),"&gt;=0",Data!$B:$B,$N158)</f>
        <v>#DIV/0!</v>
      </c>
      <c r="P158" t="e">
        <f t="shared" ca="1" si="61"/>
        <v>#DIV/0!</v>
      </c>
      <c r="Q158" t="s">
        <v>69</v>
      </c>
      <c r="R158" t="e">
        <f ca="1">AVERAGEIFS(INDIRECT($D$3),INDIRECT($D$3),"&gt;=0",Data!$B:$B,$Q158)</f>
        <v>#DIV/0!</v>
      </c>
      <c r="S158" t="e">
        <f t="shared" ca="1" si="62"/>
        <v>#DIV/0!</v>
      </c>
      <c r="T158" t="s">
        <v>142</v>
      </c>
      <c r="U158" t="e">
        <f ca="1">AVERAGEIFS(INDIRECT($E$3),INDIRECT($E$3),"&gt;=0",Data!$B:$B,$T158)</f>
        <v>#DIV/0!</v>
      </c>
      <c r="V158" t="e">
        <f t="shared" ca="1" si="63"/>
        <v>#DIV/0!</v>
      </c>
      <c r="W158" t="s">
        <v>96</v>
      </c>
      <c r="X158" t="e">
        <f ca="1">AVERAGEIFS(INDIRECT($F$3),INDIRECT($F$3),"&gt;=0",Data!$B:$B,$W158)</f>
        <v>#DIV/0!</v>
      </c>
      <c r="Y158" t="e">
        <f t="shared" ca="1" si="64"/>
        <v>#DIV/0!</v>
      </c>
      <c r="Z158" t="s">
        <v>149</v>
      </c>
      <c r="AA158" t="e">
        <f ca="1">AVERAGEIFS(INDIRECT($G$3),INDIRECT($G$3),"&gt;=0",Data!$B:$B,$Z158)</f>
        <v>#DIV/0!</v>
      </c>
      <c r="AB158" t="e">
        <f t="shared" ca="1" si="65"/>
        <v>#DIV/0!</v>
      </c>
      <c r="AC158" t="s">
        <v>193</v>
      </c>
      <c r="AD158" t="e">
        <f ca="1">AVERAGEIFS(INDIRECT($H$3),INDIRECT($H$3),"&gt;=0",Data!$B:$B,$AC158)</f>
        <v>#DIV/0!</v>
      </c>
      <c r="AE158" t="e">
        <f t="shared" ca="1" si="66"/>
        <v>#DIV/0!</v>
      </c>
      <c r="AF158" t="s">
        <v>26</v>
      </c>
      <c r="AG158" t="e">
        <f ca="1">AVERAGEIFS(INDIRECT($I$3),INDIRECT($I$3),"&gt;=0",Data!$B:$B,$AF158)</f>
        <v>#DIV/0!</v>
      </c>
      <c r="AH158" t="e">
        <f t="shared" ca="1" si="67"/>
        <v>#DIV/0!</v>
      </c>
      <c r="AI158" t="s">
        <v>16</v>
      </c>
      <c r="AJ158" t="e">
        <f ca="1">AVERAGEIFS(INDIRECT($J$3),INDIRECT($J$3),"&gt;=0",Data!$B:$B,$AI158)</f>
        <v>#DIV/0!</v>
      </c>
      <c r="AK158" t="e">
        <f t="shared" ca="1" si="68"/>
        <v>#DIV/0!</v>
      </c>
      <c r="AL158" t="str">
        <f t="shared" ca="1" si="69"/>
        <v>-</v>
      </c>
      <c r="AM158" t="str">
        <f t="shared" ca="1" si="70"/>
        <v>-</v>
      </c>
      <c r="AN158" t="str">
        <f t="shared" ca="1" si="71"/>
        <v>-</v>
      </c>
      <c r="AO158" t="str">
        <f t="shared" ca="1" si="72"/>
        <v>-</v>
      </c>
      <c r="AP158" t="str">
        <f t="shared" ca="1" si="73"/>
        <v>-</v>
      </c>
      <c r="AQ158" t="str">
        <f t="shared" ca="1" si="74"/>
        <v>-</v>
      </c>
      <c r="AR158" t="str">
        <f t="shared" ca="1" si="75"/>
        <v>-</v>
      </c>
      <c r="AS158" t="str">
        <f t="shared" ca="1" si="76"/>
        <v>-</v>
      </c>
      <c r="AT158" t="str">
        <f t="shared" ca="1" si="77"/>
        <v>-</v>
      </c>
      <c r="AU158">
        <f t="shared" si="89"/>
        <v>150</v>
      </c>
      <c r="AV158" t="s">
        <v>10</v>
      </c>
      <c r="AW158" s="20" t="e">
        <f ca="1">AVERAGEIFS(INDIRECT($B$3),INDIRECT($B$3),"&gt;=0",Data!$B:$B,AV158,IF($A$20,Data!$J:$J,Data!#REF!),IF($A$20,"&lt;&gt;5",1))</f>
        <v>#DIV/0!</v>
      </c>
      <c r="AX158" t="e">
        <f t="shared" ca="1" si="78"/>
        <v>#DIV/0!</v>
      </c>
      <c r="AY158" s="20" t="s">
        <v>184</v>
      </c>
      <c r="AZ158" t="e">
        <f ca="1">AVERAGEIFS(INDIRECT($C$3),INDIRECT($C$3),"&gt;=0",Data!$B:$B,AY158,IF($A$20,Data!$J:$J,Data!#REF!),IF($A$20,"&lt;&gt;5",1))</f>
        <v>#DIV/0!</v>
      </c>
      <c r="BA158" s="20" t="e">
        <f t="shared" ca="1" si="79"/>
        <v>#DIV/0!</v>
      </c>
      <c r="BB158" t="s">
        <v>178</v>
      </c>
      <c r="BC158" s="20" t="e">
        <f ca="1">AVERAGEIFS(INDIRECT($D$3),INDIRECT($D$3),"&gt;=0",Data!$B:$B,BB158,IF($A$20,Data!$J:$J,Data!#REF!),IF($A$20,"&lt;&gt;5",1))</f>
        <v>#DIV/0!</v>
      </c>
      <c r="BD158" t="e">
        <f t="shared" ca="1" si="80"/>
        <v>#DIV/0!</v>
      </c>
      <c r="BE158" s="20" t="s">
        <v>59</v>
      </c>
      <c r="BF158" t="e">
        <f ca="1">AVERAGEIFS(INDIRECT($E$3),INDIRECT($E$3),"&gt;=0",Data!$B:$B,BE158,IF($A$20,Data!$J:$J,Data!#REF!),IF($A$20,"&lt;&gt;5",1))</f>
        <v>#DIV/0!</v>
      </c>
      <c r="BG158" s="20" t="e">
        <f t="shared" ca="1" si="81"/>
        <v>#DIV/0!</v>
      </c>
      <c r="BH158" t="s">
        <v>96</v>
      </c>
      <c r="BI158" s="20" t="e">
        <f ca="1">AVERAGEIFS(INDIRECT($F$3),INDIRECT($F$3),"&gt;=0",Data!$B:$B,BH158,IF($A$20,Data!$J:$J,Data!#REF!),IF($A$20,"&lt;&gt;5",1))</f>
        <v>#DIV/0!</v>
      </c>
      <c r="BJ158" t="e">
        <f t="shared" ca="1" si="82"/>
        <v>#DIV/0!</v>
      </c>
      <c r="BK158" s="20" t="s">
        <v>21</v>
      </c>
      <c r="BL158" t="e">
        <f ca="1">AVERAGEIFS(INDIRECT($G$3),INDIRECT($G$3),"&gt;=0",Data!$B:$B,BK158,IF($A$20,Data!$J:$J,Data!#REF!),IF($A$20,"&lt;&gt;5",1))</f>
        <v>#DIV/0!</v>
      </c>
      <c r="BM158" s="20" t="e">
        <f t="shared" ca="1" si="83"/>
        <v>#DIV/0!</v>
      </c>
      <c r="BN158" t="s">
        <v>101</v>
      </c>
      <c r="BO158" t="e">
        <f ca="1">AVERAGEIFS(INDIRECT($H$3),INDIRECT($H$3),"&gt;=0",Data!$B:$B,BN158,IF($A$20,Data!$J:$J,Data!#REF!),IF($A$20,"&lt;&gt;5",1))</f>
        <v>#DIV/0!</v>
      </c>
      <c r="BP158" t="e">
        <f t="shared" ca="1" si="84"/>
        <v>#DIV/0!</v>
      </c>
      <c r="BQ158" t="s">
        <v>173</v>
      </c>
      <c r="BR158" t="e">
        <f ca="1">AVERAGEIFS(INDIRECT($I$3),INDIRECT($I$3),"&gt;=0",Data!$B:$B,BQ158,IF($A$20,Data!$J:$J,Data!#REF!),IF($A$20,"&lt;&gt;5",1))</f>
        <v>#DIV/0!</v>
      </c>
      <c r="BS158" t="e">
        <f t="shared" ca="1" si="85"/>
        <v>#DIV/0!</v>
      </c>
      <c r="BT158" t="s">
        <v>21</v>
      </c>
      <c r="BU158" t="e">
        <f ca="1">AVERAGEIFS(INDIRECT($J$3),INDIRECT($J$3),"&gt;=0",Data!$B:$B,BT158,IF($A$20,Data!$J:$J,Data!#REF!),IF($A$20,"&lt;&gt;5",1))</f>
        <v>#DIV/0!</v>
      </c>
      <c r="BV158" t="e">
        <f t="shared" ca="1" si="86"/>
        <v>#DIV/0!</v>
      </c>
    </row>
    <row r="159" spans="10:74" x14ac:dyDescent="0.35">
      <c r="J159">
        <f t="shared" si="87"/>
        <v>151</v>
      </c>
      <c r="K159" t="s">
        <v>198</v>
      </c>
      <c r="L159" t="e">
        <f ca="1">AVERAGEIFS(INDIRECT($B$3),INDIRECT($B$3),"&gt;=0",Data!$B:$B,$K159)</f>
        <v>#DIV/0!</v>
      </c>
      <c r="M159" t="e">
        <f t="shared" ca="1" si="88"/>
        <v>#DIV/0!</v>
      </c>
      <c r="N159" t="s">
        <v>173</v>
      </c>
      <c r="O159" t="e">
        <f ca="1">AVERAGEIFS(INDIRECT($C$3),INDIRECT($C$3),"&gt;=0",Data!$B:$B,$N159)</f>
        <v>#DIV/0!</v>
      </c>
      <c r="P159" t="e">
        <f t="shared" ca="1" si="61"/>
        <v>#DIV/0!</v>
      </c>
      <c r="Q159" t="s">
        <v>78</v>
      </c>
      <c r="R159" t="e">
        <f ca="1">AVERAGEIFS(INDIRECT($D$3),INDIRECT($D$3),"&gt;=0",Data!$B:$B,$Q159)</f>
        <v>#DIV/0!</v>
      </c>
      <c r="S159" t="e">
        <f t="shared" ca="1" si="62"/>
        <v>#DIV/0!</v>
      </c>
      <c r="T159" t="s">
        <v>150</v>
      </c>
      <c r="U159" t="e">
        <f ca="1">AVERAGEIFS(INDIRECT($E$3),INDIRECT($E$3),"&gt;=0",Data!$B:$B,$T159)</f>
        <v>#DIV/0!</v>
      </c>
      <c r="V159" t="e">
        <f t="shared" ca="1" si="63"/>
        <v>#DIV/0!</v>
      </c>
      <c r="W159" t="s">
        <v>151</v>
      </c>
      <c r="X159" t="e">
        <f ca="1">AVERAGEIFS(INDIRECT($F$3),INDIRECT($F$3),"&gt;=0",Data!$B:$B,$W159)</f>
        <v>#DIV/0!</v>
      </c>
      <c r="Y159" t="e">
        <f t="shared" ca="1" si="64"/>
        <v>#DIV/0!</v>
      </c>
      <c r="Z159" t="s">
        <v>153</v>
      </c>
      <c r="AA159" t="e">
        <f ca="1">AVERAGEIFS(INDIRECT($G$3),INDIRECT($G$3),"&gt;=0",Data!$B:$B,$Z159)</f>
        <v>#DIV/0!</v>
      </c>
      <c r="AB159" t="e">
        <f t="shared" ca="1" si="65"/>
        <v>#DIV/0!</v>
      </c>
      <c r="AC159" t="s">
        <v>62</v>
      </c>
      <c r="AD159">
        <f ca="1">AVERAGEIFS(INDIRECT($H$3),INDIRECT($H$3),"&gt;=0",Data!$B:$B,$AC159)</f>
        <v>0.95</v>
      </c>
      <c r="AE159" t="e">
        <f t="shared" ca="1" si="66"/>
        <v>#DIV/0!</v>
      </c>
      <c r="AF159" t="s">
        <v>58</v>
      </c>
      <c r="AG159">
        <f ca="1">AVERAGEIFS(INDIRECT($I$3),INDIRECT($I$3),"&gt;=0",Data!$B:$B,$AF159)</f>
        <v>0.66666666666666663</v>
      </c>
      <c r="AH159" t="e">
        <f t="shared" ca="1" si="67"/>
        <v>#DIV/0!</v>
      </c>
      <c r="AI159" t="s">
        <v>28</v>
      </c>
      <c r="AJ159" t="e">
        <f ca="1">AVERAGEIFS(INDIRECT($J$3),INDIRECT($J$3),"&gt;=0",Data!$B:$B,$AI159)</f>
        <v>#DIV/0!</v>
      </c>
      <c r="AK159" t="e">
        <f t="shared" ca="1" si="68"/>
        <v>#DIV/0!</v>
      </c>
      <c r="AL159" t="str">
        <f t="shared" ca="1" si="69"/>
        <v>-</v>
      </c>
      <c r="AM159" t="str">
        <f t="shared" ca="1" si="70"/>
        <v>-</v>
      </c>
      <c r="AN159" t="str">
        <f t="shared" ca="1" si="71"/>
        <v>-</v>
      </c>
      <c r="AO159" t="str">
        <f t="shared" ca="1" si="72"/>
        <v>-</v>
      </c>
      <c r="AP159" t="str">
        <f t="shared" ca="1" si="73"/>
        <v>-</v>
      </c>
      <c r="AQ159" t="str">
        <f t="shared" ca="1" si="74"/>
        <v>-</v>
      </c>
      <c r="AR159" t="str">
        <f t="shared" ca="1" si="75"/>
        <v>-</v>
      </c>
      <c r="AS159" t="str">
        <f t="shared" ca="1" si="76"/>
        <v>-</v>
      </c>
      <c r="AT159" t="str">
        <f t="shared" ca="1" si="77"/>
        <v>-</v>
      </c>
      <c r="AU159">
        <f t="shared" si="89"/>
        <v>151</v>
      </c>
      <c r="AV159" t="s">
        <v>20</v>
      </c>
      <c r="AW159" s="20" t="e">
        <f ca="1">AVERAGEIFS(INDIRECT($B$3),INDIRECT($B$3),"&gt;=0",Data!$B:$B,AV159,IF($A$20,Data!$J:$J,Data!#REF!),IF($A$20,"&lt;&gt;5",1))</f>
        <v>#DIV/0!</v>
      </c>
      <c r="AX159" t="e">
        <f t="shared" ca="1" si="78"/>
        <v>#DIV/0!</v>
      </c>
      <c r="AY159" s="20" t="s">
        <v>77</v>
      </c>
      <c r="AZ159" t="e">
        <f ca="1">AVERAGEIFS(INDIRECT($C$3),INDIRECT($C$3),"&gt;=0",Data!$B:$B,AY159,IF($A$20,Data!$J:$J,Data!#REF!),IF($A$20,"&lt;&gt;5",1))</f>
        <v>#DIV/0!</v>
      </c>
      <c r="BA159" s="20" t="e">
        <f t="shared" ca="1" si="79"/>
        <v>#DIV/0!</v>
      </c>
      <c r="BB159" t="s">
        <v>79</v>
      </c>
      <c r="BC159" s="20" t="e">
        <f ca="1">AVERAGEIFS(INDIRECT($D$3),INDIRECT($D$3),"&gt;=0",Data!$B:$B,BB159,IF($A$20,Data!$J:$J,Data!#REF!),IF($A$20,"&lt;&gt;5",1))</f>
        <v>#DIV/0!</v>
      </c>
      <c r="BD159" t="e">
        <f t="shared" ca="1" si="80"/>
        <v>#DIV/0!</v>
      </c>
      <c r="BE159" s="20" t="s">
        <v>21</v>
      </c>
      <c r="BF159" t="e">
        <f ca="1">AVERAGEIFS(INDIRECT($E$3),INDIRECT($E$3),"&gt;=0",Data!$B:$B,BE159,IF($A$20,Data!$J:$J,Data!#REF!),IF($A$20,"&lt;&gt;5",1))</f>
        <v>#DIV/0!</v>
      </c>
      <c r="BG159" s="20" t="e">
        <f t="shared" ca="1" si="81"/>
        <v>#DIV/0!</v>
      </c>
      <c r="BH159" t="s">
        <v>151</v>
      </c>
      <c r="BI159" s="20" t="e">
        <f ca="1">AVERAGEIFS(INDIRECT($F$3),INDIRECT($F$3),"&gt;=0",Data!$B:$B,BH159,IF($A$20,Data!$J:$J,Data!#REF!),IF($A$20,"&lt;&gt;5",1))</f>
        <v>#DIV/0!</v>
      </c>
      <c r="BJ159" t="e">
        <f t="shared" ca="1" si="82"/>
        <v>#DIV/0!</v>
      </c>
      <c r="BK159" s="20" t="s">
        <v>128</v>
      </c>
      <c r="BL159" t="e">
        <f ca="1">AVERAGEIFS(INDIRECT($G$3),INDIRECT($G$3),"&gt;=0",Data!$B:$B,BK159,IF($A$20,Data!$J:$J,Data!#REF!),IF($A$20,"&lt;&gt;5",1))</f>
        <v>#DIV/0!</v>
      </c>
      <c r="BM159" s="20" t="e">
        <f t="shared" ca="1" si="83"/>
        <v>#DIV/0!</v>
      </c>
      <c r="BN159" t="s">
        <v>127</v>
      </c>
      <c r="BO159" t="e">
        <f ca="1">AVERAGEIFS(INDIRECT($H$3),INDIRECT($H$3),"&gt;=0",Data!$B:$B,BN159,IF($A$20,Data!$J:$J,Data!#REF!),IF($A$20,"&lt;&gt;5",1))</f>
        <v>#DIV/0!</v>
      </c>
      <c r="BP159" t="e">
        <f t="shared" ca="1" si="84"/>
        <v>#DIV/0!</v>
      </c>
      <c r="BQ159" t="s">
        <v>110</v>
      </c>
      <c r="BR159" t="e">
        <f ca="1">AVERAGEIFS(INDIRECT($I$3),INDIRECT($I$3),"&gt;=0",Data!$B:$B,BQ159,IF($A$20,Data!$J:$J,Data!#REF!),IF($A$20,"&lt;&gt;5",1))</f>
        <v>#DIV/0!</v>
      </c>
      <c r="BS159" t="e">
        <f t="shared" ca="1" si="85"/>
        <v>#DIV/0!</v>
      </c>
      <c r="BT159" t="s">
        <v>29</v>
      </c>
      <c r="BU159" t="e">
        <f ca="1">AVERAGEIFS(INDIRECT($J$3),INDIRECT($J$3),"&gt;=0",Data!$B:$B,BT159,IF($A$20,Data!$J:$J,Data!#REF!),IF($A$20,"&lt;&gt;5",1))</f>
        <v>#DIV/0!</v>
      </c>
      <c r="BV159" t="e">
        <f t="shared" ca="1" si="86"/>
        <v>#DIV/0!</v>
      </c>
    </row>
    <row r="160" spans="10:74" x14ac:dyDescent="0.35">
      <c r="J160">
        <f t="shared" si="87"/>
        <v>152</v>
      </c>
      <c r="K160" t="s">
        <v>107</v>
      </c>
      <c r="L160" t="e">
        <f ca="1">AVERAGEIFS(INDIRECT($B$3),INDIRECT($B$3),"&gt;=0",Data!$B:$B,$K160)</f>
        <v>#DIV/0!</v>
      </c>
      <c r="M160" t="e">
        <f t="shared" ca="1" si="88"/>
        <v>#DIV/0!</v>
      </c>
      <c r="N160" t="s">
        <v>101</v>
      </c>
      <c r="O160" t="e">
        <f ca="1">AVERAGEIFS(INDIRECT($C$3),INDIRECT($C$3),"&gt;=0",Data!$B:$B,$N160)</f>
        <v>#DIV/0!</v>
      </c>
      <c r="P160" t="e">
        <f t="shared" ca="1" si="61"/>
        <v>#DIV/0!</v>
      </c>
      <c r="Q160" t="s">
        <v>101</v>
      </c>
      <c r="R160" t="e">
        <f ca="1">AVERAGEIFS(INDIRECT($D$3),INDIRECT($D$3),"&gt;=0",Data!$B:$B,$Q160)</f>
        <v>#DIV/0!</v>
      </c>
      <c r="S160" t="e">
        <f t="shared" ca="1" si="62"/>
        <v>#DIV/0!</v>
      </c>
      <c r="T160" t="s">
        <v>164</v>
      </c>
      <c r="U160" t="e">
        <f ca="1">AVERAGEIFS(INDIRECT($E$3),INDIRECT($E$3),"&gt;=0",Data!$B:$B,$T160)</f>
        <v>#DIV/0!</v>
      </c>
      <c r="V160" t="e">
        <f t="shared" ca="1" si="63"/>
        <v>#DIV/0!</v>
      </c>
      <c r="W160" t="s">
        <v>183</v>
      </c>
      <c r="X160" t="e">
        <f ca="1">AVERAGEIFS(INDIRECT($F$3),INDIRECT($F$3),"&gt;=0",Data!$B:$B,$W160)</f>
        <v>#DIV/0!</v>
      </c>
      <c r="Y160" t="e">
        <f t="shared" ca="1" si="64"/>
        <v>#DIV/0!</v>
      </c>
      <c r="Z160" t="s">
        <v>161</v>
      </c>
      <c r="AA160" t="e">
        <f ca="1">AVERAGEIFS(INDIRECT($G$3),INDIRECT($G$3),"&gt;=0",Data!$B:$B,$Z160)</f>
        <v>#DIV/0!</v>
      </c>
      <c r="AB160" t="e">
        <f t="shared" ca="1" si="65"/>
        <v>#DIV/0!</v>
      </c>
      <c r="AC160" t="s">
        <v>22</v>
      </c>
      <c r="AD160" t="e">
        <f ca="1">AVERAGEIFS(INDIRECT($H$3),INDIRECT($H$3),"&gt;=0",Data!$B:$B,$AC160)</f>
        <v>#DIV/0!</v>
      </c>
      <c r="AE160" t="e">
        <f t="shared" ca="1" si="66"/>
        <v>#DIV/0!</v>
      </c>
      <c r="AF160" t="s">
        <v>91</v>
      </c>
      <c r="AG160">
        <f ca="1">AVERAGEIFS(INDIRECT($I$3),INDIRECT($I$3),"&gt;=0",Data!$B:$B,$AF160)</f>
        <v>0.375</v>
      </c>
      <c r="AH160">
        <f t="shared" ca="1" si="67"/>
        <v>152</v>
      </c>
      <c r="AI160" t="s">
        <v>191</v>
      </c>
      <c r="AJ160" t="e">
        <f ca="1">AVERAGEIFS(INDIRECT($J$3),INDIRECT($J$3),"&gt;=0",Data!$B:$B,$AI160)</f>
        <v>#DIV/0!</v>
      </c>
      <c r="AK160" t="e">
        <f t="shared" ca="1" si="68"/>
        <v>#DIV/0!</v>
      </c>
      <c r="AL160" t="str">
        <f t="shared" ca="1" si="69"/>
        <v>-</v>
      </c>
      <c r="AM160" t="str">
        <f t="shared" ca="1" si="70"/>
        <v>-</v>
      </c>
      <c r="AN160" t="str">
        <f t="shared" ca="1" si="71"/>
        <v>-</v>
      </c>
      <c r="AO160" t="str">
        <f t="shared" ca="1" si="72"/>
        <v>-</v>
      </c>
      <c r="AP160" t="str">
        <f t="shared" ca="1" si="73"/>
        <v>-</v>
      </c>
      <c r="AQ160" t="str">
        <f t="shared" ca="1" si="74"/>
        <v>-</v>
      </c>
      <c r="AR160" t="str">
        <f t="shared" ca="1" si="75"/>
        <v>-</v>
      </c>
      <c r="AS160" t="str">
        <f t="shared" ca="1" si="76"/>
        <v>-</v>
      </c>
      <c r="AT160" t="str">
        <f t="shared" ca="1" si="77"/>
        <v>-</v>
      </c>
      <c r="AU160">
        <f t="shared" si="89"/>
        <v>152</v>
      </c>
      <c r="AV160" t="s">
        <v>101</v>
      </c>
      <c r="AW160" s="20" t="e">
        <f ca="1">AVERAGEIFS(INDIRECT($B$3),INDIRECT($B$3),"&gt;=0",Data!$B:$B,AV160,IF($A$20,Data!$J:$J,Data!#REF!),IF($A$20,"&lt;&gt;5",1))</f>
        <v>#DIV/0!</v>
      </c>
      <c r="AX160" t="e">
        <f t="shared" ca="1" si="78"/>
        <v>#DIV/0!</v>
      </c>
      <c r="AY160" s="20" t="s">
        <v>42</v>
      </c>
      <c r="AZ160" t="e">
        <f ca="1">AVERAGEIFS(INDIRECT($C$3),INDIRECT($C$3),"&gt;=0",Data!$B:$B,AY160,IF($A$20,Data!$J:$J,Data!#REF!),IF($A$20,"&lt;&gt;5",1))</f>
        <v>#DIV/0!</v>
      </c>
      <c r="BA160" s="20" t="e">
        <f t="shared" ca="1" si="79"/>
        <v>#DIV/0!</v>
      </c>
      <c r="BB160" t="s">
        <v>35</v>
      </c>
      <c r="BC160" s="20" t="e">
        <f ca="1">AVERAGEIFS(INDIRECT($D$3),INDIRECT($D$3),"&gt;=0",Data!$B:$B,BB160,IF($A$20,Data!$J:$J,Data!#REF!),IF($A$20,"&lt;&gt;5",1))</f>
        <v>#DIV/0!</v>
      </c>
      <c r="BD160" t="e">
        <f t="shared" ca="1" si="80"/>
        <v>#DIV/0!</v>
      </c>
      <c r="BE160" s="20" t="s">
        <v>113</v>
      </c>
      <c r="BF160" t="e">
        <f ca="1">AVERAGEIFS(INDIRECT($E$3),INDIRECT($E$3),"&gt;=0",Data!$B:$B,BE160,IF($A$20,Data!$J:$J,Data!#REF!),IF($A$20,"&lt;&gt;5",1))</f>
        <v>#DIV/0!</v>
      </c>
      <c r="BG160" s="20" t="e">
        <f t="shared" ca="1" si="81"/>
        <v>#DIV/0!</v>
      </c>
      <c r="BH160" t="s">
        <v>97</v>
      </c>
      <c r="BI160" s="20">
        <f ca="1">AVERAGEIFS(INDIRECT($F$3),INDIRECT($F$3),"&gt;=0",Data!$B:$B,BH160,IF($A$20,Data!$J:$J,Data!#REF!),IF($A$20,"&lt;&gt;5",1))</f>
        <v>0</v>
      </c>
      <c r="BJ160" t="e">
        <f t="shared" ca="1" si="82"/>
        <v>#DIV/0!</v>
      </c>
      <c r="BK160" s="20" t="s">
        <v>6</v>
      </c>
      <c r="BL160" t="e">
        <f ca="1">AVERAGEIFS(INDIRECT($G$3),INDIRECT($G$3),"&gt;=0",Data!$B:$B,BK160,IF($A$20,Data!$J:$J,Data!#REF!),IF($A$20,"&lt;&gt;5",1))</f>
        <v>#DIV/0!</v>
      </c>
      <c r="BM160" s="20" t="e">
        <f t="shared" ca="1" si="83"/>
        <v>#DIV/0!</v>
      </c>
      <c r="BN160" t="s">
        <v>22</v>
      </c>
      <c r="BO160" t="e">
        <f ca="1">AVERAGEIFS(INDIRECT($H$3),INDIRECT($H$3),"&gt;=0",Data!$B:$B,BN160,IF($A$20,Data!$J:$J,Data!#REF!),IF($A$20,"&lt;&gt;5",1))</f>
        <v>#DIV/0!</v>
      </c>
      <c r="BP160" t="e">
        <f t="shared" ca="1" si="84"/>
        <v>#DIV/0!</v>
      </c>
      <c r="BQ160" t="s">
        <v>35</v>
      </c>
      <c r="BR160" t="e">
        <f ca="1">AVERAGEIFS(INDIRECT($I$3),INDIRECT($I$3),"&gt;=0",Data!$B:$B,BQ160,IF($A$20,Data!$J:$J,Data!#REF!),IF($A$20,"&lt;&gt;5",1))</f>
        <v>#DIV/0!</v>
      </c>
      <c r="BS160" t="e">
        <f t="shared" ca="1" si="85"/>
        <v>#DIV/0!</v>
      </c>
      <c r="BT160" t="s">
        <v>24</v>
      </c>
      <c r="BU160" t="e">
        <f ca="1">AVERAGEIFS(INDIRECT($J$3),INDIRECT($J$3),"&gt;=0",Data!$B:$B,BT160,IF($A$20,Data!$J:$J,Data!#REF!),IF($A$20,"&lt;&gt;5",1))</f>
        <v>#DIV/0!</v>
      </c>
      <c r="BV160" t="e">
        <f t="shared" ca="1" si="86"/>
        <v>#DIV/0!</v>
      </c>
    </row>
    <row r="161" spans="10:74" x14ac:dyDescent="0.35">
      <c r="J161">
        <f t="shared" si="87"/>
        <v>153</v>
      </c>
      <c r="K161" t="s">
        <v>44</v>
      </c>
      <c r="L161" t="e">
        <f ca="1">AVERAGEIFS(INDIRECT($B$3),INDIRECT($B$3),"&gt;=0",Data!$B:$B,$K161)</f>
        <v>#DIV/0!</v>
      </c>
      <c r="M161" t="e">
        <f t="shared" ca="1" si="88"/>
        <v>#DIV/0!</v>
      </c>
      <c r="N161" t="s">
        <v>127</v>
      </c>
      <c r="O161" t="e">
        <f ca="1">AVERAGEIFS(INDIRECT($C$3),INDIRECT($C$3),"&gt;=0",Data!$B:$B,$N161)</f>
        <v>#DIV/0!</v>
      </c>
      <c r="P161" t="e">
        <f t="shared" ca="1" si="61"/>
        <v>#DIV/0!</v>
      </c>
      <c r="Q161" t="s">
        <v>127</v>
      </c>
      <c r="R161" t="e">
        <f ca="1">AVERAGEIFS(INDIRECT($D$3),INDIRECT($D$3),"&gt;=0",Data!$B:$B,$Q161)</f>
        <v>#DIV/0!</v>
      </c>
      <c r="S161" t="e">
        <f t="shared" ca="1" si="62"/>
        <v>#DIV/0!</v>
      </c>
      <c r="T161" t="s">
        <v>193</v>
      </c>
      <c r="U161" t="e">
        <f ca="1">AVERAGEIFS(INDIRECT($E$3),INDIRECT($E$3),"&gt;=0",Data!$B:$B,$T161)</f>
        <v>#DIV/0!</v>
      </c>
      <c r="V161" t="e">
        <f t="shared" ca="1" si="63"/>
        <v>#DIV/0!</v>
      </c>
      <c r="W161" t="s">
        <v>97</v>
      </c>
      <c r="X161">
        <f ca="1">AVERAGEIFS(INDIRECT($F$3),INDIRECT($F$3),"&gt;=0",Data!$B:$B,$W161)</f>
        <v>0</v>
      </c>
      <c r="Y161" t="e">
        <f t="shared" ca="1" si="64"/>
        <v>#DIV/0!</v>
      </c>
      <c r="Z161" t="s">
        <v>164</v>
      </c>
      <c r="AA161" t="e">
        <f ca="1">AVERAGEIFS(INDIRECT($G$3),INDIRECT($G$3),"&gt;=0",Data!$B:$B,$Z161)</f>
        <v>#DIV/0!</v>
      </c>
      <c r="AB161" t="e">
        <f t="shared" ca="1" si="65"/>
        <v>#DIV/0!</v>
      </c>
      <c r="AC161" t="s">
        <v>38</v>
      </c>
      <c r="AD161" t="e">
        <f ca="1">AVERAGEIFS(INDIRECT($H$3),INDIRECT($H$3),"&gt;=0",Data!$B:$B,$AC161)</f>
        <v>#DIV/0!</v>
      </c>
      <c r="AE161" t="e">
        <f t="shared" ca="1" si="66"/>
        <v>#DIV/0!</v>
      </c>
      <c r="AF161" t="s">
        <v>110</v>
      </c>
      <c r="AG161" t="e">
        <f ca="1">AVERAGEIFS(INDIRECT($I$3),INDIRECT($I$3),"&gt;=0",Data!$B:$B,$AF161)</f>
        <v>#DIV/0!</v>
      </c>
      <c r="AH161" t="e">
        <f t="shared" ca="1" si="67"/>
        <v>#DIV/0!</v>
      </c>
      <c r="AI161" t="s">
        <v>26</v>
      </c>
      <c r="AJ161" t="e">
        <f ca="1">AVERAGEIFS(INDIRECT($J$3),INDIRECT($J$3),"&gt;=0",Data!$B:$B,$AI161)</f>
        <v>#DIV/0!</v>
      </c>
      <c r="AK161" t="e">
        <f t="shared" ca="1" si="68"/>
        <v>#DIV/0!</v>
      </c>
      <c r="AL161" t="str">
        <f t="shared" ca="1" si="69"/>
        <v>-</v>
      </c>
      <c r="AM161" t="str">
        <f t="shared" ca="1" si="70"/>
        <v>-</v>
      </c>
      <c r="AN161" t="str">
        <f t="shared" ca="1" si="71"/>
        <v>-</v>
      </c>
      <c r="AO161" t="str">
        <f t="shared" ca="1" si="72"/>
        <v>-</v>
      </c>
      <c r="AP161" t="str">
        <f t="shared" ca="1" si="73"/>
        <v>-</v>
      </c>
      <c r="AQ161" t="str">
        <f t="shared" ca="1" si="74"/>
        <v>-</v>
      </c>
      <c r="AR161" t="str">
        <f t="shared" ca="1" si="75"/>
        <v>-</v>
      </c>
      <c r="AS161" t="str">
        <f t="shared" ca="1" si="76"/>
        <v>-</v>
      </c>
      <c r="AT161" t="str">
        <f t="shared" ca="1" si="77"/>
        <v>-</v>
      </c>
      <c r="AU161">
        <f t="shared" si="89"/>
        <v>153</v>
      </c>
      <c r="AV161" t="s">
        <v>5</v>
      </c>
      <c r="AW161" s="20" t="e">
        <f ca="1">AVERAGEIFS(INDIRECT($B$3),INDIRECT($B$3),"&gt;=0",Data!$B:$B,AV161,IF($A$20,Data!$J:$J,Data!#REF!),IF($A$20,"&lt;&gt;5",1))</f>
        <v>#DIV/0!</v>
      </c>
      <c r="AX161" t="e">
        <f t="shared" ca="1" si="78"/>
        <v>#DIV/0!</v>
      </c>
      <c r="AY161" s="20" t="s">
        <v>118</v>
      </c>
      <c r="AZ161" t="e">
        <f ca="1">AVERAGEIFS(INDIRECT($C$3),INDIRECT($C$3),"&gt;=0",Data!$B:$B,AY161,IF($A$20,Data!$J:$J,Data!#REF!),IF($A$20,"&lt;&gt;5",1))</f>
        <v>#DIV/0!</v>
      </c>
      <c r="BA161" s="20" t="e">
        <f t="shared" ca="1" si="79"/>
        <v>#DIV/0!</v>
      </c>
      <c r="BB161" t="s">
        <v>175</v>
      </c>
      <c r="BC161" s="20" t="e">
        <f ca="1">AVERAGEIFS(INDIRECT($D$3),INDIRECT($D$3),"&gt;=0",Data!$B:$B,BB161,IF($A$20,Data!$J:$J,Data!#REF!),IF($A$20,"&lt;&gt;5",1))</f>
        <v>#DIV/0!</v>
      </c>
      <c r="BD161" t="e">
        <f t="shared" ca="1" si="80"/>
        <v>#DIV/0!</v>
      </c>
      <c r="BE161" s="20" t="s">
        <v>45</v>
      </c>
      <c r="BF161" t="e">
        <f ca="1">AVERAGEIFS(INDIRECT($E$3),INDIRECT($E$3),"&gt;=0",Data!$B:$B,BE161,IF($A$20,Data!$J:$J,Data!#REF!),IF($A$20,"&lt;&gt;5",1))</f>
        <v>#DIV/0!</v>
      </c>
      <c r="BG161" s="20" t="e">
        <f t="shared" ca="1" si="81"/>
        <v>#DIV/0!</v>
      </c>
      <c r="BH161" t="s">
        <v>93</v>
      </c>
      <c r="BI161" s="20" t="e">
        <f ca="1">AVERAGEIFS(INDIRECT($F$3),INDIRECT($F$3),"&gt;=0",Data!$B:$B,BH161,IF($A$20,Data!$J:$J,Data!#REF!),IF($A$20,"&lt;&gt;5",1))</f>
        <v>#DIV/0!</v>
      </c>
      <c r="BJ161" t="e">
        <f t="shared" ca="1" si="82"/>
        <v>#DIV/0!</v>
      </c>
      <c r="BK161" s="20" t="s">
        <v>151</v>
      </c>
      <c r="BL161" t="e">
        <f ca="1">AVERAGEIFS(INDIRECT($G$3),INDIRECT($G$3),"&gt;=0",Data!$B:$B,BK161,IF($A$20,Data!$J:$J,Data!#REF!),IF($A$20,"&lt;&gt;5",1))</f>
        <v>#DIV/0!</v>
      </c>
      <c r="BM161" s="20" t="e">
        <f t="shared" ca="1" si="83"/>
        <v>#DIV/0!</v>
      </c>
      <c r="BN161" t="s">
        <v>110</v>
      </c>
      <c r="BO161" t="e">
        <f ca="1">AVERAGEIFS(INDIRECT($H$3),INDIRECT($H$3),"&gt;=0",Data!$B:$B,BN161,IF($A$20,Data!$J:$J,Data!#REF!),IF($A$20,"&lt;&gt;5",1))</f>
        <v>#DIV/0!</v>
      </c>
      <c r="BP161" t="e">
        <f t="shared" ca="1" si="84"/>
        <v>#DIV/0!</v>
      </c>
      <c r="BQ161" t="s">
        <v>64</v>
      </c>
      <c r="BR161" t="e">
        <f ca="1">AVERAGEIFS(INDIRECT($I$3),INDIRECT($I$3),"&gt;=0",Data!$B:$B,BQ161,IF($A$20,Data!$J:$J,Data!#REF!),IF($A$20,"&lt;&gt;5",1))</f>
        <v>#DIV/0!</v>
      </c>
      <c r="BS161" t="e">
        <f t="shared" ca="1" si="85"/>
        <v>#DIV/0!</v>
      </c>
      <c r="BT161" t="s">
        <v>23</v>
      </c>
      <c r="BU161" t="e">
        <f ca="1">AVERAGEIFS(INDIRECT($J$3),INDIRECT($J$3),"&gt;=0",Data!$B:$B,BT161,IF($A$20,Data!$J:$J,Data!#REF!),IF($A$20,"&lt;&gt;5",1))</f>
        <v>#DIV/0!</v>
      </c>
      <c r="BV161" t="e">
        <f t="shared" ca="1" si="86"/>
        <v>#DIV/0!</v>
      </c>
    </row>
    <row r="162" spans="10:74" x14ac:dyDescent="0.35">
      <c r="J162">
        <f t="shared" si="87"/>
        <v>154</v>
      </c>
      <c r="K162" t="s">
        <v>5</v>
      </c>
      <c r="L162" t="e">
        <f ca="1">AVERAGEIFS(INDIRECT($B$3),INDIRECT($B$3),"&gt;=0",Data!$B:$B,$K162)</f>
        <v>#DIV/0!</v>
      </c>
      <c r="M162" t="e">
        <f t="shared" ca="1" si="88"/>
        <v>#DIV/0!</v>
      </c>
      <c r="N162" t="s">
        <v>193</v>
      </c>
      <c r="O162" t="e">
        <f ca="1">AVERAGEIFS(INDIRECT($C$3),INDIRECT($C$3),"&gt;=0",Data!$B:$B,$N162)</f>
        <v>#DIV/0!</v>
      </c>
      <c r="P162" t="e">
        <f t="shared" ca="1" si="61"/>
        <v>#DIV/0!</v>
      </c>
      <c r="Q162" t="s">
        <v>92</v>
      </c>
      <c r="R162" t="e">
        <f ca="1">AVERAGEIFS(INDIRECT($D$3),INDIRECT($D$3),"&gt;=0",Data!$B:$B,$Q162)</f>
        <v>#DIV/0!</v>
      </c>
      <c r="S162" t="e">
        <f t="shared" ca="1" si="62"/>
        <v>#DIV/0!</v>
      </c>
      <c r="T162" t="s">
        <v>21</v>
      </c>
      <c r="U162" t="e">
        <f ca="1">AVERAGEIFS(INDIRECT($E$3),INDIRECT($E$3),"&gt;=0",Data!$B:$B,$T162)</f>
        <v>#DIV/0!</v>
      </c>
      <c r="V162" t="e">
        <f t="shared" ca="1" si="63"/>
        <v>#DIV/0!</v>
      </c>
      <c r="W162" t="s">
        <v>35</v>
      </c>
      <c r="X162" t="e">
        <f ca="1">AVERAGEIFS(INDIRECT($F$3),INDIRECT($F$3),"&gt;=0",Data!$B:$B,$W162)</f>
        <v>#DIV/0!</v>
      </c>
      <c r="Y162" t="e">
        <f t="shared" ca="1" si="64"/>
        <v>#DIV/0!</v>
      </c>
      <c r="Z162" t="s">
        <v>174</v>
      </c>
      <c r="AA162" t="e">
        <f ca="1">AVERAGEIFS(INDIRECT($G$3),INDIRECT($G$3),"&gt;=0",Data!$B:$B,$Z162)</f>
        <v>#DIV/0!</v>
      </c>
      <c r="AB162" t="e">
        <f t="shared" ca="1" si="65"/>
        <v>#DIV/0!</v>
      </c>
      <c r="AC162" t="s">
        <v>110</v>
      </c>
      <c r="AD162" t="e">
        <f ca="1">AVERAGEIFS(INDIRECT($H$3),INDIRECT($H$3),"&gt;=0",Data!$B:$B,$AC162)</f>
        <v>#DIV/0!</v>
      </c>
      <c r="AE162" t="e">
        <f t="shared" ca="1" si="66"/>
        <v>#DIV/0!</v>
      </c>
      <c r="AF162" t="s">
        <v>41</v>
      </c>
      <c r="AG162">
        <f ca="1">AVERAGEIFS(INDIRECT($I$3),INDIRECT($I$3),"&gt;=0",Data!$B:$B,$AF162)</f>
        <v>0.53846153846153844</v>
      </c>
      <c r="AH162" t="e">
        <f t="shared" ca="1" si="67"/>
        <v>#DIV/0!</v>
      </c>
      <c r="AI162" t="s">
        <v>21</v>
      </c>
      <c r="AJ162" t="e">
        <f ca="1">AVERAGEIFS(INDIRECT($J$3),INDIRECT($J$3),"&gt;=0",Data!$B:$B,$AI162)</f>
        <v>#DIV/0!</v>
      </c>
      <c r="AK162" t="e">
        <f t="shared" ca="1" si="68"/>
        <v>#DIV/0!</v>
      </c>
      <c r="AL162" t="str">
        <f t="shared" ca="1" si="69"/>
        <v>-</v>
      </c>
      <c r="AM162" t="str">
        <f t="shared" ca="1" si="70"/>
        <v>-</v>
      </c>
      <c r="AN162" t="str">
        <f t="shared" ca="1" si="71"/>
        <v>-</v>
      </c>
      <c r="AO162" t="str">
        <f t="shared" ca="1" si="72"/>
        <v>-</v>
      </c>
      <c r="AP162" t="str">
        <f t="shared" ca="1" si="73"/>
        <v>-</v>
      </c>
      <c r="AQ162" t="str">
        <f t="shared" ca="1" si="74"/>
        <v>-</v>
      </c>
      <c r="AR162" t="str">
        <f t="shared" ca="1" si="75"/>
        <v>-</v>
      </c>
      <c r="AS162" t="str">
        <f t="shared" ca="1" si="76"/>
        <v>-</v>
      </c>
      <c r="AT162" t="str">
        <f t="shared" ca="1" si="77"/>
        <v>-</v>
      </c>
      <c r="AU162">
        <f t="shared" si="89"/>
        <v>154</v>
      </c>
      <c r="AV162" t="s">
        <v>46</v>
      </c>
      <c r="AW162" s="20" t="e">
        <f ca="1">AVERAGEIFS(INDIRECT($B$3),INDIRECT($B$3),"&gt;=0",Data!$B:$B,AV162,IF($A$20,Data!$J:$J,Data!#REF!),IF($A$20,"&lt;&gt;5",1))</f>
        <v>#DIV/0!</v>
      </c>
      <c r="AX162" t="e">
        <f t="shared" ca="1" si="78"/>
        <v>#DIV/0!</v>
      </c>
      <c r="AY162" s="20" t="s">
        <v>13</v>
      </c>
      <c r="AZ162" t="e">
        <f ca="1">AVERAGEIFS(INDIRECT($C$3),INDIRECT($C$3),"&gt;=0",Data!$B:$B,AY162,IF($A$20,Data!$J:$J,Data!#REF!),IF($A$20,"&lt;&gt;5",1))</f>
        <v>#DIV/0!</v>
      </c>
      <c r="BA162" s="20" t="e">
        <f t="shared" ca="1" si="79"/>
        <v>#DIV/0!</v>
      </c>
      <c r="BB162" t="s">
        <v>8</v>
      </c>
      <c r="BC162" s="20" t="e">
        <f ca="1">AVERAGEIFS(INDIRECT($D$3),INDIRECT($D$3),"&gt;=0",Data!$B:$B,BB162,IF($A$20,Data!$J:$J,Data!#REF!),IF($A$20,"&lt;&gt;5",1))</f>
        <v>#DIV/0!</v>
      </c>
      <c r="BD162" t="e">
        <f t="shared" ca="1" si="80"/>
        <v>#DIV/0!</v>
      </c>
      <c r="BE162" s="20" t="s">
        <v>79</v>
      </c>
      <c r="BF162" t="e">
        <f ca="1">AVERAGEIFS(INDIRECT($E$3),INDIRECT($E$3),"&gt;=0",Data!$B:$B,BE162,IF($A$20,Data!$J:$J,Data!#REF!),IF($A$20,"&lt;&gt;5",1))</f>
        <v>#DIV/0!</v>
      </c>
      <c r="BG162" s="20" t="e">
        <f t="shared" ca="1" si="81"/>
        <v>#DIV/0!</v>
      </c>
      <c r="BH162" t="s">
        <v>135</v>
      </c>
      <c r="BI162" s="20" t="e">
        <f ca="1">AVERAGEIFS(INDIRECT($F$3),INDIRECT($F$3),"&gt;=0",Data!$B:$B,BH162,IF($A$20,Data!$J:$J,Data!#REF!),IF($A$20,"&lt;&gt;5",1))</f>
        <v>#DIV/0!</v>
      </c>
      <c r="BJ162" t="e">
        <f t="shared" ca="1" si="82"/>
        <v>#DIV/0!</v>
      </c>
      <c r="BK162" s="20" t="s">
        <v>14</v>
      </c>
      <c r="BL162">
        <f ca="1">AVERAGEIFS(INDIRECT($G$3),INDIRECT($G$3),"&gt;=0",Data!$B:$B,BK162,IF($A$20,Data!$J:$J,Data!#REF!),IF($A$20,"&lt;&gt;5",1))</f>
        <v>0.5</v>
      </c>
      <c r="BM162" s="20" t="e">
        <f t="shared" ca="1" si="83"/>
        <v>#DIV/0!</v>
      </c>
      <c r="BN162" t="s">
        <v>122</v>
      </c>
      <c r="BO162" t="e">
        <f ca="1">AVERAGEIFS(INDIRECT($H$3),INDIRECT($H$3),"&gt;=0",Data!$B:$B,BN162,IF($A$20,Data!$J:$J,Data!#REF!),IF($A$20,"&lt;&gt;5",1))</f>
        <v>#DIV/0!</v>
      </c>
      <c r="BP162" t="e">
        <f t="shared" ca="1" si="84"/>
        <v>#DIV/0!</v>
      </c>
      <c r="BQ162" t="s">
        <v>129</v>
      </c>
      <c r="BR162" t="e">
        <f ca="1">AVERAGEIFS(INDIRECT($I$3),INDIRECT($I$3),"&gt;=0",Data!$B:$B,BQ162,IF($A$20,Data!$J:$J,Data!#REF!),IF($A$20,"&lt;&gt;5",1))</f>
        <v>#DIV/0!</v>
      </c>
      <c r="BS162" t="e">
        <f t="shared" ca="1" si="85"/>
        <v>#DIV/0!</v>
      </c>
      <c r="BT162" t="s">
        <v>14</v>
      </c>
      <c r="BU162">
        <f ca="1">AVERAGEIFS(INDIRECT($J$3),INDIRECT($J$3),"&gt;=0",Data!$B:$B,BT162,IF($A$20,Data!$J:$J,Data!#REF!),IF($A$20,"&lt;&gt;5",1))</f>
        <v>0.39130434782608697</v>
      </c>
      <c r="BV162" t="e">
        <f t="shared" ca="1" si="86"/>
        <v>#DIV/0!</v>
      </c>
    </row>
    <row r="163" spans="10:74" x14ac:dyDescent="0.35">
      <c r="J163">
        <f t="shared" si="87"/>
        <v>155</v>
      </c>
      <c r="K163" t="s">
        <v>46</v>
      </c>
      <c r="L163" t="e">
        <f ca="1">AVERAGEIFS(INDIRECT($B$3),INDIRECT($B$3),"&gt;=0",Data!$B:$B,$K163)</f>
        <v>#DIV/0!</v>
      </c>
      <c r="M163" t="e">
        <f t="shared" ca="1" si="88"/>
        <v>#DIV/0!</v>
      </c>
      <c r="N163" t="s">
        <v>69</v>
      </c>
      <c r="O163" t="e">
        <f ca="1">AVERAGEIFS(INDIRECT($C$3),INDIRECT($C$3),"&gt;=0",Data!$B:$B,$N163)</f>
        <v>#DIV/0!</v>
      </c>
      <c r="P163" t="e">
        <f t="shared" ca="1" si="61"/>
        <v>#DIV/0!</v>
      </c>
      <c r="Q163" t="s">
        <v>183</v>
      </c>
      <c r="R163" t="e">
        <f ca="1">AVERAGEIFS(INDIRECT($D$3),INDIRECT($D$3),"&gt;=0",Data!$B:$B,$Q163)</f>
        <v>#DIV/0!</v>
      </c>
      <c r="S163" t="e">
        <f t="shared" ca="1" si="62"/>
        <v>#DIV/0!</v>
      </c>
      <c r="T163" t="s">
        <v>79</v>
      </c>
      <c r="U163" t="e">
        <f ca="1">AVERAGEIFS(INDIRECT($E$3),INDIRECT($E$3),"&gt;=0",Data!$B:$B,$T163)</f>
        <v>#DIV/0!</v>
      </c>
      <c r="V163" t="e">
        <f t="shared" ca="1" si="63"/>
        <v>#DIV/0!</v>
      </c>
      <c r="W163" t="s">
        <v>93</v>
      </c>
      <c r="X163" t="e">
        <f ca="1">AVERAGEIFS(INDIRECT($F$3),INDIRECT($F$3),"&gt;=0",Data!$B:$B,$W163)</f>
        <v>#DIV/0!</v>
      </c>
      <c r="Y163" t="e">
        <f t="shared" ca="1" si="64"/>
        <v>#DIV/0!</v>
      </c>
      <c r="Z163" t="s">
        <v>26</v>
      </c>
      <c r="AA163" t="e">
        <f ca="1">AVERAGEIFS(INDIRECT($G$3),INDIRECT($G$3),"&gt;=0",Data!$B:$B,$Z163)</f>
        <v>#DIV/0!</v>
      </c>
      <c r="AB163" t="e">
        <f t="shared" ca="1" si="65"/>
        <v>#DIV/0!</v>
      </c>
      <c r="AC163" t="s">
        <v>122</v>
      </c>
      <c r="AD163" t="e">
        <f ca="1">AVERAGEIFS(INDIRECT($H$3),INDIRECT($H$3),"&gt;=0",Data!$B:$B,$AC163)</f>
        <v>#DIV/0!</v>
      </c>
      <c r="AE163" t="e">
        <f t="shared" ca="1" si="66"/>
        <v>#DIV/0!</v>
      </c>
      <c r="AF163" t="s">
        <v>197</v>
      </c>
      <c r="AG163" t="e">
        <f ca="1">AVERAGEIFS(INDIRECT($I$3),INDIRECT($I$3),"&gt;=0",Data!$B:$B,$AF163)</f>
        <v>#DIV/0!</v>
      </c>
      <c r="AH163" t="e">
        <f t="shared" ca="1" si="67"/>
        <v>#DIV/0!</v>
      </c>
      <c r="AI163" t="s">
        <v>29</v>
      </c>
      <c r="AJ163" t="e">
        <f ca="1">AVERAGEIFS(INDIRECT($J$3),INDIRECT($J$3),"&gt;=0",Data!$B:$B,$AI163)</f>
        <v>#DIV/0!</v>
      </c>
      <c r="AK163" t="e">
        <f t="shared" ca="1" si="68"/>
        <v>#DIV/0!</v>
      </c>
      <c r="AL163" t="str">
        <f t="shared" ca="1" si="69"/>
        <v>-</v>
      </c>
      <c r="AM163" t="str">
        <f t="shared" ca="1" si="70"/>
        <v>-</v>
      </c>
      <c r="AN163" t="str">
        <f t="shared" ca="1" si="71"/>
        <v>-</v>
      </c>
      <c r="AO163" t="str">
        <f t="shared" ca="1" si="72"/>
        <v>-</v>
      </c>
      <c r="AP163" t="str">
        <f t="shared" ca="1" si="73"/>
        <v>-</v>
      </c>
      <c r="AQ163" t="str">
        <f t="shared" ca="1" si="74"/>
        <v>-</v>
      </c>
      <c r="AR163" t="str">
        <f t="shared" ca="1" si="75"/>
        <v>-</v>
      </c>
      <c r="AS163" t="str">
        <f t="shared" ca="1" si="76"/>
        <v>-</v>
      </c>
      <c r="AT163" t="str">
        <f t="shared" ca="1" si="77"/>
        <v>-</v>
      </c>
      <c r="AU163">
        <f t="shared" si="89"/>
        <v>155</v>
      </c>
      <c r="AV163" t="s">
        <v>49</v>
      </c>
      <c r="AW163" s="20" t="e">
        <f ca="1">AVERAGEIFS(INDIRECT($B$3),INDIRECT($B$3),"&gt;=0",Data!$B:$B,AV163,IF($A$20,Data!$J:$J,Data!#REF!),IF($A$20,"&lt;&gt;5",1))</f>
        <v>#DIV/0!</v>
      </c>
      <c r="AX163" t="e">
        <f t="shared" ca="1" si="78"/>
        <v>#DIV/0!</v>
      </c>
      <c r="AY163" s="20" t="s">
        <v>198</v>
      </c>
      <c r="AZ163" t="e">
        <f ca="1">AVERAGEIFS(INDIRECT($C$3),INDIRECT($C$3),"&gt;=0",Data!$B:$B,AY163,IF($A$20,Data!$J:$J,Data!#REF!),IF($A$20,"&lt;&gt;5",1))</f>
        <v>#DIV/0!</v>
      </c>
      <c r="BA163" s="20" t="e">
        <f t="shared" ca="1" si="79"/>
        <v>#DIV/0!</v>
      </c>
      <c r="BB163" t="s">
        <v>168</v>
      </c>
      <c r="BC163" s="20" t="e">
        <f ca="1">AVERAGEIFS(INDIRECT($D$3),INDIRECT($D$3),"&gt;=0",Data!$B:$B,BB163,IF($A$20,Data!$J:$J,Data!#REF!),IF($A$20,"&lt;&gt;5",1))</f>
        <v>#DIV/0!</v>
      </c>
      <c r="BD163" t="e">
        <f t="shared" ca="1" si="80"/>
        <v>#DIV/0!</v>
      </c>
      <c r="BE163" s="20" t="s">
        <v>99</v>
      </c>
      <c r="BF163" t="e">
        <f ca="1">AVERAGEIFS(INDIRECT($E$3),INDIRECT($E$3),"&gt;=0",Data!$B:$B,BE163,IF($A$20,Data!$J:$J,Data!#REF!),IF($A$20,"&lt;&gt;5",1))</f>
        <v>#DIV/0!</v>
      </c>
      <c r="BG163" s="20" t="e">
        <f t="shared" ca="1" si="81"/>
        <v>#DIV/0!</v>
      </c>
      <c r="BH163" t="s">
        <v>101</v>
      </c>
      <c r="BI163" s="20" t="e">
        <f ca="1">AVERAGEIFS(INDIRECT($F$3),INDIRECT($F$3),"&gt;=0",Data!$B:$B,BH163,IF($A$20,Data!$J:$J,Data!#REF!),IF($A$20,"&lt;&gt;5",1))</f>
        <v>#DIV/0!</v>
      </c>
      <c r="BJ163" t="e">
        <f t="shared" ca="1" si="82"/>
        <v>#DIV/0!</v>
      </c>
      <c r="BK163" s="20" t="s">
        <v>72</v>
      </c>
      <c r="BL163" t="e">
        <f ca="1">AVERAGEIFS(INDIRECT($G$3),INDIRECT($G$3),"&gt;=0",Data!$B:$B,BK163,IF($A$20,Data!$J:$J,Data!#REF!),IF($A$20,"&lt;&gt;5",1))</f>
        <v>#DIV/0!</v>
      </c>
      <c r="BM163" s="20" t="e">
        <f t="shared" ca="1" si="83"/>
        <v>#DIV/0!</v>
      </c>
      <c r="BN163" t="s">
        <v>169</v>
      </c>
      <c r="BO163" t="e">
        <f ca="1">AVERAGEIFS(INDIRECT($H$3),INDIRECT($H$3),"&gt;=0",Data!$B:$B,BN163,IF($A$20,Data!$J:$J,Data!#REF!),IF($A$20,"&lt;&gt;5",1))</f>
        <v>#DIV/0!</v>
      </c>
      <c r="BP163" t="e">
        <f t="shared" ca="1" si="84"/>
        <v>#DIV/0!</v>
      </c>
      <c r="BQ163" t="s">
        <v>128</v>
      </c>
      <c r="BR163" t="e">
        <f ca="1">AVERAGEIFS(INDIRECT($I$3),INDIRECT($I$3),"&gt;=0",Data!$B:$B,BQ163,IF($A$20,Data!$J:$J,Data!#REF!),IF($A$20,"&lt;&gt;5",1))</f>
        <v>#DIV/0!</v>
      </c>
      <c r="BS163" t="e">
        <f t="shared" ca="1" si="85"/>
        <v>#DIV/0!</v>
      </c>
      <c r="BT163" t="s">
        <v>22</v>
      </c>
      <c r="BU163" t="e">
        <f ca="1">AVERAGEIFS(INDIRECT($J$3),INDIRECT($J$3),"&gt;=0",Data!$B:$B,BT163,IF($A$20,Data!$J:$J,Data!#REF!),IF($A$20,"&lt;&gt;5",1))</f>
        <v>#DIV/0!</v>
      </c>
      <c r="BV163" t="e">
        <f t="shared" ca="1" si="86"/>
        <v>#DIV/0!</v>
      </c>
    </row>
    <row r="164" spans="10:74" x14ac:dyDescent="0.35">
      <c r="J164">
        <f t="shared" si="87"/>
        <v>156</v>
      </c>
      <c r="K164" t="s">
        <v>49</v>
      </c>
      <c r="L164" t="e">
        <f ca="1">AVERAGEIFS(INDIRECT($B$3),INDIRECT($B$3),"&gt;=0",Data!$B:$B,$K164)</f>
        <v>#DIV/0!</v>
      </c>
      <c r="M164" t="e">
        <f t="shared" ca="1" si="88"/>
        <v>#DIV/0!</v>
      </c>
      <c r="N164" t="s">
        <v>11</v>
      </c>
      <c r="O164" t="e">
        <f ca="1">AVERAGEIFS(INDIRECT($C$3),INDIRECT($C$3),"&gt;=0",Data!$B:$B,$N164)</f>
        <v>#DIV/0!</v>
      </c>
      <c r="P164" t="e">
        <f t="shared" ca="1" si="61"/>
        <v>#DIV/0!</v>
      </c>
      <c r="Q164" t="s">
        <v>133</v>
      </c>
      <c r="R164" t="e">
        <f ca="1">AVERAGEIFS(INDIRECT($D$3),INDIRECT($D$3),"&gt;=0",Data!$B:$B,$Q164)</f>
        <v>#DIV/0!</v>
      </c>
      <c r="S164" t="e">
        <f t="shared" ca="1" si="62"/>
        <v>#DIV/0!</v>
      </c>
      <c r="T164" t="s">
        <v>97</v>
      </c>
      <c r="U164" t="e">
        <f ca="1">AVERAGEIFS(INDIRECT($E$3),INDIRECT($E$3),"&gt;=0",Data!$B:$B,$T164)</f>
        <v>#DIV/0!</v>
      </c>
      <c r="V164" t="e">
        <f t="shared" ca="1" si="63"/>
        <v>#DIV/0!</v>
      </c>
      <c r="W164" t="s">
        <v>38</v>
      </c>
      <c r="X164" t="e">
        <f ca="1">AVERAGEIFS(INDIRECT($F$3),INDIRECT($F$3),"&gt;=0",Data!$B:$B,$W164)</f>
        <v>#DIV/0!</v>
      </c>
      <c r="Y164" t="e">
        <f t="shared" ca="1" si="64"/>
        <v>#DIV/0!</v>
      </c>
      <c r="Z164" t="s">
        <v>128</v>
      </c>
      <c r="AA164" t="e">
        <f ca="1">AVERAGEIFS(INDIRECT($G$3),INDIRECT($G$3),"&gt;=0",Data!$B:$B,$Z164)</f>
        <v>#DIV/0!</v>
      </c>
      <c r="AB164" t="e">
        <f t="shared" ca="1" si="65"/>
        <v>#DIV/0!</v>
      </c>
      <c r="AC164" t="s">
        <v>130</v>
      </c>
      <c r="AD164" t="e">
        <f ca="1">AVERAGEIFS(INDIRECT($H$3),INDIRECT($H$3),"&gt;=0",Data!$B:$B,$AC164)</f>
        <v>#DIV/0!</v>
      </c>
      <c r="AE164" t="e">
        <f t="shared" ca="1" si="66"/>
        <v>#DIV/0!</v>
      </c>
      <c r="AF164" t="s">
        <v>145</v>
      </c>
      <c r="AG164">
        <f ca="1">AVERAGEIFS(INDIRECT($I$3),INDIRECT($I$3),"&gt;=0",Data!$B:$B,$AF164)</f>
        <v>0.68965517241379315</v>
      </c>
      <c r="AH164" t="e">
        <f t="shared" ca="1" si="67"/>
        <v>#DIV/0!</v>
      </c>
      <c r="AI164" t="s">
        <v>24</v>
      </c>
      <c r="AJ164" t="e">
        <f ca="1">AVERAGEIFS(INDIRECT($J$3),INDIRECT($J$3),"&gt;=0",Data!$B:$B,$AI164)</f>
        <v>#DIV/0!</v>
      </c>
      <c r="AK164" t="e">
        <f t="shared" ca="1" si="68"/>
        <v>#DIV/0!</v>
      </c>
      <c r="AL164" t="str">
        <f t="shared" ca="1" si="69"/>
        <v>-</v>
      </c>
      <c r="AM164" t="str">
        <f t="shared" ca="1" si="70"/>
        <v>-</v>
      </c>
      <c r="AN164" t="str">
        <f t="shared" ca="1" si="71"/>
        <v>-</v>
      </c>
      <c r="AO164" t="str">
        <f t="shared" ca="1" si="72"/>
        <v>-</v>
      </c>
      <c r="AP164" t="str">
        <f t="shared" ca="1" si="73"/>
        <v>-</v>
      </c>
      <c r="AQ164" t="str">
        <f t="shared" ca="1" si="74"/>
        <v>-</v>
      </c>
      <c r="AR164" t="str">
        <f t="shared" ca="1" si="75"/>
        <v>-</v>
      </c>
      <c r="AS164" t="str">
        <f t="shared" ca="1" si="76"/>
        <v>-</v>
      </c>
      <c r="AT164" t="str">
        <f t="shared" ca="1" si="77"/>
        <v>-</v>
      </c>
      <c r="AU164">
        <f t="shared" si="89"/>
        <v>156</v>
      </c>
      <c r="AV164" t="s">
        <v>74</v>
      </c>
      <c r="AW164" s="20" t="e">
        <f ca="1">AVERAGEIFS(INDIRECT($B$3),INDIRECT($B$3),"&gt;=0",Data!$B:$B,AV164,IF($A$20,Data!$J:$J,Data!#REF!),IF($A$20,"&lt;&gt;5",1))</f>
        <v>#DIV/0!</v>
      </c>
      <c r="AX164" t="e">
        <f t="shared" ca="1" si="78"/>
        <v>#DIV/0!</v>
      </c>
      <c r="AY164" s="20" t="s">
        <v>113</v>
      </c>
      <c r="AZ164" t="e">
        <f ca="1">AVERAGEIFS(INDIRECT($C$3),INDIRECT($C$3),"&gt;=0",Data!$B:$B,AY164,IF($A$20,Data!$J:$J,Data!#REF!),IF($A$20,"&lt;&gt;5",1))</f>
        <v>#DIV/0!</v>
      </c>
      <c r="BA164" s="20" t="e">
        <f t="shared" ca="1" si="79"/>
        <v>#DIV/0!</v>
      </c>
      <c r="BB164" t="s">
        <v>54</v>
      </c>
      <c r="BC164" s="20" t="e">
        <f ca="1">AVERAGEIFS(INDIRECT($D$3),INDIRECT($D$3),"&gt;=0",Data!$B:$B,BB164,IF($A$20,Data!$J:$J,Data!#REF!),IF($A$20,"&lt;&gt;5",1))</f>
        <v>#DIV/0!</v>
      </c>
      <c r="BD164" t="e">
        <f t="shared" ca="1" si="80"/>
        <v>#DIV/0!</v>
      </c>
      <c r="BE164" s="20" t="s">
        <v>97</v>
      </c>
      <c r="BF164" t="e">
        <f ca="1">AVERAGEIFS(INDIRECT($E$3),INDIRECT($E$3),"&gt;=0",Data!$B:$B,BE164,IF($A$20,Data!$J:$J,Data!#REF!),IF($A$20,"&lt;&gt;5",1))</f>
        <v>#DIV/0!</v>
      </c>
      <c r="BG164" s="20" t="e">
        <f t="shared" ca="1" si="81"/>
        <v>#DIV/0!</v>
      </c>
      <c r="BH164" t="s">
        <v>65</v>
      </c>
      <c r="BI164" s="20" t="e">
        <f ca="1">AVERAGEIFS(INDIRECT($F$3),INDIRECT($F$3),"&gt;=0",Data!$B:$B,BH164,IF($A$20,Data!$J:$J,Data!#REF!),IF($A$20,"&lt;&gt;5",1))</f>
        <v>#DIV/0!</v>
      </c>
      <c r="BJ164" t="e">
        <f t="shared" ca="1" si="82"/>
        <v>#DIV/0!</v>
      </c>
      <c r="BK164" s="20" t="s">
        <v>35</v>
      </c>
      <c r="BL164" t="e">
        <f ca="1">AVERAGEIFS(INDIRECT($G$3),INDIRECT($G$3),"&gt;=0",Data!$B:$B,BK164,IF($A$20,Data!$J:$J,Data!#REF!),IF($A$20,"&lt;&gt;5",1))</f>
        <v>#DIV/0!</v>
      </c>
      <c r="BM164" s="20" t="e">
        <f t="shared" ca="1" si="83"/>
        <v>#DIV/0!</v>
      </c>
      <c r="BN164" t="s">
        <v>64</v>
      </c>
      <c r="BO164" t="e">
        <f ca="1">AVERAGEIFS(INDIRECT($H$3),INDIRECT($H$3),"&gt;=0",Data!$B:$B,BN164,IF($A$20,Data!$J:$J,Data!#REF!),IF($A$20,"&lt;&gt;5",1))</f>
        <v>#DIV/0!</v>
      </c>
      <c r="BP164" t="e">
        <f t="shared" ca="1" si="84"/>
        <v>#DIV/0!</v>
      </c>
      <c r="BQ164" t="s">
        <v>12</v>
      </c>
      <c r="BR164">
        <f ca="1">AVERAGEIFS(INDIRECT($I$3),INDIRECT($I$3),"&gt;=0",Data!$B:$B,BQ164,IF($A$20,Data!$J:$J,Data!#REF!),IF($A$20,"&lt;&gt;5",1))</f>
        <v>0.61538461538461542</v>
      </c>
      <c r="BS164" t="e">
        <f t="shared" ca="1" si="85"/>
        <v>#DIV/0!</v>
      </c>
      <c r="BT164" t="s">
        <v>17</v>
      </c>
      <c r="BU164" t="e">
        <f ca="1">AVERAGEIFS(INDIRECT($J$3),INDIRECT($J$3),"&gt;=0",Data!$B:$B,BT164,IF($A$20,Data!$J:$J,Data!#REF!),IF($A$20,"&lt;&gt;5",1))</f>
        <v>#DIV/0!</v>
      </c>
      <c r="BV164" t="e">
        <f t="shared" ca="1" si="86"/>
        <v>#DIV/0!</v>
      </c>
    </row>
    <row r="165" spans="10:74" x14ac:dyDescent="0.35">
      <c r="J165">
        <f t="shared" si="87"/>
        <v>157</v>
      </c>
      <c r="K165" t="s">
        <v>74</v>
      </c>
      <c r="L165" t="e">
        <f ca="1">AVERAGEIFS(INDIRECT($B$3),INDIRECT($B$3),"&gt;=0",Data!$B:$B,$K165)</f>
        <v>#DIV/0!</v>
      </c>
      <c r="M165" t="e">
        <f t="shared" ca="1" si="88"/>
        <v>#DIV/0!</v>
      </c>
      <c r="N165" t="s">
        <v>20</v>
      </c>
      <c r="O165" t="e">
        <f ca="1">AVERAGEIFS(INDIRECT($C$3),INDIRECT($C$3),"&gt;=0",Data!$B:$B,$N165)</f>
        <v>#DIV/0!</v>
      </c>
      <c r="P165" t="e">
        <f t="shared" ca="1" si="61"/>
        <v>#DIV/0!</v>
      </c>
      <c r="Q165" t="s">
        <v>91</v>
      </c>
      <c r="R165" t="e">
        <f ca="1">AVERAGEIFS(INDIRECT($D$3),INDIRECT($D$3),"&gt;=0",Data!$B:$B,$Q165)</f>
        <v>#DIV/0!</v>
      </c>
      <c r="S165" t="e">
        <f t="shared" ca="1" si="62"/>
        <v>#DIV/0!</v>
      </c>
      <c r="T165" t="s">
        <v>99</v>
      </c>
      <c r="U165" t="e">
        <f ca="1">AVERAGEIFS(INDIRECT($E$3),INDIRECT($E$3),"&gt;=0",Data!$B:$B,$T165)</f>
        <v>#DIV/0!</v>
      </c>
      <c r="V165" t="e">
        <f t="shared" ca="1" si="63"/>
        <v>#DIV/0!</v>
      </c>
      <c r="W165" t="s">
        <v>60</v>
      </c>
      <c r="X165">
        <f ca="1">AVERAGEIFS(INDIRECT($F$3),INDIRECT($F$3),"&gt;=0",Data!$B:$B,$W165)</f>
        <v>0</v>
      </c>
      <c r="Y165" t="e">
        <f t="shared" ca="1" si="64"/>
        <v>#DIV/0!</v>
      </c>
      <c r="Z165" t="s">
        <v>6</v>
      </c>
      <c r="AA165" t="e">
        <f ca="1">AVERAGEIFS(INDIRECT($G$3),INDIRECT($G$3),"&gt;=0",Data!$B:$B,$Z165)</f>
        <v>#DIV/0!</v>
      </c>
      <c r="AB165" t="e">
        <f t="shared" ca="1" si="65"/>
        <v>#DIV/0!</v>
      </c>
      <c r="AC165" t="s">
        <v>169</v>
      </c>
      <c r="AD165" t="e">
        <f ca="1">AVERAGEIFS(INDIRECT($H$3),INDIRECT($H$3),"&gt;=0",Data!$B:$B,$AC165)</f>
        <v>#DIV/0!</v>
      </c>
      <c r="AE165" t="e">
        <f t="shared" ca="1" si="66"/>
        <v>#DIV/0!</v>
      </c>
      <c r="AF165" t="s">
        <v>69</v>
      </c>
      <c r="AG165" t="e">
        <f ca="1">AVERAGEIFS(INDIRECT($I$3),INDIRECT($I$3),"&gt;=0",Data!$B:$B,$AF165)</f>
        <v>#DIV/0!</v>
      </c>
      <c r="AH165" t="e">
        <f t="shared" ca="1" si="67"/>
        <v>#DIV/0!</v>
      </c>
      <c r="AI165" t="s">
        <v>15</v>
      </c>
      <c r="AJ165" t="e">
        <f ca="1">AVERAGEIFS(INDIRECT($J$3),INDIRECT($J$3),"&gt;=0",Data!$B:$B,$AI165)</f>
        <v>#DIV/0!</v>
      </c>
      <c r="AK165" t="e">
        <f t="shared" ca="1" si="68"/>
        <v>#DIV/0!</v>
      </c>
      <c r="AL165" t="str">
        <f t="shared" ca="1" si="69"/>
        <v>-</v>
      </c>
      <c r="AM165" t="str">
        <f t="shared" ca="1" si="70"/>
        <v>-</v>
      </c>
      <c r="AN165" t="str">
        <f t="shared" ca="1" si="71"/>
        <v>-</v>
      </c>
      <c r="AO165" t="str">
        <f t="shared" ca="1" si="72"/>
        <v>-</v>
      </c>
      <c r="AP165" t="str">
        <f t="shared" ca="1" si="73"/>
        <v>-</v>
      </c>
      <c r="AQ165" t="str">
        <f t="shared" ca="1" si="74"/>
        <v>-</v>
      </c>
      <c r="AR165" t="str">
        <f t="shared" ca="1" si="75"/>
        <v>-</v>
      </c>
      <c r="AS165" t="str">
        <f t="shared" ca="1" si="76"/>
        <v>-</v>
      </c>
      <c r="AT165" t="str">
        <f t="shared" ca="1" si="77"/>
        <v>-</v>
      </c>
      <c r="AU165">
        <f t="shared" si="89"/>
        <v>157</v>
      </c>
      <c r="AV165" t="s">
        <v>26</v>
      </c>
      <c r="AW165" s="20" t="e">
        <f ca="1">AVERAGEIFS(INDIRECT($B$3),INDIRECT($B$3),"&gt;=0",Data!$B:$B,AV165,IF($A$20,Data!$J:$J,Data!#REF!),IF($A$20,"&lt;&gt;5",1))</f>
        <v>#DIV/0!</v>
      </c>
      <c r="AX165" t="e">
        <f t="shared" ca="1" si="78"/>
        <v>#DIV/0!</v>
      </c>
      <c r="AY165" s="20" t="s">
        <v>159</v>
      </c>
      <c r="AZ165" t="e">
        <f ca="1">AVERAGEIFS(INDIRECT($C$3),INDIRECT($C$3),"&gt;=0",Data!$B:$B,AY165,IF($A$20,Data!$J:$J,Data!#REF!),IF($A$20,"&lt;&gt;5",1))</f>
        <v>#DIV/0!</v>
      </c>
      <c r="BA165" s="20" t="e">
        <f t="shared" ca="1" si="79"/>
        <v>#DIV/0!</v>
      </c>
      <c r="BB165" t="s">
        <v>156</v>
      </c>
      <c r="BC165" s="20" t="e">
        <f ca="1">AVERAGEIFS(INDIRECT($D$3),INDIRECT($D$3),"&gt;=0",Data!$B:$B,BB165,IF($A$20,Data!$J:$J,Data!#REF!),IF($A$20,"&lt;&gt;5",1))</f>
        <v>#DIV/0!</v>
      </c>
      <c r="BD165" t="e">
        <f t="shared" ca="1" si="80"/>
        <v>#DIV/0!</v>
      </c>
      <c r="BE165" s="20" t="s">
        <v>11</v>
      </c>
      <c r="BF165" t="e">
        <f ca="1">AVERAGEIFS(INDIRECT($E$3),INDIRECT($E$3),"&gt;=0",Data!$B:$B,BE165,IF($A$20,Data!$J:$J,Data!#REF!),IF($A$20,"&lt;&gt;5",1))</f>
        <v>#DIV/0!</v>
      </c>
      <c r="BG165" s="20" t="e">
        <f t="shared" ca="1" si="81"/>
        <v>#DIV/0!</v>
      </c>
      <c r="BH165" t="s">
        <v>91</v>
      </c>
      <c r="BI165" s="20">
        <f ca="1">AVERAGEIFS(INDIRECT($F$3),INDIRECT($F$3),"&gt;=0",Data!$B:$B,BH165,IF($A$20,Data!$J:$J,Data!#REF!),IF($A$20,"&lt;&gt;5",1))</f>
        <v>0</v>
      </c>
      <c r="BJ165" t="e">
        <f t="shared" ca="1" si="82"/>
        <v>#DIV/0!</v>
      </c>
      <c r="BK165" s="20" t="s">
        <v>137</v>
      </c>
      <c r="BL165">
        <f ca="1">AVERAGEIFS(INDIRECT($G$3),INDIRECT($G$3),"&gt;=0",Data!$B:$B,BK165,IF($A$20,Data!$J:$J,Data!#REF!),IF($A$20,"&lt;&gt;5",1))</f>
        <v>0.84210526315789469</v>
      </c>
      <c r="BM165" s="20" t="e">
        <f t="shared" ca="1" si="83"/>
        <v>#DIV/0!</v>
      </c>
      <c r="BN165" t="s">
        <v>133</v>
      </c>
      <c r="BO165">
        <f ca="1">AVERAGEIFS(INDIRECT($H$3),INDIRECT($H$3),"&gt;=0",Data!$B:$B,BN165,IF($A$20,Data!$J:$J,Data!#REF!),IF($A$20,"&lt;&gt;5",1))</f>
        <v>0.95238095238095233</v>
      </c>
      <c r="BP165" t="e">
        <f t="shared" ca="1" si="84"/>
        <v>#DIV/0!</v>
      </c>
      <c r="BQ165" t="s">
        <v>44</v>
      </c>
      <c r="BR165">
        <f ca="1">AVERAGEIFS(INDIRECT($I$3),INDIRECT($I$3),"&gt;=0",Data!$B:$B,BQ165,IF($A$20,Data!$J:$J,Data!#REF!),IF($A$20,"&lt;&gt;5",1))</f>
        <v>0.81818181818181823</v>
      </c>
      <c r="BS165">
        <f t="shared" ca="1" si="85"/>
        <v>157</v>
      </c>
      <c r="BT165" t="s">
        <v>19</v>
      </c>
      <c r="BU165" t="e">
        <f ca="1">AVERAGEIFS(INDIRECT($J$3),INDIRECT($J$3),"&gt;=0",Data!$B:$B,BT165,IF($A$20,Data!$J:$J,Data!#REF!),IF($A$20,"&lt;&gt;5",1))</f>
        <v>#DIV/0!</v>
      </c>
      <c r="BV165" t="e">
        <f t="shared" ca="1" si="86"/>
        <v>#DIV/0!</v>
      </c>
    </row>
    <row r="166" spans="10:74" x14ac:dyDescent="0.35">
      <c r="J166">
        <f t="shared" si="87"/>
        <v>158</v>
      </c>
      <c r="K166" t="s">
        <v>138</v>
      </c>
      <c r="L166" t="e">
        <f ca="1">AVERAGEIFS(INDIRECT($B$3),INDIRECT($B$3),"&gt;=0",Data!$B:$B,$K166)</f>
        <v>#DIV/0!</v>
      </c>
      <c r="M166" t="e">
        <f t="shared" ca="1" si="88"/>
        <v>#DIV/0!</v>
      </c>
      <c r="N166" t="s">
        <v>164</v>
      </c>
      <c r="O166" t="e">
        <f ca="1">AVERAGEIFS(INDIRECT($C$3),INDIRECT($C$3),"&gt;=0",Data!$B:$B,$N166)</f>
        <v>#DIV/0!</v>
      </c>
      <c r="P166" t="e">
        <f t="shared" ca="1" si="61"/>
        <v>#DIV/0!</v>
      </c>
      <c r="Q166" t="s">
        <v>118</v>
      </c>
      <c r="R166" t="e">
        <f ca="1">AVERAGEIFS(INDIRECT($D$3),INDIRECT($D$3),"&gt;=0",Data!$B:$B,$Q166)</f>
        <v>#DIV/0!</v>
      </c>
      <c r="S166" t="e">
        <f t="shared" ca="1" si="62"/>
        <v>#DIV/0!</v>
      </c>
      <c r="T166" t="s">
        <v>194</v>
      </c>
      <c r="U166" t="e">
        <f ca="1">AVERAGEIFS(INDIRECT($E$3),INDIRECT($E$3),"&gt;=0",Data!$B:$B,$T166)</f>
        <v>#DIV/0!</v>
      </c>
      <c r="V166" t="e">
        <f t="shared" ca="1" si="63"/>
        <v>#DIV/0!</v>
      </c>
      <c r="W166" t="s">
        <v>135</v>
      </c>
      <c r="X166" t="e">
        <f ca="1">AVERAGEIFS(INDIRECT($F$3),INDIRECT($F$3),"&gt;=0",Data!$B:$B,$W166)</f>
        <v>#DIV/0!</v>
      </c>
      <c r="Y166" t="e">
        <f t="shared" ca="1" si="64"/>
        <v>#DIV/0!</v>
      </c>
      <c r="Z166" t="s">
        <v>11</v>
      </c>
      <c r="AA166">
        <f ca="1">AVERAGEIFS(INDIRECT($G$3),INDIRECT($G$3),"&gt;=0",Data!$B:$B,$Z166)</f>
        <v>0.875</v>
      </c>
      <c r="AB166" t="e">
        <f t="shared" ca="1" si="65"/>
        <v>#DIV/0!</v>
      </c>
      <c r="AC166" t="s">
        <v>14</v>
      </c>
      <c r="AD166">
        <f ca="1">AVERAGEIFS(INDIRECT($H$3),INDIRECT($H$3),"&gt;=0",Data!$B:$B,$AC166)</f>
        <v>0.92307692307692313</v>
      </c>
      <c r="AE166" t="e">
        <f t="shared" ca="1" si="66"/>
        <v>#DIV/0!</v>
      </c>
      <c r="AF166" t="s">
        <v>112</v>
      </c>
      <c r="AG166" t="e">
        <f ca="1">AVERAGEIFS(INDIRECT($I$3),INDIRECT($I$3),"&gt;=0",Data!$B:$B,$AF166)</f>
        <v>#DIV/0!</v>
      </c>
      <c r="AH166" t="e">
        <f t="shared" ca="1" si="67"/>
        <v>#DIV/0!</v>
      </c>
      <c r="AI166" t="s">
        <v>23</v>
      </c>
      <c r="AJ166" t="e">
        <f ca="1">AVERAGEIFS(INDIRECT($J$3),INDIRECT($J$3),"&gt;=0",Data!$B:$B,$AI166)</f>
        <v>#DIV/0!</v>
      </c>
      <c r="AK166" t="e">
        <f t="shared" ca="1" si="68"/>
        <v>#DIV/0!</v>
      </c>
      <c r="AL166" t="str">
        <f t="shared" ca="1" si="69"/>
        <v>-</v>
      </c>
      <c r="AM166" t="str">
        <f t="shared" ca="1" si="70"/>
        <v>-</v>
      </c>
      <c r="AN166" t="str">
        <f t="shared" ca="1" si="71"/>
        <v>-</v>
      </c>
      <c r="AO166" t="str">
        <f t="shared" ca="1" si="72"/>
        <v>-</v>
      </c>
      <c r="AP166" t="str">
        <f t="shared" ca="1" si="73"/>
        <v>-</v>
      </c>
      <c r="AQ166" t="str">
        <f t="shared" ca="1" si="74"/>
        <v>-</v>
      </c>
      <c r="AR166" t="str">
        <f t="shared" ca="1" si="75"/>
        <v>-</v>
      </c>
      <c r="AS166" t="str">
        <f t="shared" ca="1" si="76"/>
        <v>-</v>
      </c>
      <c r="AT166" t="str">
        <f t="shared" ca="1" si="77"/>
        <v>-</v>
      </c>
      <c r="AU166">
        <f t="shared" si="89"/>
        <v>158</v>
      </c>
      <c r="AV166" t="s">
        <v>14</v>
      </c>
      <c r="AW166" s="20" t="e">
        <f ca="1">AVERAGEIFS(INDIRECT($B$3),INDIRECT($B$3),"&gt;=0",Data!$B:$B,AV166,IF($A$20,Data!$J:$J,Data!#REF!),IF($A$20,"&lt;&gt;5",1))</f>
        <v>#DIV/0!</v>
      </c>
      <c r="AX166" t="e">
        <f t="shared" ca="1" si="78"/>
        <v>#DIV/0!</v>
      </c>
      <c r="AY166" s="20" t="s">
        <v>178</v>
      </c>
      <c r="AZ166" t="e">
        <f ca="1">AVERAGEIFS(INDIRECT($C$3),INDIRECT($C$3),"&gt;=0",Data!$B:$B,AY166,IF($A$20,Data!$J:$J,Data!#REF!),IF($A$20,"&lt;&gt;5",1))</f>
        <v>#DIV/0!</v>
      </c>
      <c r="BA166" s="20" t="e">
        <f t="shared" ca="1" si="79"/>
        <v>#DIV/0!</v>
      </c>
      <c r="BB166" t="s">
        <v>138</v>
      </c>
      <c r="BC166" s="20" t="e">
        <f ca="1">AVERAGEIFS(INDIRECT($D$3),INDIRECT($D$3),"&gt;=0",Data!$B:$B,BB166,IF($A$20,Data!$J:$J,Data!#REF!),IF($A$20,"&lt;&gt;5",1))</f>
        <v>#DIV/0!</v>
      </c>
      <c r="BD166" t="e">
        <f t="shared" ca="1" si="80"/>
        <v>#DIV/0!</v>
      </c>
      <c r="BE166" s="20" t="s">
        <v>194</v>
      </c>
      <c r="BF166" t="e">
        <f ca="1">AVERAGEIFS(INDIRECT($E$3),INDIRECT($E$3),"&gt;=0",Data!$B:$B,BE166,IF($A$20,Data!$J:$J,Data!#REF!),IF($A$20,"&lt;&gt;5",1))</f>
        <v>#DIV/0!</v>
      </c>
      <c r="BG166" s="20" t="e">
        <f t="shared" ca="1" si="81"/>
        <v>#DIV/0!</v>
      </c>
      <c r="BH166" t="s">
        <v>118</v>
      </c>
      <c r="BI166" s="20" t="e">
        <f ca="1">AVERAGEIFS(INDIRECT($F$3),INDIRECT($F$3),"&gt;=0",Data!$B:$B,BH166,IF($A$20,Data!$J:$J,Data!#REF!),IF($A$20,"&lt;&gt;5",1))</f>
        <v>#DIV/0!</v>
      </c>
      <c r="BJ166" t="e">
        <f t="shared" ca="1" si="82"/>
        <v>#DIV/0!</v>
      </c>
      <c r="BK166" s="20" t="s">
        <v>149</v>
      </c>
      <c r="BL166" t="e">
        <f ca="1">AVERAGEIFS(INDIRECT($G$3),INDIRECT($G$3),"&gt;=0",Data!$B:$B,BK166,IF($A$20,Data!$J:$J,Data!#REF!),IF($A$20,"&lt;&gt;5",1))</f>
        <v>#DIV/0!</v>
      </c>
      <c r="BM166" s="20" t="e">
        <f t="shared" ca="1" si="83"/>
        <v>#DIV/0!</v>
      </c>
      <c r="BN166" t="s">
        <v>199</v>
      </c>
      <c r="BO166" t="e">
        <f ca="1">AVERAGEIFS(INDIRECT($H$3),INDIRECT($H$3),"&gt;=0",Data!$B:$B,BN166,IF($A$20,Data!$J:$J,Data!#REF!),IF($A$20,"&lt;&gt;5",1))</f>
        <v>#DIV/0!</v>
      </c>
      <c r="BP166" t="e">
        <f t="shared" ca="1" si="84"/>
        <v>#DIV/0!</v>
      </c>
      <c r="BQ166" t="s">
        <v>14</v>
      </c>
      <c r="BR166">
        <f ca="1">AVERAGEIFS(INDIRECT($I$3),INDIRECT($I$3),"&gt;=0",Data!$B:$B,BQ166,IF($A$20,Data!$J:$J,Data!#REF!),IF($A$20,"&lt;&gt;5",1))</f>
        <v>0.56000000000000005</v>
      </c>
      <c r="BS166">
        <f t="shared" ca="1" si="85"/>
        <v>158</v>
      </c>
      <c r="BT166" t="s">
        <v>20</v>
      </c>
      <c r="BU166" t="e">
        <f ca="1">AVERAGEIFS(INDIRECT($J$3),INDIRECT($J$3),"&gt;=0",Data!$B:$B,BT166,IF($A$20,Data!$J:$J,Data!#REF!),IF($A$20,"&lt;&gt;5",1))</f>
        <v>#DIV/0!</v>
      </c>
      <c r="BV166" t="e">
        <f t="shared" ca="1" si="86"/>
        <v>#DIV/0!</v>
      </c>
    </row>
    <row r="167" spans="10:74" x14ac:dyDescent="0.35">
      <c r="J167">
        <f t="shared" si="87"/>
        <v>159</v>
      </c>
      <c r="K167" t="s">
        <v>157</v>
      </c>
      <c r="L167" t="e">
        <f ca="1">AVERAGEIFS(INDIRECT($B$3),INDIRECT($B$3),"&gt;=0",Data!$B:$B,$K167)</f>
        <v>#DIV/0!</v>
      </c>
      <c r="M167" t="e">
        <f t="shared" ca="1" si="88"/>
        <v>#DIV/0!</v>
      </c>
      <c r="N167" t="s">
        <v>10</v>
      </c>
      <c r="O167" t="e">
        <f ca="1">AVERAGEIFS(INDIRECT($C$3),INDIRECT($C$3),"&gt;=0",Data!$B:$B,$N167)</f>
        <v>#DIV/0!</v>
      </c>
      <c r="P167" t="e">
        <f t="shared" ca="1" si="61"/>
        <v>#DIV/0!</v>
      </c>
      <c r="Q167" t="s">
        <v>174</v>
      </c>
      <c r="R167" t="e">
        <f ca="1">AVERAGEIFS(INDIRECT($D$3),INDIRECT($D$3),"&gt;=0",Data!$B:$B,$Q167)</f>
        <v>#DIV/0!</v>
      </c>
      <c r="S167" t="e">
        <f t="shared" ca="1" si="62"/>
        <v>#DIV/0!</v>
      </c>
      <c r="T167" t="s">
        <v>199</v>
      </c>
      <c r="U167" t="e">
        <f ca="1">AVERAGEIFS(INDIRECT($E$3),INDIRECT($E$3),"&gt;=0",Data!$B:$B,$T167)</f>
        <v>#DIV/0!</v>
      </c>
      <c r="V167" t="e">
        <f t="shared" ca="1" si="63"/>
        <v>#DIV/0!</v>
      </c>
      <c r="W167" t="s">
        <v>160</v>
      </c>
      <c r="X167" t="e">
        <f ca="1">AVERAGEIFS(INDIRECT($F$3),INDIRECT($F$3),"&gt;=0",Data!$B:$B,$W167)</f>
        <v>#DIV/0!</v>
      </c>
      <c r="Y167" t="e">
        <f t="shared" ca="1" si="64"/>
        <v>#DIV/0!</v>
      </c>
      <c r="Z167" t="s">
        <v>19</v>
      </c>
      <c r="AA167" t="e">
        <f ca="1">AVERAGEIFS(INDIRECT($G$3),INDIRECT($G$3),"&gt;=0",Data!$B:$B,$Z167)</f>
        <v>#DIV/0!</v>
      </c>
      <c r="AB167" t="e">
        <f t="shared" ca="1" si="65"/>
        <v>#DIV/0!</v>
      </c>
      <c r="AC167" t="s">
        <v>48</v>
      </c>
      <c r="AD167">
        <f ca="1">AVERAGEIFS(INDIRECT($H$3),INDIRECT($H$3),"&gt;=0",Data!$B:$B,$AC167)</f>
        <v>0.88</v>
      </c>
      <c r="AE167">
        <f t="shared" ca="1" si="66"/>
        <v>159</v>
      </c>
      <c r="AF167" t="s">
        <v>129</v>
      </c>
      <c r="AG167" t="e">
        <f ca="1">AVERAGEIFS(INDIRECT($I$3),INDIRECT($I$3),"&gt;=0",Data!$B:$B,$AF167)</f>
        <v>#DIV/0!</v>
      </c>
      <c r="AH167" t="e">
        <f t="shared" ca="1" si="67"/>
        <v>#DIV/0!</v>
      </c>
      <c r="AI167" t="s">
        <v>14</v>
      </c>
      <c r="AJ167">
        <f ca="1">AVERAGEIFS(INDIRECT($J$3),INDIRECT($J$3),"&gt;=0",Data!$B:$B,$AI167)</f>
        <v>0.39130434782608697</v>
      </c>
      <c r="AK167" t="e">
        <f t="shared" ca="1" si="68"/>
        <v>#DIV/0!</v>
      </c>
      <c r="AL167" t="str">
        <f t="shared" ca="1" si="69"/>
        <v>-</v>
      </c>
      <c r="AM167" t="str">
        <f t="shared" ca="1" si="70"/>
        <v>-</v>
      </c>
      <c r="AN167" t="str">
        <f t="shared" ca="1" si="71"/>
        <v>-</v>
      </c>
      <c r="AO167" t="str">
        <f t="shared" ca="1" si="72"/>
        <v>-</v>
      </c>
      <c r="AP167" t="str">
        <f t="shared" ca="1" si="73"/>
        <v>-</v>
      </c>
      <c r="AQ167" t="str">
        <f t="shared" ca="1" si="74"/>
        <v>-</v>
      </c>
      <c r="AR167" t="str">
        <f t="shared" ca="1" si="75"/>
        <v>-</v>
      </c>
      <c r="AS167" t="str">
        <f t="shared" ca="1" si="76"/>
        <v>-</v>
      </c>
      <c r="AT167" t="str">
        <f t="shared" ca="1" si="77"/>
        <v>-</v>
      </c>
      <c r="AU167">
        <f t="shared" si="89"/>
        <v>159</v>
      </c>
      <c r="AV167" t="s">
        <v>24</v>
      </c>
      <c r="AW167" s="20" t="e">
        <f ca="1">AVERAGEIFS(INDIRECT($B$3),INDIRECT($B$3),"&gt;=0",Data!$B:$B,AV167,IF($A$20,Data!$J:$J,Data!#REF!),IF($A$20,"&lt;&gt;5",1))</f>
        <v>#DIV/0!</v>
      </c>
      <c r="AX167" t="e">
        <f t="shared" ca="1" si="78"/>
        <v>#DIV/0!</v>
      </c>
      <c r="AY167" s="20" t="s">
        <v>67</v>
      </c>
      <c r="AZ167" t="e">
        <f ca="1">AVERAGEIFS(INDIRECT($C$3),INDIRECT($C$3),"&gt;=0",Data!$B:$B,AY167,IF($A$20,Data!$J:$J,Data!#REF!),IF($A$20,"&lt;&gt;5",1))</f>
        <v>#DIV/0!</v>
      </c>
      <c r="BA167" s="20" t="e">
        <f t="shared" ca="1" si="79"/>
        <v>#DIV/0!</v>
      </c>
      <c r="BB167" t="s">
        <v>39</v>
      </c>
      <c r="BC167" s="20" t="e">
        <f ca="1">AVERAGEIFS(INDIRECT($D$3),INDIRECT($D$3),"&gt;=0",Data!$B:$B,BB167,IF($A$20,Data!$J:$J,Data!#REF!),IF($A$20,"&lt;&gt;5",1))</f>
        <v>#DIV/0!</v>
      </c>
      <c r="BD167" t="e">
        <f t="shared" ca="1" si="80"/>
        <v>#DIV/0!</v>
      </c>
      <c r="BE167" s="20" t="s">
        <v>16</v>
      </c>
      <c r="BF167" t="e">
        <f ca="1">AVERAGEIFS(INDIRECT($E$3),INDIRECT($E$3),"&gt;=0",Data!$B:$B,BE167,IF($A$20,Data!$J:$J,Data!#REF!),IF($A$20,"&lt;&gt;5",1))</f>
        <v>#DIV/0!</v>
      </c>
      <c r="BG167" s="20" t="e">
        <f t="shared" ca="1" si="81"/>
        <v>#DIV/0!</v>
      </c>
      <c r="BH167" t="s">
        <v>4</v>
      </c>
      <c r="BI167" s="20" t="e">
        <f ca="1">AVERAGEIFS(INDIRECT($F$3),INDIRECT($F$3),"&gt;=0",Data!$B:$B,BH167,IF($A$20,Data!$J:$J,Data!#REF!),IF($A$20,"&lt;&gt;5",1))</f>
        <v>#DIV/0!</v>
      </c>
      <c r="BJ167" t="e">
        <f t="shared" ca="1" si="82"/>
        <v>#DIV/0!</v>
      </c>
      <c r="BK167" s="20" t="s">
        <v>164</v>
      </c>
      <c r="BL167" t="e">
        <f ca="1">AVERAGEIFS(INDIRECT($G$3),INDIRECT($G$3),"&gt;=0",Data!$B:$B,BK167,IF($A$20,Data!$J:$J,Data!#REF!),IF($A$20,"&lt;&gt;5",1))</f>
        <v>#DIV/0!</v>
      </c>
      <c r="BM167" s="20" t="e">
        <f t="shared" ca="1" si="83"/>
        <v>#DIV/0!</v>
      </c>
      <c r="BN167" t="s">
        <v>197</v>
      </c>
      <c r="BO167" t="e">
        <f ca="1">AVERAGEIFS(INDIRECT($H$3),INDIRECT($H$3),"&gt;=0",Data!$B:$B,BN167,IF($A$20,Data!$J:$J,Data!#REF!),IF($A$20,"&lt;&gt;5",1))</f>
        <v>#DIV/0!</v>
      </c>
      <c r="BP167" t="e">
        <f t="shared" ca="1" si="84"/>
        <v>#DIV/0!</v>
      </c>
      <c r="BQ167" t="s">
        <v>87</v>
      </c>
      <c r="BR167">
        <f ca="1">AVERAGEIFS(INDIRECT($I$3),INDIRECT($I$3),"&gt;=0",Data!$B:$B,BQ167,IF($A$20,Data!$J:$J,Data!#REF!),IF($A$20,"&lt;&gt;5",1))</f>
        <v>0.60869565217391308</v>
      </c>
      <c r="BS167">
        <f t="shared" ca="1" si="85"/>
        <v>159</v>
      </c>
      <c r="BT167" t="s">
        <v>13</v>
      </c>
      <c r="BU167" t="e">
        <f ca="1">AVERAGEIFS(INDIRECT($J$3),INDIRECT($J$3),"&gt;=0",Data!$B:$B,BT167,IF($A$20,Data!$J:$J,Data!#REF!),IF($A$20,"&lt;&gt;5",1))</f>
        <v>#DIV/0!</v>
      </c>
      <c r="BV167" t="e">
        <f t="shared" ca="1" si="86"/>
        <v>#DIV/0!</v>
      </c>
    </row>
    <row r="168" spans="10:74" x14ac:dyDescent="0.35">
      <c r="J168">
        <f t="shared" si="87"/>
        <v>160</v>
      </c>
      <c r="K168" t="s">
        <v>52</v>
      </c>
      <c r="L168" t="e">
        <f ca="1">AVERAGEIFS(INDIRECT($B$3),INDIRECT($B$3),"&gt;=0",Data!$B:$B,$K168)</f>
        <v>#DIV/0!</v>
      </c>
      <c r="M168" t="e">
        <f t="shared" ca="1" si="88"/>
        <v>#DIV/0!</v>
      </c>
      <c r="N168" t="s">
        <v>35</v>
      </c>
      <c r="O168" t="e">
        <f ca="1">AVERAGEIFS(INDIRECT($C$3),INDIRECT($C$3),"&gt;=0",Data!$B:$B,$N168)</f>
        <v>#DIV/0!</v>
      </c>
      <c r="P168" t="e">
        <f t="shared" ca="1" si="61"/>
        <v>#DIV/0!</v>
      </c>
      <c r="Q168" t="s">
        <v>185</v>
      </c>
      <c r="R168" t="e">
        <f ca="1">AVERAGEIFS(INDIRECT($D$3),INDIRECT($D$3),"&gt;=0",Data!$B:$B,$Q168)</f>
        <v>#DIV/0!</v>
      </c>
      <c r="S168" t="e">
        <f t="shared" ca="1" si="62"/>
        <v>#DIV/0!</v>
      </c>
      <c r="T168" t="s">
        <v>185</v>
      </c>
      <c r="U168" t="e">
        <f ca="1">AVERAGEIFS(INDIRECT($E$3),INDIRECT($E$3),"&gt;=0",Data!$B:$B,$T168)</f>
        <v>#DIV/0!</v>
      </c>
      <c r="V168" t="e">
        <f t="shared" ca="1" si="63"/>
        <v>#DIV/0!</v>
      </c>
      <c r="W168" t="s">
        <v>168</v>
      </c>
      <c r="X168">
        <f ca="1">AVERAGEIFS(INDIRECT($F$3),INDIRECT($F$3),"&gt;=0",Data!$B:$B,$W168)</f>
        <v>0</v>
      </c>
      <c r="Y168" t="e">
        <f t="shared" ca="1" si="64"/>
        <v>#DIV/0!</v>
      </c>
      <c r="Z168" t="s">
        <v>30</v>
      </c>
      <c r="AA168" t="e">
        <f ca="1">AVERAGEIFS(INDIRECT($G$3),INDIRECT($G$3),"&gt;=0",Data!$B:$B,$Z168)</f>
        <v>#DIV/0!</v>
      </c>
      <c r="AB168" t="e">
        <f t="shared" ca="1" si="65"/>
        <v>#DIV/0!</v>
      </c>
      <c r="AC168" t="s">
        <v>64</v>
      </c>
      <c r="AD168" t="e">
        <f ca="1">AVERAGEIFS(INDIRECT($H$3),INDIRECT($H$3),"&gt;=0",Data!$B:$B,$AC168)</f>
        <v>#DIV/0!</v>
      </c>
      <c r="AE168" t="e">
        <f t="shared" ca="1" si="66"/>
        <v>#DIV/0!</v>
      </c>
      <c r="AF168" t="s">
        <v>144</v>
      </c>
      <c r="AG168" t="e">
        <f ca="1">AVERAGEIFS(INDIRECT($I$3),INDIRECT($I$3),"&gt;=0",Data!$B:$B,$AF168)</f>
        <v>#DIV/0!</v>
      </c>
      <c r="AH168" t="e">
        <f t="shared" ca="1" si="67"/>
        <v>#DIV/0!</v>
      </c>
      <c r="AI168" t="s">
        <v>22</v>
      </c>
      <c r="AJ168" t="e">
        <f ca="1">AVERAGEIFS(INDIRECT($J$3),INDIRECT($J$3),"&gt;=0",Data!$B:$B,$AI168)</f>
        <v>#DIV/0!</v>
      </c>
      <c r="AK168" t="e">
        <f t="shared" ca="1" si="68"/>
        <v>#DIV/0!</v>
      </c>
      <c r="AL168" t="str">
        <f t="shared" ca="1" si="69"/>
        <v>-</v>
      </c>
      <c r="AM168" t="str">
        <f t="shared" ca="1" si="70"/>
        <v>-</v>
      </c>
      <c r="AN168" t="str">
        <f t="shared" ca="1" si="71"/>
        <v>-</v>
      </c>
      <c r="AO168" t="str">
        <f t="shared" ca="1" si="72"/>
        <v>-</v>
      </c>
      <c r="AP168" t="str">
        <f t="shared" ca="1" si="73"/>
        <v>-</v>
      </c>
      <c r="AQ168" t="str">
        <f t="shared" ca="1" si="74"/>
        <v>-</v>
      </c>
      <c r="AR168" t="str">
        <f t="shared" ca="1" si="75"/>
        <v>-</v>
      </c>
      <c r="AS168" t="str">
        <f t="shared" ca="1" si="76"/>
        <v>-</v>
      </c>
      <c r="AT168" t="str">
        <f t="shared" ca="1" si="77"/>
        <v>-</v>
      </c>
      <c r="AU168">
        <f t="shared" si="89"/>
        <v>160</v>
      </c>
      <c r="AV168" t="s">
        <v>61</v>
      </c>
      <c r="AW168" s="20" t="e">
        <f ca="1">AVERAGEIFS(INDIRECT($B$3),INDIRECT($B$3),"&gt;=0",Data!$B:$B,AV168,IF($A$20,Data!$J:$J,Data!#REF!),IF($A$20,"&lt;&gt;5",1))</f>
        <v>#DIV/0!</v>
      </c>
      <c r="AX168" t="e">
        <f t="shared" ca="1" si="78"/>
        <v>#DIV/0!</v>
      </c>
      <c r="AY168" s="20" t="s">
        <v>3</v>
      </c>
      <c r="AZ168" t="e">
        <f ca="1">AVERAGEIFS(INDIRECT($C$3),INDIRECT($C$3),"&gt;=0",Data!$B:$B,AY168,IF($A$20,Data!$J:$J,Data!#REF!),IF($A$20,"&lt;&gt;5",1))</f>
        <v>#DIV/0!</v>
      </c>
      <c r="BA168" s="20" t="e">
        <f t="shared" ca="1" si="79"/>
        <v>#DIV/0!</v>
      </c>
      <c r="BB168" t="s">
        <v>78</v>
      </c>
      <c r="BC168" s="20" t="e">
        <f ca="1">AVERAGEIFS(INDIRECT($D$3),INDIRECT($D$3),"&gt;=0",Data!$B:$B,BB168,IF($A$20,Data!$J:$J,Data!#REF!),IF($A$20,"&lt;&gt;5",1))</f>
        <v>#DIV/0!</v>
      </c>
      <c r="BD168" t="e">
        <f t="shared" ca="1" si="80"/>
        <v>#DIV/0!</v>
      </c>
      <c r="BE168" s="20" t="s">
        <v>25</v>
      </c>
      <c r="BF168" t="e">
        <f ca="1">AVERAGEIFS(INDIRECT($E$3),INDIRECT($E$3),"&gt;=0",Data!$B:$B,BE168,IF($A$20,Data!$J:$J,Data!#REF!),IF($A$20,"&lt;&gt;5",1))</f>
        <v>#DIV/0!</v>
      </c>
      <c r="BG168" s="20" t="e">
        <f t="shared" ca="1" si="81"/>
        <v>#DIV/0!</v>
      </c>
      <c r="BH168" t="s">
        <v>48</v>
      </c>
      <c r="BI168" s="20">
        <f ca="1">AVERAGEIFS(INDIRECT($F$3),INDIRECT($F$3),"&gt;=0",Data!$B:$B,BH168,IF($A$20,Data!$J:$J,Data!#REF!),IF($A$20,"&lt;&gt;5",1))</f>
        <v>1</v>
      </c>
      <c r="BJ168" t="e">
        <f t="shared" ca="1" si="82"/>
        <v>#DIV/0!</v>
      </c>
      <c r="BK168" s="20" t="s">
        <v>11</v>
      </c>
      <c r="BL168">
        <f ca="1">AVERAGEIFS(INDIRECT($G$3),INDIRECT($G$3),"&gt;=0",Data!$B:$B,BK168,IF($A$20,Data!$J:$J,Data!#REF!),IF($A$20,"&lt;&gt;5",1))</f>
        <v>0.8571428571428571</v>
      </c>
      <c r="BM168" s="20" t="e">
        <f t="shared" ca="1" si="83"/>
        <v>#DIV/0!</v>
      </c>
      <c r="BN168" t="s">
        <v>137</v>
      </c>
      <c r="BO168">
        <f ca="1">AVERAGEIFS(INDIRECT($H$3),INDIRECT($H$3),"&gt;=0",Data!$B:$B,BN168,IF($A$20,Data!$J:$J,Data!#REF!),IF($A$20,"&lt;&gt;5",1))</f>
        <v>1</v>
      </c>
      <c r="BP168" t="e">
        <f t="shared" ca="1" si="84"/>
        <v>#DIV/0!</v>
      </c>
      <c r="BQ168" t="s">
        <v>58</v>
      </c>
      <c r="BR168">
        <f ca="1">AVERAGEIFS(INDIRECT($I$3),INDIRECT($I$3),"&gt;=0",Data!$B:$B,BQ168,IF($A$20,Data!$J:$J,Data!#REF!),IF($A$20,"&lt;&gt;5",1))</f>
        <v>0.72727272727272729</v>
      </c>
      <c r="BS168">
        <f t="shared" ca="1" si="85"/>
        <v>160</v>
      </c>
      <c r="BT168" t="s">
        <v>12</v>
      </c>
      <c r="BU168">
        <f ca="1">AVERAGEIFS(INDIRECT($J$3),INDIRECT($J$3),"&gt;=0",Data!$B:$B,BT168,IF($A$20,Data!$J:$J,Data!#REF!),IF($A$20,"&lt;&gt;5",1))</f>
        <v>0.4</v>
      </c>
      <c r="BV168" t="e">
        <f t="shared" ca="1" si="86"/>
        <v>#DIV/0!</v>
      </c>
    </row>
    <row r="169" spans="10:74" x14ac:dyDescent="0.35">
      <c r="J169">
        <f t="shared" si="87"/>
        <v>161</v>
      </c>
      <c r="K169" t="s">
        <v>170</v>
      </c>
      <c r="L169" t="e">
        <f ca="1">AVERAGEIFS(INDIRECT($B$3),INDIRECT($B$3),"&gt;=0",Data!$B:$B,$K169)</f>
        <v>#DIV/0!</v>
      </c>
      <c r="M169" t="e">
        <f t="shared" ca="1" si="88"/>
        <v>#DIV/0!</v>
      </c>
      <c r="N169" t="s">
        <v>65</v>
      </c>
      <c r="O169" t="e">
        <f ca="1">AVERAGEIFS(INDIRECT($C$3),INDIRECT($C$3),"&gt;=0",Data!$B:$B,$N169)</f>
        <v>#DIV/0!</v>
      </c>
      <c r="P169" t="e">
        <f t="shared" ca="1" si="61"/>
        <v>#DIV/0!</v>
      </c>
      <c r="Q169" t="s">
        <v>95</v>
      </c>
      <c r="R169" t="e">
        <f ca="1">AVERAGEIFS(INDIRECT($D$3),INDIRECT($D$3),"&gt;=0",Data!$B:$B,$Q169)</f>
        <v>#DIV/0!</v>
      </c>
      <c r="S169" t="e">
        <f t="shared" ca="1" si="62"/>
        <v>#DIV/0!</v>
      </c>
      <c r="T169" t="s">
        <v>16</v>
      </c>
      <c r="U169" t="e">
        <f ca="1">AVERAGEIFS(INDIRECT($E$3),INDIRECT($E$3),"&gt;=0",Data!$B:$B,$T169)</f>
        <v>#DIV/0!</v>
      </c>
      <c r="V169" t="e">
        <f t="shared" ca="1" si="63"/>
        <v>#DIV/0!</v>
      </c>
      <c r="W169" t="s">
        <v>70</v>
      </c>
      <c r="X169">
        <f ca="1">AVERAGEIFS(INDIRECT($F$3),INDIRECT($F$3),"&gt;=0",Data!$B:$B,$W169)</f>
        <v>1</v>
      </c>
      <c r="Y169">
        <f t="shared" ca="1" si="64"/>
        <v>161</v>
      </c>
      <c r="Z169" t="s">
        <v>35</v>
      </c>
      <c r="AA169" t="e">
        <f ca="1">AVERAGEIFS(INDIRECT($G$3),INDIRECT($G$3),"&gt;=0",Data!$B:$B,$Z169)</f>
        <v>#DIV/0!</v>
      </c>
      <c r="AB169" t="e">
        <f t="shared" ca="1" si="65"/>
        <v>#DIV/0!</v>
      </c>
      <c r="AC169" t="s">
        <v>82</v>
      </c>
      <c r="AD169">
        <f ca="1">AVERAGEIFS(INDIRECT($H$3),INDIRECT($H$3),"&gt;=0",Data!$B:$B,$AC169)</f>
        <v>0.94117647058823528</v>
      </c>
      <c r="AE169" t="e">
        <f t="shared" ca="1" si="66"/>
        <v>#DIV/0!</v>
      </c>
      <c r="AF169" t="s">
        <v>128</v>
      </c>
      <c r="AG169" t="e">
        <f ca="1">AVERAGEIFS(INDIRECT($I$3),INDIRECT($I$3),"&gt;=0",Data!$B:$B,$AF169)</f>
        <v>#DIV/0!</v>
      </c>
      <c r="AH169" t="e">
        <f t="shared" ca="1" si="67"/>
        <v>#DIV/0!</v>
      </c>
      <c r="AI169" t="s">
        <v>17</v>
      </c>
      <c r="AJ169" t="e">
        <f ca="1">AVERAGEIFS(INDIRECT($J$3),INDIRECT($J$3),"&gt;=0",Data!$B:$B,$AI169)</f>
        <v>#DIV/0!</v>
      </c>
      <c r="AK169" t="e">
        <f t="shared" ca="1" si="68"/>
        <v>#DIV/0!</v>
      </c>
      <c r="AL169" t="str">
        <f t="shared" ca="1" si="69"/>
        <v>-</v>
      </c>
      <c r="AM169" t="str">
        <f t="shared" ca="1" si="70"/>
        <v>-</v>
      </c>
      <c r="AN169" t="str">
        <f t="shared" ca="1" si="71"/>
        <v>-</v>
      </c>
      <c r="AO169" t="str">
        <f t="shared" ca="1" si="72"/>
        <v>-</v>
      </c>
      <c r="AP169" t="str">
        <f t="shared" ca="1" si="73"/>
        <v>-</v>
      </c>
      <c r="AQ169" t="str">
        <f t="shared" ca="1" si="74"/>
        <v>-</v>
      </c>
      <c r="AR169" t="str">
        <f t="shared" ca="1" si="75"/>
        <v>-</v>
      </c>
      <c r="AS169" t="str">
        <f t="shared" ca="1" si="76"/>
        <v>-</v>
      </c>
      <c r="AT169" t="str">
        <f t="shared" ca="1" si="77"/>
        <v>-</v>
      </c>
      <c r="AU169">
        <f t="shared" si="89"/>
        <v>161</v>
      </c>
      <c r="AV169" t="s">
        <v>73</v>
      </c>
      <c r="AW169" s="20" t="e">
        <f ca="1">AVERAGEIFS(INDIRECT($B$3),INDIRECT($B$3),"&gt;=0",Data!$B:$B,AV169,IF($A$20,Data!$J:$J,Data!#REF!),IF($A$20,"&lt;&gt;5",1))</f>
        <v>#DIV/0!</v>
      </c>
      <c r="AX169" t="e">
        <f t="shared" ca="1" si="78"/>
        <v>#DIV/0!</v>
      </c>
      <c r="AY169" s="20" t="s">
        <v>4</v>
      </c>
      <c r="AZ169" t="e">
        <f ca="1">AVERAGEIFS(INDIRECT($C$3),INDIRECT($C$3),"&gt;=0",Data!$B:$B,AY169,IF($A$20,Data!$J:$J,Data!#REF!),IF($A$20,"&lt;&gt;5",1))</f>
        <v>#DIV/0!</v>
      </c>
      <c r="BA169" s="20" t="e">
        <f t="shared" ca="1" si="79"/>
        <v>#DIV/0!</v>
      </c>
      <c r="BB169" t="s">
        <v>92</v>
      </c>
      <c r="BC169" s="20" t="e">
        <f ca="1">AVERAGEIFS(INDIRECT($D$3),INDIRECT($D$3),"&gt;=0",Data!$B:$B,BB169,IF($A$20,Data!$J:$J,Data!#REF!),IF($A$20,"&lt;&gt;5",1))</f>
        <v>#DIV/0!</v>
      </c>
      <c r="BD169" t="e">
        <f t="shared" ca="1" si="80"/>
        <v>#DIV/0!</v>
      </c>
      <c r="BE169" s="20" t="s">
        <v>93</v>
      </c>
      <c r="BF169" t="e">
        <f ca="1">AVERAGEIFS(INDIRECT($E$3),INDIRECT($E$3),"&gt;=0",Data!$B:$B,BE169,IF($A$20,Data!$J:$J,Data!#REF!),IF($A$20,"&lt;&gt;5",1))</f>
        <v>#DIV/0!</v>
      </c>
      <c r="BG169" s="20" t="e">
        <f t="shared" ca="1" si="81"/>
        <v>#DIV/0!</v>
      </c>
      <c r="BH169" t="s">
        <v>60</v>
      </c>
      <c r="BI169" s="20">
        <f ca="1">AVERAGEIFS(INDIRECT($F$3),INDIRECT($F$3),"&gt;=0",Data!$B:$B,BH169,IF($A$20,Data!$J:$J,Data!#REF!),IF($A$20,"&lt;&gt;5",1))</f>
        <v>0</v>
      </c>
      <c r="BJ169">
        <f t="shared" ca="1" si="82"/>
        <v>161</v>
      </c>
      <c r="BK169" s="20" t="s">
        <v>19</v>
      </c>
      <c r="BL169" t="e">
        <f ca="1">AVERAGEIFS(INDIRECT($G$3),INDIRECT($G$3),"&gt;=0",Data!$B:$B,BK169,IF($A$20,Data!$J:$J,Data!#REF!),IF($A$20,"&lt;&gt;5",1))</f>
        <v>#DIV/0!</v>
      </c>
      <c r="BM169" s="20" t="e">
        <f t="shared" ca="1" si="83"/>
        <v>#DIV/0!</v>
      </c>
      <c r="BN169" t="s">
        <v>82</v>
      </c>
      <c r="BO169">
        <f ca="1">AVERAGEIFS(INDIRECT($H$3),INDIRECT($H$3),"&gt;=0",Data!$B:$B,BN169,IF($A$20,Data!$J:$J,Data!#REF!),IF($A$20,"&lt;&gt;5",1))</f>
        <v>1</v>
      </c>
      <c r="BP169" t="e">
        <f t="shared" ca="1" si="84"/>
        <v>#DIV/0!</v>
      </c>
      <c r="BQ169" t="s">
        <v>91</v>
      </c>
      <c r="BR169">
        <f ca="1">AVERAGEIFS(INDIRECT($I$3),INDIRECT($I$3),"&gt;=0",Data!$B:$B,BQ169,IF($A$20,Data!$J:$J,Data!#REF!),IF($A$20,"&lt;&gt;5",1))</f>
        <v>0.5</v>
      </c>
      <c r="BS169">
        <f t="shared" ca="1" si="85"/>
        <v>161</v>
      </c>
      <c r="BT169" t="s">
        <v>2</v>
      </c>
      <c r="BU169" t="e">
        <f ca="1">AVERAGEIFS(INDIRECT($J$3),INDIRECT($J$3),"&gt;=0",Data!$B:$B,BT169,IF($A$20,Data!$J:$J,Data!#REF!),IF($A$20,"&lt;&gt;5",1))</f>
        <v>#DIV/0!</v>
      </c>
      <c r="BV169" t="e">
        <f t="shared" ca="1" si="86"/>
        <v>#DIV/0!</v>
      </c>
    </row>
    <row r="170" spans="10:74" x14ac:dyDescent="0.35">
      <c r="J170">
        <f t="shared" si="87"/>
        <v>162</v>
      </c>
      <c r="K170" t="s">
        <v>180</v>
      </c>
      <c r="L170" t="e">
        <f ca="1">AVERAGEIFS(INDIRECT($B$3),INDIRECT($B$3),"&gt;=0",Data!$B:$B,$K170)</f>
        <v>#DIV/0!</v>
      </c>
      <c r="M170" t="e">
        <f t="shared" ca="1" si="88"/>
        <v>#DIV/0!</v>
      </c>
      <c r="N170" t="s">
        <v>84</v>
      </c>
      <c r="O170" t="e">
        <f ca="1">AVERAGEIFS(INDIRECT($C$3),INDIRECT($C$3),"&gt;=0",Data!$B:$B,$N170)</f>
        <v>#DIV/0!</v>
      </c>
      <c r="P170" t="e">
        <f t="shared" ca="1" si="61"/>
        <v>#DIV/0!</v>
      </c>
      <c r="Q170" t="s">
        <v>4</v>
      </c>
      <c r="R170" t="e">
        <f ca="1">AVERAGEIFS(INDIRECT($D$3),INDIRECT($D$3),"&gt;=0",Data!$B:$B,$Q170)</f>
        <v>#DIV/0!</v>
      </c>
      <c r="S170" t="e">
        <f t="shared" ca="1" si="62"/>
        <v>#DIV/0!</v>
      </c>
      <c r="T170" t="s">
        <v>25</v>
      </c>
      <c r="U170" t="e">
        <f ca="1">AVERAGEIFS(INDIRECT($E$3),INDIRECT($E$3),"&gt;=0",Data!$B:$B,$T170)</f>
        <v>#DIV/0!</v>
      </c>
      <c r="V170" t="e">
        <f t="shared" ca="1" si="63"/>
        <v>#DIV/0!</v>
      </c>
      <c r="W170" t="s">
        <v>113</v>
      </c>
      <c r="X170" t="e">
        <f ca="1">AVERAGEIFS(INDIRECT($F$3),INDIRECT($F$3),"&gt;=0",Data!$B:$B,$W170)</f>
        <v>#DIV/0!</v>
      </c>
      <c r="Y170" t="e">
        <f t="shared" ca="1" si="64"/>
        <v>#DIV/0!</v>
      </c>
      <c r="Z170" t="s">
        <v>113</v>
      </c>
      <c r="AA170" t="e">
        <f ca="1">AVERAGEIFS(INDIRECT($G$3),INDIRECT($G$3),"&gt;=0",Data!$B:$B,$Z170)</f>
        <v>#DIV/0!</v>
      </c>
      <c r="AB170" t="e">
        <f t="shared" ca="1" si="65"/>
        <v>#DIV/0!</v>
      </c>
      <c r="AC170" t="s">
        <v>133</v>
      </c>
      <c r="AD170">
        <f ca="1">AVERAGEIFS(INDIRECT($H$3),INDIRECT($H$3),"&gt;=0",Data!$B:$B,$AC170)</f>
        <v>0.95238095238095233</v>
      </c>
      <c r="AE170">
        <f t="shared" ca="1" si="66"/>
        <v>162</v>
      </c>
      <c r="AF170" t="s">
        <v>35</v>
      </c>
      <c r="AG170" t="e">
        <f ca="1">AVERAGEIFS(INDIRECT($I$3),INDIRECT($I$3),"&gt;=0",Data!$B:$B,$AF170)</f>
        <v>#DIV/0!</v>
      </c>
      <c r="AH170" t="e">
        <f t="shared" ca="1" si="67"/>
        <v>#DIV/0!</v>
      </c>
      <c r="AI170" t="s">
        <v>19</v>
      </c>
      <c r="AJ170" t="e">
        <f ca="1">AVERAGEIFS(INDIRECT($J$3),INDIRECT($J$3),"&gt;=0",Data!$B:$B,$AI170)</f>
        <v>#DIV/0!</v>
      </c>
      <c r="AK170" t="e">
        <f t="shared" ca="1" si="68"/>
        <v>#DIV/0!</v>
      </c>
      <c r="AL170" t="str">
        <f t="shared" ca="1" si="69"/>
        <v>-</v>
      </c>
      <c r="AM170" t="str">
        <f t="shared" ca="1" si="70"/>
        <v>-</v>
      </c>
      <c r="AN170" t="str">
        <f t="shared" ca="1" si="71"/>
        <v>-</v>
      </c>
      <c r="AO170" t="str">
        <f t="shared" ca="1" si="72"/>
        <v>-</v>
      </c>
      <c r="AP170" t="str">
        <f t="shared" ca="1" si="73"/>
        <v>-</v>
      </c>
      <c r="AQ170" t="str">
        <f t="shared" ca="1" si="74"/>
        <v>-</v>
      </c>
      <c r="AR170" t="str">
        <f t="shared" ca="1" si="75"/>
        <v>-</v>
      </c>
      <c r="AS170" t="str">
        <f t="shared" ca="1" si="76"/>
        <v>-</v>
      </c>
      <c r="AT170" t="str">
        <f t="shared" ca="1" si="77"/>
        <v>-</v>
      </c>
      <c r="AU170">
        <f t="shared" si="89"/>
        <v>162</v>
      </c>
      <c r="AV170" t="s">
        <v>80</v>
      </c>
      <c r="AW170" s="20" t="e">
        <f ca="1">AVERAGEIFS(INDIRECT($B$3),INDIRECT($B$3),"&gt;=0",Data!$B:$B,AV170,IF($A$20,Data!$J:$J,Data!#REF!),IF($A$20,"&lt;&gt;5",1))</f>
        <v>#DIV/0!</v>
      </c>
      <c r="AX170" t="e">
        <f t="shared" ca="1" si="78"/>
        <v>#DIV/0!</v>
      </c>
      <c r="AY170" s="20" t="s">
        <v>143</v>
      </c>
      <c r="AZ170" t="e">
        <f ca="1">AVERAGEIFS(INDIRECT($C$3),INDIRECT($C$3),"&gt;=0",Data!$B:$B,AY170,IF($A$20,Data!$J:$J,Data!#REF!),IF($A$20,"&lt;&gt;5",1))</f>
        <v>#DIV/0!</v>
      </c>
      <c r="BA170" s="20" t="e">
        <f t="shared" ca="1" si="79"/>
        <v>#DIV/0!</v>
      </c>
      <c r="BB170" t="s">
        <v>99</v>
      </c>
      <c r="BC170" s="20" t="e">
        <f ca="1">AVERAGEIFS(INDIRECT($D$3),INDIRECT($D$3),"&gt;=0",Data!$B:$B,BB170,IF($A$20,Data!$J:$J,Data!#REF!),IF($A$20,"&lt;&gt;5",1))</f>
        <v>#DIV/0!</v>
      </c>
      <c r="BD170" t="e">
        <f t="shared" ca="1" si="80"/>
        <v>#DIV/0!</v>
      </c>
      <c r="BE170" s="20" t="s">
        <v>185</v>
      </c>
      <c r="BF170" t="e">
        <f ca="1">AVERAGEIFS(INDIRECT($E$3),INDIRECT($E$3),"&gt;=0",Data!$B:$B,BE170,IF($A$20,Data!$J:$J,Data!#REF!),IF($A$20,"&lt;&gt;5",1))</f>
        <v>#DIV/0!</v>
      </c>
      <c r="BG170" s="20" t="e">
        <f t="shared" ca="1" si="81"/>
        <v>#DIV/0!</v>
      </c>
      <c r="BH170" t="s">
        <v>168</v>
      </c>
      <c r="BI170" s="20">
        <f ca="1">AVERAGEIFS(INDIRECT($F$3),INDIRECT($F$3),"&gt;=0",Data!$B:$B,BH170,IF($A$20,Data!$J:$J,Data!#REF!),IF($A$20,"&lt;&gt;5",1))</f>
        <v>0</v>
      </c>
      <c r="BJ170">
        <f t="shared" ca="1" si="82"/>
        <v>161</v>
      </c>
      <c r="BK170" s="20" t="s">
        <v>123</v>
      </c>
      <c r="BL170" t="e">
        <f ca="1">AVERAGEIFS(INDIRECT($G$3),INDIRECT($G$3),"&gt;=0",Data!$B:$B,BK170,IF($A$20,Data!$J:$J,Data!#REF!),IF($A$20,"&lt;&gt;5",1))</f>
        <v>#DIV/0!</v>
      </c>
      <c r="BM170" s="20" t="e">
        <f t="shared" ca="1" si="83"/>
        <v>#DIV/0!</v>
      </c>
      <c r="BN170" t="s">
        <v>145</v>
      </c>
      <c r="BO170">
        <f ca="1">AVERAGEIFS(INDIRECT($H$3),INDIRECT($H$3),"&gt;=0",Data!$B:$B,BN170,IF($A$20,Data!$J:$J,Data!#REF!),IF($A$20,"&lt;&gt;5",1))</f>
        <v>1</v>
      </c>
      <c r="BP170" t="e">
        <f t="shared" ca="1" si="84"/>
        <v>#DIV/0!</v>
      </c>
      <c r="BQ170" t="s">
        <v>69</v>
      </c>
      <c r="BR170" t="e">
        <f ca="1">AVERAGEIFS(INDIRECT($I$3),INDIRECT($I$3),"&gt;=0",Data!$B:$B,BQ170,IF($A$20,Data!$J:$J,Data!#REF!),IF($A$20,"&lt;&gt;5",1))</f>
        <v>#DIV/0!</v>
      </c>
      <c r="BS170" t="e">
        <f t="shared" ca="1" si="85"/>
        <v>#DIV/0!</v>
      </c>
      <c r="BT170" t="s">
        <v>5</v>
      </c>
      <c r="BU170" t="e">
        <f ca="1">AVERAGEIFS(INDIRECT($J$3),INDIRECT($J$3),"&gt;=0",Data!$B:$B,BT170,IF($A$20,Data!$J:$J,Data!#REF!),IF($A$20,"&lt;&gt;5",1))</f>
        <v>#DIV/0!</v>
      </c>
      <c r="BV170" t="e">
        <f t="shared" ca="1" si="86"/>
        <v>#DIV/0!</v>
      </c>
    </row>
    <row r="171" spans="10:74" x14ac:dyDescent="0.35">
      <c r="J171">
        <f t="shared" si="87"/>
        <v>163</v>
      </c>
      <c r="K171" t="s">
        <v>186</v>
      </c>
      <c r="L171" t="e">
        <f ca="1">AVERAGEIFS(INDIRECT($B$3),INDIRECT($B$3),"&gt;=0",Data!$B:$B,$K171)</f>
        <v>#DIV/0!</v>
      </c>
      <c r="M171" t="e">
        <f t="shared" ca="1" si="88"/>
        <v>#DIV/0!</v>
      </c>
      <c r="N171" t="s">
        <v>149</v>
      </c>
      <c r="O171" t="e">
        <f ca="1">AVERAGEIFS(INDIRECT($C$3),INDIRECT($C$3),"&gt;=0",Data!$B:$B,$N171)</f>
        <v>#DIV/0!</v>
      </c>
      <c r="P171" t="e">
        <f t="shared" ca="1" si="61"/>
        <v>#DIV/0!</v>
      </c>
      <c r="Q171" t="s">
        <v>67</v>
      </c>
      <c r="R171" t="e">
        <f ca="1">AVERAGEIFS(INDIRECT($D$3),INDIRECT($D$3),"&gt;=0",Data!$B:$B,$Q171)</f>
        <v>#DIV/0!</v>
      </c>
      <c r="S171" t="e">
        <f t="shared" ca="1" si="62"/>
        <v>#DIV/0!</v>
      </c>
      <c r="T171" t="s">
        <v>11</v>
      </c>
      <c r="U171" t="e">
        <f ca="1">AVERAGEIFS(INDIRECT($E$3),INDIRECT($E$3),"&gt;=0",Data!$B:$B,$T171)</f>
        <v>#DIV/0!</v>
      </c>
      <c r="V171" t="e">
        <f t="shared" ca="1" si="63"/>
        <v>#DIV/0!</v>
      </c>
      <c r="W171" t="s">
        <v>48</v>
      </c>
      <c r="X171">
        <f ca="1">AVERAGEIFS(INDIRECT($F$3),INDIRECT($F$3),"&gt;=0",Data!$B:$B,$W171)</f>
        <v>1</v>
      </c>
      <c r="Y171" t="e">
        <f t="shared" ca="1" si="64"/>
        <v>#DIV/0!</v>
      </c>
      <c r="Z171" t="s">
        <v>123</v>
      </c>
      <c r="AA171" t="e">
        <f ca="1">AVERAGEIFS(INDIRECT($G$3),INDIRECT($G$3),"&gt;=0",Data!$B:$B,$Z171)</f>
        <v>#DIV/0!</v>
      </c>
      <c r="AB171" t="e">
        <f t="shared" ca="1" si="65"/>
        <v>#DIV/0!</v>
      </c>
      <c r="AC171" t="s">
        <v>137</v>
      </c>
      <c r="AD171">
        <f ca="1">AVERAGEIFS(INDIRECT($H$3),INDIRECT($H$3),"&gt;=0",Data!$B:$B,$AC171)</f>
        <v>0.95</v>
      </c>
      <c r="AE171">
        <f t="shared" ca="1" si="66"/>
        <v>163</v>
      </c>
      <c r="AF171" t="s">
        <v>11</v>
      </c>
      <c r="AG171">
        <f ca="1">AVERAGEIFS(INDIRECT($I$3),INDIRECT($I$3),"&gt;=0",Data!$B:$B,$AF171)</f>
        <v>0.5714285714285714</v>
      </c>
      <c r="AH171" t="e">
        <f t="shared" ca="1" si="67"/>
        <v>#DIV/0!</v>
      </c>
      <c r="AI171" t="s">
        <v>20</v>
      </c>
      <c r="AJ171" t="e">
        <f ca="1">AVERAGEIFS(INDIRECT($J$3),INDIRECT($J$3),"&gt;=0",Data!$B:$B,$AI171)</f>
        <v>#DIV/0!</v>
      </c>
      <c r="AK171" t="e">
        <f t="shared" ca="1" si="68"/>
        <v>#DIV/0!</v>
      </c>
      <c r="AL171" t="str">
        <f t="shared" ca="1" si="69"/>
        <v>-</v>
      </c>
      <c r="AM171" t="str">
        <f t="shared" ca="1" si="70"/>
        <v>-</v>
      </c>
      <c r="AN171" t="str">
        <f t="shared" ca="1" si="71"/>
        <v>-</v>
      </c>
      <c r="AO171" t="str">
        <f t="shared" ca="1" si="72"/>
        <v>-</v>
      </c>
      <c r="AP171" t="str">
        <f t="shared" ca="1" si="73"/>
        <v>-</v>
      </c>
      <c r="AQ171" t="str">
        <f t="shared" ca="1" si="74"/>
        <v>-</v>
      </c>
      <c r="AR171" t="str">
        <f t="shared" ca="1" si="75"/>
        <v>-</v>
      </c>
      <c r="AS171" t="str">
        <f t="shared" ca="1" si="76"/>
        <v>-</v>
      </c>
      <c r="AT171" t="str">
        <f t="shared" ca="1" si="77"/>
        <v>-</v>
      </c>
      <c r="AU171">
        <f t="shared" si="89"/>
        <v>163</v>
      </c>
      <c r="AV171" t="s">
        <v>111</v>
      </c>
      <c r="AW171" s="20" t="e">
        <f ca="1">AVERAGEIFS(INDIRECT($B$3),INDIRECT($B$3),"&gt;=0",Data!$B:$B,AV171,IF($A$20,Data!$J:$J,Data!#REF!),IF($A$20,"&lt;&gt;5",1))</f>
        <v>#DIV/0!</v>
      </c>
      <c r="AX171" t="e">
        <f t="shared" ca="1" si="78"/>
        <v>#DIV/0!</v>
      </c>
      <c r="AY171" s="20" t="s">
        <v>66</v>
      </c>
      <c r="AZ171" t="e">
        <f ca="1">AVERAGEIFS(INDIRECT($C$3),INDIRECT($C$3),"&gt;=0",Data!$B:$B,AY171,IF($A$20,Data!$J:$J,Data!#REF!),IF($A$20,"&lt;&gt;5",1))</f>
        <v>#DIV/0!</v>
      </c>
      <c r="BA171" s="20" t="e">
        <f t="shared" ca="1" si="79"/>
        <v>#DIV/0!</v>
      </c>
      <c r="BB171" t="s">
        <v>124</v>
      </c>
      <c r="BC171" s="20" t="e">
        <f ca="1">AVERAGEIFS(INDIRECT($D$3),INDIRECT($D$3),"&gt;=0",Data!$B:$B,BB171,IF($A$20,Data!$J:$J,Data!#REF!),IF($A$20,"&lt;&gt;5",1))</f>
        <v>#DIV/0!</v>
      </c>
      <c r="BD171" t="e">
        <f t="shared" ca="1" si="80"/>
        <v>#DIV/0!</v>
      </c>
      <c r="BE171" s="20" t="s">
        <v>9</v>
      </c>
      <c r="BF171" t="e">
        <f ca="1">AVERAGEIFS(INDIRECT($E$3),INDIRECT($E$3),"&gt;=0",Data!$B:$B,BE171,IF($A$20,Data!$J:$J,Data!#REF!),IF($A$20,"&lt;&gt;5",1))</f>
        <v>#DIV/0!</v>
      </c>
      <c r="BG171" s="20" t="e">
        <f t="shared" ca="1" si="81"/>
        <v>#DIV/0!</v>
      </c>
      <c r="BH171" t="s">
        <v>183</v>
      </c>
      <c r="BI171" s="20" t="e">
        <f ca="1">AVERAGEIFS(INDIRECT($F$3),INDIRECT($F$3),"&gt;=0",Data!$B:$B,BH171,IF($A$20,Data!$J:$J,Data!#REF!),IF($A$20,"&lt;&gt;5",1))</f>
        <v>#DIV/0!</v>
      </c>
      <c r="BJ171" t="e">
        <f t="shared" ca="1" si="82"/>
        <v>#DIV/0!</v>
      </c>
      <c r="BK171" s="20" t="s">
        <v>124</v>
      </c>
      <c r="BL171" t="e">
        <f ca="1">AVERAGEIFS(INDIRECT($G$3),INDIRECT($G$3),"&gt;=0",Data!$B:$B,BK171,IF($A$20,Data!$J:$J,Data!#REF!),IF($A$20,"&lt;&gt;5",1))</f>
        <v>#DIV/0!</v>
      </c>
      <c r="BM171" s="20" t="e">
        <f t="shared" ca="1" si="83"/>
        <v>#DIV/0!</v>
      </c>
      <c r="BN171" t="s">
        <v>38</v>
      </c>
      <c r="BO171" t="e">
        <f ca="1">AVERAGEIFS(INDIRECT($H$3),INDIRECT($H$3),"&gt;=0",Data!$B:$B,BN171,IF($A$20,Data!$J:$J,Data!#REF!),IF($A$20,"&lt;&gt;5",1))</f>
        <v>#DIV/0!</v>
      </c>
      <c r="BP171" t="e">
        <f t="shared" ca="1" si="84"/>
        <v>#DIV/0!</v>
      </c>
      <c r="BQ171" t="s">
        <v>11</v>
      </c>
      <c r="BR171">
        <f ca="1">AVERAGEIFS(INDIRECT($I$3),INDIRECT($I$3),"&gt;=0",Data!$B:$B,BQ171,IF($A$20,Data!$J:$J,Data!#REF!),IF($A$20,"&lt;&gt;5",1))</f>
        <v>0.66666666666666663</v>
      </c>
      <c r="BS171" t="e">
        <f t="shared" ca="1" si="85"/>
        <v>#DIV/0!</v>
      </c>
      <c r="BT171" t="s">
        <v>4</v>
      </c>
      <c r="BU171" t="e">
        <f ca="1">AVERAGEIFS(INDIRECT($J$3),INDIRECT($J$3),"&gt;=0",Data!$B:$B,BT171,IF($A$20,Data!$J:$J,Data!#REF!),IF($A$20,"&lt;&gt;5",1))</f>
        <v>#DIV/0!</v>
      </c>
      <c r="BV171" t="e">
        <f t="shared" ca="1" si="86"/>
        <v>#DIV/0!</v>
      </c>
    </row>
    <row r="172" spans="10:74" x14ac:dyDescent="0.35">
      <c r="J172">
        <f t="shared" si="87"/>
        <v>164</v>
      </c>
      <c r="K172" t="s">
        <v>12</v>
      </c>
      <c r="L172" t="e">
        <f ca="1">AVERAGEIFS(INDIRECT($B$3),INDIRECT($B$3),"&gt;=0",Data!$B:$B,$K172)</f>
        <v>#DIV/0!</v>
      </c>
      <c r="M172" t="e">
        <f t="shared" ca="1" si="88"/>
        <v>#DIV/0!</v>
      </c>
      <c r="N172" t="s">
        <v>36</v>
      </c>
      <c r="O172" t="e">
        <f ca="1">AVERAGEIFS(INDIRECT($C$3),INDIRECT($C$3),"&gt;=0",Data!$B:$B,$N172)</f>
        <v>#DIV/0!</v>
      </c>
      <c r="P172" t="e">
        <f t="shared" ca="1" si="61"/>
        <v>#DIV/0!</v>
      </c>
      <c r="Q172" t="s">
        <v>99</v>
      </c>
      <c r="R172" t="e">
        <f ca="1">AVERAGEIFS(INDIRECT($D$3),INDIRECT($D$3),"&gt;=0",Data!$B:$B,$Q172)</f>
        <v>#DIV/0!</v>
      </c>
      <c r="S172" t="e">
        <f t="shared" ca="1" si="62"/>
        <v>#DIV/0!</v>
      </c>
      <c r="T172" t="s">
        <v>93</v>
      </c>
      <c r="U172" t="e">
        <f ca="1">AVERAGEIFS(INDIRECT($E$3),INDIRECT($E$3),"&gt;=0",Data!$B:$B,$T172)</f>
        <v>#DIV/0!</v>
      </c>
      <c r="V172" t="e">
        <f t="shared" ca="1" si="63"/>
        <v>#DIV/0!</v>
      </c>
      <c r="W172" t="s">
        <v>101</v>
      </c>
      <c r="X172" t="e">
        <f ca="1">AVERAGEIFS(INDIRECT($F$3),INDIRECT($F$3),"&gt;=0",Data!$B:$B,$W172)</f>
        <v>#DIV/0!</v>
      </c>
      <c r="Y172" t="e">
        <f t="shared" ca="1" si="64"/>
        <v>#DIV/0!</v>
      </c>
      <c r="Z172" t="s">
        <v>124</v>
      </c>
      <c r="AA172" t="e">
        <f ca="1">AVERAGEIFS(INDIRECT($G$3),INDIRECT($G$3),"&gt;=0",Data!$B:$B,$Z172)</f>
        <v>#DIV/0!</v>
      </c>
      <c r="AB172" t="e">
        <f t="shared" ca="1" si="65"/>
        <v>#DIV/0!</v>
      </c>
      <c r="AC172" t="s">
        <v>149</v>
      </c>
      <c r="AD172" t="e">
        <f ca="1">AVERAGEIFS(INDIRECT($H$3),INDIRECT($H$3),"&gt;=0",Data!$B:$B,$AC172)</f>
        <v>#DIV/0!</v>
      </c>
      <c r="AE172" t="e">
        <f t="shared" ca="1" si="66"/>
        <v>#DIV/0!</v>
      </c>
      <c r="AF172" t="s">
        <v>13</v>
      </c>
      <c r="AG172" t="e">
        <f ca="1">AVERAGEIFS(INDIRECT($I$3),INDIRECT($I$3),"&gt;=0",Data!$B:$B,$AF172)</f>
        <v>#DIV/0!</v>
      </c>
      <c r="AH172" t="e">
        <f t="shared" ca="1" si="67"/>
        <v>#DIV/0!</v>
      </c>
      <c r="AI172" t="s">
        <v>13</v>
      </c>
      <c r="AJ172" t="e">
        <f ca="1">AVERAGEIFS(INDIRECT($J$3),INDIRECT($J$3),"&gt;=0",Data!$B:$B,$AI172)</f>
        <v>#DIV/0!</v>
      </c>
      <c r="AK172" t="e">
        <f t="shared" ca="1" si="68"/>
        <v>#DIV/0!</v>
      </c>
      <c r="AL172" t="str">
        <f t="shared" ca="1" si="69"/>
        <v>-</v>
      </c>
      <c r="AM172" t="str">
        <f t="shared" ca="1" si="70"/>
        <v>-</v>
      </c>
      <c r="AN172" t="str">
        <f t="shared" ca="1" si="71"/>
        <v>-</v>
      </c>
      <c r="AO172" t="str">
        <f t="shared" ca="1" si="72"/>
        <v>-</v>
      </c>
      <c r="AP172" t="str">
        <f t="shared" ca="1" si="73"/>
        <v>-</v>
      </c>
      <c r="AQ172" t="str">
        <f t="shared" ca="1" si="74"/>
        <v>-</v>
      </c>
      <c r="AR172" t="str">
        <f t="shared" ca="1" si="75"/>
        <v>-</v>
      </c>
      <c r="AS172" t="str">
        <f t="shared" ca="1" si="76"/>
        <v>-</v>
      </c>
      <c r="AT172" t="str">
        <f t="shared" ca="1" si="77"/>
        <v>-</v>
      </c>
      <c r="AU172">
        <f t="shared" si="89"/>
        <v>164</v>
      </c>
      <c r="AV172" t="s">
        <v>171</v>
      </c>
      <c r="AW172" s="20" t="e">
        <f ca="1">AVERAGEIFS(INDIRECT($B$3),INDIRECT($B$3),"&gt;=0",Data!$B:$B,AV172,IF($A$20,Data!$J:$J,Data!#REF!),IF($A$20,"&lt;&gt;5",1))</f>
        <v>#DIV/0!</v>
      </c>
      <c r="AX172" t="e">
        <f t="shared" ca="1" si="78"/>
        <v>#DIV/0!</v>
      </c>
      <c r="AY172" s="20" t="s">
        <v>199</v>
      </c>
      <c r="AZ172" t="e">
        <f ca="1">AVERAGEIFS(INDIRECT($C$3),INDIRECT($C$3),"&gt;=0",Data!$B:$B,AY172,IF($A$20,Data!$J:$J,Data!#REF!),IF($A$20,"&lt;&gt;5",1))</f>
        <v>#DIV/0!</v>
      </c>
      <c r="BA172" s="20" t="e">
        <f t="shared" ca="1" si="79"/>
        <v>#DIV/0!</v>
      </c>
      <c r="BB172" t="s">
        <v>65</v>
      </c>
      <c r="BC172" s="20" t="e">
        <f ca="1">AVERAGEIFS(INDIRECT($D$3),INDIRECT($D$3),"&gt;=0",Data!$B:$B,BB172,IF($A$20,Data!$J:$J,Data!#REF!),IF($A$20,"&lt;&gt;5",1))</f>
        <v>#DIV/0!</v>
      </c>
      <c r="BD172" t="e">
        <f t="shared" ca="1" si="80"/>
        <v>#DIV/0!</v>
      </c>
      <c r="BE172" s="20" t="s">
        <v>38</v>
      </c>
      <c r="BF172" t="e">
        <f ca="1">AVERAGEIFS(INDIRECT($E$3),INDIRECT($E$3),"&gt;=0",Data!$B:$B,BE172,IF($A$20,Data!$J:$J,Data!#REF!),IF($A$20,"&lt;&gt;5",1))</f>
        <v>#DIV/0!</v>
      </c>
      <c r="BG172" s="20" t="e">
        <f t="shared" ca="1" si="81"/>
        <v>#DIV/0!</v>
      </c>
      <c r="BH172" t="s">
        <v>160</v>
      </c>
      <c r="BI172" s="20" t="e">
        <f ca="1">AVERAGEIFS(INDIRECT($F$3),INDIRECT($F$3),"&gt;=0",Data!$B:$B,BH172,IF($A$20,Data!$J:$J,Data!#REF!),IF($A$20,"&lt;&gt;5",1))</f>
        <v>#DIV/0!</v>
      </c>
      <c r="BJ172" t="e">
        <f t="shared" ca="1" si="82"/>
        <v>#DIV/0!</v>
      </c>
      <c r="BK172" s="20" t="s">
        <v>175</v>
      </c>
      <c r="BL172" t="e">
        <f ca="1">AVERAGEIFS(INDIRECT($G$3),INDIRECT($G$3),"&gt;=0",Data!$B:$B,BK172,IF($A$20,Data!$J:$J,Data!#REF!),IF($A$20,"&lt;&gt;5",1))</f>
        <v>#DIV/0!</v>
      </c>
      <c r="BM172" s="20" t="e">
        <f t="shared" ca="1" si="83"/>
        <v>#DIV/0!</v>
      </c>
      <c r="BN172" t="s">
        <v>48</v>
      </c>
      <c r="BO172">
        <f ca="1">AVERAGEIFS(INDIRECT($H$3),INDIRECT($H$3),"&gt;=0",Data!$B:$B,BN172,IF($A$20,Data!$J:$J,Data!#REF!),IF($A$20,"&lt;&gt;5",1))</f>
        <v>1</v>
      </c>
      <c r="BP172" t="e">
        <f t="shared" ca="1" si="84"/>
        <v>#DIV/0!</v>
      </c>
      <c r="BQ172" t="s">
        <v>13</v>
      </c>
      <c r="BR172" t="e">
        <f ca="1">AVERAGEIFS(INDIRECT($I$3),INDIRECT($I$3),"&gt;=0",Data!$B:$B,BQ172,IF($A$20,Data!$J:$J,Data!#REF!),IF($A$20,"&lt;&gt;5",1))</f>
        <v>#DIV/0!</v>
      </c>
      <c r="BS172" t="e">
        <f t="shared" ca="1" si="85"/>
        <v>#DIV/0!</v>
      </c>
      <c r="BT172" t="s">
        <v>6</v>
      </c>
      <c r="BU172" t="e">
        <f ca="1">AVERAGEIFS(INDIRECT($J$3),INDIRECT($J$3),"&gt;=0",Data!$B:$B,BT172,IF($A$20,Data!$J:$J,Data!#REF!),IF($A$20,"&lt;&gt;5",1))</f>
        <v>#DIV/0!</v>
      </c>
      <c r="BV172" t="e">
        <f t="shared" ca="1" si="86"/>
        <v>#DIV/0!</v>
      </c>
    </row>
    <row r="173" spans="10:74" x14ac:dyDescent="0.35">
      <c r="J173">
        <f t="shared" si="87"/>
        <v>165</v>
      </c>
      <c r="K173" t="s">
        <v>26</v>
      </c>
      <c r="L173" t="e">
        <f ca="1">AVERAGEIFS(INDIRECT($B$3),INDIRECT($B$3),"&gt;=0",Data!$B:$B,$K173)</f>
        <v>#DIV/0!</v>
      </c>
      <c r="M173" t="e">
        <f t="shared" ca="1" si="88"/>
        <v>#DIV/0!</v>
      </c>
      <c r="N173" t="s">
        <v>91</v>
      </c>
      <c r="O173" t="e">
        <f ca="1">AVERAGEIFS(INDIRECT($C$3),INDIRECT($C$3),"&gt;=0",Data!$B:$B,$N173)</f>
        <v>#DIV/0!</v>
      </c>
      <c r="P173" t="e">
        <f t="shared" ca="1" si="61"/>
        <v>#DIV/0!</v>
      </c>
      <c r="Q173" t="s">
        <v>124</v>
      </c>
      <c r="R173" t="e">
        <f ca="1">AVERAGEIFS(INDIRECT($D$3),INDIRECT($D$3),"&gt;=0",Data!$B:$B,$Q173)</f>
        <v>#DIV/0!</v>
      </c>
      <c r="S173" t="e">
        <f t="shared" ca="1" si="62"/>
        <v>#DIV/0!</v>
      </c>
      <c r="T173" t="s">
        <v>9</v>
      </c>
      <c r="U173" t="e">
        <f ca="1">AVERAGEIFS(INDIRECT($E$3),INDIRECT($E$3),"&gt;=0",Data!$B:$B,$T173)</f>
        <v>#DIV/0!</v>
      </c>
      <c r="V173" t="e">
        <f t="shared" ca="1" si="63"/>
        <v>#DIV/0!</v>
      </c>
      <c r="W173" t="s">
        <v>32</v>
      </c>
      <c r="X173">
        <f ca="1">AVERAGEIFS(INDIRECT($F$3),INDIRECT($F$3),"&gt;=0",Data!$B:$B,$W173)</f>
        <v>1</v>
      </c>
      <c r="Y173" t="e">
        <f t="shared" ca="1" si="64"/>
        <v>#DIV/0!</v>
      </c>
      <c r="Z173" t="s">
        <v>151</v>
      </c>
      <c r="AA173" t="e">
        <f ca="1">AVERAGEIFS(INDIRECT($G$3),INDIRECT($G$3),"&gt;=0",Data!$B:$B,$Z173)</f>
        <v>#DIV/0!</v>
      </c>
      <c r="AB173" t="e">
        <f t="shared" ca="1" si="65"/>
        <v>#DIV/0!</v>
      </c>
      <c r="AC173" t="s">
        <v>197</v>
      </c>
      <c r="AD173" t="e">
        <f ca="1">AVERAGEIFS(INDIRECT($H$3),INDIRECT($H$3),"&gt;=0",Data!$B:$B,$AC173)</f>
        <v>#DIV/0!</v>
      </c>
      <c r="AE173" t="e">
        <f t="shared" ca="1" si="66"/>
        <v>#DIV/0!</v>
      </c>
      <c r="AF173" t="s">
        <v>64</v>
      </c>
      <c r="AG173" t="e">
        <f ca="1">AVERAGEIFS(INDIRECT($I$3),INDIRECT($I$3),"&gt;=0",Data!$B:$B,$AF173)</f>
        <v>#DIV/0!</v>
      </c>
      <c r="AH173" t="e">
        <f t="shared" ca="1" si="67"/>
        <v>#DIV/0!</v>
      </c>
      <c r="AI173" t="s">
        <v>12</v>
      </c>
      <c r="AJ173">
        <f ca="1">AVERAGEIFS(INDIRECT($J$3),INDIRECT($J$3),"&gt;=0",Data!$B:$B,$AI173)</f>
        <v>0.375</v>
      </c>
      <c r="AK173" t="e">
        <f t="shared" ca="1" si="68"/>
        <v>#DIV/0!</v>
      </c>
      <c r="AL173" t="str">
        <f t="shared" ca="1" si="69"/>
        <v>-</v>
      </c>
      <c r="AM173" t="str">
        <f t="shared" ca="1" si="70"/>
        <v>-</v>
      </c>
      <c r="AN173" t="str">
        <f t="shared" ca="1" si="71"/>
        <v>-</v>
      </c>
      <c r="AO173" t="str">
        <f t="shared" ca="1" si="72"/>
        <v>-</v>
      </c>
      <c r="AP173" t="str">
        <f t="shared" ca="1" si="73"/>
        <v>-</v>
      </c>
      <c r="AQ173" t="str">
        <f t="shared" ca="1" si="74"/>
        <v>-</v>
      </c>
      <c r="AR173" t="str">
        <f t="shared" ca="1" si="75"/>
        <v>-</v>
      </c>
      <c r="AS173" t="str">
        <f t="shared" ca="1" si="76"/>
        <v>-</v>
      </c>
      <c r="AT173" t="str">
        <f t="shared" ca="1" si="77"/>
        <v>-</v>
      </c>
      <c r="AU173">
        <f t="shared" si="89"/>
        <v>165</v>
      </c>
      <c r="AV173" t="s">
        <v>185</v>
      </c>
      <c r="AW173" s="20" t="e">
        <f ca="1">AVERAGEIFS(INDIRECT($B$3),INDIRECT($B$3),"&gt;=0",Data!$B:$B,AV173,IF($A$20,Data!$J:$J,Data!#REF!),IF($A$20,"&lt;&gt;5",1))</f>
        <v>#DIV/0!</v>
      </c>
      <c r="AX173" t="e">
        <f t="shared" ca="1" si="78"/>
        <v>#DIV/0!</v>
      </c>
      <c r="AY173" s="20" t="s">
        <v>144</v>
      </c>
      <c r="AZ173" t="e">
        <f ca="1">AVERAGEIFS(INDIRECT($C$3),INDIRECT($C$3),"&gt;=0",Data!$B:$B,AY173,IF($A$20,Data!$J:$J,Data!#REF!),IF($A$20,"&lt;&gt;5",1))</f>
        <v>#DIV/0!</v>
      </c>
      <c r="BA173" s="20" t="e">
        <f t="shared" ca="1" si="79"/>
        <v>#DIV/0!</v>
      </c>
      <c r="BB173" t="s">
        <v>13</v>
      </c>
      <c r="BC173" s="20" t="e">
        <f ca="1">AVERAGEIFS(INDIRECT($D$3),INDIRECT($D$3),"&gt;=0",Data!$B:$B,BB173,IF($A$20,Data!$J:$J,Data!#REF!),IF($A$20,"&lt;&gt;5",1))</f>
        <v>#DIV/0!</v>
      </c>
      <c r="BD173" t="e">
        <f t="shared" ca="1" si="80"/>
        <v>#DIV/0!</v>
      </c>
      <c r="BE173" s="20" t="s">
        <v>125</v>
      </c>
      <c r="BF173" t="e">
        <f ca="1">AVERAGEIFS(INDIRECT($E$3),INDIRECT($E$3),"&gt;=0",Data!$B:$B,BE173,IF($A$20,Data!$J:$J,Data!#REF!),IF($A$20,"&lt;&gt;5",1))</f>
        <v>#DIV/0!</v>
      </c>
      <c r="BG173" s="20" t="e">
        <f t="shared" ca="1" si="81"/>
        <v>#DIV/0!</v>
      </c>
      <c r="BH173" t="s">
        <v>38</v>
      </c>
      <c r="BI173" s="20" t="e">
        <f ca="1">AVERAGEIFS(INDIRECT($F$3),INDIRECT($F$3),"&gt;=0",Data!$B:$B,BH173,IF($A$20,Data!$J:$J,Data!#REF!),IF($A$20,"&lt;&gt;5",1))</f>
        <v>#DIV/0!</v>
      </c>
      <c r="BJ173" t="e">
        <f t="shared" ca="1" si="82"/>
        <v>#DIV/0!</v>
      </c>
      <c r="BK173" s="20" t="s">
        <v>189</v>
      </c>
      <c r="BL173" t="e">
        <f ca="1">AVERAGEIFS(INDIRECT($G$3),INDIRECT($G$3),"&gt;=0",Data!$B:$B,BK173,IF($A$20,Data!$J:$J,Data!#REF!),IF($A$20,"&lt;&gt;5",1))</f>
        <v>#DIV/0!</v>
      </c>
      <c r="BM173" s="20" t="e">
        <f t="shared" ca="1" si="83"/>
        <v>#DIV/0!</v>
      </c>
      <c r="BN173" t="s">
        <v>70</v>
      </c>
      <c r="BO173">
        <f ca="1">AVERAGEIFS(INDIRECT($H$3),INDIRECT($H$3),"&gt;=0",Data!$B:$B,BN173,IF($A$20,Data!$J:$J,Data!#REF!),IF($A$20,"&lt;&gt;5",1))</f>
        <v>1</v>
      </c>
      <c r="BP173" t="e">
        <f t="shared" ca="1" si="84"/>
        <v>#DIV/0!</v>
      </c>
      <c r="BQ173" t="s">
        <v>106</v>
      </c>
      <c r="BR173">
        <f ca="1">AVERAGEIFS(INDIRECT($I$3),INDIRECT($I$3),"&gt;=0",Data!$B:$B,BQ173,IF($A$20,Data!$J:$J,Data!#REF!),IF($A$20,"&lt;&gt;5",1))</f>
        <v>0.875</v>
      </c>
      <c r="BS173" t="e">
        <f t="shared" ca="1" si="85"/>
        <v>#DIV/0!</v>
      </c>
      <c r="BT173" t="s">
        <v>3</v>
      </c>
      <c r="BU173" t="e">
        <f ca="1">AVERAGEIFS(INDIRECT($J$3),INDIRECT($J$3),"&gt;=0",Data!$B:$B,BT173,IF($A$20,Data!$J:$J,Data!#REF!),IF($A$20,"&lt;&gt;5",1))</f>
        <v>#DIV/0!</v>
      </c>
      <c r="BV173" t="e">
        <f t="shared" ca="1" si="86"/>
        <v>#DIV/0!</v>
      </c>
    </row>
    <row r="174" spans="10:74" x14ac:dyDescent="0.35">
      <c r="J174">
        <f t="shared" si="87"/>
        <v>166</v>
      </c>
      <c r="K174" t="s">
        <v>14</v>
      </c>
      <c r="L174" t="e">
        <f ca="1">AVERAGEIFS(INDIRECT($B$3),INDIRECT($B$3),"&gt;=0",Data!$B:$B,$K174)</f>
        <v>#DIV/0!</v>
      </c>
      <c r="M174" t="e">
        <f t="shared" ca="1" si="88"/>
        <v>#DIV/0!</v>
      </c>
      <c r="N174" t="s">
        <v>155</v>
      </c>
      <c r="O174" t="e">
        <f ca="1">AVERAGEIFS(INDIRECT($C$3),INDIRECT($C$3),"&gt;=0",Data!$B:$B,$N174)</f>
        <v>#DIV/0!</v>
      </c>
      <c r="P174" t="e">
        <f t="shared" ca="1" si="61"/>
        <v>#DIV/0!</v>
      </c>
      <c r="Q174" t="s">
        <v>155</v>
      </c>
      <c r="R174" t="e">
        <f ca="1">AVERAGEIFS(INDIRECT($D$3),INDIRECT($D$3),"&gt;=0",Data!$B:$B,$Q174)</f>
        <v>#DIV/0!</v>
      </c>
      <c r="S174" t="e">
        <f t="shared" ca="1" si="62"/>
        <v>#DIV/0!</v>
      </c>
      <c r="T174" t="s">
        <v>38</v>
      </c>
      <c r="U174" t="e">
        <f ca="1">AVERAGEIFS(INDIRECT($E$3),INDIRECT($E$3),"&gt;=0",Data!$B:$B,$T174)</f>
        <v>#DIV/0!</v>
      </c>
      <c r="V174" t="e">
        <f t="shared" ca="1" si="63"/>
        <v>#DIV/0!</v>
      </c>
      <c r="W174" t="s">
        <v>62</v>
      </c>
      <c r="X174">
        <f ca="1">AVERAGEIFS(INDIRECT($F$3),INDIRECT($F$3),"&gt;=0",Data!$B:$B,$W174)</f>
        <v>1</v>
      </c>
      <c r="Y174" t="e">
        <f t="shared" ca="1" si="64"/>
        <v>#DIV/0!</v>
      </c>
      <c r="Z174" t="s">
        <v>190</v>
      </c>
      <c r="AA174" t="e">
        <f ca="1">AVERAGEIFS(INDIRECT($G$3),INDIRECT($G$3),"&gt;=0",Data!$B:$B,$Z174)</f>
        <v>#DIV/0!</v>
      </c>
      <c r="AB174" t="e">
        <f t="shared" ca="1" si="65"/>
        <v>#DIV/0!</v>
      </c>
      <c r="AC174" t="s">
        <v>145</v>
      </c>
      <c r="AD174">
        <f ca="1">AVERAGEIFS(INDIRECT($H$3),INDIRECT($H$3),"&gt;=0",Data!$B:$B,$AC174)</f>
        <v>0.96666666666666667</v>
      </c>
      <c r="AE174" t="e">
        <f t="shared" ca="1" si="66"/>
        <v>#DIV/0!</v>
      </c>
      <c r="AF174" t="s">
        <v>173</v>
      </c>
      <c r="AG174" t="e">
        <f ca="1">AVERAGEIFS(INDIRECT($I$3),INDIRECT($I$3),"&gt;=0",Data!$B:$B,$AF174)</f>
        <v>#DIV/0!</v>
      </c>
      <c r="AH174" t="e">
        <f t="shared" ca="1" si="67"/>
        <v>#DIV/0!</v>
      </c>
      <c r="AI174" t="s">
        <v>2</v>
      </c>
      <c r="AJ174" t="e">
        <f ca="1">AVERAGEIFS(INDIRECT($J$3),INDIRECT($J$3),"&gt;=0",Data!$B:$B,$AI174)</f>
        <v>#DIV/0!</v>
      </c>
      <c r="AK174" t="e">
        <f t="shared" ca="1" si="68"/>
        <v>#DIV/0!</v>
      </c>
      <c r="AL174" t="str">
        <f t="shared" ca="1" si="69"/>
        <v>-</v>
      </c>
      <c r="AM174" t="str">
        <f t="shared" ca="1" si="70"/>
        <v>-</v>
      </c>
      <c r="AN174" t="str">
        <f t="shared" ca="1" si="71"/>
        <v>-</v>
      </c>
      <c r="AO174" t="str">
        <f t="shared" ca="1" si="72"/>
        <v>-</v>
      </c>
      <c r="AP174" t="str">
        <f t="shared" ca="1" si="73"/>
        <v>-</v>
      </c>
      <c r="AQ174" t="str">
        <f t="shared" ca="1" si="74"/>
        <v>-</v>
      </c>
      <c r="AR174" t="str">
        <f t="shared" ca="1" si="75"/>
        <v>-</v>
      </c>
      <c r="AS174" t="str">
        <f t="shared" ca="1" si="76"/>
        <v>-</v>
      </c>
      <c r="AT174" t="str">
        <f t="shared" ca="1" si="77"/>
        <v>-</v>
      </c>
      <c r="AU174">
        <f t="shared" si="89"/>
        <v>166</v>
      </c>
      <c r="AV174" t="s">
        <v>191</v>
      </c>
      <c r="AW174" s="20" t="e">
        <f ca="1">AVERAGEIFS(INDIRECT($B$3),INDIRECT($B$3),"&gt;=0",Data!$B:$B,AV174,IF($A$20,Data!$J:$J,Data!#REF!),IF($A$20,"&lt;&gt;5",1))</f>
        <v>#DIV/0!</v>
      </c>
      <c r="AX174" t="e">
        <f t="shared" ca="1" si="78"/>
        <v>#DIV/0!</v>
      </c>
      <c r="AY174" s="20" t="s">
        <v>165</v>
      </c>
      <c r="AZ174" t="e">
        <f ca="1">AVERAGEIFS(INDIRECT($C$3),INDIRECT($C$3),"&gt;=0",Data!$B:$B,AY174,IF($A$20,Data!$J:$J,Data!#REF!),IF($A$20,"&lt;&gt;5",1))</f>
        <v>#DIV/0!</v>
      </c>
      <c r="BA174" s="20" t="e">
        <f t="shared" ca="1" si="79"/>
        <v>#DIV/0!</v>
      </c>
      <c r="BB174" t="s">
        <v>113</v>
      </c>
      <c r="BC174" s="20" t="e">
        <f ca="1">AVERAGEIFS(INDIRECT($D$3),INDIRECT($D$3),"&gt;=0",Data!$B:$B,BB174,IF($A$20,Data!$J:$J,Data!#REF!),IF($A$20,"&lt;&gt;5",1))</f>
        <v>#DIV/0!</v>
      </c>
      <c r="BD174" t="e">
        <f t="shared" ca="1" si="80"/>
        <v>#DIV/0!</v>
      </c>
      <c r="BE174" s="20" t="s">
        <v>17</v>
      </c>
      <c r="BF174" t="e">
        <f ca="1">AVERAGEIFS(INDIRECT($E$3),INDIRECT($E$3),"&gt;=0",Data!$B:$B,BE174,IF($A$20,Data!$J:$J,Data!#REF!),IF($A$20,"&lt;&gt;5",1))</f>
        <v>#DIV/0!</v>
      </c>
      <c r="BG174" s="20" t="e">
        <f t="shared" ca="1" si="81"/>
        <v>#DIV/0!</v>
      </c>
      <c r="BH174" t="s">
        <v>70</v>
      </c>
      <c r="BI174" s="20">
        <f ca="1">AVERAGEIFS(INDIRECT($F$3),INDIRECT($F$3),"&gt;=0",Data!$B:$B,BH174,IF($A$20,Data!$J:$J,Data!#REF!),IF($A$20,"&lt;&gt;5",1))</f>
        <v>1</v>
      </c>
      <c r="BJ174" t="e">
        <f t="shared" ca="1" si="82"/>
        <v>#DIV/0!</v>
      </c>
      <c r="BK174" s="20" t="s">
        <v>28</v>
      </c>
      <c r="BL174" t="e">
        <f ca="1">AVERAGEIFS(INDIRECT($G$3),INDIRECT($G$3),"&gt;=0",Data!$B:$B,BK174,IF($A$20,Data!$J:$J,Data!#REF!),IF($A$20,"&lt;&gt;5",1))</f>
        <v>#DIV/0!</v>
      </c>
      <c r="BM174" s="20" t="e">
        <f t="shared" ca="1" si="83"/>
        <v>#DIV/0!</v>
      </c>
      <c r="BN174" t="s">
        <v>59</v>
      </c>
      <c r="BO174" t="e">
        <f ca="1">AVERAGEIFS(INDIRECT($H$3),INDIRECT($H$3),"&gt;=0",Data!$B:$B,BN174,IF($A$20,Data!$J:$J,Data!#REF!),IF($A$20,"&lt;&gt;5",1))</f>
        <v>#DIV/0!</v>
      </c>
      <c r="BP174" t="e">
        <f t="shared" ca="1" si="84"/>
        <v>#DIV/0!</v>
      </c>
      <c r="BQ174" t="s">
        <v>169</v>
      </c>
      <c r="BR174" t="e">
        <f ca="1">AVERAGEIFS(INDIRECT($I$3),INDIRECT($I$3),"&gt;=0",Data!$B:$B,BQ174,IF($A$20,Data!$J:$J,Data!#REF!),IF($A$20,"&lt;&gt;5",1))</f>
        <v>#DIV/0!</v>
      </c>
      <c r="BS174" t="e">
        <f t="shared" ca="1" si="85"/>
        <v>#DIV/0!</v>
      </c>
      <c r="BT174" t="s">
        <v>65</v>
      </c>
      <c r="BU174" t="e">
        <f ca="1">AVERAGEIFS(INDIRECT($J$3),INDIRECT($J$3),"&gt;=0",Data!$B:$B,BT174,IF($A$20,Data!$J:$J,Data!#REF!),IF($A$20,"&lt;&gt;5",1))</f>
        <v>#DIV/0!</v>
      </c>
      <c r="BV174" t="e">
        <f t="shared" ca="1" si="86"/>
        <v>#DIV/0!</v>
      </c>
    </row>
    <row r="175" spans="10:74" x14ac:dyDescent="0.35">
      <c r="J175">
        <f t="shared" si="87"/>
        <v>167</v>
      </c>
      <c r="K175" t="s">
        <v>24</v>
      </c>
      <c r="L175" t="e">
        <f ca="1">AVERAGEIFS(INDIRECT($B$3),INDIRECT($B$3),"&gt;=0",Data!$B:$B,$K175)</f>
        <v>#DIV/0!</v>
      </c>
      <c r="M175" t="e">
        <f t="shared" ca="1" si="88"/>
        <v>#DIV/0!</v>
      </c>
      <c r="N175" t="s">
        <v>140</v>
      </c>
      <c r="O175" t="e">
        <f ca="1">AVERAGEIFS(INDIRECT($C$3),INDIRECT($C$3),"&gt;=0",Data!$B:$B,$N175)</f>
        <v>#DIV/0!</v>
      </c>
      <c r="P175" t="e">
        <f t="shared" ca="1" si="61"/>
        <v>#DIV/0!</v>
      </c>
      <c r="Q175" t="s">
        <v>178</v>
      </c>
      <c r="R175" t="e">
        <f ca="1">AVERAGEIFS(INDIRECT($D$3),INDIRECT($D$3),"&gt;=0",Data!$B:$B,$Q175)</f>
        <v>#DIV/0!</v>
      </c>
      <c r="S175" t="e">
        <f t="shared" ca="1" si="62"/>
        <v>#DIV/0!</v>
      </c>
      <c r="T175" t="s">
        <v>125</v>
      </c>
      <c r="U175" t="e">
        <f ca="1">AVERAGEIFS(INDIRECT($E$3),INDIRECT($E$3),"&gt;=0",Data!$B:$B,$T175)</f>
        <v>#DIV/0!</v>
      </c>
      <c r="V175" t="e">
        <f t="shared" ca="1" si="63"/>
        <v>#DIV/0!</v>
      </c>
      <c r="W175" t="s">
        <v>65</v>
      </c>
      <c r="X175" t="e">
        <f ca="1">AVERAGEIFS(INDIRECT($F$3),INDIRECT($F$3),"&gt;=0",Data!$B:$B,$W175)</f>
        <v>#DIV/0!</v>
      </c>
      <c r="Y175" t="e">
        <f t="shared" ca="1" si="64"/>
        <v>#DIV/0!</v>
      </c>
      <c r="Z175" t="s">
        <v>137</v>
      </c>
      <c r="AA175">
        <f ca="1">AVERAGEIFS(INDIRECT($G$3),INDIRECT($G$3),"&gt;=0",Data!$B:$B,$Z175)</f>
        <v>0.85</v>
      </c>
      <c r="AB175" t="e">
        <f t="shared" ca="1" si="65"/>
        <v>#DIV/0!</v>
      </c>
      <c r="AC175" t="s">
        <v>70</v>
      </c>
      <c r="AD175">
        <f ca="1">AVERAGEIFS(INDIRECT($H$3),INDIRECT($H$3),"&gt;=0",Data!$B:$B,$AC175)</f>
        <v>0.95454545454545459</v>
      </c>
      <c r="AE175">
        <f t="shared" ca="1" si="66"/>
        <v>167</v>
      </c>
      <c r="AF175" t="s">
        <v>60</v>
      </c>
      <c r="AG175">
        <f ca="1">AVERAGEIFS(INDIRECT($I$3),INDIRECT($I$3),"&gt;=0",Data!$B:$B,$AF175)</f>
        <v>0.63157894736842102</v>
      </c>
      <c r="AH175" t="e">
        <f t="shared" ca="1" si="67"/>
        <v>#DIV/0!</v>
      </c>
      <c r="AI175" t="s">
        <v>5</v>
      </c>
      <c r="AJ175" t="e">
        <f ca="1">AVERAGEIFS(INDIRECT($J$3),INDIRECT($J$3),"&gt;=0",Data!$B:$B,$AI175)</f>
        <v>#DIV/0!</v>
      </c>
      <c r="AK175" t="e">
        <f t="shared" ca="1" si="68"/>
        <v>#DIV/0!</v>
      </c>
      <c r="AL175" t="str">
        <f t="shared" ca="1" si="69"/>
        <v>-</v>
      </c>
      <c r="AM175" t="str">
        <f t="shared" ca="1" si="70"/>
        <v>-</v>
      </c>
      <c r="AN175" t="str">
        <f t="shared" ca="1" si="71"/>
        <v>-</v>
      </c>
      <c r="AO175" t="str">
        <f t="shared" ca="1" si="72"/>
        <v>-</v>
      </c>
      <c r="AP175" t="str">
        <f t="shared" ca="1" si="73"/>
        <v>-</v>
      </c>
      <c r="AQ175" t="str">
        <f t="shared" ca="1" si="74"/>
        <v>-</v>
      </c>
      <c r="AR175" t="str">
        <f t="shared" ca="1" si="75"/>
        <v>-</v>
      </c>
      <c r="AS175" t="str">
        <f t="shared" ca="1" si="76"/>
        <v>-</v>
      </c>
      <c r="AT175" t="str">
        <f t="shared" ca="1" si="77"/>
        <v>-</v>
      </c>
      <c r="AU175">
        <f t="shared" si="89"/>
        <v>167</v>
      </c>
      <c r="AV175" t="s">
        <v>109</v>
      </c>
      <c r="AW175" s="20" t="e">
        <f ca="1">AVERAGEIFS(INDIRECT($B$3),INDIRECT($B$3),"&gt;=0",Data!$B:$B,AV175,IF($A$20,Data!$J:$J,Data!#REF!),IF($A$20,"&lt;&gt;5",1))</f>
        <v>#DIV/0!</v>
      </c>
      <c r="AX175" t="e">
        <f t="shared" ca="1" si="78"/>
        <v>#DIV/0!</v>
      </c>
      <c r="AY175" s="20" t="s">
        <v>29</v>
      </c>
      <c r="AZ175" t="e">
        <f ca="1">AVERAGEIFS(INDIRECT($C$3),INDIRECT($C$3),"&gt;=0",Data!$B:$B,AY175,IF($A$20,Data!$J:$J,Data!#REF!),IF($A$20,"&lt;&gt;5",1))</f>
        <v>#DIV/0!</v>
      </c>
      <c r="BA175" s="20" t="e">
        <f t="shared" ca="1" si="79"/>
        <v>#DIV/0!</v>
      </c>
      <c r="BB175" t="s">
        <v>183</v>
      </c>
      <c r="BC175" s="20" t="e">
        <f ca="1">AVERAGEIFS(INDIRECT($D$3),INDIRECT($D$3),"&gt;=0",Data!$B:$B,BB175,IF($A$20,Data!$J:$J,Data!#REF!),IF($A$20,"&lt;&gt;5",1))</f>
        <v>#DIV/0!</v>
      </c>
      <c r="BD175" t="e">
        <f t="shared" ca="1" si="80"/>
        <v>#DIV/0!</v>
      </c>
      <c r="BE175" s="20" t="s">
        <v>137</v>
      </c>
      <c r="BF175" t="e">
        <f ca="1">AVERAGEIFS(INDIRECT($E$3),INDIRECT($E$3),"&gt;=0",Data!$B:$B,BE175,IF($A$20,Data!$J:$J,Data!#REF!),IF($A$20,"&lt;&gt;5",1))</f>
        <v>#DIV/0!</v>
      </c>
      <c r="BG175" s="20" t="e">
        <f t="shared" ca="1" si="81"/>
        <v>#DIV/0!</v>
      </c>
      <c r="BH175" t="s">
        <v>32</v>
      </c>
      <c r="BI175" s="20">
        <f ca="1">AVERAGEIFS(INDIRECT($F$3),INDIRECT($F$3),"&gt;=0",Data!$B:$B,BH175,IF($A$20,Data!$J:$J,Data!#REF!),IF($A$20,"&lt;&gt;5",1))</f>
        <v>1</v>
      </c>
      <c r="BJ175" t="e">
        <f t="shared" ca="1" si="82"/>
        <v>#DIV/0!</v>
      </c>
      <c r="BK175" s="20" t="s">
        <v>79</v>
      </c>
      <c r="BL175" t="e">
        <f ca="1">AVERAGEIFS(INDIRECT($G$3),INDIRECT($G$3),"&gt;=0",Data!$B:$B,BK175,IF($A$20,Data!$J:$J,Data!#REF!),IF($A$20,"&lt;&gt;5",1))</f>
        <v>#DIV/0!</v>
      </c>
      <c r="BM175" s="20" t="e">
        <f t="shared" ca="1" si="83"/>
        <v>#DIV/0!</v>
      </c>
      <c r="BN175" t="s">
        <v>73</v>
      </c>
      <c r="BO175" t="e">
        <f ca="1">AVERAGEIFS(INDIRECT($H$3),INDIRECT($H$3),"&gt;=0",Data!$B:$B,BN175,IF($A$20,Data!$J:$J,Data!#REF!),IF($A$20,"&lt;&gt;5",1))</f>
        <v>#DIV/0!</v>
      </c>
      <c r="BP175" t="e">
        <f t="shared" ca="1" si="84"/>
        <v>#DIV/0!</v>
      </c>
      <c r="BQ175" t="s">
        <v>24</v>
      </c>
      <c r="BR175" t="e">
        <f ca="1">AVERAGEIFS(INDIRECT($I$3),INDIRECT($I$3),"&gt;=0",Data!$B:$B,BQ175,IF($A$20,Data!$J:$J,Data!#REF!),IF($A$20,"&lt;&gt;5",1))</f>
        <v>#DIV/0!</v>
      </c>
      <c r="BS175" t="e">
        <f t="shared" ca="1" si="85"/>
        <v>#DIV/0!</v>
      </c>
      <c r="BT175" t="s">
        <v>141</v>
      </c>
      <c r="BU175" t="e">
        <f ca="1">AVERAGEIFS(INDIRECT($J$3),INDIRECT($J$3),"&gt;=0",Data!$B:$B,BT175,IF($A$20,Data!$J:$J,Data!#REF!),IF($A$20,"&lt;&gt;5",1))</f>
        <v>#DIV/0!</v>
      </c>
      <c r="BV175" t="e">
        <f t="shared" ca="1" si="86"/>
        <v>#DIV/0!</v>
      </c>
    </row>
    <row r="176" spans="10:74" x14ac:dyDescent="0.35">
      <c r="J176">
        <f t="shared" si="87"/>
        <v>168</v>
      </c>
      <c r="K176" t="s">
        <v>37</v>
      </c>
      <c r="L176" t="e">
        <f ca="1">AVERAGEIFS(INDIRECT($B$3),INDIRECT($B$3),"&gt;=0",Data!$B:$B,$K176)</f>
        <v>#DIV/0!</v>
      </c>
      <c r="M176" t="e">
        <f t="shared" ca="1" si="88"/>
        <v>#DIV/0!</v>
      </c>
      <c r="N176" t="s">
        <v>184</v>
      </c>
      <c r="O176" t="e">
        <f ca="1">AVERAGEIFS(INDIRECT($C$3),INDIRECT($C$3),"&gt;=0",Data!$B:$B,$N176)</f>
        <v>#DIV/0!</v>
      </c>
      <c r="P176" t="e">
        <f t="shared" ca="1" si="61"/>
        <v>#DIV/0!</v>
      </c>
      <c r="Q176" t="s">
        <v>182</v>
      </c>
      <c r="R176" t="e">
        <f ca="1">AVERAGEIFS(INDIRECT($D$3),INDIRECT($D$3),"&gt;=0",Data!$B:$B,$Q176)</f>
        <v>#DIV/0!</v>
      </c>
      <c r="S176" t="e">
        <f t="shared" ca="1" si="62"/>
        <v>#DIV/0!</v>
      </c>
      <c r="T176" t="s">
        <v>137</v>
      </c>
      <c r="U176" t="e">
        <f ca="1">AVERAGEIFS(INDIRECT($E$3),INDIRECT($E$3),"&gt;=0",Data!$B:$B,$T176)</f>
        <v>#DIV/0!</v>
      </c>
      <c r="V176" t="e">
        <f t="shared" ca="1" si="63"/>
        <v>#DIV/0!</v>
      </c>
      <c r="W176" t="s">
        <v>82</v>
      </c>
      <c r="X176">
        <f ca="1">AVERAGEIFS(INDIRECT($F$3),INDIRECT($F$3),"&gt;=0",Data!$B:$B,$W176)</f>
        <v>1</v>
      </c>
      <c r="Y176" t="e">
        <f t="shared" ca="1" si="64"/>
        <v>#DIV/0!</v>
      </c>
      <c r="Z176" t="s">
        <v>175</v>
      </c>
      <c r="AA176" t="e">
        <f ca="1">AVERAGEIFS(INDIRECT($G$3),INDIRECT($G$3),"&gt;=0",Data!$B:$B,$Z176)</f>
        <v>#DIV/0!</v>
      </c>
      <c r="AB176" t="e">
        <f t="shared" ca="1" si="65"/>
        <v>#DIV/0!</v>
      </c>
      <c r="AC176" t="s">
        <v>59</v>
      </c>
      <c r="AD176" t="e">
        <f ca="1">AVERAGEIFS(INDIRECT($H$3),INDIRECT($H$3),"&gt;=0",Data!$B:$B,$AC176)</f>
        <v>#DIV/0!</v>
      </c>
      <c r="AE176" t="e">
        <f t="shared" ca="1" si="66"/>
        <v>#DIV/0!</v>
      </c>
      <c r="AF176" t="s">
        <v>106</v>
      </c>
      <c r="AG176">
        <f ca="1">AVERAGEIFS(INDIRECT($I$3),INDIRECT($I$3),"&gt;=0",Data!$B:$B,$AF176)</f>
        <v>0.83333333333333337</v>
      </c>
      <c r="AH176">
        <f t="shared" ca="1" si="67"/>
        <v>168</v>
      </c>
      <c r="AI176" t="s">
        <v>4</v>
      </c>
      <c r="AJ176" t="e">
        <f ca="1">AVERAGEIFS(INDIRECT($J$3),INDIRECT($J$3),"&gt;=0",Data!$B:$B,$AI176)</f>
        <v>#DIV/0!</v>
      </c>
      <c r="AK176" t="e">
        <f t="shared" ca="1" si="68"/>
        <v>#DIV/0!</v>
      </c>
      <c r="AL176" t="str">
        <f t="shared" ca="1" si="69"/>
        <v>-</v>
      </c>
      <c r="AM176" t="str">
        <f t="shared" ca="1" si="70"/>
        <v>-</v>
      </c>
      <c r="AN176" t="str">
        <f t="shared" ca="1" si="71"/>
        <v>-</v>
      </c>
      <c r="AO176" t="str">
        <f t="shared" ca="1" si="72"/>
        <v>-</v>
      </c>
      <c r="AP176" t="str">
        <f t="shared" ca="1" si="73"/>
        <v>-</v>
      </c>
      <c r="AQ176" t="str">
        <f t="shared" ca="1" si="74"/>
        <v>-</v>
      </c>
      <c r="AR176" t="str">
        <f t="shared" ca="1" si="75"/>
        <v>-</v>
      </c>
      <c r="AS176" t="str">
        <f t="shared" ca="1" si="76"/>
        <v>-</v>
      </c>
      <c r="AT176" t="str">
        <f t="shared" ca="1" si="77"/>
        <v>-</v>
      </c>
      <c r="AU176">
        <f t="shared" si="89"/>
        <v>168</v>
      </c>
      <c r="AV176" t="s">
        <v>161</v>
      </c>
      <c r="AW176" s="20" t="e">
        <f ca="1">AVERAGEIFS(INDIRECT($B$3),INDIRECT($B$3),"&gt;=0",Data!$B:$B,AV176,IF($A$20,Data!$J:$J,Data!#REF!),IF($A$20,"&lt;&gt;5",1))</f>
        <v>#DIV/0!</v>
      </c>
      <c r="AX176" t="e">
        <f t="shared" ca="1" si="78"/>
        <v>#DIV/0!</v>
      </c>
      <c r="AY176" s="20" t="s">
        <v>37</v>
      </c>
      <c r="AZ176" t="e">
        <f ca="1">AVERAGEIFS(INDIRECT($C$3),INDIRECT($C$3),"&gt;=0",Data!$B:$B,AY176,IF($A$20,Data!$J:$J,Data!#REF!),IF($A$20,"&lt;&gt;5",1))</f>
        <v>#DIV/0!</v>
      </c>
      <c r="BA176" s="20" t="e">
        <f t="shared" ca="1" si="79"/>
        <v>#DIV/0!</v>
      </c>
      <c r="BB176" t="s">
        <v>133</v>
      </c>
      <c r="BC176" s="20" t="e">
        <f ca="1">AVERAGEIFS(INDIRECT($D$3),INDIRECT($D$3),"&gt;=0",Data!$B:$B,BB176,IF($A$20,Data!$J:$J,Data!#REF!),IF($A$20,"&lt;&gt;5",1))</f>
        <v>#DIV/0!</v>
      </c>
      <c r="BD176" t="e">
        <f t="shared" ca="1" si="80"/>
        <v>#DIV/0!</v>
      </c>
      <c r="BE176" s="20" t="s">
        <v>109</v>
      </c>
      <c r="BF176" t="e">
        <f ca="1">AVERAGEIFS(INDIRECT($E$3),INDIRECT($E$3),"&gt;=0",Data!$B:$B,BE176,IF($A$20,Data!$J:$J,Data!#REF!),IF($A$20,"&lt;&gt;5",1))</f>
        <v>#DIV/0!</v>
      </c>
      <c r="BG176" s="20" t="e">
        <f t="shared" ca="1" si="81"/>
        <v>#DIV/0!</v>
      </c>
      <c r="BH176" t="s">
        <v>62</v>
      </c>
      <c r="BI176" s="20">
        <f ca="1">AVERAGEIFS(INDIRECT($F$3),INDIRECT($F$3),"&gt;=0",Data!$B:$B,BH176,IF($A$20,Data!$J:$J,Data!#REF!),IF($A$20,"&lt;&gt;5",1))</f>
        <v>1</v>
      </c>
      <c r="BJ176" t="e">
        <f t="shared" ca="1" si="82"/>
        <v>#DIV/0!</v>
      </c>
      <c r="BK176" s="20" t="s">
        <v>162</v>
      </c>
      <c r="BL176" t="e">
        <f ca="1">AVERAGEIFS(INDIRECT($G$3),INDIRECT($G$3),"&gt;=0",Data!$B:$B,BK176,IF($A$20,Data!$J:$J,Data!#REF!),IF($A$20,"&lt;&gt;5",1))</f>
        <v>#DIV/0!</v>
      </c>
      <c r="BM176" s="20" t="e">
        <f t="shared" ca="1" si="83"/>
        <v>#DIV/0!</v>
      </c>
      <c r="BN176" t="s">
        <v>190</v>
      </c>
      <c r="BO176" t="e">
        <f ca="1">AVERAGEIFS(INDIRECT($H$3),INDIRECT($H$3),"&gt;=0",Data!$B:$B,BN176,IF($A$20,Data!$J:$J,Data!#REF!),IF($A$20,"&lt;&gt;5",1))</f>
        <v>#DIV/0!</v>
      </c>
      <c r="BP176" t="e">
        <f t="shared" ca="1" si="84"/>
        <v>#DIV/0!</v>
      </c>
      <c r="BQ176" t="s">
        <v>40</v>
      </c>
      <c r="BR176" t="e">
        <f ca="1">AVERAGEIFS(INDIRECT($I$3),INDIRECT($I$3),"&gt;=0",Data!$B:$B,BQ176,IF($A$20,Data!$J:$J,Data!#REF!),IF($A$20,"&lt;&gt;5",1))</f>
        <v>#DIV/0!</v>
      </c>
      <c r="BS176" t="e">
        <f t="shared" ca="1" si="85"/>
        <v>#DIV/0!</v>
      </c>
      <c r="BT176" t="s">
        <v>35</v>
      </c>
      <c r="BU176" t="e">
        <f ca="1">AVERAGEIFS(INDIRECT($J$3),INDIRECT($J$3),"&gt;=0",Data!$B:$B,BT176,IF($A$20,Data!$J:$J,Data!#REF!),IF($A$20,"&lt;&gt;5",1))</f>
        <v>#DIV/0!</v>
      </c>
      <c r="BV176" t="e">
        <f t="shared" ca="1" si="86"/>
        <v>#DIV/0!</v>
      </c>
    </row>
    <row r="177" spans="10:74" x14ac:dyDescent="0.35">
      <c r="J177">
        <f t="shared" si="87"/>
        <v>169</v>
      </c>
      <c r="K177" t="s">
        <v>61</v>
      </c>
      <c r="L177" t="e">
        <f ca="1">AVERAGEIFS(INDIRECT($B$3),INDIRECT($B$3),"&gt;=0",Data!$B:$B,$K177)</f>
        <v>#DIV/0!</v>
      </c>
      <c r="M177" t="e">
        <f t="shared" ca="1" si="88"/>
        <v>#DIV/0!</v>
      </c>
      <c r="N177" t="s">
        <v>49</v>
      </c>
      <c r="O177" t="e">
        <f ca="1">AVERAGEIFS(INDIRECT($C$3),INDIRECT($C$3),"&gt;=0",Data!$B:$B,$N177)</f>
        <v>#DIV/0!</v>
      </c>
      <c r="P177" t="e">
        <f t="shared" ca="1" si="61"/>
        <v>#DIV/0!</v>
      </c>
      <c r="Q177" t="s">
        <v>199</v>
      </c>
      <c r="R177" t="e">
        <f ca="1">AVERAGEIFS(INDIRECT($D$3),INDIRECT($D$3),"&gt;=0",Data!$B:$B,$Q177)</f>
        <v>#DIV/0!</v>
      </c>
      <c r="S177" t="e">
        <f t="shared" ca="1" si="62"/>
        <v>#DIV/0!</v>
      </c>
      <c r="T177" t="s">
        <v>109</v>
      </c>
      <c r="U177" t="e">
        <f ca="1">AVERAGEIFS(INDIRECT($E$3),INDIRECT($E$3),"&gt;=0",Data!$B:$B,$T177)</f>
        <v>#DIV/0!</v>
      </c>
      <c r="V177" t="e">
        <f t="shared" ca="1" si="63"/>
        <v>#DIV/0!</v>
      </c>
      <c r="W177" t="s">
        <v>91</v>
      </c>
      <c r="X177">
        <f ca="1">AVERAGEIFS(INDIRECT($F$3),INDIRECT($F$3),"&gt;=0",Data!$B:$B,$W177)</f>
        <v>0</v>
      </c>
      <c r="Y177">
        <f t="shared" ca="1" si="64"/>
        <v>169</v>
      </c>
      <c r="Z177" t="s">
        <v>189</v>
      </c>
      <c r="AA177" t="e">
        <f ca="1">AVERAGEIFS(INDIRECT($G$3),INDIRECT($G$3),"&gt;=0",Data!$B:$B,$Z177)</f>
        <v>#DIV/0!</v>
      </c>
      <c r="AB177" t="e">
        <f t="shared" ca="1" si="65"/>
        <v>#DIV/0!</v>
      </c>
      <c r="AC177" t="s">
        <v>60</v>
      </c>
      <c r="AD177">
        <f ca="1">AVERAGEIFS(INDIRECT($H$3),INDIRECT($H$3),"&gt;=0",Data!$B:$B,$AC177)</f>
        <v>1</v>
      </c>
      <c r="AE177" t="e">
        <f t="shared" ca="1" si="66"/>
        <v>#DIV/0!</v>
      </c>
      <c r="AF177" t="s">
        <v>169</v>
      </c>
      <c r="AG177" t="e">
        <f ca="1">AVERAGEIFS(INDIRECT($I$3),INDIRECT($I$3),"&gt;=0",Data!$B:$B,$AF177)</f>
        <v>#DIV/0!</v>
      </c>
      <c r="AH177" t="e">
        <f t="shared" ca="1" si="67"/>
        <v>#DIV/0!</v>
      </c>
      <c r="AI177" t="s">
        <v>6</v>
      </c>
      <c r="AJ177" t="e">
        <f ca="1">AVERAGEIFS(INDIRECT($J$3),INDIRECT($J$3),"&gt;=0",Data!$B:$B,$AI177)</f>
        <v>#DIV/0!</v>
      </c>
      <c r="AK177" t="e">
        <f t="shared" ca="1" si="68"/>
        <v>#DIV/0!</v>
      </c>
      <c r="AL177" t="str">
        <f t="shared" ca="1" si="69"/>
        <v>-</v>
      </c>
      <c r="AM177" t="str">
        <f t="shared" ca="1" si="70"/>
        <v>-</v>
      </c>
      <c r="AN177" t="str">
        <f t="shared" ca="1" si="71"/>
        <v>-</v>
      </c>
      <c r="AO177" t="str">
        <f t="shared" ca="1" si="72"/>
        <v>-</v>
      </c>
      <c r="AP177" t="str">
        <f t="shared" ca="1" si="73"/>
        <v>-</v>
      </c>
      <c r="AQ177" t="str">
        <f t="shared" ca="1" si="74"/>
        <v>-</v>
      </c>
      <c r="AR177" t="str">
        <f t="shared" ca="1" si="75"/>
        <v>-</v>
      </c>
      <c r="AS177" t="str">
        <f t="shared" ca="1" si="76"/>
        <v>-</v>
      </c>
      <c r="AT177" t="str">
        <f t="shared" ca="1" si="77"/>
        <v>-</v>
      </c>
      <c r="AU177">
        <f t="shared" si="89"/>
        <v>169</v>
      </c>
      <c r="AV177" t="s">
        <v>51</v>
      </c>
      <c r="AW177" s="20" t="e">
        <f ca="1">AVERAGEIFS(INDIRECT($B$3),INDIRECT($B$3),"&gt;=0",Data!$B:$B,AV177,IF($A$20,Data!$J:$J,Data!#REF!),IF($A$20,"&lt;&gt;5",1))</f>
        <v>#DIV/0!</v>
      </c>
      <c r="AX177" t="e">
        <f t="shared" ca="1" si="78"/>
        <v>#DIV/0!</v>
      </c>
      <c r="AY177" s="20" t="s">
        <v>136</v>
      </c>
      <c r="AZ177" t="e">
        <f ca="1">AVERAGEIFS(INDIRECT($C$3),INDIRECT($C$3),"&gt;=0",Data!$B:$B,AY177,IF($A$20,Data!$J:$J,Data!#REF!),IF($A$20,"&lt;&gt;5",1))</f>
        <v>#DIV/0!</v>
      </c>
      <c r="BA177" s="20" t="e">
        <f t="shared" ca="1" si="79"/>
        <v>#DIV/0!</v>
      </c>
      <c r="BB177" t="s">
        <v>95</v>
      </c>
      <c r="BC177" s="20" t="e">
        <f ca="1">AVERAGEIFS(INDIRECT($D$3),INDIRECT($D$3),"&gt;=0",Data!$B:$B,BB177,IF($A$20,Data!$J:$J,Data!#REF!),IF($A$20,"&lt;&gt;5",1))</f>
        <v>#DIV/0!</v>
      </c>
      <c r="BD177" t="e">
        <f t="shared" ca="1" si="80"/>
        <v>#DIV/0!</v>
      </c>
      <c r="BE177" s="20" t="s">
        <v>179</v>
      </c>
      <c r="BF177" t="e">
        <f ca="1">AVERAGEIFS(INDIRECT($E$3),INDIRECT($E$3),"&gt;=0",Data!$B:$B,BE177,IF($A$20,Data!$J:$J,Data!#REF!),IF($A$20,"&lt;&gt;5",1))</f>
        <v>#DIV/0!</v>
      </c>
      <c r="BG177" s="20" t="e">
        <f t="shared" ca="1" si="81"/>
        <v>#DIV/0!</v>
      </c>
      <c r="BH177" t="s">
        <v>113</v>
      </c>
      <c r="BI177" s="20" t="e">
        <f ca="1">AVERAGEIFS(INDIRECT($F$3),INDIRECT($F$3),"&gt;=0",Data!$B:$B,BH177,IF($A$20,Data!$J:$J,Data!#REF!),IF($A$20,"&lt;&gt;5",1))</f>
        <v>#DIV/0!</v>
      </c>
      <c r="BJ177" t="e">
        <f t="shared" ca="1" si="82"/>
        <v>#DIV/0!</v>
      </c>
      <c r="BK177" s="20" t="s">
        <v>158</v>
      </c>
      <c r="BL177" t="e">
        <f ca="1">AVERAGEIFS(INDIRECT($G$3),INDIRECT($G$3),"&gt;=0",Data!$B:$B,BK177,IF($A$20,Data!$J:$J,Data!#REF!),IF($A$20,"&lt;&gt;5",1))</f>
        <v>#DIV/0!</v>
      </c>
      <c r="BM177" s="20" t="e">
        <f t="shared" ca="1" si="83"/>
        <v>#DIV/0!</v>
      </c>
      <c r="BN177" t="s">
        <v>21</v>
      </c>
      <c r="BO177" t="e">
        <f ca="1">AVERAGEIFS(INDIRECT($H$3),INDIRECT($H$3),"&gt;=0",Data!$B:$B,BN177,IF($A$20,Data!$J:$J,Data!#REF!),IF($A$20,"&lt;&gt;5",1))</f>
        <v>#DIV/0!</v>
      </c>
      <c r="BP177" t="e">
        <f t="shared" ca="1" si="84"/>
        <v>#DIV/0!</v>
      </c>
      <c r="BQ177" t="s">
        <v>88</v>
      </c>
      <c r="BR177" t="e">
        <f ca="1">AVERAGEIFS(INDIRECT($I$3),INDIRECT($I$3),"&gt;=0",Data!$B:$B,BQ177,IF($A$20,Data!$J:$J,Data!#REF!),IF($A$20,"&lt;&gt;5",1))</f>
        <v>#DIV/0!</v>
      </c>
      <c r="BS177" t="e">
        <f t="shared" ca="1" si="85"/>
        <v>#DIV/0!</v>
      </c>
      <c r="BT177" t="s">
        <v>11</v>
      </c>
      <c r="BU177">
        <f ca="1">AVERAGEIFS(INDIRECT($J$3),INDIRECT($J$3),"&gt;=0",Data!$B:$B,BT177,IF($A$20,Data!$J:$J,Data!#REF!),IF($A$20,"&lt;&gt;5",1))</f>
        <v>0.22222222222222221</v>
      </c>
      <c r="BV177" t="e">
        <f t="shared" ca="1" si="86"/>
        <v>#DIV/0!</v>
      </c>
    </row>
    <row r="178" spans="10:74" x14ac:dyDescent="0.35">
      <c r="J178">
        <f t="shared" si="87"/>
        <v>170</v>
      </c>
      <c r="K178" t="s">
        <v>73</v>
      </c>
      <c r="L178" t="e">
        <f ca="1">AVERAGEIFS(INDIRECT($B$3),INDIRECT($B$3),"&gt;=0",Data!$B:$B,$K178)</f>
        <v>#DIV/0!</v>
      </c>
      <c r="M178" t="e">
        <f t="shared" ca="1" si="88"/>
        <v>#DIV/0!</v>
      </c>
      <c r="N178" t="s">
        <v>77</v>
      </c>
      <c r="O178" t="e">
        <f ca="1">AVERAGEIFS(INDIRECT($C$3),INDIRECT($C$3),"&gt;=0",Data!$B:$B,$N178)</f>
        <v>#DIV/0!</v>
      </c>
      <c r="P178" t="e">
        <f t="shared" ca="1" si="61"/>
        <v>#DIV/0!</v>
      </c>
      <c r="Q178" t="s">
        <v>65</v>
      </c>
      <c r="R178" t="e">
        <f ca="1">AVERAGEIFS(INDIRECT($D$3),INDIRECT($D$3),"&gt;=0",Data!$B:$B,$Q178)</f>
        <v>#DIV/0!</v>
      </c>
      <c r="S178" t="e">
        <f t="shared" ca="1" si="62"/>
        <v>#DIV/0!</v>
      </c>
      <c r="T178" t="s">
        <v>17</v>
      </c>
      <c r="U178" t="e">
        <f ca="1">AVERAGEIFS(INDIRECT($E$3),INDIRECT($E$3),"&gt;=0",Data!$B:$B,$T178)</f>
        <v>#DIV/0!</v>
      </c>
      <c r="V178" t="e">
        <f t="shared" ca="1" si="63"/>
        <v>#DIV/0!</v>
      </c>
      <c r="W178" t="s">
        <v>117</v>
      </c>
      <c r="X178" t="e">
        <f ca="1">AVERAGEIFS(INDIRECT($F$3),INDIRECT($F$3),"&gt;=0",Data!$B:$B,$W178)</f>
        <v>#DIV/0!</v>
      </c>
      <c r="Y178" t="e">
        <f t="shared" ca="1" si="64"/>
        <v>#DIV/0!</v>
      </c>
      <c r="Z178" t="s">
        <v>14</v>
      </c>
      <c r="AA178">
        <f ca="1">AVERAGEIFS(INDIRECT($G$3),INDIRECT($G$3),"&gt;=0",Data!$B:$B,$Z178)</f>
        <v>0.5</v>
      </c>
      <c r="AB178" t="e">
        <f t="shared" ca="1" si="65"/>
        <v>#DIV/0!</v>
      </c>
      <c r="AC178" t="s">
        <v>5</v>
      </c>
      <c r="AD178" t="e">
        <f ca="1">AVERAGEIFS(INDIRECT($H$3),INDIRECT($H$3),"&gt;=0",Data!$B:$B,$AC178)</f>
        <v>#DIV/0!</v>
      </c>
      <c r="AE178" t="e">
        <f t="shared" ca="1" si="66"/>
        <v>#DIV/0!</v>
      </c>
      <c r="AF178" t="s">
        <v>12</v>
      </c>
      <c r="AG178">
        <f ca="1">AVERAGEIFS(INDIRECT($I$3),INDIRECT($I$3),"&gt;=0",Data!$B:$B,$AF178)</f>
        <v>0.5714285714285714</v>
      </c>
      <c r="AH178" t="e">
        <f t="shared" ca="1" si="67"/>
        <v>#DIV/0!</v>
      </c>
      <c r="AI178" t="s">
        <v>3</v>
      </c>
      <c r="AJ178" t="e">
        <f ca="1">AVERAGEIFS(INDIRECT($J$3),INDIRECT($J$3),"&gt;=0",Data!$B:$B,$AI178)</f>
        <v>#DIV/0!</v>
      </c>
      <c r="AK178" t="e">
        <f t="shared" ca="1" si="68"/>
        <v>#DIV/0!</v>
      </c>
      <c r="AL178" t="str">
        <f t="shared" ca="1" si="69"/>
        <v>-</v>
      </c>
      <c r="AM178" t="str">
        <f t="shared" ca="1" si="70"/>
        <v>-</v>
      </c>
      <c r="AN178" t="str">
        <f t="shared" ca="1" si="71"/>
        <v>-</v>
      </c>
      <c r="AO178" t="str">
        <f t="shared" ca="1" si="72"/>
        <v>-</v>
      </c>
      <c r="AP178" t="str">
        <f t="shared" ca="1" si="73"/>
        <v>-</v>
      </c>
      <c r="AQ178" t="str">
        <f t="shared" ca="1" si="74"/>
        <v>-</v>
      </c>
      <c r="AR178" t="str">
        <f t="shared" ca="1" si="75"/>
        <v>-</v>
      </c>
      <c r="AS178" t="str">
        <f t="shared" ca="1" si="76"/>
        <v>-</v>
      </c>
      <c r="AT178" t="str">
        <f t="shared" ca="1" si="77"/>
        <v>-</v>
      </c>
      <c r="AU178">
        <f t="shared" si="89"/>
        <v>170</v>
      </c>
      <c r="AV178" t="s">
        <v>94</v>
      </c>
      <c r="AW178" s="20" t="e">
        <f ca="1">AVERAGEIFS(INDIRECT($B$3),INDIRECT($B$3),"&gt;=0",Data!$B:$B,AV178,IF($A$20,Data!$J:$J,Data!#REF!),IF($A$20,"&lt;&gt;5",1))</f>
        <v>#DIV/0!</v>
      </c>
      <c r="AX178" t="e">
        <f t="shared" ca="1" si="78"/>
        <v>#DIV/0!</v>
      </c>
      <c r="AY178" s="20" t="s">
        <v>158</v>
      </c>
      <c r="AZ178" t="e">
        <f ca="1">AVERAGEIFS(INDIRECT($C$3),INDIRECT($C$3),"&gt;=0",Data!$B:$B,AY178,IF($A$20,Data!$J:$J,Data!#REF!),IF($A$20,"&lt;&gt;5",1))</f>
        <v>#DIV/0!</v>
      </c>
      <c r="BA178" s="20" t="e">
        <f t="shared" ca="1" si="79"/>
        <v>#DIV/0!</v>
      </c>
      <c r="BB178" t="s">
        <v>185</v>
      </c>
      <c r="BC178" s="20" t="e">
        <f ca="1">AVERAGEIFS(INDIRECT($D$3),INDIRECT($D$3),"&gt;=0",Data!$B:$B,BB178,IF($A$20,Data!$J:$J,Data!#REF!),IF($A$20,"&lt;&gt;5",1))</f>
        <v>#DIV/0!</v>
      </c>
      <c r="BD178" t="e">
        <f t="shared" ca="1" si="80"/>
        <v>#DIV/0!</v>
      </c>
      <c r="BE178" s="20" t="s">
        <v>159</v>
      </c>
      <c r="BF178" t="e">
        <f ca="1">AVERAGEIFS(INDIRECT($E$3),INDIRECT($E$3),"&gt;=0",Data!$B:$B,BE178,IF($A$20,Data!$J:$J,Data!#REF!),IF($A$20,"&lt;&gt;5",1))</f>
        <v>#DIV/0!</v>
      </c>
      <c r="BG178" s="20" t="e">
        <f t="shared" ca="1" si="81"/>
        <v>#DIV/0!</v>
      </c>
      <c r="BH178" t="s">
        <v>82</v>
      </c>
      <c r="BI178" s="20">
        <f ca="1">AVERAGEIFS(INDIRECT($F$3),INDIRECT($F$3),"&gt;=0",Data!$B:$B,BH178,IF($A$20,Data!$J:$J,Data!#REF!),IF($A$20,"&lt;&gt;5",1))</f>
        <v>1</v>
      </c>
      <c r="BJ178" t="e">
        <f t="shared" ca="1" si="82"/>
        <v>#DIV/0!</v>
      </c>
      <c r="BK178" s="20" t="s">
        <v>16</v>
      </c>
      <c r="BL178" t="e">
        <f ca="1">AVERAGEIFS(INDIRECT($G$3),INDIRECT($G$3),"&gt;=0",Data!$B:$B,BK178,IF($A$20,Data!$J:$J,Data!#REF!),IF($A$20,"&lt;&gt;5",1))</f>
        <v>#DIV/0!</v>
      </c>
      <c r="BM178" s="20" t="e">
        <f t="shared" ca="1" si="83"/>
        <v>#DIV/0!</v>
      </c>
      <c r="BN178" t="s">
        <v>112</v>
      </c>
      <c r="BO178" t="e">
        <f ca="1">AVERAGEIFS(INDIRECT($H$3),INDIRECT($H$3),"&gt;=0",Data!$B:$B,BN178,IF($A$20,Data!$J:$J,Data!#REF!),IF($A$20,"&lt;&gt;5",1))</f>
        <v>#DIV/0!</v>
      </c>
      <c r="BP178" t="e">
        <f t="shared" ca="1" si="84"/>
        <v>#DIV/0!</v>
      </c>
      <c r="BQ178" t="s">
        <v>162</v>
      </c>
      <c r="BR178" t="e">
        <f ca="1">AVERAGEIFS(INDIRECT($I$3),INDIRECT($I$3),"&gt;=0",Data!$B:$B,BQ178,IF($A$20,Data!$J:$J,Data!#REF!),IF($A$20,"&lt;&gt;5",1))</f>
        <v>#DIV/0!</v>
      </c>
      <c r="BS178" t="e">
        <f t="shared" ca="1" si="85"/>
        <v>#DIV/0!</v>
      </c>
      <c r="BT178" t="s">
        <v>92</v>
      </c>
      <c r="BU178" t="e">
        <f ca="1">AVERAGEIFS(INDIRECT($J$3),INDIRECT($J$3),"&gt;=0",Data!$B:$B,BT178,IF($A$20,Data!$J:$J,Data!#REF!),IF($A$20,"&lt;&gt;5",1))</f>
        <v>#DIV/0!</v>
      </c>
      <c r="BV178" t="e">
        <f t="shared" ca="1" si="86"/>
        <v>#DIV/0!</v>
      </c>
    </row>
    <row r="179" spans="10:74" x14ac:dyDescent="0.35">
      <c r="J179">
        <f t="shared" si="87"/>
        <v>171</v>
      </c>
      <c r="K179" t="s">
        <v>80</v>
      </c>
      <c r="L179" t="e">
        <f ca="1">AVERAGEIFS(INDIRECT($B$3),INDIRECT($B$3),"&gt;=0",Data!$B:$B,$K179)</f>
        <v>#DIV/0!</v>
      </c>
      <c r="M179" t="e">
        <f t="shared" ca="1" si="88"/>
        <v>#DIV/0!</v>
      </c>
      <c r="N179" t="s">
        <v>42</v>
      </c>
      <c r="O179" t="e">
        <f ca="1">AVERAGEIFS(INDIRECT($C$3),INDIRECT($C$3),"&gt;=0",Data!$B:$B,$N179)</f>
        <v>#DIV/0!</v>
      </c>
      <c r="P179" t="e">
        <f t="shared" ca="1" si="61"/>
        <v>#DIV/0!</v>
      </c>
      <c r="Q179" t="s">
        <v>5</v>
      </c>
      <c r="R179" t="e">
        <f ca="1">AVERAGEIFS(INDIRECT($D$3),INDIRECT($D$3),"&gt;=0",Data!$B:$B,$Q179)</f>
        <v>#DIV/0!</v>
      </c>
      <c r="S179" t="e">
        <f t="shared" ca="1" si="62"/>
        <v>#DIV/0!</v>
      </c>
      <c r="T179" t="s">
        <v>179</v>
      </c>
      <c r="U179" t="e">
        <f ca="1">AVERAGEIFS(INDIRECT($E$3),INDIRECT($E$3),"&gt;=0",Data!$B:$B,$T179)</f>
        <v>#DIV/0!</v>
      </c>
      <c r="V179" t="e">
        <f t="shared" ca="1" si="63"/>
        <v>#DIV/0!</v>
      </c>
      <c r="W179" t="s">
        <v>118</v>
      </c>
      <c r="X179" t="e">
        <f ca="1">AVERAGEIFS(INDIRECT($F$3),INDIRECT($F$3),"&gt;=0",Data!$B:$B,$W179)</f>
        <v>#DIV/0!</v>
      </c>
      <c r="Y179" t="e">
        <f t="shared" ca="1" si="64"/>
        <v>#DIV/0!</v>
      </c>
      <c r="Z179" t="s">
        <v>21</v>
      </c>
      <c r="AA179" t="e">
        <f ca="1">AVERAGEIFS(INDIRECT($G$3),INDIRECT($G$3),"&gt;=0",Data!$B:$B,$Z179)</f>
        <v>#DIV/0!</v>
      </c>
      <c r="AB179" t="e">
        <f t="shared" ca="1" si="65"/>
        <v>#DIV/0!</v>
      </c>
      <c r="AC179" t="s">
        <v>19</v>
      </c>
      <c r="AD179" t="e">
        <f ca="1">AVERAGEIFS(INDIRECT($H$3),INDIRECT($H$3),"&gt;=0",Data!$B:$B,$AC179)</f>
        <v>#DIV/0!</v>
      </c>
      <c r="AE179" t="e">
        <f t="shared" ca="1" si="66"/>
        <v>#DIV/0!</v>
      </c>
      <c r="AF179" t="s">
        <v>44</v>
      </c>
      <c r="AG179">
        <f ca="1">AVERAGEIFS(INDIRECT($I$3),INDIRECT($I$3),"&gt;=0",Data!$B:$B,$AF179)</f>
        <v>0.81818181818181823</v>
      </c>
      <c r="AH179">
        <f t="shared" ca="1" si="67"/>
        <v>171</v>
      </c>
      <c r="AI179" t="s">
        <v>35</v>
      </c>
      <c r="AJ179" t="e">
        <f ca="1">AVERAGEIFS(INDIRECT($J$3),INDIRECT($J$3),"&gt;=0",Data!$B:$B,$AI179)</f>
        <v>#DIV/0!</v>
      </c>
      <c r="AK179" t="e">
        <f t="shared" ca="1" si="68"/>
        <v>#DIV/0!</v>
      </c>
      <c r="AL179" t="str">
        <f t="shared" ca="1" si="69"/>
        <v>-</v>
      </c>
      <c r="AM179" t="str">
        <f t="shared" ca="1" si="70"/>
        <v>-</v>
      </c>
      <c r="AN179" t="str">
        <f t="shared" ca="1" si="71"/>
        <v>-</v>
      </c>
      <c r="AO179" t="str">
        <f t="shared" ca="1" si="72"/>
        <v>-</v>
      </c>
      <c r="AP179" t="str">
        <f t="shared" ca="1" si="73"/>
        <v>-</v>
      </c>
      <c r="AQ179" t="str">
        <f t="shared" ca="1" si="74"/>
        <v>-</v>
      </c>
      <c r="AR179" t="str">
        <f t="shared" ca="1" si="75"/>
        <v>-</v>
      </c>
      <c r="AS179" t="str">
        <f t="shared" ca="1" si="76"/>
        <v>-</v>
      </c>
      <c r="AT179" t="str">
        <f t="shared" ca="1" si="77"/>
        <v>-</v>
      </c>
      <c r="AU179">
        <f t="shared" si="89"/>
        <v>171</v>
      </c>
      <c r="AV179" t="s">
        <v>64</v>
      </c>
      <c r="AW179" s="20" t="e">
        <f ca="1">AVERAGEIFS(INDIRECT($B$3),INDIRECT($B$3),"&gt;=0",Data!$B:$B,AV179,IF($A$20,Data!$J:$J,Data!#REF!),IF($A$20,"&lt;&gt;5",1))</f>
        <v>#DIV/0!</v>
      </c>
      <c r="AX179" t="e">
        <f t="shared" ca="1" si="78"/>
        <v>#DIV/0!</v>
      </c>
      <c r="AY179" s="20" t="s">
        <v>68</v>
      </c>
      <c r="AZ179" t="e">
        <f ca="1">AVERAGEIFS(INDIRECT($C$3),INDIRECT($C$3),"&gt;=0",Data!$B:$B,AY179,IF($A$20,Data!$J:$J,Data!#REF!),IF($A$20,"&lt;&gt;5",1))</f>
        <v>#DIV/0!</v>
      </c>
      <c r="BA179" s="20" t="e">
        <f t="shared" ca="1" si="79"/>
        <v>#DIV/0!</v>
      </c>
      <c r="BB179" t="s">
        <v>5</v>
      </c>
      <c r="BC179" s="20" t="e">
        <f ca="1">AVERAGEIFS(INDIRECT($D$3),INDIRECT($D$3),"&gt;=0",Data!$B:$B,BB179,IF($A$20,Data!$J:$J,Data!#REF!),IF($A$20,"&lt;&gt;5",1))</f>
        <v>#DIV/0!</v>
      </c>
      <c r="BD179" t="e">
        <f t="shared" ca="1" si="80"/>
        <v>#DIV/0!</v>
      </c>
      <c r="BE179" s="20" t="s">
        <v>10</v>
      </c>
      <c r="BF179" t="e">
        <f ca="1">AVERAGEIFS(INDIRECT($E$3),INDIRECT($E$3),"&gt;=0",Data!$B:$B,BE179,IF($A$20,Data!$J:$J,Data!#REF!),IF($A$20,"&lt;&gt;5",1))</f>
        <v>#DIV/0!</v>
      </c>
      <c r="BG179" s="20" t="e">
        <f t="shared" ca="1" si="81"/>
        <v>#DIV/0!</v>
      </c>
      <c r="BH179" t="s">
        <v>49</v>
      </c>
      <c r="BI179" s="20" t="e">
        <f ca="1">AVERAGEIFS(INDIRECT($F$3),INDIRECT($F$3),"&gt;=0",Data!$B:$B,BH179,IF($A$20,Data!$J:$J,Data!#REF!),IF($A$20,"&lt;&gt;5",1))</f>
        <v>#DIV/0!</v>
      </c>
      <c r="BJ179" t="e">
        <f t="shared" ca="1" si="82"/>
        <v>#DIV/0!</v>
      </c>
      <c r="BK179" s="20" t="s">
        <v>195</v>
      </c>
      <c r="BL179" t="e">
        <f ca="1">AVERAGEIFS(INDIRECT($G$3),INDIRECT($G$3),"&gt;=0",Data!$B:$B,BK179,IF($A$20,Data!$J:$J,Data!#REF!),IF($A$20,"&lt;&gt;5",1))</f>
        <v>#DIV/0!</v>
      </c>
      <c r="BM179" s="20" t="e">
        <f t="shared" ca="1" si="83"/>
        <v>#DIV/0!</v>
      </c>
      <c r="BN179" t="s">
        <v>188</v>
      </c>
      <c r="BO179" t="e">
        <f ca="1">AVERAGEIFS(INDIRECT($H$3),INDIRECT($H$3),"&gt;=0",Data!$B:$B,BN179,IF($A$20,Data!$J:$J,Data!#REF!),IF($A$20,"&lt;&gt;5",1))</f>
        <v>#DIV/0!</v>
      </c>
      <c r="BP179" t="e">
        <f t="shared" ca="1" si="84"/>
        <v>#DIV/0!</v>
      </c>
      <c r="BQ179" t="s">
        <v>172</v>
      </c>
      <c r="BR179" t="e">
        <f ca="1">AVERAGEIFS(INDIRECT($I$3),INDIRECT($I$3),"&gt;=0",Data!$B:$B,BQ179,IF($A$20,Data!$J:$J,Data!#REF!),IF($A$20,"&lt;&gt;5",1))</f>
        <v>#DIV/0!</v>
      </c>
      <c r="BS179" t="e">
        <f t="shared" ca="1" si="85"/>
        <v>#DIV/0!</v>
      </c>
      <c r="BT179" t="s">
        <v>173</v>
      </c>
      <c r="BU179" t="e">
        <f ca="1">AVERAGEIFS(INDIRECT($J$3),INDIRECT($J$3),"&gt;=0",Data!$B:$B,BT179,IF($A$20,Data!$J:$J,Data!#REF!),IF($A$20,"&lt;&gt;5",1))</f>
        <v>#DIV/0!</v>
      </c>
      <c r="BV179" t="e">
        <f t="shared" ca="1" si="86"/>
        <v>#DIV/0!</v>
      </c>
    </row>
    <row r="180" spans="10:74" x14ac:dyDescent="0.35">
      <c r="J180">
        <f t="shared" si="87"/>
        <v>172</v>
      </c>
      <c r="K180" t="s">
        <v>94</v>
      </c>
      <c r="L180" t="e">
        <f ca="1">AVERAGEIFS(INDIRECT($B$3),INDIRECT($B$3),"&gt;=0",Data!$B:$B,$K180)</f>
        <v>#DIV/0!</v>
      </c>
      <c r="M180" t="e">
        <f t="shared" ca="1" si="88"/>
        <v>#DIV/0!</v>
      </c>
      <c r="N180" t="s">
        <v>118</v>
      </c>
      <c r="O180" t="e">
        <f ca="1">AVERAGEIFS(INDIRECT($C$3),INDIRECT($C$3),"&gt;=0",Data!$B:$B,$N180)</f>
        <v>#DIV/0!</v>
      </c>
      <c r="P180" t="e">
        <f t="shared" ca="1" si="61"/>
        <v>#DIV/0!</v>
      </c>
      <c r="Q180" t="s">
        <v>13</v>
      </c>
      <c r="R180" t="e">
        <f ca="1">AVERAGEIFS(INDIRECT($D$3),INDIRECT($D$3),"&gt;=0",Data!$B:$B,$Q180)</f>
        <v>#DIV/0!</v>
      </c>
      <c r="S180" t="e">
        <f t="shared" ca="1" si="62"/>
        <v>#DIV/0!</v>
      </c>
      <c r="T180" t="s">
        <v>10</v>
      </c>
      <c r="U180" t="e">
        <f ca="1">AVERAGEIFS(INDIRECT($E$3),INDIRECT($E$3),"&gt;=0",Data!$B:$B,$T180)</f>
        <v>#DIV/0!</v>
      </c>
      <c r="V180" t="e">
        <f t="shared" ca="1" si="63"/>
        <v>#DIV/0!</v>
      </c>
      <c r="W180" t="s">
        <v>47</v>
      </c>
      <c r="X180">
        <f ca="1">AVERAGEIFS(INDIRECT($F$3),INDIRECT($F$3),"&gt;=0",Data!$B:$B,$W180)</f>
        <v>0</v>
      </c>
      <c r="Y180" t="e">
        <f t="shared" ca="1" si="64"/>
        <v>#DIV/0!</v>
      </c>
      <c r="Z180" t="s">
        <v>4</v>
      </c>
      <c r="AA180" t="e">
        <f ca="1">AVERAGEIFS(INDIRECT($G$3),INDIRECT($G$3),"&gt;=0",Data!$B:$B,$Z180)</f>
        <v>#DIV/0!</v>
      </c>
      <c r="AB180" t="e">
        <f t="shared" ca="1" si="65"/>
        <v>#DIV/0!</v>
      </c>
      <c r="AC180" t="s">
        <v>73</v>
      </c>
      <c r="AD180" t="e">
        <f ca="1">AVERAGEIFS(INDIRECT($H$3),INDIRECT($H$3),"&gt;=0",Data!$B:$B,$AC180)</f>
        <v>#DIV/0!</v>
      </c>
      <c r="AE180" t="e">
        <f t="shared" ca="1" si="66"/>
        <v>#DIV/0!</v>
      </c>
      <c r="AF180" t="s">
        <v>14</v>
      </c>
      <c r="AG180">
        <f ca="1">AVERAGEIFS(INDIRECT($I$3),INDIRECT($I$3),"&gt;=0",Data!$B:$B,$AF180)</f>
        <v>0.56000000000000005</v>
      </c>
      <c r="AH180">
        <f t="shared" ca="1" si="67"/>
        <v>172</v>
      </c>
      <c r="AI180" t="s">
        <v>11</v>
      </c>
      <c r="AJ180">
        <f ca="1">AVERAGEIFS(INDIRECT($J$3),INDIRECT($J$3),"&gt;=0",Data!$B:$B,$AI180)</f>
        <v>0.19047619047619047</v>
      </c>
      <c r="AK180" t="e">
        <f t="shared" ca="1" si="68"/>
        <v>#DIV/0!</v>
      </c>
      <c r="AL180" t="str">
        <f t="shared" ca="1" si="69"/>
        <v>-</v>
      </c>
      <c r="AM180" t="str">
        <f t="shared" ca="1" si="70"/>
        <v>-</v>
      </c>
      <c r="AN180" t="str">
        <f t="shared" ca="1" si="71"/>
        <v>-</v>
      </c>
      <c r="AO180" t="str">
        <f t="shared" ca="1" si="72"/>
        <v>-</v>
      </c>
      <c r="AP180" t="str">
        <f t="shared" ca="1" si="73"/>
        <v>-</v>
      </c>
      <c r="AQ180" t="str">
        <f t="shared" ca="1" si="74"/>
        <v>-</v>
      </c>
      <c r="AR180" t="str">
        <f t="shared" ca="1" si="75"/>
        <v>-</v>
      </c>
      <c r="AS180" t="str">
        <f t="shared" ca="1" si="76"/>
        <v>-</v>
      </c>
      <c r="AT180" t="str">
        <f t="shared" ca="1" si="77"/>
        <v>-</v>
      </c>
      <c r="AU180">
        <f t="shared" si="89"/>
        <v>172</v>
      </c>
      <c r="AV180" t="s">
        <v>115</v>
      </c>
      <c r="AW180" s="20" t="e">
        <f ca="1">AVERAGEIFS(INDIRECT($B$3),INDIRECT($B$3),"&gt;=0",Data!$B:$B,AV180,IF($A$20,Data!$J:$J,Data!#REF!),IF($A$20,"&lt;&gt;5",1))</f>
        <v>#DIV/0!</v>
      </c>
      <c r="AX180" t="e">
        <f t="shared" ca="1" si="78"/>
        <v>#DIV/0!</v>
      </c>
      <c r="AY180" s="20" t="s">
        <v>182</v>
      </c>
      <c r="AZ180" t="e">
        <f ca="1">AVERAGEIFS(INDIRECT($C$3),INDIRECT($C$3),"&gt;=0",Data!$B:$B,AY180,IF($A$20,Data!$J:$J,Data!#REF!),IF($A$20,"&lt;&gt;5",1))</f>
        <v>#DIV/0!</v>
      </c>
      <c r="BA180" s="20" t="e">
        <f t="shared" ca="1" si="79"/>
        <v>#DIV/0!</v>
      </c>
      <c r="BB180" t="s">
        <v>49</v>
      </c>
      <c r="BC180" s="20" t="e">
        <f ca="1">AVERAGEIFS(INDIRECT($D$3),INDIRECT($D$3),"&gt;=0",Data!$B:$B,BB180,IF($A$20,Data!$J:$J,Data!#REF!),IF($A$20,"&lt;&gt;5",1))</f>
        <v>#DIV/0!</v>
      </c>
      <c r="BD180" t="e">
        <f t="shared" ca="1" si="80"/>
        <v>#DIV/0!</v>
      </c>
      <c r="BE180" s="20" t="s">
        <v>13</v>
      </c>
      <c r="BF180" t="e">
        <f ca="1">AVERAGEIFS(INDIRECT($E$3),INDIRECT($E$3),"&gt;=0",Data!$B:$B,BE180,IF($A$20,Data!$J:$J,Data!#REF!),IF($A$20,"&lt;&gt;5",1))</f>
        <v>#DIV/0!</v>
      </c>
      <c r="BG180" s="20" t="e">
        <f t="shared" ca="1" si="81"/>
        <v>#DIV/0!</v>
      </c>
      <c r="BH180" t="s">
        <v>99</v>
      </c>
      <c r="BI180" s="20" t="e">
        <f ca="1">AVERAGEIFS(INDIRECT($F$3),INDIRECT($F$3),"&gt;=0",Data!$B:$B,BH180,IF($A$20,Data!$J:$J,Data!#REF!),IF($A$20,"&lt;&gt;5",1))</f>
        <v>#DIV/0!</v>
      </c>
      <c r="BJ180" t="e">
        <f t="shared" ca="1" si="82"/>
        <v>#DIV/0!</v>
      </c>
      <c r="BK180" s="20" t="s">
        <v>169</v>
      </c>
      <c r="BL180" t="e">
        <f ca="1">AVERAGEIFS(INDIRECT($G$3),INDIRECT($G$3),"&gt;=0",Data!$B:$B,BK180,IF($A$20,Data!$J:$J,Data!#REF!),IF($A$20,"&lt;&gt;5",1))</f>
        <v>#DIV/0!</v>
      </c>
      <c r="BM180" s="20" t="e">
        <f t="shared" ca="1" si="83"/>
        <v>#DIV/0!</v>
      </c>
      <c r="BN180" t="s">
        <v>193</v>
      </c>
      <c r="BO180" t="e">
        <f ca="1">AVERAGEIFS(INDIRECT($H$3),INDIRECT($H$3),"&gt;=0",Data!$B:$B,BN180,IF($A$20,Data!$J:$J,Data!#REF!),IF($A$20,"&lt;&gt;5",1))</f>
        <v>#DIV/0!</v>
      </c>
      <c r="BP180" t="e">
        <f t="shared" ca="1" si="84"/>
        <v>#DIV/0!</v>
      </c>
      <c r="BQ180" t="s">
        <v>56</v>
      </c>
      <c r="BR180">
        <f ca="1">AVERAGEIFS(INDIRECT($I$3),INDIRECT($I$3),"&gt;=0",Data!$B:$B,BQ180,IF($A$20,Data!$J:$J,Data!#REF!),IF($A$20,"&lt;&gt;5",1))</f>
        <v>0.27777777777777779</v>
      </c>
      <c r="BS180" t="e">
        <f t="shared" ca="1" si="85"/>
        <v>#DIV/0!</v>
      </c>
      <c r="BT180" t="s">
        <v>25</v>
      </c>
      <c r="BU180" t="e">
        <f ca="1">AVERAGEIFS(INDIRECT($J$3),INDIRECT($J$3),"&gt;=0",Data!$B:$B,BT180,IF($A$20,Data!$J:$J,Data!#REF!),IF($A$20,"&lt;&gt;5",1))</f>
        <v>#DIV/0!</v>
      </c>
      <c r="BV180" t="e">
        <f t="shared" ca="1" si="86"/>
        <v>#DIV/0!</v>
      </c>
    </row>
    <row r="181" spans="10:74" x14ac:dyDescent="0.35">
      <c r="J181">
        <f t="shared" si="87"/>
        <v>173</v>
      </c>
      <c r="K181" t="s">
        <v>111</v>
      </c>
      <c r="L181" t="e">
        <f ca="1">AVERAGEIFS(INDIRECT($B$3),INDIRECT($B$3),"&gt;=0",Data!$B:$B,$K181)</f>
        <v>#DIV/0!</v>
      </c>
      <c r="M181" t="e">
        <f t="shared" ca="1" si="88"/>
        <v>#DIV/0!</v>
      </c>
      <c r="N181" t="s">
        <v>177</v>
      </c>
      <c r="O181" t="e">
        <f ca="1">AVERAGEIFS(INDIRECT($C$3),INDIRECT($C$3),"&gt;=0",Data!$B:$B,$N181)</f>
        <v>#DIV/0!</v>
      </c>
      <c r="P181" t="e">
        <f t="shared" ca="1" si="61"/>
        <v>#DIV/0!</v>
      </c>
      <c r="Q181" t="s">
        <v>47</v>
      </c>
      <c r="R181" t="e">
        <f ca="1">AVERAGEIFS(INDIRECT($D$3),INDIRECT($D$3),"&gt;=0",Data!$B:$B,$Q181)</f>
        <v>#DIV/0!</v>
      </c>
      <c r="S181" t="e">
        <f t="shared" ca="1" si="62"/>
        <v>#DIV/0!</v>
      </c>
      <c r="T181" t="s">
        <v>13</v>
      </c>
      <c r="U181" t="e">
        <f ca="1">AVERAGEIFS(INDIRECT($E$3),INDIRECT($E$3),"&gt;=0",Data!$B:$B,$T181)</f>
        <v>#DIV/0!</v>
      </c>
      <c r="V181" t="e">
        <f t="shared" ca="1" si="63"/>
        <v>#DIV/0!</v>
      </c>
      <c r="W181" t="s">
        <v>59</v>
      </c>
      <c r="X181" t="e">
        <f ca="1">AVERAGEIFS(INDIRECT($F$3),INDIRECT($F$3),"&gt;=0",Data!$B:$B,$W181)</f>
        <v>#DIV/0!</v>
      </c>
      <c r="Y181" t="e">
        <f t="shared" ca="1" si="64"/>
        <v>#DIV/0!</v>
      </c>
      <c r="Z181" t="s">
        <v>28</v>
      </c>
      <c r="AA181" t="e">
        <f ca="1">AVERAGEIFS(INDIRECT($G$3),INDIRECT($G$3),"&gt;=0",Data!$B:$B,$Z181)</f>
        <v>#DIV/0!</v>
      </c>
      <c r="AB181" t="e">
        <f t="shared" ca="1" si="65"/>
        <v>#DIV/0!</v>
      </c>
      <c r="AC181" t="s">
        <v>177</v>
      </c>
      <c r="AD181" t="e">
        <f ca="1">AVERAGEIFS(INDIRECT($H$3),INDIRECT($H$3),"&gt;=0",Data!$B:$B,$AC181)</f>
        <v>#DIV/0!</v>
      </c>
      <c r="AE181" t="e">
        <f t="shared" ca="1" si="66"/>
        <v>#DIV/0!</v>
      </c>
      <c r="AF181" t="s">
        <v>87</v>
      </c>
      <c r="AG181">
        <f ca="1">AVERAGEIFS(INDIRECT($I$3),INDIRECT($I$3),"&gt;=0",Data!$B:$B,$AF181)</f>
        <v>0.58333333333333337</v>
      </c>
      <c r="AH181">
        <f t="shared" ca="1" si="67"/>
        <v>173</v>
      </c>
      <c r="AI181" t="s">
        <v>141</v>
      </c>
      <c r="AJ181" t="e">
        <f ca="1">AVERAGEIFS(INDIRECT($J$3),INDIRECT($J$3),"&gt;=0",Data!$B:$B,$AI181)</f>
        <v>#DIV/0!</v>
      </c>
      <c r="AK181" t="e">
        <f t="shared" ca="1" si="68"/>
        <v>#DIV/0!</v>
      </c>
      <c r="AL181" t="str">
        <f t="shared" ca="1" si="69"/>
        <v>-</v>
      </c>
      <c r="AM181" t="str">
        <f t="shared" ca="1" si="70"/>
        <v>-</v>
      </c>
      <c r="AN181" t="str">
        <f t="shared" ca="1" si="71"/>
        <v>-</v>
      </c>
      <c r="AO181" t="str">
        <f t="shared" ca="1" si="72"/>
        <v>-</v>
      </c>
      <c r="AP181" t="str">
        <f t="shared" ca="1" si="73"/>
        <v>-</v>
      </c>
      <c r="AQ181" t="str">
        <f t="shared" ca="1" si="74"/>
        <v>-</v>
      </c>
      <c r="AR181" t="str">
        <f t="shared" ca="1" si="75"/>
        <v>-</v>
      </c>
      <c r="AS181" t="str">
        <f t="shared" ca="1" si="76"/>
        <v>-</v>
      </c>
      <c r="AT181" t="str">
        <f t="shared" ca="1" si="77"/>
        <v>-</v>
      </c>
      <c r="AU181">
        <f t="shared" si="89"/>
        <v>173</v>
      </c>
      <c r="AV181" t="s">
        <v>154</v>
      </c>
      <c r="AW181" s="20" t="e">
        <f ca="1">AVERAGEIFS(INDIRECT($B$3),INDIRECT($B$3),"&gt;=0",Data!$B:$B,AV181,IF($A$20,Data!$J:$J,Data!#REF!),IF($A$20,"&lt;&gt;5",1))</f>
        <v>#DIV/0!</v>
      </c>
      <c r="AX181" t="e">
        <f t="shared" ca="1" si="78"/>
        <v>#DIV/0!</v>
      </c>
      <c r="AY181" s="20" t="s">
        <v>187</v>
      </c>
      <c r="AZ181" t="e">
        <f ca="1">AVERAGEIFS(INDIRECT($C$3),INDIRECT($C$3),"&gt;=0",Data!$B:$B,AY181,IF($A$20,Data!$J:$J,Data!#REF!),IF($A$20,"&lt;&gt;5",1))</f>
        <v>#DIV/0!</v>
      </c>
      <c r="BA181" s="20" t="e">
        <f t="shared" ca="1" si="79"/>
        <v>#DIV/0!</v>
      </c>
      <c r="BB181" t="s">
        <v>20</v>
      </c>
      <c r="BC181" s="20" t="e">
        <f ca="1">AVERAGEIFS(INDIRECT($D$3),INDIRECT($D$3),"&gt;=0",Data!$B:$B,BB181,IF($A$20,Data!$J:$J,Data!#REF!),IF($A$20,"&lt;&gt;5",1))</f>
        <v>#DIV/0!</v>
      </c>
      <c r="BD181" t="e">
        <f t="shared" ca="1" si="80"/>
        <v>#DIV/0!</v>
      </c>
      <c r="BE181" s="20" t="s">
        <v>19</v>
      </c>
      <c r="BF181" t="e">
        <f ca="1">AVERAGEIFS(INDIRECT($E$3),INDIRECT($E$3),"&gt;=0",Data!$B:$B,BE181,IF($A$20,Data!$J:$J,Data!#REF!),IF($A$20,"&lt;&gt;5",1))</f>
        <v>#DIV/0!</v>
      </c>
      <c r="BG181" s="20" t="e">
        <f t="shared" ca="1" si="81"/>
        <v>#DIV/0!</v>
      </c>
      <c r="BH181" t="s">
        <v>59</v>
      </c>
      <c r="BI181" s="20" t="e">
        <f ca="1">AVERAGEIFS(INDIRECT($F$3),INDIRECT($F$3),"&gt;=0",Data!$B:$B,BH181,IF($A$20,Data!$J:$J,Data!#REF!),IF($A$20,"&lt;&gt;5",1))</f>
        <v>#DIV/0!</v>
      </c>
      <c r="BJ181" t="e">
        <f t="shared" ca="1" si="82"/>
        <v>#DIV/0!</v>
      </c>
      <c r="BK181" s="20" t="s">
        <v>8</v>
      </c>
      <c r="BL181" t="e">
        <f ca="1">AVERAGEIFS(INDIRECT($G$3),INDIRECT($G$3),"&gt;=0",Data!$B:$B,BK181,IF($A$20,Data!$J:$J,Data!#REF!),IF($A$20,"&lt;&gt;5",1))</f>
        <v>#DIV/0!</v>
      </c>
      <c r="BM181" s="20" t="e">
        <f t="shared" ca="1" si="83"/>
        <v>#DIV/0!</v>
      </c>
      <c r="BN181" t="s">
        <v>149</v>
      </c>
      <c r="BO181" t="e">
        <f ca="1">AVERAGEIFS(INDIRECT($H$3),INDIRECT($H$3),"&gt;=0",Data!$B:$B,BN181,IF($A$20,Data!$J:$J,Data!#REF!),IF($A$20,"&lt;&gt;5",1))</f>
        <v>#DIV/0!</v>
      </c>
      <c r="BP181" t="e">
        <f t="shared" ca="1" si="84"/>
        <v>#DIV/0!</v>
      </c>
      <c r="BQ181" t="s">
        <v>142</v>
      </c>
      <c r="BR181" t="e">
        <f ca="1">AVERAGEIFS(INDIRECT($I$3),INDIRECT($I$3),"&gt;=0",Data!$B:$B,BQ181,IF($A$20,Data!$J:$J,Data!#REF!),IF($A$20,"&lt;&gt;5",1))</f>
        <v>#DIV/0!</v>
      </c>
      <c r="BS181" t="e">
        <f t="shared" ca="1" si="85"/>
        <v>#DIV/0!</v>
      </c>
      <c r="BT181" t="s">
        <v>18</v>
      </c>
      <c r="BU181" t="e">
        <f ca="1">AVERAGEIFS(INDIRECT($J$3),INDIRECT($J$3),"&gt;=0",Data!$B:$B,BT181,IF($A$20,Data!$J:$J,Data!#REF!),IF($A$20,"&lt;&gt;5",1))</f>
        <v>#DIV/0!</v>
      </c>
      <c r="BV181" t="e">
        <f t="shared" ca="1" si="86"/>
        <v>#DIV/0!</v>
      </c>
    </row>
    <row r="182" spans="10:74" x14ac:dyDescent="0.35">
      <c r="J182">
        <f t="shared" si="87"/>
        <v>174</v>
      </c>
      <c r="K182" t="s">
        <v>149</v>
      </c>
      <c r="L182" t="e">
        <f ca="1">AVERAGEIFS(INDIRECT($B$3),INDIRECT($B$3),"&gt;=0",Data!$B:$B,$K182)</f>
        <v>#DIV/0!</v>
      </c>
      <c r="M182" t="e">
        <f t="shared" ca="1" si="88"/>
        <v>#DIV/0!</v>
      </c>
      <c r="N182" t="s">
        <v>13</v>
      </c>
      <c r="O182" t="e">
        <f ca="1">AVERAGEIFS(INDIRECT($C$3),INDIRECT($C$3),"&gt;=0",Data!$B:$B,$N182)</f>
        <v>#DIV/0!</v>
      </c>
      <c r="P182" t="e">
        <f t="shared" ca="1" si="61"/>
        <v>#DIV/0!</v>
      </c>
      <c r="Q182" t="s">
        <v>49</v>
      </c>
      <c r="R182" t="e">
        <f ca="1">AVERAGEIFS(INDIRECT($D$3),INDIRECT($D$3),"&gt;=0",Data!$B:$B,$Q182)</f>
        <v>#DIV/0!</v>
      </c>
      <c r="S182" t="e">
        <f t="shared" ca="1" si="62"/>
        <v>#DIV/0!</v>
      </c>
      <c r="T182" t="s">
        <v>15</v>
      </c>
      <c r="U182" t="e">
        <f ca="1">AVERAGEIFS(INDIRECT($E$3),INDIRECT($E$3),"&gt;=0",Data!$B:$B,$T182)</f>
        <v>#DIV/0!</v>
      </c>
      <c r="V182" t="e">
        <f t="shared" ca="1" si="63"/>
        <v>#DIV/0!</v>
      </c>
      <c r="W182" t="s">
        <v>106</v>
      </c>
      <c r="X182">
        <f ca="1">AVERAGEIFS(INDIRECT($F$3),INDIRECT($F$3),"&gt;=0",Data!$B:$B,$W182)</f>
        <v>0</v>
      </c>
      <c r="Y182" t="e">
        <f t="shared" ca="1" si="64"/>
        <v>#DIV/0!</v>
      </c>
      <c r="Z182" t="s">
        <v>79</v>
      </c>
      <c r="AA182" t="e">
        <f ca="1">AVERAGEIFS(INDIRECT($G$3),INDIRECT($G$3),"&gt;=0",Data!$B:$B,$Z182)</f>
        <v>#DIV/0!</v>
      </c>
      <c r="AB182" t="e">
        <f t="shared" ca="1" si="65"/>
        <v>#DIV/0!</v>
      </c>
      <c r="AC182" t="s">
        <v>190</v>
      </c>
      <c r="AD182" t="e">
        <f ca="1">AVERAGEIFS(INDIRECT($H$3),INDIRECT($H$3),"&gt;=0",Data!$B:$B,$AC182)</f>
        <v>#DIV/0!</v>
      </c>
      <c r="AE182" t="e">
        <f t="shared" ca="1" si="66"/>
        <v>#DIV/0!</v>
      </c>
      <c r="AF182" t="s">
        <v>18</v>
      </c>
      <c r="AG182" t="e">
        <f ca="1">AVERAGEIFS(INDIRECT($I$3),INDIRECT($I$3),"&gt;=0",Data!$B:$B,$AF182)</f>
        <v>#DIV/0!</v>
      </c>
      <c r="AH182" t="e">
        <f t="shared" ca="1" si="67"/>
        <v>#DIV/0!</v>
      </c>
      <c r="AI182" t="s">
        <v>92</v>
      </c>
      <c r="AJ182" t="e">
        <f ca="1">AVERAGEIFS(INDIRECT($J$3),INDIRECT($J$3),"&gt;=0",Data!$B:$B,$AI182)</f>
        <v>#DIV/0!</v>
      </c>
      <c r="AK182" t="e">
        <f t="shared" ca="1" si="68"/>
        <v>#DIV/0!</v>
      </c>
      <c r="AL182" t="str">
        <f t="shared" ca="1" si="69"/>
        <v>-</v>
      </c>
      <c r="AM182" t="str">
        <f t="shared" ca="1" si="70"/>
        <v>-</v>
      </c>
      <c r="AN182" t="str">
        <f t="shared" ca="1" si="71"/>
        <v>-</v>
      </c>
      <c r="AO182" t="str">
        <f t="shared" ca="1" si="72"/>
        <v>-</v>
      </c>
      <c r="AP182" t="str">
        <f t="shared" ca="1" si="73"/>
        <v>-</v>
      </c>
      <c r="AQ182" t="str">
        <f t="shared" ca="1" si="74"/>
        <v>-</v>
      </c>
      <c r="AR182" t="str">
        <f t="shared" ca="1" si="75"/>
        <v>-</v>
      </c>
      <c r="AS182" t="str">
        <f t="shared" ca="1" si="76"/>
        <v>-</v>
      </c>
      <c r="AT182" t="str">
        <f t="shared" ca="1" si="77"/>
        <v>-</v>
      </c>
      <c r="AU182">
        <f t="shared" si="89"/>
        <v>174</v>
      </c>
      <c r="AV182" t="s">
        <v>2</v>
      </c>
      <c r="AW182" s="20" t="e">
        <f ca="1">AVERAGEIFS(INDIRECT($B$3),INDIRECT($B$3),"&gt;=0",Data!$B:$B,AV182,IF($A$20,Data!$J:$J,Data!#REF!),IF($A$20,"&lt;&gt;5",1))</f>
        <v>#DIV/0!</v>
      </c>
      <c r="AX182" t="e">
        <f t="shared" ca="1" si="78"/>
        <v>#DIV/0!</v>
      </c>
      <c r="AY182" s="20" t="s">
        <v>78</v>
      </c>
      <c r="AZ182" t="e">
        <f ca="1">AVERAGEIFS(INDIRECT($C$3),INDIRECT($C$3),"&gt;=0",Data!$B:$B,AY182,IF($A$20,Data!$J:$J,Data!#REF!),IF($A$20,"&lt;&gt;5",1))</f>
        <v>#DIV/0!</v>
      </c>
      <c r="BA182" s="20" t="e">
        <f t="shared" ca="1" si="79"/>
        <v>#DIV/0!</v>
      </c>
      <c r="BB182" t="s">
        <v>36</v>
      </c>
      <c r="BC182" s="20" t="e">
        <f ca="1">AVERAGEIFS(INDIRECT($D$3),INDIRECT($D$3),"&gt;=0",Data!$B:$B,BB182,IF($A$20,Data!$J:$J,Data!#REF!),IF($A$20,"&lt;&gt;5",1))</f>
        <v>#DIV/0!</v>
      </c>
      <c r="BD182" t="e">
        <f t="shared" ca="1" si="80"/>
        <v>#DIV/0!</v>
      </c>
      <c r="BE182" s="20" t="s">
        <v>37</v>
      </c>
      <c r="BF182" t="e">
        <f ca="1">AVERAGEIFS(INDIRECT($E$3),INDIRECT($E$3),"&gt;=0",Data!$B:$B,BE182,IF($A$20,Data!$J:$J,Data!#REF!),IF($A$20,"&lt;&gt;5",1))</f>
        <v>#DIV/0!</v>
      </c>
      <c r="BG182" s="20" t="e">
        <f t="shared" ca="1" si="81"/>
        <v>#DIV/0!</v>
      </c>
      <c r="BH182" t="s">
        <v>117</v>
      </c>
      <c r="BI182" s="20" t="e">
        <f ca="1">AVERAGEIFS(INDIRECT($F$3),INDIRECT($F$3),"&gt;=0",Data!$B:$B,BH182,IF($A$20,Data!$J:$J,Data!#REF!),IF($A$20,"&lt;&gt;5",1))</f>
        <v>#DIV/0!</v>
      </c>
      <c r="BJ182" t="e">
        <f t="shared" ca="1" si="82"/>
        <v>#DIV/0!</v>
      </c>
      <c r="BK182" s="20" t="s">
        <v>113</v>
      </c>
      <c r="BL182" t="e">
        <f ca="1">AVERAGEIFS(INDIRECT($G$3),INDIRECT($G$3),"&gt;=0",Data!$B:$B,BK182,IF($A$20,Data!$J:$J,Data!#REF!),IF($A$20,"&lt;&gt;5",1))</f>
        <v>#DIV/0!</v>
      </c>
      <c r="BM182" s="20" t="e">
        <f t="shared" ca="1" si="83"/>
        <v>#DIV/0!</v>
      </c>
      <c r="BN182" t="s">
        <v>5</v>
      </c>
      <c r="BO182" t="e">
        <f ca="1">AVERAGEIFS(INDIRECT($H$3),INDIRECT($H$3),"&gt;=0",Data!$B:$B,BN182,IF($A$20,Data!$J:$J,Data!#REF!),IF($A$20,"&lt;&gt;5",1))</f>
        <v>#DIV/0!</v>
      </c>
      <c r="BP182" t="e">
        <f t="shared" ca="1" si="84"/>
        <v>#DIV/0!</v>
      </c>
      <c r="BQ182" t="s">
        <v>18</v>
      </c>
      <c r="BR182" t="e">
        <f ca="1">AVERAGEIFS(INDIRECT($I$3),INDIRECT($I$3),"&gt;=0",Data!$B:$B,BQ182,IF($A$20,Data!$J:$J,Data!#REF!),IF($A$20,"&lt;&gt;5",1))</f>
        <v>#DIV/0!</v>
      </c>
      <c r="BS182" t="e">
        <f t="shared" ca="1" si="85"/>
        <v>#DIV/0!</v>
      </c>
      <c r="BT182" t="s">
        <v>156</v>
      </c>
      <c r="BU182" t="e">
        <f ca="1">AVERAGEIFS(INDIRECT($J$3),INDIRECT($J$3),"&gt;=0",Data!$B:$B,BT182,IF($A$20,Data!$J:$J,Data!#REF!),IF($A$20,"&lt;&gt;5",1))</f>
        <v>#DIV/0!</v>
      </c>
      <c r="BV182" t="e">
        <f t="shared" ca="1" si="86"/>
        <v>#DIV/0!</v>
      </c>
    </row>
    <row r="183" spans="10:74" x14ac:dyDescent="0.35">
      <c r="J183">
        <f t="shared" si="87"/>
        <v>175</v>
      </c>
      <c r="K183" t="s">
        <v>154</v>
      </c>
      <c r="L183" t="e">
        <f ca="1">AVERAGEIFS(INDIRECT($B$3),INDIRECT($B$3),"&gt;=0",Data!$B:$B,$K183)</f>
        <v>#DIV/0!</v>
      </c>
      <c r="M183" t="e">
        <f t="shared" ca="1" si="88"/>
        <v>#DIV/0!</v>
      </c>
      <c r="N183" t="s">
        <v>198</v>
      </c>
      <c r="O183" t="e">
        <f ca="1">AVERAGEIFS(INDIRECT($C$3),INDIRECT($C$3),"&gt;=0",Data!$B:$B,$N183)</f>
        <v>#DIV/0!</v>
      </c>
      <c r="P183" t="e">
        <f t="shared" ca="1" si="61"/>
        <v>#DIV/0!</v>
      </c>
      <c r="Q183" t="s">
        <v>93</v>
      </c>
      <c r="R183" t="e">
        <f ca="1">AVERAGEIFS(INDIRECT($D$3),INDIRECT($D$3),"&gt;=0",Data!$B:$B,$Q183)</f>
        <v>#DIV/0!</v>
      </c>
      <c r="S183" t="e">
        <f t="shared" ca="1" si="62"/>
        <v>#DIV/0!</v>
      </c>
      <c r="T183" t="s">
        <v>19</v>
      </c>
      <c r="U183" t="e">
        <f ca="1">AVERAGEIFS(INDIRECT($E$3),INDIRECT($E$3),"&gt;=0",Data!$B:$B,$T183)</f>
        <v>#DIV/0!</v>
      </c>
      <c r="V183" t="e">
        <f t="shared" ca="1" si="63"/>
        <v>#DIV/0!</v>
      </c>
      <c r="W183" t="s">
        <v>4</v>
      </c>
      <c r="X183" t="e">
        <f ca="1">AVERAGEIFS(INDIRECT($F$3),INDIRECT($F$3),"&gt;=0",Data!$B:$B,$W183)</f>
        <v>#DIV/0!</v>
      </c>
      <c r="Y183" t="e">
        <f t="shared" ca="1" si="64"/>
        <v>#DIV/0!</v>
      </c>
      <c r="Z183" t="s">
        <v>162</v>
      </c>
      <c r="AA183" t="e">
        <f ca="1">AVERAGEIFS(INDIRECT($G$3),INDIRECT($G$3),"&gt;=0",Data!$B:$B,$Z183)</f>
        <v>#DIV/0!</v>
      </c>
      <c r="AB183" t="e">
        <f t="shared" ca="1" si="65"/>
        <v>#DIV/0!</v>
      </c>
      <c r="AC183" t="s">
        <v>188</v>
      </c>
      <c r="AD183" t="e">
        <f ca="1">AVERAGEIFS(INDIRECT($H$3),INDIRECT($H$3),"&gt;=0",Data!$B:$B,$AC183)</f>
        <v>#DIV/0!</v>
      </c>
      <c r="AE183" t="e">
        <f t="shared" ca="1" si="66"/>
        <v>#DIV/0!</v>
      </c>
      <c r="AF183" t="s">
        <v>24</v>
      </c>
      <c r="AG183" t="e">
        <f ca="1">AVERAGEIFS(INDIRECT($I$3),INDIRECT($I$3),"&gt;=0",Data!$B:$B,$AF183)</f>
        <v>#DIV/0!</v>
      </c>
      <c r="AH183" t="e">
        <f t="shared" ca="1" si="67"/>
        <v>#DIV/0!</v>
      </c>
      <c r="AI183" t="s">
        <v>173</v>
      </c>
      <c r="AJ183" t="e">
        <f ca="1">AVERAGEIFS(INDIRECT($J$3),INDIRECT($J$3),"&gt;=0",Data!$B:$B,$AI183)</f>
        <v>#DIV/0!</v>
      </c>
      <c r="AK183" t="e">
        <f t="shared" ca="1" si="68"/>
        <v>#DIV/0!</v>
      </c>
      <c r="AL183" t="str">
        <f t="shared" ca="1" si="69"/>
        <v>-</v>
      </c>
      <c r="AM183" t="str">
        <f t="shared" ca="1" si="70"/>
        <v>-</v>
      </c>
      <c r="AN183" t="str">
        <f t="shared" ca="1" si="71"/>
        <v>-</v>
      </c>
      <c r="AO183" t="str">
        <f t="shared" ca="1" si="72"/>
        <v>-</v>
      </c>
      <c r="AP183" t="str">
        <f t="shared" ca="1" si="73"/>
        <v>-</v>
      </c>
      <c r="AQ183" t="str">
        <f t="shared" ca="1" si="74"/>
        <v>-</v>
      </c>
      <c r="AR183" t="str">
        <f t="shared" ca="1" si="75"/>
        <v>-</v>
      </c>
      <c r="AS183" t="str">
        <f t="shared" ca="1" si="76"/>
        <v>-</v>
      </c>
      <c r="AT183" t="str">
        <f t="shared" ca="1" si="77"/>
        <v>-</v>
      </c>
      <c r="AU183">
        <f t="shared" si="89"/>
        <v>175</v>
      </c>
      <c r="AV183" t="s">
        <v>183</v>
      </c>
      <c r="AW183" s="20" t="e">
        <f ca="1">AVERAGEIFS(INDIRECT($B$3),INDIRECT($B$3),"&gt;=0",Data!$B:$B,AV183,IF($A$20,Data!$J:$J,Data!#REF!),IF($A$20,"&lt;&gt;5",1))</f>
        <v>#DIV/0!</v>
      </c>
      <c r="AX183" t="e">
        <f t="shared" ca="1" si="78"/>
        <v>#DIV/0!</v>
      </c>
      <c r="AY183" s="20" t="s">
        <v>87</v>
      </c>
      <c r="AZ183" t="e">
        <f ca="1">AVERAGEIFS(INDIRECT($C$3),INDIRECT($C$3),"&gt;=0",Data!$B:$B,AY183,IF($A$20,Data!$J:$J,Data!#REF!),IF($A$20,"&lt;&gt;5",1))</f>
        <v>#DIV/0!</v>
      </c>
      <c r="BA183" s="20" t="e">
        <f t="shared" ca="1" si="79"/>
        <v>#DIV/0!</v>
      </c>
      <c r="BB183" t="s">
        <v>84</v>
      </c>
      <c r="BC183" s="20" t="e">
        <f ca="1">AVERAGEIFS(INDIRECT($D$3),INDIRECT($D$3),"&gt;=0",Data!$B:$B,BB183,IF($A$20,Data!$J:$J,Data!#REF!),IF($A$20,"&lt;&gt;5",1))</f>
        <v>#DIV/0!</v>
      </c>
      <c r="BD183" t="e">
        <f t="shared" ca="1" si="80"/>
        <v>#DIV/0!</v>
      </c>
      <c r="BE183" s="20" t="s">
        <v>42</v>
      </c>
      <c r="BF183" t="e">
        <f ca="1">AVERAGEIFS(INDIRECT($E$3),INDIRECT($E$3),"&gt;=0",Data!$B:$B,BE183,IF($A$20,Data!$J:$J,Data!#REF!),IF($A$20,"&lt;&gt;5",1))</f>
        <v>#DIV/0!</v>
      </c>
      <c r="BG183" s="20" t="e">
        <f t="shared" ca="1" si="81"/>
        <v>#DIV/0!</v>
      </c>
      <c r="BH183" t="s">
        <v>122</v>
      </c>
      <c r="BI183" s="20" t="e">
        <f ca="1">AVERAGEIFS(INDIRECT($F$3),INDIRECT($F$3),"&gt;=0",Data!$B:$B,BH183,IF($A$20,Data!$J:$J,Data!#REF!),IF($A$20,"&lt;&gt;5",1))</f>
        <v>#DIV/0!</v>
      </c>
      <c r="BJ183" t="e">
        <f t="shared" ca="1" si="82"/>
        <v>#DIV/0!</v>
      </c>
      <c r="BK183" s="20" t="s">
        <v>172</v>
      </c>
      <c r="BL183" t="e">
        <f ca="1">AVERAGEIFS(INDIRECT($G$3),INDIRECT($G$3),"&gt;=0",Data!$B:$B,BK183,IF($A$20,Data!$J:$J,Data!#REF!),IF($A$20,"&lt;&gt;5",1))</f>
        <v>#DIV/0!</v>
      </c>
      <c r="BM183" s="20" t="e">
        <f t="shared" ca="1" si="83"/>
        <v>#DIV/0!</v>
      </c>
      <c r="BN183" t="s">
        <v>19</v>
      </c>
      <c r="BO183" t="e">
        <f ca="1">AVERAGEIFS(INDIRECT($H$3),INDIRECT($H$3),"&gt;=0",Data!$B:$B,BN183,IF($A$20,Data!$J:$J,Data!#REF!),IF($A$20,"&lt;&gt;5",1))</f>
        <v>#DIV/0!</v>
      </c>
      <c r="BP183" t="e">
        <f t="shared" ca="1" si="84"/>
        <v>#DIV/0!</v>
      </c>
      <c r="BQ183" t="s">
        <v>47</v>
      </c>
      <c r="BR183">
        <f ca="1">AVERAGEIFS(INDIRECT($I$3),INDIRECT($I$3),"&gt;=0",Data!$B:$B,BQ183,IF($A$20,Data!$J:$J,Data!#REF!),IF($A$20,"&lt;&gt;5",1))</f>
        <v>0.30769230769230771</v>
      </c>
      <c r="BS183" t="e">
        <f t="shared" ca="1" si="85"/>
        <v>#DIV/0!</v>
      </c>
      <c r="BT183" t="s">
        <v>148</v>
      </c>
      <c r="BU183" t="e">
        <f ca="1">AVERAGEIFS(INDIRECT($J$3),INDIRECT($J$3),"&gt;=0",Data!$B:$B,BT183,IF($A$20,Data!$J:$J,Data!#REF!),IF($A$20,"&lt;&gt;5",1))</f>
        <v>#DIV/0!</v>
      </c>
      <c r="BV183" t="e">
        <f t="shared" ca="1" si="86"/>
        <v>#DIV/0!</v>
      </c>
    </row>
    <row r="184" spans="10:74" x14ac:dyDescent="0.35">
      <c r="J184">
        <f t="shared" si="87"/>
        <v>176</v>
      </c>
      <c r="K184" t="s">
        <v>161</v>
      </c>
      <c r="L184" t="e">
        <f ca="1">AVERAGEIFS(INDIRECT($B$3),INDIRECT($B$3),"&gt;=0",Data!$B:$B,$K184)</f>
        <v>#DIV/0!</v>
      </c>
      <c r="M184" t="e">
        <f t="shared" ca="1" si="88"/>
        <v>#DIV/0!</v>
      </c>
      <c r="N184" t="s">
        <v>113</v>
      </c>
      <c r="O184" t="e">
        <f ca="1">AVERAGEIFS(INDIRECT($C$3),INDIRECT($C$3),"&gt;=0",Data!$B:$B,$N184)</f>
        <v>#DIV/0!</v>
      </c>
      <c r="P184" t="e">
        <f t="shared" ca="1" si="61"/>
        <v>#DIV/0!</v>
      </c>
      <c r="Q184" t="s">
        <v>113</v>
      </c>
      <c r="R184" t="e">
        <f ca="1">AVERAGEIFS(INDIRECT($D$3),INDIRECT($D$3),"&gt;=0",Data!$B:$B,$Q184)</f>
        <v>#DIV/0!</v>
      </c>
      <c r="S184" t="e">
        <f t="shared" ca="1" si="62"/>
        <v>#DIV/0!</v>
      </c>
      <c r="T184" t="s">
        <v>31</v>
      </c>
      <c r="U184" t="e">
        <f ca="1">AVERAGEIFS(INDIRECT($E$3),INDIRECT($E$3),"&gt;=0",Data!$B:$B,$T184)</f>
        <v>#DIV/0!</v>
      </c>
      <c r="V184" t="e">
        <f t="shared" ca="1" si="63"/>
        <v>#DIV/0!</v>
      </c>
      <c r="W184" t="s">
        <v>49</v>
      </c>
      <c r="X184" t="e">
        <f ca="1">AVERAGEIFS(INDIRECT($F$3),INDIRECT($F$3),"&gt;=0",Data!$B:$B,$W184)</f>
        <v>#DIV/0!</v>
      </c>
      <c r="Y184" t="e">
        <f t="shared" ca="1" si="64"/>
        <v>#DIV/0!</v>
      </c>
      <c r="Z184" t="s">
        <v>169</v>
      </c>
      <c r="AA184" t="e">
        <f ca="1">AVERAGEIFS(INDIRECT($G$3),INDIRECT($G$3),"&gt;=0",Data!$B:$B,$Z184)</f>
        <v>#DIV/0!</v>
      </c>
      <c r="AB184" t="e">
        <f t="shared" ca="1" si="65"/>
        <v>#DIV/0!</v>
      </c>
      <c r="AC184" t="s">
        <v>112</v>
      </c>
      <c r="AD184" t="e">
        <f ca="1">AVERAGEIFS(INDIRECT($H$3),INDIRECT($H$3),"&gt;=0",Data!$B:$B,$AC184)</f>
        <v>#DIV/0!</v>
      </c>
      <c r="AE184" t="e">
        <f t="shared" ca="1" si="66"/>
        <v>#DIV/0!</v>
      </c>
      <c r="AF184" t="s">
        <v>40</v>
      </c>
      <c r="AG184" t="e">
        <f ca="1">AVERAGEIFS(INDIRECT($I$3),INDIRECT($I$3),"&gt;=0",Data!$B:$B,$AF184)</f>
        <v>#DIV/0!</v>
      </c>
      <c r="AH184" t="e">
        <f t="shared" ca="1" si="67"/>
        <v>#DIV/0!</v>
      </c>
      <c r="AI184" t="s">
        <v>18</v>
      </c>
      <c r="AJ184" t="e">
        <f ca="1">AVERAGEIFS(INDIRECT($J$3),INDIRECT($J$3),"&gt;=0",Data!$B:$B,$AI184)</f>
        <v>#DIV/0!</v>
      </c>
      <c r="AK184" t="e">
        <f t="shared" ca="1" si="68"/>
        <v>#DIV/0!</v>
      </c>
      <c r="AL184" t="str">
        <f t="shared" ca="1" si="69"/>
        <v>-</v>
      </c>
      <c r="AM184" t="str">
        <f t="shared" ca="1" si="70"/>
        <v>-</v>
      </c>
      <c r="AN184" t="str">
        <f t="shared" ca="1" si="71"/>
        <v>-</v>
      </c>
      <c r="AO184" t="str">
        <f t="shared" ca="1" si="72"/>
        <v>-</v>
      </c>
      <c r="AP184" t="str">
        <f t="shared" ca="1" si="73"/>
        <v>-</v>
      </c>
      <c r="AQ184" t="str">
        <f t="shared" ca="1" si="74"/>
        <v>-</v>
      </c>
      <c r="AR184" t="str">
        <f t="shared" ca="1" si="75"/>
        <v>-</v>
      </c>
      <c r="AS184" t="str">
        <f t="shared" ca="1" si="76"/>
        <v>-</v>
      </c>
      <c r="AT184" t="str">
        <f t="shared" ca="1" si="77"/>
        <v>-</v>
      </c>
      <c r="AU184">
        <f t="shared" si="89"/>
        <v>176</v>
      </c>
      <c r="AV184" t="s">
        <v>22</v>
      </c>
      <c r="AW184" s="20" t="e">
        <f ca="1">AVERAGEIFS(INDIRECT($B$3),INDIRECT($B$3),"&gt;=0",Data!$B:$B,AV184,IF($A$20,Data!$J:$J,Data!#REF!),IF($A$20,"&lt;&gt;5",1))</f>
        <v>#DIV/0!</v>
      </c>
      <c r="AX184" t="e">
        <f t="shared" ca="1" si="78"/>
        <v>#DIV/0!</v>
      </c>
      <c r="AY184" s="20" t="s">
        <v>133</v>
      </c>
      <c r="AZ184" t="e">
        <f ca="1">AVERAGEIFS(INDIRECT($C$3),INDIRECT($C$3),"&gt;=0",Data!$B:$B,AY184,IF($A$20,Data!$J:$J,Data!#REF!),IF($A$20,"&lt;&gt;5",1))</f>
        <v>#DIV/0!</v>
      </c>
      <c r="BA184" s="20" t="e">
        <f t="shared" ca="1" si="79"/>
        <v>#DIV/0!</v>
      </c>
      <c r="BB184" t="s">
        <v>149</v>
      </c>
      <c r="BC184" s="20" t="e">
        <f ca="1">AVERAGEIFS(INDIRECT($D$3),INDIRECT($D$3),"&gt;=0",Data!$B:$B,BB184,IF($A$20,Data!$J:$J,Data!#REF!),IF($A$20,"&lt;&gt;5",1))</f>
        <v>#DIV/0!</v>
      </c>
      <c r="BD184" t="e">
        <f t="shared" ca="1" si="80"/>
        <v>#DIV/0!</v>
      </c>
      <c r="BE184" s="20" t="s">
        <v>66</v>
      </c>
      <c r="BF184" t="e">
        <f ca="1">AVERAGEIFS(INDIRECT($E$3),INDIRECT($E$3),"&gt;=0",Data!$B:$B,BE184,IF($A$20,Data!$J:$J,Data!#REF!),IF($A$20,"&lt;&gt;5",1))</f>
        <v>#DIV/0!</v>
      </c>
      <c r="BG184" s="20" t="e">
        <f t="shared" ca="1" si="81"/>
        <v>#DIV/0!</v>
      </c>
      <c r="BH184" t="s">
        <v>47</v>
      </c>
      <c r="BI184" s="20">
        <f ca="1">AVERAGEIFS(INDIRECT($F$3),INDIRECT($F$3),"&gt;=0",Data!$B:$B,BH184,IF($A$20,Data!$J:$J,Data!#REF!),IF($A$20,"&lt;&gt;5",1))</f>
        <v>0</v>
      </c>
      <c r="BJ184" t="e">
        <f t="shared" ca="1" si="82"/>
        <v>#DIV/0!</v>
      </c>
      <c r="BK184" s="20" t="s">
        <v>43</v>
      </c>
      <c r="BL184" t="e">
        <f ca="1">AVERAGEIFS(INDIRECT($G$3),INDIRECT($G$3),"&gt;=0",Data!$B:$B,BK184,IF($A$20,Data!$J:$J,Data!#REF!),IF($A$20,"&lt;&gt;5",1))</f>
        <v>#DIV/0!</v>
      </c>
      <c r="BM184" s="20" t="e">
        <f t="shared" ca="1" si="83"/>
        <v>#DIV/0!</v>
      </c>
      <c r="BN184" t="s">
        <v>177</v>
      </c>
      <c r="BO184" t="e">
        <f ca="1">AVERAGEIFS(INDIRECT($H$3),INDIRECT($H$3),"&gt;=0",Data!$B:$B,BN184,IF($A$20,Data!$J:$J,Data!#REF!),IF($A$20,"&lt;&gt;5",1))</f>
        <v>#DIV/0!</v>
      </c>
      <c r="BP184" t="e">
        <f t="shared" ca="1" si="84"/>
        <v>#DIV/0!</v>
      </c>
      <c r="BQ184" t="s">
        <v>114</v>
      </c>
      <c r="BR184" t="e">
        <f ca="1">AVERAGEIFS(INDIRECT($I$3),INDIRECT($I$3),"&gt;=0",Data!$B:$B,BQ184,IF($A$20,Data!$J:$J,Data!#REF!),IF($A$20,"&lt;&gt;5",1))</f>
        <v>#DIV/0!</v>
      </c>
      <c r="BS184" t="e">
        <f t="shared" ca="1" si="85"/>
        <v>#DIV/0!</v>
      </c>
      <c r="BT184" t="s">
        <v>52</v>
      </c>
      <c r="BU184" t="e">
        <f ca="1">AVERAGEIFS(INDIRECT($J$3),INDIRECT($J$3),"&gt;=0",Data!$B:$B,BT184,IF($A$20,Data!$J:$J,Data!#REF!),IF($A$20,"&lt;&gt;5",1))</f>
        <v>#DIV/0!</v>
      </c>
      <c r="BV184" t="e">
        <f t="shared" ca="1" si="86"/>
        <v>#DIV/0!</v>
      </c>
    </row>
    <row r="185" spans="10:74" x14ac:dyDescent="0.35">
      <c r="J185">
        <f t="shared" si="87"/>
        <v>177</v>
      </c>
      <c r="K185" t="s">
        <v>171</v>
      </c>
      <c r="L185" t="e">
        <f ca="1">AVERAGEIFS(INDIRECT($B$3),INDIRECT($B$3),"&gt;=0",Data!$B:$B,$K185)</f>
        <v>#DIV/0!</v>
      </c>
      <c r="M185" t="e">
        <f t="shared" ca="1" si="88"/>
        <v>#DIV/0!</v>
      </c>
      <c r="N185" t="s">
        <v>27</v>
      </c>
      <c r="O185" t="e">
        <f ca="1">AVERAGEIFS(INDIRECT($C$3),INDIRECT($C$3),"&gt;=0",Data!$B:$B,$N185)</f>
        <v>#DIV/0!</v>
      </c>
      <c r="P185" t="e">
        <f t="shared" ca="1" si="61"/>
        <v>#DIV/0!</v>
      </c>
      <c r="Q185" t="s">
        <v>180</v>
      </c>
      <c r="R185" t="e">
        <f ca="1">AVERAGEIFS(INDIRECT($D$3),INDIRECT($D$3),"&gt;=0",Data!$B:$B,$Q185)</f>
        <v>#DIV/0!</v>
      </c>
      <c r="S185" t="e">
        <f t="shared" ca="1" si="62"/>
        <v>#DIV/0!</v>
      </c>
      <c r="T185" t="s">
        <v>37</v>
      </c>
      <c r="U185" t="e">
        <f ca="1">AVERAGEIFS(INDIRECT($E$3),INDIRECT($E$3),"&gt;=0",Data!$B:$B,$T185)</f>
        <v>#DIV/0!</v>
      </c>
      <c r="V185" t="e">
        <f t="shared" ca="1" si="63"/>
        <v>#DIV/0!</v>
      </c>
      <c r="W185" t="s">
        <v>99</v>
      </c>
      <c r="X185" t="e">
        <f ca="1">AVERAGEIFS(INDIRECT($F$3),INDIRECT($F$3),"&gt;=0",Data!$B:$B,$W185)</f>
        <v>#DIV/0!</v>
      </c>
      <c r="Y185" t="e">
        <f t="shared" ca="1" si="64"/>
        <v>#DIV/0!</v>
      </c>
      <c r="Z185" t="s">
        <v>195</v>
      </c>
      <c r="AA185" t="e">
        <f ca="1">AVERAGEIFS(INDIRECT($G$3),INDIRECT($G$3),"&gt;=0",Data!$B:$B,$Z185)</f>
        <v>#DIV/0!</v>
      </c>
      <c r="AB185" t="e">
        <f t="shared" ca="1" si="65"/>
        <v>#DIV/0!</v>
      </c>
      <c r="AC185" t="s">
        <v>65</v>
      </c>
      <c r="AD185" t="e">
        <f ca="1">AVERAGEIFS(INDIRECT($H$3),INDIRECT($H$3),"&gt;=0",Data!$B:$B,$AC185)</f>
        <v>#DIV/0!</v>
      </c>
      <c r="AE185" t="e">
        <f t="shared" ca="1" si="66"/>
        <v>#DIV/0!</v>
      </c>
      <c r="AF185" t="s">
        <v>88</v>
      </c>
      <c r="AG185" t="e">
        <f ca="1">AVERAGEIFS(INDIRECT($I$3),INDIRECT($I$3),"&gt;=0",Data!$B:$B,$AF185)</f>
        <v>#DIV/0!</v>
      </c>
      <c r="AH185" t="e">
        <f t="shared" ca="1" si="67"/>
        <v>#DIV/0!</v>
      </c>
      <c r="AI185" t="s">
        <v>25</v>
      </c>
      <c r="AJ185" t="e">
        <f ca="1">AVERAGEIFS(INDIRECT($J$3),INDIRECT($J$3),"&gt;=0",Data!$B:$B,$AI185)</f>
        <v>#DIV/0!</v>
      </c>
      <c r="AK185" t="e">
        <f t="shared" ca="1" si="68"/>
        <v>#DIV/0!</v>
      </c>
      <c r="AL185" t="str">
        <f t="shared" ca="1" si="69"/>
        <v>-</v>
      </c>
      <c r="AM185" t="str">
        <f t="shared" ca="1" si="70"/>
        <v>-</v>
      </c>
      <c r="AN185" t="str">
        <f t="shared" ca="1" si="71"/>
        <v>-</v>
      </c>
      <c r="AO185" t="str">
        <f t="shared" ca="1" si="72"/>
        <v>-</v>
      </c>
      <c r="AP185" t="str">
        <f t="shared" ca="1" si="73"/>
        <v>-</v>
      </c>
      <c r="AQ185" t="str">
        <f t="shared" ca="1" si="74"/>
        <v>-</v>
      </c>
      <c r="AR185" t="str">
        <f t="shared" ca="1" si="75"/>
        <v>-</v>
      </c>
      <c r="AS185" t="str">
        <f t="shared" ca="1" si="76"/>
        <v>-</v>
      </c>
      <c r="AT185" t="str">
        <f t="shared" ca="1" si="77"/>
        <v>-</v>
      </c>
      <c r="AU185">
        <f t="shared" si="89"/>
        <v>177</v>
      </c>
      <c r="AV185" t="s">
        <v>7</v>
      </c>
      <c r="AW185" s="20" t="e">
        <f ca="1">AVERAGEIFS(INDIRECT($B$3),INDIRECT($B$3),"&gt;=0",Data!$B:$B,AV185,IF($A$20,Data!$J:$J,Data!#REF!),IF($A$20,"&lt;&gt;5",1))</f>
        <v>#DIV/0!</v>
      </c>
      <c r="AX185" t="e">
        <f t="shared" ca="1" si="78"/>
        <v>#DIV/0!</v>
      </c>
      <c r="AY185" s="20" t="s">
        <v>166</v>
      </c>
      <c r="AZ185" t="e">
        <f ca="1">AVERAGEIFS(INDIRECT($C$3),INDIRECT($C$3),"&gt;=0",Data!$B:$B,AY185,IF($A$20,Data!$J:$J,Data!#REF!),IF($A$20,"&lt;&gt;5",1))</f>
        <v>#DIV/0!</v>
      </c>
      <c r="BA185" s="20" t="e">
        <f t="shared" ca="1" si="79"/>
        <v>#DIV/0!</v>
      </c>
      <c r="BB185" t="s">
        <v>93</v>
      </c>
      <c r="BC185" s="20" t="e">
        <f ca="1">AVERAGEIFS(INDIRECT($D$3),INDIRECT($D$3),"&gt;=0",Data!$B:$B,BB185,IF($A$20,Data!$J:$J,Data!#REF!),IF($A$20,"&lt;&gt;5",1))</f>
        <v>#DIV/0!</v>
      </c>
      <c r="BD185" t="e">
        <f t="shared" ca="1" si="80"/>
        <v>#DIV/0!</v>
      </c>
      <c r="BE185" s="20" t="s">
        <v>68</v>
      </c>
      <c r="BF185" t="e">
        <f ca="1">AVERAGEIFS(INDIRECT($E$3),INDIRECT($E$3),"&gt;=0",Data!$B:$B,BE185,IF($A$20,Data!$J:$J,Data!#REF!),IF($A$20,"&lt;&gt;5",1))</f>
        <v>#DIV/0!</v>
      </c>
      <c r="BG185" s="20" t="e">
        <f t="shared" ca="1" si="81"/>
        <v>#DIV/0!</v>
      </c>
      <c r="BH185" t="s">
        <v>106</v>
      </c>
      <c r="BI185" s="20">
        <f ca="1">AVERAGEIFS(INDIRECT($F$3),INDIRECT($F$3),"&gt;=0",Data!$B:$B,BH185,IF($A$20,Data!$J:$J,Data!#REF!),IF($A$20,"&lt;&gt;5",1))</f>
        <v>0</v>
      </c>
      <c r="BJ185" t="e">
        <f t="shared" ca="1" si="82"/>
        <v>#DIV/0!</v>
      </c>
      <c r="BK185" s="20" t="s">
        <v>59</v>
      </c>
      <c r="BL185" t="e">
        <f ca="1">AVERAGEIFS(INDIRECT($G$3),INDIRECT($G$3),"&gt;=0",Data!$B:$B,BK185,IF($A$20,Data!$J:$J,Data!#REF!),IF($A$20,"&lt;&gt;5",1))</f>
        <v>#DIV/0!</v>
      </c>
      <c r="BM185" s="20" t="e">
        <f t="shared" ca="1" si="83"/>
        <v>#DIV/0!</v>
      </c>
      <c r="BN185" t="s">
        <v>52</v>
      </c>
      <c r="BO185" t="e">
        <f ca="1">AVERAGEIFS(INDIRECT($H$3),INDIRECT($H$3),"&gt;=0",Data!$B:$B,BN185,IF($A$20,Data!$J:$J,Data!#REF!),IF($A$20,"&lt;&gt;5",1))</f>
        <v>#DIV/0!</v>
      </c>
      <c r="BP185" t="e">
        <f t="shared" ca="1" si="84"/>
        <v>#DIV/0!</v>
      </c>
      <c r="BQ185" t="s">
        <v>32</v>
      </c>
      <c r="BR185">
        <f ca="1">AVERAGEIFS(INDIRECT($I$3),INDIRECT($I$3),"&gt;=0",Data!$B:$B,BQ185,IF($A$20,Data!$J:$J,Data!#REF!),IF($A$20,"&lt;&gt;5",1))</f>
        <v>0.57692307692307687</v>
      </c>
      <c r="BS185" t="e">
        <f t="shared" ca="1" si="85"/>
        <v>#DIV/0!</v>
      </c>
      <c r="BT185" t="s">
        <v>125</v>
      </c>
      <c r="BU185" t="e">
        <f ca="1">AVERAGEIFS(INDIRECT($J$3),INDIRECT($J$3),"&gt;=0",Data!$B:$B,BT185,IF($A$20,Data!$J:$J,Data!#REF!),IF($A$20,"&lt;&gt;5",1))</f>
        <v>#DIV/0!</v>
      </c>
      <c r="BV185" t="e">
        <f t="shared" ca="1" si="86"/>
        <v>#DIV/0!</v>
      </c>
    </row>
    <row r="186" spans="10:74" x14ac:dyDescent="0.35">
      <c r="J186">
        <f t="shared" si="87"/>
        <v>178</v>
      </c>
      <c r="K186" t="s">
        <v>185</v>
      </c>
      <c r="L186" t="e">
        <f ca="1">AVERAGEIFS(INDIRECT($B$3),INDIRECT($B$3),"&gt;=0",Data!$B:$B,$K186)</f>
        <v>#DIV/0!</v>
      </c>
      <c r="M186" t="e">
        <f t="shared" ca="1" si="88"/>
        <v>#DIV/0!</v>
      </c>
      <c r="N186" t="s">
        <v>159</v>
      </c>
      <c r="O186" t="e">
        <f ca="1">AVERAGEIFS(INDIRECT($C$3),INDIRECT($C$3),"&gt;=0",Data!$B:$B,$N186)</f>
        <v>#DIV/0!</v>
      </c>
      <c r="P186" t="e">
        <f t="shared" ca="1" si="61"/>
        <v>#DIV/0!</v>
      </c>
      <c r="Q186" t="s">
        <v>198</v>
      </c>
      <c r="R186" t="e">
        <f ca="1">AVERAGEIFS(INDIRECT($D$3),INDIRECT($D$3),"&gt;=0",Data!$B:$B,$Q186)</f>
        <v>#DIV/0!</v>
      </c>
      <c r="S186" t="e">
        <f t="shared" ca="1" si="62"/>
        <v>#DIV/0!</v>
      </c>
      <c r="T186" t="s">
        <v>42</v>
      </c>
      <c r="U186" t="e">
        <f ca="1">AVERAGEIFS(INDIRECT($E$3),INDIRECT($E$3),"&gt;=0",Data!$B:$B,$T186)</f>
        <v>#DIV/0!</v>
      </c>
      <c r="V186" t="e">
        <f t="shared" ca="1" si="63"/>
        <v>#DIV/0!</v>
      </c>
      <c r="W186" t="s">
        <v>122</v>
      </c>
      <c r="X186" t="e">
        <f ca="1">AVERAGEIFS(INDIRECT($F$3),INDIRECT($F$3),"&gt;=0",Data!$B:$B,$W186)</f>
        <v>#DIV/0!</v>
      </c>
      <c r="Y186" t="e">
        <f t="shared" ca="1" si="64"/>
        <v>#DIV/0!</v>
      </c>
      <c r="Z186" t="s">
        <v>8</v>
      </c>
      <c r="AA186" t="e">
        <f ca="1">AVERAGEIFS(INDIRECT($G$3),INDIRECT($G$3),"&gt;=0",Data!$B:$B,$Z186)</f>
        <v>#DIV/0!</v>
      </c>
      <c r="AB186" t="e">
        <f t="shared" ca="1" si="65"/>
        <v>#DIV/0!</v>
      </c>
      <c r="AC186" t="s">
        <v>21</v>
      </c>
      <c r="AD186" t="e">
        <f ca="1">AVERAGEIFS(INDIRECT($H$3),INDIRECT($H$3),"&gt;=0",Data!$B:$B,$AC186)</f>
        <v>#DIV/0!</v>
      </c>
      <c r="AE186" t="e">
        <f t="shared" ca="1" si="66"/>
        <v>#DIV/0!</v>
      </c>
      <c r="AF186" t="s">
        <v>114</v>
      </c>
      <c r="AG186" t="e">
        <f ca="1">AVERAGEIFS(INDIRECT($I$3),INDIRECT($I$3),"&gt;=0",Data!$B:$B,$AF186)</f>
        <v>#DIV/0!</v>
      </c>
      <c r="AH186" t="e">
        <f t="shared" ca="1" si="67"/>
        <v>#DIV/0!</v>
      </c>
      <c r="AI186" t="s">
        <v>156</v>
      </c>
      <c r="AJ186" t="e">
        <f ca="1">AVERAGEIFS(INDIRECT($J$3),INDIRECT($J$3),"&gt;=0",Data!$B:$B,$AI186)</f>
        <v>#DIV/0!</v>
      </c>
      <c r="AK186" t="e">
        <f t="shared" ca="1" si="68"/>
        <v>#DIV/0!</v>
      </c>
      <c r="AL186" t="str">
        <f t="shared" ca="1" si="69"/>
        <v>-</v>
      </c>
      <c r="AM186" t="str">
        <f t="shared" ca="1" si="70"/>
        <v>-</v>
      </c>
      <c r="AN186" t="str">
        <f t="shared" ca="1" si="71"/>
        <v>-</v>
      </c>
      <c r="AO186" t="str">
        <f t="shared" ca="1" si="72"/>
        <v>-</v>
      </c>
      <c r="AP186" t="str">
        <f t="shared" ca="1" si="73"/>
        <v>-</v>
      </c>
      <c r="AQ186" t="str">
        <f t="shared" ca="1" si="74"/>
        <v>-</v>
      </c>
      <c r="AR186" t="str">
        <f t="shared" ca="1" si="75"/>
        <v>-</v>
      </c>
      <c r="AS186" t="str">
        <f t="shared" ca="1" si="76"/>
        <v>-</v>
      </c>
      <c r="AT186" t="str">
        <f t="shared" ca="1" si="77"/>
        <v>-</v>
      </c>
      <c r="AU186">
        <f t="shared" si="89"/>
        <v>178</v>
      </c>
      <c r="AV186" t="s">
        <v>175</v>
      </c>
      <c r="AW186" s="20" t="e">
        <f ca="1">AVERAGEIFS(INDIRECT($B$3),INDIRECT($B$3),"&gt;=0",Data!$B:$B,AV186,IF($A$20,Data!$J:$J,Data!#REF!),IF($A$20,"&lt;&gt;5",1))</f>
        <v>#DIV/0!</v>
      </c>
      <c r="AX186" t="e">
        <f t="shared" ca="1" si="78"/>
        <v>#DIV/0!</v>
      </c>
      <c r="AY186" s="20" t="s">
        <v>175</v>
      </c>
      <c r="AZ186" t="e">
        <f ca="1">AVERAGEIFS(INDIRECT($C$3),INDIRECT($C$3),"&gt;=0",Data!$B:$B,AY186,IF($A$20,Data!$J:$J,Data!#REF!),IF($A$20,"&lt;&gt;5",1))</f>
        <v>#DIV/0!</v>
      </c>
      <c r="BA186" s="20" t="e">
        <f t="shared" ca="1" si="79"/>
        <v>#DIV/0!</v>
      </c>
      <c r="BB186" t="s">
        <v>180</v>
      </c>
      <c r="BC186" s="20" t="e">
        <f ca="1">AVERAGEIFS(INDIRECT($D$3),INDIRECT($D$3),"&gt;=0",Data!$B:$B,BB186,IF($A$20,Data!$J:$J,Data!#REF!),IF($A$20,"&lt;&gt;5",1))</f>
        <v>#DIV/0!</v>
      </c>
      <c r="BD186" t="e">
        <f t="shared" ca="1" si="80"/>
        <v>#DIV/0!</v>
      </c>
      <c r="BE186" s="20" t="s">
        <v>77</v>
      </c>
      <c r="BF186" t="e">
        <f ca="1">AVERAGEIFS(INDIRECT($E$3),INDIRECT($E$3),"&gt;=0",Data!$B:$B,BE186,IF($A$20,Data!$J:$J,Data!#REF!),IF($A$20,"&lt;&gt;5",1))</f>
        <v>#DIV/0!</v>
      </c>
      <c r="BG186" s="20" t="e">
        <f t="shared" ca="1" si="81"/>
        <v>#DIV/0!</v>
      </c>
      <c r="BH186" t="s">
        <v>162</v>
      </c>
      <c r="BI186" s="20" t="e">
        <f ca="1">AVERAGEIFS(INDIRECT($F$3),INDIRECT($F$3),"&gt;=0",Data!$B:$B,BH186,IF($A$20,Data!$J:$J,Data!#REF!),IF($A$20,"&lt;&gt;5",1))</f>
        <v>#DIV/0!</v>
      </c>
      <c r="BJ186" t="e">
        <f t="shared" ca="1" si="82"/>
        <v>#DIV/0!</v>
      </c>
      <c r="BK186" s="20" t="s">
        <v>188</v>
      </c>
      <c r="BL186" t="e">
        <f ca="1">AVERAGEIFS(INDIRECT($G$3),INDIRECT($G$3),"&gt;=0",Data!$B:$B,BK186,IF($A$20,Data!$J:$J,Data!#REF!),IF($A$20,"&lt;&gt;5",1))</f>
        <v>#DIV/0!</v>
      </c>
      <c r="BM186" s="20" t="e">
        <f t="shared" ca="1" si="83"/>
        <v>#DIV/0!</v>
      </c>
      <c r="BN186" t="s">
        <v>75</v>
      </c>
      <c r="BO186" t="e">
        <f ca="1">AVERAGEIFS(INDIRECT($H$3),INDIRECT($H$3),"&gt;=0",Data!$B:$B,BN186,IF($A$20,Data!$J:$J,Data!#REF!),IF($A$20,"&lt;&gt;5",1))</f>
        <v>#DIV/0!</v>
      </c>
      <c r="BP186" t="e">
        <f t="shared" ca="1" si="84"/>
        <v>#DIV/0!</v>
      </c>
      <c r="BQ186" t="s">
        <v>117</v>
      </c>
      <c r="BR186" t="e">
        <f ca="1">AVERAGEIFS(INDIRECT($I$3),INDIRECT($I$3),"&gt;=0",Data!$B:$B,BQ186,IF($A$20,Data!$J:$J,Data!#REF!),IF($A$20,"&lt;&gt;5",1))</f>
        <v>#DIV/0!</v>
      </c>
      <c r="BS186" t="e">
        <f t="shared" ca="1" si="85"/>
        <v>#DIV/0!</v>
      </c>
      <c r="BT186" t="s">
        <v>169</v>
      </c>
      <c r="BU186" t="e">
        <f ca="1">AVERAGEIFS(INDIRECT($J$3),INDIRECT($J$3),"&gt;=0",Data!$B:$B,BT186,IF($A$20,Data!$J:$J,Data!#REF!),IF($A$20,"&lt;&gt;5",1))</f>
        <v>#DIV/0!</v>
      </c>
      <c r="BV186" t="e">
        <f t="shared" ca="1" si="86"/>
        <v>#DIV/0!</v>
      </c>
    </row>
    <row r="187" spans="10:74" x14ac:dyDescent="0.35">
      <c r="J187">
        <f t="shared" si="87"/>
        <v>179</v>
      </c>
      <c r="K187" t="s">
        <v>191</v>
      </c>
      <c r="L187" t="e">
        <f ca="1">AVERAGEIFS(INDIRECT($B$3),INDIRECT($B$3),"&gt;=0",Data!$B:$B,$K187)</f>
        <v>#DIV/0!</v>
      </c>
      <c r="M187" t="e">
        <f t="shared" ca="1" si="88"/>
        <v>#DIV/0!</v>
      </c>
      <c r="N187" t="s">
        <v>178</v>
      </c>
      <c r="O187" t="e">
        <f ca="1">AVERAGEIFS(INDIRECT($C$3),INDIRECT($C$3),"&gt;=0",Data!$B:$B,$N187)</f>
        <v>#DIV/0!</v>
      </c>
      <c r="P187" t="e">
        <f t="shared" ca="1" si="61"/>
        <v>#DIV/0!</v>
      </c>
      <c r="Q187" t="s">
        <v>56</v>
      </c>
      <c r="R187" t="e">
        <f ca="1">AVERAGEIFS(INDIRECT($D$3),INDIRECT($D$3),"&gt;=0",Data!$B:$B,$Q187)</f>
        <v>#DIV/0!</v>
      </c>
      <c r="S187" t="e">
        <f t="shared" ca="1" si="62"/>
        <v>#DIV/0!</v>
      </c>
      <c r="T187" t="s">
        <v>66</v>
      </c>
      <c r="U187" t="e">
        <f ca="1">AVERAGEIFS(INDIRECT($E$3),INDIRECT($E$3),"&gt;=0",Data!$B:$B,$T187)</f>
        <v>#DIV/0!</v>
      </c>
      <c r="V187" t="e">
        <f t="shared" ca="1" si="63"/>
        <v>#DIV/0!</v>
      </c>
      <c r="W187" t="s">
        <v>150</v>
      </c>
      <c r="X187" t="e">
        <f ca="1">AVERAGEIFS(INDIRECT($F$3),INDIRECT($F$3),"&gt;=0",Data!$B:$B,$W187)</f>
        <v>#DIV/0!</v>
      </c>
      <c r="Y187" t="e">
        <f t="shared" ca="1" si="64"/>
        <v>#DIV/0!</v>
      </c>
      <c r="Z187" t="s">
        <v>72</v>
      </c>
      <c r="AA187" t="e">
        <f ca="1">AVERAGEIFS(INDIRECT($G$3),INDIRECT($G$3),"&gt;=0",Data!$B:$B,$Z187)</f>
        <v>#DIV/0!</v>
      </c>
      <c r="AB187" t="e">
        <f t="shared" ca="1" si="65"/>
        <v>#DIV/0!</v>
      </c>
      <c r="AC187" t="s">
        <v>58</v>
      </c>
      <c r="AD187">
        <f ca="1">AVERAGEIFS(INDIRECT($H$3),INDIRECT($H$3),"&gt;=0",Data!$B:$B,$AC187)</f>
        <v>0.8</v>
      </c>
      <c r="AE187" t="e">
        <f t="shared" ca="1" si="66"/>
        <v>#DIV/0!</v>
      </c>
      <c r="AF187" t="s">
        <v>127</v>
      </c>
      <c r="AG187" t="e">
        <f ca="1">AVERAGEIFS(INDIRECT($I$3),INDIRECT($I$3),"&gt;=0",Data!$B:$B,$AF187)</f>
        <v>#DIV/0!</v>
      </c>
      <c r="AH187" t="e">
        <f t="shared" ca="1" si="67"/>
        <v>#DIV/0!</v>
      </c>
      <c r="AI187" t="s">
        <v>148</v>
      </c>
      <c r="AJ187" t="e">
        <f ca="1">AVERAGEIFS(INDIRECT($J$3),INDIRECT($J$3),"&gt;=0",Data!$B:$B,$AI187)</f>
        <v>#DIV/0!</v>
      </c>
      <c r="AK187" t="e">
        <f t="shared" ca="1" si="68"/>
        <v>#DIV/0!</v>
      </c>
      <c r="AL187" t="str">
        <f t="shared" ca="1" si="69"/>
        <v>-</v>
      </c>
      <c r="AM187" t="str">
        <f t="shared" ca="1" si="70"/>
        <v>-</v>
      </c>
      <c r="AN187" t="str">
        <f t="shared" ca="1" si="71"/>
        <v>-</v>
      </c>
      <c r="AO187" t="str">
        <f t="shared" ca="1" si="72"/>
        <v>-</v>
      </c>
      <c r="AP187" t="str">
        <f t="shared" ca="1" si="73"/>
        <v>-</v>
      </c>
      <c r="AQ187" t="str">
        <f t="shared" ca="1" si="74"/>
        <v>-</v>
      </c>
      <c r="AR187" t="str">
        <f t="shared" ca="1" si="75"/>
        <v>-</v>
      </c>
      <c r="AS187" t="str">
        <f t="shared" ca="1" si="76"/>
        <v>-</v>
      </c>
      <c r="AT187" t="str">
        <f t="shared" ca="1" si="77"/>
        <v>-</v>
      </c>
      <c r="AU187">
        <f t="shared" si="89"/>
        <v>179</v>
      </c>
      <c r="AV187" t="s">
        <v>158</v>
      </c>
      <c r="AW187" s="20" t="e">
        <f ca="1">AVERAGEIFS(INDIRECT($B$3),INDIRECT($B$3),"&gt;=0",Data!$B:$B,AV187,IF($A$20,Data!$J:$J,Data!#REF!),IF($A$20,"&lt;&gt;5",1))</f>
        <v>#DIV/0!</v>
      </c>
      <c r="AX187" t="e">
        <f t="shared" ca="1" si="78"/>
        <v>#DIV/0!</v>
      </c>
      <c r="AY187" s="20" t="s">
        <v>92</v>
      </c>
      <c r="AZ187" t="e">
        <f ca="1">AVERAGEIFS(INDIRECT($C$3),INDIRECT($C$3),"&gt;=0",Data!$B:$B,AY187,IF($A$20,Data!$J:$J,Data!#REF!),IF($A$20,"&lt;&gt;5",1))</f>
        <v>#DIV/0!</v>
      </c>
      <c r="BA187" s="20" t="e">
        <f t="shared" ca="1" si="79"/>
        <v>#DIV/0!</v>
      </c>
      <c r="BB187" t="s">
        <v>174</v>
      </c>
      <c r="BC187" s="20" t="e">
        <f ca="1">AVERAGEIFS(INDIRECT($D$3),INDIRECT($D$3),"&gt;=0",Data!$B:$B,BB187,IF($A$20,Data!$J:$J,Data!#REF!),IF($A$20,"&lt;&gt;5",1))</f>
        <v>#DIV/0!</v>
      </c>
      <c r="BD187" t="e">
        <f t="shared" ca="1" si="80"/>
        <v>#DIV/0!</v>
      </c>
      <c r="BE187" s="20" t="s">
        <v>88</v>
      </c>
      <c r="BF187" t="e">
        <f ca="1">AVERAGEIFS(INDIRECT($E$3),INDIRECT($E$3),"&gt;=0",Data!$B:$B,BE187,IF($A$20,Data!$J:$J,Data!#REF!),IF($A$20,"&lt;&gt;5",1))</f>
        <v>#DIV/0!</v>
      </c>
      <c r="BG187" s="20" t="e">
        <f t="shared" ca="1" si="81"/>
        <v>#DIV/0!</v>
      </c>
      <c r="BH187" t="s">
        <v>78</v>
      </c>
      <c r="BI187" s="20">
        <f ca="1">AVERAGEIFS(INDIRECT($F$3),INDIRECT($F$3),"&gt;=0",Data!$B:$B,BH187,IF($A$20,Data!$J:$J,Data!#REF!),IF($A$20,"&lt;&gt;5",1))</f>
        <v>0</v>
      </c>
      <c r="BJ187" t="e">
        <f t="shared" ca="1" si="82"/>
        <v>#DIV/0!</v>
      </c>
      <c r="BK187" s="20" t="s">
        <v>4</v>
      </c>
      <c r="BL187" t="e">
        <f ca="1">AVERAGEIFS(INDIRECT($G$3),INDIRECT($G$3),"&gt;=0",Data!$B:$B,BK187,IF($A$20,Data!$J:$J,Data!#REF!),IF($A$20,"&lt;&gt;5",1))</f>
        <v>#DIV/0!</v>
      </c>
      <c r="BM187" s="20" t="e">
        <f t="shared" ca="1" si="83"/>
        <v>#DIV/0!</v>
      </c>
      <c r="BN187" t="s">
        <v>34</v>
      </c>
      <c r="BO187">
        <f ca="1">AVERAGEIFS(INDIRECT($H$3),INDIRECT($H$3),"&gt;=0",Data!$B:$B,BN187,IF($A$20,Data!$J:$J,Data!#REF!),IF($A$20,"&lt;&gt;5",1))</f>
        <v>1</v>
      </c>
      <c r="BP187" t="e">
        <f t="shared" ca="1" si="84"/>
        <v>#DIV/0!</v>
      </c>
      <c r="BQ187" t="s">
        <v>25</v>
      </c>
      <c r="BR187" t="e">
        <f ca="1">AVERAGEIFS(INDIRECT($I$3),INDIRECT($I$3),"&gt;=0",Data!$B:$B,BQ187,IF($A$20,Data!$J:$J,Data!#REF!),IF($A$20,"&lt;&gt;5",1))</f>
        <v>#DIV/0!</v>
      </c>
      <c r="BS187" t="e">
        <f t="shared" ca="1" si="85"/>
        <v>#DIV/0!</v>
      </c>
      <c r="BT187" t="s">
        <v>8</v>
      </c>
      <c r="BU187" t="e">
        <f ca="1">AVERAGEIFS(INDIRECT($J$3),INDIRECT($J$3),"&gt;=0",Data!$B:$B,BT187,IF($A$20,Data!$J:$J,Data!#REF!),IF($A$20,"&lt;&gt;5",1))</f>
        <v>#DIV/0!</v>
      </c>
      <c r="BV187" t="e">
        <f t="shared" ca="1" si="86"/>
        <v>#DIV/0!</v>
      </c>
    </row>
    <row r="188" spans="10:74" x14ac:dyDescent="0.35">
      <c r="J188">
        <f t="shared" si="87"/>
        <v>180</v>
      </c>
      <c r="K188" t="s">
        <v>51</v>
      </c>
      <c r="L188" t="e">
        <f ca="1">AVERAGEIFS(INDIRECT($B$3),INDIRECT($B$3),"&gt;=0",Data!$B:$B,$K188)</f>
        <v>#DIV/0!</v>
      </c>
      <c r="M188" t="e">
        <f t="shared" ca="1" si="88"/>
        <v>#DIV/0!</v>
      </c>
      <c r="N188" t="s">
        <v>67</v>
      </c>
      <c r="O188" t="e">
        <f ca="1">AVERAGEIFS(INDIRECT($C$3),INDIRECT($C$3),"&gt;=0",Data!$B:$B,$N188)</f>
        <v>#DIV/0!</v>
      </c>
      <c r="P188" t="e">
        <f t="shared" ca="1" si="61"/>
        <v>#DIV/0!</v>
      </c>
      <c r="Q188" t="s">
        <v>20</v>
      </c>
      <c r="R188" t="e">
        <f ca="1">AVERAGEIFS(INDIRECT($D$3),INDIRECT($D$3),"&gt;=0",Data!$B:$B,$Q188)</f>
        <v>#DIV/0!</v>
      </c>
      <c r="S188" t="e">
        <f t="shared" ca="1" si="62"/>
        <v>#DIV/0!</v>
      </c>
      <c r="T188" t="s">
        <v>68</v>
      </c>
      <c r="U188" t="e">
        <f ca="1">AVERAGEIFS(INDIRECT($E$3),INDIRECT($E$3),"&gt;=0",Data!$B:$B,$T188)</f>
        <v>#DIV/0!</v>
      </c>
      <c r="V188" t="e">
        <f t="shared" ca="1" si="63"/>
        <v>#DIV/0!</v>
      </c>
      <c r="W188" t="s">
        <v>162</v>
      </c>
      <c r="X188" t="e">
        <f ca="1">AVERAGEIFS(INDIRECT($F$3),INDIRECT($F$3),"&gt;=0",Data!$B:$B,$W188)</f>
        <v>#DIV/0!</v>
      </c>
      <c r="Y188" t="e">
        <f t="shared" ca="1" si="64"/>
        <v>#DIV/0!</v>
      </c>
      <c r="Z188" t="s">
        <v>43</v>
      </c>
      <c r="AA188" t="e">
        <f ca="1">AVERAGEIFS(INDIRECT($G$3),INDIRECT($G$3),"&gt;=0",Data!$B:$B,$Z188)</f>
        <v>#DIV/0!</v>
      </c>
      <c r="AB188" t="e">
        <f t="shared" ca="1" si="65"/>
        <v>#DIV/0!</v>
      </c>
      <c r="AC188" t="s">
        <v>4</v>
      </c>
      <c r="AD188" t="e">
        <f ca="1">AVERAGEIFS(INDIRECT($H$3),INDIRECT($H$3),"&gt;=0",Data!$B:$B,$AC188)</f>
        <v>#DIV/0!</v>
      </c>
      <c r="AE188" t="e">
        <f t="shared" ca="1" si="66"/>
        <v>#DIV/0!</v>
      </c>
      <c r="AF188" t="s">
        <v>162</v>
      </c>
      <c r="AG188" t="e">
        <f ca="1">AVERAGEIFS(INDIRECT($I$3),INDIRECT($I$3),"&gt;=0",Data!$B:$B,$AF188)</f>
        <v>#DIV/0!</v>
      </c>
      <c r="AH188" t="e">
        <f t="shared" ca="1" si="67"/>
        <v>#DIV/0!</v>
      </c>
      <c r="AI188" t="s">
        <v>65</v>
      </c>
      <c r="AJ188" t="e">
        <f ca="1">AVERAGEIFS(INDIRECT($J$3),INDIRECT($J$3),"&gt;=0",Data!$B:$B,$AI188)</f>
        <v>#DIV/0!</v>
      </c>
      <c r="AK188" t="e">
        <f t="shared" ca="1" si="68"/>
        <v>#DIV/0!</v>
      </c>
      <c r="AL188" t="str">
        <f t="shared" ca="1" si="69"/>
        <v>-</v>
      </c>
      <c r="AM188" t="str">
        <f t="shared" ca="1" si="70"/>
        <v>-</v>
      </c>
      <c r="AN188" t="str">
        <f t="shared" ca="1" si="71"/>
        <v>-</v>
      </c>
      <c r="AO188" t="str">
        <f t="shared" ca="1" si="72"/>
        <v>-</v>
      </c>
      <c r="AP188" t="str">
        <f t="shared" ca="1" si="73"/>
        <v>-</v>
      </c>
      <c r="AQ188" t="str">
        <f t="shared" ca="1" si="74"/>
        <v>-</v>
      </c>
      <c r="AR188" t="str">
        <f t="shared" ca="1" si="75"/>
        <v>-</v>
      </c>
      <c r="AS188" t="str">
        <f t="shared" ca="1" si="76"/>
        <v>-</v>
      </c>
      <c r="AT188" t="str">
        <f t="shared" ca="1" si="77"/>
        <v>-</v>
      </c>
      <c r="AU188">
        <f t="shared" si="89"/>
        <v>180</v>
      </c>
      <c r="AV188" t="s">
        <v>198</v>
      </c>
      <c r="AW188" s="20" t="e">
        <f ca="1">AVERAGEIFS(INDIRECT($B$3),INDIRECT($B$3),"&gt;=0",Data!$B:$B,AV188,IF($A$20,Data!$J:$J,Data!#REF!),IF($A$20,"&lt;&gt;5",1))</f>
        <v>#DIV/0!</v>
      </c>
      <c r="AX188" t="e">
        <f t="shared" ca="1" si="78"/>
        <v>#DIV/0!</v>
      </c>
      <c r="AY188" s="20" t="s">
        <v>11</v>
      </c>
      <c r="AZ188" t="e">
        <f ca="1">AVERAGEIFS(INDIRECT($C$3),INDIRECT($C$3),"&gt;=0",Data!$B:$B,AY188,IF($A$20,Data!$J:$J,Data!#REF!),IF($A$20,"&lt;&gt;5",1))</f>
        <v>#DIV/0!</v>
      </c>
      <c r="BA188" s="20" t="e">
        <f t="shared" ca="1" si="79"/>
        <v>#DIV/0!</v>
      </c>
      <c r="BB188" t="s">
        <v>47</v>
      </c>
      <c r="BC188" s="20" t="e">
        <f ca="1">AVERAGEIFS(INDIRECT($D$3),INDIRECT($D$3),"&gt;=0",Data!$B:$B,BB188,IF($A$20,Data!$J:$J,Data!#REF!),IF($A$20,"&lt;&gt;5",1))</f>
        <v>#DIV/0!</v>
      </c>
      <c r="BD188" t="e">
        <f t="shared" ca="1" si="80"/>
        <v>#DIV/0!</v>
      </c>
      <c r="BE188" s="20" t="s">
        <v>124</v>
      </c>
      <c r="BF188" t="e">
        <f ca="1">AVERAGEIFS(INDIRECT($E$3),INDIRECT($E$3),"&gt;=0",Data!$B:$B,BE188,IF($A$20,Data!$J:$J,Data!#REF!),IF($A$20,"&lt;&gt;5",1))</f>
        <v>#DIV/0!</v>
      </c>
      <c r="BG188" s="20" t="e">
        <f t="shared" ca="1" si="81"/>
        <v>#DIV/0!</v>
      </c>
      <c r="BH188" t="s">
        <v>124</v>
      </c>
      <c r="BI188" s="20" t="e">
        <f ca="1">AVERAGEIFS(INDIRECT($F$3),INDIRECT($F$3),"&gt;=0",Data!$B:$B,BH188,IF($A$20,Data!$J:$J,Data!#REF!),IF($A$20,"&lt;&gt;5",1))</f>
        <v>#DIV/0!</v>
      </c>
      <c r="BJ188" t="e">
        <f t="shared" ca="1" si="82"/>
        <v>#DIV/0!</v>
      </c>
      <c r="BK188" s="20" t="s">
        <v>54</v>
      </c>
      <c r="BL188" t="e">
        <f ca="1">AVERAGEIFS(INDIRECT($G$3),INDIRECT($G$3),"&gt;=0",Data!$B:$B,BK188,IF($A$20,Data!$J:$J,Data!#REF!),IF($A$20,"&lt;&gt;5",1))</f>
        <v>#DIV/0!</v>
      </c>
      <c r="BM188" s="20" t="e">
        <f t="shared" ca="1" si="83"/>
        <v>#DIV/0!</v>
      </c>
      <c r="BN188" t="s">
        <v>16</v>
      </c>
      <c r="BO188" t="e">
        <f ca="1">AVERAGEIFS(INDIRECT($H$3),INDIRECT($H$3),"&gt;=0",Data!$B:$B,BN188,IF($A$20,Data!$J:$J,Data!#REF!),IF($A$20,"&lt;&gt;5",1))</f>
        <v>#DIV/0!</v>
      </c>
      <c r="BP188" t="e">
        <f t="shared" ca="1" si="84"/>
        <v>#DIV/0!</v>
      </c>
      <c r="BQ188" t="s">
        <v>89</v>
      </c>
      <c r="BR188" t="e">
        <f ca="1">AVERAGEIFS(INDIRECT($I$3),INDIRECT($I$3),"&gt;=0",Data!$B:$B,BQ188,IF($A$20,Data!$J:$J,Data!#REF!),IF($A$20,"&lt;&gt;5",1))</f>
        <v>#DIV/0!</v>
      </c>
      <c r="BS188" t="e">
        <f t="shared" ca="1" si="85"/>
        <v>#DIV/0!</v>
      </c>
      <c r="BT188" t="s">
        <v>108</v>
      </c>
      <c r="BU188">
        <f ca="1">AVERAGEIFS(INDIRECT($J$3),INDIRECT($J$3),"&gt;=0",Data!$B:$B,BT188,IF($A$20,Data!$J:$J,Data!#REF!),IF($A$20,"&lt;&gt;5",1))</f>
        <v>0.5714285714285714</v>
      </c>
      <c r="BV188" t="e">
        <f t="shared" ca="1" si="86"/>
        <v>#DIV/0!</v>
      </c>
    </row>
    <row r="189" spans="10:74" x14ac:dyDescent="0.35">
      <c r="J189">
        <f t="shared" si="87"/>
        <v>181</v>
      </c>
      <c r="K189" t="s">
        <v>22</v>
      </c>
      <c r="L189" t="e">
        <f ca="1">AVERAGEIFS(INDIRECT($B$3),INDIRECT($B$3),"&gt;=0",Data!$B:$B,$K189)</f>
        <v>#DIV/0!</v>
      </c>
      <c r="M189" t="e">
        <f t="shared" ca="1" si="88"/>
        <v>#DIV/0!</v>
      </c>
      <c r="N189" t="s">
        <v>3</v>
      </c>
      <c r="O189" t="e">
        <f ca="1">AVERAGEIFS(INDIRECT($C$3),INDIRECT($C$3),"&gt;=0",Data!$B:$B,$N189)</f>
        <v>#DIV/0!</v>
      </c>
      <c r="P189" t="e">
        <f t="shared" ca="1" si="61"/>
        <v>#DIV/0!</v>
      </c>
      <c r="Q189" t="s">
        <v>36</v>
      </c>
      <c r="R189" t="e">
        <f ca="1">AVERAGEIFS(INDIRECT($D$3),INDIRECT($D$3),"&gt;=0",Data!$B:$B,$Q189)</f>
        <v>#DIV/0!</v>
      </c>
      <c r="S189" t="e">
        <f t="shared" ca="1" si="62"/>
        <v>#DIV/0!</v>
      </c>
      <c r="T189" t="s">
        <v>77</v>
      </c>
      <c r="U189" t="e">
        <f ca="1">AVERAGEIFS(INDIRECT($E$3),INDIRECT($E$3),"&gt;=0",Data!$B:$B,$T189)</f>
        <v>#DIV/0!</v>
      </c>
      <c r="V189" t="e">
        <f t="shared" ca="1" si="63"/>
        <v>#DIV/0!</v>
      </c>
      <c r="W189" t="s">
        <v>78</v>
      </c>
      <c r="X189">
        <f ca="1">AVERAGEIFS(INDIRECT($F$3),INDIRECT($F$3),"&gt;=0",Data!$B:$B,$W189)</f>
        <v>0</v>
      </c>
      <c r="Y189" t="e">
        <f t="shared" ca="1" si="64"/>
        <v>#DIV/0!</v>
      </c>
      <c r="Z189" t="s">
        <v>16</v>
      </c>
      <c r="AA189" t="e">
        <f ca="1">AVERAGEIFS(INDIRECT($G$3),INDIRECT($G$3),"&gt;=0",Data!$B:$B,$Z189)</f>
        <v>#DIV/0!</v>
      </c>
      <c r="AB189" t="e">
        <f t="shared" ca="1" si="65"/>
        <v>#DIV/0!</v>
      </c>
      <c r="AC189" t="s">
        <v>16</v>
      </c>
      <c r="AD189" t="e">
        <f ca="1">AVERAGEIFS(INDIRECT($H$3),INDIRECT($H$3),"&gt;=0",Data!$B:$B,$AC189)</f>
        <v>#DIV/0!</v>
      </c>
      <c r="AE189" t="e">
        <f t="shared" ca="1" si="66"/>
        <v>#DIV/0!</v>
      </c>
      <c r="AF189" t="s">
        <v>172</v>
      </c>
      <c r="AG189" t="e">
        <f ca="1">AVERAGEIFS(INDIRECT($I$3),INDIRECT($I$3),"&gt;=0",Data!$B:$B,$AF189)</f>
        <v>#DIV/0!</v>
      </c>
      <c r="AH189" t="e">
        <f t="shared" ca="1" si="67"/>
        <v>#DIV/0!</v>
      </c>
      <c r="AI189" t="s">
        <v>125</v>
      </c>
      <c r="AJ189" t="e">
        <f ca="1">AVERAGEIFS(INDIRECT($J$3),INDIRECT($J$3),"&gt;=0",Data!$B:$B,$AI189)</f>
        <v>#DIV/0!</v>
      </c>
      <c r="AK189" t="e">
        <f t="shared" ca="1" si="68"/>
        <v>#DIV/0!</v>
      </c>
      <c r="AL189" t="str">
        <f t="shared" ca="1" si="69"/>
        <v>-</v>
      </c>
      <c r="AM189" t="str">
        <f t="shared" ca="1" si="70"/>
        <v>-</v>
      </c>
      <c r="AN189" t="str">
        <f t="shared" ca="1" si="71"/>
        <v>-</v>
      </c>
      <c r="AO189" t="str">
        <f t="shared" ca="1" si="72"/>
        <v>-</v>
      </c>
      <c r="AP189" t="str">
        <f t="shared" ca="1" si="73"/>
        <v>-</v>
      </c>
      <c r="AQ189" t="str">
        <f t="shared" ca="1" si="74"/>
        <v>-</v>
      </c>
      <c r="AR189" t="str">
        <f t="shared" ca="1" si="75"/>
        <v>-</v>
      </c>
      <c r="AS189" t="str">
        <f t="shared" ca="1" si="76"/>
        <v>-</v>
      </c>
      <c r="AT189" t="str">
        <f t="shared" ca="1" si="77"/>
        <v>-</v>
      </c>
      <c r="AU189">
        <f t="shared" si="89"/>
        <v>181</v>
      </c>
      <c r="AV189" t="s">
        <v>149</v>
      </c>
      <c r="AW189" s="20" t="e">
        <f ca="1">AVERAGEIFS(INDIRECT($B$3),INDIRECT($B$3),"&gt;=0",Data!$B:$B,AV189,IF($A$20,Data!$J:$J,Data!#REF!),IF($A$20,"&lt;&gt;5",1))</f>
        <v>#DIV/0!</v>
      </c>
      <c r="AX189" t="e">
        <f t="shared" ca="1" si="78"/>
        <v>#DIV/0!</v>
      </c>
      <c r="AY189" s="20" t="s">
        <v>8</v>
      </c>
      <c r="AZ189" t="e">
        <f ca="1">AVERAGEIFS(INDIRECT($C$3),INDIRECT($C$3),"&gt;=0",Data!$B:$B,AY189,IF($A$20,Data!$J:$J,Data!#REF!),IF($A$20,"&lt;&gt;5",1))</f>
        <v>#DIV/0!</v>
      </c>
      <c r="BA189" s="20" t="e">
        <f t="shared" ca="1" si="79"/>
        <v>#DIV/0!</v>
      </c>
      <c r="BB189" t="s">
        <v>56</v>
      </c>
      <c r="BC189" s="20" t="e">
        <f ca="1">AVERAGEIFS(INDIRECT($D$3),INDIRECT($D$3),"&gt;=0",Data!$B:$B,BB189,IF($A$20,Data!$J:$J,Data!#REF!),IF($A$20,"&lt;&gt;5",1))</f>
        <v>#DIV/0!</v>
      </c>
      <c r="BD189" t="e">
        <f t="shared" ca="1" si="80"/>
        <v>#DIV/0!</v>
      </c>
      <c r="BE189" s="20" t="s">
        <v>130</v>
      </c>
      <c r="BF189" t="e">
        <f ca="1">AVERAGEIFS(INDIRECT($E$3),INDIRECT($E$3),"&gt;=0",Data!$B:$B,BE189,IF($A$20,Data!$J:$J,Data!#REF!),IF($A$20,"&lt;&gt;5",1))</f>
        <v>#DIV/0!</v>
      </c>
      <c r="BG189" s="20" t="e">
        <f t="shared" ca="1" si="81"/>
        <v>#DIV/0!</v>
      </c>
      <c r="BH189" t="s">
        <v>77</v>
      </c>
      <c r="BI189" s="20" t="e">
        <f ca="1">AVERAGEIFS(INDIRECT($F$3),INDIRECT($F$3),"&gt;=0",Data!$B:$B,BH189,IF($A$20,Data!$J:$J,Data!#REF!),IF($A$20,"&lt;&gt;5",1))</f>
        <v>#DIV/0!</v>
      </c>
      <c r="BJ189" t="e">
        <f t="shared" ca="1" si="82"/>
        <v>#DIV/0!</v>
      </c>
      <c r="BK189" s="20" t="s">
        <v>17</v>
      </c>
      <c r="BL189" t="e">
        <f ca="1">AVERAGEIFS(INDIRECT($G$3),INDIRECT($G$3),"&gt;=0",Data!$B:$B,BK189,IF($A$20,Data!$J:$J,Data!#REF!),IF($A$20,"&lt;&gt;5",1))</f>
        <v>#DIV/0!</v>
      </c>
      <c r="BM189" s="20" t="e">
        <f t="shared" ca="1" si="83"/>
        <v>#DIV/0!</v>
      </c>
      <c r="BN189" t="s">
        <v>179</v>
      </c>
      <c r="BO189" t="e">
        <f ca="1">AVERAGEIFS(INDIRECT($H$3),INDIRECT($H$3),"&gt;=0",Data!$B:$B,BN189,IF($A$20,Data!$J:$J,Data!#REF!),IF($A$20,"&lt;&gt;5",1))</f>
        <v>#DIV/0!</v>
      </c>
      <c r="BP189" t="e">
        <f t="shared" ca="1" si="84"/>
        <v>#DIV/0!</v>
      </c>
      <c r="BQ189" t="s">
        <v>48</v>
      </c>
      <c r="BR189">
        <f ca="1">AVERAGEIFS(INDIRECT($I$3),INDIRECT($I$3),"&gt;=0",Data!$B:$B,BQ189,IF($A$20,Data!$J:$J,Data!#REF!),IF($A$20,"&lt;&gt;5",1))</f>
        <v>0.65</v>
      </c>
      <c r="BS189" t="e">
        <f t="shared" ca="1" si="85"/>
        <v>#DIV/0!</v>
      </c>
      <c r="BT189" t="s">
        <v>190</v>
      </c>
      <c r="BU189" t="e">
        <f ca="1">AVERAGEIFS(INDIRECT($J$3),INDIRECT($J$3),"&gt;=0",Data!$B:$B,BT189,IF($A$20,Data!$J:$J,Data!#REF!),IF($A$20,"&lt;&gt;5",1))</f>
        <v>#DIV/0!</v>
      </c>
      <c r="BV189" t="e">
        <f t="shared" ca="1" si="86"/>
        <v>#DIV/0!</v>
      </c>
    </row>
    <row r="190" spans="10:74" x14ac:dyDescent="0.35">
      <c r="J190">
        <f t="shared" si="87"/>
        <v>182</v>
      </c>
      <c r="K190" t="s">
        <v>109</v>
      </c>
      <c r="L190" t="e">
        <f ca="1">AVERAGEIFS(INDIRECT($B$3),INDIRECT($B$3),"&gt;=0",Data!$B:$B,$K190)</f>
        <v>#DIV/0!</v>
      </c>
      <c r="M190" t="e">
        <f t="shared" ca="1" si="88"/>
        <v>#DIV/0!</v>
      </c>
      <c r="N190" t="s">
        <v>4</v>
      </c>
      <c r="O190" t="e">
        <f ca="1">AVERAGEIFS(INDIRECT($C$3),INDIRECT($C$3),"&gt;=0",Data!$B:$B,$N190)</f>
        <v>#DIV/0!</v>
      </c>
      <c r="P190" t="e">
        <f t="shared" ca="1" si="61"/>
        <v>#DIV/0!</v>
      </c>
      <c r="Q190" t="s">
        <v>84</v>
      </c>
      <c r="R190" t="e">
        <f ca="1">AVERAGEIFS(INDIRECT($D$3),INDIRECT($D$3),"&gt;=0",Data!$B:$B,$Q190)</f>
        <v>#DIV/0!</v>
      </c>
      <c r="S190" t="e">
        <f t="shared" ca="1" si="62"/>
        <v>#DIV/0!</v>
      </c>
      <c r="T190" t="s">
        <v>88</v>
      </c>
      <c r="U190" t="e">
        <f ca="1">AVERAGEIFS(INDIRECT($E$3),INDIRECT($E$3),"&gt;=0",Data!$B:$B,$T190)</f>
        <v>#DIV/0!</v>
      </c>
      <c r="V190" t="e">
        <f t="shared" ca="1" si="63"/>
        <v>#DIV/0!</v>
      </c>
      <c r="W190" t="s">
        <v>133</v>
      </c>
      <c r="X190">
        <f ca="1">AVERAGEIFS(INDIRECT($F$3),INDIRECT($F$3),"&gt;=0",Data!$B:$B,$W190)</f>
        <v>1</v>
      </c>
      <c r="Y190">
        <f t="shared" ca="1" si="64"/>
        <v>182</v>
      </c>
      <c r="Z190" t="s">
        <v>59</v>
      </c>
      <c r="AA190" t="e">
        <f ca="1">AVERAGEIFS(INDIRECT($G$3),INDIRECT($G$3),"&gt;=0",Data!$B:$B,$Z190)</f>
        <v>#DIV/0!</v>
      </c>
      <c r="AB190" t="e">
        <f t="shared" ca="1" si="65"/>
        <v>#DIV/0!</v>
      </c>
      <c r="AC190" t="s">
        <v>52</v>
      </c>
      <c r="AD190" t="e">
        <f ca="1">AVERAGEIFS(INDIRECT($H$3),INDIRECT($H$3),"&gt;=0",Data!$B:$B,$AC190)</f>
        <v>#DIV/0!</v>
      </c>
      <c r="AE190" t="e">
        <f t="shared" ca="1" si="66"/>
        <v>#DIV/0!</v>
      </c>
      <c r="AF190" t="s">
        <v>56</v>
      </c>
      <c r="AG190">
        <f ca="1">AVERAGEIFS(INDIRECT($I$3),INDIRECT($I$3),"&gt;=0",Data!$B:$B,$AF190)</f>
        <v>0.27777777777777779</v>
      </c>
      <c r="AH190" t="e">
        <f t="shared" ca="1" si="67"/>
        <v>#DIV/0!</v>
      </c>
      <c r="AI190" t="s">
        <v>108</v>
      </c>
      <c r="AJ190">
        <f ca="1">AVERAGEIFS(INDIRECT($J$3),INDIRECT($J$3),"&gt;=0",Data!$B:$B,$AI190)</f>
        <v>0.44444444444444442</v>
      </c>
      <c r="AK190" t="e">
        <f t="shared" ca="1" si="68"/>
        <v>#DIV/0!</v>
      </c>
      <c r="AL190" t="str">
        <f t="shared" ca="1" si="69"/>
        <v>-</v>
      </c>
      <c r="AM190" t="str">
        <f t="shared" ca="1" si="70"/>
        <v>-</v>
      </c>
      <c r="AN190" t="str">
        <f t="shared" ca="1" si="71"/>
        <v>-</v>
      </c>
      <c r="AO190" t="str">
        <f t="shared" ca="1" si="72"/>
        <v>-</v>
      </c>
      <c r="AP190" t="str">
        <f t="shared" ca="1" si="73"/>
        <v>-</v>
      </c>
      <c r="AQ190" t="str">
        <f t="shared" ca="1" si="74"/>
        <v>-</v>
      </c>
      <c r="AR190" t="str">
        <f t="shared" ca="1" si="75"/>
        <v>-</v>
      </c>
      <c r="AS190" t="str">
        <f t="shared" ca="1" si="76"/>
        <v>-</v>
      </c>
      <c r="AT190" t="str">
        <f t="shared" ca="1" si="77"/>
        <v>-</v>
      </c>
      <c r="AU190">
        <f t="shared" si="89"/>
        <v>182</v>
      </c>
      <c r="AV190" t="s">
        <v>19</v>
      </c>
      <c r="AW190" s="20" t="e">
        <f ca="1">AVERAGEIFS(INDIRECT($B$3),INDIRECT($B$3),"&gt;=0",Data!$B:$B,AV190,IF($A$20,Data!$J:$J,Data!#REF!),IF($A$20,"&lt;&gt;5",1))</f>
        <v>#DIV/0!</v>
      </c>
      <c r="AX190" t="e">
        <f t="shared" ca="1" si="78"/>
        <v>#DIV/0!</v>
      </c>
      <c r="AY190" s="20" t="s">
        <v>59</v>
      </c>
      <c r="AZ190" t="e">
        <f ca="1">AVERAGEIFS(INDIRECT($C$3),INDIRECT($C$3),"&gt;=0",Data!$B:$B,AY190,IF($A$20,Data!$J:$J,Data!#REF!),IF($A$20,"&lt;&gt;5",1))</f>
        <v>#DIV/0!</v>
      </c>
      <c r="BA190" s="20" t="e">
        <f t="shared" ca="1" si="79"/>
        <v>#DIV/0!</v>
      </c>
      <c r="BB190" t="s">
        <v>199</v>
      </c>
      <c r="BC190" s="20" t="e">
        <f ca="1">AVERAGEIFS(INDIRECT($D$3),INDIRECT($D$3),"&gt;=0",Data!$B:$B,BB190,IF($A$20,Data!$J:$J,Data!#REF!),IF($A$20,"&lt;&gt;5",1))</f>
        <v>#DIV/0!</v>
      </c>
      <c r="BD190" t="e">
        <f t="shared" ca="1" si="80"/>
        <v>#DIV/0!</v>
      </c>
      <c r="BE190" s="20" t="s">
        <v>132</v>
      </c>
      <c r="BF190" t="e">
        <f ca="1">AVERAGEIFS(INDIRECT($E$3),INDIRECT($E$3),"&gt;=0",Data!$B:$B,BE190,IF($A$20,Data!$J:$J,Data!#REF!),IF($A$20,"&lt;&gt;5",1))</f>
        <v>#DIV/0!</v>
      </c>
      <c r="BG190" s="20" t="e">
        <f t="shared" ca="1" si="81"/>
        <v>#DIV/0!</v>
      </c>
      <c r="BH190" t="s">
        <v>133</v>
      </c>
      <c r="BI190" s="20">
        <f ca="1">AVERAGEIFS(INDIRECT($F$3),INDIRECT($F$3),"&gt;=0",Data!$B:$B,BH190,IF($A$20,Data!$J:$J,Data!#REF!),IF($A$20,"&lt;&gt;5",1))</f>
        <v>1</v>
      </c>
      <c r="BJ190" t="e">
        <f t="shared" ca="1" si="82"/>
        <v>#DIV/0!</v>
      </c>
      <c r="BK190" s="20" t="s">
        <v>24</v>
      </c>
      <c r="BL190" t="e">
        <f ca="1">AVERAGEIFS(INDIRECT($G$3),INDIRECT($G$3),"&gt;=0",Data!$B:$B,BK190,IF($A$20,Data!$J:$J,Data!#REF!),IF($A$20,"&lt;&gt;5",1))</f>
        <v>#DIV/0!</v>
      </c>
      <c r="BM190" s="20" t="e">
        <f t="shared" ca="1" si="83"/>
        <v>#DIV/0!</v>
      </c>
      <c r="BN190" t="s">
        <v>195</v>
      </c>
      <c r="BO190" t="e">
        <f ca="1">AVERAGEIFS(INDIRECT($H$3),INDIRECT($H$3),"&gt;=0",Data!$B:$B,BN190,IF($A$20,Data!$J:$J,Data!#REF!),IF($A$20,"&lt;&gt;5",1))</f>
        <v>#DIV/0!</v>
      </c>
      <c r="BP190" t="e">
        <f t="shared" ca="1" si="84"/>
        <v>#DIV/0!</v>
      </c>
      <c r="BQ190" t="s">
        <v>95</v>
      </c>
      <c r="BR190" t="e">
        <f ca="1">AVERAGEIFS(INDIRECT($I$3),INDIRECT($I$3),"&gt;=0",Data!$B:$B,BQ190,IF($A$20,Data!$J:$J,Data!#REF!),IF($A$20,"&lt;&gt;5",1))</f>
        <v>#DIV/0!</v>
      </c>
      <c r="BS190" t="e">
        <f t="shared" ca="1" si="85"/>
        <v>#DIV/0!</v>
      </c>
      <c r="BT190" t="s">
        <v>9</v>
      </c>
      <c r="BU190" t="e">
        <f ca="1">AVERAGEIFS(INDIRECT($J$3),INDIRECT($J$3),"&gt;=0",Data!$B:$B,BT190,IF($A$20,Data!$J:$J,Data!#REF!),IF($A$20,"&lt;&gt;5",1))</f>
        <v>#DIV/0!</v>
      </c>
      <c r="BV190" t="e">
        <f t="shared" ca="1" si="86"/>
        <v>#DIV/0!</v>
      </c>
    </row>
    <row r="191" spans="10:74" x14ac:dyDescent="0.35">
      <c r="J191">
        <f t="shared" si="87"/>
        <v>183</v>
      </c>
      <c r="K191" t="s">
        <v>19</v>
      </c>
      <c r="L191" t="e">
        <f ca="1">AVERAGEIFS(INDIRECT($B$3),INDIRECT($B$3),"&gt;=0",Data!$B:$B,$K191)</f>
        <v>#DIV/0!</v>
      </c>
      <c r="M191" t="e">
        <f t="shared" ca="1" si="88"/>
        <v>#DIV/0!</v>
      </c>
      <c r="N191" t="s">
        <v>143</v>
      </c>
      <c r="O191" t="e">
        <f ca="1">AVERAGEIFS(INDIRECT($C$3),INDIRECT($C$3),"&gt;=0",Data!$B:$B,$N191)</f>
        <v>#DIV/0!</v>
      </c>
      <c r="P191" t="e">
        <f t="shared" ca="1" si="61"/>
        <v>#DIV/0!</v>
      </c>
      <c r="Q191" t="s">
        <v>130</v>
      </c>
      <c r="R191" t="e">
        <f ca="1">AVERAGEIFS(INDIRECT($D$3),INDIRECT($D$3),"&gt;=0",Data!$B:$B,$Q191)</f>
        <v>#DIV/0!</v>
      </c>
      <c r="S191" t="e">
        <f t="shared" ca="1" si="62"/>
        <v>#DIV/0!</v>
      </c>
      <c r="T191" t="s">
        <v>102</v>
      </c>
      <c r="U191" t="e">
        <f ca="1">AVERAGEIFS(INDIRECT($E$3),INDIRECT($E$3),"&gt;=0",Data!$B:$B,$T191)</f>
        <v>#DIV/0!</v>
      </c>
      <c r="V191" t="e">
        <f t="shared" ca="1" si="63"/>
        <v>#DIV/0!</v>
      </c>
      <c r="W191" t="s">
        <v>124</v>
      </c>
      <c r="X191" t="e">
        <f ca="1">AVERAGEIFS(INDIRECT($F$3),INDIRECT($F$3),"&gt;=0",Data!$B:$B,$W191)</f>
        <v>#DIV/0!</v>
      </c>
      <c r="Y191" t="e">
        <f t="shared" ca="1" si="64"/>
        <v>#DIV/0!</v>
      </c>
      <c r="Z191" t="s">
        <v>172</v>
      </c>
      <c r="AA191" t="e">
        <f ca="1">AVERAGEIFS(INDIRECT($G$3),INDIRECT($G$3),"&gt;=0",Data!$B:$B,$Z191)</f>
        <v>#DIV/0!</v>
      </c>
      <c r="AB191" t="e">
        <f t="shared" ca="1" si="65"/>
        <v>#DIV/0!</v>
      </c>
      <c r="AC191" t="s">
        <v>123</v>
      </c>
      <c r="AD191" t="e">
        <f ca="1">AVERAGEIFS(INDIRECT($H$3),INDIRECT($H$3),"&gt;=0",Data!$B:$B,$AC191)</f>
        <v>#DIV/0!</v>
      </c>
      <c r="AE191" t="e">
        <f t="shared" ca="1" si="66"/>
        <v>#DIV/0!</v>
      </c>
      <c r="AF191" t="s">
        <v>25</v>
      </c>
      <c r="AG191" t="e">
        <f ca="1">AVERAGEIFS(INDIRECT($I$3),INDIRECT($I$3),"&gt;=0",Data!$B:$B,$AF191)</f>
        <v>#DIV/0!</v>
      </c>
      <c r="AH191" t="e">
        <f t="shared" ca="1" si="67"/>
        <v>#DIV/0!</v>
      </c>
      <c r="AI191" t="s">
        <v>169</v>
      </c>
      <c r="AJ191" t="e">
        <f ca="1">AVERAGEIFS(INDIRECT($J$3),INDIRECT($J$3),"&gt;=0",Data!$B:$B,$AI191)</f>
        <v>#DIV/0!</v>
      </c>
      <c r="AK191" t="e">
        <f t="shared" ca="1" si="68"/>
        <v>#DIV/0!</v>
      </c>
      <c r="AL191" t="str">
        <f t="shared" ca="1" si="69"/>
        <v>-</v>
      </c>
      <c r="AM191" t="str">
        <f t="shared" ca="1" si="70"/>
        <v>-</v>
      </c>
      <c r="AN191" t="str">
        <f t="shared" ca="1" si="71"/>
        <v>-</v>
      </c>
      <c r="AO191" t="str">
        <f t="shared" ca="1" si="72"/>
        <v>-</v>
      </c>
      <c r="AP191" t="str">
        <f t="shared" ca="1" si="73"/>
        <v>-</v>
      </c>
      <c r="AQ191" t="str">
        <f t="shared" ca="1" si="74"/>
        <v>-</v>
      </c>
      <c r="AR191" t="str">
        <f t="shared" ca="1" si="75"/>
        <v>-</v>
      </c>
      <c r="AS191" t="str">
        <f t="shared" ca="1" si="76"/>
        <v>-</v>
      </c>
      <c r="AT191" t="str">
        <f t="shared" ca="1" si="77"/>
        <v>-</v>
      </c>
      <c r="AU191">
        <f t="shared" si="89"/>
        <v>183</v>
      </c>
      <c r="AV191" t="s">
        <v>30</v>
      </c>
      <c r="AW191" s="20" t="e">
        <f ca="1">AVERAGEIFS(INDIRECT($B$3),INDIRECT($B$3),"&gt;=0",Data!$B:$B,AV191,IF($A$20,Data!$J:$J,Data!#REF!),IF($A$20,"&lt;&gt;5",1))</f>
        <v>#DIV/0!</v>
      </c>
      <c r="AX191" t="e">
        <f t="shared" ca="1" si="78"/>
        <v>#DIV/0!</v>
      </c>
      <c r="AY191" s="20" t="s">
        <v>14</v>
      </c>
      <c r="AZ191" t="e">
        <f ca="1">AVERAGEIFS(INDIRECT($C$3),INDIRECT($C$3),"&gt;=0",Data!$B:$B,AY191,IF($A$20,Data!$J:$J,Data!#REF!),IF($A$20,"&lt;&gt;5",1))</f>
        <v>#DIV/0!</v>
      </c>
      <c r="BA191" s="20" t="e">
        <f t="shared" ca="1" si="79"/>
        <v>#DIV/0!</v>
      </c>
      <c r="BB191" t="s">
        <v>130</v>
      </c>
      <c r="BC191" s="20" t="e">
        <f ca="1">AVERAGEIFS(INDIRECT($D$3),INDIRECT($D$3),"&gt;=0",Data!$B:$B,BB191,IF($A$20,Data!$J:$J,Data!#REF!),IF($A$20,"&lt;&gt;5",1))</f>
        <v>#DIV/0!</v>
      </c>
      <c r="BD191" t="e">
        <f t="shared" ca="1" si="80"/>
        <v>#DIV/0!</v>
      </c>
      <c r="BE191" s="20" t="s">
        <v>155</v>
      </c>
      <c r="BF191" t="e">
        <f ca="1">AVERAGEIFS(INDIRECT($E$3),INDIRECT($E$3),"&gt;=0",Data!$B:$B,BE191,IF($A$20,Data!$J:$J,Data!#REF!),IF($A$20,"&lt;&gt;5",1))</f>
        <v>#DIV/0!</v>
      </c>
      <c r="BG191" s="20" t="e">
        <f t="shared" ca="1" si="81"/>
        <v>#DIV/0!</v>
      </c>
      <c r="BH191" t="s">
        <v>92</v>
      </c>
      <c r="BI191" s="20" t="e">
        <f ca="1">AVERAGEIFS(INDIRECT($F$3),INDIRECT($F$3),"&gt;=0",Data!$B:$B,BH191,IF($A$20,Data!$J:$J,Data!#REF!),IF($A$20,"&lt;&gt;5",1))</f>
        <v>#DIV/0!</v>
      </c>
      <c r="BJ191" t="e">
        <f t="shared" ca="1" si="82"/>
        <v>#DIV/0!</v>
      </c>
      <c r="BK191" s="20" t="s">
        <v>173</v>
      </c>
      <c r="BL191" t="e">
        <f ca="1">AVERAGEIFS(INDIRECT($G$3),INDIRECT($G$3),"&gt;=0",Data!$B:$B,BK191,IF($A$20,Data!$J:$J,Data!#REF!),IF($A$20,"&lt;&gt;5",1))</f>
        <v>#DIV/0!</v>
      </c>
      <c r="BM191" s="20" t="e">
        <f t="shared" ca="1" si="83"/>
        <v>#DIV/0!</v>
      </c>
      <c r="BN191" t="s">
        <v>40</v>
      </c>
      <c r="BO191" t="e">
        <f ca="1">AVERAGEIFS(INDIRECT($H$3),INDIRECT($H$3),"&gt;=0",Data!$B:$B,BN191,IF($A$20,Data!$J:$J,Data!#REF!),IF($A$20,"&lt;&gt;5",1))</f>
        <v>#DIV/0!</v>
      </c>
      <c r="BP191" t="e">
        <f t="shared" ca="1" si="84"/>
        <v>#DIV/0!</v>
      </c>
      <c r="BQ191" t="s">
        <v>9</v>
      </c>
      <c r="BR191" t="e">
        <f ca="1">AVERAGEIFS(INDIRECT($I$3),INDIRECT($I$3),"&gt;=0",Data!$B:$B,BQ191,IF($A$20,Data!$J:$J,Data!#REF!),IF($A$20,"&lt;&gt;5",1))</f>
        <v>#DIV/0!</v>
      </c>
      <c r="BS191" t="e">
        <f t="shared" ca="1" si="85"/>
        <v>#DIV/0!</v>
      </c>
      <c r="BT191" t="s">
        <v>184</v>
      </c>
      <c r="BU191" t="e">
        <f ca="1">AVERAGEIFS(INDIRECT($J$3),INDIRECT($J$3),"&gt;=0",Data!$B:$B,BT191,IF($A$20,Data!$J:$J,Data!#REF!),IF($A$20,"&lt;&gt;5",1))</f>
        <v>#DIV/0!</v>
      </c>
      <c r="BV191" t="e">
        <f t="shared" ca="1" si="86"/>
        <v>#DIV/0!</v>
      </c>
    </row>
    <row r="192" spans="10:74" x14ac:dyDescent="0.35">
      <c r="J192">
        <f t="shared" si="87"/>
        <v>184</v>
      </c>
      <c r="K192" t="s">
        <v>30</v>
      </c>
      <c r="L192" t="e">
        <f ca="1">AVERAGEIFS(INDIRECT($B$3),INDIRECT($B$3),"&gt;=0",Data!$B:$B,$K192)</f>
        <v>#DIV/0!</v>
      </c>
      <c r="M192" t="e">
        <f t="shared" ca="1" si="88"/>
        <v>#DIV/0!</v>
      </c>
      <c r="N192" t="s">
        <v>66</v>
      </c>
      <c r="O192" t="e">
        <f ca="1">AVERAGEIFS(INDIRECT($C$3),INDIRECT($C$3),"&gt;=0",Data!$B:$B,$N192)</f>
        <v>#DIV/0!</v>
      </c>
      <c r="P192" t="e">
        <f t="shared" ca="1" si="61"/>
        <v>#DIV/0!</v>
      </c>
      <c r="Q192" t="s">
        <v>146</v>
      </c>
      <c r="R192" t="e">
        <f ca="1">AVERAGEIFS(INDIRECT($D$3),INDIRECT($D$3),"&gt;=0",Data!$B:$B,$Q192)</f>
        <v>#DIV/0!</v>
      </c>
      <c r="S192" t="e">
        <f t="shared" ca="1" si="62"/>
        <v>#DIV/0!</v>
      </c>
      <c r="T192" t="s">
        <v>116</v>
      </c>
      <c r="U192" t="e">
        <f ca="1">AVERAGEIFS(INDIRECT($E$3),INDIRECT($E$3),"&gt;=0",Data!$B:$B,$T192)</f>
        <v>#DIV/0!</v>
      </c>
      <c r="V192" t="e">
        <f t="shared" ca="1" si="63"/>
        <v>#DIV/0!</v>
      </c>
      <c r="W192" t="s">
        <v>130</v>
      </c>
      <c r="X192" t="e">
        <f ca="1">AVERAGEIFS(INDIRECT($F$3),INDIRECT($F$3),"&gt;=0",Data!$B:$B,$W192)</f>
        <v>#DIV/0!</v>
      </c>
      <c r="Y192" t="e">
        <f t="shared" ca="1" si="64"/>
        <v>#DIV/0!</v>
      </c>
      <c r="Z192" t="s">
        <v>188</v>
      </c>
      <c r="AA192" t="e">
        <f ca="1">AVERAGEIFS(INDIRECT($G$3),INDIRECT($G$3),"&gt;=0",Data!$B:$B,$Z192)</f>
        <v>#DIV/0!</v>
      </c>
      <c r="AB192" t="e">
        <f t="shared" ca="1" si="65"/>
        <v>#DIV/0!</v>
      </c>
      <c r="AC192" t="s">
        <v>150</v>
      </c>
      <c r="AD192" t="e">
        <f ca="1">AVERAGEIFS(INDIRECT($H$3),INDIRECT($H$3),"&gt;=0",Data!$B:$B,$AC192)</f>
        <v>#DIV/0!</v>
      </c>
      <c r="AE192" t="e">
        <f t="shared" ca="1" si="66"/>
        <v>#DIV/0!</v>
      </c>
      <c r="AF192" t="s">
        <v>32</v>
      </c>
      <c r="AG192">
        <f ca="1">AVERAGEIFS(INDIRECT($I$3),INDIRECT($I$3),"&gt;=0",Data!$B:$B,$AF192)</f>
        <v>0.55555555555555558</v>
      </c>
      <c r="AH192" t="e">
        <f t="shared" ca="1" si="67"/>
        <v>#DIV/0!</v>
      </c>
      <c r="AI192" t="s">
        <v>52</v>
      </c>
      <c r="AJ192" t="e">
        <f ca="1">AVERAGEIFS(INDIRECT($J$3),INDIRECT($J$3),"&gt;=0",Data!$B:$B,$AI192)</f>
        <v>#DIV/0!</v>
      </c>
      <c r="AK192" t="e">
        <f t="shared" ca="1" si="68"/>
        <v>#DIV/0!</v>
      </c>
      <c r="AL192" t="str">
        <f t="shared" ca="1" si="69"/>
        <v>-</v>
      </c>
      <c r="AM192" t="str">
        <f t="shared" ca="1" si="70"/>
        <v>-</v>
      </c>
      <c r="AN192" t="str">
        <f t="shared" ca="1" si="71"/>
        <v>-</v>
      </c>
      <c r="AO192" t="str">
        <f t="shared" ca="1" si="72"/>
        <v>-</v>
      </c>
      <c r="AP192" t="str">
        <f t="shared" ca="1" si="73"/>
        <v>-</v>
      </c>
      <c r="AQ192" t="str">
        <f t="shared" ca="1" si="74"/>
        <v>-</v>
      </c>
      <c r="AR192" t="str">
        <f t="shared" ca="1" si="75"/>
        <v>-</v>
      </c>
      <c r="AS192" t="str">
        <f t="shared" ca="1" si="76"/>
        <v>-</v>
      </c>
      <c r="AT192" t="str">
        <f t="shared" ca="1" si="77"/>
        <v>-</v>
      </c>
      <c r="AU192">
        <f t="shared" si="89"/>
        <v>184</v>
      </c>
      <c r="AV192" t="s">
        <v>39</v>
      </c>
      <c r="AW192" s="20" t="e">
        <f ca="1">AVERAGEIFS(INDIRECT($B$3),INDIRECT($B$3),"&gt;=0",Data!$B:$B,AV192,IF($A$20,Data!$J:$J,Data!#REF!),IF($A$20,"&lt;&gt;5",1))</f>
        <v>#DIV/0!</v>
      </c>
      <c r="AX192" t="e">
        <f t="shared" ca="1" si="78"/>
        <v>#DIV/0!</v>
      </c>
      <c r="AY192" s="20" t="s">
        <v>173</v>
      </c>
      <c r="AZ192" t="e">
        <f ca="1">AVERAGEIFS(INDIRECT($C$3),INDIRECT($C$3),"&gt;=0",Data!$B:$B,AY192,IF($A$20,Data!$J:$J,Data!#REF!),IF($A$20,"&lt;&gt;5",1))</f>
        <v>#DIV/0!</v>
      </c>
      <c r="BA192" s="20" t="e">
        <f t="shared" ca="1" si="79"/>
        <v>#DIV/0!</v>
      </c>
      <c r="BB192" t="s">
        <v>146</v>
      </c>
      <c r="BC192" s="20" t="e">
        <f ca="1">AVERAGEIFS(INDIRECT($D$3),INDIRECT($D$3),"&gt;=0",Data!$B:$B,BB192,IF($A$20,Data!$J:$J,Data!#REF!),IF($A$20,"&lt;&gt;5",1))</f>
        <v>#DIV/0!</v>
      </c>
      <c r="BD192" t="e">
        <f t="shared" ca="1" si="80"/>
        <v>#DIV/0!</v>
      </c>
      <c r="BE192" s="20" t="s">
        <v>162</v>
      </c>
      <c r="BF192" t="e">
        <f ca="1">AVERAGEIFS(INDIRECT($E$3),INDIRECT($E$3),"&gt;=0",Data!$B:$B,BE192,IF($A$20,Data!$J:$J,Data!#REF!),IF($A$20,"&lt;&gt;5",1))</f>
        <v>#DIV/0!</v>
      </c>
      <c r="BG192" s="20" t="e">
        <f t="shared" ca="1" si="81"/>
        <v>#DIV/0!</v>
      </c>
      <c r="BH192" t="s">
        <v>130</v>
      </c>
      <c r="BI192" s="20" t="e">
        <f ca="1">AVERAGEIFS(INDIRECT($F$3),INDIRECT($F$3),"&gt;=0",Data!$B:$B,BH192,IF($A$20,Data!$J:$J,Data!#REF!),IF($A$20,"&lt;&gt;5",1))</f>
        <v>#DIV/0!</v>
      </c>
      <c r="BJ192" t="e">
        <f t="shared" ca="1" si="82"/>
        <v>#DIV/0!</v>
      </c>
      <c r="BK192" s="20" t="s">
        <v>194</v>
      </c>
      <c r="BL192" t="e">
        <f ca="1">AVERAGEIFS(INDIRECT($G$3),INDIRECT($G$3),"&gt;=0",Data!$B:$B,BK192,IF($A$20,Data!$J:$J,Data!#REF!),IF($A$20,"&lt;&gt;5",1))</f>
        <v>#DIV/0!</v>
      </c>
      <c r="BM192" s="20" t="e">
        <f t="shared" ca="1" si="83"/>
        <v>#DIV/0!</v>
      </c>
      <c r="BN192" t="s">
        <v>50</v>
      </c>
      <c r="BO192">
        <f ca="1">AVERAGEIFS(INDIRECT($H$3),INDIRECT($H$3),"&gt;=0",Data!$B:$B,BN192,IF($A$20,Data!$J:$J,Data!#REF!),IF($A$20,"&lt;&gt;5",1))</f>
        <v>1</v>
      </c>
      <c r="BP192" t="e">
        <f t="shared" ca="1" si="84"/>
        <v>#DIV/0!</v>
      </c>
      <c r="BQ192" t="s">
        <v>144</v>
      </c>
      <c r="BR192" t="e">
        <f ca="1">AVERAGEIFS(INDIRECT($I$3),INDIRECT($I$3),"&gt;=0",Data!$B:$B,BQ192,IF($A$20,Data!$J:$J,Data!#REF!),IF($A$20,"&lt;&gt;5",1))</f>
        <v>#DIV/0!</v>
      </c>
      <c r="BS192" t="e">
        <f t="shared" ca="1" si="85"/>
        <v>#DIV/0!</v>
      </c>
      <c r="BT192" t="s">
        <v>30</v>
      </c>
      <c r="BU192" t="e">
        <f ca="1">AVERAGEIFS(INDIRECT($J$3),INDIRECT($J$3),"&gt;=0",Data!$B:$B,BT192,IF($A$20,Data!$J:$J,Data!#REF!),IF($A$20,"&lt;&gt;5",1))</f>
        <v>#DIV/0!</v>
      </c>
      <c r="BV192" t="e">
        <f t="shared" ca="1" si="86"/>
        <v>#DIV/0!</v>
      </c>
    </row>
    <row r="193" spans="10:74" x14ac:dyDescent="0.35">
      <c r="J193">
        <f t="shared" si="87"/>
        <v>185</v>
      </c>
      <c r="K193" t="s">
        <v>64</v>
      </c>
      <c r="L193" t="e">
        <f ca="1">AVERAGEIFS(INDIRECT($B$3),INDIRECT($B$3),"&gt;=0",Data!$B:$B,$K193)</f>
        <v>#DIV/0!</v>
      </c>
      <c r="M193" t="e">
        <f t="shared" ca="1" si="88"/>
        <v>#DIV/0!</v>
      </c>
      <c r="N193" t="s">
        <v>199</v>
      </c>
      <c r="O193" t="e">
        <f ca="1">AVERAGEIFS(INDIRECT($C$3),INDIRECT($C$3),"&gt;=0",Data!$B:$B,$N193)</f>
        <v>#DIV/0!</v>
      </c>
      <c r="P193" t="e">
        <f t="shared" ca="1" si="61"/>
        <v>#DIV/0!</v>
      </c>
      <c r="Q193" t="s">
        <v>149</v>
      </c>
      <c r="R193" t="e">
        <f ca="1">AVERAGEIFS(INDIRECT($D$3),INDIRECT($D$3),"&gt;=0",Data!$B:$B,$Q193)</f>
        <v>#DIV/0!</v>
      </c>
      <c r="S193" t="e">
        <f t="shared" ca="1" si="62"/>
        <v>#DIV/0!</v>
      </c>
      <c r="T193" t="s">
        <v>124</v>
      </c>
      <c r="U193" t="e">
        <f ca="1">AVERAGEIFS(INDIRECT($E$3),INDIRECT($E$3),"&gt;=0",Data!$B:$B,$T193)</f>
        <v>#DIV/0!</v>
      </c>
      <c r="V193" t="e">
        <f t="shared" ca="1" si="63"/>
        <v>#DIV/0!</v>
      </c>
      <c r="W193" t="s">
        <v>198</v>
      </c>
      <c r="X193" t="e">
        <f ca="1">AVERAGEIFS(INDIRECT($F$3),INDIRECT($F$3),"&gt;=0",Data!$B:$B,$W193)</f>
        <v>#DIV/0!</v>
      </c>
      <c r="Y193" t="e">
        <f t="shared" ca="1" si="64"/>
        <v>#DIV/0!</v>
      </c>
      <c r="Z193" t="s">
        <v>13</v>
      </c>
      <c r="AA193" t="e">
        <f ca="1">AVERAGEIFS(INDIRECT($G$3),INDIRECT($G$3),"&gt;=0",Data!$B:$B,$Z193)</f>
        <v>#DIV/0!</v>
      </c>
      <c r="AB193" t="e">
        <f t="shared" ca="1" si="65"/>
        <v>#DIV/0!</v>
      </c>
      <c r="AC193" t="s">
        <v>159</v>
      </c>
      <c r="AD193" t="e">
        <f ca="1">AVERAGEIFS(INDIRECT($H$3),INDIRECT($H$3),"&gt;=0",Data!$B:$B,$AC193)</f>
        <v>#DIV/0!</v>
      </c>
      <c r="AE193" t="e">
        <f t="shared" ca="1" si="66"/>
        <v>#DIV/0!</v>
      </c>
      <c r="AF193" t="s">
        <v>47</v>
      </c>
      <c r="AG193">
        <f ca="1">AVERAGEIFS(INDIRECT($I$3),INDIRECT($I$3),"&gt;=0",Data!$B:$B,$AF193)</f>
        <v>0.30769230769230771</v>
      </c>
      <c r="AH193">
        <f t="shared" ca="1" si="67"/>
        <v>185</v>
      </c>
      <c r="AI193" t="s">
        <v>184</v>
      </c>
      <c r="AJ193" t="e">
        <f ca="1">AVERAGEIFS(INDIRECT($J$3),INDIRECT($J$3),"&gt;=0",Data!$B:$B,$AI193)</f>
        <v>#DIV/0!</v>
      </c>
      <c r="AK193" t="e">
        <f t="shared" ca="1" si="68"/>
        <v>#DIV/0!</v>
      </c>
      <c r="AL193" t="str">
        <f t="shared" ca="1" si="69"/>
        <v>-</v>
      </c>
      <c r="AM193" t="str">
        <f t="shared" ca="1" si="70"/>
        <v>-</v>
      </c>
      <c r="AN193" t="str">
        <f t="shared" ca="1" si="71"/>
        <v>-</v>
      </c>
      <c r="AO193" t="str">
        <f t="shared" ca="1" si="72"/>
        <v>-</v>
      </c>
      <c r="AP193" t="str">
        <f t="shared" ca="1" si="73"/>
        <v>-</v>
      </c>
      <c r="AQ193" t="str">
        <f t="shared" ca="1" si="74"/>
        <v>-</v>
      </c>
      <c r="AR193" t="str">
        <f t="shared" ca="1" si="75"/>
        <v>-</v>
      </c>
      <c r="AS193" t="str">
        <f t="shared" ca="1" si="76"/>
        <v>-</v>
      </c>
      <c r="AT193" t="str">
        <f t="shared" ca="1" si="77"/>
        <v>-</v>
      </c>
      <c r="AU193">
        <f t="shared" si="89"/>
        <v>185</v>
      </c>
      <c r="AV193" t="s">
        <v>23</v>
      </c>
      <c r="AW193" s="20" t="e">
        <f ca="1">AVERAGEIFS(INDIRECT($B$3),INDIRECT($B$3),"&gt;=0",Data!$B:$B,AV193,IF($A$20,Data!$J:$J,Data!#REF!),IF($A$20,"&lt;&gt;5",1))</f>
        <v>#DIV/0!</v>
      </c>
      <c r="AX193" t="e">
        <f t="shared" ca="1" si="78"/>
        <v>#DIV/0!</v>
      </c>
      <c r="AY193" s="20" t="s">
        <v>7</v>
      </c>
      <c r="AZ193" t="e">
        <f ca="1">AVERAGEIFS(INDIRECT($C$3),INDIRECT($C$3),"&gt;=0",Data!$B:$B,AY193,IF($A$20,Data!$J:$J,Data!#REF!),IF($A$20,"&lt;&gt;5",1))</f>
        <v>#DIV/0!</v>
      </c>
      <c r="BA193" s="20" t="e">
        <f t="shared" ca="1" si="79"/>
        <v>#DIV/0!</v>
      </c>
      <c r="BB193" t="s">
        <v>173</v>
      </c>
      <c r="BC193" s="20" t="e">
        <f ca="1">AVERAGEIFS(INDIRECT($D$3),INDIRECT($D$3),"&gt;=0",Data!$B:$B,BB193,IF($A$20,Data!$J:$J,Data!#REF!),IF($A$20,"&lt;&gt;5",1))</f>
        <v>#DIV/0!</v>
      </c>
      <c r="BD193" t="e">
        <f t="shared" ca="1" si="80"/>
        <v>#DIV/0!</v>
      </c>
      <c r="BE193" s="20" t="s">
        <v>172</v>
      </c>
      <c r="BF193" t="e">
        <f ca="1">AVERAGEIFS(INDIRECT($E$3),INDIRECT($E$3),"&gt;=0",Data!$B:$B,BE193,IF($A$20,Data!$J:$J,Data!#REF!),IF($A$20,"&lt;&gt;5",1))</f>
        <v>#DIV/0!</v>
      </c>
      <c r="BG193" s="20" t="e">
        <f t="shared" ca="1" si="81"/>
        <v>#DIV/0!</v>
      </c>
      <c r="BH193" t="s">
        <v>16</v>
      </c>
      <c r="BI193" s="20" t="e">
        <f ca="1">AVERAGEIFS(INDIRECT($F$3),INDIRECT($F$3),"&gt;=0",Data!$B:$B,BH193,IF($A$20,Data!$J:$J,Data!#REF!),IF($A$20,"&lt;&gt;5",1))</f>
        <v>#DIV/0!</v>
      </c>
      <c r="BJ193" t="e">
        <f t="shared" ca="1" si="82"/>
        <v>#DIV/0!</v>
      </c>
      <c r="BK193" s="20" t="s">
        <v>27</v>
      </c>
      <c r="BL193" t="e">
        <f ca="1">AVERAGEIFS(INDIRECT($G$3),INDIRECT($G$3),"&gt;=0",Data!$B:$B,BK193,IF($A$20,Data!$J:$J,Data!#REF!),IF($A$20,"&lt;&gt;5",1))</f>
        <v>#DIV/0!</v>
      </c>
      <c r="BM193" s="20" t="e">
        <f t="shared" ca="1" si="83"/>
        <v>#DIV/0!</v>
      </c>
      <c r="BN193" t="s">
        <v>65</v>
      </c>
      <c r="BO193" t="e">
        <f ca="1">AVERAGEIFS(INDIRECT($H$3),INDIRECT($H$3),"&gt;=0",Data!$B:$B,BN193,IF($A$20,Data!$J:$J,Data!#REF!),IF($A$20,"&lt;&gt;5",1))</f>
        <v>#DIV/0!</v>
      </c>
      <c r="BP193" t="e">
        <f t="shared" ca="1" si="84"/>
        <v>#DIV/0!</v>
      </c>
      <c r="BQ193" t="s">
        <v>127</v>
      </c>
      <c r="BR193" t="e">
        <f ca="1">AVERAGEIFS(INDIRECT($I$3),INDIRECT($I$3),"&gt;=0",Data!$B:$B,BQ193,IF($A$20,Data!$J:$J,Data!#REF!),IF($A$20,"&lt;&gt;5",1))</f>
        <v>#DIV/0!</v>
      </c>
      <c r="BS193" t="e">
        <f t="shared" ca="1" si="85"/>
        <v>#DIV/0!</v>
      </c>
      <c r="BT193" t="s">
        <v>53</v>
      </c>
      <c r="BU193" t="e">
        <f ca="1">AVERAGEIFS(INDIRECT($J$3),INDIRECT($J$3),"&gt;=0",Data!$B:$B,BT193,IF($A$20,Data!$J:$J,Data!#REF!),IF($A$20,"&lt;&gt;5",1))</f>
        <v>#DIV/0!</v>
      </c>
      <c r="BV193" t="e">
        <f t="shared" ca="1" si="86"/>
        <v>#DIV/0!</v>
      </c>
    </row>
    <row r="194" spans="10:74" x14ac:dyDescent="0.35">
      <c r="J194">
        <f t="shared" si="87"/>
        <v>186</v>
      </c>
      <c r="K194" t="s">
        <v>175</v>
      </c>
      <c r="L194" t="e">
        <f ca="1">AVERAGEIFS(INDIRECT($B$3),INDIRECT($B$3),"&gt;=0",Data!$B:$B,$K194)</f>
        <v>#DIV/0!</v>
      </c>
      <c r="M194" t="e">
        <f t="shared" ca="1" si="88"/>
        <v>#DIV/0!</v>
      </c>
      <c r="N194" t="s">
        <v>144</v>
      </c>
      <c r="O194" t="e">
        <f ca="1">AVERAGEIFS(INDIRECT($C$3),INDIRECT($C$3),"&gt;=0",Data!$B:$B,$N194)</f>
        <v>#DIV/0!</v>
      </c>
      <c r="P194" t="e">
        <f t="shared" ca="1" si="61"/>
        <v>#DIV/0!</v>
      </c>
      <c r="Q194" t="s">
        <v>173</v>
      </c>
      <c r="R194" t="e">
        <f ca="1">AVERAGEIFS(INDIRECT($D$3),INDIRECT($D$3),"&gt;=0",Data!$B:$B,$Q194)</f>
        <v>#DIV/0!</v>
      </c>
      <c r="S194" t="e">
        <f t="shared" ca="1" si="62"/>
        <v>#DIV/0!</v>
      </c>
      <c r="T194" t="s">
        <v>130</v>
      </c>
      <c r="U194" t="e">
        <f ca="1">AVERAGEIFS(INDIRECT($E$3),INDIRECT($E$3),"&gt;=0",Data!$B:$B,$T194)</f>
        <v>#DIV/0!</v>
      </c>
      <c r="V194" t="e">
        <f t="shared" ca="1" si="63"/>
        <v>#DIV/0!</v>
      </c>
      <c r="W194" t="s">
        <v>92</v>
      </c>
      <c r="X194" t="e">
        <f ca="1">AVERAGEIFS(INDIRECT($F$3),INDIRECT($F$3),"&gt;=0",Data!$B:$B,$W194)</f>
        <v>#DIV/0!</v>
      </c>
      <c r="Y194" t="e">
        <f t="shared" ca="1" si="64"/>
        <v>#DIV/0!</v>
      </c>
      <c r="Z194" t="s">
        <v>54</v>
      </c>
      <c r="AA194" t="e">
        <f ca="1">AVERAGEIFS(INDIRECT($G$3),INDIRECT($G$3),"&gt;=0",Data!$B:$B,$Z194)</f>
        <v>#DIV/0!</v>
      </c>
      <c r="AB194" t="e">
        <f t="shared" ca="1" si="65"/>
        <v>#DIV/0!</v>
      </c>
      <c r="AC194" t="s">
        <v>179</v>
      </c>
      <c r="AD194" t="e">
        <f ca="1">AVERAGEIFS(INDIRECT($H$3),INDIRECT($H$3),"&gt;=0",Data!$B:$B,$AC194)</f>
        <v>#DIV/0!</v>
      </c>
      <c r="AE194" t="e">
        <f t="shared" ca="1" si="66"/>
        <v>#DIV/0!</v>
      </c>
      <c r="AF194" t="s">
        <v>142</v>
      </c>
      <c r="AG194" t="e">
        <f ca="1">AVERAGEIFS(INDIRECT($I$3),INDIRECT($I$3),"&gt;=0",Data!$B:$B,$AF194)</f>
        <v>#DIV/0!</v>
      </c>
      <c r="AH194" t="e">
        <f t="shared" ca="1" si="67"/>
        <v>#DIV/0!</v>
      </c>
      <c r="AI194" t="s">
        <v>8</v>
      </c>
      <c r="AJ194" t="e">
        <f ca="1">AVERAGEIFS(INDIRECT($J$3),INDIRECT($J$3),"&gt;=0",Data!$B:$B,$AI194)</f>
        <v>#DIV/0!</v>
      </c>
      <c r="AK194" t="e">
        <f t="shared" ca="1" si="68"/>
        <v>#DIV/0!</v>
      </c>
      <c r="AL194" t="str">
        <f t="shared" ca="1" si="69"/>
        <v>-</v>
      </c>
      <c r="AM194" t="str">
        <f t="shared" ca="1" si="70"/>
        <v>-</v>
      </c>
      <c r="AN194" t="str">
        <f t="shared" ca="1" si="71"/>
        <v>-</v>
      </c>
      <c r="AO194" t="str">
        <f t="shared" ca="1" si="72"/>
        <v>-</v>
      </c>
      <c r="AP194" t="str">
        <f t="shared" ca="1" si="73"/>
        <v>-</v>
      </c>
      <c r="AQ194" t="str">
        <f t="shared" ca="1" si="74"/>
        <v>-</v>
      </c>
      <c r="AR194" t="str">
        <f t="shared" ca="1" si="75"/>
        <v>-</v>
      </c>
      <c r="AS194" t="str">
        <f t="shared" ca="1" si="76"/>
        <v>-</v>
      </c>
      <c r="AT194" t="str">
        <f t="shared" ca="1" si="77"/>
        <v>-</v>
      </c>
      <c r="AU194">
        <f t="shared" si="89"/>
        <v>186</v>
      </c>
      <c r="AV194" t="s">
        <v>123</v>
      </c>
      <c r="AW194" s="20" t="e">
        <f ca="1">AVERAGEIFS(INDIRECT($B$3),INDIRECT($B$3),"&gt;=0",Data!$B:$B,AV194,IF($A$20,Data!$J:$J,Data!#REF!),IF($A$20,"&lt;&gt;5",1))</f>
        <v>#DIV/0!</v>
      </c>
      <c r="AX194" t="e">
        <f t="shared" ca="1" si="78"/>
        <v>#DIV/0!</v>
      </c>
      <c r="AY194" s="20" t="s">
        <v>188</v>
      </c>
      <c r="AZ194" t="e">
        <f ca="1">AVERAGEIFS(INDIRECT($C$3),INDIRECT($C$3),"&gt;=0",Data!$B:$B,AY194,IF($A$20,Data!$J:$J,Data!#REF!),IF($A$20,"&lt;&gt;5",1))</f>
        <v>#DIV/0!</v>
      </c>
      <c r="BA194" s="20" t="e">
        <f t="shared" ca="1" si="79"/>
        <v>#DIV/0!</v>
      </c>
      <c r="BB194" t="s">
        <v>66</v>
      </c>
      <c r="BC194" s="20" t="e">
        <f ca="1">AVERAGEIFS(INDIRECT($D$3),INDIRECT($D$3),"&gt;=0",Data!$B:$B,BB194,IF($A$20,Data!$J:$J,Data!#REF!),IF($A$20,"&lt;&gt;5",1))</f>
        <v>#DIV/0!</v>
      </c>
      <c r="BD194" t="e">
        <f t="shared" ca="1" si="80"/>
        <v>#DIV/0!</v>
      </c>
      <c r="BE194" s="20" t="s">
        <v>176</v>
      </c>
      <c r="BF194" t="e">
        <f ca="1">AVERAGEIFS(INDIRECT($E$3),INDIRECT($E$3),"&gt;=0",Data!$B:$B,BE194,IF($A$20,Data!$J:$J,Data!#REF!),IF($A$20,"&lt;&gt;5",1))</f>
        <v>#DIV/0!</v>
      </c>
      <c r="BG194" s="20" t="e">
        <f t="shared" ca="1" si="81"/>
        <v>#DIV/0!</v>
      </c>
      <c r="BH194" t="s">
        <v>146</v>
      </c>
      <c r="BI194" s="20" t="e">
        <f ca="1">AVERAGEIFS(INDIRECT($F$3),INDIRECT($F$3),"&gt;=0",Data!$B:$B,BH194,IF($A$20,Data!$J:$J,Data!#REF!),IF($A$20,"&lt;&gt;5",1))</f>
        <v>#DIV/0!</v>
      </c>
      <c r="BJ194" t="e">
        <f t="shared" ca="1" si="82"/>
        <v>#DIV/0!</v>
      </c>
      <c r="BK194" s="20" t="s">
        <v>13</v>
      </c>
      <c r="BL194" t="e">
        <f ca="1">AVERAGEIFS(INDIRECT($G$3),INDIRECT($G$3),"&gt;=0",Data!$B:$B,BK194,IF($A$20,Data!$J:$J,Data!#REF!),IF($A$20,"&lt;&gt;5",1))</f>
        <v>#DIV/0!</v>
      </c>
      <c r="BM194" s="20" t="e">
        <f t="shared" ca="1" si="83"/>
        <v>#DIV/0!</v>
      </c>
      <c r="BN194" t="s">
        <v>123</v>
      </c>
      <c r="BO194" t="e">
        <f ca="1">AVERAGEIFS(INDIRECT($H$3),INDIRECT($H$3),"&gt;=0",Data!$B:$B,BN194,IF($A$20,Data!$J:$J,Data!#REF!),IF($A$20,"&lt;&gt;5",1))</f>
        <v>#DIV/0!</v>
      </c>
      <c r="BP194" t="e">
        <f t="shared" ca="1" si="84"/>
        <v>#DIV/0!</v>
      </c>
      <c r="BQ194" t="s">
        <v>85</v>
      </c>
      <c r="BR194">
        <f ca="1">AVERAGEIFS(INDIRECT($I$3),INDIRECT($I$3),"&gt;=0",Data!$B:$B,BQ194,IF($A$20,Data!$J:$J,Data!#REF!),IF($A$20,"&lt;&gt;5",1))</f>
        <v>0.5714285714285714</v>
      </c>
      <c r="BS194" t="e">
        <f t="shared" ca="1" si="85"/>
        <v>#DIV/0!</v>
      </c>
      <c r="BT194" t="s">
        <v>57</v>
      </c>
      <c r="BU194" t="e">
        <f ca="1">AVERAGEIFS(INDIRECT($J$3),INDIRECT($J$3),"&gt;=0",Data!$B:$B,BT194,IF($A$20,Data!$J:$J,Data!#REF!),IF($A$20,"&lt;&gt;5",1))</f>
        <v>#DIV/0!</v>
      </c>
      <c r="BV194" t="e">
        <f t="shared" ca="1" si="86"/>
        <v>#DIV/0!</v>
      </c>
    </row>
    <row r="195" spans="10:74" x14ac:dyDescent="0.35">
      <c r="J195">
        <f t="shared" si="87"/>
        <v>187</v>
      </c>
      <c r="K195" t="s">
        <v>115</v>
      </c>
      <c r="L195" t="e">
        <f ca="1">AVERAGEIFS(INDIRECT($B$3),INDIRECT($B$3),"&gt;=0",Data!$B:$B,$K195)</f>
        <v>#DIV/0!</v>
      </c>
      <c r="M195" t="e">
        <f t="shared" ca="1" si="88"/>
        <v>#DIV/0!</v>
      </c>
      <c r="N195" t="s">
        <v>165</v>
      </c>
      <c r="O195" t="e">
        <f ca="1">AVERAGEIFS(INDIRECT($C$3),INDIRECT($C$3),"&gt;=0",Data!$B:$B,$N195)</f>
        <v>#DIV/0!</v>
      </c>
      <c r="P195" t="e">
        <f t="shared" ca="1" si="61"/>
        <v>#DIV/0!</v>
      </c>
      <c r="Q195" t="s">
        <v>66</v>
      </c>
      <c r="R195" t="e">
        <f ca="1">AVERAGEIFS(INDIRECT($D$3),INDIRECT($D$3),"&gt;=0",Data!$B:$B,$Q195)</f>
        <v>#DIV/0!</v>
      </c>
      <c r="S195" t="e">
        <f t="shared" ca="1" si="62"/>
        <v>#DIV/0!</v>
      </c>
      <c r="T195" t="s">
        <v>132</v>
      </c>
      <c r="U195" t="e">
        <f ca="1">AVERAGEIFS(INDIRECT($E$3),INDIRECT($E$3),"&gt;=0",Data!$B:$B,$T195)</f>
        <v>#DIV/0!</v>
      </c>
      <c r="V195" t="e">
        <f t="shared" ca="1" si="63"/>
        <v>#DIV/0!</v>
      </c>
      <c r="W195" t="s">
        <v>16</v>
      </c>
      <c r="X195" t="e">
        <f ca="1">AVERAGEIFS(INDIRECT($F$3),INDIRECT($F$3),"&gt;=0",Data!$B:$B,$W195)</f>
        <v>#DIV/0!</v>
      </c>
      <c r="Y195" t="e">
        <f t="shared" ca="1" si="64"/>
        <v>#DIV/0!</v>
      </c>
      <c r="Z195" t="s">
        <v>17</v>
      </c>
      <c r="AA195" t="e">
        <f ca="1">AVERAGEIFS(INDIRECT($G$3),INDIRECT($G$3),"&gt;=0",Data!$B:$B,$Z195)</f>
        <v>#DIV/0!</v>
      </c>
      <c r="AB195" t="e">
        <f t="shared" ca="1" si="65"/>
        <v>#DIV/0!</v>
      </c>
      <c r="AC195" t="s">
        <v>195</v>
      </c>
      <c r="AD195" t="e">
        <f ca="1">AVERAGEIFS(INDIRECT($H$3),INDIRECT($H$3),"&gt;=0",Data!$B:$B,$AC195)</f>
        <v>#DIV/0!</v>
      </c>
      <c r="AE195" t="e">
        <f t="shared" ca="1" si="66"/>
        <v>#DIV/0!</v>
      </c>
      <c r="AF195" t="s">
        <v>48</v>
      </c>
      <c r="AG195">
        <f ca="1">AVERAGEIFS(INDIRECT($I$3),INDIRECT($I$3),"&gt;=0",Data!$B:$B,$AF195)</f>
        <v>0.6</v>
      </c>
      <c r="AH195" t="e">
        <f t="shared" ca="1" si="67"/>
        <v>#DIV/0!</v>
      </c>
      <c r="AI195" t="s">
        <v>190</v>
      </c>
      <c r="AJ195" t="e">
        <f ca="1">AVERAGEIFS(INDIRECT($J$3),INDIRECT($J$3),"&gt;=0",Data!$B:$B,$AI195)</f>
        <v>#DIV/0!</v>
      </c>
      <c r="AK195" t="e">
        <f t="shared" ca="1" si="68"/>
        <v>#DIV/0!</v>
      </c>
      <c r="AL195" t="str">
        <f t="shared" ca="1" si="69"/>
        <v>-</v>
      </c>
      <c r="AM195" t="str">
        <f t="shared" ca="1" si="70"/>
        <v>-</v>
      </c>
      <c r="AN195" t="str">
        <f t="shared" ca="1" si="71"/>
        <v>-</v>
      </c>
      <c r="AO195" t="str">
        <f t="shared" ca="1" si="72"/>
        <v>-</v>
      </c>
      <c r="AP195" t="str">
        <f t="shared" ca="1" si="73"/>
        <v>-</v>
      </c>
      <c r="AQ195" t="str">
        <f t="shared" ca="1" si="74"/>
        <v>-</v>
      </c>
      <c r="AR195" t="str">
        <f t="shared" ca="1" si="75"/>
        <v>-</v>
      </c>
      <c r="AS195" t="str">
        <f t="shared" ca="1" si="76"/>
        <v>-</v>
      </c>
      <c r="AT195" t="str">
        <f t="shared" ca="1" si="77"/>
        <v>-</v>
      </c>
      <c r="AU195">
        <f t="shared" si="89"/>
        <v>187</v>
      </c>
      <c r="AV195" t="s">
        <v>177</v>
      </c>
      <c r="AW195" s="20" t="e">
        <f ca="1">AVERAGEIFS(INDIRECT($B$3),INDIRECT($B$3),"&gt;=0",Data!$B:$B,AV195,IF($A$20,Data!$J:$J,Data!#REF!),IF($A$20,"&lt;&gt;5",1))</f>
        <v>#DIV/0!</v>
      </c>
      <c r="AX195" t="e">
        <f t="shared" ca="1" si="78"/>
        <v>#DIV/0!</v>
      </c>
      <c r="AY195" s="20" t="s">
        <v>161</v>
      </c>
      <c r="AZ195" t="e">
        <f ca="1">AVERAGEIFS(INDIRECT($C$3),INDIRECT($C$3),"&gt;=0",Data!$B:$B,AY195,IF($A$20,Data!$J:$J,Data!#REF!),IF($A$20,"&lt;&gt;5",1))</f>
        <v>#DIV/0!</v>
      </c>
      <c r="BA195" s="20" t="e">
        <f t="shared" ca="1" si="79"/>
        <v>#DIV/0!</v>
      </c>
      <c r="BB195" t="s">
        <v>198</v>
      </c>
      <c r="BC195" s="20" t="e">
        <f ca="1">AVERAGEIFS(INDIRECT($D$3),INDIRECT($D$3),"&gt;=0",Data!$B:$B,BB195,IF($A$20,Data!$J:$J,Data!#REF!),IF($A$20,"&lt;&gt;5",1))</f>
        <v>#DIV/0!</v>
      </c>
      <c r="BD195" t="e">
        <f t="shared" ca="1" si="80"/>
        <v>#DIV/0!</v>
      </c>
      <c r="BE195" s="20" t="s">
        <v>177</v>
      </c>
      <c r="BF195" t="e">
        <f ca="1">AVERAGEIFS(INDIRECT($E$3),INDIRECT($E$3),"&gt;=0",Data!$B:$B,BE195,IF($A$20,Data!$J:$J,Data!#REF!),IF($A$20,"&lt;&gt;5",1))</f>
        <v>#DIV/0!</v>
      </c>
      <c r="BG195" s="20" t="e">
        <f t="shared" ca="1" si="81"/>
        <v>#DIV/0!</v>
      </c>
      <c r="BH195" t="s">
        <v>69</v>
      </c>
      <c r="BI195" s="20" t="e">
        <f ca="1">AVERAGEIFS(INDIRECT($F$3),INDIRECT($F$3),"&gt;=0",Data!$B:$B,BH195,IF($A$20,Data!$J:$J,Data!#REF!),IF($A$20,"&lt;&gt;5",1))</f>
        <v>#DIV/0!</v>
      </c>
      <c r="BJ195" t="e">
        <f t="shared" ca="1" si="82"/>
        <v>#DIV/0!</v>
      </c>
      <c r="BK195" s="20" t="s">
        <v>42</v>
      </c>
      <c r="BL195" t="e">
        <f ca="1">AVERAGEIFS(INDIRECT($G$3),INDIRECT($G$3),"&gt;=0",Data!$B:$B,BK195,IF($A$20,Data!$J:$J,Data!#REF!),IF($A$20,"&lt;&gt;5",1))</f>
        <v>#DIV/0!</v>
      </c>
      <c r="BM195" s="20" t="e">
        <f t="shared" ca="1" si="83"/>
        <v>#DIV/0!</v>
      </c>
      <c r="BN195" t="s">
        <v>23</v>
      </c>
      <c r="BO195" t="e">
        <f ca="1">AVERAGEIFS(INDIRECT($H$3),INDIRECT($H$3),"&gt;=0",Data!$B:$B,BN195,IF($A$20,Data!$J:$J,Data!#REF!),IF($A$20,"&lt;&gt;5",1))</f>
        <v>#DIV/0!</v>
      </c>
      <c r="BP195" t="e">
        <f t="shared" ca="1" si="84"/>
        <v>#DIV/0!</v>
      </c>
      <c r="BQ195" t="s">
        <v>109</v>
      </c>
      <c r="BR195" t="e">
        <f ca="1">AVERAGEIFS(INDIRECT($I$3),INDIRECT($I$3),"&gt;=0",Data!$B:$B,BQ195,IF($A$20,Data!$J:$J,Data!#REF!),IF($A$20,"&lt;&gt;5",1))</f>
        <v>#DIV/0!</v>
      </c>
      <c r="BS195" t="e">
        <f t="shared" ca="1" si="85"/>
        <v>#DIV/0!</v>
      </c>
      <c r="BT195" t="s">
        <v>45</v>
      </c>
      <c r="BU195" t="e">
        <f ca="1">AVERAGEIFS(INDIRECT($J$3),INDIRECT($J$3),"&gt;=0",Data!$B:$B,BT195,IF($A$20,Data!$J:$J,Data!#REF!),IF($A$20,"&lt;&gt;5",1))</f>
        <v>#DIV/0!</v>
      </c>
      <c r="BV195" t="e">
        <f t="shared" ca="1" si="86"/>
        <v>#DIV/0!</v>
      </c>
    </row>
    <row r="196" spans="10:74" x14ac:dyDescent="0.35">
      <c r="J196">
        <f t="shared" si="87"/>
        <v>188</v>
      </c>
      <c r="K196" t="s">
        <v>2</v>
      </c>
      <c r="L196" t="e">
        <f ca="1">AVERAGEIFS(INDIRECT($B$3),INDIRECT($B$3),"&gt;=0",Data!$B:$B,$K196)</f>
        <v>#DIV/0!</v>
      </c>
      <c r="M196" t="e">
        <f t="shared" ca="1" si="88"/>
        <v>#DIV/0!</v>
      </c>
      <c r="N196" t="s">
        <v>29</v>
      </c>
      <c r="O196" t="e">
        <f ca="1">AVERAGEIFS(INDIRECT($C$3),INDIRECT($C$3),"&gt;=0",Data!$B:$B,$N196)</f>
        <v>#DIV/0!</v>
      </c>
      <c r="P196" t="e">
        <f t="shared" ca="1" si="61"/>
        <v>#DIV/0!</v>
      </c>
      <c r="Q196" t="s">
        <v>150</v>
      </c>
      <c r="R196" t="e">
        <f ca="1">AVERAGEIFS(INDIRECT($D$3),INDIRECT($D$3),"&gt;=0",Data!$B:$B,$Q196)</f>
        <v>#DIV/0!</v>
      </c>
      <c r="S196" t="e">
        <f t="shared" ca="1" si="62"/>
        <v>#DIV/0!</v>
      </c>
      <c r="T196" t="s">
        <v>136</v>
      </c>
      <c r="U196" t="e">
        <f ca="1">AVERAGEIFS(INDIRECT($E$3),INDIRECT($E$3),"&gt;=0",Data!$B:$B,$T196)</f>
        <v>#DIV/0!</v>
      </c>
      <c r="V196" t="e">
        <f t="shared" ca="1" si="63"/>
        <v>#DIV/0!</v>
      </c>
      <c r="W196" t="s">
        <v>77</v>
      </c>
      <c r="X196" t="e">
        <f ca="1">AVERAGEIFS(INDIRECT($F$3),INDIRECT($F$3),"&gt;=0",Data!$B:$B,$W196)</f>
        <v>#DIV/0!</v>
      </c>
      <c r="Y196" t="e">
        <f t="shared" ca="1" si="64"/>
        <v>#DIV/0!</v>
      </c>
      <c r="Z196" t="s">
        <v>24</v>
      </c>
      <c r="AA196" t="e">
        <f ca="1">AVERAGEIFS(INDIRECT($G$3),INDIRECT($G$3),"&gt;=0",Data!$B:$B,$Z196)</f>
        <v>#DIV/0!</v>
      </c>
      <c r="AB196" t="e">
        <f t="shared" ca="1" si="65"/>
        <v>#DIV/0!</v>
      </c>
      <c r="AC196" t="s">
        <v>199</v>
      </c>
      <c r="AD196" t="e">
        <f ca="1">AVERAGEIFS(INDIRECT($H$3),INDIRECT($H$3),"&gt;=0",Data!$B:$B,$AC196)</f>
        <v>#DIV/0!</v>
      </c>
      <c r="AE196" t="e">
        <f t="shared" ca="1" si="66"/>
        <v>#DIV/0!</v>
      </c>
      <c r="AF196" t="s">
        <v>117</v>
      </c>
      <c r="AG196" t="e">
        <f ca="1">AVERAGEIFS(INDIRECT($I$3),INDIRECT($I$3),"&gt;=0",Data!$B:$B,$AF196)</f>
        <v>#DIV/0!</v>
      </c>
      <c r="AH196" t="e">
        <f t="shared" ca="1" si="67"/>
        <v>#DIV/0!</v>
      </c>
      <c r="AI196" t="s">
        <v>30</v>
      </c>
      <c r="AJ196" t="e">
        <f ca="1">AVERAGEIFS(INDIRECT($J$3),INDIRECT($J$3),"&gt;=0",Data!$B:$B,$AI196)</f>
        <v>#DIV/0!</v>
      </c>
      <c r="AK196" t="e">
        <f t="shared" ca="1" si="68"/>
        <v>#DIV/0!</v>
      </c>
      <c r="AL196" t="str">
        <f t="shared" ca="1" si="69"/>
        <v>-</v>
      </c>
      <c r="AM196" t="str">
        <f t="shared" ca="1" si="70"/>
        <v>-</v>
      </c>
      <c r="AN196" t="str">
        <f t="shared" ca="1" si="71"/>
        <v>-</v>
      </c>
      <c r="AO196" t="str">
        <f t="shared" ca="1" si="72"/>
        <v>-</v>
      </c>
      <c r="AP196" t="str">
        <f t="shared" ca="1" si="73"/>
        <v>-</v>
      </c>
      <c r="AQ196" t="str">
        <f t="shared" ca="1" si="74"/>
        <v>-</v>
      </c>
      <c r="AR196" t="str">
        <f t="shared" ca="1" si="75"/>
        <v>-</v>
      </c>
      <c r="AS196" t="str">
        <f t="shared" ca="1" si="76"/>
        <v>-</v>
      </c>
      <c r="AT196" t="str">
        <f t="shared" ca="1" si="77"/>
        <v>-</v>
      </c>
      <c r="AU196">
        <f t="shared" si="89"/>
        <v>188</v>
      </c>
      <c r="AV196" t="s">
        <v>103</v>
      </c>
      <c r="AW196" s="20" t="e">
        <f ca="1">AVERAGEIFS(INDIRECT($B$3),INDIRECT($B$3),"&gt;=0",Data!$B:$B,AV196,IF($A$20,Data!$J:$J,Data!#REF!),IF($A$20,"&lt;&gt;5",1))</f>
        <v>#DIV/0!</v>
      </c>
      <c r="AX196" t="e">
        <f t="shared" ca="1" si="78"/>
        <v>#DIV/0!</v>
      </c>
      <c r="AY196" s="20" t="s">
        <v>192</v>
      </c>
      <c r="AZ196" t="e">
        <f ca="1">AVERAGEIFS(INDIRECT($C$3),INDIRECT($C$3),"&gt;=0",Data!$B:$B,AY196,IF($A$20,Data!$J:$J,Data!#REF!),IF($A$20,"&lt;&gt;5",1))</f>
        <v>#DIV/0!</v>
      </c>
      <c r="BA196" s="20" t="e">
        <f t="shared" ca="1" si="79"/>
        <v>#DIV/0!</v>
      </c>
      <c r="BB196" t="s">
        <v>150</v>
      </c>
      <c r="BC196" s="20" t="e">
        <f ca="1">AVERAGEIFS(INDIRECT($D$3),INDIRECT($D$3),"&gt;=0",Data!$B:$B,BB196,IF($A$20,Data!$J:$J,Data!#REF!),IF($A$20,"&lt;&gt;5",1))</f>
        <v>#DIV/0!</v>
      </c>
      <c r="BD196" t="e">
        <f t="shared" ca="1" si="80"/>
        <v>#DIV/0!</v>
      </c>
      <c r="BE196" s="20" t="s">
        <v>178</v>
      </c>
      <c r="BF196" t="e">
        <f ca="1">AVERAGEIFS(INDIRECT($E$3),INDIRECT($E$3),"&gt;=0",Data!$B:$B,BE196,IF($A$20,Data!$J:$J,Data!#REF!),IF($A$20,"&lt;&gt;5",1))</f>
        <v>#DIV/0!</v>
      </c>
      <c r="BG196" s="20" t="e">
        <f t="shared" ca="1" si="81"/>
        <v>#DIV/0!</v>
      </c>
      <c r="BH196" t="s">
        <v>150</v>
      </c>
      <c r="BI196" s="20" t="e">
        <f ca="1">AVERAGEIFS(INDIRECT($F$3),INDIRECT($F$3),"&gt;=0",Data!$B:$B,BH196,IF($A$20,Data!$J:$J,Data!#REF!),IF($A$20,"&lt;&gt;5",1))</f>
        <v>#DIV/0!</v>
      </c>
      <c r="BJ196" t="e">
        <f t="shared" ca="1" si="82"/>
        <v>#DIV/0!</v>
      </c>
      <c r="BK196" s="20" t="s">
        <v>155</v>
      </c>
      <c r="BL196" t="e">
        <f ca="1">AVERAGEIFS(INDIRECT($G$3),INDIRECT($G$3),"&gt;=0",Data!$B:$B,BK196,IF($A$20,Data!$J:$J,Data!#REF!),IF($A$20,"&lt;&gt;5",1))</f>
        <v>#DIV/0!</v>
      </c>
      <c r="BM196" s="20" t="e">
        <f t="shared" ca="1" si="83"/>
        <v>#DIV/0!</v>
      </c>
      <c r="BN196" t="s">
        <v>58</v>
      </c>
      <c r="BO196">
        <f ca="1">AVERAGEIFS(INDIRECT($H$3),INDIRECT($H$3),"&gt;=0",Data!$B:$B,BN196,IF($A$20,Data!$J:$J,Data!#REF!),IF($A$20,"&lt;&gt;5",1))</f>
        <v>1</v>
      </c>
      <c r="BP196" t="e">
        <f t="shared" ca="1" si="84"/>
        <v>#DIV/0!</v>
      </c>
      <c r="BQ196" t="s">
        <v>160</v>
      </c>
      <c r="BR196" t="e">
        <f ca="1">AVERAGEIFS(INDIRECT($I$3),INDIRECT($I$3),"&gt;=0",Data!$B:$B,BQ196,IF($A$20,Data!$J:$J,Data!#REF!),IF($A$20,"&lt;&gt;5",1))</f>
        <v>#DIV/0!</v>
      </c>
      <c r="BS196" t="e">
        <f t="shared" ca="1" si="85"/>
        <v>#DIV/0!</v>
      </c>
      <c r="BT196" t="s">
        <v>66</v>
      </c>
      <c r="BU196" t="e">
        <f ca="1">AVERAGEIFS(INDIRECT($J$3),INDIRECT($J$3),"&gt;=0",Data!$B:$B,BT196,IF($A$20,Data!$J:$J,Data!#REF!),IF($A$20,"&lt;&gt;5",1))</f>
        <v>#DIV/0!</v>
      </c>
      <c r="BV196" t="e">
        <f t="shared" ca="1" si="86"/>
        <v>#DIV/0!</v>
      </c>
    </row>
    <row r="197" spans="10:74" x14ac:dyDescent="0.35">
      <c r="J197">
        <f t="shared" si="87"/>
        <v>189</v>
      </c>
      <c r="K197" t="s">
        <v>165</v>
      </c>
      <c r="L197" t="e">
        <f ca="1">AVERAGEIFS(INDIRECT($B$3),INDIRECT($B$3),"&gt;=0",Data!$B:$B,$K197)</f>
        <v>#DIV/0!</v>
      </c>
      <c r="M197" t="e">
        <f t="shared" ca="1" si="88"/>
        <v>#DIV/0!</v>
      </c>
      <c r="N197" t="s">
        <v>37</v>
      </c>
      <c r="O197" t="e">
        <f ca="1">AVERAGEIFS(INDIRECT($C$3),INDIRECT($C$3),"&gt;=0",Data!$B:$B,$N197)</f>
        <v>#DIV/0!</v>
      </c>
      <c r="P197" t="e">
        <f t="shared" ca="1" si="61"/>
        <v>#DIV/0!</v>
      </c>
      <c r="Q197" t="s">
        <v>59</v>
      </c>
      <c r="R197" t="e">
        <f ca="1">AVERAGEIFS(INDIRECT($D$3),INDIRECT($D$3),"&gt;=0",Data!$B:$B,$Q197)</f>
        <v>#DIV/0!</v>
      </c>
      <c r="S197" t="e">
        <f t="shared" ca="1" si="62"/>
        <v>#DIV/0!</v>
      </c>
      <c r="T197" t="s">
        <v>155</v>
      </c>
      <c r="U197" t="e">
        <f ca="1">AVERAGEIFS(INDIRECT($E$3),INDIRECT($E$3),"&gt;=0",Data!$B:$B,$T197)</f>
        <v>#DIV/0!</v>
      </c>
      <c r="V197" t="e">
        <f t="shared" ca="1" si="63"/>
        <v>#DIV/0!</v>
      </c>
      <c r="W197" t="s">
        <v>146</v>
      </c>
      <c r="X197" t="e">
        <f ca="1">AVERAGEIFS(INDIRECT($F$3),INDIRECT($F$3),"&gt;=0",Data!$B:$B,$W197)</f>
        <v>#DIV/0!</v>
      </c>
      <c r="Y197" t="e">
        <f t="shared" ca="1" si="64"/>
        <v>#DIV/0!</v>
      </c>
      <c r="Z197" t="s">
        <v>42</v>
      </c>
      <c r="AA197" t="e">
        <f ca="1">AVERAGEIFS(INDIRECT($G$3),INDIRECT($G$3),"&gt;=0",Data!$B:$B,$Z197)</f>
        <v>#DIV/0!</v>
      </c>
      <c r="AB197" t="e">
        <f t="shared" ca="1" si="65"/>
        <v>#DIV/0!</v>
      </c>
      <c r="AC197" t="s">
        <v>34</v>
      </c>
      <c r="AD197">
        <f ca="1">AVERAGEIFS(INDIRECT($H$3),INDIRECT($H$3),"&gt;=0",Data!$B:$B,$AC197)</f>
        <v>1</v>
      </c>
      <c r="AE197" t="e">
        <f t="shared" ca="1" si="66"/>
        <v>#DIV/0!</v>
      </c>
      <c r="AF197" t="s">
        <v>20</v>
      </c>
      <c r="AG197" t="e">
        <f ca="1">AVERAGEIFS(INDIRECT($I$3),INDIRECT($I$3),"&gt;=0",Data!$B:$B,$AF197)</f>
        <v>#DIV/0!</v>
      </c>
      <c r="AH197" t="e">
        <f t="shared" ca="1" si="67"/>
        <v>#DIV/0!</v>
      </c>
      <c r="AI197" t="s">
        <v>9</v>
      </c>
      <c r="AJ197" t="e">
        <f ca="1">AVERAGEIFS(INDIRECT($J$3),INDIRECT($J$3),"&gt;=0",Data!$B:$B,$AI197)</f>
        <v>#DIV/0!</v>
      </c>
      <c r="AK197" t="e">
        <f t="shared" ca="1" si="68"/>
        <v>#DIV/0!</v>
      </c>
      <c r="AL197" t="str">
        <f t="shared" ca="1" si="69"/>
        <v>-</v>
      </c>
      <c r="AM197" t="str">
        <f t="shared" ca="1" si="70"/>
        <v>-</v>
      </c>
      <c r="AN197" t="str">
        <f t="shared" ca="1" si="71"/>
        <v>-</v>
      </c>
      <c r="AO197" t="str">
        <f t="shared" ca="1" si="72"/>
        <v>-</v>
      </c>
      <c r="AP197" t="str">
        <f t="shared" ca="1" si="73"/>
        <v>-</v>
      </c>
      <c r="AQ197" t="str">
        <f t="shared" ca="1" si="74"/>
        <v>-</v>
      </c>
      <c r="AR197" t="str">
        <f t="shared" ca="1" si="75"/>
        <v>-</v>
      </c>
      <c r="AS197" t="str">
        <f t="shared" ca="1" si="76"/>
        <v>-</v>
      </c>
      <c r="AT197" t="str">
        <f t="shared" ca="1" si="77"/>
        <v>-</v>
      </c>
      <c r="AU197">
        <f t="shared" si="89"/>
        <v>189</v>
      </c>
      <c r="AV197" t="s">
        <v>146</v>
      </c>
      <c r="AW197" s="20" t="e">
        <f ca="1">AVERAGEIFS(INDIRECT($B$3),INDIRECT($B$3),"&gt;=0",Data!$B:$B,AV197,IF($A$20,Data!$J:$J,Data!#REF!),IF($A$20,"&lt;&gt;5",1))</f>
        <v>#DIV/0!</v>
      </c>
      <c r="AX197" t="e">
        <f t="shared" ca="1" si="78"/>
        <v>#DIV/0!</v>
      </c>
      <c r="AY197" s="20" t="s">
        <v>35</v>
      </c>
      <c r="AZ197" t="e">
        <f ca="1">AVERAGEIFS(INDIRECT($C$3),INDIRECT($C$3),"&gt;=0",Data!$B:$B,AY197,IF($A$20,Data!$J:$J,Data!#REF!),IF($A$20,"&lt;&gt;5",1))</f>
        <v>#DIV/0!</v>
      </c>
      <c r="BA197" s="20" t="e">
        <f t="shared" ca="1" si="79"/>
        <v>#DIV/0!</v>
      </c>
      <c r="BB197" t="s">
        <v>59</v>
      </c>
      <c r="BC197" s="20" t="e">
        <f ca="1">AVERAGEIFS(INDIRECT($D$3),INDIRECT($D$3),"&gt;=0",Data!$B:$B,BB197,IF($A$20,Data!$J:$J,Data!#REF!),IF($A$20,"&lt;&gt;5",1))</f>
        <v>#DIV/0!</v>
      </c>
      <c r="BD197" t="e">
        <f t="shared" ca="1" si="80"/>
        <v>#DIV/0!</v>
      </c>
      <c r="BE197" s="20" t="s">
        <v>182</v>
      </c>
      <c r="BF197" t="e">
        <f ca="1">AVERAGEIFS(INDIRECT($E$3),INDIRECT($E$3),"&gt;=0",Data!$B:$B,BE197,IF($A$20,Data!$J:$J,Data!#REF!),IF($A$20,"&lt;&gt;5",1))</f>
        <v>#DIV/0!</v>
      </c>
      <c r="BG197" s="20" t="e">
        <f t="shared" ca="1" si="81"/>
        <v>#DIV/0!</v>
      </c>
      <c r="BH197" t="s">
        <v>198</v>
      </c>
      <c r="BI197" s="20" t="e">
        <f ca="1">AVERAGEIFS(INDIRECT($F$3),INDIRECT($F$3),"&gt;=0",Data!$B:$B,BH197,IF($A$20,Data!$J:$J,Data!#REF!),IF($A$20,"&lt;&gt;5",1))</f>
        <v>#DIV/0!</v>
      </c>
      <c r="BJ197" t="e">
        <f t="shared" ca="1" si="82"/>
        <v>#DIV/0!</v>
      </c>
      <c r="BK197" s="20" t="s">
        <v>5</v>
      </c>
      <c r="BL197" t="e">
        <f ca="1">AVERAGEIFS(INDIRECT($G$3),INDIRECT($G$3),"&gt;=0",Data!$B:$B,BK197,IF($A$20,Data!$J:$J,Data!#REF!),IF($A$20,"&lt;&gt;5",1))</f>
        <v>#DIV/0!</v>
      </c>
      <c r="BM197" s="20" t="e">
        <f t="shared" ca="1" si="83"/>
        <v>#DIV/0!</v>
      </c>
      <c r="BN197" t="s">
        <v>76</v>
      </c>
      <c r="BO197" t="e">
        <f ca="1">AVERAGEIFS(INDIRECT($H$3),INDIRECT($H$3),"&gt;=0",Data!$B:$B,BN197,IF($A$20,Data!$J:$J,Data!#REF!),IF($A$20,"&lt;&gt;5",1))</f>
        <v>#DIV/0!</v>
      </c>
      <c r="BP197" t="e">
        <f t="shared" ca="1" si="84"/>
        <v>#DIV/0!</v>
      </c>
      <c r="BQ197" t="s">
        <v>59</v>
      </c>
      <c r="BR197" t="e">
        <f ca="1">AVERAGEIFS(INDIRECT($I$3),INDIRECT($I$3),"&gt;=0",Data!$B:$B,BQ197,IF($A$20,Data!$J:$J,Data!#REF!),IF($A$20,"&lt;&gt;5",1))</f>
        <v>#DIV/0!</v>
      </c>
      <c r="BS197" t="e">
        <f t="shared" ca="1" si="85"/>
        <v>#DIV/0!</v>
      </c>
      <c r="BT197" t="s">
        <v>27</v>
      </c>
      <c r="BU197" t="e">
        <f ca="1">AVERAGEIFS(INDIRECT($J$3),INDIRECT($J$3),"&gt;=0",Data!$B:$B,BT197,IF($A$20,Data!$J:$J,Data!#REF!),IF($A$20,"&lt;&gt;5",1))</f>
        <v>#DIV/0!</v>
      </c>
      <c r="BV197" t="e">
        <f t="shared" ca="1" si="86"/>
        <v>#DIV/0!</v>
      </c>
    </row>
    <row r="198" spans="10:74" x14ac:dyDescent="0.35">
      <c r="J198">
        <f t="shared" si="87"/>
        <v>190</v>
      </c>
      <c r="K198" t="s">
        <v>183</v>
      </c>
      <c r="L198" t="e">
        <f ca="1">AVERAGEIFS(INDIRECT($B$3),INDIRECT($B$3),"&gt;=0",Data!$B:$B,$K198)</f>
        <v>#DIV/0!</v>
      </c>
      <c r="M198" t="e">
        <f t="shared" ca="1" si="88"/>
        <v>#DIV/0!</v>
      </c>
      <c r="N198" t="s">
        <v>136</v>
      </c>
      <c r="O198" t="e">
        <f ca="1">AVERAGEIFS(INDIRECT($C$3),INDIRECT($C$3),"&gt;=0",Data!$B:$B,$N198)</f>
        <v>#DIV/0!</v>
      </c>
      <c r="P198" t="e">
        <f t="shared" ca="1" si="61"/>
        <v>#DIV/0!</v>
      </c>
      <c r="Q198" t="s">
        <v>16</v>
      </c>
      <c r="R198" t="e">
        <f ca="1">AVERAGEIFS(INDIRECT($D$3),INDIRECT($D$3),"&gt;=0",Data!$B:$B,$Q198)</f>
        <v>#DIV/0!</v>
      </c>
      <c r="S198" t="e">
        <f t="shared" ca="1" si="62"/>
        <v>#DIV/0!</v>
      </c>
      <c r="T198" t="s">
        <v>162</v>
      </c>
      <c r="U198" t="e">
        <f ca="1">AVERAGEIFS(INDIRECT($E$3),INDIRECT($E$3),"&gt;=0",Data!$B:$B,$T198)</f>
        <v>#DIV/0!</v>
      </c>
      <c r="V198" t="e">
        <f t="shared" ca="1" si="63"/>
        <v>#DIV/0!</v>
      </c>
      <c r="W198" t="s">
        <v>69</v>
      </c>
      <c r="X198" t="e">
        <f ca="1">AVERAGEIFS(INDIRECT($F$3),INDIRECT($F$3),"&gt;=0",Data!$B:$B,$W198)</f>
        <v>#DIV/0!</v>
      </c>
      <c r="Y198" t="e">
        <f t="shared" ca="1" si="64"/>
        <v>#DIV/0!</v>
      </c>
      <c r="Z198" t="s">
        <v>155</v>
      </c>
      <c r="AA198" t="e">
        <f ca="1">AVERAGEIFS(INDIRECT($G$3),INDIRECT($G$3),"&gt;=0",Data!$B:$B,$Z198)</f>
        <v>#DIV/0!</v>
      </c>
      <c r="AB198" t="e">
        <f t="shared" ca="1" si="65"/>
        <v>#DIV/0!</v>
      </c>
      <c r="AC198" t="s">
        <v>75</v>
      </c>
      <c r="AD198" t="e">
        <f ca="1">AVERAGEIFS(INDIRECT($H$3),INDIRECT($H$3),"&gt;=0",Data!$B:$B,$AC198)</f>
        <v>#DIV/0!</v>
      </c>
      <c r="AE198" t="e">
        <f t="shared" ca="1" si="66"/>
        <v>#DIV/0!</v>
      </c>
      <c r="AF198" t="s">
        <v>89</v>
      </c>
      <c r="AG198" t="e">
        <f ca="1">AVERAGEIFS(INDIRECT($I$3),INDIRECT($I$3),"&gt;=0",Data!$B:$B,$AF198)</f>
        <v>#DIV/0!</v>
      </c>
      <c r="AH198" t="e">
        <f t="shared" ca="1" si="67"/>
        <v>#DIV/0!</v>
      </c>
      <c r="AI198" t="s">
        <v>66</v>
      </c>
      <c r="AJ198" t="e">
        <f ca="1">AVERAGEIFS(INDIRECT($J$3),INDIRECT($J$3),"&gt;=0",Data!$B:$B,$AI198)</f>
        <v>#DIV/0!</v>
      </c>
      <c r="AK198" t="e">
        <f t="shared" ca="1" si="68"/>
        <v>#DIV/0!</v>
      </c>
      <c r="AL198" t="str">
        <f t="shared" ca="1" si="69"/>
        <v>-</v>
      </c>
      <c r="AM198" t="str">
        <f t="shared" ca="1" si="70"/>
        <v>-</v>
      </c>
      <c r="AN198" t="str">
        <f t="shared" ca="1" si="71"/>
        <v>-</v>
      </c>
      <c r="AO198" t="str">
        <f t="shared" ca="1" si="72"/>
        <v>-</v>
      </c>
      <c r="AP198" t="str">
        <f t="shared" ca="1" si="73"/>
        <v>-</v>
      </c>
      <c r="AQ198" t="str">
        <f t="shared" ca="1" si="74"/>
        <v>-</v>
      </c>
      <c r="AR198" t="str">
        <f t="shared" ca="1" si="75"/>
        <v>-</v>
      </c>
      <c r="AS198" t="str">
        <f t="shared" ca="1" si="76"/>
        <v>-</v>
      </c>
      <c r="AT198" t="str">
        <f t="shared" ca="1" si="77"/>
        <v>-</v>
      </c>
      <c r="AU198">
        <f t="shared" si="89"/>
        <v>190</v>
      </c>
      <c r="AV198" t="s">
        <v>182</v>
      </c>
      <c r="AW198" s="20" t="e">
        <f ca="1">AVERAGEIFS(INDIRECT($B$3),INDIRECT($B$3),"&gt;=0",Data!$B:$B,AV198,IF($A$20,Data!$J:$J,Data!#REF!),IF($A$20,"&lt;&gt;5",1))</f>
        <v>#DIV/0!</v>
      </c>
      <c r="AX198" t="e">
        <f t="shared" ca="1" si="78"/>
        <v>#DIV/0!</v>
      </c>
      <c r="AY198" s="20" t="s">
        <v>54</v>
      </c>
      <c r="AZ198" t="e">
        <f ca="1">AVERAGEIFS(INDIRECT($C$3),INDIRECT($C$3),"&gt;=0",Data!$B:$B,AY198,IF($A$20,Data!$J:$J,Data!#REF!),IF($A$20,"&lt;&gt;5",1))</f>
        <v>#DIV/0!</v>
      </c>
      <c r="BA198" s="20" t="e">
        <f t="shared" ca="1" si="79"/>
        <v>#DIV/0!</v>
      </c>
      <c r="BB198" t="s">
        <v>16</v>
      </c>
      <c r="BC198" s="20" t="e">
        <f ca="1">AVERAGEIFS(INDIRECT($D$3),INDIRECT($D$3),"&gt;=0",Data!$B:$B,BB198,IF($A$20,Data!$J:$J,Data!#REF!),IF($A$20,"&lt;&gt;5",1))</f>
        <v>#DIV/0!</v>
      </c>
      <c r="BD198" t="e">
        <f t="shared" ca="1" si="80"/>
        <v>#DIV/0!</v>
      </c>
      <c r="BE198" s="20" t="s">
        <v>190</v>
      </c>
      <c r="BF198" t="e">
        <f ca="1">AVERAGEIFS(INDIRECT($E$3),INDIRECT($E$3),"&gt;=0",Data!$B:$B,BE198,IF($A$20,Data!$J:$J,Data!#REF!),IF($A$20,"&lt;&gt;5",1))</f>
        <v>#DIV/0!</v>
      </c>
      <c r="BG198" s="20" t="e">
        <f t="shared" ca="1" si="81"/>
        <v>#DIV/0!</v>
      </c>
      <c r="BH198" t="s">
        <v>56</v>
      </c>
      <c r="BI198" s="20">
        <f ca="1">AVERAGEIFS(INDIRECT($F$3),INDIRECT($F$3),"&gt;=0",Data!$B:$B,BH198,IF($A$20,Data!$J:$J,Data!#REF!),IF($A$20,"&lt;&gt;5",1))</f>
        <v>0</v>
      </c>
      <c r="BJ198" t="e">
        <f t="shared" ca="1" si="82"/>
        <v>#DIV/0!</v>
      </c>
      <c r="BK198" s="20" t="s">
        <v>93</v>
      </c>
      <c r="BL198" t="e">
        <f ca="1">AVERAGEIFS(INDIRECT($G$3),INDIRECT($G$3),"&gt;=0",Data!$B:$B,BK198,IF($A$20,Data!$J:$J,Data!#REF!),IF($A$20,"&lt;&gt;5",1))</f>
        <v>#DIV/0!</v>
      </c>
      <c r="BM198" s="20" t="e">
        <f t="shared" ca="1" si="83"/>
        <v>#DIV/0!</v>
      </c>
      <c r="BN198" t="s">
        <v>4</v>
      </c>
      <c r="BO198" t="e">
        <f ca="1">AVERAGEIFS(INDIRECT($H$3),INDIRECT($H$3),"&gt;=0",Data!$B:$B,BN198,IF($A$20,Data!$J:$J,Data!#REF!),IF($A$20,"&lt;&gt;5",1))</f>
        <v>#DIV/0!</v>
      </c>
      <c r="BP198" t="e">
        <f t="shared" ca="1" si="84"/>
        <v>#DIV/0!</v>
      </c>
      <c r="BQ198" t="s">
        <v>20</v>
      </c>
      <c r="BR198" t="e">
        <f ca="1">AVERAGEIFS(INDIRECT($I$3),INDIRECT($I$3),"&gt;=0",Data!$B:$B,BQ198,IF($A$20,Data!$J:$J,Data!#REF!),IF($A$20,"&lt;&gt;5",1))</f>
        <v>#DIV/0!</v>
      </c>
      <c r="BS198" t="e">
        <f t="shared" ca="1" si="85"/>
        <v>#DIV/0!</v>
      </c>
      <c r="BT198" t="s">
        <v>101</v>
      </c>
      <c r="BU198" t="e">
        <f ca="1">AVERAGEIFS(INDIRECT($J$3),INDIRECT($J$3),"&gt;=0",Data!$B:$B,BT198,IF($A$20,Data!$J:$J,Data!#REF!),IF($A$20,"&lt;&gt;5",1))</f>
        <v>#DIV/0!</v>
      </c>
      <c r="BV198" t="e">
        <f t="shared" ca="1" si="86"/>
        <v>#DIV/0!</v>
      </c>
    </row>
    <row r="199" spans="10:74" x14ac:dyDescent="0.35">
      <c r="J199">
        <f t="shared" si="87"/>
        <v>191</v>
      </c>
      <c r="K199" t="s">
        <v>7</v>
      </c>
      <c r="L199" t="e">
        <f ca="1">AVERAGEIFS(INDIRECT($B$3),INDIRECT($B$3),"&gt;=0",Data!$B:$B,$K199)</f>
        <v>#DIV/0!</v>
      </c>
      <c r="M199" t="e">
        <f t="shared" ca="1" si="88"/>
        <v>#DIV/0!</v>
      </c>
      <c r="N199" t="s">
        <v>158</v>
      </c>
      <c r="O199" t="e">
        <f ca="1">AVERAGEIFS(INDIRECT($C$3),INDIRECT($C$3),"&gt;=0",Data!$B:$B,$N199)</f>
        <v>#DIV/0!</v>
      </c>
      <c r="P199" t="e">
        <f t="shared" ca="1" si="61"/>
        <v>#DIV/0!</v>
      </c>
      <c r="Q199" t="s">
        <v>15</v>
      </c>
      <c r="R199" t="e">
        <f ca="1">AVERAGEIFS(INDIRECT($D$3),INDIRECT($D$3),"&gt;=0",Data!$B:$B,$Q199)</f>
        <v>#DIV/0!</v>
      </c>
      <c r="S199" t="e">
        <f t="shared" ca="1" si="62"/>
        <v>#DIV/0!</v>
      </c>
      <c r="T199" t="s">
        <v>172</v>
      </c>
      <c r="U199" t="e">
        <f ca="1">AVERAGEIFS(INDIRECT($E$3),INDIRECT($E$3),"&gt;=0",Data!$B:$B,$T199)</f>
        <v>#DIV/0!</v>
      </c>
      <c r="V199" t="e">
        <f t="shared" ca="1" si="63"/>
        <v>#DIV/0!</v>
      </c>
      <c r="W199" t="s">
        <v>56</v>
      </c>
      <c r="X199">
        <f ca="1">AVERAGEIFS(INDIRECT($F$3),INDIRECT($F$3),"&gt;=0",Data!$B:$B,$W199)</f>
        <v>0</v>
      </c>
      <c r="Y199" t="e">
        <f t="shared" ca="1" si="64"/>
        <v>#DIV/0!</v>
      </c>
      <c r="Z199" t="s">
        <v>158</v>
      </c>
      <c r="AA199" t="e">
        <f ca="1">AVERAGEIFS(INDIRECT($G$3),INDIRECT($G$3),"&gt;=0",Data!$B:$B,$Z199)</f>
        <v>#DIV/0!</v>
      </c>
      <c r="AB199" t="e">
        <f t="shared" ca="1" si="65"/>
        <v>#DIV/0!</v>
      </c>
      <c r="AC199" t="s">
        <v>40</v>
      </c>
      <c r="AD199" t="e">
        <f ca="1">AVERAGEIFS(INDIRECT($H$3),INDIRECT($H$3),"&gt;=0",Data!$B:$B,$AC199)</f>
        <v>#DIV/0!</v>
      </c>
      <c r="AE199" t="e">
        <f t="shared" ca="1" si="66"/>
        <v>#DIV/0!</v>
      </c>
      <c r="AF199" t="s">
        <v>95</v>
      </c>
      <c r="AG199" t="e">
        <f ca="1">AVERAGEIFS(INDIRECT($I$3),INDIRECT($I$3),"&gt;=0",Data!$B:$B,$AF199)</f>
        <v>#DIV/0!</v>
      </c>
      <c r="AH199" t="e">
        <f t="shared" ca="1" si="67"/>
        <v>#DIV/0!</v>
      </c>
      <c r="AI199" t="s">
        <v>53</v>
      </c>
      <c r="AJ199" t="e">
        <f ca="1">AVERAGEIFS(INDIRECT($J$3),INDIRECT($J$3),"&gt;=0",Data!$B:$B,$AI199)</f>
        <v>#DIV/0!</v>
      </c>
      <c r="AK199" t="e">
        <f t="shared" ca="1" si="68"/>
        <v>#DIV/0!</v>
      </c>
      <c r="AL199" t="str">
        <f t="shared" ca="1" si="69"/>
        <v>-</v>
      </c>
      <c r="AM199" t="str">
        <f t="shared" ca="1" si="70"/>
        <v>-</v>
      </c>
      <c r="AN199" t="str">
        <f t="shared" ca="1" si="71"/>
        <v>-</v>
      </c>
      <c r="AO199" t="str">
        <f t="shared" ca="1" si="72"/>
        <v>-</v>
      </c>
      <c r="AP199" t="str">
        <f t="shared" ca="1" si="73"/>
        <v>-</v>
      </c>
      <c r="AQ199" t="str">
        <f t="shared" ca="1" si="74"/>
        <v>-</v>
      </c>
      <c r="AR199" t="str">
        <f t="shared" ca="1" si="75"/>
        <v>-</v>
      </c>
      <c r="AS199" t="str">
        <f t="shared" ca="1" si="76"/>
        <v>-</v>
      </c>
      <c r="AT199" t="str">
        <f t="shared" ca="1" si="77"/>
        <v>-</v>
      </c>
      <c r="AU199">
        <f t="shared" si="89"/>
        <v>191</v>
      </c>
      <c r="AV199" t="s">
        <v>37</v>
      </c>
      <c r="AW199" s="20" t="e">
        <f ca="1">AVERAGEIFS(INDIRECT($B$3),INDIRECT($B$3),"&gt;=0",Data!$B:$B,AV199,IF($A$20,Data!$J:$J,Data!#REF!),IF($A$20,"&lt;&gt;5",1))</f>
        <v>#DIV/0!</v>
      </c>
      <c r="AX199" t="e">
        <f t="shared" ca="1" si="78"/>
        <v>#DIV/0!</v>
      </c>
      <c r="AY199" s="20" t="s">
        <v>49</v>
      </c>
      <c r="AZ199" t="e">
        <f ca="1">AVERAGEIFS(INDIRECT($C$3),INDIRECT($C$3),"&gt;=0",Data!$B:$B,AY199,IF($A$20,Data!$J:$J,Data!#REF!),IF($A$20,"&lt;&gt;5",1))</f>
        <v>#DIV/0!</v>
      </c>
      <c r="BA199" s="20" t="e">
        <f t="shared" ca="1" si="79"/>
        <v>#DIV/0!</v>
      </c>
      <c r="BB199" t="s">
        <v>38</v>
      </c>
      <c r="BC199" s="20" t="e">
        <f ca="1">AVERAGEIFS(INDIRECT($D$3),INDIRECT($D$3),"&gt;=0",Data!$B:$B,BB199,IF($A$20,Data!$J:$J,Data!#REF!),IF($A$20,"&lt;&gt;5",1))</f>
        <v>#DIV/0!</v>
      </c>
      <c r="BD199" t="e">
        <f t="shared" ca="1" si="80"/>
        <v>#DIV/0!</v>
      </c>
      <c r="BE199" s="20" t="s">
        <v>191</v>
      </c>
      <c r="BF199" t="e">
        <f ca="1">AVERAGEIFS(INDIRECT($E$3),INDIRECT($E$3),"&gt;=0",Data!$B:$B,BE199,IF($A$20,Data!$J:$J,Data!#REF!),IF($A$20,"&lt;&gt;5",1))</f>
        <v>#DIV/0!</v>
      </c>
      <c r="BG199" s="20" t="e">
        <f t="shared" ca="1" si="81"/>
        <v>#DIV/0!</v>
      </c>
      <c r="BH199" t="s">
        <v>88</v>
      </c>
      <c r="BI199" s="20" t="e">
        <f ca="1">AVERAGEIFS(INDIRECT($F$3),INDIRECT($F$3),"&gt;=0",Data!$B:$B,BH199,IF($A$20,Data!$J:$J,Data!#REF!),IF($A$20,"&lt;&gt;5",1))</f>
        <v>#DIV/0!</v>
      </c>
      <c r="BJ199" t="e">
        <f t="shared" ca="1" si="82"/>
        <v>#DIV/0!</v>
      </c>
      <c r="BK199" s="20" t="s">
        <v>178</v>
      </c>
      <c r="BL199" t="e">
        <f ca="1">AVERAGEIFS(INDIRECT($G$3),INDIRECT($G$3),"&gt;=0",Data!$B:$B,BK199,IF($A$20,Data!$J:$J,Data!#REF!),IF($A$20,"&lt;&gt;5",1))</f>
        <v>#DIV/0!</v>
      </c>
      <c r="BM199" s="20" t="e">
        <f t="shared" ca="1" si="83"/>
        <v>#DIV/0!</v>
      </c>
      <c r="BN199" t="s">
        <v>173</v>
      </c>
      <c r="BO199" t="e">
        <f ca="1">AVERAGEIFS(INDIRECT($H$3),INDIRECT($H$3),"&gt;=0",Data!$B:$B,BN199,IF($A$20,Data!$J:$J,Data!#REF!),IF($A$20,"&lt;&gt;5",1))</f>
        <v>#DIV/0!</v>
      </c>
      <c r="BP199" t="e">
        <f t="shared" ca="1" si="84"/>
        <v>#DIV/0!</v>
      </c>
      <c r="BQ199" t="s">
        <v>126</v>
      </c>
      <c r="BR199" t="e">
        <f ca="1">AVERAGEIFS(INDIRECT($I$3),INDIRECT($I$3),"&gt;=0",Data!$B:$B,BQ199,IF($A$20,Data!$J:$J,Data!#REF!),IF($A$20,"&lt;&gt;5",1))</f>
        <v>#DIV/0!</v>
      </c>
      <c r="BS199" t="e">
        <f t="shared" ca="1" si="85"/>
        <v>#DIV/0!</v>
      </c>
      <c r="BT199" t="s">
        <v>10</v>
      </c>
      <c r="BU199" t="e">
        <f ca="1">AVERAGEIFS(INDIRECT($J$3),INDIRECT($J$3),"&gt;=0",Data!$B:$B,BT199,IF($A$20,Data!$J:$J,Data!#REF!),IF($A$20,"&lt;&gt;5",1))</f>
        <v>#DIV/0!</v>
      </c>
      <c r="BV199" t="e">
        <f t="shared" ca="1" si="86"/>
        <v>#DIV/0!</v>
      </c>
    </row>
    <row r="200" spans="10:74" x14ac:dyDescent="0.35">
      <c r="J200">
        <f t="shared" si="87"/>
        <v>192</v>
      </c>
      <c r="K200" t="s">
        <v>39</v>
      </c>
      <c r="L200" t="e">
        <f ca="1">AVERAGEIFS(INDIRECT($B$3),INDIRECT($B$3),"&gt;=0",Data!$B:$B,$K200)</f>
        <v>#DIV/0!</v>
      </c>
      <c r="M200" t="e">
        <f t="shared" ca="1" si="88"/>
        <v>#DIV/0!</v>
      </c>
      <c r="N200" t="s">
        <v>68</v>
      </c>
      <c r="O200" t="e">
        <f ca="1">AVERAGEIFS(INDIRECT($C$3),INDIRECT($C$3),"&gt;=0",Data!$B:$B,$N200)</f>
        <v>#DIV/0!</v>
      </c>
      <c r="P200" t="e">
        <f t="shared" ca="1" si="61"/>
        <v>#DIV/0!</v>
      </c>
      <c r="Q200" t="s">
        <v>31</v>
      </c>
      <c r="R200" t="e">
        <f ca="1">AVERAGEIFS(INDIRECT($D$3),INDIRECT($D$3),"&gt;=0",Data!$B:$B,$Q200)</f>
        <v>#DIV/0!</v>
      </c>
      <c r="S200" t="e">
        <f t="shared" ca="1" si="62"/>
        <v>#DIV/0!</v>
      </c>
      <c r="T200" t="s">
        <v>176</v>
      </c>
      <c r="U200" t="e">
        <f ca="1">AVERAGEIFS(INDIRECT($E$3),INDIRECT($E$3),"&gt;=0",Data!$B:$B,$T200)</f>
        <v>#DIV/0!</v>
      </c>
      <c r="V200" t="e">
        <f t="shared" ca="1" si="63"/>
        <v>#DIV/0!</v>
      </c>
      <c r="W200" t="s">
        <v>15</v>
      </c>
      <c r="X200" t="e">
        <f ca="1">AVERAGEIFS(INDIRECT($F$3),INDIRECT($F$3),"&gt;=0",Data!$B:$B,$W200)</f>
        <v>#DIV/0!</v>
      </c>
      <c r="Y200" t="e">
        <f t="shared" ca="1" si="64"/>
        <v>#DIV/0!</v>
      </c>
      <c r="Z200" t="s">
        <v>173</v>
      </c>
      <c r="AA200" t="e">
        <f ca="1">AVERAGEIFS(INDIRECT($G$3),INDIRECT($G$3),"&gt;=0",Data!$B:$B,$Z200)</f>
        <v>#DIV/0!</v>
      </c>
      <c r="AB200" t="e">
        <f t="shared" ca="1" si="65"/>
        <v>#DIV/0!</v>
      </c>
      <c r="AC200" t="s">
        <v>50</v>
      </c>
      <c r="AD200">
        <f ca="1">AVERAGEIFS(INDIRECT($H$3),INDIRECT($H$3),"&gt;=0",Data!$B:$B,$AC200)</f>
        <v>1</v>
      </c>
      <c r="AE200" t="e">
        <f t="shared" ca="1" si="66"/>
        <v>#DIV/0!</v>
      </c>
      <c r="AF200" t="s">
        <v>109</v>
      </c>
      <c r="AG200" t="e">
        <f ca="1">AVERAGEIFS(INDIRECT($I$3),INDIRECT($I$3),"&gt;=0",Data!$B:$B,$AF200)</f>
        <v>#DIV/0!</v>
      </c>
      <c r="AH200" t="e">
        <f t="shared" ca="1" si="67"/>
        <v>#DIV/0!</v>
      </c>
      <c r="AI200" t="s">
        <v>57</v>
      </c>
      <c r="AJ200" t="e">
        <f ca="1">AVERAGEIFS(INDIRECT($J$3),INDIRECT($J$3),"&gt;=0",Data!$B:$B,$AI200)</f>
        <v>#DIV/0!</v>
      </c>
      <c r="AK200" t="e">
        <f t="shared" ca="1" si="68"/>
        <v>#DIV/0!</v>
      </c>
      <c r="AL200" t="str">
        <f t="shared" ca="1" si="69"/>
        <v>-</v>
      </c>
      <c r="AM200" t="str">
        <f t="shared" ca="1" si="70"/>
        <v>-</v>
      </c>
      <c r="AN200" t="str">
        <f t="shared" ca="1" si="71"/>
        <v>-</v>
      </c>
      <c r="AO200" t="str">
        <f t="shared" ca="1" si="72"/>
        <v>-</v>
      </c>
      <c r="AP200" t="str">
        <f t="shared" ca="1" si="73"/>
        <v>-</v>
      </c>
      <c r="AQ200" t="str">
        <f t="shared" ca="1" si="74"/>
        <v>-</v>
      </c>
      <c r="AR200" t="str">
        <f t="shared" ca="1" si="75"/>
        <v>-</v>
      </c>
      <c r="AS200" t="str">
        <f t="shared" ca="1" si="76"/>
        <v>-</v>
      </c>
      <c r="AT200" t="str">
        <f t="shared" ca="1" si="77"/>
        <v>-</v>
      </c>
      <c r="AU200">
        <f t="shared" si="89"/>
        <v>192</v>
      </c>
      <c r="AV200" t="s">
        <v>165</v>
      </c>
      <c r="AW200" s="20" t="e">
        <f ca="1">AVERAGEIFS(INDIRECT($B$3),INDIRECT($B$3),"&gt;=0",Data!$B:$B,AV200,IF($A$20,Data!$J:$J,Data!#REF!),IF($A$20,"&lt;&gt;5",1))</f>
        <v>#DIV/0!</v>
      </c>
      <c r="AX200" t="e">
        <f t="shared" ca="1" si="78"/>
        <v>#DIV/0!</v>
      </c>
      <c r="AY200" s="20" t="s">
        <v>177</v>
      </c>
      <c r="AZ200" t="e">
        <f ca="1">AVERAGEIFS(INDIRECT($C$3),INDIRECT($C$3),"&gt;=0",Data!$B:$B,AY200,IF($A$20,Data!$J:$J,Data!#REF!),IF($A$20,"&lt;&gt;5",1))</f>
        <v>#DIV/0!</v>
      </c>
      <c r="BA200" s="20" t="e">
        <f t="shared" ca="1" si="79"/>
        <v>#DIV/0!</v>
      </c>
      <c r="BB200" t="s">
        <v>162</v>
      </c>
      <c r="BC200" s="20" t="e">
        <f ca="1">AVERAGEIFS(INDIRECT($D$3),INDIRECT($D$3),"&gt;=0",Data!$B:$B,BB200,IF($A$20,Data!$J:$J,Data!#REF!),IF($A$20,"&lt;&gt;5",1))</f>
        <v>#DIV/0!</v>
      </c>
      <c r="BD200" t="e">
        <f t="shared" ca="1" si="80"/>
        <v>#DIV/0!</v>
      </c>
      <c r="BE200" s="20" t="s">
        <v>198</v>
      </c>
      <c r="BF200" t="e">
        <f ca="1">AVERAGEIFS(INDIRECT($E$3),INDIRECT($E$3),"&gt;=0",Data!$B:$B,BE200,IF($A$20,Data!$J:$J,Data!#REF!),IF($A$20,"&lt;&gt;5",1))</f>
        <v>#DIV/0!</v>
      </c>
      <c r="BG200" s="20" t="e">
        <f t="shared" ca="1" si="81"/>
        <v>#DIV/0!</v>
      </c>
      <c r="BH200" t="s">
        <v>182</v>
      </c>
      <c r="BI200" s="20" t="e">
        <f ca="1">AVERAGEIFS(INDIRECT($F$3),INDIRECT($F$3),"&gt;=0",Data!$B:$B,BH200,IF($A$20,Data!$J:$J,Data!#REF!),IF($A$20,"&lt;&gt;5",1))</f>
        <v>#DIV/0!</v>
      </c>
      <c r="BJ200" t="e">
        <f t="shared" ca="1" si="82"/>
        <v>#DIV/0!</v>
      </c>
      <c r="BK200" s="20" t="s">
        <v>198</v>
      </c>
      <c r="BL200" t="e">
        <f ca="1">AVERAGEIFS(INDIRECT($G$3),INDIRECT($G$3),"&gt;=0",Data!$B:$B,BK200,IF($A$20,Data!$J:$J,Data!#REF!),IF($A$20,"&lt;&gt;5",1))</f>
        <v>#DIV/0!</v>
      </c>
      <c r="BM200" s="20" t="e">
        <f t="shared" ca="1" si="83"/>
        <v>#DIV/0!</v>
      </c>
      <c r="BN200" t="s">
        <v>35</v>
      </c>
      <c r="BO200" t="e">
        <f ca="1">AVERAGEIFS(INDIRECT($H$3),INDIRECT($H$3),"&gt;=0",Data!$B:$B,BN200,IF($A$20,Data!$J:$J,Data!#REF!),IF($A$20,"&lt;&gt;5",1))</f>
        <v>#DIV/0!</v>
      </c>
      <c r="BP200" t="e">
        <f t="shared" ca="1" si="84"/>
        <v>#DIV/0!</v>
      </c>
      <c r="BQ200" t="s">
        <v>61</v>
      </c>
      <c r="BR200" t="e">
        <f ca="1">AVERAGEIFS(INDIRECT($I$3),INDIRECT($I$3),"&gt;=0",Data!$B:$B,BQ200,IF($A$20,Data!$J:$J,Data!#REF!),IF($A$20,"&lt;&gt;5",1))</f>
        <v>#DIV/0!</v>
      </c>
      <c r="BS200" t="e">
        <f t="shared" ca="1" si="85"/>
        <v>#DIV/0!</v>
      </c>
      <c r="BT200" t="s">
        <v>159</v>
      </c>
      <c r="BU200" t="e">
        <f ca="1">AVERAGEIFS(INDIRECT($J$3),INDIRECT($J$3),"&gt;=0",Data!$B:$B,BT200,IF($A$20,Data!$J:$J,Data!#REF!),IF($A$20,"&lt;&gt;5",1))</f>
        <v>#DIV/0!</v>
      </c>
      <c r="BV200" t="e">
        <f t="shared" ca="1" si="86"/>
        <v>#DIV/0!</v>
      </c>
    </row>
    <row r="201" spans="10:74" x14ac:dyDescent="0.35">
      <c r="J201">
        <f t="shared" si="87"/>
        <v>193</v>
      </c>
      <c r="K201" t="s">
        <v>123</v>
      </c>
      <c r="L201" t="e">
        <f ca="1">AVERAGEIFS(INDIRECT($B$3),INDIRECT($B$3),"&gt;=0",Data!$B:$B,$K201)</f>
        <v>#DIV/0!</v>
      </c>
      <c r="M201" t="e">
        <f t="shared" ca="1" si="88"/>
        <v>#DIV/0!</v>
      </c>
      <c r="N201" t="s">
        <v>182</v>
      </c>
      <c r="O201" t="e">
        <f ca="1">AVERAGEIFS(INDIRECT($C$3),INDIRECT($C$3),"&gt;=0",Data!$B:$B,$N201)</f>
        <v>#DIV/0!</v>
      </c>
      <c r="P201" t="e">
        <f t="shared" ca="1" si="61"/>
        <v>#DIV/0!</v>
      </c>
      <c r="Q201" t="s">
        <v>38</v>
      </c>
      <c r="R201" t="e">
        <f ca="1">AVERAGEIFS(INDIRECT($D$3),INDIRECT($D$3),"&gt;=0",Data!$B:$B,$Q201)</f>
        <v>#DIV/0!</v>
      </c>
      <c r="S201" t="e">
        <f t="shared" ca="1" si="62"/>
        <v>#DIV/0!</v>
      </c>
      <c r="T201" t="s">
        <v>177</v>
      </c>
      <c r="U201" t="e">
        <f ca="1">AVERAGEIFS(INDIRECT($E$3),INDIRECT($E$3),"&gt;=0",Data!$B:$B,$T201)</f>
        <v>#DIV/0!</v>
      </c>
      <c r="V201" t="e">
        <f t="shared" ca="1" si="63"/>
        <v>#DIV/0!</v>
      </c>
      <c r="W201" t="s">
        <v>31</v>
      </c>
      <c r="X201" t="e">
        <f ca="1">AVERAGEIFS(INDIRECT($F$3),INDIRECT($F$3),"&gt;=0",Data!$B:$B,$W201)</f>
        <v>#DIV/0!</v>
      </c>
      <c r="Y201" t="e">
        <f t="shared" ca="1" si="64"/>
        <v>#DIV/0!</v>
      </c>
      <c r="Z201" t="s">
        <v>194</v>
      </c>
      <c r="AA201" t="e">
        <f ca="1">AVERAGEIFS(INDIRECT($G$3),INDIRECT($G$3),"&gt;=0",Data!$B:$B,$Z201)</f>
        <v>#DIV/0!</v>
      </c>
      <c r="AB201" t="e">
        <f t="shared" ca="1" si="65"/>
        <v>#DIV/0!</v>
      </c>
      <c r="AC201" t="s">
        <v>23</v>
      </c>
      <c r="AD201" t="e">
        <f ca="1">AVERAGEIFS(INDIRECT($H$3),INDIRECT($H$3),"&gt;=0",Data!$B:$B,$AC201)</f>
        <v>#DIV/0!</v>
      </c>
      <c r="AE201" t="e">
        <f t="shared" ca="1" si="66"/>
        <v>#DIV/0!</v>
      </c>
      <c r="AF201" t="s">
        <v>9</v>
      </c>
      <c r="AG201" t="e">
        <f ca="1">AVERAGEIFS(INDIRECT($I$3),INDIRECT($I$3),"&gt;=0",Data!$B:$B,$AF201)</f>
        <v>#DIV/0!</v>
      </c>
      <c r="AH201" t="e">
        <f t="shared" ca="1" si="67"/>
        <v>#DIV/0!</v>
      </c>
      <c r="AI201" t="s">
        <v>45</v>
      </c>
      <c r="AJ201" t="e">
        <f ca="1">AVERAGEIFS(INDIRECT($J$3),INDIRECT($J$3),"&gt;=0",Data!$B:$B,$AI201)</f>
        <v>#DIV/0!</v>
      </c>
      <c r="AK201" t="e">
        <f t="shared" ca="1" si="68"/>
        <v>#DIV/0!</v>
      </c>
      <c r="AL201" t="str">
        <f t="shared" ca="1" si="69"/>
        <v>-</v>
      </c>
      <c r="AM201" t="str">
        <f t="shared" ca="1" si="70"/>
        <v>-</v>
      </c>
      <c r="AN201" t="str">
        <f t="shared" ca="1" si="71"/>
        <v>-</v>
      </c>
      <c r="AO201" t="str">
        <f t="shared" ca="1" si="72"/>
        <v>-</v>
      </c>
      <c r="AP201" t="str">
        <f t="shared" ca="1" si="73"/>
        <v>-</v>
      </c>
      <c r="AQ201" t="str">
        <f t="shared" ca="1" si="74"/>
        <v>-</v>
      </c>
      <c r="AR201" t="str">
        <f t="shared" ca="1" si="75"/>
        <v>-</v>
      </c>
      <c r="AS201" t="str">
        <f t="shared" ca="1" si="76"/>
        <v>-</v>
      </c>
      <c r="AT201" t="str">
        <f t="shared" ca="1" si="77"/>
        <v>-</v>
      </c>
      <c r="AU201">
        <f t="shared" si="89"/>
        <v>193</v>
      </c>
      <c r="AV201" t="s">
        <v>28</v>
      </c>
      <c r="AW201" s="20" t="e">
        <f ca="1">AVERAGEIFS(INDIRECT($B$3),INDIRECT($B$3),"&gt;=0",Data!$B:$B,AV201,IF($A$20,Data!$J:$J,Data!#REF!),IF($A$20,"&lt;&gt;5",1))</f>
        <v>#DIV/0!</v>
      </c>
      <c r="AX201" t="e">
        <f t="shared" ca="1" si="78"/>
        <v>#DIV/0!</v>
      </c>
      <c r="AY201" s="20" t="s">
        <v>27</v>
      </c>
      <c r="AZ201" t="e">
        <f ca="1">AVERAGEIFS(INDIRECT($C$3),INDIRECT($C$3),"&gt;=0",Data!$B:$B,AY201,IF($A$20,Data!$J:$J,Data!#REF!),IF($A$20,"&lt;&gt;5",1))</f>
        <v>#DIV/0!</v>
      </c>
      <c r="BA201" s="20" t="e">
        <f t="shared" ca="1" si="79"/>
        <v>#DIV/0!</v>
      </c>
      <c r="BB201" t="s">
        <v>15</v>
      </c>
      <c r="BC201" s="20" t="s">
        <v>1198</v>
      </c>
      <c r="BD201" t="s">
        <v>1198</v>
      </c>
      <c r="BE201" s="20" t="s">
        <v>196</v>
      </c>
      <c r="BF201" t="s">
        <v>1198</v>
      </c>
      <c r="BG201" s="20" t="s">
        <v>1198</v>
      </c>
      <c r="BH201" t="s">
        <v>196</v>
      </c>
      <c r="BI201" s="20" t="s">
        <v>1198</v>
      </c>
      <c r="BJ201" t="s">
        <v>1198</v>
      </c>
      <c r="BK201" s="20" t="s">
        <v>15</v>
      </c>
      <c r="BL201" t="s">
        <v>1198</v>
      </c>
      <c r="BM201" s="20" t="s">
        <v>1198</v>
      </c>
      <c r="BN201" t="s">
        <v>198</v>
      </c>
      <c r="BO201" t="e">
        <f ca="1">AVERAGEIFS(INDIRECT($H$3),INDIRECT($H$3),"&gt;=0",Data!$B:$B,BN201,IF($A$20,Data!$J:$J,Data!#REF!),IF($A$20,"&lt;&gt;5",1))</f>
        <v>#DIV/0!</v>
      </c>
      <c r="BP201" t="e">
        <f t="shared" ca="1" si="84"/>
        <v>#DIV/0!</v>
      </c>
      <c r="BQ201" t="s">
        <v>15</v>
      </c>
      <c r="BR201" t="s">
        <v>1198</v>
      </c>
      <c r="BS201" t="s">
        <v>1198</v>
      </c>
      <c r="BT201" t="s">
        <v>68</v>
      </c>
      <c r="BU201" t="e">
        <f ca="1">AVERAGEIFS(INDIRECT($J$3),INDIRECT($J$3),"&gt;=0",Data!$B:$B,BT201,IF($A$20,Data!$J:$J,Data!#REF!),IF($A$20,"&lt;&gt;5",1))</f>
        <v>#DIV/0!</v>
      </c>
      <c r="BV201" t="e">
        <f t="shared" ca="1" si="86"/>
        <v>#DIV/0!</v>
      </c>
    </row>
    <row r="202" spans="10:74" x14ac:dyDescent="0.35">
      <c r="J202">
        <f t="shared" si="87"/>
        <v>194</v>
      </c>
      <c r="K202" t="s">
        <v>177</v>
      </c>
      <c r="L202" t="e">
        <f ca="1">AVERAGEIFS(INDIRECT($B$3),INDIRECT($B$3),"&gt;=0",Data!$B:$B,$K202)</f>
        <v>#DIV/0!</v>
      </c>
      <c r="M202" t="e">
        <f t="shared" ca="1" si="88"/>
        <v>#DIV/0!</v>
      </c>
      <c r="N202" t="s">
        <v>102</v>
      </c>
      <c r="O202" t="e">
        <f ca="1">AVERAGEIFS(INDIRECT($C$3),INDIRECT($C$3),"&gt;=0",Data!$B:$B,$N202)</f>
        <v>#DIV/0!</v>
      </c>
      <c r="P202" t="e">
        <f t="shared" ref="P202:P205" ca="1" si="90">IF(O202=O201,P201,$J202)</f>
        <v>#DIV/0!</v>
      </c>
      <c r="Q202" t="s">
        <v>102</v>
      </c>
      <c r="R202" t="e">
        <f ca="1">AVERAGEIFS(INDIRECT($D$3),INDIRECT($D$3),"&gt;=0",Data!$B:$B,$Q202)</f>
        <v>#DIV/0!</v>
      </c>
      <c r="S202" t="e">
        <f t="shared" ref="S202:S206" ca="1" si="91">IF(R202=R201,S201,$J202)</f>
        <v>#DIV/0!</v>
      </c>
      <c r="T202" t="s">
        <v>178</v>
      </c>
      <c r="U202" t="e">
        <f ca="1">AVERAGEIFS(INDIRECT($E$3),INDIRECT($E$3),"&gt;=0",Data!$B:$B,$T202)</f>
        <v>#DIV/0!</v>
      </c>
      <c r="V202" t="e">
        <f t="shared" ref="V202:V206" ca="1" si="92">IF(U202=U201,V201,$J202)</f>
        <v>#DIV/0!</v>
      </c>
      <c r="W202" t="s">
        <v>88</v>
      </c>
      <c r="X202" t="e">
        <f ca="1">AVERAGEIFS(INDIRECT($F$3),INDIRECT($F$3),"&gt;=0",Data!$B:$B,$W202)</f>
        <v>#DIV/0!</v>
      </c>
      <c r="Y202" t="e">
        <f t="shared" ref="Y202:Y206" ca="1" si="93">IF(X202=X201,Y201,$J202)</f>
        <v>#DIV/0!</v>
      </c>
      <c r="Z202" t="s">
        <v>5</v>
      </c>
      <c r="AA202" t="e">
        <f ca="1">AVERAGEIFS(INDIRECT($G$3),INDIRECT($G$3),"&gt;=0",Data!$B:$B,$Z202)</f>
        <v>#DIV/0!</v>
      </c>
      <c r="AB202" t="e">
        <f t="shared" ref="AB202:AB206" ca="1" si="94">IF(AA202=AA201,AB201,$J202)</f>
        <v>#DIV/0!</v>
      </c>
      <c r="AC202" t="s">
        <v>76</v>
      </c>
      <c r="AD202" t="e">
        <f ca="1">AVERAGEIFS(INDIRECT($H$3),INDIRECT($H$3),"&gt;=0",Data!$B:$B,$AC202)</f>
        <v>#DIV/0!</v>
      </c>
      <c r="AE202" t="e">
        <f t="shared" ref="AE202:AE206" ca="1" si="95">IF(AD202=AD201,AE201,$J202)</f>
        <v>#DIV/0!</v>
      </c>
      <c r="AF202" t="s">
        <v>59</v>
      </c>
      <c r="AG202" t="e">
        <f ca="1">AVERAGEIFS(INDIRECT($I$3),INDIRECT($I$3),"&gt;=0",Data!$B:$B,$AF202)</f>
        <v>#DIV/0!</v>
      </c>
      <c r="AH202" t="e">
        <f t="shared" ref="AH202:AH206" ca="1" si="96">IF(AG202=AG201,AH201,$J202)</f>
        <v>#DIV/0!</v>
      </c>
      <c r="AI202" t="s">
        <v>27</v>
      </c>
      <c r="AJ202" t="e">
        <f ca="1">AVERAGEIFS(INDIRECT($J$3),INDIRECT($J$3),"&gt;=0",Data!$B:$B,$AI202)</f>
        <v>#DIV/0!</v>
      </c>
      <c r="AK202" t="e">
        <f t="shared" ref="AK202:AK206" ca="1" si="97">IF(AJ202=AJ201,AK201,$J202)</f>
        <v>#DIV/0!</v>
      </c>
      <c r="AL202" t="str">
        <f t="shared" ref="AL202:AL206" ca="1" si="98">IFERROR(IF($A$20,IF(B$4=AW202,AX202,IF(AND(B$4&lt;AW202,B$4&gt;AW203),AX203,0)),IF(B$4=L202,M202,IF(AND(B$4&lt;L202,B$4&gt;L203),M203,0))),"-")</f>
        <v>-</v>
      </c>
      <c r="AM202" t="str">
        <f t="shared" ref="AM202:AM206" ca="1" si="99">IFERROR(IF($A$20,IF(C$4=AZ202,BA202,IF(AND(C$4&lt;AZ202,C$4&gt;AZ203),BA203,0)),IF(C$4=O202,P202,IF(AND(C$4&lt;O202,C$4&gt;O203),P203,0))),"-")</f>
        <v>-</v>
      </c>
      <c r="AN202" t="str">
        <f t="shared" ref="AN202:AN206" ca="1" si="100">IFERROR(IF($A$20,IF(D$4=BC202,BD202,IF(AND(D$4&lt;BC202,D$4&gt;BC203),BD203,0)),IF(D$4=R202,S202,IF(AND(D$4&lt;R202,D$4&gt;R203),S203,0))),"-")</f>
        <v>-</v>
      </c>
      <c r="AO202" t="str">
        <f t="shared" ref="AO202:AO206" ca="1" si="101">IFERROR(IF($A$20,IF(E$4=BF202,BG202,IF(AND(E$4&lt;BF202,E$4&gt;BF203),BG203,0)),IF(E$4=U202,V202,IF(AND(E$4&lt;U202,E$4&gt;U203),V203,0))),"-")</f>
        <v>-</v>
      </c>
      <c r="AP202" t="str">
        <f t="shared" ref="AP202:AP206" ca="1" si="102">IFERROR(IF($A$20,IF(F$4=BI202,BJ202,IF(AND(F$4&lt;BI202,F$4&gt;BI203),BJ203,0)),IF(F$4=X202,Y202,IF(AND(F$4&lt;X202,F$4&gt;X203),Y203,0))),"-")</f>
        <v>-</v>
      </c>
      <c r="AQ202" t="str">
        <f t="shared" ref="AQ202:AQ206" ca="1" si="103">IFERROR(IF($A$20,IF(G$4=BL202,BM202,IF(AND(G$4&lt;BL202,G$4&gt;BL203),BM203,0)),IF(G$4=AA202,AB202,IF(AND(G$4&lt;AA202,G$4&gt;AA203),AB203,0))),"-")</f>
        <v>-</v>
      </c>
      <c r="AR202" t="str">
        <f t="shared" ref="AR202:AR206" ca="1" si="104">IFERROR(IF($A$20,IF(H$4=BO202,BP202,IF(AND(H$4&lt;BO202,H$4&gt;BO203),BP203,0)),IF(H$4=AD202,AE202,IF(AND(H$4&lt;AD202,H$4&gt;AD203),AE203,0))),"-")</f>
        <v>-</v>
      </c>
      <c r="AS202" t="str">
        <f t="shared" ref="AS202:AS206" ca="1" si="105">IFERROR(IF($A$20,IF(I$4=BR202,BS202,IF(AND(I$4&lt;BR202,I$4&gt;BR203),BS203,0)),IF(I$4=AG202,AH202,IF(AND(I$4&lt;AG202,I$4&gt;AG203),AH203,0))),"-")</f>
        <v>-</v>
      </c>
      <c r="AT202" t="str">
        <f t="shared" ref="AT202:AT206" ca="1" si="106">IFERROR(IF($A$20,IF(J$4=BU202,BV202,IF(AND(J$4&lt;BU202,J$4&gt;BU203),BV203,0)),IF(J$4=AJ202,AK202,IF(AND(J$4&lt;AJ202,J$4&gt;AJ203),AK203,0))),"-")</f>
        <v>-</v>
      </c>
      <c r="AU202">
        <f t="shared" si="89"/>
        <v>194</v>
      </c>
      <c r="AV202" t="s">
        <v>15</v>
      </c>
      <c r="AW202" s="20" t="s">
        <v>1198</v>
      </c>
      <c r="AX202" t="s">
        <v>1198</v>
      </c>
      <c r="AY202" s="20" t="s">
        <v>102</v>
      </c>
      <c r="AZ202" t="s">
        <v>1198</v>
      </c>
      <c r="BA202" s="20" t="s">
        <v>1198</v>
      </c>
      <c r="BB202" t="s">
        <v>31</v>
      </c>
      <c r="BC202" s="20" t="s">
        <v>1198</v>
      </c>
      <c r="BD202" t="s">
        <v>1198</v>
      </c>
      <c r="BE202" s="20" t="s">
        <v>15</v>
      </c>
      <c r="BF202" t="s">
        <v>1198</v>
      </c>
      <c r="BG202" s="20" t="s">
        <v>1198</v>
      </c>
      <c r="BH202" t="s">
        <v>15</v>
      </c>
      <c r="BI202" s="20" t="s">
        <v>1198</v>
      </c>
      <c r="BJ202" t="s">
        <v>1198</v>
      </c>
      <c r="BK202" s="20" t="s">
        <v>31</v>
      </c>
      <c r="BL202" t="s">
        <v>1198</v>
      </c>
      <c r="BM202" s="20" t="s">
        <v>1198</v>
      </c>
      <c r="BN202" t="s">
        <v>15</v>
      </c>
      <c r="BO202" t="s">
        <v>1198</v>
      </c>
      <c r="BP202" t="s">
        <v>1198</v>
      </c>
      <c r="BQ202" t="s">
        <v>31</v>
      </c>
      <c r="BR202" t="s">
        <v>1198</v>
      </c>
      <c r="BS202" t="s">
        <v>1198</v>
      </c>
      <c r="BT202" t="s">
        <v>196</v>
      </c>
      <c r="BU202" t="s">
        <v>1198</v>
      </c>
      <c r="BV202" t="s">
        <v>1198</v>
      </c>
    </row>
    <row r="203" spans="10:74" x14ac:dyDescent="0.35">
      <c r="J203">
        <f t="shared" ref="J203:J206" si="107">J202+1</f>
        <v>195</v>
      </c>
      <c r="K203" t="s">
        <v>23</v>
      </c>
      <c r="L203" t="e">
        <f ca="1">AVERAGEIFS(INDIRECT($B$3),INDIRECT($B$3),"&gt;=0",Data!$B:$B,$K203)</f>
        <v>#DIV/0!</v>
      </c>
      <c r="M203" t="e">
        <f t="shared" ref="M203:M206" ca="1" si="108">IF(L203=L202,M202,$J203)</f>
        <v>#DIV/0!</v>
      </c>
      <c r="N203" t="s">
        <v>31</v>
      </c>
      <c r="O203" t="e">
        <f ca="1">AVERAGEIFS(INDIRECT($C$3),INDIRECT($C$3),"&gt;=0",Data!$B:$B,$N203)</f>
        <v>#DIV/0!</v>
      </c>
      <c r="P203" t="e">
        <f t="shared" ca="1" si="90"/>
        <v>#DIV/0!</v>
      </c>
      <c r="Q203" t="s">
        <v>116</v>
      </c>
      <c r="R203" t="e">
        <f ca="1">AVERAGEIFS(INDIRECT($D$3),INDIRECT($D$3),"&gt;=0",Data!$B:$B,$Q203)</f>
        <v>#DIV/0!</v>
      </c>
      <c r="S203" t="e">
        <f t="shared" ca="1" si="91"/>
        <v>#DIV/0!</v>
      </c>
      <c r="T203" t="s">
        <v>182</v>
      </c>
      <c r="U203" t="e">
        <f ca="1">AVERAGEIFS(INDIRECT($E$3),INDIRECT($E$3),"&gt;=0",Data!$B:$B,$T203)</f>
        <v>#DIV/0!</v>
      </c>
      <c r="V203" t="e">
        <f t="shared" ca="1" si="92"/>
        <v>#DIV/0!</v>
      </c>
      <c r="W203" t="s">
        <v>102</v>
      </c>
      <c r="X203" t="e">
        <f ca="1">AVERAGEIFS(INDIRECT($F$3),INDIRECT($F$3),"&gt;=0",Data!$B:$B,$W203)</f>
        <v>#DIV/0!</v>
      </c>
      <c r="Y203" t="e">
        <f t="shared" ca="1" si="93"/>
        <v>#DIV/0!</v>
      </c>
      <c r="Z203" t="s">
        <v>27</v>
      </c>
      <c r="AA203" t="e">
        <f ca="1">AVERAGEIFS(INDIRECT($G$3),INDIRECT($G$3),"&gt;=0",Data!$B:$B,$Z203)</f>
        <v>#DIV/0!</v>
      </c>
      <c r="AB203" t="e">
        <f t="shared" ca="1" si="94"/>
        <v>#DIV/0!</v>
      </c>
      <c r="AC203" t="s">
        <v>173</v>
      </c>
      <c r="AD203" t="e">
        <f ca="1">AVERAGEIFS(INDIRECT($H$3),INDIRECT($H$3),"&gt;=0",Data!$B:$B,$AC203)</f>
        <v>#DIV/0!</v>
      </c>
      <c r="AE203" t="e">
        <f t="shared" ca="1" si="95"/>
        <v>#DIV/0!</v>
      </c>
      <c r="AF203" t="s">
        <v>126</v>
      </c>
      <c r="AG203" t="e">
        <f ca="1">AVERAGEIFS(INDIRECT($I$3),INDIRECT($I$3),"&gt;=0",Data!$B:$B,$AF203)</f>
        <v>#DIV/0!</v>
      </c>
      <c r="AH203" t="e">
        <f t="shared" ca="1" si="96"/>
        <v>#DIV/0!</v>
      </c>
      <c r="AI203" t="s">
        <v>159</v>
      </c>
      <c r="AJ203" t="e">
        <f ca="1">AVERAGEIFS(INDIRECT($J$3),INDIRECT($J$3),"&gt;=0",Data!$B:$B,$AI203)</f>
        <v>#DIV/0!</v>
      </c>
      <c r="AK203" t="e">
        <f t="shared" ca="1" si="97"/>
        <v>#DIV/0!</v>
      </c>
      <c r="AL203" t="str">
        <f t="shared" ca="1" si="98"/>
        <v>-</v>
      </c>
      <c r="AM203" t="str">
        <f t="shared" ca="1" si="99"/>
        <v>-</v>
      </c>
      <c r="AN203" t="str">
        <f t="shared" ca="1" si="100"/>
        <v>-</v>
      </c>
      <c r="AO203" t="str">
        <f t="shared" ca="1" si="101"/>
        <v>-</v>
      </c>
      <c r="AP203" t="str">
        <f t="shared" ca="1" si="102"/>
        <v>-</v>
      </c>
      <c r="AQ203" t="str">
        <f t="shared" ca="1" si="103"/>
        <v>-</v>
      </c>
      <c r="AR203" t="str">
        <f t="shared" ca="1" si="104"/>
        <v>-</v>
      </c>
      <c r="AS203" t="str">
        <f t="shared" ca="1" si="105"/>
        <v>-</v>
      </c>
      <c r="AT203" t="str">
        <f t="shared" ca="1" si="106"/>
        <v>-</v>
      </c>
      <c r="AU203">
        <f t="shared" ref="AU203:AU206" si="109">AU202+1</f>
        <v>195</v>
      </c>
      <c r="AV203" t="s">
        <v>31</v>
      </c>
      <c r="AW203" s="20" t="s">
        <v>1198</v>
      </c>
      <c r="AX203" t="s">
        <v>1198</v>
      </c>
      <c r="AY203" s="20" t="s">
        <v>31</v>
      </c>
      <c r="AZ203" t="s">
        <v>1198</v>
      </c>
      <c r="BA203" s="20" t="s">
        <v>1198</v>
      </c>
      <c r="BB203" t="s">
        <v>102</v>
      </c>
      <c r="BC203" s="20" t="s">
        <v>1198</v>
      </c>
      <c r="BD203" t="s">
        <v>1198</v>
      </c>
      <c r="BE203" s="20" t="s">
        <v>31</v>
      </c>
      <c r="BF203" t="s">
        <v>1198</v>
      </c>
      <c r="BG203" s="20" t="s">
        <v>1198</v>
      </c>
      <c r="BH203" t="s">
        <v>31</v>
      </c>
      <c r="BI203" s="20" t="s">
        <v>1198</v>
      </c>
      <c r="BJ203" t="s">
        <v>1198</v>
      </c>
      <c r="BK203" s="20" t="s">
        <v>102</v>
      </c>
      <c r="BL203" t="s">
        <v>1198</v>
      </c>
      <c r="BM203" s="20" t="s">
        <v>1198</v>
      </c>
      <c r="BN203" t="s">
        <v>31</v>
      </c>
      <c r="BO203" t="s">
        <v>1198</v>
      </c>
      <c r="BP203" t="s">
        <v>1198</v>
      </c>
      <c r="BQ203" t="s">
        <v>102</v>
      </c>
      <c r="BR203" t="s">
        <v>1198</v>
      </c>
      <c r="BS203" t="s">
        <v>1198</v>
      </c>
      <c r="BT203" t="s">
        <v>116</v>
      </c>
      <c r="BU203" t="s">
        <v>1198</v>
      </c>
      <c r="BV203" t="s">
        <v>1198</v>
      </c>
    </row>
    <row r="204" spans="10:74" x14ac:dyDescent="0.35">
      <c r="J204">
        <f t="shared" si="107"/>
        <v>196</v>
      </c>
      <c r="K204" t="s">
        <v>103</v>
      </c>
      <c r="L204" t="e">
        <f ca="1">AVERAGEIFS(INDIRECT($B$3),INDIRECT($B$3),"&gt;=0",Data!$B:$B,$K204)</f>
        <v>#DIV/0!</v>
      </c>
      <c r="M204" t="e">
        <f t="shared" ca="1" si="108"/>
        <v>#DIV/0!</v>
      </c>
      <c r="N204" t="s">
        <v>116</v>
      </c>
      <c r="O204" t="e">
        <f ca="1">AVERAGEIFS(INDIRECT($C$3),INDIRECT($C$3),"&gt;=0",Data!$B:$B,$N204)</f>
        <v>#DIV/0!</v>
      </c>
      <c r="P204" t="e">
        <f t="shared" ca="1" si="90"/>
        <v>#DIV/0!</v>
      </c>
      <c r="Q204" t="s">
        <v>136</v>
      </c>
      <c r="R204" t="e">
        <f ca="1">AVERAGEIFS(INDIRECT($D$3),INDIRECT($D$3),"&gt;=0",Data!$B:$B,$Q204)</f>
        <v>#DIV/0!</v>
      </c>
      <c r="S204" t="e">
        <f t="shared" ca="1" si="91"/>
        <v>#DIV/0!</v>
      </c>
      <c r="T204" t="s">
        <v>190</v>
      </c>
      <c r="U204" t="e">
        <f ca="1">AVERAGEIFS(INDIRECT($E$3),INDIRECT($E$3),"&gt;=0",Data!$B:$B,$T204)</f>
        <v>#DIV/0!</v>
      </c>
      <c r="V204" t="e">
        <f t="shared" ca="1" si="92"/>
        <v>#DIV/0!</v>
      </c>
      <c r="W204" t="s">
        <v>116</v>
      </c>
      <c r="X204" t="e">
        <f ca="1">AVERAGEIFS(INDIRECT($F$3),INDIRECT($F$3),"&gt;=0",Data!$B:$B,$W204)</f>
        <v>#DIV/0!</v>
      </c>
      <c r="Y204" t="e">
        <f t="shared" ca="1" si="93"/>
        <v>#DIV/0!</v>
      </c>
      <c r="Z204" t="s">
        <v>93</v>
      </c>
      <c r="AA204" t="e">
        <f ca="1">AVERAGEIFS(INDIRECT($G$3),INDIRECT($G$3),"&gt;=0",Data!$B:$B,$Z204)</f>
        <v>#DIV/0!</v>
      </c>
      <c r="AB204" t="e">
        <f t="shared" ca="1" si="94"/>
        <v>#DIV/0!</v>
      </c>
      <c r="AC204" t="s">
        <v>35</v>
      </c>
      <c r="AD204" t="e">
        <f ca="1">AVERAGEIFS(INDIRECT($H$3),INDIRECT($H$3),"&gt;=0",Data!$B:$B,$AC204)</f>
        <v>#DIV/0!</v>
      </c>
      <c r="AE204" t="e">
        <f t="shared" ca="1" si="95"/>
        <v>#DIV/0!</v>
      </c>
      <c r="AF204" t="s">
        <v>85</v>
      </c>
      <c r="AG204">
        <f ca="1">AVERAGEIFS(INDIRECT($I$3),INDIRECT($I$3),"&gt;=0",Data!$B:$B,$AF204)</f>
        <v>0.5714285714285714</v>
      </c>
      <c r="AH204" t="e">
        <f t="shared" ca="1" si="96"/>
        <v>#DIV/0!</v>
      </c>
      <c r="AI204" t="s">
        <v>101</v>
      </c>
      <c r="AJ204" t="e">
        <f ca="1">AVERAGEIFS(INDIRECT($J$3),INDIRECT($J$3),"&gt;=0",Data!$B:$B,$AI204)</f>
        <v>#DIV/0!</v>
      </c>
      <c r="AK204" t="e">
        <f t="shared" ca="1" si="97"/>
        <v>#DIV/0!</v>
      </c>
      <c r="AL204" t="str">
        <f t="shared" ca="1" si="98"/>
        <v>-</v>
      </c>
      <c r="AM204" t="str">
        <f t="shared" ca="1" si="99"/>
        <v>-</v>
      </c>
      <c r="AN204" t="str">
        <f t="shared" ca="1" si="100"/>
        <v>-</v>
      </c>
      <c r="AO204" t="str">
        <f t="shared" ca="1" si="101"/>
        <v>-</v>
      </c>
      <c r="AP204" t="str">
        <f t="shared" ca="1" si="102"/>
        <v>-</v>
      </c>
      <c r="AQ204" t="str">
        <f t="shared" ca="1" si="103"/>
        <v>-</v>
      </c>
      <c r="AR204" t="str">
        <f t="shared" ca="1" si="104"/>
        <v>-</v>
      </c>
      <c r="AS204" t="str">
        <f t="shared" ca="1" si="105"/>
        <v>-</v>
      </c>
      <c r="AT204" t="str">
        <f t="shared" ca="1" si="106"/>
        <v>-</v>
      </c>
      <c r="AU204">
        <f t="shared" si="109"/>
        <v>196</v>
      </c>
      <c r="AV204" t="s">
        <v>102</v>
      </c>
      <c r="AW204" s="20" t="s">
        <v>1198</v>
      </c>
      <c r="AX204" t="s">
        <v>1198</v>
      </c>
      <c r="AY204" s="20" t="s">
        <v>116</v>
      </c>
      <c r="AZ204" t="s">
        <v>1198</v>
      </c>
      <c r="BA204" s="20" t="s">
        <v>1198</v>
      </c>
      <c r="BB204" t="s">
        <v>116</v>
      </c>
      <c r="BC204" s="20" t="s">
        <v>1198</v>
      </c>
      <c r="BD204" t="s">
        <v>1198</v>
      </c>
      <c r="BE204" s="20" t="s">
        <v>102</v>
      </c>
      <c r="BF204" t="s">
        <v>1198</v>
      </c>
      <c r="BG204" s="20" t="s">
        <v>1198</v>
      </c>
      <c r="BH204" t="s">
        <v>102</v>
      </c>
      <c r="BI204" s="20" t="s">
        <v>1198</v>
      </c>
      <c r="BJ204" t="s">
        <v>1198</v>
      </c>
      <c r="BK204" s="20" t="s">
        <v>116</v>
      </c>
      <c r="BL204" t="s">
        <v>1198</v>
      </c>
      <c r="BM204" s="20" t="s">
        <v>1198</v>
      </c>
      <c r="BN204" t="s">
        <v>102</v>
      </c>
      <c r="BO204" t="s">
        <v>1198</v>
      </c>
      <c r="BP204" t="s">
        <v>1198</v>
      </c>
      <c r="BQ204" t="s">
        <v>116</v>
      </c>
      <c r="BR204" t="s">
        <v>1198</v>
      </c>
      <c r="BS204" t="s">
        <v>1198</v>
      </c>
      <c r="BT204" t="s">
        <v>102</v>
      </c>
      <c r="BU204" t="s">
        <v>1198</v>
      </c>
      <c r="BV204" t="s">
        <v>1198</v>
      </c>
    </row>
    <row r="205" spans="10:74" x14ac:dyDescent="0.35">
      <c r="J205">
        <f t="shared" si="107"/>
        <v>197</v>
      </c>
      <c r="K205" t="s">
        <v>146</v>
      </c>
      <c r="L205" t="e">
        <f ca="1">AVERAGEIFS(INDIRECT($B$3),INDIRECT($B$3),"&gt;=0",Data!$B:$B,$K205)</f>
        <v>#DIV/0!</v>
      </c>
      <c r="M205" t="e">
        <f t="shared" ca="1" si="108"/>
        <v>#DIV/0!</v>
      </c>
      <c r="N205" t="s">
        <v>15</v>
      </c>
      <c r="O205" t="e">
        <f ca="1">AVERAGEIFS(INDIRECT($C$3),INDIRECT($C$3),"&gt;=0",Data!$B:$B,$N205)</f>
        <v>#DIV/0!</v>
      </c>
      <c r="P205" t="e">
        <f t="shared" ca="1" si="90"/>
        <v>#DIV/0!</v>
      </c>
      <c r="Q205" t="s">
        <v>162</v>
      </c>
      <c r="R205" t="e">
        <f ca="1">AVERAGEIFS(INDIRECT($D$3),INDIRECT($D$3),"&gt;=0",Data!$B:$B,$Q205)</f>
        <v>#DIV/0!</v>
      </c>
      <c r="S205" t="e">
        <f t="shared" ca="1" si="91"/>
        <v>#DIV/0!</v>
      </c>
      <c r="T205" t="s">
        <v>191</v>
      </c>
      <c r="U205" t="e">
        <f ca="1">AVERAGEIFS(INDIRECT($E$3),INDIRECT($E$3),"&gt;=0",Data!$B:$B,$T205)</f>
        <v>#DIV/0!</v>
      </c>
      <c r="V205" t="e">
        <f t="shared" ca="1" si="92"/>
        <v>#DIV/0!</v>
      </c>
      <c r="W205" t="s">
        <v>136</v>
      </c>
      <c r="X205" t="e">
        <f ca="1">AVERAGEIFS(INDIRECT($F$3),INDIRECT($F$3),"&gt;=0",Data!$B:$B,$W205)</f>
        <v>#DIV/0!</v>
      </c>
      <c r="Y205" t="e">
        <f t="shared" ca="1" si="93"/>
        <v>#DIV/0!</v>
      </c>
      <c r="Z205" t="s">
        <v>178</v>
      </c>
      <c r="AA205" t="e">
        <f ca="1">AVERAGEIFS(INDIRECT($G$3),INDIRECT($G$3),"&gt;=0",Data!$B:$B,$Z205)</f>
        <v>#DIV/0!</v>
      </c>
      <c r="AB205" t="e">
        <f t="shared" ca="1" si="94"/>
        <v>#DIV/0!</v>
      </c>
      <c r="AC205" t="s">
        <v>198</v>
      </c>
      <c r="AD205" t="e">
        <f ca="1">AVERAGEIFS(INDIRECT($H$3),INDIRECT($H$3),"&gt;=0",Data!$B:$B,$AC205)</f>
        <v>#DIV/0!</v>
      </c>
      <c r="AE205" t="e">
        <f t="shared" ca="1" si="95"/>
        <v>#DIV/0!</v>
      </c>
      <c r="AF205" t="s">
        <v>160</v>
      </c>
      <c r="AG205" t="e">
        <f ca="1">AVERAGEIFS(INDIRECT($I$3),INDIRECT($I$3),"&gt;=0",Data!$B:$B,$AF205)</f>
        <v>#DIV/0!</v>
      </c>
      <c r="AH205" t="e">
        <f t="shared" ca="1" si="96"/>
        <v>#DIV/0!</v>
      </c>
      <c r="AI205" t="s">
        <v>10</v>
      </c>
      <c r="AJ205" t="e">
        <f ca="1">AVERAGEIFS(INDIRECT($J$3),INDIRECT($J$3),"&gt;=0",Data!$B:$B,$AI205)</f>
        <v>#DIV/0!</v>
      </c>
      <c r="AK205" t="e">
        <f t="shared" ca="1" si="97"/>
        <v>#DIV/0!</v>
      </c>
      <c r="AL205" t="str">
        <f t="shared" ca="1" si="98"/>
        <v>-</v>
      </c>
      <c r="AM205" t="str">
        <f t="shared" ca="1" si="99"/>
        <v>-</v>
      </c>
      <c r="AN205" t="str">
        <f t="shared" ca="1" si="100"/>
        <v>-</v>
      </c>
      <c r="AO205" t="str">
        <f t="shared" ca="1" si="101"/>
        <v>-</v>
      </c>
      <c r="AP205" t="str">
        <f t="shared" ca="1" si="102"/>
        <v>-</v>
      </c>
      <c r="AQ205" t="str">
        <f t="shared" ca="1" si="103"/>
        <v>-</v>
      </c>
      <c r="AR205" t="str">
        <f t="shared" ca="1" si="104"/>
        <v>-</v>
      </c>
      <c r="AS205" t="str">
        <f t="shared" ca="1" si="105"/>
        <v>-</v>
      </c>
      <c r="AT205" t="str">
        <f t="shared" ca="1" si="106"/>
        <v>-</v>
      </c>
      <c r="AU205">
        <f t="shared" si="109"/>
        <v>197</v>
      </c>
      <c r="AV205" t="s">
        <v>116</v>
      </c>
      <c r="AW205" s="20" t="s">
        <v>1198</v>
      </c>
      <c r="AX205" t="s">
        <v>1198</v>
      </c>
      <c r="AY205" s="20" t="s">
        <v>15</v>
      </c>
      <c r="AZ205" t="s">
        <v>1198</v>
      </c>
      <c r="BA205" s="20" t="s">
        <v>1198</v>
      </c>
      <c r="BB205" t="s">
        <v>136</v>
      </c>
      <c r="BC205" s="20" t="s">
        <v>1198</v>
      </c>
      <c r="BD205" t="s">
        <v>1198</v>
      </c>
      <c r="BE205" s="20" t="s">
        <v>116</v>
      </c>
      <c r="BF205" t="s">
        <v>1198</v>
      </c>
      <c r="BG205" s="20" t="s">
        <v>1198</v>
      </c>
      <c r="BH205" t="s">
        <v>116</v>
      </c>
      <c r="BI205" s="20" t="s">
        <v>1198</v>
      </c>
      <c r="BJ205" t="s">
        <v>1198</v>
      </c>
      <c r="BK205" s="20" t="s">
        <v>136</v>
      </c>
      <c r="BL205" t="s">
        <v>1198</v>
      </c>
      <c r="BM205" s="20" t="s">
        <v>1198</v>
      </c>
      <c r="BN205" t="s">
        <v>116</v>
      </c>
      <c r="BO205" t="s">
        <v>1198</v>
      </c>
      <c r="BP205" t="s">
        <v>1198</v>
      </c>
      <c r="BQ205" t="s">
        <v>136</v>
      </c>
      <c r="BR205" t="s">
        <v>1198</v>
      </c>
      <c r="BS205" t="s">
        <v>1198</v>
      </c>
      <c r="BT205" t="s">
        <v>31</v>
      </c>
      <c r="BU205" t="s">
        <v>1198</v>
      </c>
      <c r="BV205" t="s">
        <v>1198</v>
      </c>
    </row>
    <row r="206" spans="10:74" x14ac:dyDescent="0.35">
      <c r="J206">
        <f t="shared" si="107"/>
        <v>198</v>
      </c>
      <c r="K206" t="s">
        <v>28</v>
      </c>
      <c r="L206" t="e">
        <f ca="1">AVERAGEIFS(INDIRECT($B$3),INDIRECT($B$3),"&gt;=0",Data!$B:$B,$K206)</f>
        <v>#DIV/0!</v>
      </c>
      <c r="M206" t="e">
        <f t="shared" ca="1" si="108"/>
        <v>#DIV/0!</v>
      </c>
      <c r="N206" s="9" t="s">
        <v>196</v>
      </c>
      <c r="O206" t="e">
        <v>#DIV/0!</v>
      </c>
      <c r="P206" t="s">
        <v>1198</v>
      </c>
      <c r="Q206" t="s">
        <v>196</v>
      </c>
      <c r="R206" t="e">
        <f ca="1">AVERAGEIFS(INDIRECT($D$3),INDIRECT($D$3),"&gt;=0",Data!$B:$B,$Q206)</f>
        <v>#DIV/0!</v>
      </c>
      <c r="S206" t="e">
        <f t="shared" ca="1" si="91"/>
        <v>#DIV/0!</v>
      </c>
      <c r="T206" t="s">
        <v>198</v>
      </c>
      <c r="U206" t="e">
        <f ca="1">AVERAGEIFS(INDIRECT($E$3),INDIRECT($E$3),"&gt;=0",Data!$B:$B,$T206)</f>
        <v>#DIV/0!</v>
      </c>
      <c r="V206" t="e">
        <f t="shared" ca="1" si="92"/>
        <v>#DIV/0!</v>
      </c>
      <c r="W206" t="s">
        <v>182</v>
      </c>
      <c r="X206" t="e">
        <f ca="1">AVERAGEIFS(INDIRECT($F$3),INDIRECT($F$3),"&gt;=0",Data!$B:$B,$W206)</f>
        <v>#DIV/0!</v>
      </c>
      <c r="Y206" t="e">
        <f t="shared" ca="1" si="93"/>
        <v>#DIV/0!</v>
      </c>
      <c r="Z206" t="s">
        <v>198</v>
      </c>
      <c r="AA206" t="e">
        <f ca="1">AVERAGEIFS(INDIRECT($G$3),INDIRECT($G$3),"&gt;=0",Data!$B:$B,$Z206)</f>
        <v>#DIV/0!</v>
      </c>
      <c r="AB206" t="e">
        <f t="shared" ca="1" si="94"/>
        <v>#DIV/0!</v>
      </c>
      <c r="AC206" t="s">
        <v>196</v>
      </c>
      <c r="AD206" t="e">
        <f ca="1">AVERAGEIFS(INDIRECT($H$3),INDIRECT($H$3),"&gt;=0",Data!$B:$B,$AC206)</f>
        <v>#DIV/0!</v>
      </c>
      <c r="AE206" t="e">
        <f t="shared" ca="1" si="95"/>
        <v>#DIV/0!</v>
      </c>
      <c r="AF206" t="s">
        <v>61</v>
      </c>
      <c r="AG206" t="e">
        <f ca="1">AVERAGEIFS(INDIRECT($I$3),INDIRECT($I$3),"&gt;=0",Data!$B:$B,$AF206)</f>
        <v>#DIV/0!</v>
      </c>
      <c r="AH206" t="e">
        <f t="shared" ca="1" si="96"/>
        <v>#DIV/0!</v>
      </c>
      <c r="AI206" t="s">
        <v>68</v>
      </c>
      <c r="AJ206" t="e">
        <f ca="1">AVERAGEIFS(INDIRECT($J$3),INDIRECT($J$3),"&gt;=0",Data!$B:$B,$AI206)</f>
        <v>#DIV/0!</v>
      </c>
      <c r="AK206" t="e">
        <f t="shared" ca="1" si="97"/>
        <v>#DIV/0!</v>
      </c>
      <c r="AL206" t="str">
        <f t="shared" ca="1" si="98"/>
        <v>-</v>
      </c>
      <c r="AM206" t="str">
        <f t="shared" ca="1" si="99"/>
        <v>-</v>
      </c>
      <c r="AN206" t="str">
        <f t="shared" ca="1" si="100"/>
        <v>-</v>
      </c>
      <c r="AO206" t="str">
        <f t="shared" ca="1" si="101"/>
        <v>-</v>
      </c>
      <c r="AP206" t="str">
        <f t="shared" ca="1" si="102"/>
        <v>-</v>
      </c>
      <c r="AQ206" t="str">
        <f t="shared" ca="1" si="103"/>
        <v>-</v>
      </c>
      <c r="AR206" t="str">
        <f t="shared" ca="1" si="104"/>
        <v>-</v>
      </c>
      <c r="AS206" t="str">
        <f t="shared" ca="1" si="105"/>
        <v>-</v>
      </c>
      <c r="AT206" t="str">
        <f t="shared" ca="1" si="106"/>
        <v>-</v>
      </c>
      <c r="AU206">
        <f t="shared" si="109"/>
        <v>198</v>
      </c>
      <c r="AV206" t="s">
        <v>196</v>
      </c>
      <c r="AW206" s="20" t="s">
        <v>1198</v>
      </c>
      <c r="AX206" t="s">
        <v>1198</v>
      </c>
      <c r="AY206" s="21" t="s">
        <v>196</v>
      </c>
      <c r="AZ206" t="s">
        <v>1198</v>
      </c>
      <c r="BA206" s="20" t="s">
        <v>1198</v>
      </c>
      <c r="BB206" t="s">
        <v>196</v>
      </c>
      <c r="BC206" s="20" t="s">
        <v>1198</v>
      </c>
      <c r="BD206" t="s">
        <v>1198</v>
      </c>
      <c r="BE206" s="20" t="s">
        <v>136</v>
      </c>
      <c r="BF206" t="s">
        <v>1198</v>
      </c>
      <c r="BG206" s="20" t="s">
        <v>1198</v>
      </c>
      <c r="BH206" t="s">
        <v>136</v>
      </c>
      <c r="BI206" s="20" t="s">
        <v>1198</v>
      </c>
      <c r="BJ206" t="s">
        <v>1198</v>
      </c>
      <c r="BK206" s="20" t="s">
        <v>196</v>
      </c>
      <c r="BL206" t="s">
        <v>1198</v>
      </c>
      <c r="BM206" s="20" t="s">
        <v>1198</v>
      </c>
      <c r="BN206" t="s">
        <v>196</v>
      </c>
      <c r="BO206" t="s">
        <v>1198</v>
      </c>
      <c r="BP206" t="s">
        <v>1198</v>
      </c>
      <c r="BQ206" t="s">
        <v>196</v>
      </c>
      <c r="BR206" t="s">
        <v>1198</v>
      </c>
      <c r="BS206" t="s">
        <v>1198</v>
      </c>
      <c r="BT206" t="s">
        <v>15</v>
      </c>
      <c r="BU206" t="s">
        <v>1198</v>
      </c>
      <c r="BV206" t="s">
        <v>1198</v>
      </c>
    </row>
    <row r="210" spans="48:66" x14ac:dyDescent="0.35">
      <c r="AV210" s="22"/>
      <c r="AW210" s="77"/>
      <c r="AX210" s="77"/>
      <c r="AY210" s="78"/>
      <c r="AZ210" s="78"/>
      <c r="BA210" s="78"/>
      <c r="BB210" s="78"/>
      <c r="BC210" s="78"/>
      <c r="BD210" s="78"/>
      <c r="BE210" s="78"/>
      <c r="BF210" s="78"/>
      <c r="BG210" s="78"/>
      <c r="BH210" s="78"/>
      <c r="BI210" s="78"/>
      <c r="BJ210" s="78"/>
      <c r="BK210" s="78"/>
      <c r="BL210" s="78"/>
      <c r="BM210" s="78"/>
      <c r="BN210" s="78"/>
    </row>
    <row r="211" spans="48:66" x14ac:dyDescent="0.35">
      <c r="AV211" s="23"/>
      <c r="AW211" s="21"/>
      <c r="AX211" s="23"/>
      <c r="AY211" s="21"/>
      <c r="AZ211" s="23"/>
      <c r="BA211" s="21"/>
      <c r="BB211" s="23"/>
      <c r="BC211" s="21"/>
      <c r="BD211" s="23"/>
      <c r="BE211" s="21"/>
      <c r="BF211" s="23"/>
      <c r="BG211" s="21"/>
      <c r="BH211" s="23"/>
      <c r="BI211" s="21"/>
      <c r="BJ211" s="23"/>
      <c r="BK211" s="21"/>
      <c r="BL211" s="23"/>
      <c r="BM211" s="21"/>
      <c r="BN211" s="23"/>
    </row>
    <row r="212" spans="48:66" x14ac:dyDescent="0.35">
      <c r="AV212" s="77"/>
      <c r="AW212" s="77"/>
      <c r="AX212" s="77"/>
      <c r="AY212" s="77"/>
      <c r="AZ212" s="77"/>
      <c r="BA212" s="77"/>
      <c r="BB212" s="77"/>
      <c r="BC212" s="77"/>
      <c r="BD212" s="77"/>
      <c r="BE212" s="77"/>
      <c r="BF212" s="77"/>
      <c r="BG212" s="77"/>
      <c r="BH212" s="77"/>
      <c r="BI212" s="77"/>
      <c r="BJ212" s="77"/>
      <c r="BK212" s="77"/>
      <c r="BL212" s="77"/>
      <c r="BM212" s="77"/>
      <c r="BN212" s="77"/>
    </row>
    <row r="213" spans="48:66" x14ac:dyDescent="0.35">
      <c r="AV213" s="22"/>
      <c r="AX213" s="22"/>
      <c r="AZ213" s="22"/>
      <c r="BB213" s="22"/>
      <c r="BD213" s="22"/>
      <c r="BF213" s="22"/>
      <c r="BH213" s="22"/>
      <c r="BJ213" s="22"/>
      <c r="BL213" s="22"/>
      <c r="BN213" s="22"/>
    </row>
    <row r="214" spans="48:66" x14ac:dyDescent="0.35">
      <c r="AV214" s="22"/>
      <c r="AX214" s="22"/>
      <c r="AZ214" s="22"/>
      <c r="BB214" s="22"/>
      <c r="BD214" s="22"/>
      <c r="BF214" s="22"/>
      <c r="BH214" s="22"/>
      <c r="BJ214" s="22"/>
      <c r="BL214" s="22"/>
      <c r="BN214" s="22"/>
    </row>
    <row r="215" spans="48:66" x14ac:dyDescent="0.35">
      <c r="AV215" s="22"/>
      <c r="AX215" s="22"/>
      <c r="AZ215" s="22"/>
      <c r="BB215" s="22"/>
      <c r="BD215" s="22"/>
      <c r="BF215" s="22"/>
      <c r="BH215" s="22"/>
      <c r="BJ215" s="22"/>
      <c r="BL215" s="22"/>
      <c r="BN215" s="22"/>
    </row>
    <row r="216" spans="48:66" x14ac:dyDescent="0.35">
      <c r="AV216" s="22"/>
      <c r="AX216" s="22"/>
      <c r="AZ216" s="22"/>
      <c r="BB216" s="22"/>
      <c r="BD216" s="22"/>
      <c r="BF216" s="22"/>
      <c r="BH216" s="22"/>
      <c r="BJ216" s="22"/>
      <c r="BL216" s="22"/>
      <c r="BN216" s="22"/>
    </row>
    <row r="217" spans="48:66" x14ac:dyDescent="0.35">
      <c r="AV217" s="22"/>
      <c r="AX217" s="22"/>
      <c r="AZ217" s="22"/>
      <c r="BB217" s="22"/>
      <c r="BD217" s="22"/>
      <c r="BF217" s="22"/>
      <c r="BH217" s="22"/>
      <c r="BJ217" s="22"/>
      <c r="BL217" s="22"/>
      <c r="BN217" s="22"/>
    </row>
    <row r="218" spans="48:66" x14ac:dyDescent="0.35">
      <c r="AV218" s="22"/>
      <c r="AX218" s="22"/>
      <c r="AZ218" s="22"/>
      <c r="BB218" s="22"/>
      <c r="BD218" s="22"/>
      <c r="BF218" s="22"/>
      <c r="BH218" s="22"/>
      <c r="BJ218" s="22"/>
      <c r="BL218" s="22"/>
      <c r="BN218" s="22"/>
    </row>
    <row r="219" spans="48:66" x14ac:dyDescent="0.35">
      <c r="AV219" s="22"/>
      <c r="AX219" s="22"/>
      <c r="AZ219" s="22"/>
      <c r="BB219" s="22"/>
      <c r="BD219" s="22"/>
      <c r="BF219" s="22"/>
      <c r="BH219" s="22"/>
      <c r="BJ219" s="22"/>
      <c r="BL219" s="22"/>
      <c r="BN219" s="22"/>
    </row>
    <row r="220" spans="48:66" x14ac:dyDescent="0.35">
      <c r="AV220" s="22"/>
      <c r="AX220" s="22"/>
      <c r="AZ220" s="22"/>
      <c r="BB220" s="22"/>
      <c r="BD220" s="22"/>
      <c r="BF220" s="22"/>
      <c r="BH220" s="22"/>
      <c r="BJ220" s="22"/>
      <c r="BL220" s="22"/>
      <c r="BN220" s="22"/>
    </row>
    <row r="221" spans="48:66" x14ac:dyDescent="0.35">
      <c r="AV221" s="22"/>
      <c r="AX221" s="22"/>
      <c r="AZ221" s="22"/>
      <c r="BB221" s="22"/>
      <c r="BD221" s="22"/>
      <c r="BF221" s="22"/>
      <c r="BH221" s="22"/>
      <c r="BJ221" s="22"/>
      <c r="BL221" s="22"/>
      <c r="BN221" s="22"/>
    </row>
    <row r="222" spans="48:66" x14ac:dyDescent="0.35">
      <c r="AV222" s="22"/>
      <c r="AX222" s="22"/>
      <c r="AZ222" s="22"/>
      <c r="BB222" s="22"/>
      <c r="BD222" s="22"/>
      <c r="BF222" s="22"/>
      <c r="BH222" s="22"/>
      <c r="BJ222" s="22"/>
      <c r="BL222" s="22"/>
      <c r="BN222" s="22"/>
    </row>
    <row r="223" spans="48:66" x14ac:dyDescent="0.35">
      <c r="AV223" s="22"/>
      <c r="AX223" s="22"/>
      <c r="AZ223" s="22"/>
      <c r="BB223" s="22"/>
      <c r="BD223" s="22"/>
      <c r="BF223" s="22"/>
      <c r="BH223" s="22"/>
      <c r="BJ223" s="22"/>
      <c r="BL223" s="22"/>
      <c r="BN223" s="22"/>
    </row>
    <row r="224" spans="48:66" x14ac:dyDescent="0.35">
      <c r="AV224" s="22"/>
      <c r="AX224" s="22"/>
      <c r="AZ224" s="22"/>
      <c r="BB224" s="22"/>
      <c r="BD224" s="22"/>
      <c r="BF224" s="22"/>
      <c r="BH224" s="22"/>
      <c r="BJ224" s="22"/>
      <c r="BL224" s="22"/>
      <c r="BN224" s="22"/>
    </row>
    <row r="225" spans="48:66" x14ac:dyDescent="0.35">
      <c r="AV225" s="22"/>
      <c r="AX225" s="22"/>
      <c r="AZ225" s="22"/>
      <c r="BB225" s="22"/>
      <c r="BD225" s="22"/>
      <c r="BF225" s="22"/>
      <c r="BH225" s="22"/>
      <c r="BJ225" s="22"/>
      <c r="BL225" s="22"/>
      <c r="BN225" s="22"/>
    </row>
    <row r="226" spans="48:66" x14ac:dyDescent="0.35">
      <c r="AV226" s="22"/>
      <c r="AX226" s="22"/>
      <c r="AZ226" s="22"/>
      <c r="BB226" s="22"/>
      <c r="BD226" s="22"/>
      <c r="BF226" s="22"/>
      <c r="BH226" s="22"/>
      <c r="BJ226" s="22"/>
      <c r="BL226" s="22"/>
      <c r="BN226" s="22"/>
    </row>
    <row r="227" spans="48:66" x14ac:dyDescent="0.35">
      <c r="AV227" s="22"/>
      <c r="AX227" s="22"/>
      <c r="AZ227" s="22"/>
      <c r="BB227" s="22"/>
      <c r="BD227" s="22"/>
      <c r="BF227" s="22"/>
      <c r="BH227" s="22"/>
      <c r="BJ227" s="22"/>
      <c r="BL227" s="22"/>
      <c r="BN227" s="22"/>
    </row>
    <row r="228" spans="48:66" x14ac:dyDescent="0.35">
      <c r="AV228" s="22"/>
      <c r="AX228" s="22"/>
      <c r="AZ228" s="22"/>
      <c r="BB228" s="22"/>
      <c r="BD228" s="22"/>
      <c r="BF228" s="22"/>
      <c r="BH228" s="22"/>
      <c r="BJ228" s="22"/>
      <c r="BL228" s="22"/>
      <c r="BN228" s="22"/>
    </row>
    <row r="229" spans="48:66" x14ac:dyDescent="0.35">
      <c r="AV229" s="22"/>
      <c r="AX229" s="22"/>
      <c r="AZ229" s="22"/>
      <c r="BB229" s="22"/>
      <c r="BD229" s="22"/>
      <c r="BF229" s="22"/>
      <c r="BH229" s="22"/>
      <c r="BJ229" s="22"/>
      <c r="BL229" s="22"/>
      <c r="BN229" s="22"/>
    </row>
    <row r="230" spans="48:66" x14ac:dyDescent="0.35">
      <c r="AV230" s="22"/>
      <c r="AX230" s="22"/>
      <c r="AZ230" s="22"/>
      <c r="BB230" s="22"/>
      <c r="BD230" s="22"/>
      <c r="BF230" s="22"/>
      <c r="BH230" s="22"/>
      <c r="BJ230" s="22"/>
      <c r="BL230" s="22"/>
      <c r="BN230" s="22"/>
    </row>
    <row r="231" spans="48:66" x14ac:dyDescent="0.35">
      <c r="AV231" s="22"/>
      <c r="AX231" s="22"/>
      <c r="AZ231" s="22"/>
      <c r="BB231" s="22"/>
      <c r="BD231" s="22"/>
      <c r="BF231" s="22"/>
      <c r="BH231" s="22"/>
      <c r="BJ231" s="22"/>
      <c r="BL231" s="22"/>
      <c r="BN231" s="22"/>
    </row>
    <row r="232" spans="48:66" x14ac:dyDescent="0.35">
      <c r="AV232" s="22"/>
      <c r="AX232" s="22"/>
      <c r="AZ232" s="22"/>
      <c r="BB232" s="22"/>
      <c r="BD232" s="22"/>
      <c r="BF232" s="22"/>
      <c r="BH232" s="22"/>
      <c r="BJ232" s="22"/>
      <c r="BL232" s="22"/>
      <c r="BN232" s="22"/>
    </row>
    <row r="233" spans="48:66" x14ac:dyDescent="0.35">
      <c r="AV233" s="22"/>
      <c r="AX233" s="22"/>
      <c r="AZ233" s="22"/>
      <c r="BB233" s="22"/>
      <c r="BD233" s="22"/>
      <c r="BF233" s="22"/>
      <c r="BH233" s="22"/>
      <c r="BJ233" s="22"/>
      <c r="BL233" s="22"/>
      <c r="BN233" s="22"/>
    </row>
    <row r="234" spans="48:66" x14ac:dyDescent="0.35">
      <c r="AV234" s="22"/>
      <c r="AX234" s="22"/>
      <c r="AZ234" s="22"/>
      <c r="BB234" s="22"/>
      <c r="BD234" s="22"/>
      <c r="BF234" s="22"/>
      <c r="BH234" s="22"/>
      <c r="BJ234" s="22"/>
      <c r="BL234" s="22"/>
      <c r="BN234" s="22"/>
    </row>
    <row r="235" spans="48:66" x14ac:dyDescent="0.35">
      <c r="AV235" s="22"/>
      <c r="AX235" s="22"/>
      <c r="AZ235" s="22"/>
      <c r="BB235" s="22"/>
      <c r="BD235" s="22"/>
      <c r="BF235" s="22"/>
      <c r="BH235" s="22"/>
      <c r="BJ235" s="22"/>
      <c r="BL235" s="22"/>
      <c r="BN235" s="22"/>
    </row>
    <row r="236" spans="48:66" x14ac:dyDescent="0.35">
      <c r="AV236" s="22"/>
      <c r="AX236" s="22"/>
      <c r="AZ236" s="22"/>
      <c r="BB236" s="22"/>
      <c r="BD236" s="22"/>
      <c r="BF236" s="22"/>
      <c r="BH236" s="22"/>
      <c r="BJ236" s="22"/>
      <c r="BL236" s="22"/>
      <c r="BN236" s="22"/>
    </row>
    <row r="237" spans="48:66" x14ac:dyDescent="0.35">
      <c r="AV237" s="22"/>
      <c r="AX237" s="22"/>
      <c r="AZ237" s="22"/>
      <c r="BB237" s="22"/>
      <c r="BD237" s="22"/>
      <c r="BF237" s="22"/>
      <c r="BH237" s="22"/>
      <c r="BJ237" s="22"/>
      <c r="BL237" s="22"/>
      <c r="BN237" s="22"/>
    </row>
    <row r="238" spans="48:66" x14ac:dyDescent="0.35">
      <c r="AV238" s="22"/>
      <c r="AX238" s="22"/>
      <c r="AZ238" s="22"/>
      <c r="BB238" s="22"/>
      <c r="BD238" s="22"/>
      <c r="BF238" s="22"/>
      <c r="BH238" s="22"/>
      <c r="BJ238" s="22"/>
      <c r="BL238" s="22"/>
      <c r="BN238" s="22"/>
    </row>
    <row r="239" spans="48:66" x14ac:dyDescent="0.35">
      <c r="AV239" s="22"/>
      <c r="AX239" s="22"/>
      <c r="AZ239" s="22"/>
      <c r="BB239" s="22"/>
      <c r="BD239" s="22"/>
      <c r="BF239" s="22"/>
      <c r="BH239" s="22"/>
      <c r="BJ239" s="22"/>
      <c r="BL239" s="22"/>
      <c r="BN239" s="22"/>
    </row>
    <row r="240" spans="48:66" x14ac:dyDescent="0.35">
      <c r="AV240" s="22"/>
      <c r="AX240" s="22"/>
      <c r="AZ240" s="22"/>
      <c r="BB240" s="22"/>
      <c r="BD240" s="22"/>
      <c r="BF240" s="22"/>
      <c r="BH240" s="22"/>
      <c r="BJ240" s="22"/>
      <c r="BL240" s="22"/>
      <c r="BN240" s="22"/>
    </row>
    <row r="241" spans="48:66" x14ac:dyDescent="0.35">
      <c r="AV241" s="22"/>
      <c r="AX241" s="22"/>
      <c r="AZ241" s="22"/>
      <c r="BB241" s="22"/>
      <c r="BD241" s="22"/>
      <c r="BF241" s="22"/>
      <c r="BH241" s="22"/>
      <c r="BJ241" s="22"/>
      <c r="BL241" s="22"/>
      <c r="BN241" s="22"/>
    </row>
    <row r="242" spans="48:66" x14ac:dyDescent="0.35">
      <c r="AV242" s="22"/>
      <c r="AX242" s="22"/>
      <c r="AZ242" s="22"/>
      <c r="BB242" s="22"/>
      <c r="BD242" s="22"/>
      <c r="BF242" s="22"/>
      <c r="BH242" s="22"/>
      <c r="BJ242" s="22"/>
      <c r="BL242" s="22"/>
      <c r="BN242" s="22"/>
    </row>
    <row r="243" spans="48:66" x14ac:dyDescent="0.35">
      <c r="AV243" s="22"/>
      <c r="AX243" s="22"/>
      <c r="AZ243" s="22"/>
      <c r="BB243" s="22"/>
      <c r="BD243" s="22"/>
      <c r="BF243" s="22"/>
      <c r="BH243" s="22"/>
      <c r="BJ243" s="22"/>
      <c r="BL243" s="22"/>
      <c r="BN243" s="22"/>
    </row>
    <row r="244" spans="48:66" x14ac:dyDescent="0.35">
      <c r="AV244" s="22"/>
      <c r="AX244" s="22"/>
      <c r="AZ244" s="22"/>
      <c r="BB244" s="22"/>
      <c r="BD244" s="22"/>
      <c r="BF244" s="22"/>
      <c r="BH244" s="22"/>
      <c r="BJ244" s="22"/>
      <c r="BL244" s="22"/>
      <c r="BN244" s="22"/>
    </row>
    <row r="245" spans="48:66" x14ac:dyDescent="0.35">
      <c r="AV245" s="22"/>
      <c r="AX245" s="22"/>
      <c r="AZ245" s="22"/>
      <c r="BB245" s="22"/>
      <c r="BD245" s="22"/>
      <c r="BF245" s="22"/>
      <c r="BH245" s="22"/>
      <c r="BJ245" s="22"/>
      <c r="BL245" s="22"/>
      <c r="BN245" s="22"/>
    </row>
    <row r="246" spans="48:66" x14ac:dyDescent="0.35">
      <c r="AV246" s="22"/>
      <c r="AX246" s="22"/>
      <c r="AZ246" s="22"/>
      <c r="BB246" s="22"/>
      <c r="BD246" s="22"/>
      <c r="BF246" s="22"/>
      <c r="BH246" s="22"/>
      <c r="BJ246" s="22"/>
      <c r="BL246" s="22"/>
      <c r="BN246" s="22"/>
    </row>
    <row r="247" spans="48:66" x14ac:dyDescent="0.35">
      <c r="AV247" s="22"/>
      <c r="AX247" s="22"/>
      <c r="AZ247" s="22"/>
      <c r="BB247" s="22"/>
      <c r="BD247" s="22"/>
      <c r="BF247" s="22"/>
      <c r="BH247" s="22"/>
      <c r="BJ247" s="22"/>
      <c r="BL247" s="22"/>
      <c r="BN247" s="22"/>
    </row>
    <row r="248" spans="48:66" x14ac:dyDescent="0.35">
      <c r="AV248" s="22"/>
      <c r="AX248" s="22"/>
      <c r="AZ248" s="22"/>
      <c r="BB248" s="22"/>
      <c r="BD248" s="22"/>
      <c r="BF248" s="22"/>
      <c r="BH248" s="22"/>
      <c r="BJ248" s="22"/>
      <c r="BL248" s="22"/>
      <c r="BN248" s="22"/>
    </row>
    <row r="249" spans="48:66" x14ac:dyDescent="0.35">
      <c r="AV249" s="22"/>
      <c r="AX249" s="22"/>
      <c r="AZ249" s="22"/>
      <c r="BB249" s="22"/>
      <c r="BD249" s="22"/>
      <c r="BF249" s="22"/>
      <c r="BH249" s="22"/>
      <c r="BJ249" s="22"/>
      <c r="BL249" s="22"/>
      <c r="BN249" s="22"/>
    </row>
    <row r="250" spans="48:66" x14ac:dyDescent="0.35">
      <c r="AV250" s="22"/>
      <c r="AX250" s="22"/>
      <c r="AZ250" s="22"/>
      <c r="BB250" s="22"/>
      <c r="BD250" s="22"/>
      <c r="BF250" s="22"/>
      <c r="BH250" s="22"/>
      <c r="BJ250" s="22"/>
      <c r="BL250" s="22"/>
      <c r="BN250" s="22"/>
    </row>
    <row r="251" spans="48:66" x14ac:dyDescent="0.35">
      <c r="AV251" s="22"/>
      <c r="AX251" s="22"/>
      <c r="AZ251" s="22"/>
      <c r="BB251" s="22"/>
      <c r="BD251" s="22"/>
      <c r="BF251" s="22"/>
      <c r="BH251" s="22"/>
      <c r="BJ251" s="22"/>
      <c r="BL251" s="22"/>
      <c r="BN251" s="22"/>
    </row>
    <row r="252" spans="48:66" x14ac:dyDescent="0.35">
      <c r="AV252" s="22"/>
      <c r="AX252" s="22"/>
      <c r="AZ252" s="22"/>
      <c r="BB252" s="22"/>
      <c r="BD252" s="22"/>
      <c r="BF252" s="22"/>
      <c r="BH252" s="22"/>
      <c r="BJ252" s="22"/>
      <c r="BL252" s="22"/>
      <c r="BN252" s="22"/>
    </row>
    <row r="253" spans="48:66" x14ac:dyDescent="0.35">
      <c r="AV253" s="22"/>
      <c r="AX253" s="22"/>
      <c r="AZ253" s="22"/>
      <c r="BB253" s="22"/>
      <c r="BD253" s="22"/>
      <c r="BF253" s="22"/>
      <c r="BH253" s="22"/>
      <c r="BJ253" s="22"/>
      <c r="BL253" s="22"/>
      <c r="BN253" s="22"/>
    </row>
    <row r="254" spans="48:66" x14ac:dyDescent="0.35">
      <c r="AV254" s="22"/>
      <c r="AX254" s="22"/>
      <c r="AZ254" s="22"/>
      <c r="BB254" s="22"/>
      <c r="BD254" s="22"/>
      <c r="BF254" s="22"/>
      <c r="BH254" s="22"/>
      <c r="BJ254" s="22"/>
      <c r="BL254" s="22"/>
      <c r="BN254" s="22"/>
    </row>
    <row r="255" spans="48:66" x14ac:dyDescent="0.35">
      <c r="AV255" s="22"/>
      <c r="AX255" s="22"/>
      <c r="AZ255" s="22"/>
      <c r="BB255" s="22"/>
      <c r="BD255" s="22"/>
      <c r="BF255" s="22"/>
      <c r="BH255" s="22"/>
      <c r="BJ255" s="22"/>
      <c r="BL255" s="22"/>
      <c r="BN255" s="22"/>
    </row>
    <row r="256" spans="48:66" x14ac:dyDescent="0.35">
      <c r="AV256" s="22"/>
      <c r="AX256" s="22"/>
      <c r="AZ256" s="22"/>
      <c r="BB256" s="22"/>
      <c r="BD256" s="22"/>
      <c r="BF256" s="22"/>
      <c r="BH256" s="22"/>
      <c r="BJ256" s="22"/>
      <c r="BL256" s="22"/>
      <c r="BN256" s="22"/>
    </row>
    <row r="257" spans="48:66" x14ac:dyDescent="0.35">
      <c r="AV257" s="22"/>
      <c r="AX257" s="22"/>
      <c r="AZ257" s="22"/>
      <c r="BB257" s="22"/>
      <c r="BD257" s="22"/>
      <c r="BF257" s="22"/>
      <c r="BH257" s="22"/>
      <c r="BJ257" s="22"/>
      <c r="BL257" s="22"/>
      <c r="BN257" s="22"/>
    </row>
    <row r="258" spans="48:66" x14ac:dyDescent="0.35">
      <c r="AV258" s="22"/>
      <c r="AX258" s="22"/>
      <c r="AZ258" s="22"/>
      <c r="BB258" s="22"/>
      <c r="BD258" s="22"/>
      <c r="BF258" s="22"/>
      <c r="BH258" s="22"/>
      <c r="BJ258" s="22"/>
      <c r="BL258" s="22"/>
      <c r="BN258" s="22"/>
    </row>
    <row r="259" spans="48:66" x14ac:dyDescent="0.35">
      <c r="AV259" s="22"/>
      <c r="AX259" s="22"/>
      <c r="AZ259" s="22"/>
      <c r="BB259" s="22"/>
      <c r="BD259" s="22"/>
      <c r="BF259" s="22"/>
      <c r="BH259" s="22"/>
      <c r="BJ259" s="22"/>
      <c r="BL259" s="22"/>
      <c r="BN259" s="22"/>
    </row>
    <row r="260" spans="48:66" x14ac:dyDescent="0.35">
      <c r="AV260" s="22"/>
      <c r="AX260" s="22"/>
      <c r="AZ260" s="22"/>
      <c r="BB260" s="22"/>
      <c r="BD260" s="22"/>
      <c r="BF260" s="22"/>
      <c r="BH260" s="22"/>
      <c r="BJ260" s="22"/>
      <c r="BL260" s="22"/>
      <c r="BN260" s="22"/>
    </row>
    <row r="261" spans="48:66" x14ac:dyDescent="0.35">
      <c r="AV261" s="22"/>
      <c r="AX261" s="22"/>
      <c r="AZ261" s="22"/>
      <c r="BB261" s="22"/>
      <c r="BD261" s="22"/>
      <c r="BF261" s="22"/>
      <c r="BH261" s="22"/>
      <c r="BJ261" s="22"/>
      <c r="BL261" s="22"/>
      <c r="BN261" s="22"/>
    </row>
    <row r="262" spans="48:66" x14ac:dyDescent="0.35">
      <c r="AV262" s="22"/>
      <c r="AX262" s="22"/>
      <c r="AZ262" s="22"/>
      <c r="BB262" s="22"/>
      <c r="BD262" s="22"/>
      <c r="BF262" s="22"/>
      <c r="BH262" s="22"/>
      <c r="BJ262" s="22"/>
      <c r="BL262" s="22"/>
      <c r="BN262" s="22"/>
    </row>
    <row r="263" spans="48:66" x14ac:dyDescent="0.35">
      <c r="AV263" s="22"/>
      <c r="AX263" s="22"/>
      <c r="AZ263" s="22"/>
      <c r="BB263" s="22"/>
      <c r="BD263" s="22"/>
      <c r="BF263" s="22"/>
      <c r="BH263" s="22"/>
      <c r="BJ263" s="22"/>
      <c r="BL263" s="22"/>
      <c r="BN263" s="22"/>
    </row>
    <row r="264" spans="48:66" x14ac:dyDescent="0.35">
      <c r="AV264" s="22"/>
      <c r="AX264" s="22"/>
      <c r="AZ264" s="22"/>
      <c r="BB264" s="22"/>
      <c r="BD264" s="22"/>
      <c r="BF264" s="22"/>
      <c r="BH264" s="22"/>
      <c r="BJ264" s="22"/>
      <c r="BL264" s="22"/>
      <c r="BN264" s="22"/>
    </row>
    <row r="265" spans="48:66" x14ac:dyDescent="0.35">
      <c r="AV265" s="22"/>
      <c r="AX265" s="22"/>
      <c r="AZ265" s="22"/>
      <c r="BB265" s="22"/>
      <c r="BD265" s="22"/>
      <c r="BF265" s="22"/>
      <c r="BH265" s="22"/>
      <c r="BJ265" s="22"/>
      <c r="BL265" s="22"/>
      <c r="BN265" s="22"/>
    </row>
    <row r="266" spans="48:66" x14ac:dyDescent="0.35">
      <c r="AV266" s="22"/>
      <c r="AX266" s="22"/>
      <c r="AZ266" s="22"/>
      <c r="BB266" s="22"/>
      <c r="BD266" s="22"/>
      <c r="BF266" s="22"/>
      <c r="BH266" s="22"/>
      <c r="BJ266" s="22"/>
      <c r="BL266" s="22"/>
      <c r="BN266" s="22"/>
    </row>
    <row r="267" spans="48:66" x14ac:dyDescent="0.35">
      <c r="AV267" s="78"/>
      <c r="AW267" s="78"/>
      <c r="AX267" s="78"/>
      <c r="AY267" s="78"/>
      <c r="AZ267" s="78"/>
      <c r="BA267" s="78"/>
      <c r="BB267" s="78"/>
      <c r="BC267" s="78"/>
      <c r="BD267" s="78"/>
      <c r="BE267" s="78"/>
      <c r="BF267" s="78"/>
      <c r="BG267" s="78"/>
      <c r="BH267" s="78"/>
      <c r="BI267" s="78"/>
      <c r="BJ267" s="78"/>
      <c r="BK267" s="78"/>
      <c r="BL267" s="78"/>
      <c r="BM267" s="78"/>
      <c r="BN267" s="78"/>
    </row>
    <row r="268" spans="48:66" x14ac:dyDescent="0.35">
      <c r="AV268" s="22"/>
      <c r="AX268" s="22"/>
      <c r="AZ268" s="22"/>
      <c r="BB268" s="22"/>
      <c r="BD268" s="22"/>
      <c r="BF268" s="22"/>
      <c r="BH268" s="22"/>
      <c r="BJ268" s="22"/>
      <c r="BL268" s="22"/>
      <c r="BN268" s="22"/>
    </row>
    <row r="269" spans="48:66" x14ac:dyDescent="0.35">
      <c r="AV269" s="22"/>
      <c r="AX269" s="22"/>
      <c r="AZ269" s="22"/>
      <c r="BB269" s="22"/>
      <c r="BD269" s="22"/>
      <c r="BF269" s="22"/>
      <c r="BH269" s="22"/>
      <c r="BJ269" s="22"/>
      <c r="BL269" s="22"/>
      <c r="BN269" s="22"/>
    </row>
    <row r="270" spans="48:66" x14ac:dyDescent="0.35">
      <c r="AV270" s="22"/>
      <c r="AX270" s="22"/>
      <c r="AZ270" s="22"/>
      <c r="BB270" s="22"/>
      <c r="BD270" s="22"/>
      <c r="BF270" s="22"/>
      <c r="BH270" s="22"/>
      <c r="BJ270" s="22"/>
      <c r="BL270" s="22"/>
      <c r="BN270" s="22"/>
    </row>
    <row r="271" spans="48:66" x14ac:dyDescent="0.35">
      <c r="AV271" s="22"/>
      <c r="AX271" s="22"/>
      <c r="AZ271" s="22"/>
      <c r="BB271" s="22"/>
      <c r="BD271" s="22"/>
      <c r="BF271" s="22"/>
      <c r="BH271" s="22"/>
      <c r="BJ271" s="22"/>
      <c r="BL271" s="22"/>
      <c r="BN271" s="22"/>
    </row>
    <row r="272" spans="48:66" x14ac:dyDescent="0.35">
      <c r="AV272" s="22"/>
      <c r="AX272" s="22"/>
      <c r="AZ272" s="22"/>
      <c r="BB272" s="22"/>
      <c r="BD272" s="22"/>
      <c r="BF272" s="22"/>
      <c r="BH272" s="22"/>
      <c r="BJ272" s="22"/>
      <c r="BL272" s="22"/>
      <c r="BN272" s="22"/>
    </row>
    <row r="273" spans="48:66" x14ac:dyDescent="0.35">
      <c r="AV273" s="22"/>
      <c r="AX273" s="22"/>
      <c r="AZ273" s="22"/>
      <c r="BB273" s="22"/>
      <c r="BD273" s="22"/>
      <c r="BF273" s="22"/>
      <c r="BH273" s="22"/>
      <c r="BJ273" s="22"/>
      <c r="BL273" s="22"/>
      <c r="BN273" s="22"/>
    </row>
    <row r="274" spans="48:66" x14ac:dyDescent="0.35">
      <c r="AV274" s="22"/>
      <c r="AX274" s="22"/>
      <c r="AZ274" s="22"/>
      <c r="BB274" s="22"/>
      <c r="BD274" s="22"/>
      <c r="BF274" s="22"/>
      <c r="BH274" s="22"/>
      <c r="BJ274" s="22"/>
      <c r="BL274" s="22"/>
      <c r="BN274" s="22"/>
    </row>
    <row r="275" spans="48:66" x14ac:dyDescent="0.35">
      <c r="AV275" s="22"/>
      <c r="AX275" s="22"/>
      <c r="AZ275" s="22"/>
      <c r="BB275" s="22"/>
      <c r="BD275" s="22"/>
      <c r="BF275" s="22"/>
      <c r="BH275" s="22"/>
      <c r="BJ275" s="22"/>
      <c r="BL275" s="22"/>
      <c r="BN275" s="22"/>
    </row>
    <row r="276" spans="48:66" x14ac:dyDescent="0.35">
      <c r="AV276" s="22"/>
      <c r="AX276" s="22"/>
      <c r="AZ276" s="22"/>
      <c r="BB276" s="22"/>
      <c r="BD276" s="22"/>
      <c r="BF276" s="22"/>
      <c r="BH276" s="22"/>
      <c r="BJ276" s="22"/>
      <c r="BL276" s="22"/>
      <c r="BN276" s="22"/>
    </row>
    <row r="277" spans="48:66" x14ac:dyDescent="0.35">
      <c r="AV277" s="22"/>
      <c r="AX277" s="22"/>
      <c r="AZ277" s="22"/>
      <c r="BB277" s="22"/>
      <c r="BD277" s="22"/>
      <c r="BF277" s="22"/>
      <c r="BH277" s="22"/>
      <c r="BJ277" s="22"/>
      <c r="BL277" s="22"/>
      <c r="BN277" s="22"/>
    </row>
    <row r="278" spans="48:66" x14ac:dyDescent="0.35">
      <c r="AV278" s="22"/>
      <c r="AX278" s="22"/>
      <c r="AZ278" s="22"/>
      <c r="BB278" s="22"/>
      <c r="BD278" s="22"/>
      <c r="BF278" s="22"/>
      <c r="BH278" s="22"/>
      <c r="BJ278" s="22"/>
      <c r="BL278" s="22"/>
      <c r="BN278" s="22"/>
    </row>
    <row r="279" spans="48:66" x14ac:dyDescent="0.35">
      <c r="AV279" s="22"/>
      <c r="AX279" s="22"/>
      <c r="AZ279" s="22"/>
      <c r="BB279" s="22"/>
      <c r="BD279" s="22"/>
      <c r="BF279" s="22"/>
      <c r="BH279" s="22"/>
      <c r="BJ279" s="22"/>
      <c r="BL279" s="22"/>
      <c r="BN279" s="22"/>
    </row>
    <row r="280" spans="48:66" x14ac:dyDescent="0.35">
      <c r="AV280" s="22"/>
      <c r="AX280" s="22"/>
      <c r="AZ280" s="22"/>
      <c r="BB280" s="22"/>
      <c r="BD280" s="22"/>
      <c r="BF280" s="22"/>
      <c r="BH280" s="22"/>
      <c r="BJ280" s="22"/>
      <c r="BL280" s="22"/>
      <c r="BN280" s="22"/>
    </row>
    <row r="281" spans="48:66" x14ac:dyDescent="0.35">
      <c r="AV281" s="22"/>
      <c r="AX281" s="22"/>
      <c r="AZ281" s="22"/>
      <c r="BB281" s="22"/>
      <c r="BD281" s="22"/>
      <c r="BF281" s="22"/>
      <c r="BH281" s="22"/>
      <c r="BJ281" s="22"/>
      <c r="BL281" s="22"/>
      <c r="BN281" s="22"/>
    </row>
    <row r="282" spans="48:66" x14ac:dyDescent="0.35">
      <c r="AV282" s="22"/>
      <c r="AX282" s="22"/>
      <c r="AZ282" s="22"/>
      <c r="BB282" s="22"/>
      <c r="BD282" s="22"/>
      <c r="BF282" s="22"/>
      <c r="BH282" s="22"/>
      <c r="BJ282" s="22"/>
      <c r="BL282" s="22"/>
      <c r="BN282" s="22"/>
    </row>
    <row r="283" spans="48:66" x14ac:dyDescent="0.35">
      <c r="AV283" s="22"/>
      <c r="AX283" s="22"/>
      <c r="AZ283" s="22"/>
      <c r="BB283" s="22"/>
      <c r="BD283" s="22"/>
      <c r="BF283" s="22"/>
      <c r="BH283" s="22"/>
      <c r="BJ283" s="22"/>
      <c r="BL283" s="22"/>
      <c r="BN283" s="22"/>
    </row>
    <row r="284" spans="48:66" x14ac:dyDescent="0.35">
      <c r="AV284" s="22"/>
      <c r="AX284" s="22"/>
      <c r="AZ284" s="22"/>
      <c r="BB284" s="22"/>
      <c r="BD284" s="22"/>
      <c r="BF284" s="22"/>
      <c r="BH284" s="22"/>
      <c r="BJ284" s="22"/>
      <c r="BL284" s="22"/>
      <c r="BN284" s="22"/>
    </row>
    <row r="285" spans="48:66" x14ac:dyDescent="0.35">
      <c r="AV285" s="22"/>
      <c r="AX285" s="22"/>
      <c r="AZ285" s="22"/>
      <c r="BB285" s="22"/>
      <c r="BD285" s="22"/>
      <c r="BF285" s="22"/>
      <c r="BH285" s="22"/>
      <c r="BJ285" s="22"/>
      <c r="BL285" s="22"/>
      <c r="BN285" s="22"/>
    </row>
    <row r="286" spans="48:66" x14ac:dyDescent="0.35">
      <c r="AV286" s="22"/>
      <c r="AX286" s="22"/>
      <c r="AZ286" s="22"/>
      <c r="BB286" s="22"/>
      <c r="BD286" s="22"/>
      <c r="BF286" s="22"/>
      <c r="BH286" s="22"/>
      <c r="BJ286" s="22"/>
      <c r="BL286" s="22"/>
      <c r="BN286" s="22"/>
    </row>
    <row r="287" spans="48:66" x14ac:dyDescent="0.35">
      <c r="AV287" s="22"/>
      <c r="AX287" s="22"/>
      <c r="AZ287" s="22"/>
      <c r="BB287" s="22"/>
      <c r="BD287" s="22"/>
      <c r="BF287" s="22"/>
      <c r="BH287" s="22"/>
      <c r="BJ287" s="22"/>
      <c r="BL287" s="22"/>
      <c r="BN287" s="22"/>
    </row>
    <row r="288" spans="48:66" x14ac:dyDescent="0.35">
      <c r="AV288" s="22"/>
      <c r="AX288" s="22"/>
      <c r="AZ288" s="22"/>
      <c r="BB288" s="22"/>
      <c r="BD288" s="22"/>
      <c r="BF288" s="22"/>
      <c r="BH288" s="22"/>
      <c r="BJ288" s="22"/>
      <c r="BL288" s="22"/>
      <c r="BN288" s="22"/>
    </row>
    <row r="289" spans="48:66" x14ac:dyDescent="0.35">
      <c r="AV289" s="22"/>
      <c r="AX289" s="22"/>
      <c r="AZ289" s="22"/>
      <c r="BB289" s="22"/>
      <c r="BD289" s="22"/>
      <c r="BF289" s="22"/>
      <c r="BH289" s="22"/>
      <c r="BJ289" s="22"/>
      <c r="BL289" s="22"/>
      <c r="BN289" s="22"/>
    </row>
    <row r="290" spans="48:66" x14ac:dyDescent="0.35">
      <c r="AV290" s="22"/>
      <c r="AX290" s="22"/>
      <c r="AZ290" s="22"/>
      <c r="BB290" s="22"/>
      <c r="BD290" s="22"/>
      <c r="BF290" s="22"/>
      <c r="BH290" s="22"/>
      <c r="BJ290" s="22"/>
      <c r="BL290" s="22"/>
      <c r="BN290" s="22"/>
    </row>
    <row r="291" spans="48:66" x14ac:dyDescent="0.35">
      <c r="AV291" s="22"/>
      <c r="AX291" s="22"/>
      <c r="AZ291" s="22"/>
      <c r="BB291" s="22"/>
      <c r="BD291" s="22"/>
      <c r="BF291" s="22"/>
      <c r="BH291" s="22"/>
      <c r="BJ291" s="22"/>
      <c r="BL291" s="22"/>
      <c r="BN291" s="22"/>
    </row>
    <row r="292" spans="48:66" x14ac:dyDescent="0.35">
      <c r="AV292" s="22"/>
      <c r="AX292" s="22"/>
      <c r="AZ292" s="22"/>
      <c r="BB292" s="22"/>
      <c r="BD292" s="22"/>
      <c r="BF292" s="22"/>
      <c r="BH292" s="22"/>
      <c r="BJ292" s="22"/>
      <c r="BL292" s="22"/>
      <c r="BN292" s="22"/>
    </row>
    <row r="293" spans="48:66" x14ac:dyDescent="0.35">
      <c r="AV293" s="22"/>
      <c r="AX293" s="22"/>
      <c r="AZ293" s="22"/>
      <c r="BB293" s="22"/>
      <c r="BD293" s="22"/>
      <c r="BF293" s="22"/>
      <c r="BH293" s="22"/>
      <c r="BJ293" s="22"/>
      <c r="BL293" s="22"/>
      <c r="BN293" s="22"/>
    </row>
    <row r="294" spans="48:66" x14ac:dyDescent="0.35">
      <c r="AV294" s="22"/>
      <c r="AX294" s="22"/>
      <c r="AZ294" s="22"/>
      <c r="BB294" s="22"/>
      <c r="BD294" s="22"/>
      <c r="BF294" s="22"/>
      <c r="BH294" s="22"/>
      <c r="BJ294" s="22"/>
      <c r="BL294" s="22"/>
      <c r="BN294" s="22"/>
    </row>
    <row r="295" spans="48:66" x14ac:dyDescent="0.35">
      <c r="AV295" s="22"/>
      <c r="AX295" s="22"/>
      <c r="AZ295" s="22"/>
      <c r="BB295" s="22"/>
      <c r="BD295" s="22"/>
      <c r="BF295" s="22"/>
      <c r="BH295" s="22"/>
      <c r="BJ295" s="22"/>
      <c r="BL295" s="22"/>
      <c r="BN295" s="22"/>
    </row>
    <row r="296" spans="48:66" x14ac:dyDescent="0.35">
      <c r="AV296" s="22"/>
      <c r="AX296" s="22"/>
      <c r="AZ296" s="22"/>
      <c r="BB296" s="22"/>
      <c r="BD296" s="22"/>
      <c r="BF296" s="22"/>
      <c r="BH296" s="22"/>
      <c r="BJ296" s="22"/>
      <c r="BL296" s="22"/>
      <c r="BN296" s="22"/>
    </row>
    <row r="297" spans="48:66" x14ac:dyDescent="0.35">
      <c r="AV297" s="22"/>
      <c r="AX297" s="22"/>
      <c r="AZ297" s="22"/>
      <c r="BB297" s="22"/>
      <c r="BD297" s="22"/>
      <c r="BF297" s="22"/>
      <c r="BH297" s="22"/>
      <c r="BJ297" s="22"/>
      <c r="BL297" s="22"/>
      <c r="BN297" s="22"/>
    </row>
    <row r="298" spans="48:66" x14ac:dyDescent="0.35">
      <c r="AV298" s="22"/>
      <c r="AX298" s="22"/>
      <c r="AZ298" s="22"/>
      <c r="BB298" s="22"/>
      <c r="BD298" s="22"/>
      <c r="BF298" s="22"/>
      <c r="BH298" s="22"/>
      <c r="BJ298" s="22"/>
      <c r="BL298" s="22"/>
      <c r="BN298" s="22"/>
    </row>
    <row r="299" spans="48:66" x14ac:dyDescent="0.35">
      <c r="AV299" s="77"/>
      <c r="AW299" s="78"/>
      <c r="AX299" s="78"/>
      <c r="AY299" s="78"/>
      <c r="AZ299" s="78"/>
      <c r="BA299" s="78"/>
      <c r="BB299" s="78"/>
      <c r="BC299" s="78"/>
      <c r="BD299" s="78"/>
      <c r="BE299" s="78"/>
      <c r="BF299" s="78"/>
      <c r="BG299" s="78"/>
      <c r="BH299" s="78"/>
      <c r="BI299" s="78"/>
      <c r="BJ299" s="78"/>
      <c r="BK299" s="78"/>
      <c r="BL299" s="78"/>
      <c r="BM299" s="78"/>
      <c r="BN299" s="78"/>
    </row>
    <row r="300" spans="48:66" x14ac:dyDescent="0.35">
      <c r="AV300" s="22"/>
      <c r="AX300" s="22"/>
      <c r="AZ300" s="22"/>
      <c r="BB300" s="22"/>
      <c r="BD300" s="22"/>
      <c r="BF300" s="22"/>
      <c r="BH300" s="22"/>
      <c r="BJ300" s="22"/>
      <c r="BL300" s="22"/>
      <c r="BN300" s="22"/>
    </row>
    <row r="301" spans="48:66" x14ac:dyDescent="0.35">
      <c r="AV301" s="22"/>
      <c r="AX301" s="22"/>
      <c r="AZ301" s="22"/>
      <c r="BB301" s="22"/>
      <c r="BD301" s="22"/>
      <c r="BF301" s="22"/>
      <c r="BH301" s="22"/>
      <c r="BJ301" s="22"/>
      <c r="BL301" s="22"/>
      <c r="BN301" s="22"/>
    </row>
    <row r="302" spans="48:66" x14ac:dyDescent="0.35">
      <c r="AV302" s="22"/>
      <c r="AX302" s="22"/>
      <c r="AZ302" s="22"/>
      <c r="BB302" s="22"/>
      <c r="BD302" s="22"/>
      <c r="BF302" s="22"/>
      <c r="BH302" s="22"/>
      <c r="BJ302" s="22"/>
      <c r="BL302" s="22"/>
      <c r="BN302" s="22"/>
    </row>
    <row r="303" spans="48:66" x14ac:dyDescent="0.35">
      <c r="AV303" s="22"/>
      <c r="AX303" s="22"/>
      <c r="AZ303" s="22"/>
      <c r="BB303" s="22"/>
      <c r="BD303" s="22"/>
      <c r="BF303" s="22"/>
      <c r="BH303" s="22"/>
      <c r="BJ303" s="22"/>
      <c r="BL303" s="22"/>
      <c r="BN303" s="22"/>
    </row>
    <row r="304" spans="48:66" x14ac:dyDescent="0.35">
      <c r="AV304" s="22"/>
      <c r="AX304" s="22"/>
      <c r="AZ304" s="22"/>
      <c r="BB304" s="22"/>
      <c r="BD304" s="22"/>
      <c r="BF304" s="22"/>
      <c r="BH304" s="22"/>
      <c r="BJ304" s="22"/>
      <c r="BL304" s="22"/>
      <c r="BN304" s="22"/>
    </row>
    <row r="305" spans="48:66" x14ac:dyDescent="0.35">
      <c r="AV305" s="22"/>
      <c r="AX305" s="22"/>
      <c r="AZ305" s="22"/>
      <c r="BB305" s="22"/>
      <c r="BD305" s="22"/>
      <c r="BF305" s="22"/>
      <c r="BH305" s="22"/>
      <c r="BJ305" s="22"/>
      <c r="BL305" s="22"/>
      <c r="BN305" s="22"/>
    </row>
    <row r="306" spans="48:66" x14ac:dyDescent="0.35">
      <c r="AV306" s="22"/>
      <c r="AX306" s="22"/>
      <c r="AZ306" s="22"/>
      <c r="BB306" s="22"/>
      <c r="BD306" s="22"/>
      <c r="BF306" s="22"/>
      <c r="BH306" s="22"/>
      <c r="BJ306" s="22"/>
      <c r="BL306" s="22"/>
      <c r="BN306" s="22"/>
    </row>
    <row r="307" spans="48:66" x14ac:dyDescent="0.35">
      <c r="AV307" s="22"/>
      <c r="AX307" s="22"/>
      <c r="AZ307" s="22"/>
      <c r="BB307" s="22"/>
      <c r="BD307" s="22"/>
      <c r="BF307" s="22"/>
      <c r="BH307" s="22"/>
      <c r="BJ307" s="22"/>
      <c r="BL307" s="22"/>
      <c r="BN307" s="22"/>
    </row>
    <row r="308" spans="48:66" x14ac:dyDescent="0.35">
      <c r="AV308" s="22"/>
      <c r="AX308" s="22"/>
      <c r="AZ308" s="22"/>
      <c r="BB308" s="22"/>
      <c r="BD308" s="22"/>
      <c r="BF308" s="22"/>
      <c r="BH308" s="22"/>
      <c r="BJ308" s="22"/>
      <c r="BL308" s="22"/>
      <c r="BN308" s="22"/>
    </row>
    <row r="309" spans="48:66" x14ac:dyDescent="0.35">
      <c r="AV309" s="22"/>
      <c r="AX309" s="22"/>
      <c r="AZ309" s="22"/>
      <c r="BB309" s="22"/>
      <c r="BD309" s="22"/>
      <c r="BF309" s="22"/>
      <c r="BH309" s="22"/>
      <c r="BJ309" s="22"/>
      <c r="BL309" s="22"/>
      <c r="BN309" s="22"/>
    </row>
    <row r="310" spans="48:66" x14ac:dyDescent="0.35">
      <c r="AV310" s="22"/>
      <c r="AX310" s="22"/>
      <c r="AZ310" s="22"/>
      <c r="BB310" s="22"/>
      <c r="BD310" s="22"/>
      <c r="BF310" s="22"/>
      <c r="BH310" s="22"/>
      <c r="BJ310" s="22"/>
      <c r="BL310" s="22"/>
      <c r="BN310" s="22"/>
    </row>
    <row r="311" spans="48:66" x14ac:dyDescent="0.35">
      <c r="AV311" s="22"/>
      <c r="AX311" s="22"/>
      <c r="AZ311" s="22"/>
      <c r="BB311" s="22"/>
      <c r="BD311" s="22"/>
      <c r="BF311" s="22"/>
      <c r="BH311" s="22"/>
      <c r="BJ311" s="22"/>
      <c r="BL311" s="22"/>
      <c r="BN311" s="22"/>
    </row>
    <row r="312" spans="48:66" x14ac:dyDescent="0.35">
      <c r="AV312" s="22"/>
      <c r="AX312" s="22"/>
      <c r="AZ312" s="22"/>
      <c r="BB312" s="22"/>
      <c r="BD312" s="22"/>
      <c r="BF312" s="22"/>
      <c r="BH312" s="22"/>
      <c r="BJ312" s="22"/>
      <c r="BL312" s="22"/>
      <c r="BN312" s="22"/>
    </row>
    <row r="313" spans="48:66" x14ac:dyDescent="0.35">
      <c r="AV313" s="22"/>
      <c r="AX313" s="22"/>
      <c r="AZ313" s="22"/>
      <c r="BB313" s="22"/>
      <c r="BD313" s="22"/>
      <c r="BF313" s="22"/>
      <c r="BH313" s="22"/>
      <c r="BJ313" s="22"/>
      <c r="BL313" s="22"/>
      <c r="BN313" s="22"/>
    </row>
    <row r="314" spans="48:66" x14ac:dyDescent="0.35">
      <c r="AV314" s="22"/>
      <c r="AX314" s="22"/>
      <c r="AZ314" s="22"/>
      <c r="BB314" s="22"/>
      <c r="BD314" s="22"/>
      <c r="BF314" s="22"/>
      <c r="BH314" s="22"/>
      <c r="BJ314" s="22"/>
      <c r="BL314" s="22"/>
      <c r="BN314" s="22"/>
    </row>
    <row r="315" spans="48:66" x14ac:dyDescent="0.35">
      <c r="AV315" s="22"/>
      <c r="AX315" s="22"/>
      <c r="AZ315" s="22"/>
      <c r="BB315" s="22"/>
      <c r="BD315" s="22"/>
      <c r="BF315" s="22"/>
      <c r="BH315" s="22"/>
      <c r="BJ315" s="22"/>
      <c r="BL315" s="22"/>
      <c r="BN315" s="22"/>
    </row>
    <row r="316" spans="48:66" x14ac:dyDescent="0.35">
      <c r="AV316" s="22"/>
      <c r="AX316" s="22"/>
      <c r="AZ316" s="22"/>
      <c r="BB316" s="22"/>
      <c r="BD316" s="22"/>
      <c r="BF316" s="22"/>
      <c r="BH316" s="22"/>
      <c r="BJ316" s="22"/>
      <c r="BL316" s="22"/>
      <c r="BN316" s="22"/>
    </row>
    <row r="317" spans="48:66" x14ac:dyDescent="0.35">
      <c r="AV317" s="22"/>
      <c r="AX317" s="22"/>
      <c r="AZ317" s="22"/>
      <c r="BB317" s="22"/>
      <c r="BD317" s="22"/>
      <c r="BF317" s="22"/>
      <c r="BH317" s="22"/>
      <c r="BJ317" s="22"/>
      <c r="BL317" s="22"/>
      <c r="BN317" s="22"/>
    </row>
    <row r="318" spans="48:66" x14ac:dyDescent="0.35">
      <c r="AV318" s="22"/>
      <c r="AX318" s="22"/>
      <c r="AZ318" s="22"/>
      <c r="BB318" s="22"/>
      <c r="BD318" s="22"/>
      <c r="BF318" s="22"/>
      <c r="BH318" s="22"/>
      <c r="BJ318" s="22"/>
      <c r="BL318" s="22"/>
      <c r="BN318" s="22"/>
    </row>
    <row r="319" spans="48:66" x14ac:dyDescent="0.35">
      <c r="AV319" s="22"/>
      <c r="AX319" s="22"/>
      <c r="AZ319" s="22"/>
      <c r="BB319" s="22"/>
      <c r="BD319" s="22"/>
      <c r="BF319" s="22"/>
      <c r="BH319" s="22"/>
      <c r="BJ319" s="22"/>
      <c r="BL319" s="22"/>
      <c r="BN319" s="22"/>
    </row>
    <row r="320" spans="48:66" x14ac:dyDescent="0.35">
      <c r="AV320" s="22"/>
      <c r="AX320" s="22"/>
      <c r="AZ320" s="22"/>
      <c r="BB320" s="22"/>
      <c r="BD320" s="22"/>
      <c r="BF320" s="22"/>
      <c r="BH320" s="22"/>
      <c r="BJ320" s="22"/>
      <c r="BL320" s="22"/>
      <c r="BN320" s="22"/>
    </row>
    <row r="321" spans="48:66" x14ac:dyDescent="0.35">
      <c r="AV321" s="22"/>
      <c r="AX321" s="22"/>
      <c r="AZ321" s="22"/>
      <c r="BB321" s="22"/>
      <c r="BD321" s="22"/>
      <c r="BF321" s="22"/>
      <c r="BH321" s="22"/>
      <c r="BJ321" s="22"/>
      <c r="BL321" s="22"/>
      <c r="BN321" s="22"/>
    </row>
    <row r="322" spans="48:66" x14ac:dyDescent="0.35">
      <c r="AV322" s="22"/>
      <c r="AX322" s="22"/>
      <c r="AZ322" s="22"/>
      <c r="BB322" s="22"/>
      <c r="BD322" s="22"/>
      <c r="BF322" s="22"/>
      <c r="BH322" s="22"/>
      <c r="BJ322" s="22"/>
      <c r="BL322" s="22"/>
      <c r="BN322" s="22"/>
    </row>
    <row r="323" spans="48:66" x14ac:dyDescent="0.35">
      <c r="AV323" s="22"/>
      <c r="AX323" s="22"/>
      <c r="AZ323" s="22"/>
      <c r="BB323" s="22"/>
      <c r="BD323" s="22"/>
      <c r="BF323" s="22"/>
      <c r="BH323" s="22"/>
      <c r="BJ323" s="22"/>
      <c r="BL323" s="22"/>
      <c r="BN323" s="22"/>
    </row>
    <row r="324" spans="48:66" x14ac:dyDescent="0.35">
      <c r="AV324" s="22"/>
      <c r="AX324" s="22"/>
      <c r="AZ324" s="22"/>
      <c r="BB324" s="22"/>
      <c r="BD324" s="22"/>
      <c r="BF324" s="22"/>
      <c r="BH324" s="22"/>
      <c r="BJ324" s="22"/>
      <c r="BL324" s="22"/>
      <c r="BN324" s="22"/>
    </row>
    <row r="325" spans="48:66" x14ac:dyDescent="0.35">
      <c r="AV325" s="22"/>
      <c r="AX325" s="22"/>
      <c r="AZ325" s="22"/>
      <c r="BB325" s="22"/>
      <c r="BD325" s="22"/>
      <c r="BF325" s="22"/>
      <c r="BH325" s="22"/>
      <c r="BJ325" s="22"/>
      <c r="BL325" s="22"/>
      <c r="BN325" s="22"/>
    </row>
    <row r="326" spans="48:66" x14ac:dyDescent="0.35">
      <c r="AV326" s="22"/>
      <c r="AX326" s="22"/>
      <c r="AZ326" s="22"/>
      <c r="BB326" s="22"/>
      <c r="BD326" s="22"/>
      <c r="BF326" s="22"/>
      <c r="BH326" s="22"/>
      <c r="BJ326" s="22"/>
      <c r="BL326" s="22"/>
      <c r="BN326" s="22"/>
    </row>
    <row r="327" spans="48:66" x14ac:dyDescent="0.35">
      <c r="AV327" s="22"/>
      <c r="AX327" s="22"/>
      <c r="AZ327" s="22"/>
      <c r="BB327" s="22"/>
      <c r="BD327" s="22"/>
      <c r="BF327" s="22"/>
      <c r="BH327" s="22"/>
      <c r="BJ327" s="22"/>
      <c r="BL327" s="22"/>
      <c r="BN327" s="22"/>
    </row>
    <row r="328" spans="48:66" x14ac:dyDescent="0.35">
      <c r="AV328" s="22"/>
      <c r="AX328" s="22"/>
      <c r="AZ328" s="22"/>
      <c r="BB328" s="22"/>
      <c r="BD328" s="22"/>
      <c r="BF328" s="22"/>
      <c r="BH328" s="22"/>
      <c r="BJ328" s="22"/>
      <c r="BL328" s="22"/>
      <c r="BN328" s="22"/>
    </row>
    <row r="329" spans="48:66" x14ac:dyDescent="0.35">
      <c r="AV329" s="22"/>
      <c r="AX329" s="22"/>
      <c r="AZ329" s="22"/>
      <c r="BB329" s="22"/>
      <c r="BD329" s="22"/>
      <c r="BF329" s="22"/>
      <c r="BH329" s="22"/>
      <c r="BJ329" s="22"/>
      <c r="BL329" s="22"/>
      <c r="BN329" s="22"/>
    </row>
    <row r="330" spans="48:66" x14ac:dyDescent="0.35">
      <c r="AV330" s="22"/>
      <c r="AX330" s="22"/>
      <c r="AZ330" s="22"/>
      <c r="BB330" s="22"/>
      <c r="BD330" s="22"/>
      <c r="BF330" s="22"/>
      <c r="BH330" s="22"/>
      <c r="BJ330" s="22"/>
      <c r="BL330" s="22"/>
      <c r="BN330" s="22"/>
    </row>
    <row r="331" spans="48:66" x14ac:dyDescent="0.35">
      <c r="AV331" s="22"/>
      <c r="AX331" s="22"/>
      <c r="AZ331" s="22"/>
      <c r="BB331" s="22"/>
      <c r="BD331" s="22"/>
      <c r="BF331" s="22"/>
      <c r="BH331" s="22"/>
      <c r="BJ331" s="22"/>
      <c r="BL331" s="22"/>
      <c r="BN331" s="22"/>
    </row>
    <row r="332" spans="48:66" x14ac:dyDescent="0.35">
      <c r="AV332" s="22"/>
      <c r="AX332" s="22"/>
      <c r="AZ332" s="22"/>
      <c r="BB332" s="22"/>
      <c r="BD332" s="22"/>
      <c r="BF332" s="22"/>
      <c r="BH332" s="22"/>
      <c r="BJ332" s="22"/>
      <c r="BL332" s="22"/>
      <c r="BN332" s="22"/>
    </row>
    <row r="333" spans="48:66" x14ac:dyDescent="0.35">
      <c r="AV333" s="22"/>
      <c r="AX333" s="22"/>
      <c r="AZ333" s="22"/>
      <c r="BB333" s="22"/>
      <c r="BD333" s="22"/>
      <c r="BF333" s="22"/>
      <c r="BH333" s="22"/>
      <c r="BJ333" s="22"/>
      <c r="BL333" s="22"/>
      <c r="BN333" s="22"/>
    </row>
    <row r="334" spans="48:66" x14ac:dyDescent="0.35">
      <c r="AV334" s="22"/>
      <c r="AX334" s="22"/>
      <c r="AZ334" s="22"/>
      <c r="BB334" s="22"/>
      <c r="BD334" s="22"/>
      <c r="BF334" s="22"/>
      <c r="BH334" s="22"/>
      <c r="BJ334" s="22"/>
      <c r="BL334" s="22"/>
      <c r="BN334" s="22"/>
    </row>
    <row r="335" spans="48:66" x14ac:dyDescent="0.35">
      <c r="AV335" s="22"/>
      <c r="AX335" s="22"/>
      <c r="AZ335" s="22"/>
      <c r="BB335" s="22"/>
      <c r="BD335" s="22"/>
      <c r="BF335" s="22"/>
      <c r="BH335" s="22"/>
      <c r="BJ335" s="22"/>
      <c r="BL335" s="22"/>
      <c r="BN335" s="22"/>
    </row>
    <row r="336" spans="48:66" x14ac:dyDescent="0.35">
      <c r="AV336" s="22"/>
      <c r="AX336" s="22"/>
      <c r="AZ336" s="22"/>
      <c r="BB336" s="22"/>
      <c r="BD336" s="22"/>
      <c r="BF336" s="22"/>
      <c r="BH336" s="22"/>
      <c r="BJ336" s="22"/>
      <c r="BL336" s="22"/>
      <c r="BN336" s="22"/>
    </row>
    <row r="337" spans="48:66" x14ac:dyDescent="0.35">
      <c r="AV337" s="22"/>
      <c r="AX337" s="22"/>
      <c r="AZ337" s="22"/>
      <c r="BB337" s="22"/>
      <c r="BD337" s="22"/>
      <c r="BF337" s="22"/>
      <c r="BH337" s="22"/>
      <c r="BJ337" s="22"/>
      <c r="BL337" s="22"/>
      <c r="BN337" s="22"/>
    </row>
    <row r="338" spans="48:66" x14ac:dyDescent="0.35">
      <c r="AV338" s="22"/>
      <c r="AX338" s="22"/>
      <c r="AZ338" s="22"/>
      <c r="BB338" s="22"/>
      <c r="BD338" s="22"/>
      <c r="BF338" s="22"/>
      <c r="BH338" s="22"/>
      <c r="BJ338" s="22"/>
      <c r="BL338" s="22"/>
      <c r="BN338" s="22"/>
    </row>
    <row r="339" spans="48:66" x14ac:dyDescent="0.35">
      <c r="AV339" s="22"/>
      <c r="AX339" s="22"/>
      <c r="AZ339" s="22"/>
      <c r="BB339" s="22"/>
      <c r="BD339" s="22"/>
      <c r="BF339" s="22"/>
      <c r="BH339" s="22"/>
      <c r="BJ339" s="22"/>
      <c r="BL339" s="22"/>
      <c r="BN339" s="22"/>
    </row>
    <row r="340" spans="48:66" x14ac:dyDescent="0.35">
      <c r="AV340" s="22"/>
      <c r="AX340" s="22"/>
      <c r="AZ340" s="22"/>
      <c r="BB340" s="22"/>
      <c r="BD340" s="22"/>
      <c r="BF340" s="22"/>
      <c r="BH340" s="22"/>
      <c r="BJ340" s="22"/>
      <c r="BL340" s="22"/>
      <c r="BN340" s="22"/>
    </row>
    <row r="341" spans="48:66" x14ac:dyDescent="0.35">
      <c r="AV341" s="77"/>
      <c r="AW341" s="78"/>
      <c r="AX341" s="78"/>
      <c r="AY341" s="78"/>
      <c r="AZ341" s="78"/>
      <c r="BA341" s="78"/>
      <c r="BB341" s="78"/>
      <c r="BC341" s="78"/>
      <c r="BD341" s="78"/>
      <c r="BE341" s="78"/>
      <c r="BF341" s="78"/>
      <c r="BG341" s="78"/>
      <c r="BH341" s="78"/>
      <c r="BI341" s="78"/>
      <c r="BJ341" s="78"/>
      <c r="BK341" s="78"/>
      <c r="BL341" s="78"/>
      <c r="BM341" s="78"/>
      <c r="BN341" s="78"/>
    </row>
    <row r="342" spans="48:66" x14ac:dyDescent="0.35">
      <c r="AV342" s="22"/>
      <c r="AX342" s="22"/>
      <c r="AZ342" s="22"/>
      <c r="BB342" s="22"/>
      <c r="BD342" s="22"/>
      <c r="BF342" s="22"/>
      <c r="BH342" s="22"/>
      <c r="BJ342" s="22"/>
      <c r="BL342" s="22"/>
      <c r="BN342" s="22"/>
    </row>
    <row r="343" spans="48:66" x14ac:dyDescent="0.35">
      <c r="AV343" s="22"/>
      <c r="AX343" s="22"/>
      <c r="AZ343" s="22"/>
      <c r="BB343" s="22"/>
      <c r="BD343" s="22"/>
      <c r="BF343" s="22"/>
      <c r="BH343" s="22"/>
      <c r="BJ343" s="22"/>
      <c r="BL343" s="22"/>
      <c r="BN343" s="22"/>
    </row>
    <row r="344" spans="48:66" x14ac:dyDescent="0.35">
      <c r="AV344" s="22"/>
      <c r="AX344" s="22"/>
      <c r="AZ344" s="22"/>
      <c r="BB344" s="22"/>
      <c r="BD344" s="22"/>
      <c r="BF344" s="22"/>
      <c r="BH344" s="22"/>
      <c r="BJ344" s="22"/>
      <c r="BL344" s="22"/>
      <c r="BN344" s="22"/>
    </row>
    <row r="345" spans="48:66" x14ac:dyDescent="0.35">
      <c r="AV345" s="22"/>
      <c r="AX345" s="22"/>
      <c r="AZ345" s="22"/>
      <c r="BB345" s="22"/>
      <c r="BD345" s="22"/>
      <c r="BF345" s="22"/>
      <c r="BH345" s="22"/>
      <c r="BJ345" s="22"/>
      <c r="BL345" s="22"/>
      <c r="BN345" s="22"/>
    </row>
    <row r="346" spans="48:66" x14ac:dyDescent="0.35">
      <c r="AV346" s="22"/>
      <c r="AX346" s="22"/>
      <c r="AZ346" s="22"/>
      <c r="BB346" s="22"/>
      <c r="BD346" s="22"/>
      <c r="BF346" s="22"/>
      <c r="BH346" s="22"/>
      <c r="BJ346" s="22"/>
      <c r="BL346" s="22"/>
      <c r="BN346" s="22"/>
    </row>
    <row r="347" spans="48:66" x14ac:dyDescent="0.35">
      <c r="AV347" s="22"/>
      <c r="AX347" s="22"/>
      <c r="AZ347" s="22"/>
      <c r="BB347" s="22"/>
      <c r="BD347" s="22"/>
      <c r="BF347" s="22"/>
      <c r="BH347" s="22"/>
      <c r="BJ347" s="22"/>
      <c r="BL347" s="22"/>
      <c r="BN347" s="22"/>
    </row>
    <row r="348" spans="48:66" x14ac:dyDescent="0.35">
      <c r="AV348" s="22"/>
      <c r="AX348" s="22"/>
      <c r="AZ348" s="22"/>
      <c r="BB348" s="22"/>
      <c r="BD348" s="22"/>
      <c r="BF348" s="22"/>
      <c r="BH348" s="22"/>
      <c r="BJ348" s="22"/>
      <c r="BL348" s="22"/>
      <c r="BN348" s="22"/>
    </row>
    <row r="349" spans="48:66" x14ac:dyDescent="0.35">
      <c r="AV349" s="22"/>
      <c r="AX349" s="22"/>
      <c r="AZ349" s="22"/>
      <c r="BB349" s="22"/>
      <c r="BD349" s="22"/>
      <c r="BF349" s="22"/>
      <c r="BH349" s="22"/>
      <c r="BJ349" s="22"/>
      <c r="BL349" s="22"/>
      <c r="BN349" s="22"/>
    </row>
    <row r="350" spans="48:66" x14ac:dyDescent="0.35">
      <c r="AV350" s="22"/>
      <c r="AX350" s="22"/>
      <c r="AZ350" s="22"/>
      <c r="BB350" s="22"/>
      <c r="BD350" s="22"/>
      <c r="BF350" s="22"/>
      <c r="BH350" s="22"/>
      <c r="BJ350" s="22"/>
      <c r="BL350" s="22"/>
      <c r="BN350" s="22"/>
    </row>
    <row r="351" spans="48:66" x14ac:dyDescent="0.35">
      <c r="AV351" s="22"/>
      <c r="AX351" s="22"/>
      <c r="AZ351" s="22"/>
      <c r="BB351" s="22"/>
      <c r="BD351" s="22"/>
      <c r="BF351" s="22"/>
      <c r="BH351" s="22"/>
      <c r="BJ351" s="22"/>
      <c r="BL351" s="22"/>
      <c r="BN351" s="22"/>
    </row>
    <row r="352" spans="48:66" x14ac:dyDescent="0.35">
      <c r="AV352" s="22"/>
      <c r="AX352" s="22"/>
      <c r="AZ352" s="22"/>
      <c r="BB352" s="22"/>
      <c r="BD352" s="22"/>
      <c r="BF352" s="22"/>
      <c r="BH352" s="22"/>
      <c r="BJ352" s="22"/>
      <c r="BL352" s="22"/>
      <c r="BN352" s="22"/>
    </row>
    <row r="353" spans="48:66" x14ac:dyDescent="0.35">
      <c r="AV353" s="22"/>
      <c r="AX353" s="22"/>
      <c r="AZ353" s="22"/>
      <c r="BB353" s="22"/>
      <c r="BD353" s="22"/>
      <c r="BF353" s="22"/>
      <c r="BH353" s="22"/>
      <c r="BJ353" s="22"/>
      <c r="BL353" s="22"/>
      <c r="BN353" s="22"/>
    </row>
    <row r="354" spans="48:66" x14ac:dyDescent="0.35">
      <c r="AV354" s="22"/>
      <c r="AX354" s="22"/>
      <c r="AZ354" s="22"/>
      <c r="BB354" s="22"/>
      <c r="BD354" s="22"/>
      <c r="BF354" s="22"/>
      <c r="BH354" s="22"/>
      <c r="BJ354" s="22"/>
      <c r="BL354" s="22"/>
      <c r="BN354" s="22"/>
    </row>
    <row r="355" spans="48:66" x14ac:dyDescent="0.35">
      <c r="AV355" s="22"/>
      <c r="AX355" s="22"/>
      <c r="AZ355" s="22"/>
      <c r="BB355" s="22"/>
      <c r="BD355" s="22"/>
      <c r="BF355" s="22"/>
      <c r="BH355" s="22"/>
      <c r="BJ355" s="22"/>
      <c r="BL355" s="22"/>
      <c r="BN355" s="22"/>
    </row>
    <row r="356" spans="48:66" x14ac:dyDescent="0.35">
      <c r="AV356" s="22"/>
      <c r="AX356" s="22"/>
      <c r="AZ356" s="22"/>
      <c r="BB356" s="22"/>
      <c r="BD356" s="22"/>
      <c r="BF356" s="22"/>
      <c r="BH356" s="22"/>
      <c r="BJ356" s="22"/>
      <c r="BL356" s="22"/>
      <c r="BN356" s="22"/>
    </row>
    <row r="357" spans="48:66" x14ac:dyDescent="0.35">
      <c r="AV357" s="22"/>
      <c r="AX357" s="22"/>
      <c r="AZ357" s="22"/>
      <c r="BB357" s="22"/>
      <c r="BD357" s="22"/>
      <c r="BF357" s="22"/>
      <c r="BH357" s="22"/>
      <c r="BJ357" s="22"/>
      <c r="BL357" s="22"/>
      <c r="BN357" s="22"/>
    </row>
    <row r="358" spans="48:66" x14ac:dyDescent="0.35">
      <c r="AV358" s="22"/>
      <c r="AX358" s="22"/>
      <c r="AZ358" s="22"/>
      <c r="BB358" s="22"/>
      <c r="BD358" s="22"/>
      <c r="BF358" s="22"/>
      <c r="BH358" s="22"/>
      <c r="BJ358" s="22"/>
      <c r="BL358" s="22"/>
      <c r="BN358" s="22"/>
    </row>
    <row r="359" spans="48:66" x14ac:dyDescent="0.35">
      <c r="AV359" s="22"/>
      <c r="AX359" s="22"/>
      <c r="AZ359" s="22"/>
      <c r="BB359" s="22"/>
      <c r="BD359" s="22"/>
      <c r="BF359" s="22"/>
      <c r="BH359" s="22"/>
      <c r="BJ359" s="22"/>
      <c r="BL359" s="22"/>
      <c r="BN359" s="22"/>
    </row>
    <row r="360" spans="48:66" x14ac:dyDescent="0.35">
      <c r="AV360" s="77"/>
      <c r="AW360" s="78"/>
      <c r="AX360" s="78"/>
      <c r="AY360" s="78"/>
      <c r="AZ360" s="78"/>
      <c r="BA360" s="78"/>
      <c r="BB360" s="78"/>
      <c r="BC360" s="78"/>
      <c r="BD360" s="78"/>
      <c r="BE360" s="78"/>
      <c r="BF360" s="78"/>
      <c r="BG360" s="78"/>
      <c r="BH360" s="78"/>
      <c r="BI360" s="78"/>
      <c r="BJ360" s="78"/>
      <c r="BK360" s="78"/>
      <c r="BL360" s="78"/>
      <c r="BM360" s="78"/>
      <c r="BN360" s="78"/>
    </row>
    <row r="361" spans="48:66" x14ac:dyDescent="0.35">
      <c r="AV361" s="23"/>
      <c r="AX361" s="22"/>
      <c r="AZ361" s="22"/>
      <c r="BB361" s="22"/>
      <c r="BD361" s="22"/>
      <c r="BF361" s="22"/>
      <c r="BH361" s="22"/>
      <c r="BJ361" s="22"/>
      <c r="BL361" s="22"/>
      <c r="BN361" s="22"/>
    </row>
    <row r="362" spans="48:66" x14ac:dyDescent="0.35">
      <c r="AV362" s="23"/>
      <c r="AX362" s="22"/>
      <c r="AZ362" s="22"/>
      <c r="BB362" s="22"/>
      <c r="BD362" s="22"/>
      <c r="BF362" s="22"/>
      <c r="BH362" s="22"/>
      <c r="BJ362" s="22"/>
      <c r="BL362" s="22"/>
      <c r="BN362" s="22"/>
    </row>
    <row r="363" spans="48:66" x14ac:dyDescent="0.35">
      <c r="AV363" s="77"/>
      <c r="AW363" s="78"/>
      <c r="AX363" s="78"/>
      <c r="AY363" s="78"/>
      <c r="AZ363" s="78"/>
      <c r="BA363" s="78"/>
      <c r="BB363" s="78"/>
      <c r="BC363" s="78"/>
      <c r="BD363" s="78"/>
      <c r="BE363" s="78"/>
      <c r="BF363" s="78"/>
      <c r="BG363" s="78"/>
      <c r="BH363" s="78"/>
      <c r="BI363" s="78"/>
      <c r="BJ363" s="78"/>
      <c r="BK363" s="78"/>
      <c r="BL363" s="78"/>
      <c r="BM363" s="78"/>
      <c r="BN363" s="78"/>
    </row>
    <row r="364" spans="48:66" x14ac:dyDescent="0.35">
      <c r="AV364" s="22"/>
      <c r="AX364" s="22"/>
      <c r="AZ364" s="22"/>
      <c r="BB364" s="22"/>
      <c r="BD364" s="22"/>
      <c r="BF364" s="22"/>
      <c r="BH364" s="22"/>
      <c r="BJ364" s="22"/>
      <c r="BL364" s="22"/>
      <c r="BN364" s="22"/>
    </row>
    <row r="365" spans="48:66" x14ac:dyDescent="0.35">
      <c r="AV365" s="22"/>
      <c r="AX365" s="22"/>
      <c r="AZ365" s="22"/>
      <c r="BB365" s="22"/>
      <c r="BD365" s="22"/>
      <c r="BF365" s="22"/>
      <c r="BH365" s="22"/>
      <c r="BJ365" s="22"/>
      <c r="BL365" s="22"/>
      <c r="BN365" s="22"/>
    </row>
    <row r="366" spans="48:66" x14ac:dyDescent="0.35">
      <c r="AV366" s="22"/>
      <c r="AX366" s="22"/>
      <c r="AZ366" s="22"/>
      <c r="BB366" s="22"/>
      <c r="BD366" s="22"/>
      <c r="BF366" s="22"/>
      <c r="BH366" s="22"/>
      <c r="BJ366" s="22"/>
      <c r="BL366" s="22"/>
      <c r="BN366" s="22"/>
    </row>
    <row r="367" spans="48:66" x14ac:dyDescent="0.35">
      <c r="AV367" s="22"/>
      <c r="AX367" s="22"/>
      <c r="AZ367" s="22"/>
      <c r="BB367" s="22"/>
      <c r="BD367" s="22"/>
      <c r="BF367" s="22"/>
      <c r="BH367" s="22"/>
      <c r="BJ367" s="22"/>
      <c r="BL367" s="22"/>
      <c r="BN367" s="22"/>
    </row>
    <row r="368" spans="48:66" x14ac:dyDescent="0.35">
      <c r="AV368" s="22"/>
      <c r="AX368" s="22"/>
      <c r="AZ368" s="22"/>
      <c r="BB368" s="22"/>
      <c r="BD368" s="22"/>
      <c r="BF368" s="22"/>
      <c r="BH368" s="22"/>
      <c r="BJ368" s="22"/>
      <c r="BL368" s="22"/>
      <c r="BN368" s="22"/>
    </row>
    <row r="369" spans="48:66" x14ac:dyDescent="0.35">
      <c r="AV369" s="22"/>
      <c r="AX369" s="22"/>
      <c r="AZ369" s="22"/>
      <c r="BB369" s="22"/>
      <c r="BD369" s="22"/>
      <c r="BF369" s="22"/>
      <c r="BH369" s="22"/>
      <c r="BJ369" s="22"/>
      <c r="BL369" s="22"/>
      <c r="BN369" s="22"/>
    </row>
    <row r="370" spans="48:66" x14ac:dyDescent="0.35">
      <c r="AV370" s="22"/>
      <c r="AX370" s="22"/>
      <c r="AZ370" s="22"/>
      <c r="BB370" s="22"/>
      <c r="BD370" s="22"/>
      <c r="BF370" s="22"/>
      <c r="BH370" s="22"/>
      <c r="BJ370" s="22"/>
      <c r="BL370" s="22"/>
      <c r="BN370" s="22"/>
    </row>
    <row r="371" spans="48:66" x14ac:dyDescent="0.35">
      <c r="AV371" s="22"/>
      <c r="AX371" s="22"/>
      <c r="AZ371" s="22"/>
      <c r="BB371" s="22"/>
      <c r="BD371" s="22"/>
      <c r="BF371" s="22"/>
      <c r="BH371" s="22"/>
      <c r="BJ371" s="22"/>
      <c r="BL371" s="22"/>
      <c r="BN371" s="22"/>
    </row>
    <row r="372" spans="48:66" x14ac:dyDescent="0.35">
      <c r="AV372" s="77"/>
      <c r="AW372" s="78"/>
      <c r="AX372" s="78"/>
      <c r="AY372" s="78"/>
      <c r="AZ372" s="78"/>
      <c r="BA372" s="78"/>
      <c r="BB372" s="78"/>
      <c r="BC372" s="78"/>
      <c r="BD372" s="78"/>
      <c r="BE372" s="78"/>
      <c r="BF372" s="78"/>
      <c r="BG372" s="78"/>
      <c r="BH372" s="78"/>
      <c r="BI372" s="78"/>
      <c r="BJ372" s="78"/>
      <c r="BK372" s="78"/>
      <c r="BL372" s="78"/>
      <c r="BM372" s="78"/>
      <c r="BN372" s="78"/>
    </row>
    <row r="373" spans="48:66" x14ac:dyDescent="0.35">
      <c r="AV373" s="22"/>
      <c r="AX373" s="22"/>
      <c r="AZ373" s="22"/>
      <c r="BB373" s="22"/>
      <c r="BD373" s="22"/>
      <c r="BF373" s="22"/>
      <c r="BH373" s="22"/>
      <c r="BJ373" s="22"/>
      <c r="BL373" s="22"/>
      <c r="BN373" s="22"/>
    </row>
    <row r="374" spans="48:66" x14ac:dyDescent="0.35">
      <c r="AV374" s="22"/>
      <c r="AX374" s="22"/>
      <c r="AZ374" s="22"/>
      <c r="BB374" s="22"/>
      <c r="BD374" s="22"/>
      <c r="BF374" s="22"/>
      <c r="BH374" s="22"/>
      <c r="BJ374" s="22"/>
      <c r="BL374" s="22"/>
      <c r="BN374" s="22"/>
    </row>
    <row r="375" spans="48:66" x14ac:dyDescent="0.35">
      <c r="AV375" s="22"/>
      <c r="AX375" s="22"/>
      <c r="AZ375" s="22"/>
      <c r="BB375" s="22"/>
      <c r="BD375" s="22"/>
      <c r="BF375" s="22"/>
      <c r="BH375" s="22"/>
      <c r="BJ375" s="22"/>
      <c r="BL375" s="22"/>
      <c r="BN375" s="22"/>
    </row>
    <row r="376" spans="48:66" x14ac:dyDescent="0.35">
      <c r="AV376" s="22"/>
      <c r="AX376" s="22"/>
      <c r="AZ376" s="22"/>
      <c r="BB376" s="22"/>
      <c r="BD376" s="22"/>
      <c r="BF376" s="22"/>
      <c r="BH376" s="22"/>
      <c r="BJ376" s="22"/>
      <c r="BL376" s="22"/>
      <c r="BN376" s="22"/>
    </row>
    <row r="377" spans="48:66" x14ac:dyDescent="0.35">
      <c r="AV377" s="22"/>
      <c r="AX377" s="22"/>
      <c r="AZ377" s="22"/>
      <c r="BB377" s="22"/>
      <c r="BD377" s="22"/>
      <c r="BF377" s="22"/>
      <c r="BH377" s="22"/>
      <c r="BJ377" s="22"/>
      <c r="BL377" s="22"/>
      <c r="BN377" s="22"/>
    </row>
    <row r="378" spans="48:66" x14ac:dyDescent="0.35">
      <c r="AV378" s="22"/>
      <c r="AX378" s="22"/>
      <c r="AZ378" s="22"/>
      <c r="BB378" s="22"/>
      <c r="BD378" s="22"/>
      <c r="BF378" s="22"/>
      <c r="BH378" s="22"/>
      <c r="BJ378" s="22"/>
      <c r="BL378" s="22"/>
      <c r="BN378" s="22"/>
    </row>
    <row r="379" spans="48:66" x14ac:dyDescent="0.35">
      <c r="AV379" s="22"/>
      <c r="AX379" s="22"/>
      <c r="AZ379" s="22"/>
      <c r="BB379" s="22"/>
      <c r="BD379" s="22"/>
      <c r="BF379" s="22"/>
      <c r="BH379" s="22"/>
      <c r="BJ379" s="22"/>
      <c r="BL379" s="22"/>
      <c r="BN379" s="22"/>
    </row>
    <row r="380" spans="48:66" x14ac:dyDescent="0.35">
      <c r="AV380" s="22"/>
      <c r="AX380" s="22"/>
      <c r="AZ380" s="22"/>
      <c r="BB380" s="22"/>
      <c r="BD380" s="22"/>
      <c r="BF380" s="22"/>
      <c r="BH380" s="22"/>
      <c r="BJ380" s="22"/>
      <c r="BL380" s="22"/>
      <c r="BN380" s="22"/>
    </row>
    <row r="381" spans="48:66" x14ac:dyDescent="0.35">
      <c r="AV381" s="22"/>
      <c r="AX381" s="22"/>
      <c r="AZ381" s="22"/>
      <c r="BB381" s="22"/>
      <c r="BD381" s="22"/>
      <c r="BF381" s="22"/>
      <c r="BH381" s="22"/>
      <c r="BJ381" s="22"/>
      <c r="BL381" s="22"/>
      <c r="BN381" s="22"/>
    </row>
    <row r="382" spans="48:66" x14ac:dyDescent="0.35">
      <c r="AV382" s="22"/>
      <c r="AX382" s="22"/>
      <c r="AZ382" s="22"/>
      <c r="BB382" s="22"/>
      <c r="BD382" s="22"/>
      <c r="BF382" s="22"/>
      <c r="BH382" s="22"/>
      <c r="BJ382" s="22"/>
      <c r="BL382" s="22"/>
      <c r="BN382" s="22"/>
    </row>
    <row r="383" spans="48:66" x14ac:dyDescent="0.35">
      <c r="AV383" s="22"/>
      <c r="AX383" s="22"/>
      <c r="AZ383" s="22"/>
      <c r="BB383" s="22"/>
      <c r="BD383" s="22"/>
      <c r="BF383" s="22"/>
      <c r="BH383" s="22"/>
      <c r="BJ383" s="22"/>
      <c r="BL383" s="22"/>
      <c r="BN383" s="22"/>
    </row>
    <row r="384" spans="48:66" x14ac:dyDescent="0.35">
      <c r="AV384" s="22"/>
      <c r="AX384" s="22"/>
      <c r="AZ384" s="22"/>
      <c r="BB384" s="22"/>
      <c r="BD384" s="22"/>
      <c r="BF384" s="22"/>
      <c r="BH384" s="22"/>
      <c r="BJ384" s="22"/>
      <c r="BL384" s="22"/>
      <c r="BN384" s="22"/>
    </row>
    <row r="385" spans="48:66" x14ac:dyDescent="0.35">
      <c r="AV385" s="22"/>
      <c r="AX385" s="22"/>
      <c r="AZ385" s="22"/>
      <c r="BB385" s="22"/>
      <c r="BD385" s="22"/>
      <c r="BF385" s="22"/>
      <c r="BH385" s="22"/>
      <c r="BJ385" s="22"/>
      <c r="BL385" s="22"/>
      <c r="BN385" s="22"/>
    </row>
    <row r="386" spans="48:66" x14ac:dyDescent="0.35">
      <c r="AV386" s="22"/>
      <c r="AX386" s="22"/>
      <c r="AZ386" s="22"/>
      <c r="BB386" s="22"/>
      <c r="BD386" s="22"/>
      <c r="BF386" s="22"/>
      <c r="BH386" s="22"/>
      <c r="BJ386" s="22"/>
      <c r="BL386" s="22"/>
      <c r="BN386" s="22"/>
    </row>
    <row r="387" spans="48:66" x14ac:dyDescent="0.35">
      <c r="AV387" s="22"/>
      <c r="AX387" s="22"/>
      <c r="AZ387" s="22"/>
      <c r="BB387" s="22"/>
      <c r="BD387" s="22"/>
      <c r="BF387" s="22"/>
      <c r="BH387" s="22"/>
      <c r="BJ387" s="22"/>
      <c r="BL387" s="22"/>
      <c r="BN387" s="22"/>
    </row>
    <row r="388" spans="48:66" x14ac:dyDescent="0.35">
      <c r="AV388" s="22"/>
      <c r="AX388" s="22"/>
      <c r="AZ388" s="22"/>
      <c r="BB388" s="22"/>
      <c r="BD388" s="22"/>
      <c r="BF388" s="22"/>
      <c r="BH388" s="22"/>
      <c r="BJ388" s="22"/>
      <c r="BL388" s="22"/>
      <c r="BN388" s="22"/>
    </row>
    <row r="389" spans="48:66" x14ac:dyDescent="0.35">
      <c r="AV389" s="22"/>
      <c r="AX389" s="22"/>
      <c r="AZ389" s="22"/>
      <c r="BB389" s="22"/>
      <c r="BD389" s="22"/>
      <c r="BF389" s="22"/>
      <c r="BH389" s="22"/>
      <c r="BJ389" s="22"/>
      <c r="BL389" s="22"/>
      <c r="BN389" s="22"/>
    </row>
    <row r="390" spans="48:66" x14ac:dyDescent="0.35">
      <c r="AV390" s="22"/>
      <c r="AX390" s="22"/>
      <c r="AZ390" s="22"/>
      <c r="BB390" s="22"/>
      <c r="BD390" s="22"/>
      <c r="BF390" s="22"/>
      <c r="BH390" s="22"/>
      <c r="BJ390" s="22"/>
      <c r="BL390" s="22"/>
      <c r="BN390" s="22"/>
    </row>
    <row r="391" spans="48:66" x14ac:dyDescent="0.35">
      <c r="AV391" s="22"/>
      <c r="AX391" s="22"/>
      <c r="AZ391" s="22"/>
      <c r="BB391" s="22"/>
      <c r="BD391" s="22"/>
      <c r="BF391" s="22"/>
      <c r="BH391" s="22"/>
      <c r="BJ391" s="22"/>
      <c r="BL391" s="22"/>
      <c r="BN391" s="22"/>
    </row>
    <row r="392" spans="48:66" x14ac:dyDescent="0.35">
      <c r="AV392" s="22"/>
      <c r="AX392" s="22"/>
      <c r="AZ392" s="22"/>
      <c r="BB392" s="22"/>
      <c r="BD392" s="22"/>
      <c r="BF392" s="22"/>
      <c r="BH392" s="22"/>
      <c r="BJ392" s="22"/>
      <c r="BL392" s="22"/>
      <c r="BN392" s="22"/>
    </row>
    <row r="393" spans="48:66" x14ac:dyDescent="0.35">
      <c r="AV393" s="22"/>
      <c r="AX393" s="22"/>
      <c r="AZ393" s="22"/>
      <c r="BB393" s="22"/>
      <c r="BD393" s="22"/>
      <c r="BF393" s="22"/>
      <c r="BH393" s="22"/>
      <c r="BJ393" s="22"/>
      <c r="BL393" s="22"/>
      <c r="BN393" s="22"/>
    </row>
    <row r="394" spans="48:66" x14ac:dyDescent="0.35">
      <c r="AV394" s="22"/>
      <c r="AX394" s="22"/>
      <c r="AZ394" s="22"/>
      <c r="BB394" s="22"/>
      <c r="BD394" s="22"/>
      <c r="BF394" s="22"/>
      <c r="BH394" s="22"/>
      <c r="BJ394" s="22"/>
      <c r="BL394" s="22"/>
      <c r="BN394" s="22"/>
    </row>
    <row r="395" spans="48:66" x14ac:dyDescent="0.35">
      <c r="AV395" s="22"/>
      <c r="AX395" s="22"/>
      <c r="AZ395" s="22"/>
      <c r="BB395" s="22"/>
      <c r="BD395" s="22"/>
      <c r="BF395" s="22"/>
      <c r="BH395" s="22"/>
      <c r="BJ395" s="22"/>
      <c r="BL395" s="22"/>
      <c r="BN395" s="22"/>
    </row>
    <row r="396" spans="48:66" x14ac:dyDescent="0.35">
      <c r="AV396" s="22"/>
      <c r="AX396" s="22"/>
      <c r="AZ396" s="22"/>
      <c r="BB396" s="22"/>
      <c r="BD396" s="22"/>
      <c r="BF396" s="22"/>
      <c r="BH396" s="22"/>
      <c r="BJ396" s="22"/>
      <c r="BL396" s="22"/>
      <c r="BN396" s="22"/>
    </row>
    <row r="397" spans="48:66" x14ac:dyDescent="0.35">
      <c r="AV397" s="22"/>
      <c r="AX397" s="22"/>
      <c r="AZ397" s="22"/>
      <c r="BB397" s="22"/>
      <c r="BD397" s="22"/>
      <c r="BF397" s="22"/>
      <c r="BH397" s="22"/>
      <c r="BJ397" s="22"/>
      <c r="BL397" s="22"/>
      <c r="BN397" s="22"/>
    </row>
    <row r="398" spans="48:66" x14ac:dyDescent="0.35">
      <c r="AV398" s="22"/>
      <c r="AX398" s="22"/>
      <c r="AZ398" s="22"/>
      <c r="BB398" s="22"/>
      <c r="BD398" s="22"/>
      <c r="BF398" s="22"/>
      <c r="BH398" s="22"/>
      <c r="BJ398" s="22"/>
      <c r="BL398" s="22"/>
      <c r="BN398" s="22"/>
    </row>
    <row r="399" spans="48:66" x14ac:dyDescent="0.35">
      <c r="AV399" s="22"/>
      <c r="AX399" s="22"/>
      <c r="AZ399" s="22"/>
      <c r="BB399" s="22"/>
      <c r="BD399" s="22"/>
      <c r="BF399" s="22"/>
      <c r="BH399" s="22"/>
      <c r="BJ399" s="22"/>
      <c r="BL399" s="22"/>
      <c r="BN399" s="22"/>
    </row>
    <row r="400" spans="48:66" x14ac:dyDescent="0.35">
      <c r="AV400" s="22"/>
      <c r="AX400" s="22"/>
      <c r="AZ400" s="22"/>
      <c r="BB400" s="22"/>
      <c r="BD400" s="22"/>
      <c r="BF400" s="22"/>
      <c r="BH400" s="22"/>
      <c r="BJ400" s="22"/>
      <c r="BL400" s="22"/>
      <c r="BN400" s="22"/>
    </row>
    <row r="401" spans="48:66" x14ac:dyDescent="0.35">
      <c r="AV401" s="22"/>
      <c r="AX401" s="22"/>
      <c r="AZ401" s="22"/>
      <c r="BB401" s="22"/>
      <c r="BD401" s="22"/>
      <c r="BF401" s="22"/>
      <c r="BH401" s="22"/>
      <c r="BJ401" s="22"/>
      <c r="BL401" s="22"/>
      <c r="BN401" s="22"/>
    </row>
    <row r="402" spans="48:66" x14ac:dyDescent="0.35">
      <c r="AV402" s="22"/>
      <c r="AX402" s="22"/>
      <c r="AZ402" s="22"/>
      <c r="BB402" s="22"/>
      <c r="BD402" s="22"/>
      <c r="BF402" s="22"/>
      <c r="BH402" s="22"/>
      <c r="BJ402" s="22"/>
      <c r="BL402" s="22"/>
      <c r="BN402" s="22"/>
    </row>
    <row r="403" spans="48:66" x14ac:dyDescent="0.35">
      <c r="AV403" s="22"/>
      <c r="AX403" s="22"/>
      <c r="AZ403" s="22"/>
      <c r="BB403" s="22"/>
      <c r="BD403" s="22"/>
      <c r="BF403" s="22"/>
      <c r="BH403" s="22"/>
      <c r="BJ403" s="22"/>
      <c r="BL403" s="22"/>
      <c r="BN403" s="22"/>
    </row>
    <row r="404" spans="48:66" x14ac:dyDescent="0.35">
      <c r="AV404" s="22"/>
      <c r="AX404" s="22"/>
      <c r="AZ404" s="22"/>
      <c r="BB404" s="22"/>
      <c r="BD404" s="22"/>
      <c r="BF404" s="22"/>
      <c r="BH404" s="22"/>
      <c r="BJ404" s="22"/>
      <c r="BL404" s="22"/>
      <c r="BN404" s="22"/>
    </row>
    <row r="405" spans="48:66" x14ac:dyDescent="0.35">
      <c r="AV405" s="22"/>
      <c r="AX405" s="22"/>
      <c r="AZ405" s="22"/>
      <c r="BB405" s="22"/>
      <c r="BD405" s="22"/>
      <c r="BF405" s="22"/>
      <c r="BH405" s="22"/>
      <c r="BJ405" s="22"/>
      <c r="BL405" s="22"/>
      <c r="BN405" s="22"/>
    </row>
    <row r="406" spans="48:66" x14ac:dyDescent="0.35">
      <c r="AV406" s="22"/>
      <c r="AX406" s="22"/>
      <c r="AZ406" s="22"/>
      <c r="BB406" s="22"/>
      <c r="BD406" s="22"/>
      <c r="BF406" s="22"/>
      <c r="BH406" s="22"/>
      <c r="BJ406" s="22"/>
      <c r="BL406" s="22"/>
      <c r="BN406" s="22"/>
    </row>
    <row r="407" spans="48:66" x14ac:dyDescent="0.35">
      <c r="AV407" s="22"/>
      <c r="AX407" s="22"/>
      <c r="AZ407" s="22"/>
      <c r="BB407" s="22"/>
      <c r="BD407" s="22"/>
      <c r="BF407" s="22"/>
      <c r="BH407" s="22"/>
      <c r="BJ407" s="22"/>
      <c r="BL407" s="22"/>
      <c r="BN407" s="22"/>
    </row>
    <row r="408" spans="48:66" x14ac:dyDescent="0.35">
      <c r="AV408" s="22"/>
      <c r="AX408" s="22"/>
      <c r="AZ408" s="22"/>
      <c r="BB408" s="22"/>
      <c r="BD408" s="22"/>
      <c r="BF408" s="22"/>
      <c r="BH408" s="22"/>
      <c r="BJ408" s="22"/>
      <c r="BL408" s="22"/>
      <c r="BN408" s="22"/>
    </row>
    <row r="409" spans="48:66" x14ac:dyDescent="0.35">
      <c r="AV409" s="22"/>
      <c r="AX409" s="22"/>
      <c r="AZ409" s="22"/>
      <c r="BB409" s="22"/>
      <c r="BD409" s="22"/>
      <c r="BF409" s="22"/>
      <c r="BH409" s="22"/>
      <c r="BJ409" s="22"/>
      <c r="BL409" s="22"/>
      <c r="BN409" s="22"/>
    </row>
    <row r="410" spans="48:66" x14ac:dyDescent="0.35">
      <c r="AV410" s="22"/>
      <c r="AX410" s="22"/>
      <c r="AZ410" s="22"/>
      <c r="BB410" s="22"/>
      <c r="BD410" s="22"/>
      <c r="BF410" s="22"/>
      <c r="BH410" s="22"/>
      <c r="BJ410" s="22"/>
      <c r="BL410" s="22"/>
      <c r="BN410" s="22"/>
    </row>
    <row r="411" spans="48:66" x14ac:dyDescent="0.35">
      <c r="AV411" s="22"/>
      <c r="AX411" s="22"/>
      <c r="AZ411" s="22"/>
      <c r="BB411" s="22"/>
      <c r="BD411" s="22"/>
      <c r="BF411" s="22"/>
      <c r="BH411" s="22"/>
      <c r="BJ411" s="22"/>
      <c r="BL411" s="22"/>
      <c r="BN411" s="22"/>
    </row>
    <row r="412" spans="48:66" x14ac:dyDescent="0.35">
      <c r="AV412" s="22"/>
      <c r="AX412" s="22"/>
      <c r="AZ412" s="22"/>
      <c r="BB412" s="22"/>
      <c r="BD412" s="22"/>
      <c r="BF412" s="22"/>
      <c r="BH412" s="22"/>
      <c r="BJ412" s="22"/>
      <c r="BL412" s="22"/>
      <c r="BN412" s="22"/>
    </row>
    <row r="413" spans="48:66" x14ac:dyDescent="0.35">
      <c r="AV413" s="22"/>
      <c r="AX413" s="22"/>
      <c r="AZ413" s="22"/>
      <c r="BB413" s="22"/>
      <c r="BD413" s="22"/>
      <c r="BF413" s="22"/>
      <c r="BH413" s="22"/>
      <c r="BJ413" s="22"/>
      <c r="BL413" s="22"/>
      <c r="BN413" s="22"/>
    </row>
    <row r="414" spans="48:66" x14ac:dyDescent="0.35">
      <c r="AV414" s="22"/>
      <c r="AX414" s="22"/>
      <c r="AZ414" s="22"/>
      <c r="BB414" s="22"/>
      <c r="BD414" s="22"/>
      <c r="BF414" s="22"/>
      <c r="BH414" s="22"/>
      <c r="BJ414" s="22"/>
      <c r="BL414" s="22"/>
      <c r="BN414" s="22"/>
    </row>
    <row r="415" spans="48:66" x14ac:dyDescent="0.35">
      <c r="AV415" s="22"/>
      <c r="AX415" s="22"/>
      <c r="AZ415" s="22"/>
      <c r="BB415" s="22"/>
      <c r="BD415" s="22"/>
      <c r="BF415" s="22"/>
      <c r="BH415" s="22"/>
      <c r="BJ415" s="22"/>
      <c r="BL415" s="22"/>
      <c r="BN415" s="22"/>
    </row>
    <row r="416" spans="48:66" x14ac:dyDescent="0.35">
      <c r="AV416" s="22"/>
      <c r="AX416" s="22"/>
      <c r="AZ416" s="22"/>
      <c r="BB416" s="22"/>
      <c r="BD416" s="22"/>
      <c r="BF416" s="22"/>
      <c r="BH416" s="22"/>
      <c r="BJ416" s="22"/>
      <c r="BL416" s="22"/>
      <c r="BN416" s="22"/>
    </row>
    <row r="417" spans="48:66" x14ac:dyDescent="0.35">
      <c r="AV417" s="22"/>
      <c r="AX417" s="22"/>
      <c r="AZ417" s="22"/>
      <c r="BB417" s="22"/>
      <c r="BD417" s="22"/>
      <c r="BF417" s="22"/>
      <c r="BH417" s="22"/>
      <c r="BJ417" s="22"/>
      <c r="BL417" s="22"/>
      <c r="BN417" s="22"/>
    </row>
    <row r="418" spans="48:66" x14ac:dyDescent="0.35">
      <c r="AV418" s="22"/>
      <c r="AX418" s="22"/>
      <c r="AZ418" s="22"/>
      <c r="BB418" s="22"/>
      <c r="BD418" s="22"/>
      <c r="BF418" s="22"/>
      <c r="BH418" s="22"/>
      <c r="BJ418" s="22"/>
      <c r="BL418" s="22"/>
      <c r="BN418" s="22"/>
    </row>
    <row r="419" spans="48:66" x14ac:dyDescent="0.35">
      <c r="AV419" s="22"/>
      <c r="AX419" s="22"/>
      <c r="AZ419" s="22"/>
      <c r="BB419" s="22"/>
      <c r="BD419" s="22"/>
      <c r="BF419" s="22"/>
      <c r="BH419" s="22"/>
      <c r="BJ419" s="22"/>
      <c r="BL419" s="22"/>
      <c r="BN419" s="22"/>
    </row>
    <row r="420" spans="48:66" x14ac:dyDescent="0.35">
      <c r="AV420" s="22"/>
      <c r="AX420" s="22"/>
      <c r="AZ420" s="22"/>
      <c r="BB420" s="22"/>
      <c r="BD420" s="22"/>
      <c r="BF420" s="22"/>
      <c r="BH420" s="22"/>
      <c r="BJ420" s="22"/>
      <c r="BL420" s="22"/>
      <c r="BN420" s="22"/>
    </row>
    <row r="421" spans="48:66" x14ac:dyDescent="0.35">
      <c r="AV421" s="22"/>
      <c r="AX421" s="22"/>
      <c r="AZ421" s="22"/>
      <c r="BB421" s="22"/>
      <c r="BD421" s="22"/>
      <c r="BF421" s="22"/>
      <c r="BH421" s="22"/>
      <c r="BJ421" s="22"/>
      <c r="BL421" s="22"/>
      <c r="BN421" s="22"/>
    </row>
    <row r="422" spans="48:66" x14ac:dyDescent="0.35">
      <c r="AV422" s="22"/>
      <c r="AX422" s="22"/>
      <c r="AZ422" s="22"/>
      <c r="BB422" s="22"/>
      <c r="BD422" s="22"/>
      <c r="BF422" s="22"/>
      <c r="BH422" s="22"/>
      <c r="BJ422" s="22"/>
      <c r="BL422" s="22"/>
      <c r="BN422" s="22"/>
    </row>
    <row r="423" spans="48:66" x14ac:dyDescent="0.35">
      <c r="AV423" s="22"/>
      <c r="AX423" s="22"/>
      <c r="AZ423" s="22"/>
      <c r="BB423" s="22"/>
      <c r="BD423" s="22"/>
      <c r="BF423" s="22"/>
      <c r="BH423" s="22"/>
      <c r="BJ423" s="22"/>
      <c r="BL423" s="22"/>
      <c r="BN423" s="22"/>
    </row>
    <row r="424" spans="48:66" x14ac:dyDescent="0.35">
      <c r="AV424" s="22"/>
      <c r="AX424" s="22"/>
      <c r="AZ424" s="22"/>
      <c r="BB424" s="22"/>
      <c r="BD424" s="22"/>
      <c r="BF424" s="22"/>
      <c r="BH424" s="22"/>
      <c r="BJ424" s="22"/>
      <c r="BL424" s="22"/>
      <c r="BN424" s="22"/>
    </row>
    <row r="425" spans="48:66" x14ac:dyDescent="0.35">
      <c r="AV425" s="22"/>
      <c r="AX425" s="22"/>
      <c r="AZ425" s="22"/>
      <c r="BB425" s="22"/>
      <c r="BD425" s="22"/>
      <c r="BF425" s="22"/>
      <c r="BH425" s="22"/>
      <c r="BJ425" s="22"/>
      <c r="BL425" s="22"/>
      <c r="BN425" s="22"/>
    </row>
    <row r="426" spans="48:66" x14ac:dyDescent="0.35">
      <c r="AV426" s="22"/>
      <c r="AX426" s="22"/>
      <c r="AZ426" s="22"/>
      <c r="BB426" s="22"/>
      <c r="BD426" s="22"/>
      <c r="BF426" s="22"/>
      <c r="BH426" s="22"/>
      <c r="BJ426" s="22"/>
      <c r="BL426" s="22"/>
      <c r="BN426" s="22"/>
    </row>
    <row r="427" spans="48:66" x14ac:dyDescent="0.35">
      <c r="AV427" s="22"/>
      <c r="AX427" s="22"/>
      <c r="AZ427" s="22"/>
      <c r="BB427" s="22"/>
      <c r="BD427" s="22"/>
      <c r="BF427" s="22"/>
      <c r="BH427" s="22"/>
      <c r="BJ427" s="22"/>
      <c r="BL427" s="22"/>
      <c r="BN427" s="22"/>
    </row>
    <row r="428" spans="48:66" x14ac:dyDescent="0.35">
      <c r="AV428" s="22"/>
      <c r="AX428" s="22"/>
      <c r="AZ428" s="22"/>
      <c r="BB428" s="22"/>
      <c r="BD428" s="22"/>
      <c r="BF428" s="22"/>
      <c r="BH428" s="22"/>
      <c r="BJ428" s="22"/>
      <c r="BL428" s="22"/>
      <c r="BN428" s="22"/>
    </row>
    <row r="429" spans="48:66" x14ac:dyDescent="0.35">
      <c r="AV429" s="22"/>
      <c r="AX429" s="22"/>
      <c r="AZ429" s="22"/>
      <c r="BB429" s="22"/>
      <c r="BD429" s="22"/>
      <c r="BF429" s="22"/>
      <c r="BH429" s="22"/>
      <c r="BJ429" s="22"/>
      <c r="BL429" s="22"/>
      <c r="BN429" s="22"/>
    </row>
    <row r="430" spans="48:66" x14ac:dyDescent="0.35">
      <c r="AV430" s="22"/>
      <c r="AX430" s="22"/>
      <c r="AZ430" s="22"/>
      <c r="BB430" s="22"/>
      <c r="BD430" s="22"/>
      <c r="BF430" s="22"/>
      <c r="BH430" s="22"/>
      <c r="BJ430" s="22"/>
      <c r="BL430" s="22"/>
      <c r="BN430" s="22"/>
    </row>
    <row r="431" spans="48:66" x14ac:dyDescent="0.35">
      <c r="AV431" s="22"/>
      <c r="AX431" s="22"/>
      <c r="AZ431" s="22"/>
      <c r="BB431" s="22"/>
      <c r="BD431" s="22"/>
      <c r="BF431" s="22"/>
      <c r="BH431" s="22"/>
      <c r="BJ431" s="22"/>
      <c r="BL431" s="22"/>
      <c r="BN431" s="22"/>
    </row>
    <row r="432" spans="48:66" x14ac:dyDescent="0.35">
      <c r="AV432" s="22"/>
      <c r="AX432" s="22"/>
      <c r="AZ432" s="22"/>
      <c r="BB432" s="22"/>
      <c r="BD432" s="22"/>
      <c r="BF432" s="22"/>
      <c r="BH432" s="22"/>
      <c r="BJ432" s="22"/>
      <c r="BL432" s="22"/>
      <c r="BN432" s="22"/>
    </row>
  </sheetData>
  <sortState xmlns:xlrd2="http://schemas.microsoft.com/office/spreadsheetml/2017/richdata2" ref="BT9:BU201">
    <sortCondition descending="1" ref="BU9:BU201"/>
  </sortState>
  <mergeCells count="19">
    <mergeCell ref="AL7:AT7"/>
    <mergeCell ref="K6:AK6"/>
    <mergeCell ref="AU5:BV5"/>
    <mergeCell ref="AW210:AX210"/>
    <mergeCell ref="AY210:AZ210"/>
    <mergeCell ref="BA210:BB210"/>
    <mergeCell ref="BC210:BD210"/>
    <mergeCell ref="BE210:BF210"/>
    <mergeCell ref="BG210:BH210"/>
    <mergeCell ref="BI210:BJ210"/>
    <mergeCell ref="BK210:BL210"/>
    <mergeCell ref="BM210:BN210"/>
    <mergeCell ref="AV363:BN363"/>
    <mergeCell ref="AV372:BN372"/>
    <mergeCell ref="AV212:BN212"/>
    <mergeCell ref="AV267:BN267"/>
    <mergeCell ref="AV299:BN299"/>
    <mergeCell ref="AV341:BN341"/>
    <mergeCell ref="AV360:BN360"/>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77537-598D-48A6-B1FA-33A0F7AD9453}">
  <sheetPr>
    <tabColor rgb="FFD49BFB"/>
  </sheetPr>
  <dimension ref="A1:Z43"/>
  <sheetViews>
    <sheetView topLeftCell="A4" zoomScaleNormal="100" workbookViewId="0">
      <selection activeCell="R13" sqref="R13"/>
    </sheetView>
  </sheetViews>
  <sheetFormatPr defaultColWidth="8.7265625" defaultRowHeight="14.5" x14ac:dyDescent="0.35"/>
  <sheetData>
    <row r="1" spans="1:26" x14ac:dyDescent="0.3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x14ac:dyDescent="0.35">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x14ac:dyDescent="0.35">
      <c r="A3" s="10"/>
      <c r="B3" s="10"/>
      <c r="C3" s="10"/>
      <c r="D3" s="10"/>
      <c r="E3" s="10"/>
      <c r="F3" s="10"/>
      <c r="G3" s="10"/>
      <c r="H3" s="10"/>
      <c r="I3" s="10"/>
      <c r="J3" s="10"/>
      <c r="K3" s="10"/>
      <c r="L3" s="10"/>
      <c r="M3" s="10"/>
      <c r="N3" s="10"/>
      <c r="O3" s="10"/>
      <c r="P3" s="10"/>
      <c r="Q3" s="10"/>
      <c r="R3" s="10"/>
      <c r="S3" s="10"/>
      <c r="T3" s="10"/>
      <c r="U3" s="10"/>
      <c r="V3" s="10"/>
      <c r="W3" s="10"/>
      <c r="X3" s="10"/>
      <c r="Y3" s="10"/>
      <c r="Z3" s="10"/>
    </row>
    <row r="4" spans="1:26" x14ac:dyDescent="0.35">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x14ac:dyDescent="0.35">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x14ac:dyDescent="0.35">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x14ac:dyDescent="0.35">
      <c r="A7" s="10"/>
      <c r="B7" s="10"/>
      <c r="C7" s="10"/>
      <c r="D7" s="10"/>
      <c r="E7" s="10"/>
      <c r="F7" s="10"/>
      <c r="G7" s="10"/>
      <c r="H7" s="10"/>
      <c r="I7" s="10"/>
      <c r="J7" s="10"/>
      <c r="K7" s="10"/>
      <c r="L7" s="10"/>
      <c r="M7" s="10"/>
      <c r="N7" s="10"/>
      <c r="O7" s="10"/>
      <c r="P7" s="10"/>
      <c r="Q7" s="10"/>
      <c r="R7" s="10"/>
      <c r="S7" s="10"/>
      <c r="T7" s="10"/>
      <c r="U7" s="10"/>
      <c r="V7" s="10"/>
      <c r="W7" s="10"/>
      <c r="X7" s="10"/>
      <c r="Y7" s="10"/>
      <c r="Z7" s="10"/>
    </row>
    <row r="8" spans="1:26" x14ac:dyDescent="0.3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x14ac:dyDescent="0.35">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3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3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3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3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3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3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3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3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3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3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Drop Down 1">
              <controlPr defaultSize="0" autoLine="0" autoPict="0">
                <anchor moveWithCells="1">
                  <from>
                    <xdr:col>2</xdr:col>
                    <xdr:colOff>419100</xdr:colOff>
                    <xdr:row>16</xdr:row>
                    <xdr:rowOff>88900</xdr:rowOff>
                  </from>
                  <to>
                    <xdr:col>6</xdr:col>
                    <xdr:colOff>101600</xdr:colOff>
                    <xdr:row>17</xdr:row>
                    <xdr:rowOff>152400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2</xdr:col>
                    <xdr:colOff>501650</xdr:colOff>
                    <xdr:row>18</xdr:row>
                    <xdr:rowOff>69850</xdr:rowOff>
                  </from>
                  <to>
                    <xdr:col>6</xdr:col>
                    <xdr:colOff>25400</xdr:colOff>
                    <xdr:row>19</xdr:row>
                    <xdr:rowOff>114300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2</xdr:col>
                    <xdr:colOff>457200</xdr:colOff>
                    <xdr:row>11</xdr:row>
                    <xdr:rowOff>146050</xdr:rowOff>
                  </from>
                  <to>
                    <xdr:col>6</xdr:col>
                    <xdr:colOff>57150</xdr:colOff>
                    <xdr:row>13</xdr:row>
                    <xdr:rowOff>38100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378CE-EA77-4CC1-998F-5E39B9031666}">
  <sheetPr>
    <tabColor theme="9" tint="0.79998168889431442"/>
  </sheetPr>
  <dimension ref="A1:AC32"/>
  <sheetViews>
    <sheetView workbookViewId="0">
      <selection activeCell="K23" sqref="K23"/>
    </sheetView>
  </sheetViews>
  <sheetFormatPr defaultColWidth="8.7265625" defaultRowHeight="14.5" x14ac:dyDescent="0.35"/>
  <sheetData>
    <row r="1" spans="1:29" x14ac:dyDescent="0.3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row>
    <row r="2" spans="1:29"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1:29" x14ac:dyDescent="0.3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row>
    <row r="4" spans="1:29" x14ac:dyDescent="0.3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row>
    <row r="5" spans="1:29" x14ac:dyDescent="0.3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row>
    <row r="6" spans="1:29" x14ac:dyDescent="0.3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row>
    <row r="7" spans="1:29" x14ac:dyDescent="0.3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row>
    <row r="8" spans="1:29" x14ac:dyDescent="0.3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row>
    <row r="9" spans="1:29" x14ac:dyDescent="0.3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row>
    <row r="10" spans="1:29"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row>
    <row r="11" spans="1:29"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row>
    <row r="13" spans="1:29"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row>
    <row r="14" spans="1:29"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row>
    <row r="15" spans="1:29"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row>
    <row r="17" spans="1:29"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row>
    <row r="19" spans="1:29"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row>
    <row r="20" spans="1:29"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spans="1:29"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row>
    <row r="22" spans="1:29"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row>
    <row r="23" spans="1:29"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spans="1:29"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spans="1:29"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6" spans="1:29"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row>
    <row r="27" spans="1:29"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row>
    <row r="28" spans="1:29"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row>
    <row r="29" spans="1:29"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spans="1:29"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spans="1:29" x14ac:dyDescent="0.3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spans="1:29"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Drop Down 1">
              <controlPr defaultSize="0" autoLine="0" autoPict="0">
                <anchor moveWithCells="1">
                  <from>
                    <xdr:col>1</xdr:col>
                    <xdr:colOff>311150</xdr:colOff>
                    <xdr:row>10</xdr:row>
                    <xdr:rowOff>31750</xdr:rowOff>
                  </from>
                  <to>
                    <xdr:col>8</xdr:col>
                    <xdr:colOff>565150</xdr:colOff>
                    <xdr:row>11</xdr:row>
                    <xdr:rowOff>63500</xdr:rowOff>
                  </to>
                </anchor>
              </controlPr>
            </control>
          </mc:Choice>
        </mc:AlternateContent>
        <mc:AlternateContent xmlns:mc="http://schemas.openxmlformats.org/markup-compatibility/2006">
          <mc:Choice Requires="x14">
            <control shapeId="16386" r:id="rId5" name="Drop Down 2">
              <controlPr defaultSize="0" autoLine="0" autoPict="0">
                <anchor moveWithCells="1">
                  <from>
                    <xdr:col>1</xdr:col>
                    <xdr:colOff>304800</xdr:colOff>
                    <xdr:row>14</xdr:row>
                    <xdr:rowOff>31750</xdr:rowOff>
                  </from>
                  <to>
                    <xdr:col>8</xdr:col>
                    <xdr:colOff>577850</xdr:colOff>
                    <xdr:row>15</xdr:row>
                    <xdr:rowOff>63500</xdr:rowOff>
                  </to>
                </anchor>
              </controlPr>
            </control>
          </mc:Choice>
        </mc:AlternateContent>
        <mc:AlternateContent xmlns:mc="http://schemas.openxmlformats.org/markup-compatibility/2006">
          <mc:Choice Requires="x14">
            <control shapeId="16387" r:id="rId6" name="Check Box 3">
              <controlPr defaultSize="0" autoFill="0" autoLine="0" autoPict="0">
                <anchor moveWithCells="1">
                  <from>
                    <xdr:col>4</xdr:col>
                    <xdr:colOff>25400</xdr:colOff>
                    <xdr:row>16</xdr:row>
                    <xdr:rowOff>82550</xdr:rowOff>
                  </from>
                  <to>
                    <xdr:col>6</xdr:col>
                    <xdr:colOff>254000</xdr:colOff>
                    <xdr:row>17</xdr:row>
                    <xdr:rowOff>165100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1962-7D82-4603-9B0A-EC5F7556F74D}">
  <dimension ref="C1:X62"/>
  <sheetViews>
    <sheetView zoomScale="40" zoomScaleNormal="40" workbookViewId="0">
      <selection activeCell="R6" sqref="R6"/>
    </sheetView>
  </sheetViews>
  <sheetFormatPr defaultColWidth="8.7265625" defaultRowHeight="14.5" x14ac:dyDescent="0.35"/>
  <cols>
    <col min="3" max="3" width="42" customWidth="1"/>
    <col min="10" max="10" width="11.90625" customWidth="1"/>
    <col min="13" max="13" width="10.08984375" bestFit="1" customWidth="1"/>
    <col min="14" max="14" width="12.1796875" bestFit="1" customWidth="1"/>
  </cols>
  <sheetData>
    <row r="1" spans="3:24" x14ac:dyDescent="0.35">
      <c r="O1" t="s">
        <v>940</v>
      </c>
      <c r="P1" t="s">
        <v>941</v>
      </c>
      <c r="Q1" t="s">
        <v>1153</v>
      </c>
      <c r="R1" t="s">
        <v>1211</v>
      </c>
      <c r="S1" t="s">
        <v>1154</v>
      </c>
      <c r="T1" t="s">
        <v>945</v>
      </c>
      <c r="U1" t="s">
        <v>946</v>
      </c>
      <c r="V1" t="s">
        <v>1155</v>
      </c>
      <c r="W1" t="s">
        <v>1156</v>
      </c>
    </row>
    <row r="2" spans="3:24" x14ac:dyDescent="0.35">
      <c r="E2" s="9"/>
      <c r="F2" s="9"/>
      <c r="O2" t="s">
        <v>1144</v>
      </c>
      <c r="P2" t="s">
        <v>1145</v>
      </c>
      <c r="Q2" t="s">
        <v>1146</v>
      </c>
      <c r="R2" t="s">
        <v>1147</v>
      </c>
      <c r="S2" t="s">
        <v>1148</v>
      </c>
      <c r="T2" t="s">
        <v>1149</v>
      </c>
      <c r="U2" t="s">
        <v>1150</v>
      </c>
      <c r="V2" t="s">
        <v>1151</v>
      </c>
      <c r="W2" t="s">
        <v>1152</v>
      </c>
      <c r="X2" s="9" t="s">
        <v>1044</v>
      </c>
    </row>
    <row r="3" spans="3:24" x14ac:dyDescent="0.35">
      <c r="C3">
        <v>39</v>
      </c>
      <c r="D3">
        <v>1</v>
      </c>
      <c r="I3" s="9" t="s">
        <v>1180</v>
      </c>
      <c r="J3" t="str">
        <f ca="1">_xlfn.CONCAT($J$11," (n=",$X3,")")</f>
        <v>Expenditure Measures for cash transfers to individuals: Supplementary ad hoc programs (n=0)</v>
      </c>
      <c r="K3">
        <f t="shared" ref="K3:N3" ca="1" si="0">K8</f>
        <v>6</v>
      </c>
      <c r="L3">
        <f t="shared" ca="1" si="0"/>
        <v>28</v>
      </c>
      <c r="M3" t="str">
        <f t="shared" ca="1" si="0"/>
        <v>Data!$B:$B</v>
      </c>
      <c r="N3" t="str">
        <f t="shared" ca="1" si="0"/>
        <v>Data!$AT:$AT</v>
      </c>
      <c r="O3" t="e">
        <f ca="1">AVERAGEIFS(INDIRECT(O2),INDIRECT(O2),"&gt;=0",INDIRECT('Sample Select backend'!$C$3),'Sample Select backend'!$C$2,INDIRECT('Sample Select backend'!$F$3),'Sample Select backend'!$F$2,INDIRECT('Sample Select backend'!$I$2),1,INDIRECT('Sample Select backend'!$M$3),'Sample Select backend'!$M$2,INDIRECT('Sample Select backend'!$I$9),1,INDIRECT($M8),$K8,INDIRECT($N8),$L8)</f>
        <v>#DIV/0!</v>
      </c>
      <c r="P3" t="e">
        <f ca="1">AVERAGEIFS(INDIRECT(P2),INDIRECT(P2),"&gt;=0",INDIRECT('Sample Select backend'!$C$3),'Sample Select backend'!$C$2,INDIRECT('Sample Select backend'!$F$3),'Sample Select backend'!$F$2,INDIRECT('Sample Select backend'!$I$2),1,INDIRECT('Sample Select backend'!$M$3),'Sample Select backend'!$M$2,INDIRECT('Sample Select backend'!$I$9),1,INDIRECT($M8),$K8,INDIRECT($N8),$L8)</f>
        <v>#DIV/0!</v>
      </c>
      <c r="Q3" t="e">
        <f ca="1">AVERAGEIFS(INDIRECT(Q2),INDIRECT(Q2),"&gt;=0",INDIRECT('Sample Select backend'!$C$3),'Sample Select backend'!$C$2,INDIRECT('Sample Select backend'!$F$3),'Sample Select backend'!$F$2,INDIRECT('Sample Select backend'!$I$2),1,INDIRECT('Sample Select backend'!$M$3),'Sample Select backend'!$M$2,INDIRECT('Sample Select backend'!$I$9),1,INDIRECT($M8),$K8,INDIRECT($N8),$L8)</f>
        <v>#DIV/0!</v>
      </c>
      <c r="R3" t="e">
        <f ca="1">AVERAGEIFS(INDIRECT(R2),INDIRECT(R2),"&gt;=0",INDIRECT('Sample Select backend'!$C$3),'Sample Select backend'!$C$2,INDIRECT('Sample Select backend'!$F$3),'Sample Select backend'!$F$2,INDIRECT('Sample Select backend'!$I$2),1,INDIRECT('Sample Select backend'!$M$3),'Sample Select backend'!$M$2,INDIRECT('Sample Select backend'!$I$9),1,INDIRECT($M8),$K8,INDIRECT($N8),$L8)</f>
        <v>#DIV/0!</v>
      </c>
      <c r="S3" t="e">
        <f ca="1">AVERAGEIFS(INDIRECT(S2),INDIRECT(S2),"&gt;=0",INDIRECT('Sample Select backend'!$C$3),'Sample Select backend'!$C$2,INDIRECT('Sample Select backend'!$F$3),'Sample Select backend'!$F$2,INDIRECT('Sample Select backend'!$I$2),1,INDIRECT('Sample Select backend'!$M$3),'Sample Select backend'!$M$2,INDIRECT('Sample Select backend'!$I$9),1,INDIRECT($M8),$K8,INDIRECT($N8),$L8)</f>
        <v>#DIV/0!</v>
      </c>
      <c r="T3" t="e">
        <f ca="1">AVERAGEIFS(INDIRECT(T2),INDIRECT(T2),"&gt;=0",INDIRECT('Sample Select backend'!$C$3),'Sample Select backend'!$C$2,INDIRECT('Sample Select backend'!$F$3),'Sample Select backend'!$F$2,INDIRECT('Sample Select backend'!$I$2),1,INDIRECT('Sample Select backend'!$M$3),'Sample Select backend'!$M$2,INDIRECT('Sample Select backend'!$I$9),1,INDIRECT($M8),$K8,INDIRECT($N8),$L8)</f>
        <v>#DIV/0!</v>
      </c>
      <c r="U3" t="e">
        <f ca="1">AVERAGEIFS(INDIRECT(U2),INDIRECT(U2),"&gt;=0",INDIRECT('Sample Select backend'!$C$3),'Sample Select backend'!$C$2,INDIRECT('Sample Select backend'!$F$3),'Sample Select backend'!$F$2,INDIRECT('Sample Select backend'!$I$2),1,INDIRECT('Sample Select backend'!$M$3),'Sample Select backend'!$M$2,INDIRECT('Sample Select backend'!$I$9),1,INDIRECT($M8),$K8,INDIRECT($N8),$L8)</f>
        <v>#DIV/0!</v>
      </c>
      <c r="V3" t="e">
        <f ca="1">AVERAGEIFS(INDIRECT(V2),INDIRECT(V2),"&gt;=0",INDIRECT('Sample Select backend'!$C$3),'Sample Select backend'!$C$2,INDIRECT('Sample Select backend'!$F$3),'Sample Select backend'!$F$2,INDIRECT('Sample Select backend'!$I$2),1,INDIRECT('Sample Select backend'!$M$3),'Sample Select backend'!$M$2,INDIRECT('Sample Select backend'!$I$9),1,INDIRECT($M8),$K8,INDIRECT($N8),$L8)</f>
        <v>#DIV/0!</v>
      </c>
      <c r="W3" t="e">
        <f ca="1">AVERAGEIFS(INDIRECT(W2),INDIRECT(W2),"&gt;=0",INDIRECT('Sample Select backend'!$C$3),'Sample Select backend'!$C$2,INDIRECT('Sample Select backend'!$F$3),'Sample Select backend'!$F$2,INDIRECT('Sample Select backend'!$I$2),1,INDIRECT('Sample Select backend'!$M$3),'Sample Select backend'!$M$2,INDIRECT('Sample Select backend'!$I$9),1,INDIRECT($M8),$K8,INDIRECT($N8),$L8)</f>
        <v>#DIV/0!</v>
      </c>
      <c r="X3">
        <f ca="1">COUNTIFS(INDIRECT(W2),"&gt;=0",INDIRECT('Sample Select backend'!$C$3),'Sample Select backend'!$C$2,INDIRECT('Sample Select backend'!$F$3),'Sample Select backend'!$F$2,INDIRECT('Sample Select backend'!$I$2),1,INDIRECT('Sample Select backend'!$M$3),'Sample Select backend'!$M$2,INDIRECT('Sample Select backend'!$I$9),1,INDIRECT($M8),$K8,INDIRECT($N8),$L8)</f>
        <v>0</v>
      </c>
    </row>
    <row r="4" spans="3:24" x14ac:dyDescent="0.35">
      <c r="C4" t="s">
        <v>1196</v>
      </c>
      <c r="I4" s="9" t="s">
        <v>1181</v>
      </c>
      <c r="J4" t="str">
        <f ca="1">IF(J12="No Selection","No Selection",_xlfn.CONCAT($J$12," (n=",$X4,")"))</f>
        <v>No Selection</v>
      </c>
      <c r="K4">
        <f t="shared" ref="K4:N4" ca="1" si="1">K9</f>
        <v>0</v>
      </c>
      <c r="L4">
        <f t="shared" ca="1" si="1"/>
        <v>0</v>
      </c>
      <c r="M4">
        <f t="shared" ca="1" si="1"/>
        <v>0</v>
      </c>
      <c r="N4">
        <f t="shared" ca="1" si="1"/>
        <v>0</v>
      </c>
      <c r="O4" t="e">
        <f ca="1">AVERAGEIFS(INDIRECT(O2),INDIRECT(O2),"&gt;=0",INDIRECT('Sample Select backend'!$C$3),'Sample Select backend'!$C$2,INDIRECT('Sample Select backend'!$F$3),'Sample Select backend'!$F$2,INDIRECT('Sample Select backend'!$I$2),1,INDIRECT('Sample Select backend'!$M$3),'Sample Select backend'!$M$2,INDIRECT('Sample Select backend'!$I$9),1,INDIRECT($M9),$K9,INDIRECT($N9),$L9)</f>
        <v>#REF!</v>
      </c>
      <c r="P4" t="e">
        <f ca="1">AVERAGEIFS(INDIRECT(P2),INDIRECT(P2),"&gt;=0",INDIRECT('Sample Select backend'!$C$3),'Sample Select backend'!$C$2,INDIRECT('Sample Select backend'!$F$3),'Sample Select backend'!$F$2,INDIRECT('Sample Select backend'!$I$2),1,INDIRECT('Sample Select backend'!$M$3),'Sample Select backend'!$M$2,INDIRECT('Sample Select backend'!$I$9),1,INDIRECT($M9),$K9,INDIRECT($N9),$L9)</f>
        <v>#REF!</v>
      </c>
      <c r="Q4" t="e">
        <f ca="1">AVERAGEIFS(INDIRECT(Q2),INDIRECT(Q2),"&gt;=0",INDIRECT('Sample Select backend'!$C$3),'Sample Select backend'!$C$2,INDIRECT('Sample Select backend'!$F$3),'Sample Select backend'!$F$2,INDIRECT('Sample Select backend'!$I$2),1,INDIRECT('Sample Select backend'!$M$3),'Sample Select backend'!$M$2,INDIRECT('Sample Select backend'!$I$9),1,INDIRECT($M9),$K9,INDIRECT($N9),$L9)</f>
        <v>#REF!</v>
      </c>
      <c r="R4" t="e">
        <f ca="1">AVERAGEIFS(INDIRECT(R2),INDIRECT(R2),"&gt;=0",INDIRECT('Sample Select backend'!$C$3),'Sample Select backend'!$C$2,INDIRECT('Sample Select backend'!$F$3),'Sample Select backend'!$F$2,INDIRECT('Sample Select backend'!$I$2),1,INDIRECT('Sample Select backend'!$M$3),'Sample Select backend'!$M$2,INDIRECT('Sample Select backend'!$I$9),1,INDIRECT($M9),$K9,INDIRECT($N9),$L9)</f>
        <v>#REF!</v>
      </c>
      <c r="S4" t="e">
        <f ca="1">AVERAGEIFS(INDIRECT(S2),INDIRECT(S2),"&gt;=0",INDIRECT('Sample Select backend'!$C$3),'Sample Select backend'!$C$2,INDIRECT('Sample Select backend'!$F$3),'Sample Select backend'!$F$2,INDIRECT('Sample Select backend'!$I$2),1,INDIRECT('Sample Select backend'!$M$3),'Sample Select backend'!$M$2,INDIRECT('Sample Select backend'!$I$9),1,INDIRECT($M9),$K9,INDIRECT($N9),$L9)</f>
        <v>#REF!</v>
      </c>
      <c r="T4" t="e">
        <f ca="1">AVERAGEIFS(INDIRECT(T2),INDIRECT(T2),"&gt;=0",INDIRECT('Sample Select backend'!$C$3),'Sample Select backend'!$C$2,INDIRECT('Sample Select backend'!$F$3),'Sample Select backend'!$F$2,INDIRECT('Sample Select backend'!$I$2),1,INDIRECT('Sample Select backend'!$M$3),'Sample Select backend'!$M$2,INDIRECT('Sample Select backend'!$I$9),1,INDIRECT($M9),$K9,INDIRECT($N9),$L9)</f>
        <v>#REF!</v>
      </c>
      <c r="U4" t="e">
        <f ca="1">AVERAGEIFS(INDIRECT(U2),INDIRECT(U2),"&gt;=0",INDIRECT('Sample Select backend'!$C$3),'Sample Select backend'!$C$2,INDIRECT('Sample Select backend'!$F$3),'Sample Select backend'!$F$2,INDIRECT('Sample Select backend'!$I$2),1,INDIRECT('Sample Select backend'!$M$3),'Sample Select backend'!$M$2,INDIRECT('Sample Select backend'!$I$9),1,INDIRECT($M9),$K9,INDIRECT($N9),$L9)</f>
        <v>#REF!</v>
      </c>
      <c r="V4" t="e">
        <f ca="1">AVERAGEIFS(INDIRECT(V2),INDIRECT(V2),"&gt;=0",INDIRECT('Sample Select backend'!$C$3),'Sample Select backend'!$C$2,INDIRECT('Sample Select backend'!$F$3),'Sample Select backend'!$F$2,INDIRECT('Sample Select backend'!$I$2),1,INDIRECT('Sample Select backend'!$M$3),'Sample Select backend'!$M$2,INDIRECT('Sample Select backend'!$I$9),1,INDIRECT($M9),$K9,INDIRECT($N9),$L9)</f>
        <v>#REF!</v>
      </c>
      <c r="W4" t="e">
        <f ca="1">AVERAGEIFS(INDIRECT(W2),INDIRECT(W2),"&gt;=0",INDIRECT('Sample Select backend'!$C$3),'Sample Select backend'!$C$2,INDIRECT('Sample Select backend'!$F$3),'Sample Select backend'!$F$2,INDIRECT('Sample Select backend'!$I$2),1,INDIRECT('Sample Select backend'!$M$3),'Sample Select backend'!$M$2,INDIRECT('Sample Select backend'!$I$9),1,INDIRECT($M9),$K9,INDIRECT($N9),$L9)</f>
        <v>#REF!</v>
      </c>
      <c r="X4" t="e">
        <f ca="1">COUNTIFS(INDIRECT(W2),"&gt;=0",INDIRECT('Sample Select backend'!$C$3),'Sample Select backend'!$C$2,INDIRECT('Sample Select backend'!$F$3),'Sample Select backend'!$F$2,INDIRECT('Sample Select backend'!$I$2),1,INDIRECT('Sample Select backend'!$M$3),'Sample Select backend'!$M$2,INDIRECT('Sample Select backend'!$I$9),1,INDIRECT($M9),$K9,INDIRECT($N9),$L9)</f>
        <v>#REF!</v>
      </c>
    </row>
    <row r="5" spans="3:24" x14ac:dyDescent="0.35">
      <c r="C5" s="9" t="s">
        <v>1182</v>
      </c>
      <c r="D5">
        <v>1</v>
      </c>
      <c r="E5">
        <v>1</v>
      </c>
      <c r="F5" t="s">
        <v>1020</v>
      </c>
      <c r="G5" t="s">
        <v>1020</v>
      </c>
    </row>
    <row r="6" spans="3:24" x14ac:dyDescent="0.35">
      <c r="C6" t="s">
        <v>1071</v>
      </c>
      <c r="D6">
        <v>1</v>
      </c>
      <c r="E6">
        <v>1</v>
      </c>
      <c r="F6" t="s">
        <v>1115</v>
      </c>
      <c r="G6" t="s">
        <v>1116</v>
      </c>
      <c r="O6" t="s">
        <v>940</v>
      </c>
      <c r="P6" t="s">
        <v>941</v>
      </c>
      <c r="Q6" t="s">
        <v>1153</v>
      </c>
      <c r="R6" t="s">
        <v>1211</v>
      </c>
      <c r="S6" t="s">
        <v>1154</v>
      </c>
      <c r="T6" t="s">
        <v>945</v>
      </c>
      <c r="U6" t="s">
        <v>946</v>
      </c>
      <c r="V6" t="s">
        <v>1155</v>
      </c>
      <c r="W6" t="s">
        <v>1156</v>
      </c>
    </row>
    <row r="7" spans="3:24" x14ac:dyDescent="0.35">
      <c r="C7" t="s">
        <v>1072</v>
      </c>
      <c r="D7">
        <v>1</v>
      </c>
      <c r="E7">
        <v>2</v>
      </c>
      <c r="F7" t="s">
        <v>1115</v>
      </c>
      <c r="G7" t="s">
        <v>1116</v>
      </c>
      <c r="O7" t="s">
        <v>1144</v>
      </c>
      <c r="P7" t="s">
        <v>1145</v>
      </c>
      <c r="Q7" t="s">
        <v>1146</v>
      </c>
      <c r="R7" t="s">
        <v>1147</v>
      </c>
      <c r="S7" t="s">
        <v>1148</v>
      </c>
      <c r="T7" t="s">
        <v>1149</v>
      </c>
      <c r="U7" t="s">
        <v>1150</v>
      </c>
      <c r="V7" t="s">
        <v>1151</v>
      </c>
      <c r="W7" t="s">
        <v>1152</v>
      </c>
      <c r="X7" s="9" t="s">
        <v>1044</v>
      </c>
    </row>
    <row r="8" spans="3:24" x14ac:dyDescent="0.35">
      <c r="C8" t="s">
        <v>1073</v>
      </c>
      <c r="D8">
        <v>1</v>
      </c>
      <c r="E8">
        <v>3</v>
      </c>
      <c r="F8" t="s">
        <v>1115</v>
      </c>
      <c r="G8" t="s">
        <v>1116</v>
      </c>
      <c r="I8" s="9" t="s">
        <v>1180</v>
      </c>
      <c r="J8" t="str">
        <f ca="1">_xlfn.CONCAT($J$11," (n=",$X8,")")</f>
        <v>Expenditure Measures for cash transfers to individuals: Supplementary ad hoc programs (n=0)</v>
      </c>
      <c r="K8">
        <f ca="1">OFFSET($C3,$C3,1)</f>
        <v>6</v>
      </c>
      <c r="L8">
        <f ca="1">OFFSET($C3,$C3,2)</f>
        <v>28</v>
      </c>
      <c r="M8" t="str">
        <f ca="1">OFFSET($C3,$C3,3)</f>
        <v>Data!$B:$B</v>
      </c>
      <c r="N8" t="str">
        <f ca="1">OFFSET($C3,$C3,4)</f>
        <v>Data!$AT:$AT</v>
      </c>
      <c r="O8" t="e">
        <f ca="1">AVERAGEIFS(INDIRECT(O$7),INDIRECT(O$7),"&gt;-1",INDIRECT($M8),$K8,INDIRECT($N8),$L8)</f>
        <v>#DIV/0!</v>
      </c>
      <c r="P8" t="e">
        <f t="shared" ref="P8:W9" ca="1" si="2">AVERAGEIFS(INDIRECT(P$7),INDIRECT(P$7),"&gt;-1",INDIRECT($M8),$K8,INDIRECT($N8),$L8)</f>
        <v>#DIV/0!</v>
      </c>
      <c r="Q8" t="e">
        <f t="shared" ca="1" si="2"/>
        <v>#DIV/0!</v>
      </c>
      <c r="R8" t="e">
        <f t="shared" ca="1" si="2"/>
        <v>#DIV/0!</v>
      </c>
      <c r="S8" t="e">
        <f t="shared" ca="1" si="2"/>
        <v>#DIV/0!</v>
      </c>
      <c r="T8" t="e">
        <f t="shared" ca="1" si="2"/>
        <v>#DIV/0!</v>
      </c>
      <c r="U8" t="e">
        <f t="shared" ca="1" si="2"/>
        <v>#DIV/0!</v>
      </c>
      <c r="V8" t="e">
        <f t="shared" ca="1" si="2"/>
        <v>#DIV/0!</v>
      </c>
      <c r="W8" t="e">
        <f ca="1">AVERAGEIFS(INDIRECT(W$7),INDIRECT(W$7),"&gt;-1",INDIRECT($M8),$K8,INDIRECT($N8),$L8)</f>
        <v>#DIV/0!</v>
      </c>
      <c r="X8">
        <f ca="1">COUNTIFS(INDIRECT(W$7),"&gt;-1",INDIRECT($M8),$K8,INDIRECT($N8),$L8)</f>
        <v>0</v>
      </c>
    </row>
    <row r="9" spans="3:24" x14ac:dyDescent="0.35">
      <c r="C9" t="s">
        <v>1074</v>
      </c>
      <c r="D9">
        <v>1</v>
      </c>
      <c r="E9">
        <v>4</v>
      </c>
      <c r="F9" t="s">
        <v>1115</v>
      </c>
      <c r="G9" t="s">
        <v>1116</v>
      </c>
      <c r="I9" s="9" t="s">
        <v>1181</v>
      </c>
      <c r="J9" t="str">
        <f ca="1">IF(J12="No Selection","No Selection",_xlfn.CONCAT($J$12," (n=",$X9,")"))</f>
        <v>No Selection</v>
      </c>
      <c r="K9">
        <f ca="1">OFFSET($C3,$D3,1)</f>
        <v>0</v>
      </c>
      <c r="L9">
        <f ca="1">OFFSET($C3,$D3,2)</f>
        <v>0</v>
      </c>
      <c r="M9">
        <f ca="1">OFFSET($C3,$D3,3)</f>
        <v>0</v>
      </c>
      <c r="N9">
        <f ca="1">OFFSET($C3,$D3,4)</f>
        <v>0</v>
      </c>
      <c r="O9" t="e">
        <f t="shared" ref="O9" ca="1" si="3">AVERAGEIFS(INDIRECT(O$7),INDIRECT(O$7),"&gt;-1",INDIRECT($M9),$K9,INDIRECT($N9),$L9)</f>
        <v>#REF!</v>
      </c>
      <c r="P9" t="e">
        <f t="shared" ca="1" si="2"/>
        <v>#REF!</v>
      </c>
      <c r="Q9" t="e">
        <f t="shared" ca="1" si="2"/>
        <v>#REF!</v>
      </c>
      <c r="R9" t="e">
        <f t="shared" ca="1" si="2"/>
        <v>#REF!</v>
      </c>
      <c r="S9" t="e">
        <f t="shared" ca="1" si="2"/>
        <v>#REF!</v>
      </c>
      <c r="T9" t="e">
        <f t="shared" ca="1" si="2"/>
        <v>#REF!</v>
      </c>
      <c r="U9" t="e">
        <f t="shared" ca="1" si="2"/>
        <v>#REF!</v>
      </c>
      <c r="V9" t="e">
        <f t="shared" ca="1" si="2"/>
        <v>#REF!</v>
      </c>
      <c r="W9" t="e">
        <f t="shared" ca="1" si="2"/>
        <v>#REF!</v>
      </c>
      <c r="X9" t="e">
        <f ca="1">COUNTIFS(INDIRECT(W$7),"&gt;-1",INDIRECT($M9),$K9,INDIRECT($N9),$L9)</f>
        <v>#REF!</v>
      </c>
    </row>
    <row r="10" spans="3:24" x14ac:dyDescent="0.35">
      <c r="C10" t="s">
        <v>1075</v>
      </c>
      <c r="D10">
        <v>1</v>
      </c>
      <c r="E10">
        <v>5</v>
      </c>
      <c r="F10" t="s">
        <v>1115</v>
      </c>
      <c r="G10" t="s">
        <v>1116</v>
      </c>
    </row>
    <row r="11" spans="3:24" x14ac:dyDescent="0.35">
      <c r="C11" t="s">
        <v>1076</v>
      </c>
      <c r="D11">
        <v>1</v>
      </c>
      <c r="E11">
        <v>6</v>
      </c>
      <c r="F11" t="s">
        <v>1115</v>
      </c>
      <c r="G11" t="s">
        <v>1116</v>
      </c>
      <c r="J11" t="str">
        <f ca="1">OFFSET($C3,$C3,0)</f>
        <v>Expenditure Measures for cash transfers to individuals: Supplementary ad hoc programs</v>
      </c>
      <c r="L11" t="b">
        <v>1</v>
      </c>
      <c r="M11" s="9" t="s">
        <v>1184</v>
      </c>
      <c r="O11" t="e">
        <f ca="1">IF($L$11,O3,O8)</f>
        <v>#DIV/0!</v>
      </c>
      <c r="P11" t="e">
        <f t="shared" ref="P11:W11" ca="1" si="4">IF($L$11,P3,P8)</f>
        <v>#DIV/0!</v>
      </c>
      <c r="Q11" t="e">
        <f t="shared" ca="1" si="4"/>
        <v>#DIV/0!</v>
      </c>
      <c r="R11" t="e">
        <f t="shared" ca="1" si="4"/>
        <v>#DIV/0!</v>
      </c>
      <c r="S11" t="e">
        <f t="shared" ca="1" si="4"/>
        <v>#DIV/0!</v>
      </c>
      <c r="T11" t="e">
        <f t="shared" ca="1" si="4"/>
        <v>#DIV/0!</v>
      </c>
      <c r="U11" t="e">
        <f t="shared" ca="1" si="4"/>
        <v>#DIV/0!</v>
      </c>
      <c r="V11" t="e">
        <f t="shared" ca="1" si="4"/>
        <v>#DIV/0!</v>
      </c>
      <c r="W11" t="e">
        <f t="shared" ca="1" si="4"/>
        <v>#DIV/0!</v>
      </c>
    </row>
    <row r="12" spans="3:24" x14ac:dyDescent="0.35">
      <c r="C12" t="s">
        <v>1077</v>
      </c>
      <c r="D12">
        <v>1</v>
      </c>
      <c r="E12">
        <v>7</v>
      </c>
      <c r="F12" t="s">
        <v>1115</v>
      </c>
      <c r="G12" t="s">
        <v>1116</v>
      </c>
      <c r="J12" t="str">
        <f ca="1">OFFSET($C3,$D3,0)</f>
        <v>No Selection</v>
      </c>
      <c r="O12" t="e">
        <f t="shared" ref="O12:W12" ca="1" si="5">IF($L$11,O4,O9)</f>
        <v>#REF!</v>
      </c>
      <c r="P12" t="e">
        <f t="shared" ca="1" si="5"/>
        <v>#REF!</v>
      </c>
      <c r="Q12" t="e">
        <f t="shared" ca="1" si="5"/>
        <v>#REF!</v>
      </c>
      <c r="R12" t="e">
        <f t="shared" ca="1" si="5"/>
        <v>#REF!</v>
      </c>
      <c r="S12" t="e">
        <f t="shared" ca="1" si="5"/>
        <v>#REF!</v>
      </c>
      <c r="T12" t="e">
        <f t="shared" ca="1" si="5"/>
        <v>#REF!</v>
      </c>
      <c r="U12" t="e">
        <f t="shared" ca="1" si="5"/>
        <v>#REF!</v>
      </c>
      <c r="V12" t="e">
        <f t="shared" ca="1" si="5"/>
        <v>#REF!</v>
      </c>
      <c r="W12" t="e">
        <f t="shared" ca="1" si="5"/>
        <v>#REF!</v>
      </c>
    </row>
    <row r="13" spans="3:24" x14ac:dyDescent="0.35">
      <c r="C13" t="s">
        <v>1078</v>
      </c>
      <c r="D13">
        <v>1</v>
      </c>
      <c r="E13">
        <v>8</v>
      </c>
      <c r="F13" t="s">
        <v>1115</v>
      </c>
      <c r="G13" t="s">
        <v>1116</v>
      </c>
    </row>
    <row r="14" spans="3:24" x14ac:dyDescent="0.35">
      <c r="C14" t="s">
        <v>1079</v>
      </c>
      <c r="D14">
        <v>1</v>
      </c>
      <c r="E14">
        <v>9</v>
      </c>
      <c r="F14" t="s">
        <v>1115</v>
      </c>
      <c r="G14" t="s">
        <v>1116</v>
      </c>
      <c r="J14" t="str">
        <f ca="1">IF($L$11,J3,J8)</f>
        <v>Expenditure Measures for cash transfers to individuals: Supplementary ad hoc programs (n=0)</v>
      </c>
    </row>
    <row r="15" spans="3:24" x14ac:dyDescent="0.35">
      <c r="C15" t="s">
        <v>1080</v>
      </c>
      <c r="D15">
        <v>1</v>
      </c>
      <c r="E15">
        <v>10</v>
      </c>
      <c r="F15" t="s">
        <v>1115</v>
      </c>
      <c r="G15" t="s">
        <v>1116</v>
      </c>
      <c r="J15" t="str">
        <f ca="1">IF($L$11,J4,J9)</f>
        <v>No Selection</v>
      </c>
    </row>
    <row r="16" spans="3:24" x14ac:dyDescent="0.35">
      <c r="C16" t="s">
        <v>1081</v>
      </c>
      <c r="D16">
        <v>1</v>
      </c>
      <c r="E16">
        <v>11</v>
      </c>
      <c r="F16" t="s">
        <v>1115</v>
      </c>
      <c r="G16" t="s">
        <v>1116</v>
      </c>
    </row>
    <row r="17" spans="3:12" x14ac:dyDescent="0.35">
      <c r="C17" t="s">
        <v>1082</v>
      </c>
      <c r="D17">
        <v>1</v>
      </c>
      <c r="E17">
        <v>12</v>
      </c>
      <c r="F17" t="s">
        <v>1115</v>
      </c>
      <c r="G17" t="s">
        <v>1116</v>
      </c>
    </row>
    <row r="18" spans="3:12" x14ac:dyDescent="0.35">
      <c r="C18" t="s">
        <v>1083</v>
      </c>
      <c r="D18">
        <v>1</v>
      </c>
      <c r="E18" t="s">
        <v>1068</v>
      </c>
      <c r="F18" t="s">
        <v>1115</v>
      </c>
      <c r="G18" t="s">
        <v>1116</v>
      </c>
      <c r="K18" s="9" t="s">
        <v>1121</v>
      </c>
      <c r="L18" t="str">
        <f>IF(L11,"Performance for the Selected Sample","Performance for the Whole World")</f>
        <v>Performance for the Selected Sample</v>
      </c>
    </row>
    <row r="19" spans="3:12" x14ac:dyDescent="0.35">
      <c r="C19" t="s">
        <v>1084</v>
      </c>
      <c r="D19">
        <v>1</v>
      </c>
      <c r="E19" t="s">
        <v>1069</v>
      </c>
      <c r="F19" t="s">
        <v>1115</v>
      </c>
      <c r="G19" t="s">
        <v>1116</v>
      </c>
    </row>
    <row r="20" spans="3:12" x14ac:dyDescent="0.35">
      <c r="C20" t="s">
        <v>1085</v>
      </c>
      <c r="D20">
        <v>2</v>
      </c>
      <c r="E20">
        <v>13</v>
      </c>
      <c r="F20" t="s">
        <v>1115</v>
      </c>
      <c r="G20" t="s">
        <v>1116</v>
      </c>
    </row>
    <row r="21" spans="3:12" x14ac:dyDescent="0.35">
      <c r="C21" t="s">
        <v>1086</v>
      </c>
      <c r="D21">
        <v>2</v>
      </c>
      <c r="E21">
        <v>14</v>
      </c>
      <c r="F21" t="s">
        <v>1115</v>
      </c>
      <c r="G21" t="s">
        <v>1116</v>
      </c>
    </row>
    <row r="22" spans="3:12" x14ac:dyDescent="0.35">
      <c r="C22" t="s">
        <v>1087</v>
      </c>
      <c r="D22">
        <v>2</v>
      </c>
      <c r="E22">
        <v>15</v>
      </c>
      <c r="F22" t="s">
        <v>1115</v>
      </c>
      <c r="G22" t="s">
        <v>1116</v>
      </c>
    </row>
    <row r="23" spans="3:12" x14ac:dyDescent="0.35">
      <c r="C23" t="s">
        <v>1088</v>
      </c>
      <c r="D23">
        <v>2</v>
      </c>
      <c r="E23">
        <v>16</v>
      </c>
      <c r="F23" t="s">
        <v>1115</v>
      </c>
      <c r="G23" t="s">
        <v>1116</v>
      </c>
    </row>
    <row r="24" spans="3:12" x14ac:dyDescent="0.35">
      <c r="C24" t="s">
        <v>1089</v>
      </c>
      <c r="D24">
        <v>2</v>
      </c>
      <c r="E24">
        <v>17</v>
      </c>
      <c r="F24" t="s">
        <v>1115</v>
      </c>
      <c r="G24" t="s">
        <v>1116</v>
      </c>
    </row>
    <row r="25" spans="3:12" x14ac:dyDescent="0.35">
      <c r="C25" t="s">
        <v>1090</v>
      </c>
      <c r="D25">
        <v>2</v>
      </c>
      <c r="E25">
        <v>18</v>
      </c>
      <c r="F25" t="s">
        <v>1115</v>
      </c>
      <c r="G25" t="s">
        <v>1116</v>
      </c>
    </row>
    <row r="26" spans="3:12" x14ac:dyDescent="0.35">
      <c r="C26" t="s">
        <v>1091</v>
      </c>
      <c r="D26">
        <v>2</v>
      </c>
      <c r="E26" t="s">
        <v>1068</v>
      </c>
      <c r="F26" t="s">
        <v>1115</v>
      </c>
      <c r="G26" t="s">
        <v>1116</v>
      </c>
    </row>
    <row r="27" spans="3:12" x14ac:dyDescent="0.35">
      <c r="C27" t="s">
        <v>1092</v>
      </c>
      <c r="D27">
        <v>2</v>
      </c>
      <c r="E27" t="s">
        <v>1069</v>
      </c>
      <c r="F27" t="s">
        <v>1115</v>
      </c>
      <c r="G27" t="s">
        <v>1116</v>
      </c>
    </row>
    <row r="28" spans="3:12" x14ac:dyDescent="0.35">
      <c r="C28" t="s">
        <v>1093</v>
      </c>
      <c r="D28">
        <v>3</v>
      </c>
      <c r="E28">
        <v>19</v>
      </c>
      <c r="F28" t="s">
        <v>1115</v>
      </c>
      <c r="G28" t="s">
        <v>1116</v>
      </c>
    </row>
    <row r="29" spans="3:12" x14ac:dyDescent="0.35">
      <c r="C29" t="s">
        <v>1094</v>
      </c>
      <c r="D29">
        <v>3</v>
      </c>
      <c r="E29" t="s">
        <v>1068</v>
      </c>
      <c r="F29" t="s">
        <v>1115</v>
      </c>
      <c r="G29" t="s">
        <v>1116</v>
      </c>
    </row>
    <row r="30" spans="3:12" x14ac:dyDescent="0.35">
      <c r="C30" t="s">
        <v>1095</v>
      </c>
      <c r="D30">
        <v>3</v>
      </c>
      <c r="E30" t="s">
        <v>1069</v>
      </c>
      <c r="F30" t="s">
        <v>1115</v>
      </c>
      <c r="G30" t="s">
        <v>1116</v>
      </c>
    </row>
    <row r="31" spans="3:12" x14ac:dyDescent="0.35">
      <c r="C31" t="s">
        <v>1096</v>
      </c>
      <c r="D31">
        <v>4</v>
      </c>
      <c r="E31">
        <v>20</v>
      </c>
      <c r="F31" t="s">
        <v>1115</v>
      </c>
      <c r="G31" t="s">
        <v>1116</v>
      </c>
    </row>
    <row r="32" spans="3:12" x14ac:dyDescent="0.35">
      <c r="C32" t="s">
        <v>1097</v>
      </c>
      <c r="D32">
        <v>4</v>
      </c>
      <c r="E32" t="s">
        <v>1068</v>
      </c>
      <c r="F32" t="s">
        <v>1115</v>
      </c>
      <c r="G32" t="s">
        <v>1116</v>
      </c>
    </row>
    <row r="33" spans="3:7" x14ac:dyDescent="0.35">
      <c r="C33" t="s">
        <v>1098</v>
      </c>
      <c r="D33">
        <v>4</v>
      </c>
      <c r="E33" t="s">
        <v>1069</v>
      </c>
      <c r="F33" t="s">
        <v>1115</v>
      </c>
      <c r="G33" t="s">
        <v>1116</v>
      </c>
    </row>
    <row r="34" spans="3:7" x14ac:dyDescent="0.35">
      <c r="C34" t="s">
        <v>1099</v>
      </c>
      <c r="D34">
        <v>5</v>
      </c>
      <c r="E34">
        <v>21</v>
      </c>
      <c r="F34" t="s">
        <v>1115</v>
      </c>
      <c r="G34" t="s">
        <v>1116</v>
      </c>
    </row>
    <row r="35" spans="3:7" x14ac:dyDescent="0.35">
      <c r="C35" t="s">
        <v>1100</v>
      </c>
      <c r="D35">
        <v>5</v>
      </c>
      <c r="E35">
        <v>22</v>
      </c>
      <c r="F35" t="s">
        <v>1115</v>
      </c>
      <c r="G35" t="s">
        <v>1116</v>
      </c>
    </row>
    <row r="36" spans="3:7" x14ac:dyDescent="0.35">
      <c r="C36" t="s">
        <v>1101</v>
      </c>
      <c r="D36">
        <v>5</v>
      </c>
      <c r="E36">
        <v>23</v>
      </c>
      <c r="F36" t="s">
        <v>1115</v>
      </c>
      <c r="G36" t="s">
        <v>1116</v>
      </c>
    </row>
    <row r="37" spans="3:7" x14ac:dyDescent="0.35">
      <c r="C37" t="s">
        <v>1102</v>
      </c>
      <c r="D37">
        <v>5</v>
      </c>
      <c r="E37">
        <v>24</v>
      </c>
      <c r="F37" t="s">
        <v>1115</v>
      </c>
      <c r="G37" t="s">
        <v>1116</v>
      </c>
    </row>
    <row r="38" spans="3:7" x14ac:dyDescent="0.35">
      <c r="C38" t="s">
        <v>1103</v>
      </c>
      <c r="D38">
        <v>5</v>
      </c>
      <c r="E38" t="s">
        <v>1070</v>
      </c>
      <c r="F38" t="s">
        <v>1115</v>
      </c>
      <c r="G38" t="s">
        <v>1116</v>
      </c>
    </row>
    <row r="39" spans="3:7" x14ac:dyDescent="0.35">
      <c r="C39" t="s">
        <v>1104</v>
      </c>
      <c r="D39">
        <v>6</v>
      </c>
      <c r="E39">
        <v>25</v>
      </c>
      <c r="F39" t="s">
        <v>1115</v>
      </c>
      <c r="G39" t="s">
        <v>1116</v>
      </c>
    </row>
    <row r="40" spans="3:7" x14ac:dyDescent="0.35">
      <c r="C40" t="s">
        <v>1105</v>
      </c>
      <c r="D40">
        <v>6</v>
      </c>
      <c r="E40">
        <v>26</v>
      </c>
      <c r="F40" t="s">
        <v>1115</v>
      </c>
      <c r="G40" t="s">
        <v>1116</v>
      </c>
    </row>
    <row r="41" spans="3:7" x14ac:dyDescent="0.35">
      <c r="C41" t="s">
        <v>1106</v>
      </c>
      <c r="D41">
        <v>6</v>
      </c>
      <c r="E41">
        <v>27</v>
      </c>
      <c r="F41" t="s">
        <v>1115</v>
      </c>
      <c r="G41" t="s">
        <v>1116</v>
      </c>
    </row>
    <row r="42" spans="3:7" x14ac:dyDescent="0.35">
      <c r="C42" t="s">
        <v>1107</v>
      </c>
      <c r="D42">
        <v>6</v>
      </c>
      <c r="E42">
        <v>28</v>
      </c>
      <c r="F42" t="s">
        <v>1115</v>
      </c>
      <c r="G42" t="s">
        <v>1116</v>
      </c>
    </row>
    <row r="43" spans="3:7" x14ac:dyDescent="0.35">
      <c r="C43" t="s">
        <v>1108</v>
      </c>
      <c r="D43">
        <v>6</v>
      </c>
      <c r="E43">
        <v>29</v>
      </c>
      <c r="F43" t="s">
        <v>1115</v>
      </c>
      <c r="G43" t="s">
        <v>1116</v>
      </c>
    </row>
    <row r="44" spans="3:7" x14ac:dyDescent="0.35">
      <c r="C44" t="s">
        <v>1109</v>
      </c>
      <c r="D44">
        <v>6</v>
      </c>
      <c r="E44" t="s">
        <v>1069</v>
      </c>
      <c r="F44" t="s">
        <v>1115</v>
      </c>
      <c r="G44" t="s">
        <v>1116</v>
      </c>
    </row>
    <row r="45" spans="3:7" x14ac:dyDescent="0.35">
      <c r="C45" t="s">
        <v>1040</v>
      </c>
      <c r="D45">
        <v>9</v>
      </c>
      <c r="E45">
        <v>1</v>
      </c>
      <c r="F45" t="s">
        <v>1115</v>
      </c>
      <c r="G45" t="s">
        <v>1020</v>
      </c>
    </row>
    <row r="46" spans="3:7" x14ac:dyDescent="0.35">
      <c r="C46" t="s">
        <v>1110</v>
      </c>
      <c r="D46">
        <v>7</v>
      </c>
      <c r="E46">
        <v>30</v>
      </c>
      <c r="F46" t="s">
        <v>1115</v>
      </c>
      <c r="G46" t="s">
        <v>1116</v>
      </c>
    </row>
    <row r="47" spans="3:7" x14ac:dyDescent="0.35">
      <c r="C47" t="s">
        <v>1111</v>
      </c>
      <c r="D47">
        <v>7</v>
      </c>
      <c r="E47">
        <v>31</v>
      </c>
      <c r="F47" t="s">
        <v>1115</v>
      </c>
      <c r="G47" t="s">
        <v>1116</v>
      </c>
    </row>
    <row r="48" spans="3:7" x14ac:dyDescent="0.35">
      <c r="C48" t="s">
        <v>1112</v>
      </c>
      <c r="D48">
        <v>7</v>
      </c>
      <c r="E48">
        <v>32</v>
      </c>
      <c r="F48" t="s">
        <v>1115</v>
      </c>
      <c r="G48" t="s">
        <v>1116</v>
      </c>
    </row>
    <row r="49" spans="3:7" x14ac:dyDescent="0.35">
      <c r="C49" t="s">
        <v>1113</v>
      </c>
      <c r="D49">
        <v>7</v>
      </c>
      <c r="E49" t="s">
        <v>1069</v>
      </c>
      <c r="F49" t="s">
        <v>1115</v>
      </c>
      <c r="G49" t="s">
        <v>1116</v>
      </c>
    </row>
    <row r="50" spans="3:7" x14ac:dyDescent="0.35">
      <c r="C50" t="s">
        <v>1041</v>
      </c>
      <c r="D50" s="9" t="s">
        <v>201</v>
      </c>
      <c r="E50">
        <v>1</v>
      </c>
      <c r="F50" t="s">
        <v>1115</v>
      </c>
      <c r="G50" t="s">
        <v>1020</v>
      </c>
    </row>
    <row r="52" spans="3:7" x14ac:dyDescent="0.35">
      <c r="C52" s="9" t="s">
        <v>1183</v>
      </c>
    </row>
    <row r="53" spans="3:7" x14ac:dyDescent="0.35">
      <c r="C53" t="s">
        <v>1026</v>
      </c>
      <c r="D53" t="s">
        <v>1115</v>
      </c>
      <c r="E53">
        <v>1</v>
      </c>
    </row>
    <row r="54" spans="3:7" x14ac:dyDescent="0.35">
      <c r="C54" t="s">
        <v>1027</v>
      </c>
      <c r="D54" t="s">
        <v>1115</v>
      </c>
      <c r="E54">
        <v>2</v>
      </c>
    </row>
    <row r="55" spans="3:7" x14ac:dyDescent="0.35">
      <c r="C55" t="s">
        <v>1028</v>
      </c>
      <c r="D55" t="s">
        <v>1115</v>
      </c>
      <c r="E55">
        <v>3</v>
      </c>
    </row>
    <row r="56" spans="3:7" x14ac:dyDescent="0.35">
      <c r="C56" t="s">
        <v>1029</v>
      </c>
      <c r="D56" t="s">
        <v>1115</v>
      </c>
      <c r="E56">
        <v>4</v>
      </c>
    </row>
    <row r="57" spans="3:7" x14ac:dyDescent="0.35">
      <c r="C57" t="s">
        <v>1039</v>
      </c>
      <c r="D57" t="s">
        <v>1115</v>
      </c>
      <c r="E57">
        <v>8</v>
      </c>
    </row>
    <row r="58" spans="3:7" x14ac:dyDescent="0.35">
      <c r="C58" t="s">
        <v>1030</v>
      </c>
      <c r="D58" t="s">
        <v>1115</v>
      </c>
      <c r="E58">
        <v>5</v>
      </c>
    </row>
    <row r="59" spans="3:7" x14ac:dyDescent="0.35">
      <c r="C59" t="s">
        <v>1031</v>
      </c>
      <c r="D59" t="s">
        <v>1115</v>
      </c>
      <c r="E59">
        <v>6</v>
      </c>
    </row>
    <row r="60" spans="3:7" x14ac:dyDescent="0.35">
      <c r="C60" t="s">
        <v>1040</v>
      </c>
      <c r="D60" t="s">
        <v>1115</v>
      </c>
      <c r="E60">
        <v>9</v>
      </c>
    </row>
    <row r="61" spans="3:7" x14ac:dyDescent="0.35">
      <c r="C61" t="s">
        <v>1032</v>
      </c>
      <c r="D61" t="s">
        <v>1115</v>
      </c>
      <c r="E61">
        <v>7</v>
      </c>
    </row>
    <row r="62" spans="3:7" x14ac:dyDescent="0.35">
      <c r="C62" t="s">
        <v>1041</v>
      </c>
      <c r="D62" t="s">
        <v>1115</v>
      </c>
      <c r="E62" t="s">
        <v>201</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F7867-D731-482A-82A6-B072627DA522}">
  <dimension ref="A1:U57"/>
  <sheetViews>
    <sheetView zoomScale="50" zoomScaleNormal="50" workbookViewId="0">
      <selection activeCell="E38" sqref="E38"/>
    </sheetView>
  </sheetViews>
  <sheetFormatPr defaultColWidth="8.7265625" defaultRowHeight="14.5" x14ac:dyDescent="0.35"/>
  <cols>
    <col min="4" max="4" width="11" bestFit="1" customWidth="1"/>
    <col min="5" max="5" width="29.81640625" bestFit="1" customWidth="1"/>
    <col min="6" max="6" width="29.81640625" customWidth="1"/>
    <col min="7" max="7" width="26.453125" bestFit="1" customWidth="1"/>
    <col min="8" max="8" width="29.81640625" bestFit="1" customWidth="1"/>
  </cols>
  <sheetData>
    <row r="1" spans="1:17" x14ac:dyDescent="0.35">
      <c r="A1" s="9"/>
    </row>
    <row r="2" spans="1:17" x14ac:dyDescent="0.35">
      <c r="K2" t="s">
        <v>1204</v>
      </c>
      <c r="P2" s="9" t="s">
        <v>1635</v>
      </c>
    </row>
    <row r="3" spans="1:17" x14ac:dyDescent="0.35">
      <c r="B3">
        <v>6</v>
      </c>
      <c r="C3" t="str">
        <f ca="1">OFFSET(B3,B3,1)</f>
        <v>Data!$AA:$AA</v>
      </c>
      <c r="E3" t="s">
        <v>1170</v>
      </c>
      <c r="F3" t="s">
        <v>1169</v>
      </c>
      <c r="G3" t="s">
        <v>988</v>
      </c>
      <c r="H3" t="s">
        <v>1004</v>
      </c>
      <c r="K3" t="str">
        <f ca="1">_xlfn.CONCAT(OFFSET(B3,B3,0)," Scores")</f>
        <v>Reversibility Scores</v>
      </c>
      <c r="P3" t="b">
        <v>1</v>
      </c>
    </row>
    <row r="4" spans="1:17" x14ac:dyDescent="0.35">
      <c r="B4" t="s">
        <v>940</v>
      </c>
      <c r="C4" t="s">
        <v>1144</v>
      </c>
      <c r="E4" t="s">
        <v>1171</v>
      </c>
      <c r="F4" t="s">
        <v>1171</v>
      </c>
      <c r="G4" t="s">
        <v>1173</v>
      </c>
      <c r="H4" t="s">
        <v>1171</v>
      </c>
    </row>
    <row r="5" spans="1:17" x14ac:dyDescent="0.35">
      <c r="B5" t="s">
        <v>941</v>
      </c>
      <c r="C5" t="s">
        <v>1145</v>
      </c>
      <c r="E5" t="s">
        <v>1174</v>
      </c>
      <c r="F5" t="s">
        <v>1174</v>
      </c>
      <c r="G5" t="s">
        <v>1174</v>
      </c>
      <c r="H5" t="s">
        <v>1174</v>
      </c>
    </row>
    <row r="6" spans="1:17" x14ac:dyDescent="0.35">
      <c r="B6" t="s">
        <v>1153</v>
      </c>
      <c r="C6" t="s">
        <v>1146</v>
      </c>
      <c r="E6" t="s">
        <v>1174</v>
      </c>
      <c r="F6" t="s">
        <v>1174</v>
      </c>
      <c r="G6" t="s">
        <v>1174</v>
      </c>
      <c r="H6" t="s">
        <v>1174</v>
      </c>
    </row>
    <row r="7" spans="1:17" x14ac:dyDescent="0.35">
      <c r="B7" t="s">
        <v>1211</v>
      </c>
      <c r="C7" t="s">
        <v>1147</v>
      </c>
      <c r="E7" t="s">
        <v>1174</v>
      </c>
      <c r="F7" t="s">
        <v>1174</v>
      </c>
      <c r="G7" t="s">
        <v>1174</v>
      </c>
      <c r="H7" t="s">
        <v>1174</v>
      </c>
      <c r="K7" t="s">
        <v>1200</v>
      </c>
    </row>
    <row r="8" spans="1:17" x14ac:dyDescent="0.35">
      <c r="B8" t="s">
        <v>1154</v>
      </c>
      <c r="C8" t="s">
        <v>1148</v>
      </c>
      <c r="E8" t="s">
        <v>1172</v>
      </c>
      <c r="F8" t="s">
        <v>1173</v>
      </c>
      <c r="G8" t="s">
        <v>1172</v>
      </c>
      <c r="H8" t="s">
        <v>1171</v>
      </c>
      <c r="K8" t="b">
        <v>1</v>
      </c>
    </row>
    <row r="9" spans="1:17" x14ac:dyDescent="0.35">
      <c r="B9" t="s">
        <v>945</v>
      </c>
      <c r="C9" t="s">
        <v>1149</v>
      </c>
      <c r="E9" t="s">
        <v>1174</v>
      </c>
      <c r="F9" t="s">
        <v>1174</v>
      </c>
      <c r="G9" t="s">
        <v>1173</v>
      </c>
      <c r="H9" t="s">
        <v>1171</v>
      </c>
    </row>
    <row r="10" spans="1:17" x14ac:dyDescent="0.35">
      <c r="B10" t="s">
        <v>946</v>
      </c>
      <c r="C10" t="s">
        <v>1150</v>
      </c>
      <c r="E10" t="s">
        <v>1171</v>
      </c>
      <c r="F10" t="s">
        <v>1171</v>
      </c>
      <c r="G10" t="s">
        <v>1173</v>
      </c>
      <c r="H10" t="s">
        <v>1171</v>
      </c>
    </row>
    <row r="11" spans="1:17" x14ac:dyDescent="0.35">
      <c r="B11" t="s">
        <v>1155</v>
      </c>
      <c r="C11" t="s">
        <v>1151</v>
      </c>
      <c r="E11" t="s">
        <v>1172</v>
      </c>
      <c r="F11" t="s">
        <v>1174</v>
      </c>
      <c r="G11" t="s">
        <v>1174</v>
      </c>
      <c r="H11" t="s">
        <v>1174</v>
      </c>
    </row>
    <row r="12" spans="1:17" x14ac:dyDescent="0.35">
      <c r="B12" t="s">
        <v>1156</v>
      </c>
      <c r="C12" t="s">
        <v>1152</v>
      </c>
      <c r="E12" t="s">
        <v>1174</v>
      </c>
      <c r="F12" t="s">
        <v>1173</v>
      </c>
      <c r="G12" t="s">
        <v>1174</v>
      </c>
      <c r="H12" t="s">
        <v>1171</v>
      </c>
    </row>
    <row r="13" spans="1:17" x14ac:dyDescent="0.35">
      <c r="D13" t="s">
        <v>1205</v>
      </c>
      <c r="E13" t="str">
        <f ca="1">IF($K$8,OFFSET($B$48,$B$3,COLUMN(E13)-4),OFFSET($B3,$B3,COLUMN(E13)-2))</f>
        <v>Significant at the 1% level</v>
      </c>
      <c r="F13" t="str">
        <f ca="1">IF($K$8,OFFSET($B$48,$B$3,COLUMN(F13)-4),OFFSET($B3,$B3,COLUMN(F13)-2))</f>
        <v>Significant at the 1% level</v>
      </c>
      <c r="G13" t="str">
        <f ca="1">IF($K$8,OFFSET($B$48,$B$3,COLUMN(G13)-4),OFFSET($B3,$B3,COLUMN(G13)-2))</f>
        <v>Significant at the 1% level</v>
      </c>
      <c r="H13" t="str">
        <f ca="1">IF($K$8,OFFSET($B$48,$B$3,COLUMN(H13)-4),OFFSET($B3,$B3,COLUMN(H13)-2))</f>
        <v>Statistically insignificant difference</v>
      </c>
    </row>
    <row r="14" spans="1:17" x14ac:dyDescent="0.35">
      <c r="D14" t="s">
        <v>1206</v>
      </c>
    </row>
    <row r="16" spans="1:17" x14ac:dyDescent="0.35">
      <c r="H16" s="9" t="s">
        <v>1157</v>
      </c>
      <c r="I16" t="s">
        <v>940</v>
      </c>
      <c r="J16" t="s">
        <v>941</v>
      </c>
      <c r="K16" t="s">
        <v>1209</v>
      </c>
      <c r="L16" t="s">
        <v>1210</v>
      </c>
      <c r="M16" t="s">
        <v>1154</v>
      </c>
      <c r="N16" t="s">
        <v>945</v>
      </c>
      <c r="O16" t="s">
        <v>946</v>
      </c>
      <c r="P16" t="s">
        <v>1208</v>
      </c>
      <c r="Q16" t="s">
        <v>1156</v>
      </c>
    </row>
    <row r="17" spans="5:21" x14ac:dyDescent="0.35">
      <c r="H17" t="str">
        <f ca="1">C3</f>
        <v>Data!$AA:$AA</v>
      </c>
      <c r="I17" t="s">
        <v>1144</v>
      </c>
      <c r="J17" t="s">
        <v>1145</v>
      </c>
      <c r="K17" t="s">
        <v>1146</v>
      </c>
      <c r="L17" t="s">
        <v>1147</v>
      </c>
      <c r="M17" t="s">
        <v>1148</v>
      </c>
      <c r="N17" t="s">
        <v>1149</v>
      </c>
      <c r="O17" t="s">
        <v>1150</v>
      </c>
      <c r="P17" t="s">
        <v>1151</v>
      </c>
      <c r="Q17" t="s">
        <v>1152</v>
      </c>
    </row>
    <row r="18" spans="5:21" x14ac:dyDescent="0.35">
      <c r="F18" s="9" t="s">
        <v>1021</v>
      </c>
      <c r="G18" s="9" t="s">
        <v>1117</v>
      </c>
      <c r="H18">
        <f ca="1">AVERAGEIFS(INDIRECT(H$17),INDIRECT(H$17),"&gt;=0",INDIRECT($F18),1,IF($K$8,Data!$J:$J,Data!#REF!),IF($K$8,"&lt;&gt;5",1))</f>
        <v>0.72616984402079721</v>
      </c>
      <c r="I18" t="e">
        <f ca="1">AVERAGEIFS(INDIRECT(I$17),INDIRECT(I$17),"&gt;=0",INDIRECT($F18),1,IF($K$8,Data!$J:$J,Data!#REF!),IF($K$8,"&lt;&gt;5",1))</f>
        <v>#DIV/0!</v>
      </c>
      <c r="J18" t="e">
        <f ca="1">AVERAGEIFS(INDIRECT(J$17),INDIRECT(J$17),"&gt;=0",INDIRECT($F18),1,IF($K$8,Data!$J:$J,Data!#REF!),IF($K$8,"&lt;&gt;5",1))</f>
        <v>#DIV/0!</v>
      </c>
      <c r="K18" t="e">
        <f ca="1">AVERAGEIFS(INDIRECT(K$17),INDIRECT(K$17),"&gt;=0",INDIRECT($F18),1,IF($K$8,Data!$J:$J,Data!#REF!),IF($K$8,"&lt;&gt;5",1))</f>
        <v>#DIV/0!</v>
      </c>
      <c r="L18" t="e">
        <f ca="1">AVERAGEIFS(INDIRECT(L$17),INDIRECT(L$17),"&gt;=0",INDIRECT($F18),1,IF($K$8,Data!$J:$J,Data!#REF!),IF($K$8,"&lt;&gt;5",1))</f>
        <v>#DIV/0!</v>
      </c>
      <c r="M18">
        <f ca="1">AVERAGEIFS(INDIRECT(M$17),INDIRECT(M$17),"&gt;=0",INDIRECT($F18),1,IF($K$8,Data!$J:$J,Data!#REF!),IF($K$8,"&lt;&gt;5",1))</f>
        <v>0.45862068965517239</v>
      </c>
      <c r="N18">
        <f ca="1">AVERAGEIFS(INDIRECT(N$17),INDIRECT(N$17),"&gt;=0",INDIRECT($F18),1,IF($K$8,Data!$J:$J,Data!#REF!),IF($K$8,"&lt;&gt;5",1))</f>
        <v>0.72616984402079721</v>
      </c>
      <c r="O18">
        <f ca="1">AVERAGEIFS(INDIRECT(O$17),INDIRECT(O$17),"&gt;=0",INDIRECT($F18),1,IF($K$8,Data!$J:$J,Data!#REF!),IF($K$8,"&lt;&gt;5",1))</f>
        <v>0.98788927335640142</v>
      </c>
      <c r="P18">
        <f ca="1">AVERAGEIFS(INDIRECT(P$17),INDIRECT(P$17),"&gt;=0",INDIRECT($F18),1,IF($K$8,Data!$J:$J,Data!#REF!),IF($K$8,"&lt;&gt;5",1))</f>
        <v>0.65438596491228074</v>
      </c>
      <c r="Q18">
        <f ca="1">AVERAGEIFS(INDIRECT(Q$17),INDIRECT(Q$17),"&gt;=0",INDIRECT($F18),1,IF($K$8,Data!$J:$J,Data!#REF!),IF($K$8,"&lt;&gt;5",1))</f>
        <v>0.43369175627240142</v>
      </c>
    </row>
    <row r="19" spans="5:21" x14ac:dyDescent="0.35">
      <c r="F19" s="9" t="s">
        <v>1022</v>
      </c>
      <c r="G19" s="9" t="s">
        <v>998</v>
      </c>
      <c r="H19">
        <f ca="1">AVERAGEIFS(INDIRECT(H$17),INDIRECT(H$17),"&gt;=0",INDIRECT($F19),1,IF($K$8,Data!$J:$J,Data!#REF!),IF($K$8,"&lt;&gt;5",1))</f>
        <v>0.61029411764705888</v>
      </c>
      <c r="I19" t="e">
        <f ca="1">AVERAGEIFS(INDIRECT(I$17),INDIRECT(I$17),"&gt;=0",INDIRECT($F19),1,IF($K$8,Data!$J:$J,Data!#REF!),IF($K$8,"&lt;&gt;5",1))</f>
        <v>#DIV/0!</v>
      </c>
      <c r="J19" t="e">
        <f ca="1">AVERAGEIFS(INDIRECT(J$17),INDIRECT(J$17),"&gt;=0",INDIRECT($F19),1,IF($K$8,Data!$J:$J,Data!#REF!),IF($K$8,"&lt;&gt;5",1))</f>
        <v>#DIV/0!</v>
      </c>
      <c r="K19" t="e">
        <f ca="1">AVERAGEIFS(INDIRECT(K$17),INDIRECT(K$17),"&gt;=0",INDIRECT($F19),1,IF($K$8,Data!$J:$J,Data!#REF!),IF($K$8,"&lt;&gt;5",1))</f>
        <v>#DIV/0!</v>
      </c>
      <c r="L19" t="e">
        <f ca="1">AVERAGEIFS(INDIRECT(L$17),INDIRECT(L$17),"&gt;=0",INDIRECT($F19),1,IF($K$8,Data!$J:$J,Data!#REF!),IF($K$8,"&lt;&gt;5",1))</f>
        <v>#DIV/0!</v>
      </c>
      <c r="M19">
        <f ca="1">AVERAGEIFS(INDIRECT(M$17),INDIRECT(M$17),"&gt;=0",INDIRECT($F19),1,IF($K$8,Data!$J:$J,Data!#REF!),IF($K$8,"&lt;&gt;5",1))</f>
        <v>0.47560975609756095</v>
      </c>
      <c r="N19">
        <f ca="1">AVERAGEIFS(INDIRECT(N$17),INDIRECT(N$17),"&gt;=0",INDIRECT($F19),1,IF($K$8,Data!$J:$J,Data!#REF!),IF($K$8,"&lt;&gt;5",1))</f>
        <v>0.61029411764705888</v>
      </c>
      <c r="O19">
        <f ca="1">AVERAGEIFS(INDIRECT(O$17),INDIRECT(O$17),"&gt;=0",INDIRECT($F19),1,IF($K$8,Data!$J:$J,Data!#REF!),IF($K$8,"&lt;&gt;5",1))</f>
        <v>0.98783454987834551</v>
      </c>
      <c r="P19">
        <f ca="1">AVERAGEIFS(INDIRECT(P$17),INDIRECT(P$17),"&gt;=0",INDIRECT($F19),1,IF($K$8,Data!$J:$J,Data!#REF!),IF($K$8,"&lt;&gt;5",1))</f>
        <v>0.72481572481572487</v>
      </c>
      <c r="Q19">
        <f ca="1">AVERAGEIFS(INDIRECT(Q$17),INDIRECT(Q$17),"&gt;=0",INDIRECT($F19),1,IF($K$8,Data!$J:$J,Data!#REF!),IF($K$8,"&lt;&gt;5",1))</f>
        <v>0.51145038167938928</v>
      </c>
      <c r="U19" t="s">
        <v>1004</v>
      </c>
    </row>
    <row r="20" spans="5:21" x14ac:dyDescent="0.35">
      <c r="F20" s="9" t="s">
        <v>1023</v>
      </c>
      <c r="G20" s="9" t="s">
        <v>1118</v>
      </c>
      <c r="H20">
        <f ca="1">AVERAGEIFS(INDIRECT(H$17),INDIRECT(H$17),"&gt;=0",INDIRECT($F20),1,IF($K$8,Data!$J:$J,Data!#REF!),IF($K$8,"&lt;&gt;5",1))</f>
        <v>0.72818311874105868</v>
      </c>
      <c r="I20" t="e">
        <f ca="1">AVERAGEIFS(INDIRECT(I$17),INDIRECT(I$17),"&gt;=0",INDIRECT($F20),1,IF($K$8,Data!$J:$J,Data!#REF!),IF($K$8,"&lt;&gt;5",1))</f>
        <v>#DIV/0!</v>
      </c>
      <c r="J20" t="e">
        <f ca="1">AVERAGEIFS(INDIRECT(J$17),INDIRECT(J$17),"&gt;=0",INDIRECT($F20),1,IF($K$8,Data!$J:$J,Data!#REF!),IF($K$8,"&lt;&gt;5",1))</f>
        <v>#DIV/0!</v>
      </c>
      <c r="K20" t="e">
        <f ca="1">AVERAGEIFS(INDIRECT(K$17),INDIRECT(K$17),"&gt;=0",INDIRECT($F20),1,IF($K$8,Data!$J:$J,Data!#REF!),IF($K$8,"&lt;&gt;5",1))</f>
        <v>#DIV/0!</v>
      </c>
      <c r="L20" t="e">
        <f ca="1">AVERAGEIFS(INDIRECT(L$17),INDIRECT(L$17),"&gt;=0",INDIRECT($F20),1,IF($K$8,Data!$J:$J,Data!#REF!),IF($K$8,"&lt;&gt;5",1))</f>
        <v>#DIV/0!</v>
      </c>
      <c r="M20">
        <f ca="1">AVERAGEIFS(INDIRECT(M$17),INDIRECT(M$17),"&gt;=0",INDIRECT($F20),1,IF($K$8,Data!$J:$J,Data!#REF!),IF($K$8,"&lt;&gt;5",1))</f>
        <v>0.45892351274787535</v>
      </c>
      <c r="N20">
        <f ca="1">AVERAGEIFS(INDIRECT(N$17),INDIRECT(N$17),"&gt;=0",INDIRECT($F20),1,IF($K$8,Data!$J:$J,Data!#REF!),IF($K$8,"&lt;&gt;5",1))</f>
        <v>0.72818311874105868</v>
      </c>
      <c r="O20">
        <f ca="1">AVERAGEIFS(INDIRECT(O$17),INDIRECT(O$17),"&gt;=0",INDIRECT($F20),1,IF($K$8,Data!$J:$J,Data!#REF!),IF($K$8,"&lt;&gt;5",1))</f>
        <v>0.98863636363636365</v>
      </c>
      <c r="P20">
        <f ca="1">AVERAGEIFS(INDIRECT(P$17),INDIRECT(P$17),"&gt;=0",INDIRECT($F20),1,IF($K$8,Data!$J:$J,Data!#REF!),IF($K$8,"&lt;&gt;5",1))</f>
        <v>0.61671469740634011</v>
      </c>
      <c r="Q20">
        <f ca="1">AVERAGEIFS(INDIRECT(Q$17),INDIRECT(Q$17),"&gt;=0",INDIRECT($F20),1,IF($K$8,Data!$J:$J,Data!#REF!),IF($K$8,"&lt;&gt;5",1))</f>
        <v>0.40441176470588236</v>
      </c>
      <c r="T20" t="s">
        <v>940</v>
      </c>
      <c r="U20" t="s">
        <v>1171</v>
      </c>
    </row>
    <row r="21" spans="5:21" x14ac:dyDescent="0.35">
      <c r="G21" s="9" t="str">
        <f>IF('Sample Select backend'!$L$2&gt;1,'Sample Select backend'!$M$2,"Selected Sample")</f>
        <v>Selected Sample</v>
      </c>
      <c r="H21" t="e">
        <f ca="1">AVERAGEIFS(INDIRECT($H$17),INDIRECT($H$17),"&gt;=0",INDIRECT('Sample Select backend'!$C$3),'Sample Select backend'!$C$2,INDIRECT('Sample Select backend'!$F$3),'Sample Select backend'!$F$2,INDIRECT('Sample Select backend'!$I$2),1,INDIRECT('Sample Select backend'!$M$3),'Sample Select backend'!$M$2,INDIRECT('Sample Select backend'!$I$9),1,IF($K$8,Data!$J:$J,Data!#REF!),IF($K$8,"&lt;&gt;5",1))</f>
        <v>#DIV/0!</v>
      </c>
      <c r="T21" t="s">
        <v>941</v>
      </c>
      <c r="U21" t="s">
        <v>1171</v>
      </c>
    </row>
    <row r="22" spans="5:21" x14ac:dyDescent="0.35">
      <c r="T22" t="s">
        <v>1153</v>
      </c>
      <c r="U22" t="s">
        <v>1172</v>
      </c>
    </row>
    <row r="23" spans="5:21" x14ac:dyDescent="0.35">
      <c r="T23" t="s">
        <v>943</v>
      </c>
      <c r="U23" t="s">
        <v>1171</v>
      </c>
    </row>
    <row r="24" spans="5:21" x14ac:dyDescent="0.35">
      <c r="E24" t="s">
        <v>1175</v>
      </c>
      <c r="F24" s="9" t="s">
        <v>1122</v>
      </c>
      <c r="G24" s="9" t="s">
        <v>1001</v>
      </c>
      <c r="H24" t="e">
        <f ca="1">AVERAGEIFS(INDIRECT(H$17),INDIRECT(H$17),"&gt;=0",INDIRECT($F24),$G24,IF($K$8,Data!$J:$J,Data!#REF!),IF($K$8,"&lt;&gt;5",1))</f>
        <v>#DIV/0!</v>
      </c>
      <c r="I24" t="e">
        <f ca="1">AVERAGEIFS(INDIRECT(I$17),INDIRECT(I$17),"&gt;=0",INDIRECT($F24),$G24,IF($K$8,Data!$J:$J,Data!#REF!),IF($K$8,"&lt;&gt;5",1))</f>
        <v>#DIV/0!</v>
      </c>
      <c r="J24" t="e">
        <f ca="1">AVERAGEIFS(INDIRECT(J$17),INDIRECT(J$17),"&gt;=0",INDIRECT($F24),$G24,IF($K$8,Data!$J:$J,Data!#REF!),IF($K$8,"&lt;&gt;5",1))</f>
        <v>#DIV/0!</v>
      </c>
      <c r="K24" t="e">
        <f ca="1">AVERAGEIFS(INDIRECT(K$17),INDIRECT(K$17),"&gt;=0",INDIRECT($F24),$G24,IF($K$8,Data!$J:$J,Data!#REF!),IF($K$8,"&lt;&gt;5",1))</f>
        <v>#DIV/0!</v>
      </c>
      <c r="L24" t="e">
        <f ca="1">AVERAGEIFS(INDIRECT(L$17),INDIRECT(L$17),"&gt;=0",INDIRECT($F24),$G24,IF($K$8,Data!$J:$J,Data!#REF!),IF($K$8,"&lt;&gt;5",1))</f>
        <v>#DIV/0!</v>
      </c>
      <c r="M24" t="e">
        <f ca="1">AVERAGEIFS(INDIRECT(M$17),INDIRECT(M$17),"&gt;=0",INDIRECT($F24),$G24,IF($K$8,Data!$J:$J,Data!#REF!),IF($K$8,"&lt;&gt;5",1))</f>
        <v>#DIV/0!</v>
      </c>
      <c r="N24" t="e">
        <f ca="1">AVERAGEIFS(INDIRECT(N$17),INDIRECT(N$17),"&gt;=0",INDIRECT($F24),$G24,IF($K$8,Data!$J:$J,Data!#REF!),IF($K$8,"&lt;&gt;5",1))</f>
        <v>#DIV/0!</v>
      </c>
      <c r="O24" t="e">
        <f ca="1">AVERAGEIFS(INDIRECT(O$17),INDIRECT(O$17),"&gt;=0",INDIRECT($F24),$G24,IF($K$8,Data!$J:$J,Data!#REF!),IF($K$8,"&lt;&gt;5",1))</f>
        <v>#DIV/0!</v>
      </c>
      <c r="P24" t="e">
        <f ca="1">AVERAGEIFS(INDIRECT(P$17),INDIRECT(P$17),"&gt;=0",INDIRECT($F24),$G24,IF($K$8,Data!$J:$J,Data!#REF!),IF($K$8,"&lt;&gt;5",1))</f>
        <v>#DIV/0!</v>
      </c>
      <c r="Q24" t="e">
        <f ca="1">AVERAGEIFS(INDIRECT(Q$17),INDIRECT(Q$17),"&gt;=0",INDIRECT($F24),$G24,IF($K$8,Data!$J:$J,Data!#REF!),IF($K$8,"&lt;&gt;5",1))</f>
        <v>#DIV/0!</v>
      </c>
      <c r="T24" t="s">
        <v>1154</v>
      </c>
      <c r="U24" t="s">
        <v>1171</v>
      </c>
    </row>
    <row r="25" spans="5:21" x14ac:dyDescent="0.35">
      <c r="E25" t="s">
        <v>1176</v>
      </c>
      <c r="F25" s="9" t="s">
        <v>1122</v>
      </c>
      <c r="G25" s="9" t="s">
        <v>1002</v>
      </c>
      <c r="H25" t="e">
        <f ca="1">AVERAGEIFS(INDIRECT(H$17),INDIRECT(H$17),"&gt;=0",INDIRECT($F25),$G25,IF($K$8,Data!$J:$J,Data!#REF!),IF($K$8,"&lt;&gt;5",1))</f>
        <v>#DIV/0!</v>
      </c>
      <c r="I25" t="e">
        <f ca="1">AVERAGEIFS(INDIRECT(I$17),INDIRECT(I$17),"&gt;=0",INDIRECT($F25),$G25,IF($K$8,Data!$J:$J,Data!#REF!),IF($K$8,"&lt;&gt;5",1))</f>
        <v>#DIV/0!</v>
      </c>
      <c r="J25" t="e">
        <f ca="1">AVERAGEIFS(INDIRECT(J$17),INDIRECT(J$17),"&gt;=0",INDIRECT($F25),$G25,IF($K$8,Data!$J:$J,Data!#REF!),IF($K$8,"&lt;&gt;5",1))</f>
        <v>#DIV/0!</v>
      </c>
      <c r="K25" t="e">
        <f ca="1">AVERAGEIFS(INDIRECT(K$17),INDIRECT(K$17),"&gt;=0",INDIRECT($F25),$G25,IF($K$8,Data!$J:$J,Data!#REF!),IF($K$8,"&lt;&gt;5",1))</f>
        <v>#DIV/0!</v>
      </c>
      <c r="L25" t="e">
        <f ca="1">AVERAGEIFS(INDIRECT(L$17),INDIRECT(L$17),"&gt;=0",INDIRECT($F25),$G25,IF($K$8,Data!$J:$J,Data!#REF!),IF($K$8,"&lt;&gt;5",1))</f>
        <v>#DIV/0!</v>
      </c>
      <c r="M25" t="e">
        <f ca="1">AVERAGEIFS(INDIRECT(M$17),INDIRECT(M$17),"&gt;=0",INDIRECT($F25),$G25,IF($K$8,Data!$J:$J,Data!#REF!),IF($K$8,"&lt;&gt;5",1))</f>
        <v>#DIV/0!</v>
      </c>
      <c r="N25" t="e">
        <f ca="1">AVERAGEIFS(INDIRECT(N$17),INDIRECT(N$17),"&gt;=0",INDIRECT($F25),$G25,IF($K$8,Data!$J:$J,Data!#REF!),IF($K$8,"&lt;&gt;5",1))</f>
        <v>#DIV/0!</v>
      </c>
      <c r="O25" t="e">
        <f ca="1">AVERAGEIFS(INDIRECT(O$17),INDIRECT(O$17),"&gt;=0",INDIRECT($F25),$G25,IF($K$8,Data!$J:$J,Data!#REF!),IF($K$8,"&lt;&gt;5",1))</f>
        <v>#DIV/0!</v>
      </c>
      <c r="P25" t="e">
        <f ca="1">AVERAGEIFS(INDIRECT(P$17),INDIRECT(P$17),"&gt;=0",INDIRECT($F25),$G25,IF($K$8,Data!$J:$J,Data!#REF!),IF($K$8,"&lt;&gt;5",1))</f>
        <v>#DIV/0!</v>
      </c>
      <c r="Q25" t="e">
        <f ca="1">AVERAGEIFS(INDIRECT(Q$17),INDIRECT(Q$17),"&gt;=0",INDIRECT($F25),$G25,IF($K$8,Data!$J:$J,Data!#REF!),IF($K$8,"&lt;&gt;5",1))</f>
        <v>#DIV/0!</v>
      </c>
      <c r="T25" t="s">
        <v>945</v>
      </c>
      <c r="U25" t="s">
        <v>1171</v>
      </c>
    </row>
    <row r="26" spans="5:21" x14ac:dyDescent="0.35">
      <c r="E26" t="s">
        <v>1177</v>
      </c>
      <c r="F26" s="9" t="s">
        <v>1122</v>
      </c>
      <c r="G26" s="9" t="s">
        <v>1003</v>
      </c>
      <c r="H26" t="e">
        <f ca="1">AVERAGEIFS(INDIRECT(H$17),INDIRECT(H$17),"&gt;=0",INDIRECT($F26),$G26,IF($K$8,Data!$J:$J,Data!#REF!),IF($K$8,"&lt;&gt;5",1))</f>
        <v>#DIV/0!</v>
      </c>
      <c r="I26" t="e">
        <f ca="1">AVERAGEIFS(INDIRECT(I$17),INDIRECT(I$17),"&gt;=0",INDIRECT($F26),$G26,IF($K$8,Data!$J:$J,Data!#REF!),IF($K$8,"&lt;&gt;5",1))</f>
        <v>#DIV/0!</v>
      </c>
      <c r="J26" t="e">
        <f ca="1">AVERAGEIFS(INDIRECT(J$17),INDIRECT(J$17),"&gt;=0",INDIRECT($F26),$G26,IF($K$8,Data!$J:$J,Data!#REF!),IF($K$8,"&lt;&gt;5",1))</f>
        <v>#DIV/0!</v>
      </c>
      <c r="K26" t="e">
        <f ca="1">AVERAGEIFS(INDIRECT(K$17),INDIRECT(K$17),"&gt;=0",INDIRECT($F26),$G26,IF($K$8,Data!$J:$J,Data!#REF!),IF($K$8,"&lt;&gt;5",1))</f>
        <v>#DIV/0!</v>
      </c>
      <c r="L26" t="e">
        <f ca="1">AVERAGEIFS(INDIRECT(L$17),INDIRECT(L$17),"&gt;=0",INDIRECT($F26),$G26,IF($K$8,Data!$J:$J,Data!#REF!),IF($K$8,"&lt;&gt;5",1))</f>
        <v>#DIV/0!</v>
      </c>
      <c r="M26" t="e">
        <f ca="1">AVERAGEIFS(INDIRECT(M$17),INDIRECT(M$17),"&gt;=0",INDIRECT($F26),$G26,IF($K$8,Data!$J:$J,Data!#REF!),IF($K$8,"&lt;&gt;5",1))</f>
        <v>#DIV/0!</v>
      </c>
      <c r="N26" t="e">
        <f ca="1">AVERAGEIFS(INDIRECT(N$17),INDIRECT(N$17),"&gt;=0",INDIRECT($F26),$G26,IF($K$8,Data!$J:$J,Data!#REF!),IF($K$8,"&lt;&gt;5",1))</f>
        <v>#DIV/0!</v>
      </c>
      <c r="O26" t="e">
        <f ca="1">AVERAGEIFS(INDIRECT(O$17),INDIRECT(O$17),"&gt;=0",INDIRECT($F26),$G26,IF($K$8,Data!$J:$J,Data!#REF!),IF($K$8,"&lt;&gt;5",1))</f>
        <v>#DIV/0!</v>
      </c>
      <c r="P26" t="e">
        <f ca="1">AVERAGEIFS(INDIRECT(P$17),INDIRECT(P$17),"&gt;=0",INDIRECT($F26),$G26,IF($K$8,Data!$J:$J,Data!#REF!),IF($K$8,"&lt;&gt;5",1))</f>
        <v>#DIV/0!</v>
      </c>
      <c r="Q26" t="e">
        <f ca="1">AVERAGEIFS(INDIRECT(Q$17),INDIRECT(Q$17),"&gt;=0",INDIRECT($F26),$G26,IF($K$8,Data!$J:$J,Data!#REF!),IF($K$8,"&lt;&gt;5",1))</f>
        <v>#DIV/0!</v>
      </c>
      <c r="T26" t="s">
        <v>946</v>
      </c>
      <c r="U26" t="s">
        <v>1171</v>
      </c>
    </row>
    <row r="27" spans="5:21" x14ac:dyDescent="0.35">
      <c r="E27" t="s">
        <v>1178</v>
      </c>
      <c r="F27" s="9" t="s">
        <v>1122</v>
      </c>
      <c r="G27" s="9" t="s">
        <v>1000</v>
      </c>
      <c r="H27" t="e">
        <f ca="1">AVERAGEIFS(INDIRECT(H$17),INDIRECT(H$17),"&gt;=0",INDIRECT($F27),$G27,IF($K$8,Data!$J:$J,Data!#REF!),IF($K$8,"&lt;&gt;5",1))</f>
        <v>#DIV/0!</v>
      </c>
      <c r="I27" t="e">
        <f ca="1">AVERAGEIFS(INDIRECT(I$17),INDIRECT(I$17),"&gt;=0",INDIRECT($F27),$G27,IF($K$8,Data!$J:$J,Data!#REF!),IF($K$8,"&lt;&gt;5",1))</f>
        <v>#DIV/0!</v>
      </c>
      <c r="J27" t="e">
        <f ca="1">AVERAGEIFS(INDIRECT(J$17),INDIRECT(J$17),"&gt;=0",INDIRECT($F27),$G27,IF($K$8,Data!$J:$J,Data!#REF!),IF($K$8,"&lt;&gt;5",1))</f>
        <v>#DIV/0!</v>
      </c>
      <c r="K27" t="e">
        <f ca="1">AVERAGEIFS(INDIRECT(K$17),INDIRECT(K$17),"&gt;=0",INDIRECT($F27),$G27,IF($K$8,Data!$J:$J,Data!#REF!),IF($K$8,"&lt;&gt;5",1))</f>
        <v>#DIV/0!</v>
      </c>
      <c r="L27" t="e">
        <f ca="1">AVERAGEIFS(INDIRECT(L$17),INDIRECT(L$17),"&gt;=0",INDIRECT($F27),$G27,IF($K$8,Data!$J:$J,Data!#REF!),IF($K$8,"&lt;&gt;5",1))</f>
        <v>#DIV/0!</v>
      </c>
      <c r="M27" t="e">
        <f ca="1">AVERAGEIFS(INDIRECT(M$17),INDIRECT(M$17),"&gt;=0",INDIRECT($F27),$G27,IF($K$8,Data!$J:$J,Data!#REF!),IF($K$8,"&lt;&gt;5",1))</f>
        <v>#DIV/0!</v>
      </c>
      <c r="N27" t="e">
        <f ca="1">AVERAGEIFS(INDIRECT(N$17),INDIRECT(N$17),"&gt;=0",INDIRECT($F27),$G27,IF($K$8,Data!$J:$J,Data!#REF!),IF($K$8,"&lt;&gt;5",1))</f>
        <v>#DIV/0!</v>
      </c>
      <c r="O27" t="e">
        <f ca="1">AVERAGEIFS(INDIRECT(O$17),INDIRECT(O$17),"&gt;=0",INDIRECT($F27),$G27,IF($K$8,Data!$J:$J,Data!#REF!),IF($K$8,"&lt;&gt;5",1))</f>
        <v>#DIV/0!</v>
      </c>
      <c r="P27" t="e">
        <f ca="1">AVERAGEIFS(INDIRECT(P$17),INDIRECT(P$17),"&gt;=0",INDIRECT($F27),$G27,IF($K$8,Data!$J:$J,Data!#REF!),IF($K$8,"&lt;&gt;5",1))</f>
        <v>#DIV/0!</v>
      </c>
      <c r="Q27" t="e">
        <f ca="1">AVERAGEIFS(INDIRECT(Q$17),INDIRECT(Q$17),"&gt;=0",INDIRECT($F27),$G27,IF($K$8,Data!$J:$J,Data!#REF!),IF($K$8,"&lt;&gt;5",1))</f>
        <v>#DIV/0!</v>
      </c>
      <c r="T27" t="s">
        <v>1155</v>
      </c>
      <c r="U27" t="s">
        <v>1174</v>
      </c>
    </row>
    <row r="28" spans="5:21" x14ac:dyDescent="0.35">
      <c r="E28" s="9" t="str">
        <f>IF('Sample Select backend'!$L$2&gt;1,'Sample Select backend'!$M$2,"Selected Sample")</f>
        <v>Selected Sample</v>
      </c>
      <c r="G28" s="9"/>
      <c r="H28" t="e">
        <f ca="1">H21</f>
        <v>#DIV/0!</v>
      </c>
      <c r="T28" t="s">
        <v>1156</v>
      </c>
      <c r="U28" t="s">
        <v>1171</v>
      </c>
    </row>
    <row r="30" spans="5:21" x14ac:dyDescent="0.35">
      <c r="E30" s="9" t="s">
        <v>1140</v>
      </c>
      <c r="F30" s="9" t="s">
        <v>1123</v>
      </c>
      <c r="G30" t="s">
        <v>992</v>
      </c>
      <c r="H30" t="e">
        <f ca="1">AVERAGEIFS(INDIRECT(H$17),INDIRECT(H$17),"&gt;=0",INDIRECT($F30),$G30,IF($K$8,Data!$J:$J,Data!#REF!),IF($K$8,"&lt;&gt;5",1))</f>
        <v>#DIV/0!</v>
      </c>
      <c r="I30" t="e">
        <f ca="1">AVERAGEIFS(INDIRECT(I$17),INDIRECT(I$17),"&gt;=0",INDIRECT($F30),$G30,IF($K$8,Data!$J:$J,Data!#REF!),IF($K$8,"&lt;&gt;5",1))</f>
        <v>#DIV/0!</v>
      </c>
      <c r="J30" t="e">
        <f ca="1">AVERAGEIFS(INDIRECT(J$17),INDIRECT(J$17),"&gt;=0",INDIRECT($F30),$G30,IF($K$8,Data!$J:$J,Data!#REF!),IF($K$8,"&lt;&gt;5",1))</f>
        <v>#DIV/0!</v>
      </c>
      <c r="K30" t="e">
        <f ca="1">AVERAGEIFS(INDIRECT(K$17),INDIRECT(K$17),"&gt;=0",INDIRECT($F30),$G30,IF($K$8,Data!$J:$J,Data!#REF!),IF($K$8,"&lt;&gt;5",1))</f>
        <v>#DIV/0!</v>
      </c>
      <c r="L30" t="e">
        <f ca="1">AVERAGEIFS(INDIRECT(L$17),INDIRECT(L$17),"&gt;=0",INDIRECT($F30),$G30,IF($K$8,Data!$J:$J,Data!#REF!),IF($K$8,"&lt;&gt;5",1))</f>
        <v>#DIV/0!</v>
      </c>
      <c r="M30" t="e">
        <f ca="1">AVERAGEIFS(INDIRECT(M$17),INDIRECT(M$17),"&gt;=0",INDIRECT($F30),$G30,IF($K$8,Data!$J:$J,Data!#REF!),IF($K$8,"&lt;&gt;5",1))</f>
        <v>#DIV/0!</v>
      </c>
      <c r="N30" t="e">
        <f ca="1">AVERAGEIFS(INDIRECT(N$17),INDIRECT(N$17),"&gt;=0",INDIRECT($F30),$G30,IF($K$8,Data!$J:$J,Data!#REF!),IF($K$8,"&lt;&gt;5",1))</f>
        <v>#DIV/0!</v>
      </c>
      <c r="O30" t="e">
        <f ca="1">AVERAGEIFS(INDIRECT(O$17),INDIRECT(O$17),"&gt;=0",INDIRECT($F30),$G30,IF($K$8,Data!$J:$J,Data!#REF!),IF($K$8,"&lt;&gt;5",1))</f>
        <v>#DIV/0!</v>
      </c>
      <c r="P30" t="e">
        <f ca="1">AVERAGEIFS(INDIRECT(P$17),INDIRECT(P$17),"&gt;=0",INDIRECT($F30),$G30,IF($K$8,Data!$J:$J,Data!#REF!),IF($K$8,"&lt;&gt;5",1))</f>
        <v>#DIV/0!</v>
      </c>
      <c r="Q30" t="e">
        <f ca="1">AVERAGEIFS(INDIRECT(Q$17),INDIRECT(Q$17),"&gt;=0",INDIRECT($F30),$G30,IF($K$8,Data!$J:$J,Data!#REF!),IF($K$8,"&lt;&gt;5",1))</f>
        <v>#DIV/0!</v>
      </c>
    </row>
    <row r="31" spans="5:21" x14ac:dyDescent="0.35">
      <c r="E31" s="9" t="s">
        <v>1139</v>
      </c>
      <c r="F31" s="9" t="s">
        <v>1123</v>
      </c>
      <c r="G31" t="s">
        <v>991</v>
      </c>
      <c r="H31" t="e">
        <f ca="1">AVERAGEIFS(INDIRECT(H$17),INDIRECT(H$17),"&gt;=0",INDIRECT($F31),$G31,IF($K$8,Data!$J:$J,Data!#REF!),IF($K$8,"&lt;&gt;5",1))</f>
        <v>#DIV/0!</v>
      </c>
      <c r="I31" t="e">
        <f ca="1">AVERAGEIFS(INDIRECT(I$17),INDIRECT(I$17),"&gt;=0",INDIRECT($F31),$G31,IF($K$8,Data!$J:$J,Data!#REF!),IF($K$8,"&lt;&gt;5",1))</f>
        <v>#DIV/0!</v>
      </c>
      <c r="J31" t="e">
        <f ca="1">AVERAGEIFS(INDIRECT(J$17),INDIRECT(J$17),"&gt;=0",INDIRECT($F31),$G31,IF($K$8,Data!$J:$J,Data!#REF!),IF($K$8,"&lt;&gt;5",1))</f>
        <v>#DIV/0!</v>
      </c>
      <c r="K31" t="e">
        <f ca="1">AVERAGEIFS(INDIRECT(K$17),INDIRECT(K$17),"&gt;=0",INDIRECT($F31),$G31,IF($K$8,Data!$J:$J,Data!#REF!),IF($K$8,"&lt;&gt;5",1))</f>
        <v>#DIV/0!</v>
      </c>
      <c r="L31" t="e">
        <f ca="1">AVERAGEIFS(INDIRECT(L$17),INDIRECT(L$17),"&gt;=0",INDIRECT($F31),$G31,IF($K$8,Data!$J:$J,Data!#REF!),IF($K$8,"&lt;&gt;5",1))</f>
        <v>#DIV/0!</v>
      </c>
      <c r="M31" t="e">
        <f ca="1">AVERAGEIFS(INDIRECT(M$17),INDIRECT(M$17),"&gt;=0",INDIRECT($F31),$G31,IF($K$8,Data!$J:$J,Data!#REF!),IF($K$8,"&lt;&gt;5",1))</f>
        <v>#DIV/0!</v>
      </c>
      <c r="N31" t="e">
        <f ca="1">AVERAGEIFS(INDIRECT(N$17),INDIRECT(N$17),"&gt;=0",INDIRECT($F31),$G31,IF($K$8,Data!$J:$J,Data!#REF!),IF($K$8,"&lt;&gt;5",1))</f>
        <v>#DIV/0!</v>
      </c>
      <c r="O31" t="e">
        <f ca="1">AVERAGEIFS(INDIRECT(O$17),INDIRECT(O$17),"&gt;=0",INDIRECT($F31),$G31,IF($K$8,Data!$J:$J,Data!#REF!),IF($K$8,"&lt;&gt;5",1))</f>
        <v>#DIV/0!</v>
      </c>
      <c r="P31" t="e">
        <f ca="1">AVERAGEIFS(INDIRECT(P$17),INDIRECT(P$17),"&gt;=0",INDIRECT($F31),$G31,IF($K$8,Data!$J:$J,Data!#REF!),IF($K$8,"&lt;&gt;5",1))</f>
        <v>#DIV/0!</v>
      </c>
      <c r="Q31" t="e">
        <f ca="1">AVERAGEIFS(INDIRECT(Q$17),INDIRECT(Q$17),"&gt;=0",INDIRECT($F31),$G31,IF($K$8,Data!$J:$J,Data!#REF!),IF($K$8,"&lt;&gt;5",1))</f>
        <v>#DIV/0!</v>
      </c>
    </row>
    <row r="32" spans="5:21" x14ac:dyDescent="0.35">
      <c r="E32" s="9" t="s">
        <v>1143</v>
      </c>
      <c r="F32" s="9" t="s">
        <v>1123</v>
      </c>
      <c r="G32" t="s">
        <v>995</v>
      </c>
      <c r="H32" t="e">
        <f ca="1">AVERAGEIFS(INDIRECT(H$17),INDIRECT(H$17),"&gt;=0",INDIRECT($F32),$G32,IF($K$8,Data!$J:$J,Data!#REF!),IF($K$8,"&lt;&gt;5",1))</f>
        <v>#DIV/0!</v>
      </c>
      <c r="I32" t="e">
        <f ca="1">AVERAGEIFS(INDIRECT(I$17),INDIRECT(I$17),"&gt;=0",INDIRECT($F32),$G32,IF($K$8,Data!$J:$J,Data!#REF!),IF($K$8,"&lt;&gt;5",1))</f>
        <v>#DIV/0!</v>
      </c>
      <c r="J32" t="e">
        <f ca="1">AVERAGEIFS(INDIRECT(J$17),INDIRECT(J$17),"&gt;=0",INDIRECT($F32),$G32,IF($K$8,Data!$J:$J,Data!#REF!),IF($K$8,"&lt;&gt;5",1))</f>
        <v>#DIV/0!</v>
      </c>
      <c r="K32" t="e">
        <f ca="1">AVERAGEIFS(INDIRECT(K$17),INDIRECT(K$17),"&gt;=0",INDIRECT($F32),$G32,IF($K$8,Data!$J:$J,Data!#REF!),IF($K$8,"&lt;&gt;5",1))</f>
        <v>#DIV/0!</v>
      </c>
      <c r="L32" t="e">
        <f ca="1">AVERAGEIFS(INDIRECT(L$17),INDIRECT(L$17),"&gt;=0",INDIRECT($F32),$G32,IF($K$8,Data!$J:$J,Data!#REF!),IF($K$8,"&lt;&gt;5",1))</f>
        <v>#DIV/0!</v>
      </c>
      <c r="M32" t="e">
        <f ca="1">AVERAGEIFS(INDIRECT(M$17),INDIRECT(M$17),"&gt;=0",INDIRECT($F32),$G32,IF($K$8,Data!$J:$J,Data!#REF!),IF($K$8,"&lt;&gt;5",1))</f>
        <v>#DIV/0!</v>
      </c>
      <c r="N32" t="e">
        <f ca="1">AVERAGEIFS(INDIRECT(N$17),INDIRECT(N$17),"&gt;=0",INDIRECT($F32),$G32,IF($K$8,Data!$J:$J,Data!#REF!),IF($K$8,"&lt;&gt;5",1))</f>
        <v>#DIV/0!</v>
      </c>
      <c r="O32" t="e">
        <f ca="1">AVERAGEIFS(INDIRECT(O$17),INDIRECT(O$17),"&gt;=0",INDIRECT($F32),$G32,IF($K$8,Data!$J:$J,Data!#REF!),IF($K$8,"&lt;&gt;5",1))</f>
        <v>#DIV/0!</v>
      </c>
      <c r="P32" t="e">
        <f ca="1">AVERAGEIFS(INDIRECT(P$17),INDIRECT(P$17),"&gt;=0",INDIRECT($F32),$G32,IF($K$8,Data!$J:$J,Data!#REF!),IF($K$8,"&lt;&gt;5",1))</f>
        <v>#DIV/0!</v>
      </c>
      <c r="Q32" t="e">
        <f ca="1">AVERAGEIFS(INDIRECT(Q$17),INDIRECT(Q$17),"&gt;=0",INDIRECT($F32),$G32,IF($K$8,Data!$J:$J,Data!#REF!),IF($K$8,"&lt;&gt;5",1))</f>
        <v>#DIV/0!</v>
      </c>
    </row>
    <row r="33" spans="2:17" x14ac:dyDescent="0.35">
      <c r="E33" s="9" t="s">
        <v>1141</v>
      </c>
      <c r="F33" s="9" t="s">
        <v>1123</v>
      </c>
      <c r="G33" t="s">
        <v>993</v>
      </c>
      <c r="H33" t="e">
        <f ca="1">AVERAGEIFS(INDIRECT(H$17),INDIRECT(H$17),"&gt;=0",INDIRECT($F33),$G33,IF($K$8,Data!$J:$J,Data!#REF!),IF($K$8,"&lt;&gt;5",1))</f>
        <v>#DIV/0!</v>
      </c>
      <c r="I33" t="e">
        <f ca="1">AVERAGEIFS(INDIRECT(I$17),INDIRECT(I$17),"&gt;=0",INDIRECT($F33),$G33,IF($K$8,Data!$J:$J,Data!#REF!),IF($K$8,"&lt;&gt;5",1))</f>
        <v>#DIV/0!</v>
      </c>
      <c r="J33" t="e">
        <f ca="1">AVERAGEIFS(INDIRECT(J$17),INDIRECT(J$17),"&gt;=0",INDIRECT($F33),$G33,IF($K$8,Data!$J:$J,Data!#REF!),IF($K$8,"&lt;&gt;5",1))</f>
        <v>#DIV/0!</v>
      </c>
      <c r="K33" t="e">
        <f ca="1">AVERAGEIFS(INDIRECT(K$17),INDIRECT(K$17),"&gt;=0",INDIRECT($F33),$G33,IF($K$8,Data!$J:$J,Data!#REF!),IF($K$8,"&lt;&gt;5",1))</f>
        <v>#DIV/0!</v>
      </c>
      <c r="L33" t="e">
        <f ca="1">AVERAGEIFS(INDIRECT(L$17),INDIRECT(L$17),"&gt;=0",INDIRECT($F33),$G33,IF($K$8,Data!$J:$J,Data!#REF!),IF($K$8,"&lt;&gt;5",1))</f>
        <v>#DIV/0!</v>
      </c>
      <c r="M33" t="e">
        <f ca="1">AVERAGEIFS(INDIRECT(M$17),INDIRECT(M$17),"&gt;=0",INDIRECT($F33),$G33,IF($K$8,Data!$J:$J,Data!#REF!),IF($K$8,"&lt;&gt;5",1))</f>
        <v>#DIV/0!</v>
      </c>
      <c r="N33" t="e">
        <f ca="1">AVERAGEIFS(INDIRECT(N$17),INDIRECT(N$17),"&gt;=0",INDIRECT($F33),$G33,IF($K$8,Data!$J:$J,Data!#REF!),IF($K$8,"&lt;&gt;5",1))</f>
        <v>#DIV/0!</v>
      </c>
      <c r="O33" t="e">
        <f ca="1">AVERAGEIFS(INDIRECT(O$17),INDIRECT(O$17),"&gt;=0",INDIRECT($F33),$G33,IF($K$8,Data!$J:$J,Data!#REF!),IF($K$8,"&lt;&gt;5",1))</f>
        <v>#DIV/0!</v>
      </c>
      <c r="P33" t="e">
        <f ca="1">AVERAGEIFS(INDIRECT(P$17),INDIRECT(P$17),"&gt;=0",INDIRECT($F33),$G33,IF($K$8,Data!$J:$J,Data!#REF!),IF($K$8,"&lt;&gt;5",1))</f>
        <v>#DIV/0!</v>
      </c>
      <c r="Q33" t="e">
        <f ca="1">AVERAGEIFS(INDIRECT(Q$17),INDIRECT(Q$17),"&gt;=0",INDIRECT($F33),$G33,IF($K$8,Data!$J:$J,Data!#REF!),IF($K$8,"&lt;&gt;5",1))</f>
        <v>#DIV/0!</v>
      </c>
    </row>
    <row r="34" spans="2:17" x14ac:dyDescent="0.35">
      <c r="E34" s="9" t="s">
        <v>1138</v>
      </c>
      <c r="F34" s="9" t="s">
        <v>1123</v>
      </c>
      <c r="G34" t="s">
        <v>990</v>
      </c>
      <c r="H34" t="e">
        <f ca="1">AVERAGEIFS(INDIRECT(H$17),INDIRECT(H$17),"&gt;=0",INDIRECT($F34),$G34,IF($K$8,Data!$J:$J,Data!#REF!),IF($K$8,"&lt;&gt;5",1))</f>
        <v>#DIV/0!</v>
      </c>
      <c r="I34" t="e">
        <f ca="1">AVERAGEIFS(INDIRECT(I$17),INDIRECT(I$17),"&gt;=0",INDIRECT($F34),$G34,IF($K$8,Data!$J:$J,Data!#REF!),IF($K$8,"&lt;&gt;5",1))</f>
        <v>#DIV/0!</v>
      </c>
      <c r="J34" t="e">
        <f ca="1">AVERAGEIFS(INDIRECT(J$17),INDIRECT(J$17),"&gt;=0",INDIRECT($F34),$G34,IF($K$8,Data!$J:$J,Data!#REF!),IF($K$8,"&lt;&gt;5",1))</f>
        <v>#DIV/0!</v>
      </c>
      <c r="K34" t="e">
        <f ca="1">AVERAGEIFS(INDIRECT(K$17),INDIRECT(K$17),"&gt;=0",INDIRECT($F34),$G34,IF($K$8,Data!$J:$J,Data!#REF!),IF($K$8,"&lt;&gt;5",1))</f>
        <v>#DIV/0!</v>
      </c>
      <c r="L34" t="e">
        <f ca="1">AVERAGEIFS(INDIRECT(L$17),INDIRECT(L$17),"&gt;=0",INDIRECT($F34),$G34,IF($K$8,Data!$J:$J,Data!#REF!),IF($K$8,"&lt;&gt;5",1))</f>
        <v>#DIV/0!</v>
      </c>
      <c r="M34" t="e">
        <f ca="1">AVERAGEIFS(INDIRECT(M$17),INDIRECT(M$17),"&gt;=0",INDIRECT($F34),$G34,IF($K$8,Data!$J:$J,Data!#REF!),IF($K$8,"&lt;&gt;5",1))</f>
        <v>#DIV/0!</v>
      </c>
      <c r="N34" t="e">
        <f ca="1">AVERAGEIFS(INDIRECT(N$17),INDIRECT(N$17),"&gt;=0",INDIRECT($F34),$G34,IF($K$8,Data!$J:$J,Data!#REF!),IF($K$8,"&lt;&gt;5",1))</f>
        <v>#DIV/0!</v>
      </c>
      <c r="O34" t="e">
        <f ca="1">AVERAGEIFS(INDIRECT(O$17),INDIRECT(O$17),"&gt;=0",INDIRECT($F34),$G34,IF($K$8,Data!$J:$J,Data!#REF!),IF($K$8,"&lt;&gt;5",1))</f>
        <v>#DIV/0!</v>
      </c>
      <c r="P34" t="e">
        <f ca="1">AVERAGEIFS(INDIRECT(P$17),INDIRECT(P$17),"&gt;=0",INDIRECT($F34),$G34,IF($K$8,Data!$J:$J,Data!#REF!),IF($K$8,"&lt;&gt;5",1))</f>
        <v>#DIV/0!</v>
      </c>
      <c r="Q34" t="e">
        <f ca="1">AVERAGEIFS(INDIRECT(Q$17),INDIRECT(Q$17),"&gt;=0",INDIRECT($F34),$G34,IF($K$8,Data!$J:$J,Data!#REF!),IF($K$8,"&lt;&gt;5",1))</f>
        <v>#DIV/0!</v>
      </c>
    </row>
    <row r="35" spans="2:17" x14ac:dyDescent="0.35">
      <c r="E35" s="9" t="s">
        <v>1137</v>
      </c>
      <c r="F35" s="9" t="s">
        <v>1123</v>
      </c>
      <c r="G35" t="s">
        <v>989</v>
      </c>
      <c r="H35" t="e">
        <f ca="1">AVERAGEIFS(INDIRECT(H$17),INDIRECT(H$17),"&gt;=0",INDIRECT($F35),$G35,IF($K$8,Data!$J:$J,Data!#REF!),IF($K$8,"&lt;&gt;5",1))</f>
        <v>#DIV/0!</v>
      </c>
      <c r="I35" t="e">
        <f ca="1">AVERAGEIFS(INDIRECT(I$17),INDIRECT(I$17),"&gt;=0",INDIRECT($F35),$G35,IF($K$8,Data!$J:$J,Data!#REF!),IF($K$8,"&lt;&gt;5",1))</f>
        <v>#DIV/0!</v>
      </c>
      <c r="J35" t="e">
        <f ca="1">AVERAGEIFS(INDIRECT(J$17),INDIRECT(J$17),"&gt;=0",INDIRECT($F35),$G35,IF($K$8,Data!$J:$J,Data!#REF!),IF($K$8,"&lt;&gt;5",1))</f>
        <v>#DIV/0!</v>
      </c>
      <c r="K35" t="e">
        <f ca="1">AVERAGEIFS(INDIRECT(K$17),INDIRECT(K$17),"&gt;=0",INDIRECT($F35),$G35,IF($K$8,Data!$J:$J,Data!#REF!),IF($K$8,"&lt;&gt;5",1))</f>
        <v>#DIV/0!</v>
      </c>
      <c r="L35" t="e">
        <f ca="1">AVERAGEIFS(INDIRECT(L$17),INDIRECT(L$17),"&gt;=0",INDIRECT($F35),$G35,IF($K$8,Data!$J:$J,Data!#REF!),IF($K$8,"&lt;&gt;5",1))</f>
        <v>#DIV/0!</v>
      </c>
      <c r="M35" t="e">
        <f ca="1">AVERAGEIFS(INDIRECT(M$17),INDIRECT(M$17),"&gt;=0",INDIRECT($F35),$G35,IF($K$8,Data!$J:$J,Data!#REF!),IF($K$8,"&lt;&gt;5",1))</f>
        <v>#DIV/0!</v>
      </c>
      <c r="N35" t="e">
        <f ca="1">AVERAGEIFS(INDIRECT(N$17),INDIRECT(N$17),"&gt;=0",INDIRECT($F35),$G35,IF($K$8,Data!$J:$J,Data!#REF!),IF($K$8,"&lt;&gt;5",1))</f>
        <v>#DIV/0!</v>
      </c>
      <c r="O35" t="e">
        <f ca="1">AVERAGEIFS(INDIRECT(O$17),INDIRECT(O$17),"&gt;=0",INDIRECT($F35),$G35,IF($K$8,Data!$J:$J,Data!#REF!),IF($K$8,"&lt;&gt;5",1))</f>
        <v>#DIV/0!</v>
      </c>
      <c r="P35" t="e">
        <f ca="1">AVERAGEIFS(INDIRECT(P$17),INDIRECT(P$17),"&gt;=0",INDIRECT($F35),$G35,IF($K$8,Data!$J:$J,Data!#REF!),IF($K$8,"&lt;&gt;5",1))</f>
        <v>#DIV/0!</v>
      </c>
      <c r="Q35" t="e">
        <f ca="1">AVERAGEIFS(INDIRECT(Q$17),INDIRECT(Q$17),"&gt;=0",INDIRECT($F35),$G35,IF($K$8,Data!$J:$J,Data!#REF!),IF($K$8,"&lt;&gt;5",1))</f>
        <v>#DIV/0!</v>
      </c>
    </row>
    <row r="36" spans="2:17" x14ac:dyDescent="0.35">
      <c r="E36" s="9" t="s">
        <v>1142</v>
      </c>
      <c r="F36" s="9" t="s">
        <v>1123</v>
      </c>
      <c r="G36" t="s">
        <v>994</v>
      </c>
      <c r="H36" t="e">
        <f ca="1">AVERAGEIFS(INDIRECT(H$17),INDIRECT(H$17),"&gt;=0",INDIRECT($F36),$G36,IF($K$8,Data!$J:$J,Data!#REF!),IF($K$8,"&lt;&gt;5",1))</f>
        <v>#DIV/0!</v>
      </c>
      <c r="I36" t="e">
        <f ca="1">AVERAGEIFS(INDIRECT(I$17),INDIRECT(I$17),"&gt;=0",INDIRECT($F36),$G36,IF($K$8,Data!$J:$J,Data!#REF!),IF($K$8,"&lt;&gt;5",1))</f>
        <v>#DIV/0!</v>
      </c>
      <c r="J36" t="e">
        <f ca="1">AVERAGEIFS(INDIRECT(J$17),INDIRECT(J$17),"&gt;=0",INDIRECT($F36),$G36,IF($K$8,Data!$J:$J,Data!#REF!),IF($K$8,"&lt;&gt;5",1))</f>
        <v>#DIV/0!</v>
      </c>
      <c r="K36" t="e">
        <f ca="1">AVERAGEIFS(INDIRECT(K$17),INDIRECT(K$17),"&gt;=0",INDIRECT($F36),$G36,IF($K$8,Data!$J:$J,Data!#REF!),IF($K$8,"&lt;&gt;5",1))</f>
        <v>#DIV/0!</v>
      </c>
      <c r="L36" t="e">
        <f ca="1">AVERAGEIFS(INDIRECT(L$17),INDIRECT(L$17),"&gt;=0",INDIRECT($F36),$G36,IF($K$8,Data!$J:$J,Data!#REF!),IF($K$8,"&lt;&gt;5",1))</f>
        <v>#DIV/0!</v>
      </c>
      <c r="M36" t="e">
        <f ca="1">AVERAGEIFS(INDIRECT(M$17),INDIRECT(M$17),"&gt;=0",INDIRECT($F36),$G36,IF($K$8,Data!$J:$J,Data!#REF!),IF($K$8,"&lt;&gt;5",1))</f>
        <v>#DIV/0!</v>
      </c>
      <c r="N36" t="e">
        <f ca="1">AVERAGEIFS(INDIRECT(N$17),INDIRECT(N$17),"&gt;=0",INDIRECT($F36),$G36,IF($K$8,Data!$J:$J,Data!#REF!),IF($K$8,"&lt;&gt;5",1))</f>
        <v>#DIV/0!</v>
      </c>
      <c r="O36" t="e">
        <f ca="1">AVERAGEIFS(INDIRECT(O$17),INDIRECT(O$17),"&gt;=0",INDIRECT($F36),$G36,IF($K$8,Data!$J:$J,Data!#REF!),IF($K$8,"&lt;&gt;5",1))</f>
        <v>#DIV/0!</v>
      </c>
      <c r="P36" t="e">
        <f ca="1">AVERAGEIFS(INDIRECT(P$17),INDIRECT(P$17),"&gt;=0",INDIRECT($F36),$G36,IF($K$8,Data!$J:$J,Data!#REF!),IF($K$8,"&lt;&gt;5",1))</f>
        <v>#DIV/0!</v>
      </c>
      <c r="Q36" t="e">
        <f ca="1">AVERAGEIFS(INDIRECT(Q$17),INDIRECT(Q$17),"&gt;=0",INDIRECT($F36),$G36,IF($K$8,Data!$J:$J,Data!#REF!),IF($K$8,"&lt;&gt;5",1))</f>
        <v>#DIV/0!</v>
      </c>
    </row>
    <row r="37" spans="2:17" x14ac:dyDescent="0.35">
      <c r="E37" s="9" t="str">
        <f>IF('Sample Select backend'!$L$2&gt;1,'Sample Select backend'!$M$2,"Sample")</f>
        <v>Sample</v>
      </c>
      <c r="H37" t="e">
        <f ca="1">H21</f>
        <v>#DIV/0!</v>
      </c>
    </row>
    <row r="39" spans="2:17" x14ac:dyDescent="0.35">
      <c r="E39" s="9" t="s">
        <v>1004</v>
      </c>
      <c r="F39" s="9" t="s">
        <v>1125</v>
      </c>
      <c r="G39" s="9">
        <v>1</v>
      </c>
      <c r="H39">
        <f ca="1">AVERAGEIFS(INDIRECT(H$17),INDIRECT(H$17),"&gt;=0",INDIRECT($F39),$G39,IF($K$8,Data!$J:$J,Data!#REF!),IF($K$8,"&lt;&gt;5",1))</f>
        <v>0.88135593220338981</v>
      </c>
      <c r="I39" t="e">
        <f ca="1">AVERAGEIFS(INDIRECT(I$17),INDIRECT(I$17),"&gt;=0",INDIRECT($F39),$G39,IF($K$8,Data!$J:$J,Data!#REF!),IF($K$8,"&lt;&gt;5",1))</f>
        <v>#DIV/0!</v>
      </c>
      <c r="J39" t="e">
        <f ca="1">AVERAGEIFS(INDIRECT(J$17),INDIRECT(J$17),"&gt;=0",INDIRECT($F39),$G39,IF($K$8,Data!$J:$J,Data!#REF!),IF($K$8,"&lt;&gt;5",1))</f>
        <v>#DIV/0!</v>
      </c>
      <c r="K39" t="e">
        <f ca="1">AVERAGEIFS(INDIRECT(K$17),INDIRECT(K$17),"&gt;=0",INDIRECT($F39),$G39,IF($K$8,Data!$J:$J,Data!#REF!),IF($K$8,"&lt;&gt;5",1))</f>
        <v>#DIV/0!</v>
      </c>
      <c r="L39" t="e">
        <f ca="1">AVERAGEIFS(INDIRECT(L$17),INDIRECT(L$17),"&gt;=0",INDIRECT($F39),$G39,IF($K$8,Data!$J:$J,Data!#REF!),IF($K$8,"&lt;&gt;5",1))</f>
        <v>#DIV/0!</v>
      </c>
      <c r="M39">
        <f ca="1">AVERAGEIFS(INDIRECT(M$17),INDIRECT(M$17),"&gt;=0",INDIRECT($F39),$G39,IF($K$8,Data!$J:$J,Data!#REF!),IF($K$8,"&lt;&gt;5",1))</f>
        <v>0.46218487394957986</v>
      </c>
      <c r="N39">
        <f ca="1">AVERAGEIFS(INDIRECT(N$17),INDIRECT(N$17),"&gt;=0",INDIRECT($F39),$G39,IF($K$8,Data!$J:$J,Data!#REF!),IF($K$8,"&lt;&gt;5",1))</f>
        <v>0.88135593220338981</v>
      </c>
      <c r="O39">
        <f ca="1">AVERAGEIFS(INDIRECT(O$17),INDIRECT(O$17),"&gt;=0",INDIRECT($F39),$G39,IF($K$8,Data!$J:$J,Data!#REF!),IF($K$8,"&lt;&gt;5",1))</f>
        <v>1</v>
      </c>
      <c r="P39">
        <f ca="1">AVERAGEIFS(INDIRECT(P$17),INDIRECT(P$17),"&gt;=0",INDIRECT($F39),$G39,IF($K$8,Data!$J:$J,Data!#REF!),IF($K$8,"&lt;&gt;5",1))</f>
        <v>0.7350427350427351</v>
      </c>
      <c r="Q39">
        <f ca="1">AVERAGEIFS(INDIRECT(Q$17),INDIRECT(Q$17),"&gt;=0",INDIRECT($F39),$G39,IF($K$8,Data!$J:$J,Data!#REF!),IF($K$8,"&lt;&gt;5",1))</f>
        <v>0.31034482758620691</v>
      </c>
    </row>
    <row r="40" spans="2:17" x14ac:dyDescent="0.35">
      <c r="E40" s="9" t="s">
        <v>1124</v>
      </c>
      <c r="F40" s="9" t="s">
        <v>1125</v>
      </c>
      <c r="G40" s="9">
        <v>0</v>
      </c>
      <c r="H40" t="e">
        <f ca="1">AVERAGEIFS(INDIRECT(H$17),INDIRECT(H$17),"&gt;=0",INDIRECT($F40),$G40,IF($K$8,Data!$J:$J,Data!#REF!),IF($K$8,"&lt;&gt;5",1))</f>
        <v>#DIV/0!</v>
      </c>
      <c r="I40" t="e">
        <f ca="1">AVERAGEIFS(INDIRECT(I$17),INDIRECT(I$17),"&gt;=0",INDIRECT($F40),$G40,IF($K$8,Data!$J:$J,Data!#REF!),IF($K$8,"&lt;&gt;5",1))</f>
        <v>#DIV/0!</v>
      </c>
      <c r="J40" t="e">
        <f ca="1">AVERAGEIFS(INDIRECT(J$17),INDIRECT(J$17),"&gt;=0",INDIRECT($F40),$G40,IF($K$8,Data!$J:$J,Data!#REF!),IF($K$8,"&lt;&gt;5",1))</f>
        <v>#DIV/0!</v>
      </c>
      <c r="K40" t="e">
        <f ca="1">AVERAGEIFS(INDIRECT(K$17),INDIRECT(K$17),"&gt;=0",INDIRECT($F40),$G40,IF($K$8,Data!$J:$J,Data!#REF!),IF($K$8,"&lt;&gt;5",1))</f>
        <v>#DIV/0!</v>
      </c>
      <c r="L40" t="e">
        <f ca="1">AVERAGEIFS(INDIRECT(L$17),INDIRECT(L$17),"&gt;=0",INDIRECT($F40),$G40,IF($K$8,Data!$J:$J,Data!#REF!),IF($K$8,"&lt;&gt;5",1))</f>
        <v>#DIV/0!</v>
      </c>
      <c r="M40" t="e">
        <f ca="1">AVERAGEIFS(INDIRECT(M$17),INDIRECT(M$17),"&gt;=0",INDIRECT($F40),$G40,IF($K$8,Data!$J:$J,Data!#REF!),IF($K$8,"&lt;&gt;5",1))</f>
        <v>#DIV/0!</v>
      </c>
      <c r="N40" t="e">
        <f ca="1">AVERAGEIFS(INDIRECT(N$17),INDIRECT(N$17),"&gt;=0",INDIRECT($F40),$G40,IF($K$8,Data!$J:$J,Data!#REF!),IF($K$8,"&lt;&gt;5",1))</f>
        <v>#DIV/0!</v>
      </c>
      <c r="O40" t="e">
        <f ca="1">AVERAGEIFS(INDIRECT(O$17),INDIRECT(O$17),"&gt;=0",INDIRECT($F40),$G40,IF($K$8,Data!$J:$J,Data!#REF!),IF($K$8,"&lt;&gt;5",1))</f>
        <v>#DIV/0!</v>
      </c>
      <c r="P40" t="e">
        <f ca="1">AVERAGEIFS(INDIRECT(P$17),INDIRECT(P$17),"&gt;=0",INDIRECT($F40),$G40,IF($K$8,Data!$J:$J,Data!#REF!),IF($K$8,"&lt;&gt;5",1))</f>
        <v>#DIV/0!</v>
      </c>
      <c r="Q40" t="e">
        <f ca="1">AVERAGEIFS(INDIRECT(Q$17),INDIRECT(Q$17),"&gt;=0",INDIRECT($F40),$G40,IF($K$8,Data!$J:$J,Data!#REF!),IF($K$8,"&lt;&gt;5",1))</f>
        <v>#DIV/0!</v>
      </c>
    </row>
    <row r="41" spans="2:17" x14ac:dyDescent="0.35">
      <c r="E41" s="9" t="str">
        <f>IF('Sample Select backend'!$L$2&gt;1,'Sample Select backend'!$M$2,"Selected Sample")</f>
        <v>Selected Sample</v>
      </c>
      <c r="H41" t="e">
        <f ca="1">H21</f>
        <v>#DIV/0!</v>
      </c>
    </row>
    <row r="43" spans="2:17" x14ac:dyDescent="0.35">
      <c r="E43" t="s">
        <v>1179</v>
      </c>
      <c r="F43" t="s">
        <v>1020</v>
      </c>
      <c r="G43">
        <v>1</v>
      </c>
      <c r="I43" t="e">
        <f ca="1">AVERAGEIFS(INDIRECT(I$17),INDIRECT(I$17),"&gt;=0",INDIRECT($F43),$G43,IF($K$8,Data!$J:$J,Data!#REF!),IF($K$8,"&lt;&gt;5",1))</f>
        <v>#DIV/0!</v>
      </c>
      <c r="J43" t="e">
        <f ca="1">AVERAGEIFS(INDIRECT(J$17),INDIRECT(J$17),"&gt;=0",INDIRECT($F43),$G43,IF($K$8,Data!$J:$J,Data!#REF!),IF($K$8,"&lt;&gt;5",1))</f>
        <v>#DIV/0!</v>
      </c>
      <c r="K43" t="e">
        <f ca="1">AVERAGEIFS(INDIRECT(K$17),INDIRECT(K$17),"&gt;=0",INDIRECT($F43),$G43,IF($K$8,Data!$J:$J,Data!#REF!),IF($K$8,"&lt;&gt;5",1))</f>
        <v>#DIV/0!</v>
      </c>
      <c r="L43" t="e">
        <f ca="1">AVERAGEIFS(INDIRECT(L$17),INDIRECT(L$17),"&gt;=0",INDIRECT($F43),$G43,IF($K$8,Data!$J:$J,Data!#REF!),IF($K$8,"&lt;&gt;5",1))</f>
        <v>#DIV/0!</v>
      </c>
      <c r="M43">
        <f ca="1">AVERAGEIFS(INDIRECT(M$17),INDIRECT(M$17),"&gt;=0",INDIRECT($F43),$G43,IF($K$8,Data!$J:$J,Data!#REF!),IF($K$8,"&lt;&gt;5",1))</f>
        <v>0.7142857142857143</v>
      </c>
      <c r="N43" t="e">
        <f ca="1">AVERAGEIFS(INDIRECT(N$17),INDIRECT(N$17),"&gt;=0",INDIRECT($F43),$G43,IF($K$8,Data!$J:$J,Data!#REF!),IF($K$8,"&lt;&gt;5",1))</f>
        <v>#DIV/0!</v>
      </c>
      <c r="O43">
        <f ca="1">AVERAGEIFS(INDIRECT(O$17),INDIRECT(O$17),"&gt;=0",INDIRECT($F43),$G43,IF($K$8,Data!$J:$J,Data!#REF!),IF($K$8,"&lt;&gt;5",1))</f>
        <v>1</v>
      </c>
      <c r="P43">
        <f ca="1">AVERAGEIFS(INDIRECT(P$17),INDIRECT(P$17),"&gt;=0",INDIRECT($F43),$G43,IF($K$8,Data!$J:$J,Data!#REF!),IF($K$8,"&lt;&gt;5",1))</f>
        <v>1</v>
      </c>
      <c r="Q43">
        <f ca="1">AVERAGEIFS(INDIRECT(Q$17),INDIRECT(Q$17),"&gt;=0",INDIRECT($F43),$G43,IF($K$8,Data!$J:$J,Data!#REF!),IF($K$8,"&lt;&gt;5",1))</f>
        <v>0</v>
      </c>
    </row>
    <row r="47" spans="2:17" x14ac:dyDescent="0.35">
      <c r="B47" t="s">
        <v>1207</v>
      </c>
    </row>
    <row r="48" spans="2:17" x14ac:dyDescent="0.35">
      <c r="C48" t="s">
        <v>1170</v>
      </c>
      <c r="D48" t="s">
        <v>1169</v>
      </c>
      <c r="E48" t="s">
        <v>988</v>
      </c>
      <c r="F48" t="s">
        <v>1004</v>
      </c>
    </row>
    <row r="49" spans="2:6" x14ac:dyDescent="0.35">
      <c r="B49" t="s">
        <v>940</v>
      </c>
      <c r="C49" t="s">
        <v>1171</v>
      </c>
      <c r="D49" t="s">
        <v>1171</v>
      </c>
      <c r="E49" t="s">
        <v>1173</v>
      </c>
      <c r="F49" t="s">
        <v>1171</v>
      </c>
    </row>
    <row r="50" spans="2:6" x14ac:dyDescent="0.35">
      <c r="B50" t="s">
        <v>941</v>
      </c>
      <c r="C50" t="s">
        <v>1171</v>
      </c>
      <c r="D50" t="s">
        <v>1171</v>
      </c>
      <c r="E50" t="s">
        <v>1171</v>
      </c>
      <c r="F50" t="s">
        <v>1171</v>
      </c>
    </row>
    <row r="51" spans="2:6" x14ac:dyDescent="0.35">
      <c r="B51" t="s">
        <v>1153</v>
      </c>
      <c r="C51" t="s">
        <v>1174</v>
      </c>
      <c r="D51" t="s">
        <v>1173</v>
      </c>
      <c r="E51" t="s">
        <v>1174</v>
      </c>
      <c r="F51" t="s">
        <v>1172</v>
      </c>
    </row>
    <row r="52" spans="2:6" x14ac:dyDescent="0.35">
      <c r="B52" t="s">
        <v>943</v>
      </c>
      <c r="C52" t="s">
        <v>1174</v>
      </c>
      <c r="D52" t="s">
        <v>1173</v>
      </c>
      <c r="E52" t="s">
        <v>1174</v>
      </c>
      <c r="F52" t="s">
        <v>1171</v>
      </c>
    </row>
    <row r="53" spans="2:6" x14ac:dyDescent="0.35">
      <c r="B53" t="s">
        <v>1154</v>
      </c>
      <c r="C53" t="s">
        <v>1173</v>
      </c>
      <c r="D53" t="s">
        <v>1174</v>
      </c>
      <c r="E53" t="s">
        <v>1174</v>
      </c>
      <c r="F53" t="s">
        <v>1171</v>
      </c>
    </row>
    <row r="54" spans="2:6" x14ac:dyDescent="0.35">
      <c r="B54" t="s">
        <v>945</v>
      </c>
      <c r="C54" t="s">
        <v>1174</v>
      </c>
      <c r="D54" t="s">
        <v>1174</v>
      </c>
      <c r="E54" t="s">
        <v>1174</v>
      </c>
      <c r="F54" t="s">
        <v>1171</v>
      </c>
    </row>
    <row r="55" spans="2:6" x14ac:dyDescent="0.35">
      <c r="B55" t="s">
        <v>946</v>
      </c>
      <c r="C55" t="s">
        <v>1171</v>
      </c>
      <c r="D55" t="s">
        <v>1171</v>
      </c>
      <c r="E55" t="s">
        <v>1173</v>
      </c>
      <c r="F55" t="s">
        <v>1171</v>
      </c>
    </row>
    <row r="56" spans="2:6" x14ac:dyDescent="0.35">
      <c r="B56" t="s">
        <v>1155</v>
      </c>
      <c r="C56" t="s">
        <v>1171</v>
      </c>
      <c r="D56" t="s">
        <v>1174</v>
      </c>
      <c r="E56" t="s">
        <v>1174</v>
      </c>
      <c r="F56" t="s">
        <v>1174</v>
      </c>
    </row>
    <row r="57" spans="2:6" x14ac:dyDescent="0.35">
      <c r="B57" t="s">
        <v>1156</v>
      </c>
      <c r="C57" t="s">
        <v>1174</v>
      </c>
      <c r="D57" t="s">
        <v>1173</v>
      </c>
      <c r="E57" t="s">
        <v>1174</v>
      </c>
      <c r="F57" t="s">
        <v>1171</v>
      </c>
    </row>
  </sheetData>
  <sortState xmlns:xlrd2="http://schemas.microsoft.com/office/spreadsheetml/2017/richdata2" ref="E30:G36">
    <sortCondition descending="1" ref="E30"/>
  </sortState>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342C-EA95-48FB-B116-A612B19E46A0}">
  <dimension ref="A1:AI55"/>
  <sheetViews>
    <sheetView topLeftCell="A21" zoomScale="50" zoomScaleNormal="50" workbookViewId="0">
      <selection activeCell="F51" sqref="F51"/>
    </sheetView>
  </sheetViews>
  <sheetFormatPr defaultColWidth="8.7265625" defaultRowHeight="14.5" x14ac:dyDescent="0.35"/>
  <cols>
    <col min="3" max="3" width="50.81640625" bestFit="1" customWidth="1"/>
    <col min="9" max="9" width="10.08984375" bestFit="1" customWidth="1"/>
    <col min="31" max="31" width="84.08984375" bestFit="1" customWidth="1"/>
    <col min="34" max="34" width="11.54296875" bestFit="1" customWidth="1"/>
  </cols>
  <sheetData>
    <row r="1" spans="1:35" x14ac:dyDescent="0.35">
      <c r="A1" t="str">
        <f>IF(AND(C30&gt;1,AE7&gt;1),"Be sure to choose an aggregate category or a granular category; not both.","")</f>
        <v/>
      </c>
    </row>
    <row r="4" spans="1:35" x14ac:dyDescent="0.35">
      <c r="AF4" t="str">
        <f ca="1">OFFSET(AE7,AE7,0)</f>
        <v>None chosen</v>
      </c>
    </row>
    <row r="7" spans="1:35" x14ac:dyDescent="0.35">
      <c r="AE7">
        <v>1</v>
      </c>
      <c r="AF7">
        <f ca="1">OFFSET($AE$7,$AE$7,COLUMN(AF7)-31)</f>
        <v>1</v>
      </c>
      <c r="AG7">
        <f t="shared" ref="AG7:AI7" ca="1" si="0">OFFSET($AE$7,$AE$7,COLUMN(AG7)-31)</f>
        <v>1</v>
      </c>
      <c r="AH7" t="str">
        <f t="shared" ca="1" si="0"/>
        <v>Data!$AJ:$AJ</v>
      </c>
      <c r="AI7" t="str">
        <f t="shared" ca="1" si="0"/>
        <v>Data!$AJ:$AJ</v>
      </c>
    </row>
    <row r="8" spans="1:35" x14ac:dyDescent="0.35">
      <c r="AE8" s="9" t="s">
        <v>1114</v>
      </c>
      <c r="AF8">
        <v>1</v>
      </c>
      <c r="AG8">
        <v>1</v>
      </c>
      <c r="AH8" t="s">
        <v>1020</v>
      </c>
      <c r="AI8" t="s">
        <v>1020</v>
      </c>
    </row>
    <row r="9" spans="1:35" x14ac:dyDescent="0.35">
      <c r="C9">
        <v>2</v>
      </c>
      <c r="D9" t="str">
        <f ca="1">OFFSET(C9,C9,1)</f>
        <v>Percent of total policies</v>
      </c>
      <c r="E9" t="str">
        <f ca="1">OFFSET(C9,C9,2)</f>
        <v>% of total policies</v>
      </c>
      <c r="AE9" t="s">
        <v>1071</v>
      </c>
      <c r="AF9">
        <v>1</v>
      </c>
      <c r="AG9">
        <v>1</v>
      </c>
      <c r="AH9" t="s">
        <v>1115</v>
      </c>
      <c r="AI9" t="s">
        <v>1116</v>
      </c>
    </row>
    <row r="10" spans="1:35" x14ac:dyDescent="0.35">
      <c r="C10" s="9" t="s">
        <v>1130</v>
      </c>
      <c r="D10" s="9" t="s">
        <v>1136</v>
      </c>
      <c r="E10" s="9" t="s">
        <v>1136</v>
      </c>
      <c r="AE10" t="s">
        <v>1072</v>
      </c>
      <c r="AF10">
        <v>1</v>
      </c>
      <c r="AG10">
        <v>2</v>
      </c>
      <c r="AH10" t="s">
        <v>1115</v>
      </c>
      <c r="AI10" t="s">
        <v>1116</v>
      </c>
    </row>
    <row r="11" spans="1:35" x14ac:dyDescent="0.35">
      <c r="C11" s="9" t="s">
        <v>1131</v>
      </c>
      <c r="D11" s="9" t="s">
        <v>1135</v>
      </c>
      <c r="E11" t="s">
        <v>1195</v>
      </c>
      <c r="AE11" t="s">
        <v>1073</v>
      </c>
      <c r="AF11">
        <v>1</v>
      </c>
      <c r="AG11">
        <v>3</v>
      </c>
      <c r="AH11" t="s">
        <v>1115</v>
      </c>
      <c r="AI11" t="s">
        <v>1116</v>
      </c>
    </row>
    <row r="12" spans="1:35" x14ac:dyDescent="0.35">
      <c r="AE12" t="s">
        <v>1074</v>
      </c>
      <c r="AF12">
        <v>1</v>
      </c>
      <c r="AG12">
        <v>4</v>
      </c>
      <c r="AH12" t="s">
        <v>1115</v>
      </c>
      <c r="AI12" t="s">
        <v>1116</v>
      </c>
    </row>
    <row r="13" spans="1:35" x14ac:dyDescent="0.35">
      <c r="AE13" t="s">
        <v>1075</v>
      </c>
      <c r="AF13">
        <v>1</v>
      </c>
      <c r="AG13">
        <v>5</v>
      </c>
      <c r="AH13" t="s">
        <v>1115</v>
      </c>
      <c r="AI13" t="s">
        <v>1116</v>
      </c>
    </row>
    <row r="14" spans="1:35" x14ac:dyDescent="0.35">
      <c r="AE14" t="s">
        <v>1076</v>
      </c>
      <c r="AF14">
        <v>1</v>
      </c>
      <c r="AG14">
        <v>6</v>
      </c>
      <c r="AH14" t="s">
        <v>1115</v>
      </c>
      <c r="AI14" t="s">
        <v>1116</v>
      </c>
    </row>
    <row r="15" spans="1:35" x14ac:dyDescent="0.35">
      <c r="AE15" t="s">
        <v>1077</v>
      </c>
      <c r="AF15">
        <v>1</v>
      </c>
      <c r="AG15">
        <v>7</v>
      </c>
      <c r="AH15" t="s">
        <v>1115</v>
      </c>
      <c r="AI15" t="s">
        <v>1116</v>
      </c>
    </row>
    <row r="16" spans="1:35" x14ac:dyDescent="0.35">
      <c r="AE16" t="s">
        <v>1078</v>
      </c>
      <c r="AF16">
        <v>1</v>
      </c>
      <c r="AG16">
        <v>8</v>
      </c>
      <c r="AH16" t="s">
        <v>1115</v>
      </c>
      <c r="AI16" t="s">
        <v>1116</v>
      </c>
    </row>
    <row r="17" spans="3:35" x14ac:dyDescent="0.35">
      <c r="AE17" t="s">
        <v>1079</v>
      </c>
      <c r="AF17">
        <v>1</v>
      </c>
      <c r="AG17">
        <v>9</v>
      </c>
      <c r="AH17" t="s">
        <v>1115</v>
      </c>
      <c r="AI17" t="s">
        <v>1116</v>
      </c>
    </row>
    <row r="18" spans="3:35" x14ac:dyDescent="0.35">
      <c r="C18" s="9"/>
      <c r="AE18" t="s">
        <v>1080</v>
      </c>
      <c r="AF18">
        <v>1</v>
      </c>
      <c r="AG18">
        <v>10</v>
      </c>
      <c r="AH18" t="s">
        <v>1115</v>
      </c>
      <c r="AI18" t="s">
        <v>1116</v>
      </c>
    </row>
    <row r="19" spans="3:35" x14ac:dyDescent="0.35">
      <c r="AE19" t="s">
        <v>1081</v>
      </c>
      <c r="AF19">
        <v>1</v>
      </c>
      <c r="AG19">
        <v>11</v>
      </c>
      <c r="AH19" t="s">
        <v>1115</v>
      </c>
      <c r="AI19" t="s">
        <v>1116</v>
      </c>
    </row>
    <row r="20" spans="3:35" x14ac:dyDescent="0.35">
      <c r="AE20" t="s">
        <v>1082</v>
      </c>
      <c r="AF20">
        <v>1</v>
      </c>
      <c r="AG20">
        <v>12</v>
      </c>
      <c r="AH20" t="s">
        <v>1115</v>
      </c>
      <c r="AI20" t="s">
        <v>1116</v>
      </c>
    </row>
    <row r="21" spans="3:35" x14ac:dyDescent="0.35">
      <c r="AE21" t="s">
        <v>1083</v>
      </c>
      <c r="AF21">
        <v>1</v>
      </c>
      <c r="AG21" t="s">
        <v>1068</v>
      </c>
      <c r="AH21" t="s">
        <v>1115</v>
      </c>
      <c r="AI21" t="s">
        <v>1116</v>
      </c>
    </row>
    <row r="22" spans="3:35" x14ac:dyDescent="0.35">
      <c r="AE22" t="s">
        <v>1084</v>
      </c>
      <c r="AF22">
        <v>1</v>
      </c>
      <c r="AG22" t="s">
        <v>1069</v>
      </c>
      <c r="AH22" t="s">
        <v>1115</v>
      </c>
      <c r="AI22" t="s">
        <v>1116</v>
      </c>
    </row>
    <row r="23" spans="3:35" x14ac:dyDescent="0.35">
      <c r="AE23" t="s">
        <v>1085</v>
      </c>
      <c r="AF23">
        <v>2</v>
      </c>
      <c r="AG23">
        <v>13</v>
      </c>
      <c r="AH23" t="s">
        <v>1115</v>
      </c>
      <c r="AI23" t="s">
        <v>1116</v>
      </c>
    </row>
    <row r="24" spans="3:35" x14ac:dyDescent="0.35">
      <c r="I24" s="9" t="s">
        <v>1121</v>
      </c>
      <c r="AE24" t="s">
        <v>1086</v>
      </c>
      <c r="AF24">
        <v>2</v>
      </c>
      <c r="AG24">
        <v>14</v>
      </c>
      <c r="AH24" t="s">
        <v>1115</v>
      </c>
      <c r="AI24" t="s">
        <v>1116</v>
      </c>
    </row>
    <row r="25" spans="3:35" x14ac:dyDescent="0.35">
      <c r="I25" t="str">
        <f ca="1">IF(AND(C30&gt;1,AE7=1),D28,AF4)</f>
        <v>Revenue Measures to protect businesses</v>
      </c>
      <c r="AE25" t="s">
        <v>1087</v>
      </c>
      <c r="AF25">
        <v>2</v>
      </c>
      <c r="AG25">
        <v>15</v>
      </c>
      <c r="AH25" t="s">
        <v>1115</v>
      </c>
      <c r="AI25" t="s">
        <v>1116</v>
      </c>
    </row>
    <row r="26" spans="3:35" x14ac:dyDescent="0.35">
      <c r="AE26" t="s">
        <v>1088</v>
      </c>
      <c r="AF26">
        <v>2</v>
      </c>
      <c r="AG26">
        <v>16</v>
      </c>
      <c r="AH26" t="s">
        <v>1115</v>
      </c>
      <c r="AI26" t="s">
        <v>1116</v>
      </c>
    </row>
    <row r="27" spans="3:35" x14ac:dyDescent="0.35">
      <c r="I27" t="str">
        <f ca="1">_xlfn.CONCAT(I25," by lending category")</f>
        <v>Revenue Measures to protect businesses by lending category</v>
      </c>
      <c r="AE27" t="s">
        <v>1089</v>
      </c>
      <c r="AF27">
        <v>2</v>
      </c>
      <c r="AG27">
        <v>17</v>
      </c>
      <c r="AH27" t="s">
        <v>1115</v>
      </c>
      <c r="AI27" t="s">
        <v>1116</v>
      </c>
    </row>
    <row r="28" spans="3:35" x14ac:dyDescent="0.35">
      <c r="D28" t="str">
        <f ca="1">OFFSET(C30,C30,0)</f>
        <v>Revenue Measures to protect businesses</v>
      </c>
      <c r="I28">
        <f ca="1">IF(AND(C30&gt;1,AE7=1),$E$30,$AF$7)</f>
        <v>1</v>
      </c>
      <c r="J28">
        <f>IF(AND(C30&gt;1,AE7=1),1,$AG$7)</f>
        <v>1</v>
      </c>
      <c r="AE28" t="s">
        <v>1090</v>
      </c>
      <c r="AF28">
        <v>2</v>
      </c>
      <c r="AG28">
        <v>18</v>
      </c>
      <c r="AH28" t="s">
        <v>1115</v>
      </c>
      <c r="AI28" t="s">
        <v>1116</v>
      </c>
    </row>
    <row r="29" spans="3:35" x14ac:dyDescent="0.35">
      <c r="I29" s="9" t="s">
        <v>1119</v>
      </c>
      <c r="J29" s="9" t="s">
        <v>1120</v>
      </c>
      <c r="AE29" t="s">
        <v>1091</v>
      </c>
      <c r="AF29">
        <v>2</v>
      </c>
      <c r="AG29" t="s">
        <v>1068</v>
      </c>
      <c r="AH29" t="s">
        <v>1115</v>
      </c>
      <c r="AI29" t="s">
        <v>1116</v>
      </c>
    </row>
    <row r="30" spans="3:35" x14ac:dyDescent="0.35">
      <c r="C30">
        <v>2</v>
      </c>
      <c r="D30" t="str">
        <f ca="1">OFFSET(C30,C30,1)</f>
        <v>Data!$B:$B</v>
      </c>
      <c r="E30">
        <f ca="1">OFFSET(C30,C30,2)</f>
        <v>1</v>
      </c>
      <c r="I30" t="str">
        <f ca="1">IF(AND(C30&gt;1,AE7=1),$D$30,$AH$7)</f>
        <v>Data!$B:$B</v>
      </c>
      <c r="J30" t="str">
        <f>IF(AND(C30&gt;1,AE7=1),$D$31,$AI$7)</f>
        <v>Data!$AJ:$AJ</v>
      </c>
      <c r="L30" s="9" t="s">
        <v>1132</v>
      </c>
      <c r="M30" s="9" t="s">
        <v>1133</v>
      </c>
      <c r="O30" s="9" t="s">
        <v>1134</v>
      </c>
      <c r="AE30" t="s">
        <v>1092</v>
      </c>
      <c r="AF30">
        <v>2</v>
      </c>
      <c r="AG30" t="s">
        <v>1069</v>
      </c>
      <c r="AH30" t="s">
        <v>1115</v>
      </c>
      <c r="AI30" t="s">
        <v>1116</v>
      </c>
    </row>
    <row r="31" spans="3:35" x14ac:dyDescent="0.35">
      <c r="C31" t="s">
        <v>1114</v>
      </c>
      <c r="D31" s="9" t="s">
        <v>1020</v>
      </c>
      <c r="E31">
        <v>1</v>
      </c>
      <c r="G31" s="9" t="s">
        <v>1021</v>
      </c>
      <c r="H31" s="9" t="s">
        <v>1117</v>
      </c>
      <c r="I31" s="9">
        <f ca="1">COUNTIFS(INDIRECT(I$30),I$28,INDIRECT($G31),1,INDIRECT($J$30),$J$28)</f>
        <v>0</v>
      </c>
      <c r="J31" s="9"/>
      <c r="L31" s="9">
        <f ca="1">COUNTIF(INDIRECT($G31),1)</f>
        <v>640</v>
      </c>
      <c r="M31" s="18">
        <f ca="1">I31/L31 * 100</f>
        <v>0</v>
      </c>
      <c r="O31" s="19" t="e">
        <f ca="1">VALUE(IF($C$9&gt;1,TEXT(M31,"#.##"),I31))</f>
        <v>#VALUE!</v>
      </c>
      <c r="AE31" t="s">
        <v>1093</v>
      </c>
      <c r="AF31">
        <v>3</v>
      </c>
      <c r="AG31">
        <v>19</v>
      </c>
      <c r="AH31" t="s">
        <v>1115</v>
      </c>
      <c r="AI31" t="s">
        <v>1116</v>
      </c>
    </row>
    <row r="32" spans="3:35" x14ac:dyDescent="0.35">
      <c r="C32" t="s">
        <v>1026</v>
      </c>
      <c r="D32" t="s">
        <v>1115</v>
      </c>
      <c r="E32">
        <v>1</v>
      </c>
      <c r="G32" s="9" t="s">
        <v>1022</v>
      </c>
      <c r="H32" s="9" t="s">
        <v>998</v>
      </c>
      <c r="I32" s="9">
        <f t="shared" ref="I32:I33" ca="1" si="1">COUNTIFS(INDIRECT(I$30),I$28,INDIRECT($G32),1,INDIRECT($J$30),$J$28)</f>
        <v>0</v>
      </c>
      <c r="J32" s="9"/>
      <c r="L32" s="9">
        <f t="shared" ref="L32:L33" ca="1" si="2">COUNTIF(INDIRECT($G32),1)</f>
        <v>463</v>
      </c>
      <c r="M32" s="18">
        <f t="shared" ref="M32:M33" ca="1" si="3">I32/L32 * 100</f>
        <v>0</v>
      </c>
      <c r="O32" s="19" t="e">
        <f t="shared" ref="O32:O33" ca="1" si="4">VALUE(IF($C$9&gt;1,TEXT(M32,"#.##"),I32))</f>
        <v>#VALUE!</v>
      </c>
      <c r="S32" s="9" t="s">
        <v>1126</v>
      </c>
      <c r="AE32" t="s">
        <v>1094</v>
      </c>
      <c r="AF32">
        <v>3</v>
      </c>
      <c r="AG32" s="9" t="s">
        <v>1068</v>
      </c>
      <c r="AH32" t="s">
        <v>1115</v>
      </c>
      <c r="AI32" t="s">
        <v>1116</v>
      </c>
    </row>
    <row r="33" spans="3:35" x14ac:dyDescent="0.35">
      <c r="C33" t="s">
        <v>1027</v>
      </c>
      <c r="D33" t="s">
        <v>1115</v>
      </c>
      <c r="E33">
        <v>2</v>
      </c>
      <c r="G33" s="9" t="s">
        <v>1023</v>
      </c>
      <c r="H33" s="9" t="s">
        <v>1118</v>
      </c>
      <c r="I33" s="9">
        <f t="shared" ca="1" si="1"/>
        <v>0</v>
      </c>
      <c r="J33" s="9"/>
      <c r="L33" s="9">
        <f t="shared" ca="1" si="2"/>
        <v>769</v>
      </c>
      <c r="M33" s="18">
        <f t="shared" ca="1" si="3"/>
        <v>0</v>
      </c>
      <c r="O33" s="19" t="e">
        <f t="shared" ca="1" si="4"/>
        <v>#VALUE!</v>
      </c>
      <c r="AE33" t="s">
        <v>1095</v>
      </c>
      <c r="AF33">
        <v>3</v>
      </c>
      <c r="AG33" t="s">
        <v>1069</v>
      </c>
      <c r="AH33" t="s">
        <v>1115</v>
      </c>
      <c r="AI33" t="s">
        <v>1116</v>
      </c>
    </row>
    <row r="34" spans="3:35" x14ac:dyDescent="0.35">
      <c r="C34" t="s">
        <v>1028</v>
      </c>
      <c r="D34" t="s">
        <v>1115</v>
      </c>
      <c r="E34">
        <v>3</v>
      </c>
      <c r="H34" s="9" t="str">
        <f>IF('Sample Select backend'!$L$2&gt;1,'Sample Select backend'!$M$2,"Selected Sample")</f>
        <v>Selected Sample</v>
      </c>
      <c r="I34">
        <f ca="1">I55</f>
        <v>0</v>
      </c>
      <c r="L34">
        <f ca="1">L55</f>
        <v>0</v>
      </c>
      <c r="M34" t="e">
        <f ca="1">M55</f>
        <v>#DIV/0!</v>
      </c>
      <c r="O34" t="e">
        <f ca="1">O55</f>
        <v>#DIV/0!</v>
      </c>
      <c r="AE34" t="s">
        <v>1096</v>
      </c>
      <c r="AF34">
        <v>4</v>
      </c>
      <c r="AG34">
        <v>20</v>
      </c>
      <c r="AH34" t="s">
        <v>1115</v>
      </c>
      <c r="AI34" t="s">
        <v>1116</v>
      </c>
    </row>
    <row r="35" spans="3:35" x14ac:dyDescent="0.35">
      <c r="C35" t="s">
        <v>1029</v>
      </c>
      <c r="D35" t="s">
        <v>1115</v>
      </c>
      <c r="E35">
        <v>4</v>
      </c>
      <c r="M35" s="18"/>
      <c r="O35" s="19"/>
      <c r="AE35" t="s">
        <v>1097</v>
      </c>
      <c r="AF35">
        <v>4</v>
      </c>
      <c r="AG35" t="s">
        <v>1068</v>
      </c>
      <c r="AH35" t="s">
        <v>1115</v>
      </c>
      <c r="AI35" t="s">
        <v>1116</v>
      </c>
    </row>
    <row r="36" spans="3:35" x14ac:dyDescent="0.35">
      <c r="C36" t="s">
        <v>1039</v>
      </c>
      <c r="D36" t="s">
        <v>1115</v>
      </c>
      <c r="E36">
        <v>8</v>
      </c>
      <c r="AE36" t="s">
        <v>1098</v>
      </c>
      <c r="AF36">
        <v>4</v>
      </c>
      <c r="AG36" t="s">
        <v>1069</v>
      </c>
      <c r="AH36" t="s">
        <v>1115</v>
      </c>
      <c r="AI36" t="s">
        <v>1116</v>
      </c>
    </row>
    <row r="37" spans="3:35" x14ac:dyDescent="0.35">
      <c r="C37" t="s">
        <v>1030</v>
      </c>
      <c r="D37" t="s">
        <v>1115</v>
      </c>
      <c r="E37">
        <v>5</v>
      </c>
      <c r="F37" t="s">
        <v>1175</v>
      </c>
      <c r="G37" s="9" t="s">
        <v>1122</v>
      </c>
      <c r="H37" s="9" t="s">
        <v>1001</v>
      </c>
      <c r="I37" s="9">
        <f ca="1">COUNTIFS(INDIRECT(I$30),I$28,INDIRECT($G37),H37,INDIRECT($J$30),$J$28)</f>
        <v>0</v>
      </c>
      <c r="L37" s="9">
        <f ca="1">COUNTIF(INDIRECT($G37),H37)</f>
        <v>0</v>
      </c>
      <c r="M37" s="18" t="e">
        <f t="shared" ref="M37:M40" ca="1" si="5">I37/L37 * 100</f>
        <v>#DIV/0!</v>
      </c>
      <c r="O37" s="19" t="e">
        <f t="shared" ref="O37:O40" ca="1" si="6">VALUE(IF($C$9&gt;1,TEXT(M37,"#.##"),I37))</f>
        <v>#DIV/0!</v>
      </c>
      <c r="AE37" t="s">
        <v>1099</v>
      </c>
      <c r="AF37">
        <v>5</v>
      </c>
      <c r="AG37">
        <v>21</v>
      </c>
      <c r="AH37" t="s">
        <v>1115</v>
      </c>
      <c r="AI37" t="s">
        <v>1116</v>
      </c>
    </row>
    <row r="38" spans="3:35" x14ac:dyDescent="0.35">
      <c r="C38" t="s">
        <v>1031</v>
      </c>
      <c r="D38" t="s">
        <v>1115</v>
      </c>
      <c r="E38">
        <v>6</v>
      </c>
      <c r="F38" t="s">
        <v>1176</v>
      </c>
      <c r="G38" s="9" t="s">
        <v>1122</v>
      </c>
      <c r="H38" s="9" t="s">
        <v>1002</v>
      </c>
      <c r="I38" s="9">
        <f ca="1">COUNTIFS(INDIRECT(I$30),I$28,INDIRECT($G38),H38,INDIRECT($J$30),$J$28)</f>
        <v>0</v>
      </c>
      <c r="L38" s="9">
        <f ca="1">COUNTIF(INDIRECT($G38),H38)</f>
        <v>0</v>
      </c>
      <c r="M38" s="18" t="e">
        <f t="shared" ca="1" si="5"/>
        <v>#DIV/0!</v>
      </c>
      <c r="O38" s="19" t="e">
        <f t="shared" ca="1" si="6"/>
        <v>#DIV/0!</v>
      </c>
      <c r="S38" s="9" t="s">
        <v>1127</v>
      </c>
      <c r="AE38" t="s">
        <v>1100</v>
      </c>
      <c r="AF38">
        <v>5</v>
      </c>
      <c r="AG38">
        <v>22</v>
      </c>
      <c r="AH38" t="s">
        <v>1115</v>
      </c>
      <c r="AI38" t="s">
        <v>1116</v>
      </c>
    </row>
    <row r="39" spans="3:35" x14ac:dyDescent="0.35">
      <c r="C39" t="s">
        <v>1040</v>
      </c>
      <c r="D39" t="s">
        <v>1115</v>
      </c>
      <c r="E39">
        <v>9</v>
      </c>
      <c r="F39" t="s">
        <v>1177</v>
      </c>
      <c r="G39" s="9" t="s">
        <v>1122</v>
      </c>
      <c r="H39" s="9" t="s">
        <v>1003</v>
      </c>
      <c r="I39" s="9">
        <f ca="1">COUNTIFS(INDIRECT(I$30),I$28,INDIRECT($G39),H39,INDIRECT($J$30),$J$28)</f>
        <v>0</v>
      </c>
      <c r="L39" s="9">
        <f ca="1">COUNTIF(INDIRECT($G39),H39)</f>
        <v>0</v>
      </c>
      <c r="M39" s="18" t="e">
        <f t="shared" ca="1" si="5"/>
        <v>#DIV/0!</v>
      </c>
      <c r="O39" s="19" t="e">
        <f t="shared" ca="1" si="6"/>
        <v>#DIV/0!</v>
      </c>
      <c r="AE39" t="s">
        <v>1101</v>
      </c>
      <c r="AF39">
        <v>5</v>
      </c>
      <c r="AG39">
        <v>23</v>
      </c>
      <c r="AH39" t="s">
        <v>1115</v>
      </c>
      <c r="AI39" t="s">
        <v>1116</v>
      </c>
    </row>
    <row r="40" spans="3:35" x14ac:dyDescent="0.35">
      <c r="C40" t="s">
        <v>1032</v>
      </c>
      <c r="D40" t="s">
        <v>1115</v>
      </c>
      <c r="E40">
        <v>7</v>
      </c>
      <c r="F40" t="s">
        <v>1178</v>
      </c>
      <c r="G40" s="9" t="s">
        <v>1122</v>
      </c>
      <c r="H40" s="9" t="s">
        <v>1000</v>
      </c>
      <c r="I40" s="9">
        <f ca="1">COUNTIFS(INDIRECT(I$30),I$28,INDIRECT($G40),H40,INDIRECT($J$30),$J$28)</f>
        <v>0</v>
      </c>
      <c r="L40" s="9">
        <f ca="1">COUNTIF(INDIRECT($G40),H40)</f>
        <v>0</v>
      </c>
      <c r="M40" s="18" t="e">
        <f t="shared" ca="1" si="5"/>
        <v>#DIV/0!</v>
      </c>
      <c r="O40" s="19" t="e">
        <f t="shared" ca="1" si="6"/>
        <v>#DIV/0!</v>
      </c>
      <c r="AE40" t="s">
        <v>1102</v>
      </c>
      <c r="AF40">
        <v>5</v>
      </c>
      <c r="AG40">
        <v>24</v>
      </c>
      <c r="AH40" t="s">
        <v>1115</v>
      </c>
      <c r="AI40" t="s">
        <v>1116</v>
      </c>
    </row>
    <row r="41" spans="3:35" x14ac:dyDescent="0.35">
      <c r="C41" t="s">
        <v>1041</v>
      </c>
      <c r="D41" t="s">
        <v>1115</v>
      </c>
      <c r="E41" t="s">
        <v>201</v>
      </c>
      <c r="F41" t="str">
        <f>IF('Sample Select backend'!$L$2&gt;1,'Sample Select backend'!$M$2,"Selected Sample")</f>
        <v>Selected Sample</v>
      </c>
      <c r="G41" t="str">
        <f t="shared" ref="G41:I41" si="7">G55</f>
        <v>Data!$AM:$AM</v>
      </c>
      <c r="H41">
        <f t="shared" si="7"/>
        <v>1</v>
      </c>
      <c r="I41">
        <f t="shared" ca="1" si="7"/>
        <v>0</v>
      </c>
      <c r="L41">
        <f ca="1">L55</f>
        <v>0</v>
      </c>
      <c r="M41" t="e">
        <f ca="1">M55</f>
        <v>#DIV/0!</v>
      </c>
      <c r="O41" t="e">
        <f ca="1">O55</f>
        <v>#DIV/0!</v>
      </c>
      <c r="AE41" t="s">
        <v>1103</v>
      </c>
      <c r="AF41">
        <v>5</v>
      </c>
      <c r="AG41" t="s">
        <v>1070</v>
      </c>
      <c r="AH41" t="s">
        <v>1115</v>
      </c>
      <c r="AI41" t="s">
        <v>1116</v>
      </c>
    </row>
    <row r="42" spans="3:35" x14ac:dyDescent="0.35">
      <c r="AE42" t="s">
        <v>1104</v>
      </c>
      <c r="AF42">
        <v>6</v>
      </c>
      <c r="AG42">
        <v>25</v>
      </c>
      <c r="AH42" t="s">
        <v>1115</v>
      </c>
      <c r="AI42" t="s">
        <v>1116</v>
      </c>
    </row>
    <row r="43" spans="3:35" x14ac:dyDescent="0.35">
      <c r="F43" s="9" t="s">
        <v>1140</v>
      </c>
      <c r="G43" s="9" t="s">
        <v>1123</v>
      </c>
      <c r="H43" t="s">
        <v>992</v>
      </c>
      <c r="I43" s="9">
        <f t="shared" ref="I43:I49" ca="1" si="8">COUNTIFS(INDIRECT(I$30),I$28,INDIRECT($G43),H43,INDIRECT($J$30),$J$28)</f>
        <v>0</v>
      </c>
      <c r="L43" s="9">
        <f t="shared" ref="L43:L49" ca="1" si="9">COUNTIF(INDIRECT($G43),H43)</f>
        <v>0</v>
      </c>
      <c r="M43" s="18" t="e">
        <f t="shared" ref="M43:M49" ca="1" si="10">I43/L43 * 100</f>
        <v>#DIV/0!</v>
      </c>
      <c r="O43" s="19" t="e">
        <f t="shared" ref="O43:O49" ca="1" si="11">VALUE(IF($C$9&gt;1,TEXT(M43,"#.##"),I43))</f>
        <v>#DIV/0!</v>
      </c>
      <c r="AE43" t="s">
        <v>1105</v>
      </c>
      <c r="AF43">
        <v>6</v>
      </c>
      <c r="AG43">
        <v>26</v>
      </c>
      <c r="AH43" t="s">
        <v>1115</v>
      </c>
      <c r="AI43" t="s">
        <v>1116</v>
      </c>
    </row>
    <row r="44" spans="3:35" x14ac:dyDescent="0.35">
      <c r="F44" s="9" t="s">
        <v>1139</v>
      </c>
      <c r="G44" s="9" t="s">
        <v>1123</v>
      </c>
      <c r="H44" t="s">
        <v>991</v>
      </c>
      <c r="I44" s="9">
        <f t="shared" ca="1" si="8"/>
        <v>0</v>
      </c>
      <c r="L44" s="9">
        <f t="shared" ca="1" si="9"/>
        <v>0</v>
      </c>
      <c r="M44" s="18" t="e">
        <f t="shared" ca="1" si="10"/>
        <v>#DIV/0!</v>
      </c>
      <c r="O44" s="19" t="e">
        <f t="shared" ca="1" si="11"/>
        <v>#DIV/0!</v>
      </c>
      <c r="S44" s="9" t="s">
        <v>1128</v>
      </c>
      <c r="AE44" t="s">
        <v>1106</v>
      </c>
      <c r="AF44">
        <v>6</v>
      </c>
      <c r="AG44">
        <v>27</v>
      </c>
      <c r="AH44" t="s">
        <v>1115</v>
      </c>
      <c r="AI44" t="s">
        <v>1116</v>
      </c>
    </row>
    <row r="45" spans="3:35" x14ac:dyDescent="0.35">
      <c r="F45" s="9" t="s">
        <v>1143</v>
      </c>
      <c r="G45" s="9" t="s">
        <v>1123</v>
      </c>
      <c r="H45" t="s">
        <v>995</v>
      </c>
      <c r="I45" s="9">
        <f t="shared" ca="1" si="8"/>
        <v>0</v>
      </c>
      <c r="L45" s="9">
        <f t="shared" ca="1" si="9"/>
        <v>0</v>
      </c>
      <c r="M45" s="18" t="e">
        <f t="shared" ca="1" si="10"/>
        <v>#DIV/0!</v>
      </c>
      <c r="O45" s="19" t="e">
        <f t="shared" ca="1" si="11"/>
        <v>#DIV/0!</v>
      </c>
      <c r="AE45" t="s">
        <v>1107</v>
      </c>
      <c r="AF45">
        <v>6</v>
      </c>
      <c r="AG45">
        <v>28</v>
      </c>
      <c r="AH45" t="s">
        <v>1115</v>
      </c>
      <c r="AI45" t="s">
        <v>1116</v>
      </c>
    </row>
    <row r="46" spans="3:35" x14ac:dyDescent="0.35">
      <c r="F46" s="9" t="s">
        <v>1141</v>
      </c>
      <c r="G46" s="9" t="s">
        <v>1123</v>
      </c>
      <c r="H46" t="s">
        <v>993</v>
      </c>
      <c r="I46" s="9">
        <f t="shared" ca="1" si="8"/>
        <v>0</v>
      </c>
      <c r="L46" s="9">
        <f t="shared" ca="1" si="9"/>
        <v>0</v>
      </c>
      <c r="M46" s="18" t="e">
        <f t="shared" ca="1" si="10"/>
        <v>#DIV/0!</v>
      </c>
      <c r="O46" s="19" t="e">
        <f t="shared" ca="1" si="11"/>
        <v>#DIV/0!</v>
      </c>
      <c r="AE46" t="s">
        <v>1108</v>
      </c>
      <c r="AF46">
        <v>6</v>
      </c>
      <c r="AG46">
        <v>29</v>
      </c>
      <c r="AH46" t="s">
        <v>1115</v>
      </c>
      <c r="AI46" t="s">
        <v>1116</v>
      </c>
    </row>
    <row r="47" spans="3:35" x14ac:dyDescent="0.35">
      <c r="F47" s="9" t="s">
        <v>1138</v>
      </c>
      <c r="G47" s="9" t="s">
        <v>1123</v>
      </c>
      <c r="H47" t="s">
        <v>990</v>
      </c>
      <c r="I47" s="9">
        <f t="shared" ca="1" si="8"/>
        <v>0</v>
      </c>
      <c r="L47" s="9">
        <f t="shared" ca="1" si="9"/>
        <v>0</v>
      </c>
      <c r="M47" s="18" t="e">
        <f t="shared" ca="1" si="10"/>
        <v>#DIV/0!</v>
      </c>
      <c r="O47" s="19" t="e">
        <f t="shared" ca="1" si="11"/>
        <v>#DIV/0!</v>
      </c>
      <c r="AE47" t="s">
        <v>1109</v>
      </c>
      <c r="AF47">
        <v>6</v>
      </c>
      <c r="AG47" t="s">
        <v>1069</v>
      </c>
      <c r="AH47" t="s">
        <v>1115</v>
      </c>
      <c r="AI47" t="s">
        <v>1116</v>
      </c>
    </row>
    <row r="48" spans="3:35" x14ac:dyDescent="0.35">
      <c r="F48" s="9" t="s">
        <v>1137</v>
      </c>
      <c r="G48" s="9" t="s">
        <v>1123</v>
      </c>
      <c r="H48" t="s">
        <v>989</v>
      </c>
      <c r="I48" s="9">
        <f t="shared" ca="1" si="8"/>
        <v>0</v>
      </c>
      <c r="L48" s="9">
        <f t="shared" ca="1" si="9"/>
        <v>0</v>
      </c>
      <c r="M48" s="18" t="e">
        <f t="shared" ca="1" si="10"/>
        <v>#DIV/0!</v>
      </c>
      <c r="O48" s="19" t="e">
        <f t="shared" ca="1" si="11"/>
        <v>#DIV/0!</v>
      </c>
      <c r="AE48" t="s">
        <v>1110</v>
      </c>
      <c r="AF48">
        <v>7</v>
      </c>
      <c r="AG48">
        <v>30</v>
      </c>
      <c r="AH48" t="s">
        <v>1115</v>
      </c>
      <c r="AI48" t="s">
        <v>1116</v>
      </c>
    </row>
    <row r="49" spans="2:35" x14ac:dyDescent="0.35">
      <c r="F49" s="9" t="s">
        <v>1142</v>
      </c>
      <c r="G49" s="9" t="s">
        <v>1123</v>
      </c>
      <c r="H49" t="s">
        <v>994</v>
      </c>
      <c r="I49" s="9">
        <f t="shared" ca="1" si="8"/>
        <v>0</v>
      </c>
      <c r="L49" s="9">
        <f t="shared" ca="1" si="9"/>
        <v>0</v>
      </c>
      <c r="M49" s="18" t="e">
        <f t="shared" ca="1" si="10"/>
        <v>#DIV/0!</v>
      </c>
      <c r="O49" s="19" t="e">
        <f t="shared" ca="1" si="11"/>
        <v>#DIV/0!</v>
      </c>
      <c r="AE49" t="s">
        <v>1111</v>
      </c>
      <c r="AF49">
        <v>7</v>
      </c>
      <c r="AG49">
        <v>31</v>
      </c>
      <c r="AH49" t="s">
        <v>1115</v>
      </c>
      <c r="AI49" t="s">
        <v>1116</v>
      </c>
    </row>
    <row r="50" spans="2:35" x14ac:dyDescent="0.35">
      <c r="F50" t="str">
        <f>IF('Sample Select backend'!$L$2&gt;1,'Sample Select backend'!$M$2,"Sample")</f>
        <v>Sample</v>
      </c>
      <c r="G50" t="str">
        <f t="shared" ref="G50:I50" si="12">G55</f>
        <v>Data!$AM:$AM</v>
      </c>
      <c r="H50">
        <f t="shared" si="12"/>
        <v>1</v>
      </c>
      <c r="I50">
        <f t="shared" ca="1" si="12"/>
        <v>0</v>
      </c>
      <c r="L50">
        <f ca="1">L55</f>
        <v>0</v>
      </c>
      <c r="M50" t="e">
        <f ca="1">M55</f>
        <v>#DIV/0!</v>
      </c>
      <c r="O50" t="e">
        <f ca="1">O55</f>
        <v>#DIV/0!</v>
      </c>
      <c r="AE50" t="s">
        <v>1112</v>
      </c>
      <c r="AF50">
        <v>7</v>
      </c>
      <c r="AG50">
        <v>32</v>
      </c>
      <c r="AH50" t="s">
        <v>1115</v>
      </c>
      <c r="AI50" t="s">
        <v>1116</v>
      </c>
    </row>
    <row r="51" spans="2:35" x14ac:dyDescent="0.35">
      <c r="B51" s="9" t="s">
        <v>1634</v>
      </c>
      <c r="AE51" t="s">
        <v>1113</v>
      </c>
      <c r="AF51">
        <v>7</v>
      </c>
      <c r="AG51" t="s">
        <v>1069</v>
      </c>
      <c r="AH51" t="s">
        <v>1115</v>
      </c>
      <c r="AI51" t="s">
        <v>1116</v>
      </c>
    </row>
    <row r="52" spans="2:35" x14ac:dyDescent="0.35">
      <c r="B52" t="b">
        <v>1</v>
      </c>
      <c r="F52" s="9" t="s">
        <v>1004</v>
      </c>
      <c r="G52" s="9" t="s">
        <v>1125</v>
      </c>
      <c r="H52" s="9">
        <v>1</v>
      </c>
      <c r="I52" s="9">
        <f ca="1">COUNTIFS(INDIRECT(I$30),I$28,INDIRECT($G52),H52,INDIRECT($J$30),$J$28)</f>
        <v>0</v>
      </c>
      <c r="L52" s="9">
        <f ca="1">COUNTIF(INDIRECT($G52),H52)</f>
        <v>149</v>
      </c>
      <c r="M52" s="18">
        <f t="shared" ref="M52:M53" ca="1" si="13">I52/L52 * 100</f>
        <v>0</v>
      </c>
      <c r="O52" s="19" t="e">
        <f t="shared" ref="O52:O53" ca="1" si="14">VALUE(IF($C$9&gt;1,TEXT(M52,"#.##"),I52))</f>
        <v>#VALUE!</v>
      </c>
      <c r="S52" s="9" t="s">
        <v>1129</v>
      </c>
    </row>
    <row r="53" spans="2:35" x14ac:dyDescent="0.35">
      <c r="F53" s="9" t="s">
        <v>1124</v>
      </c>
      <c r="G53" s="9" t="s">
        <v>1125</v>
      </c>
      <c r="H53" s="9">
        <v>0</v>
      </c>
      <c r="I53" s="9">
        <f ca="1">COUNTIFS(INDIRECT(I$30),I$28,INDIRECT($G53),H53,INDIRECT($J$30),$J$28)</f>
        <v>0</v>
      </c>
      <c r="L53" s="9">
        <f ca="1">COUNTIF(INDIRECT($G53),H53)</f>
        <v>0</v>
      </c>
      <c r="M53" s="18" t="e">
        <f t="shared" ca="1" si="13"/>
        <v>#DIV/0!</v>
      </c>
      <c r="O53" s="19" t="e">
        <f t="shared" ca="1" si="14"/>
        <v>#DIV/0!</v>
      </c>
    </row>
    <row r="54" spans="2:35" x14ac:dyDescent="0.35">
      <c r="F54" t="str">
        <f>IF('Sample Select backend'!$L$2&gt;1,'Sample Select backend'!$M$2,"Selected Sample")</f>
        <v>Selected Sample</v>
      </c>
      <c r="G54" t="str">
        <f t="shared" ref="G54:I54" si="15">G55</f>
        <v>Data!$AM:$AM</v>
      </c>
      <c r="H54">
        <f t="shared" si="15"/>
        <v>1</v>
      </c>
      <c r="I54">
        <f t="shared" ca="1" si="15"/>
        <v>0</v>
      </c>
      <c r="L54">
        <f ca="1">L55</f>
        <v>0</v>
      </c>
      <c r="M54" t="e">
        <f ca="1">M55</f>
        <v>#DIV/0!</v>
      </c>
      <c r="O54" t="e">
        <f ca="1">O55</f>
        <v>#DIV/0!</v>
      </c>
    </row>
    <row r="55" spans="2:35" x14ac:dyDescent="0.35">
      <c r="F55" t="s">
        <v>1631</v>
      </c>
      <c r="G55" s="9" t="s">
        <v>1633</v>
      </c>
      <c r="H55">
        <v>1</v>
      </c>
      <c r="I55" s="9">
        <f ca="1">COUNTIFS(INDIRECT(I$30),I$28,INDIRECT($G55),H55,INDIRECT($J$30),$J$28)</f>
        <v>0</v>
      </c>
      <c r="L55" s="9">
        <f ca="1">COUNTIF(INDIRECT($G55),H55)</f>
        <v>0</v>
      </c>
      <c r="M55" s="18" t="e">
        <f t="shared" ref="M55" ca="1" si="16">I55/L55 * 100</f>
        <v>#DIV/0!</v>
      </c>
      <c r="O55" s="19" t="e">
        <f t="shared" ref="O55" ca="1" si="17">VALUE(IF($C$9&gt;1,TEXT(M55,"#.##"),I55))</f>
        <v>#DIV/0!</v>
      </c>
    </row>
  </sheetData>
  <sortState xmlns:xlrd2="http://schemas.microsoft.com/office/spreadsheetml/2017/richdata2" ref="F43:H49">
    <sortCondition descending="1" ref="F4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Abstract xmlns="3e02667f-0271-471b-bd6e-11a2e16def1d" xsi:nil="true"/>
    <o1cb080a3dca4eb8a0fd03c7cc8bf8f7 xmlns="3e02667f-0271-471b-bd6e-11a2e16def1d">
      <Terms xmlns="http://schemas.microsoft.com/office/infopath/2007/PartnerControls"/>
    </o1cb080a3dca4eb8a0fd03c7cc8bf8f7>
    <wb_externalwebdecision xmlns="3e02667f-0271-471b-bd6e-11a2e16def1d">Yes</wb_externalwebdecision>
    <wb_ibflag xmlns="3e02667f-0271-471b-bd6e-11a2e16def1d">Review</wb_ibflag>
    <wb_realcreationdate xmlns="3e02667f-0271-471b-bd6e-11a2e16def1d" xsi:nil="true"/>
    <wb_externalwebdescription xmlns="3e02667f-0271-471b-bd6e-11a2e16def1d" xsi:nil="true"/>
    <wb_publicalternativeapprover xmlns="3e02667f-0271-471b-bd6e-11a2e16def1d">
      <UserInfo>
        <DisplayName/>
        <AccountId xsi:nil="true"/>
        <AccountType/>
      </UserInfo>
    </wb_publicalternativeapprover>
    <wb_externalwebdate xmlns="3e02667f-0271-471b-bd6e-11a2e16def1d">2022-06-23T07:11:25+00:00</wb_externalwebdate>
    <wb_loanid xmlns="3e02667f-0271-471b-bd6e-11a2e16def1d" xsi:nil="true"/>
    <wb_externalpublic xmlns="3e02667f-0271-471b-bd6e-11a2e16def1d">false</wb_externalpublic>
    <wb_cttype xmlns="3e02667f-0271-471b-bd6e-11a2e16def1d">MAIN</wb_cttype>
    <wb_filename xmlns="3e02667f-0271-471b-bd6e-11a2e16def1d" xsi:nil="true"/>
    <wb_projectid xmlns="3e02667f-0271-471b-bd6e-11a2e16def1d">P175473</wb_projectid>
    <wb_aicomments xmlns="3e02667f-0271-471b-bd6e-11a2e16def1d">Approved by Ahmadou Moustapha Ndiaye   on 06/22/2022</wb_aicomments>
    <wb_realmodifydate xmlns="3e02667f-0271-471b-bd6e-11a2e16def1d" xsi:nil="true"/>
    <wb_topic xmlns="3e02667f-0271-471b-bd6e-11a2e16def1d" xsi:nil="true"/>
    <wb_disclosuredate xmlns="3e02667f-0271-471b-bd6e-11a2e16def1d">2022-06-23T07:11:25+00:00</wb_disclosuredate>
    <wb_reportno xmlns="3e02667f-0271-471b-bd6e-11a2e16def1d">172922</wb_reportno>
    <wb_ibtopic xmlns="3e02667f-0271-471b-bd6e-11a2e16def1d" xsi:nil="true"/>
    <wb_ibtopiclegacy xmlns="3e02667f-0271-471b-bd6e-11a2e16def1d" xsi:nil="true"/>
    <wb_realmodifier xmlns="3e02667f-0271-471b-bd6e-11a2e16def1d" xsi:nil="true"/>
    <ed89010fab75481eba28f36694d32f6e xmlns="3e02667f-0271-471b-bd6e-11a2e16def1d">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832426d7-d0f8-4cc5-a5f1-7b89f69e8f78</TermId>
        </TermInfo>
      </Terms>
    </ed89010fab75481eba28f36694d32f6e>
    <wb_disclosurestatus xmlns="3e02667f-0271-471b-bd6e-11a2e16def1d">Disclosed</wb_disclosurestatus>
    <wb_externalpublishedlink xmlns="3e02667f-0271-471b-bd6e-11a2e16def1d" xsi:nil="true"/>
    <WBDocs_Access_To_Info_Exception xmlns="3e02667f-0271-471b-bd6e-11a2e16def1d" xsi:nil="true"/>
    <WBDocs_Document_Date xmlns="3e02667f-0271-471b-bd6e-11a2e16def1d">2022-06-22T18:30:00+00:00</WBDocs_Document_Date>
    <wb_description xmlns="3e02667f-0271-471b-bd6e-11a2e16def1d" xsi:nil="true"/>
    <wb_keyword xmlns="3e02667f-0271-471b-bd6e-11a2e16def1d" xsi:nil="true"/>
    <TaxCatchAll xmlns="3e02667f-0271-471b-bd6e-11a2e16def1d">
      <Value>931</Value>
      <Value>3463</Value>
      <Value>10</Value>
      <Value>1687</Value>
      <Value>7</Value>
      <Value>1534</Value>
      <Value>563</Value>
      <Value>1</Value>
    </TaxCatchAll>
    <wb_ibtopiccode xmlns="3e02667f-0271-471b-bd6e-11a2e16def1d" xsi:nil="true"/>
    <OneCMS_Subcategory xmlns="3e02667f-0271-471b-bd6e-11a2e16def1d" xsi:nil="true"/>
    <wb_trustfundcode xmlns="3e02667f-0271-471b-bd6e-11a2e16def1d" xsi:nil="true"/>
    <wb_realcreatorname xmlns="3e02667f-0271-471b-bd6e-11a2e16def1d" xsi:nil="true"/>
    <wb_disclosuretype xmlns="3e02667f-0271-471b-bd6e-11a2e16def1d" xsi:nil="true"/>
    <wb_exceptionapprover xmlns="3e02667f-0271-471b-bd6e-11a2e16def1d">
      <UserInfo>
        <DisplayName/>
        <AccountId xsi:nil="true"/>
        <AccountType/>
      </UserInfo>
    </wb_exceptionapprover>
    <wb_externalwebstatus xmlns="3e02667f-0271-471b-bd6e-11a2e16def1d">Published</wb_externalwebstatus>
    <wb_itemid xmlns="3e02667f-0271-471b-bd6e-11a2e16def1d">ITM00270</wb_itemid>
    <i008215bacac45029ee8cafff4c8e93b xmlns="3e02667f-0271-471b-bd6e-11a2e16def1d">
      <Terms xmlns="http://schemas.microsoft.com/office/infopath/2007/PartnerControls"/>
    </i008215bacac45029ee8cafff4c8e93b>
    <g5db487b699641c994752f446908f645 xmlns="3e02667f-0271-471b-bd6e-11a2e16def1d">
      <Terms xmlns="http://schemas.microsoft.com/office/infopath/2007/PartnerControls"/>
    </g5db487b699641c994752f446908f645>
    <wb_publicapprover xmlns="3e02667f-0271-471b-bd6e-11a2e16def1d">
      <UserInfo>
        <DisplayName>Ahmadou Moustapha Ndiaye</DisplayName>
        <AccountId>1595</AccountId>
        <AccountType/>
      </UserInfo>
    </wb_publicapprover>
    <wb_filingapplication xmlns="3e02667f-0271-471b-bd6e-11a2e16def1d">OPS2DATASHEET</wb_filingapplication>
    <wb_ioparentid xmlns="3e02667f-0271-471b-bd6e-11a2e16def1d" xsi:nil="true"/>
    <WBDocs_Information_Classification xmlns="3e02667f-0271-471b-bd6e-11a2e16def1d">Public</WBDocs_Information_Classification>
    <wb_taskid xmlns="3e02667f-0271-471b-bd6e-11a2e16def1d">DLV0419748</wb_taskid>
    <OneCMS_Category xmlns="3e02667f-0271-471b-bd6e-11a2e16def1d" xsi:nil="true"/>
    <_dlc_DocId xmlns="3e02667f-0271-471b-bd6e-11a2e16def1d">S44FTASHSSFJ-661866669-27</_dlc_DocId>
    <_dlc_DocIdUrl xmlns="3e02667f-0271-471b-bd6e-11a2e16def1d">
      <Url>https://worldbankgroup.sharepoint.com/sites/P175473/_layouts/15/DocIdRedir.aspx?ID=S44FTASHSSFJ-661866669-27</Url>
      <Description>S44FTASHSSFJ-661866669-27</Description>
    </_dlc_DocIdUrl>
    <wb_subfolder xmlns="3e02667f-0271-471b-bd6e-11a2e16def1d">Reports and Studies</wb_subfolder>
    <wb_additionalkeywords xmlns="6385dc9c-8632-49e9-a791-b8d07731333e" xsi:nil="true"/>
    <wb_issn xmlns="6385dc9c-8632-49e9-a791-b8d07731333e" xsi:nil="true"/>
    <wb_placeofproduction xmlns="6385dc9c-8632-49e9-a791-b8d07731333e">Washington, D.C. : World Bank Group</wb_placeofproduction>
    <wb_postboardwatermark xmlns="6385dc9c-8632-49e9-a791-b8d07731333e" xsi:nil="true"/>
    <wb_relatedcontentholddiscussdemotelater xmlns="6385dc9c-8632-49e9-a791-b8d07731333e" xsi:nil="true"/>
    <wb_abstract xmlns="6385dc9c-8632-49e9-a791-b8d07731333e">This report presents: sample selection; policy choices within sample; policy choices across samples; performance within sample; performance across samples; performance across policies; and data.</wb_abstract>
    <wb_alternatetitle xmlns="6385dc9c-8632-49e9-a791-b8d07731333e" xsi:nil="true"/>
    <wb_volumenumber xmlns="6385dc9c-8632-49e9-a791-b8d07731333e">1</wb_volumenumber>
    <baab35ea0edf4f67bc6dbfa9e148ad9e xmlns="6385dc9c-8632-49e9-a791-b8d07731333e">
      <Terms xmlns="http://schemas.microsoft.com/office/infopath/2007/PartnerControls">
        <TermInfo xmlns="http://schemas.microsoft.com/office/infopath/2007/PartnerControls">
          <TermName xmlns="http://schemas.microsoft.com/office/infopath/2007/PartnerControls">Coronavirus (COVID-19)</TermName>
          <TermId xmlns="http://schemas.microsoft.com/office/infopath/2007/PartnerControls">c15aea0f-39ba-4645-a3fb-e4a673ab1bee</TermId>
        </TermInfo>
        <TermInfo xmlns="http://schemas.microsoft.com/office/infopath/2007/PartnerControls">
          <TermName xmlns="http://schemas.microsoft.com/office/infopath/2007/PartnerControls">Fiscal Policy</TermName>
          <TermId xmlns="http://schemas.microsoft.com/office/infopath/2007/PartnerControls">a63f5d37-2412-4f2a-bad7-3a28aa8c22dc</TermId>
        </TermInfo>
        <TermInfo xmlns="http://schemas.microsoft.com/office/infopath/2007/PartnerControls">
          <TermName xmlns="http://schemas.microsoft.com/office/infopath/2007/PartnerControls">Fiscal Policy and Growth</TermName>
          <TermId xmlns="http://schemas.microsoft.com/office/infopath/2007/PartnerControls">eb2ea66b-a0b7-4532-99f0-6315264468a0</TermId>
        </TermInfo>
        <TermInfo xmlns="http://schemas.microsoft.com/office/infopath/2007/PartnerControls">
          <TermName xmlns="http://schemas.microsoft.com/office/infopath/2007/PartnerControls">Fiscal Policy and Jobs</TermName>
          <TermId xmlns="http://schemas.microsoft.com/office/infopath/2007/PartnerControls">626945ac-cc45-4212-b9a8-12811aa923e0</TermId>
        </TermInfo>
      </Terms>
    </baab35ea0edf4f67bc6dbfa9e148ad9e>
    <wb_rejectioncomments xmlns="6385dc9c-8632-49e9-a791-b8d07731333e" xsi:nil="true"/>
    <wb_ttlnotification xmlns="6385dc9c-8632-49e9-a791-b8d07731333e" xsi:nil="true"/>
    <wb_meetingdate xmlns="3e02667f-0271-471b-bd6e-11a2e16def1d" xsi:nil="true"/>
    <wb_unitowning xmlns="6385dc9c-8632-49e9-a791-b8d07731333e">EMFTX</wb_unitowning>
    <la8e280b24ee4580863646f8933db267 xmlns="6385dc9c-8632-49e9-a791-b8d07731333e">
      <Terms xmlns="http://schemas.microsoft.com/office/infopath/2007/PartnerControls">
        <TermInfo xmlns="http://schemas.microsoft.com/office/infopath/2007/PartnerControls">
          <TermName xmlns="http://schemas.microsoft.com/office/infopath/2007/PartnerControls">IBRD</TermName>
          <TermId xmlns="http://schemas.microsoft.com/office/infopath/2007/PartnerControls">04371005-de81-4a1e-9b50-038cc9ef25c4</TermId>
        </TermInfo>
      </Terms>
    </la8e280b24ee4580863646f8933db267>
    <wb_wbdocsid xmlns="3e02667f-0271-471b-bd6e-11a2e16def1d" xsi:nil="true"/>
    <wb_documentcomments xmlns="6385dc9c-8632-49e9-a791-b8d07731333e" xsi:nil="true"/>
    <WB_Status_Folder xmlns="6385dc9c-8632-49e9-a791-b8d07731333e">Released</WB_Status_Folder>
    <wb_boarddocumentnumber xmlns="3e02667f-0271-471b-bd6e-11a2e16def1d" xsi:nil="true"/>
    <wb_boardmeetingdate xmlns="6385dc9c-8632-49e9-a791-b8d07731333e">2022-06-23T07:11:25+00:00</wb_boardmeetingdate>
    <wb_rejectionreason xmlns="6385dc9c-8632-49e9-a791-b8d07731333e" xsi:nil="true"/>
    <wb_seriesname xmlns="6385dc9c-8632-49e9-a791-b8d07731333e" xsi:nil="true"/>
    <wb_reportname xmlns="6385dc9c-8632-49e9-a791-b8d07731333e" xsi:nil="true"/>
    <wb_ibcountry xmlns="6385dc9c-8632-49e9-a791-b8d07731333e">World</wb_ibcountry>
    <wb_isbn xmlns="6385dc9c-8632-49e9-a791-b8d07731333e" xsi:nil="true"/>
    <wb_versiontype xmlns="6385dc9c-8632-49e9-a791-b8d07731333e">Final</wb_versiontype>
    <lcf76f155ced4ddcb4097134ff3c332f xmlns="241e4cfd-0731-4eff-837c-45d1d997259a">
      <Terms xmlns="http://schemas.microsoft.com/office/infopath/2007/PartnerControls"/>
    </lcf76f155ced4ddcb4097134ff3c332f>
    <wb_digitalobjectidentifier xmlns="6385dc9c-8632-49e9-a791-b8d07731333e" xsi:nil="true"/>
    <wb_projectname xmlns="6385dc9c-8632-49e9-a791-b8d07731333e">CMC DSSI Monitoring, COVID-19, Growth Recovery &amp; Macro Work</wb_projectname>
    <wb_boardmeetingtype xmlns="3e02667f-0271-471b-bd6e-11a2e16def1d" xsi:nil="true"/>
    <wb_closingdateboard xmlns="6385dc9c-8632-49e9-a791-b8d07731333e">2022-06-23T07:11:25+00:00</wb_closingdateboard>
    <wb_ppcode xmlns="6385dc9c-8632-49e9-a791-b8d07731333e" xsi:nil="true"/>
    <wb_relateddatasethold xmlns="6385dc9c-8632-49e9-a791-b8d07731333e" xsi:nil="true"/>
    <ja1b524f3f534a9eafb10c0d6b7b176f xmlns="6385dc9c-8632-49e9-a791-b8d07731333e">
      <Terms xmlns="http://schemas.microsoft.com/office/infopath/2007/PartnerControls"/>
    </ja1b524f3f534a9eafb10c0d6b7b176f>
    <ncd8676b6f874fb3b13498347bded7f2 xmlns="6385dc9c-8632-49e9-a791-b8d07731333e">
      <Terms xmlns="http://schemas.microsoft.com/office/infopath/2007/PartnerControls">
        <TermInfo xmlns="http://schemas.microsoft.com/office/infopath/2007/PartnerControls">
          <TermName xmlns="http://schemas.microsoft.com/office/infopath/2007/PartnerControls">Report</TermName>
          <TermId xmlns="http://schemas.microsoft.com/office/infopath/2007/PartnerControls">99fc2e78-ee98-4335-9e41-5c3d226f3ce7</TermId>
        </TermInfo>
      </Terms>
    </ncd8676b6f874fb3b13498347bded7f2>
    <wb_virtualcollection1 xmlns="6385dc9c-8632-49e9-a791-b8d07731333e" xsi:nil="true"/>
    <wb_sourcecitation xmlns="6385dc9c-8632-49e9-a791-b8d07731333e" xsi:nil="true"/>
    <WB_IDU_Comment xmlns="6385dc9c-8632-49e9-a791-b8d07731333e" xsi:nil="true"/>
    <wb_category xmlns="3e02667f-0271-471b-bd6e-11a2e16def1d" xsi:nil="true"/>
    <wb_collectiontitle xmlns="6385dc9c-8632-49e9-a791-b8d07731333e" xsi:nil="true"/>
    <wb_copyrightholder xmlns="6385dc9c-8632-49e9-a791-b8d07731333e" xsi:nil="true"/>
    <SharedWithUsers xmlns="6385dc9c-8632-49e9-a791-b8d07731333e">
      <UserInfo>
        <DisplayName>SRV_OPS_DOCS_PROD</DisplayName>
        <AccountId>40</AccountId>
        <AccountType/>
      </UserInfo>
      <UserInfo>
        <DisplayName>PDS Managers</DisplayName>
        <AccountId>42</AccountId>
        <AccountType/>
      </UserInfo>
      <UserInfo>
        <DisplayName>IDU Quality Control</DisplayName>
        <AccountId>43</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WBDocument_IB" ma:contentTypeID="0x010100F4C63C3BD852AE468EAEFD0E6C57C64F02002C8D7C9E701E8444AAD7038E9E130DC000A22CA735C32F3840975C1ABE33FC00C5" ma:contentTypeVersion="23" ma:contentTypeDescription="" ma:contentTypeScope="" ma:versionID="d296ae7f696b35d5c3335382948513ca">
  <xsd:schema xmlns:xsd="http://www.w3.org/2001/XMLSchema" xmlns:xs="http://www.w3.org/2001/XMLSchema" xmlns:p="http://schemas.microsoft.com/office/2006/metadata/properties" xmlns:ns3="3e02667f-0271-471b-bd6e-11a2e16def1d" xmlns:ns4="6385dc9c-8632-49e9-a791-b8d07731333e" xmlns:ns5="241e4cfd-0731-4eff-837c-45d1d997259a" targetNamespace="http://schemas.microsoft.com/office/2006/metadata/properties" ma:root="true" ma:fieldsID="c0b01af4db65a1a1b0526d18a5455614" ns3:_="" ns4:_="" ns5:_="">
    <xsd:import namespace="3e02667f-0271-471b-bd6e-11a2e16def1d"/>
    <xsd:import namespace="6385dc9c-8632-49e9-a791-b8d07731333e"/>
    <xsd:import namespace="241e4cfd-0731-4eff-837c-45d1d997259a"/>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element ref="ns4:wb_abstract" minOccurs="0"/>
                <xsd:element ref="ns4:wb_additionalkeywords" minOccurs="0"/>
                <xsd:element ref="ns3:wb_aicomments" minOccurs="0"/>
                <xsd:element ref="ns4:wb_alternatetitle" minOccurs="0"/>
                <xsd:element ref="ns4:la8e280b24ee4580863646f8933db267" minOccurs="0"/>
                <xsd:element ref="ns3:wb_boarddocumentnumber" minOccurs="0"/>
                <xsd:element ref="ns4:wb_boardmeetingdate" minOccurs="0"/>
                <xsd:element ref="ns3:wb_meetingdate" minOccurs="0"/>
                <xsd:element ref="ns3:wb_boardmeetingtype" minOccurs="0"/>
                <xsd:element ref="ns3:wb_category" minOccurs="0"/>
                <xsd:element ref="ns4:wb_closingdateboard" minOccurs="0"/>
                <xsd:element ref="ns4:wb_collectiontitle" minOccurs="0"/>
                <xsd:element ref="ns4:wb_copyrightholder" minOccurs="0"/>
                <xsd:element ref="ns3:g5db487b699641c994752f446908f645" minOccurs="0"/>
                <xsd:element ref="ns4:wb_ibcountry" minOccurs="0"/>
                <xsd:element ref="ns3:wb_cttype" minOccurs="0"/>
                <xsd:element ref="ns3:wb_description" minOccurs="0"/>
                <xsd:element ref="ns4:wb_digitalobjectidentifier" minOccurs="0"/>
                <xsd:element ref="ns3:wb_disclosuredate" minOccurs="0"/>
                <xsd:element ref="ns3:wb_disclosurestatus" minOccurs="0"/>
                <xsd:element ref="ns3:wb_disclosuretype" minOccurs="0"/>
                <xsd:element ref="ns4:wb_documentcomments" minOccurs="0"/>
                <xsd:element ref="ns3:wb_exceptionapprover" minOccurs="0"/>
                <xsd:element ref="ns3:wb_externalpublic" minOccurs="0"/>
                <xsd:element ref="ns3:wb_externalpublishedlink" minOccurs="0"/>
                <xsd:element ref="ns3:wb_externalwebdate" minOccurs="0"/>
                <xsd:element ref="ns3:wb_externalwebdecision" minOccurs="0"/>
                <xsd:element ref="ns3:wb_externalwebdescription" minOccurs="0"/>
                <xsd:element ref="ns3:wb_externalwebstatus" minOccurs="0"/>
                <xsd:element ref="ns3:wb_filename" minOccurs="0"/>
                <xsd:element ref="ns3:wb_filingapplication" minOccurs="0"/>
                <xsd:element ref="ns3:wb_ibflag" minOccurs="0"/>
                <xsd:element ref="ns3:wb_ibtopic" minOccurs="0"/>
                <xsd:element ref="ns3:wb_ibtopiccode" minOccurs="0"/>
                <xsd:element ref="ns3:wb_ibtopiclegacy" minOccurs="0"/>
                <xsd:element ref="ns3:wb_ioparentid" minOccurs="0"/>
                <xsd:element ref="ns4:wb_isbn" minOccurs="0"/>
                <xsd:element ref="ns4:wb_issn" minOccurs="0"/>
                <xsd:element ref="ns3:wb_keyword" minOccurs="0"/>
                <xsd:element ref="ns3:ed89010fab75481eba28f36694d32f6e" minOccurs="0"/>
                <xsd:element ref="ns3:wb_loanid" minOccurs="0"/>
                <xsd:element ref="ns4:wb_placeofproduction" minOccurs="0"/>
                <xsd:element ref="ns4:wb_postboardwatermark" minOccurs="0"/>
                <xsd:element ref="ns4:wb_ppcode" minOccurs="0"/>
                <xsd:element ref="ns3:wb_projectid" minOccurs="0"/>
                <xsd:element ref="ns4:wb_projectname" minOccurs="0"/>
                <xsd:element ref="ns3:wb_publicalternativeapprover" minOccurs="0"/>
                <xsd:element ref="ns3:wb_publicapprover" minOccurs="0"/>
                <xsd:element ref="ns3:wb_realcreationdate" minOccurs="0"/>
                <xsd:element ref="ns3:wb_realcreatorname" minOccurs="0"/>
                <xsd:element ref="ns3:wb_realmodifier" minOccurs="0"/>
                <xsd:element ref="ns3:wb_realmodifydate" minOccurs="0"/>
                <xsd:element ref="ns4:wb_relatedcontentholddiscussdemotelater" minOccurs="0"/>
                <xsd:element ref="ns4:wb_relateddatasethold" minOccurs="0"/>
                <xsd:element ref="ns3:wb_reportno" minOccurs="0"/>
                <xsd:element ref="ns4:wb_sourcecitation" minOccurs="0"/>
                <xsd:element ref="ns3:wb_subfolder" minOccurs="0"/>
                <xsd:element ref="ns3:wb_topic" minOccurs="0"/>
                <xsd:element ref="ns3:wb_trustfundcode" minOccurs="0"/>
                <xsd:element ref="ns4:ja1b524f3f534a9eafb10c0d6b7b176f" minOccurs="0"/>
                <xsd:element ref="ns4:wb_volumenumber" minOccurs="0"/>
                <xsd:element ref="ns3:wb_wbdocsid" minOccurs="0"/>
                <xsd:element ref="ns4:wb_rejectioncomments" minOccurs="0"/>
                <xsd:element ref="ns4:wb_rejectionreason" minOccurs="0"/>
                <xsd:element ref="ns4:wb_ttlnotification" minOccurs="0"/>
                <xsd:element ref="ns4:wb_versiontype" minOccurs="0"/>
                <xsd:element ref="ns4:wb_seriesname" minOccurs="0"/>
                <xsd:element ref="ns5:MediaServiceMetadata" minOccurs="0"/>
                <xsd:element ref="ns5:MediaServiceFastMetadata" minOccurs="0"/>
                <xsd:element ref="ns4:ncd8676b6f874fb3b13498347bded7f2" minOccurs="0"/>
                <xsd:element ref="ns4:wb_unitowning" minOccurs="0"/>
                <xsd:element ref="ns4:wb_reportname" minOccurs="0"/>
                <xsd:element ref="ns3:wb_taskid" minOccurs="0"/>
                <xsd:element ref="ns3:wb_itemid" minOccurs="0"/>
                <xsd:element ref="ns5:MediaServiceAutoKeyPoints" minOccurs="0"/>
                <xsd:element ref="ns5:MediaServiceKeyPoints" minOccurs="0"/>
                <xsd:element ref="ns4:SharedWithUsers" minOccurs="0"/>
                <xsd:element ref="ns4:SharedWithDetails" minOccurs="0"/>
                <xsd:element ref="ns4:baab35ea0edf4f67bc6dbfa9e148ad9e" minOccurs="0"/>
                <xsd:element ref="ns4:wb_virtualcollection1" minOccurs="0"/>
                <xsd:element ref="ns5:MediaServiceAutoTags" minOccurs="0"/>
                <xsd:element ref="ns5:MediaServiceOCR" minOccurs="0"/>
                <xsd:element ref="ns5:MediaServiceGenerationTime" minOccurs="0"/>
                <xsd:element ref="ns5:MediaServiceEventHashCode" minOccurs="0"/>
                <xsd:element ref="ns4:WB_IDU_Comment" minOccurs="0"/>
                <xsd:element ref="ns5:MediaServiceDateTaken" minOccurs="0"/>
                <xsd:element ref="ns4:WB_Status_Folder" minOccurs="0"/>
                <xsd:element ref="ns5:lcf76f155ced4ddcb4097134ff3c332f" minOccurs="0"/>
                <xsd:element ref="ns5: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a4c5d6e8-9fb0-484c-a3cf-1c8f84254597}" ma:internalName="TaxCatchAll" ma:showField="CatchAllData" ma:web="6385dc9c-8632-49e9-a791-b8d07731333e">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a4c5d6e8-9fb0-484c-a3cf-1c8f84254597}" ma:internalName="TaxCatchAllLabel" ma:readOnly="true" ma:showField="CatchAllDataLabel" ma:web="6385dc9c-8632-49e9-a791-b8d07731333e">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ma:readOnly="false">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element name="wb_aicomments" ma:index="26" nillable="true" ma:displayName="AI Comments" ma:internalName="wb_aicomments">
      <xsd:simpleType>
        <xsd:restriction base="dms:Note">
          <xsd:maxLength value="255"/>
        </xsd:restriction>
      </xsd:simpleType>
    </xsd:element>
    <xsd:element name="wb_boarddocumentnumber" ma:index="30" nillable="true" ma:displayName="Board Document Number" ma:internalName="wb_boarddocumentnumber">
      <xsd:simpleType>
        <xsd:restriction base="dms:Text"/>
      </xsd:simpleType>
    </xsd:element>
    <xsd:element name="wb_meetingdate" ma:index="32" nillable="true" ma:displayName="Board Meeting Date" ma:internalName="wb_meetingdate">
      <xsd:simpleType>
        <xsd:restriction base="dms:Text"/>
      </xsd:simpleType>
    </xsd:element>
    <xsd:element name="wb_boardmeetingtype" ma:index="33" nillable="true" ma:displayName="Board Meeting Type" ma:format="Dropdown" ma:internalName="wb_boardmeetingtype">
      <xsd:simpleType>
        <xsd:restriction base="dms:Choice">
          <xsd:enumeration value="Committee"/>
          <xsd:enumeration value="Committee of the Whole"/>
          <xsd:enumeration value="Development Committee"/>
          <xsd:enumeration value="Executive Session"/>
          <xsd:enumeration value="Informal"/>
          <xsd:enumeration value="Other"/>
          <xsd:enumeration value="Regular"/>
          <xsd:enumeration value="Retreat"/>
          <xsd:enumeration value="Seminar"/>
          <xsd:enumeration value="Steering Committee"/>
          <xsd:enumeration value="Technical Briefing"/>
        </xsd:restriction>
      </xsd:simpleType>
    </xsd:element>
    <xsd:element name="wb_category" ma:index="34" nillable="true" ma:displayName="Category" ma:internalName="wb_category">
      <xsd:simpleType>
        <xsd:restriction base="dms:Note">
          <xsd:maxLength value="255"/>
        </xsd:restriction>
      </xsd:simpleType>
    </xsd:element>
    <xsd:element name="g5db487b699641c994752f446908f645" ma:index="38" nillable="true" ma:taxonomy="true" ma:internalName="g5db487b699641c994752f446908f645" ma:taxonomyFieldName="wb_country" ma:displayName="Country" ma:default="" ma:fieldId="{05db487b-6996-41c9-9475-2f446908f645}" ma:taxonomyMulti="true" ma:sspId="2a6c10d7-b926-4fc0-945e-3cbf5049f6bd" ma:termSetId="5b557a74-2ed1-4f9b-90d0-a207a2948e5f" ma:anchorId="00000000-0000-0000-0000-000000000000" ma:open="false" ma:isKeyword="false">
      <xsd:complexType>
        <xsd:sequence>
          <xsd:element ref="pc:Terms" minOccurs="0" maxOccurs="1"/>
        </xsd:sequence>
      </xsd:complexType>
    </xsd:element>
    <xsd:element name="wb_cttype" ma:index="41" nillable="true" ma:displayName="CTType" ma:internalName="wb_cttype">
      <xsd:simpleType>
        <xsd:restriction base="dms:Text"/>
      </xsd:simpleType>
    </xsd:element>
    <xsd:element name="wb_description" ma:index="42" nillable="true" ma:displayName="Description" ma:internalName="wb_description">
      <xsd:simpleType>
        <xsd:restriction base="dms:Note"/>
      </xsd:simpleType>
    </xsd:element>
    <xsd:element name="wb_disclosuredate" ma:index="44" nillable="true" ma:displayName="Disclosure Date" ma:internalName="wb_disclosuredate">
      <xsd:simpleType>
        <xsd:restriction base="dms:DateTime"/>
      </xsd:simpleType>
    </xsd:element>
    <xsd:element name="wb_disclosurestatus" ma:index="45" nillable="true" ma:displayName="Disclosure Status" ma:internalName="wb_disclosurestatus">
      <xsd:simpleType>
        <xsd:restriction base="dms:Text"/>
      </xsd:simpleType>
    </xsd:element>
    <xsd:element name="wb_disclosuretype" ma:index="46" nillable="true" ma:displayName="Disclosure Type" ma:internalName="wb_disclosuretype">
      <xsd:simpleType>
        <xsd:restriction base="dms:Text"/>
      </xsd:simpleType>
    </xsd:element>
    <xsd:element name="wb_exceptionapprover" ma:index="48" nillable="true" ma:displayName="Exception Approver" ma:internalName="wb_exception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externalpublic" ma:index="49" nillable="true" ma:displayName="External Public" ma:default="0" ma:internalName="wb_externalpublic">
      <xsd:simpleType>
        <xsd:restriction base="dms:Boolean"/>
      </xsd:simpleType>
    </xsd:element>
    <xsd:element name="wb_externalpublishedlink" ma:index="50" nillable="true" ma:displayName="External Published Link" ma:internalName="wb_externalpublishedlink">
      <xsd:simpleType>
        <xsd:restriction base="dms:Text"/>
      </xsd:simpleType>
    </xsd:element>
    <xsd:element name="wb_externalwebdate" ma:index="51" nillable="true" ma:displayName="External Web Date" ma:internalName="wb_externalwebdate">
      <xsd:simpleType>
        <xsd:restriction base="dms:DateTime"/>
      </xsd:simpleType>
    </xsd:element>
    <xsd:element name="wb_externalwebdecision" ma:index="52" nillable="true" ma:displayName="External Web Decision" ma:internalName="wb_externalwebdecision">
      <xsd:simpleType>
        <xsd:restriction base="dms:Note">
          <xsd:maxLength value="255"/>
        </xsd:restriction>
      </xsd:simpleType>
    </xsd:element>
    <xsd:element name="wb_externalwebdescription" ma:index="53" nillable="true" ma:displayName="External Web Description" ma:internalName="wb_externalwebdescription">
      <xsd:simpleType>
        <xsd:restriction base="dms:Note">
          <xsd:maxLength value="255"/>
        </xsd:restriction>
      </xsd:simpleType>
    </xsd:element>
    <xsd:element name="wb_externalwebstatus" ma:index="54" nillable="true" ma:displayName="External Web Status" ma:internalName="wb_externalwebstatus">
      <xsd:simpleType>
        <xsd:restriction base="dms:Text"/>
      </xsd:simpleType>
    </xsd:element>
    <xsd:element name="wb_filename" ma:index="55" nillable="true" ma:displayName="Org File Name" ma:internalName="wb_filename">
      <xsd:simpleType>
        <xsd:restriction base="dms:Text"/>
      </xsd:simpleType>
    </xsd:element>
    <xsd:element name="wb_filingapplication" ma:index="56" nillable="true" ma:displayName="Filing Application" ma:internalName="wb_filingapplication">
      <xsd:simpleType>
        <xsd:restriction base="dms:Text"/>
      </xsd:simpleType>
    </xsd:element>
    <xsd:element name="wb_ibflag" ma:index="57" nillable="true" ma:displayName="IB Flag" ma:internalName="wb_ibflag">
      <xsd:simpleType>
        <xsd:restriction base="dms:Text"/>
      </xsd:simpleType>
    </xsd:element>
    <xsd:element name="wb_ibtopic" ma:index="58" nillable="true" ma:displayName="IB Topic" ma:internalName="wb_ibtopic">
      <xsd:simpleType>
        <xsd:restriction base="dms:Note">
          <xsd:maxLength value="255"/>
        </xsd:restriction>
      </xsd:simpleType>
    </xsd:element>
    <xsd:element name="wb_ibtopiccode" ma:index="59" nillable="true" ma:displayName="IB Topic Code" ma:internalName="wb_ibtopiccode">
      <xsd:simpleType>
        <xsd:restriction base="dms:Note">
          <xsd:maxLength value="255"/>
        </xsd:restriction>
      </xsd:simpleType>
    </xsd:element>
    <xsd:element name="wb_ibtopiclegacy" ma:index="60" nillable="true" ma:displayName="IB Topic Legacy" ma:internalName="wb_ibtopiclegacy">
      <xsd:simpleType>
        <xsd:restriction base="dms:Note">
          <xsd:maxLength value="255"/>
        </xsd:restriction>
      </xsd:simpleType>
    </xsd:element>
    <xsd:element name="wb_ioparentid" ma:index="61" nillable="true" ma:displayName="IO Parent ID" ma:internalName="wb_ioparentid">
      <xsd:simpleType>
        <xsd:restriction base="dms:Text"/>
      </xsd:simpleType>
    </xsd:element>
    <xsd:element name="wb_keyword" ma:index="64" nillable="true" ma:displayName="Keyword" ma:internalName="wb_keyword">
      <xsd:simpleType>
        <xsd:restriction base="dms:Note">
          <xsd:maxLength value="255"/>
        </xsd:restriction>
      </xsd:simpleType>
    </xsd:element>
    <xsd:element name="ed89010fab75481eba28f36694d32f6e" ma:index="65" nillable="true" ma:taxonomy="true" ma:internalName="ed89010fab75481eba28f36694d32f6e" ma:taxonomyFieldName="wb_language" ma:displayName="Language" ma:default="" ma:fieldId="{ed89010f-ab75-481e-ba28-f36694d32f6e}" ma:taxonomyMulti="true" ma:sspId="2a6c10d7-b926-4fc0-945e-3cbf5049f6bd" ma:termSetId="eec26d95-2741-4993-be53-ce892dff855b" ma:anchorId="00000000-0000-0000-0000-000000000000" ma:open="false" ma:isKeyword="false">
      <xsd:complexType>
        <xsd:sequence>
          <xsd:element ref="pc:Terms" minOccurs="0" maxOccurs="1"/>
        </xsd:sequence>
      </xsd:complexType>
    </xsd:element>
    <xsd:element name="wb_loanid" ma:index="67" nillable="true" ma:displayName="Loan Id" ma:internalName="wb_loanid">
      <xsd:simpleType>
        <xsd:restriction base="dms:Text"/>
      </xsd:simpleType>
    </xsd:element>
    <xsd:element name="wb_projectid" ma:index="71" nillable="true" ma:displayName="Project Id" ma:internalName="wb_projectid">
      <xsd:simpleType>
        <xsd:restriction base="dms:Text"/>
      </xsd:simpleType>
    </xsd:element>
    <xsd:element name="wb_publicalternativeapprover" ma:index="73" nillable="true" ma:displayName="Public Alternative Approver" ma:internalName="wb_publicalternative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publicapprover" ma:index="74" nillable="true" ma:displayName="Public Approver" ma:internalName="wb_public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realcreationdate" ma:index="75" nillable="true" ma:displayName="Real Creation Date" ma:internalName="wb_realcreationdate">
      <xsd:simpleType>
        <xsd:restriction base="dms:DateTime"/>
      </xsd:simpleType>
    </xsd:element>
    <xsd:element name="wb_realcreatorname" ma:index="76" nillable="true" ma:displayName="Real Creator Name" ma:internalName="wb_realcreatorname">
      <xsd:simpleType>
        <xsd:restriction base="dms:Text"/>
      </xsd:simpleType>
    </xsd:element>
    <xsd:element name="wb_realmodifier" ma:index="77" nillable="true" ma:displayName="Real Modifier" ma:internalName="wb_realmodifier">
      <xsd:simpleType>
        <xsd:restriction base="dms:Text"/>
      </xsd:simpleType>
    </xsd:element>
    <xsd:element name="wb_realmodifydate" ma:index="78" nillable="true" ma:displayName="Real Modify Date" ma:internalName="wb_realmodifydate">
      <xsd:simpleType>
        <xsd:restriction base="dms:DateTime"/>
      </xsd:simpleType>
    </xsd:element>
    <xsd:element name="wb_reportno" ma:index="81" nillable="true" ma:displayName="Report No." ma:format="Dropdown" ma:internalName="wb_reportno">
      <xsd:simpleType>
        <xsd:restriction base="dms:Text">
          <xsd:maxLength value="255"/>
        </xsd:restriction>
      </xsd:simpleType>
    </xsd:element>
    <xsd:element name="wb_subfolder" ma:index="83" nillable="true" ma:displayName="Sub Folder" ma:internalName="wb_subfolder">
      <xsd:simpleType>
        <xsd:restriction base="dms:Text"/>
      </xsd:simpleType>
    </xsd:element>
    <xsd:element name="wb_topic" ma:index="84" nillable="true" ma:displayName="Topic" ma:internalName="wb_topic">
      <xsd:simpleType>
        <xsd:restriction base="dms:Note">
          <xsd:maxLength value="255"/>
        </xsd:restriction>
      </xsd:simpleType>
    </xsd:element>
    <xsd:element name="wb_trustfundcode" ma:index="85" nillable="true" ma:displayName="TrustFund Code" ma:internalName="wb_trustfundcode">
      <xsd:simpleType>
        <xsd:restriction base="dms:Text"/>
      </xsd:simpleType>
    </xsd:element>
    <xsd:element name="wb_wbdocsid" ma:index="89" nillable="true" ma:displayName="WBDocsId" ma:internalName="wb_wbdocsid">
      <xsd:simpleType>
        <xsd:restriction base="dms:Text"/>
      </xsd:simpleType>
    </xsd:element>
    <xsd:element name="wb_taskid" ma:index="101" nillable="true" ma:displayName="Task ID" ma:internalName="wb_taskid">
      <xsd:simpleType>
        <xsd:restriction base="dms:Note">
          <xsd:maxLength value="255"/>
        </xsd:restriction>
      </xsd:simpleType>
    </xsd:element>
    <xsd:element name="wb_itemid" ma:index="102" nillable="true" ma:displayName="ItemId" ma:internalName="wb_itemid">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385dc9c-8632-49e9-a791-b8d07731333e" elementFormDefault="qualified">
    <xsd:import namespace="http://schemas.microsoft.com/office/2006/documentManagement/types"/>
    <xsd:import namespace="http://schemas.microsoft.com/office/infopath/2007/PartnerControls"/>
    <xsd:element name="wb_abstract" ma:index="24" nillable="true" ma:displayName="Abstract" ma:internalName="wb_abstract">
      <xsd:simpleType>
        <xsd:restriction base="dms:Note">
          <xsd:maxLength value="255"/>
        </xsd:restriction>
      </xsd:simpleType>
    </xsd:element>
    <xsd:element name="wb_additionalkeywords" ma:index="25" nillable="true" ma:displayName="Additional keywords " ma:internalName="wb_additionalkeywords">
      <xsd:simpleType>
        <xsd:restriction base="dms:Note">
          <xsd:maxLength value="255"/>
        </xsd:restriction>
      </xsd:simpleType>
    </xsd:element>
    <xsd:element name="wb_alternatetitle" ma:index="27" nillable="true" ma:displayName="Alternate Title" ma:internalName="wb_alternatetitle">
      <xsd:simpleType>
        <xsd:restriction base="dms:Note">
          <xsd:maxLength value="255"/>
        </xsd:restriction>
      </xsd:simpleType>
    </xsd:element>
    <xsd:element name="la8e280b24ee4580863646f8933db267" ma:index="28" nillable="true" ma:taxonomy="true" ma:internalName="la8e280b24ee4580863646f8933db267" ma:taxonomyFieldName="wb_bankgroupinstitution" ma:displayName="Bank Group Institution" ma:default="" ma:fieldId="{5a8e280b-24ee-4580-8636-46f8933db267}" ma:taxonomyMulti="true" ma:sspId="2a6c10d7-b926-4fc0-945e-3cbf5049f6bd" ma:termSetId="6528b94c-d191-4fa7-9759-1b5d2a332d68" ma:anchorId="00000000-0000-0000-0000-000000000000" ma:open="false" ma:isKeyword="false">
      <xsd:complexType>
        <xsd:sequence>
          <xsd:element ref="pc:Terms" minOccurs="0" maxOccurs="1"/>
        </xsd:sequence>
      </xsd:complexType>
    </xsd:element>
    <xsd:element name="wb_boardmeetingdate" ma:index="31" nillable="true" ma:displayName="Board Meeting Date" ma:internalName="wb_boardmeetingdate">
      <xsd:simpleType>
        <xsd:restriction base="dms:DateTime"/>
      </xsd:simpleType>
    </xsd:element>
    <xsd:element name="wb_closingdateboard" ma:index="35" nillable="true" ma:displayName="Closing Date (Board)" ma:internalName="wb_closingdateboard">
      <xsd:simpleType>
        <xsd:restriction base="dms:DateTime"/>
      </xsd:simpleType>
    </xsd:element>
    <xsd:element name="wb_collectiontitle" ma:index="36" nillable="true" ma:displayName="Collection Title" ma:internalName="wb_collectiontitle">
      <xsd:simpleType>
        <xsd:restriction base="dms:Note">
          <xsd:maxLength value="255"/>
        </xsd:restriction>
      </xsd:simpleType>
    </xsd:element>
    <xsd:element name="wb_copyrightholder" ma:index="37" nillable="true" ma:displayName="Copyright Holder" ma:internalName="wb_copyrightholder">
      <xsd:simpleType>
        <xsd:restriction base="dms:Text"/>
      </xsd:simpleType>
    </xsd:element>
    <xsd:element name="wb_ibcountry" ma:index="40" nillable="true" ma:displayName="Country" ma:internalName="wb_ibcountry">
      <xsd:simpleType>
        <xsd:restriction base="dms:Text"/>
      </xsd:simpleType>
    </xsd:element>
    <xsd:element name="wb_digitalobjectidentifier" ma:index="43" nillable="true" ma:displayName="Digital Object Identifier" ma:internalName="wb_digitalobjectidentifier">
      <xsd:simpleType>
        <xsd:restriction base="dms:Text"/>
      </xsd:simpleType>
    </xsd:element>
    <xsd:element name="wb_documentcomments" ma:index="47" nillable="true" ma:displayName="Document Comments " ma:internalName="wb_documentcomments">
      <xsd:simpleType>
        <xsd:restriction base="dms:Note">
          <xsd:maxLength value="255"/>
        </xsd:restriction>
      </xsd:simpleType>
    </xsd:element>
    <xsd:element name="wb_isbn" ma:index="62" nillable="true" ma:displayName="ISBN" ma:internalName="wb_isbn">
      <xsd:simpleType>
        <xsd:restriction base="dms:Note">
          <xsd:maxLength value="255"/>
        </xsd:restriction>
      </xsd:simpleType>
    </xsd:element>
    <xsd:element name="wb_issn" ma:index="63" nillable="true" ma:displayName="ISSN" ma:internalName="wb_issn">
      <xsd:simpleType>
        <xsd:restriction base="dms:Note">
          <xsd:maxLength value="255"/>
        </xsd:restriction>
      </xsd:simpleType>
    </xsd:element>
    <xsd:element name="wb_placeofproduction" ma:index="68" nillable="true" ma:displayName="Place of Production" ma:internalName="wb_placeofproduction">
      <xsd:simpleType>
        <xsd:restriction base="dms:Text"/>
      </xsd:simpleType>
    </xsd:element>
    <xsd:element name="wb_postboardwatermark" ma:index="69" nillable="true" ma:displayName="Post Board Watermark" ma:format="Dropdown" ma:internalName="wb_postboardwatermark">
      <xsd:simpleType>
        <xsd:restriction base="dms:Choice">
          <xsd:enumeration value="Yes"/>
          <xsd:enumeration value="No"/>
        </xsd:restriction>
      </xsd:simpleType>
    </xsd:element>
    <xsd:element name="wb_ppcode" ma:index="70" nillable="true" ma:displayName="Partnership Program Code (PP Code)" ma:internalName="wb_ppcode">
      <xsd:simpleType>
        <xsd:restriction base="dms:Text"/>
      </xsd:simpleType>
    </xsd:element>
    <xsd:element name="wb_projectname" ma:index="72" nillable="true" ma:displayName="Project Name" ma:internalName="wb_projectname">
      <xsd:simpleType>
        <xsd:restriction base="dms:Text"/>
      </xsd:simpleType>
    </xsd:element>
    <xsd:element name="wb_relatedcontentholddiscussdemotelater" ma:index="79" nillable="true" ma:displayName="Related Content HOLD, discuss Demote later" ma:internalName="wb_relatedcontentholddiscussdemotelater">
      <xsd:simpleType>
        <xsd:restriction base="dms:Text"/>
      </xsd:simpleType>
    </xsd:element>
    <xsd:element name="wb_relateddatasethold" ma:index="80" nillable="true" ma:displayName="Related Dataset HOLD" ma:internalName="wb_relateddatasethold">
      <xsd:simpleType>
        <xsd:restriction base="dms:Text"/>
      </xsd:simpleType>
    </xsd:element>
    <xsd:element name="wb_sourcecitation" ma:index="82" nillable="true" ma:displayName="Source Citation" ma:internalName="wb_sourcecitation">
      <xsd:simpleType>
        <xsd:restriction base="dms:Note">
          <xsd:maxLength value="255"/>
        </xsd:restriction>
      </xsd:simpleType>
    </xsd:element>
    <xsd:element name="ja1b524f3f534a9eafb10c0d6b7b176f" ma:index="86" nillable="true" ma:taxonomy="true" ma:internalName="ja1b524f3f534a9eafb10c0d6b7b176f" ma:taxonomyFieldName="wb_virtualcollection" ma:displayName="Virtual Collection" ma:default="" ma:fieldId="{3a1b524f-3f53-4a9e-afb1-0c0d6b7b176f}" ma:sspId="2a6c10d7-b926-4fc0-945e-3cbf5049f6bd" ma:termSetId="151132b6-3af0-4b7a-a4e2-06d1bebb22c2" ma:anchorId="00000000-0000-0000-0000-000000000000" ma:open="false" ma:isKeyword="false">
      <xsd:complexType>
        <xsd:sequence>
          <xsd:element ref="pc:Terms" minOccurs="0" maxOccurs="1"/>
        </xsd:sequence>
      </xsd:complexType>
    </xsd:element>
    <xsd:element name="wb_volumenumber" ma:index="88" nillable="true" ma:displayName="Volume number" ma:internalName="wb_volumenumber">
      <xsd:simpleType>
        <xsd:restriction base="dms:Text"/>
      </xsd:simpleType>
    </xsd:element>
    <xsd:element name="wb_rejectioncomments" ma:index="90" nillable="true" ma:displayName="Rejection Comments" ma:internalName="wb_rejectioncomments">
      <xsd:simpleType>
        <xsd:restriction base="dms:Note">
          <xsd:maxLength value="255"/>
        </xsd:restriction>
      </xsd:simpleType>
    </xsd:element>
    <xsd:element name="wb_rejectionreason" ma:index="91" nillable="true" ma:displayName="Rejection Reason" ma:format="Dropdown" ma:internalName="wb_rejectionreason">
      <xsd:simpleType>
        <xsd:restriction base="dms:Choice">
          <xsd:enumeration value="1. Duplication (already disclosed earlier)"/>
          <xsd:enumeration value="2. Not Eligible for D&amp;R Collections"/>
          <xsd:enumeration value="3. Technical Issue"/>
          <xsd:enumeration value="4. Other"/>
        </xsd:restriction>
      </xsd:simpleType>
    </xsd:element>
    <xsd:element name="wb_ttlnotification" ma:index="92" nillable="true" ma:displayName="Send TTL Notification" ma:internalName="wb_ttlnotification">
      <xsd:simpleType>
        <xsd:restriction base="dms:Boolean"/>
      </xsd:simpleType>
    </xsd:element>
    <xsd:element name="wb_versiontype" ma:index="93" nillable="true" ma:displayName="Version Type" ma:default="Buff Cover" ma:format="Dropdown" ma:internalName="wb_versiontype">
      <xsd:simpleType>
        <xsd:restriction base="dms:Choice">
          <xsd:enumeration value="Buff Cover"/>
          <xsd:enumeration value="Final"/>
          <xsd:enumeration value="Gray Cover"/>
          <xsd:enumeration value="Green Cover"/>
          <xsd:enumeration value="Initial"/>
          <xsd:enumeration value="Initial appraisal"/>
          <xsd:enumeration value="Initial concept"/>
          <xsd:enumeration value="Initial restructuring"/>
          <xsd:enumeration value="Post-Board Version"/>
          <xsd:enumeration value="Revised"/>
          <xsd:enumeration value="Revised appraisal"/>
          <xsd:enumeration value="Revised buff cover"/>
          <xsd:enumeration value="Revised concept"/>
          <xsd:enumeration value="Revised gray cover"/>
          <xsd:enumeration value="Revised white cover"/>
          <xsd:enumeration value="White cover"/>
          <xsd:enumeration value="Yellow cover"/>
        </xsd:restriction>
      </xsd:simpleType>
    </xsd:element>
    <xsd:element name="wb_seriesname" ma:index="94" nillable="true" ma:displayName="Series Name" ma:internalName="wb_seriesname">
      <xsd:simpleType>
        <xsd:restriction base="dms:Text"/>
      </xsd:simpleType>
    </xsd:element>
    <xsd:element name="ncd8676b6f874fb3b13498347bded7f2" ma:index="97" nillable="true" ma:taxonomy="true" ma:internalName="ncd8676b6f874fb3b13498347bded7f2" ma:taxonomyFieldName="wb_iblocaldocumenttype" ma:displayName="IB Local Document Type" ma:default="" ma:fieldId="{7cd8676b-6f87-4fb3-b134-98347bded7f2}" ma:taxonomyMulti="true" ma:sspId="2a6c10d7-b926-4fc0-945e-3cbf5049f6bd" ma:termSetId="d690af78-d715-419b-ad32-a7c1058a6fb7" ma:anchorId="00000000-0000-0000-0000-000000000000" ma:open="false" ma:isKeyword="false">
      <xsd:complexType>
        <xsd:sequence>
          <xsd:element ref="pc:Terms" minOccurs="0" maxOccurs="1"/>
        </xsd:sequence>
      </xsd:complexType>
    </xsd:element>
    <xsd:element name="wb_unitowning" ma:index="99" nillable="true" ma:displayName="Unit Owning / Responsible" ma:internalName="wb_unitowning0">
      <xsd:simpleType>
        <xsd:restriction base="dms:Text">
          <xsd:maxLength value="255"/>
        </xsd:restriction>
      </xsd:simpleType>
    </xsd:element>
    <xsd:element name="wb_reportname" ma:index="100" nillable="true" ma:displayName="Report Name" ma:internalName="wb_reportname">
      <xsd:simpleType>
        <xsd:restriction base="dms:Text">
          <xsd:maxLength value="255"/>
        </xsd:restriction>
      </xsd:simpleType>
    </xsd:element>
    <xsd:element name="SharedWithUsers" ma:index="10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6" nillable="true" ma:displayName="Shared With Details" ma:internalName="SharedWithDetails" ma:readOnly="true">
      <xsd:simpleType>
        <xsd:restriction base="dms:Note">
          <xsd:maxLength value="255"/>
        </xsd:restriction>
      </xsd:simpleType>
    </xsd:element>
    <xsd:element name="baab35ea0edf4f67bc6dbfa9e148ad9e" ma:index="107" nillable="true" ma:taxonomy="true" ma:internalName="baab35ea0edf4f67bc6dbfa9e148ad9e" ma:taxonomyFieldName="wb_ibtopic1" ma:displayName="Topic1" ma:default="" ma:fieldId="{baab35ea-0edf-4f67-bc6d-bfa9e148ad9e}" ma:taxonomyMulti="true" ma:sspId="2a6c10d7-b926-4fc0-945e-3cbf5049f6bd" ma:termSetId="0f813b42-54c7-45e9-92b4-e97016e39e8b" ma:anchorId="00000000-0000-0000-0000-000000000000" ma:open="false" ma:isKeyword="false">
      <xsd:complexType>
        <xsd:sequence>
          <xsd:element ref="pc:Terms" minOccurs="0" maxOccurs="1"/>
        </xsd:sequence>
      </xsd:complexType>
    </xsd:element>
    <xsd:element name="wb_virtualcollection1" ma:index="109" nillable="true" ma:displayName="Virtual Collection1" ma:internalName="wb_virtualcollection1">
      <xsd:simpleType>
        <xsd:restriction base="dms:Text">
          <xsd:maxLength value="255"/>
        </xsd:restriction>
      </xsd:simpleType>
    </xsd:element>
    <xsd:element name="WB_IDU_Comment" ma:index="114" nillable="true" ma:displayName="IDU Comment" ma:internalName="WB_IDU_Comment">
      <xsd:simpleType>
        <xsd:restriction base="dms:Note">
          <xsd:maxLength value="255"/>
        </xsd:restriction>
      </xsd:simpleType>
    </xsd:element>
    <xsd:element name="WB_Status_Folder" ma:index="116" nillable="true" ma:displayName="Folder" ma:internalName="WB_Status_Folde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1e4cfd-0731-4eff-837c-45d1d997259a" elementFormDefault="qualified">
    <xsd:import namespace="http://schemas.microsoft.com/office/2006/documentManagement/types"/>
    <xsd:import namespace="http://schemas.microsoft.com/office/infopath/2007/PartnerControls"/>
    <xsd:element name="MediaServiceMetadata" ma:index="95" nillable="true" ma:displayName="MediaServiceMetadata" ma:hidden="true" ma:internalName="MediaServiceMetadata" ma:readOnly="true">
      <xsd:simpleType>
        <xsd:restriction base="dms:Note"/>
      </xsd:simpleType>
    </xsd:element>
    <xsd:element name="MediaServiceFastMetadata" ma:index="96" nillable="true" ma:displayName="MediaServiceFastMetadata" ma:hidden="true" ma:internalName="MediaServiceFastMetadata" ma:readOnly="true">
      <xsd:simpleType>
        <xsd:restriction base="dms:Note"/>
      </xsd:simpleType>
    </xsd:element>
    <xsd:element name="MediaServiceAutoKeyPoints" ma:index="103" nillable="true" ma:displayName="MediaServiceAutoKeyPoints" ma:hidden="true" ma:internalName="MediaServiceAutoKeyPoints" ma:readOnly="true">
      <xsd:simpleType>
        <xsd:restriction base="dms:Note"/>
      </xsd:simpleType>
    </xsd:element>
    <xsd:element name="MediaServiceKeyPoints" ma:index="104" nillable="true" ma:displayName="KeyPoints" ma:internalName="MediaServiceKeyPoints" ma:readOnly="true">
      <xsd:simpleType>
        <xsd:restriction base="dms:Note">
          <xsd:maxLength value="255"/>
        </xsd:restriction>
      </xsd:simpleType>
    </xsd:element>
    <xsd:element name="MediaServiceAutoTags" ma:index="110" nillable="true" ma:displayName="Tags" ma:internalName="MediaServiceAutoTags" ma:readOnly="true">
      <xsd:simpleType>
        <xsd:restriction base="dms:Text"/>
      </xsd:simpleType>
    </xsd:element>
    <xsd:element name="MediaServiceOCR" ma:index="111" nillable="true" ma:displayName="Extracted Text" ma:internalName="MediaServiceOCR" ma:readOnly="true">
      <xsd:simpleType>
        <xsd:restriction base="dms:Note">
          <xsd:maxLength value="255"/>
        </xsd:restriction>
      </xsd:simpleType>
    </xsd:element>
    <xsd:element name="MediaServiceGenerationTime" ma:index="112" nillable="true" ma:displayName="MediaServiceGenerationTime" ma:hidden="true" ma:internalName="MediaServiceGenerationTime" ma:readOnly="true">
      <xsd:simpleType>
        <xsd:restriction base="dms:Text"/>
      </xsd:simpleType>
    </xsd:element>
    <xsd:element name="MediaServiceEventHashCode" ma:index="113" nillable="true" ma:displayName="MediaServiceEventHashCode" ma:hidden="true" ma:internalName="MediaServiceEventHashCode" ma:readOnly="true">
      <xsd:simpleType>
        <xsd:restriction base="dms:Text"/>
      </xsd:simpleType>
    </xsd:element>
    <xsd:element name="MediaServiceDateTaken" ma:index="115" nillable="true" ma:displayName="MediaServiceDateTaken" ma:hidden="true" ma:internalName="MediaServiceDateTaken" ma:readOnly="true">
      <xsd:simpleType>
        <xsd:restriction base="dms:Text"/>
      </xsd:simpleType>
    </xsd:element>
    <xsd:element name="lcf76f155ced4ddcb4097134ff3c332f" ma:index="1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LengthInSeconds" ma:index="1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a6c10d7-b926-4fc0-945e-3cbf5049f6bd" ContentTypeId="0x010100F4C63C3BD852AE468EAEFD0E6C57C64F02" PreviousValue="false"/>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C3C1FE41-02D7-40CA-8050-C631E844E0C3}">
  <ds:schemaRefs>
    <ds:schemaRef ds:uri="http://schemas.microsoft.com/office/2006/documentManagement/types"/>
    <ds:schemaRef ds:uri="http://www.w3.org/XML/1998/namespace"/>
    <ds:schemaRef ds:uri="3e02667f-0271-471b-bd6e-11a2e16def1d"/>
    <ds:schemaRef ds:uri="http://schemas.microsoft.com/office/infopath/2007/PartnerControls"/>
    <ds:schemaRef ds:uri="http://schemas.microsoft.com/office/2006/metadata/properties"/>
    <ds:schemaRef ds:uri="http://purl.org/dc/dcmitype/"/>
    <ds:schemaRef ds:uri="http://purl.org/dc/terms/"/>
    <ds:schemaRef ds:uri="http://schemas.openxmlformats.org/package/2006/metadata/core-properties"/>
    <ds:schemaRef ds:uri="241e4cfd-0731-4eff-837c-45d1d997259a"/>
    <ds:schemaRef ds:uri="6385dc9c-8632-49e9-a791-b8d07731333e"/>
    <ds:schemaRef ds:uri="http://purl.org/dc/elements/1.1/"/>
  </ds:schemaRefs>
</ds:datastoreItem>
</file>

<file path=customXml/itemProps2.xml><?xml version="1.0" encoding="utf-8"?>
<ds:datastoreItem xmlns:ds="http://schemas.openxmlformats.org/officeDocument/2006/customXml" ds:itemID="{43C5F5E4-7AC2-43A8-AA1B-ED33299182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6385dc9c-8632-49e9-a791-b8d07731333e"/>
    <ds:schemaRef ds:uri="241e4cfd-0731-4eff-837c-45d1d99725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A0EB7C-EB13-4DBF-99A6-F82D4E6300DB}">
  <ds:schemaRefs>
    <ds:schemaRef ds:uri="http://schemas.microsoft.com/sharepoint/v3/contenttype/forms"/>
  </ds:schemaRefs>
</ds:datastoreItem>
</file>

<file path=customXml/itemProps4.xml><?xml version="1.0" encoding="utf-8"?>
<ds:datastoreItem xmlns:ds="http://schemas.openxmlformats.org/officeDocument/2006/customXml" ds:itemID="{36ADF3F1-7EA4-457F-80F1-7C4AF1252DF6}">
  <ds:schemaRefs>
    <ds:schemaRef ds:uri="Microsoft.SharePoint.Taxonomy.ContentTypeSync"/>
  </ds:schemaRefs>
</ds:datastoreItem>
</file>

<file path=customXml/itemProps5.xml><?xml version="1.0" encoding="utf-8"?>
<ds:datastoreItem xmlns:ds="http://schemas.openxmlformats.org/officeDocument/2006/customXml" ds:itemID="{D755811F-05C3-44D2-83DB-9E6D7BEDB952}">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Data</vt:lpstr>
      <vt:lpstr>Mapping</vt:lpstr>
      <vt:lpstr>Makro Analysis Count per 2 </vt:lpstr>
      <vt:lpstr>Makro Analysis Count per</vt:lpstr>
      <vt:lpstr>PolicyLegende</vt:lpstr>
      <vt:lpstr>Introduction</vt:lpstr>
      <vt:lpstr>Sample Selection</vt:lpstr>
      <vt:lpstr>Sample Select backend</vt:lpstr>
      <vt:lpstr>MPO Data</vt:lpstr>
      <vt:lpstr>Policy Choices within Sample</vt:lpstr>
      <vt:lpstr>Policy Choices across Samples</vt:lpstr>
      <vt:lpstr>Performance within Sample</vt:lpstr>
      <vt:lpstr>Performance within backend</vt:lpstr>
      <vt:lpstr>Performance across Samples</vt:lpstr>
      <vt:lpstr>Performance across Policies</vt:lpstr>
      <vt:lpstr>Perf. across Policies backend</vt:lpstr>
      <vt:lpstr>Performance across backend</vt:lpstr>
      <vt:lpstr>Policy select backend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Assessment of Fiscal Policy Responses to COVID-19 Dashboard</dc:title>
  <dc:creator>Robert Johann Utz;Joseph Paul Massad;Eric Anthony Lacey</dc:creator>
  <cp:lastModifiedBy>aulis pesenti</cp:lastModifiedBy>
  <dcterms:created xsi:type="dcterms:W3CDTF">2020-11-23T15:43:31Z</dcterms:created>
  <dcterms:modified xsi:type="dcterms:W3CDTF">2025-11-12T15:11:51Z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0x010100F4C63C3BD852AE468EAEFD0E6C57C64F02002C8D7C9E701E8444AAD7038E9E130DC000A22CA735C32F3840975C1ABE33FC00C5</vt:lpwstr>
  </property>
  <property fmtid="{D5CDD505-2E9C-101B-9397-08002B2CF9AE}" pid="3" name="WbDocsObjectId">
    <vt:lpwstr/>
  </property>
  <property fmtid="{D5CDD505-2E9C-101B-9397-08002B2CF9AE}" pid="4" name="IsDocumentTagged">
    <vt:lpwstr/>
  </property>
  <property fmtid="{D5CDD505-2E9C-101B-9397-08002B2CF9AE}" pid="5" name="WBDocs_Originating_Unit">
    <vt:lpwstr/>
  </property>
  <property fmtid="{D5CDD505-2E9C-101B-9397-08002B2CF9AE}" pid="6" name="_dlc_DocIdItemGuid">
    <vt:lpwstr>1910c090-f0e1-45cd-b75d-aa696a5fe43b</vt:lpwstr>
  </property>
  <property fmtid="{D5CDD505-2E9C-101B-9397-08002B2CF9AE}" pid="7" name="wb_language">
    <vt:lpwstr>7;#English|832426d7-d0f8-4cc5-a5f1-7b89f69e8f78</vt:lpwstr>
  </property>
  <property fmtid="{D5CDD505-2E9C-101B-9397-08002B2CF9AE}" pid="8" name="WBDocs_Local_Document_Type">
    <vt:lpwstr/>
  </property>
  <property fmtid="{D5CDD505-2E9C-101B-9397-08002B2CF9AE}" pid="9" name="wb_country">
    <vt:lpwstr/>
  </property>
  <property fmtid="{D5CDD505-2E9C-101B-9397-08002B2CF9AE}" pid="10" name="SharedWithUsers">
    <vt:lpwstr>40;#SRV_OPS_DOCS_PROD;#42;#PDS Managers;#43;#IDU Quality Control</vt:lpwstr>
  </property>
  <property fmtid="{D5CDD505-2E9C-101B-9397-08002B2CF9AE}" pid="11" name="n3588c81c2504f79a2ae07b8fc872de1">
    <vt:lpwstr>Official Use Only|4119b812-446b-4199-aebc-580c95bfd42a</vt:lpwstr>
  </property>
  <property fmtid="{D5CDD505-2E9C-101B-9397-08002B2CF9AE}" pid="12" name="DocumentSetDescription">
    <vt:lpwstr/>
  </property>
  <property fmtid="{D5CDD505-2E9C-101B-9397-08002B2CF9AE}" pid="13" name="TemplateUrl">
    <vt:lpwstr/>
  </property>
  <property fmtid="{D5CDD505-2E9C-101B-9397-08002B2CF9AE}" pid="14" name="WBDocs_To">
    <vt:lpwstr/>
  </property>
  <property fmtid="{D5CDD505-2E9C-101B-9397-08002B2CF9AE}" pid="15" name="_ExtendedDescription">
    <vt:lpwstr/>
  </property>
  <property fmtid="{D5CDD505-2E9C-101B-9397-08002B2CF9AE}" pid="16" name="InformationClassification">
    <vt:lpwstr>1;#Official Use Only|4119b812-446b-4199-aebc-580c95bfd42a</vt:lpwstr>
  </property>
  <property fmtid="{D5CDD505-2E9C-101B-9397-08002B2CF9AE}" pid="17" name="WBDocs_Cc">
    <vt:lpwstr/>
  </property>
  <property fmtid="{D5CDD505-2E9C-101B-9397-08002B2CF9AE}" pid="18" name="wb_bankgroupinstitution">
    <vt:lpwstr>10;#IBRD|04371005-de81-4a1e-9b50-038cc9ef25c4</vt:lpwstr>
  </property>
  <property fmtid="{D5CDD505-2E9C-101B-9397-08002B2CF9AE}" pid="19" name="h3c32e242b704477b7d70acf46e958ea">
    <vt:lpwstr/>
  </property>
  <property fmtid="{D5CDD505-2E9C-101B-9397-08002B2CF9AE}" pid="20" name="wb_unitowning">
    <vt:lpwstr/>
  </property>
  <property fmtid="{D5CDD505-2E9C-101B-9397-08002B2CF9AE}" pid="21" name="_CopySource">
    <vt:lpwstr>https://worldbankgroup.sharepoint.com/sites/P175473/Shared Documents/Project/Assessment of Fiscal Policy Responses to COVID-19 Dashboard.xlsx</vt:lpwstr>
  </property>
  <property fmtid="{D5CDD505-2E9C-101B-9397-08002B2CF9AE}" pid="22" name="wb_virtualcollection">
    <vt:lpwstr/>
  </property>
  <property fmtid="{D5CDD505-2E9C-101B-9397-08002B2CF9AE}" pid="23" name="wb_ibtopic1">
    <vt:lpwstr>563;#Coronavirus (COVID-19)|c15aea0f-39ba-4645-a3fb-e4a673ab1bee;#1687;#Fiscal Policy|a63f5d37-2412-4f2a-bad7-3a28aa8c22dc;#931;#Fiscal Policy and Growth|eb2ea66b-a0b7-4532-99f0-6315264468a0;#3463;#Fiscal Policy and Jobs|626945ac-cc45-4212-b9a8-12811aa923e0</vt:lpwstr>
  </property>
  <property fmtid="{D5CDD505-2E9C-101B-9397-08002B2CF9AE}" pid="24" name="Order">
    <vt:r8>2700</vt:r8>
  </property>
  <property fmtid="{D5CDD505-2E9C-101B-9397-08002B2CF9AE}" pid="25" name="wb_iblocaldocumenttype">
    <vt:lpwstr>1534;#Report|99fc2e78-ee98-4335-9e41-5c3d226f3ce7</vt:lpwstr>
  </property>
  <property fmtid="{D5CDD505-2E9C-101B-9397-08002B2CF9AE}" pid="26" name="xd_ProgID">
    <vt:lpwstr/>
  </property>
  <property fmtid="{D5CDD505-2E9C-101B-9397-08002B2CF9AE}" pid="27" name="MediaServiceImageTags">
    <vt:lpwstr/>
  </property>
</Properties>
</file>