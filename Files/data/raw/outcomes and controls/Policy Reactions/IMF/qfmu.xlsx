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368" documentId="13_ncr:1_{9EC61FE1-80C3-477C-B786-26F851794214}" xr6:coauthVersionLast="47" xr6:coauthVersionMax="47" xr10:uidLastSave="{C91D6D1A-F56A-4113-AF13-02AAC82DFFBB}"/>
  <bookViews>
    <workbookView xWindow="-30465" yWindow="-2160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Q2" i="1"/>
  <c r="AP2" i="1"/>
  <c r="AO2" i="1"/>
  <c r="AN2" i="1"/>
  <c r="AM2" i="1"/>
  <c r="AL2" i="1"/>
  <c r="AK2" i="1"/>
  <c r="AJ2" i="1"/>
  <c r="AI2" i="1"/>
  <c r="AH2" i="1"/>
  <c r="AG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" i="1"/>
  <c r="L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" i="1"/>
  <c r="AG14" i="1" l="1"/>
  <c r="AM3" i="1" l="1"/>
  <c r="AM4" i="1"/>
  <c r="AM5" i="1"/>
  <c r="AM6" i="1"/>
  <c r="AM7" i="1"/>
  <c r="AM8" i="1"/>
  <c r="AM9" i="1"/>
  <c r="AM10" i="1"/>
  <c r="AM11" i="1"/>
  <c r="AM12" i="1"/>
  <c r="AM13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8" i="1"/>
  <c r="AM29" i="1"/>
  <c r="AM30" i="1"/>
  <c r="AM31" i="1"/>
  <c r="AM32" i="1"/>
  <c r="AM33" i="1"/>
  <c r="AM34" i="1"/>
  <c r="AM35" i="1"/>
  <c r="AM36" i="1"/>
  <c r="AM39" i="1"/>
  <c r="AM40" i="1"/>
  <c r="AM41" i="1"/>
  <c r="AM42" i="1"/>
  <c r="AM43" i="1"/>
  <c r="AM44" i="1"/>
  <c r="AM45" i="1"/>
  <c r="AM46" i="1"/>
  <c r="AM47" i="1"/>
  <c r="AM48" i="1"/>
  <c r="AM50" i="1"/>
  <c r="AM51" i="1"/>
  <c r="AM52" i="1"/>
  <c r="AM53" i="1"/>
  <c r="AM54" i="1"/>
  <c r="AM55" i="1"/>
  <c r="AM56" i="1"/>
  <c r="AM57" i="1"/>
  <c r="AM58" i="1"/>
  <c r="AM65" i="1"/>
  <c r="AM66" i="1"/>
  <c r="AM67" i="1"/>
  <c r="AM71" i="1"/>
  <c r="AM72" i="1"/>
  <c r="AM73" i="1"/>
  <c r="AM74" i="1"/>
  <c r="AM76" i="1"/>
  <c r="AM77" i="1"/>
  <c r="AM78" i="1"/>
  <c r="AM79" i="1"/>
  <c r="AM80" i="1"/>
  <c r="AM81" i="1"/>
  <c r="AM82" i="1"/>
  <c r="AM83" i="1"/>
  <c r="AM84" i="1"/>
  <c r="AM85" i="1"/>
  <c r="AM86" i="1"/>
  <c r="AM88" i="1"/>
  <c r="AM89" i="1"/>
  <c r="AM90" i="1"/>
  <c r="AM91" i="1"/>
  <c r="AM92" i="1"/>
  <c r="AM93" i="1"/>
  <c r="AM94" i="1"/>
  <c r="AM95" i="1"/>
  <c r="AM96" i="1"/>
  <c r="AM103" i="1"/>
  <c r="AM104" i="1"/>
  <c r="AM105" i="1"/>
  <c r="AM109" i="1"/>
  <c r="AM110" i="1"/>
  <c r="AM111" i="1"/>
  <c r="AM112" i="1"/>
  <c r="AM115" i="1"/>
  <c r="AM116" i="1"/>
  <c r="AM117" i="1"/>
  <c r="AM118" i="1"/>
  <c r="AM119" i="1"/>
  <c r="AM120" i="1"/>
  <c r="AM121" i="1"/>
  <c r="AM122" i="1"/>
  <c r="AM123" i="1"/>
  <c r="AM124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50" i="1"/>
  <c r="AM153" i="1"/>
  <c r="AM154" i="1"/>
  <c r="AM155" i="1"/>
  <c r="AM156" i="1"/>
  <c r="AM157" i="1"/>
  <c r="AM158" i="1"/>
  <c r="AM159" i="1"/>
  <c r="AM160" i="1"/>
  <c r="AM161" i="1"/>
  <c r="AM162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5" i="1"/>
  <c r="AM186" i="1"/>
  <c r="AM188" i="1"/>
  <c r="AM190" i="1"/>
  <c r="AM191" i="1"/>
  <c r="AM193" i="1"/>
  <c r="AM194" i="1"/>
  <c r="AM195" i="1"/>
  <c r="AM198" i="1"/>
  <c r="AM200" i="1"/>
  <c r="AM202" i="1"/>
  <c r="AM203" i="1"/>
  <c r="AM205" i="1"/>
  <c r="AM206" i="1"/>
  <c r="AM207" i="1"/>
  <c r="AM208" i="1"/>
  <c r="AM210" i="1"/>
  <c r="AM211" i="1"/>
  <c r="AM212" i="1"/>
  <c r="AM213" i="1"/>
  <c r="AM218" i="1"/>
  <c r="AM219" i="1"/>
  <c r="AM224" i="1"/>
  <c r="AM225" i="1"/>
  <c r="AM226" i="1"/>
  <c r="AM228" i="1"/>
  <c r="AM229" i="1"/>
  <c r="AM232" i="1"/>
  <c r="AM238" i="1"/>
  <c r="AM240" i="1"/>
  <c r="AM241" i="1"/>
  <c r="AM242" i="1"/>
  <c r="AM244" i="1"/>
  <c r="AM247" i="1"/>
  <c r="AM248" i="1"/>
  <c r="AM249" i="1"/>
  <c r="AM250" i="1"/>
  <c r="AM251" i="1"/>
  <c r="AM252" i="1"/>
  <c r="AM253" i="1"/>
  <c r="AM255" i="1"/>
  <c r="AM256" i="1"/>
  <c r="AM259" i="1"/>
  <c r="AM262" i="1"/>
  <c r="AM264" i="1"/>
  <c r="AM266" i="1"/>
  <c r="AL3" i="1"/>
  <c r="AL4" i="1"/>
  <c r="AL5" i="1"/>
  <c r="AL6" i="1"/>
  <c r="AL7" i="1"/>
  <c r="AL8" i="1"/>
  <c r="AL9" i="1"/>
  <c r="AL10" i="1"/>
  <c r="AL11" i="1"/>
  <c r="AL12" i="1"/>
  <c r="AL13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8" i="1"/>
  <c r="AL29" i="1"/>
  <c r="AL30" i="1"/>
  <c r="AL31" i="1"/>
  <c r="AL32" i="1"/>
  <c r="AL33" i="1"/>
  <c r="AL34" i="1"/>
  <c r="AL35" i="1"/>
  <c r="AL36" i="1"/>
  <c r="AL39" i="1"/>
  <c r="AL40" i="1"/>
  <c r="AL41" i="1"/>
  <c r="AL42" i="1"/>
  <c r="AL43" i="1"/>
  <c r="AL44" i="1"/>
  <c r="AL45" i="1"/>
  <c r="AL46" i="1"/>
  <c r="AL47" i="1"/>
  <c r="AL48" i="1"/>
  <c r="AL50" i="1"/>
  <c r="AL51" i="1"/>
  <c r="AL52" i="1"/>
  <c r="AL53" i="1"/>
  <c r="AL54" i="1"/>
  <c r="AL55" i="1"/>
  <c r="AL56" i="1"/>
  <c r="AL57" i="1"/>
  <c r="AL58" i="1"/>
  <c r="AL65" i="1"/>
  <c r="AL66" i="1"/>
  <c r="AL67" i="1"/>
  <c r="AL71" i="1"/>
  <c r="AL72" i="1"/>
  <c r="AL73" i="1"/>
  <c r="AL74" i="1"/>
  <c r="AL76" i="1"/>
  <c r="AL77" i="1"/>
  <c r="AL78" i="1"/>
  <c r="AL79" i="1"/>
  <c r="AL80" i="1"/>
  <c r="AL81" i="1"/>
  <c r="AL82" i="1"/>
  <c r="AL83" i="1"/>
  <c r="AL84" i="1"/>
  <c r="AL85" i="1"/>
  <c r="AL86" i="1"/>
  <c r="AL88" i="1"/>
  <c r="AL89" i="1"/>
  <c r="AL90" i="1"/>
  <c r="AL91" i="1"/>
  <c r="AL92" i="1"/>
  <c r="AL93" i="1"/>
  <c r="AL94" i="1"/>
  <c r="AL95" i="1"/>
  <c r="AL96" i="1"/>
  <c r="AL103" i="1"/>
  <c r="AL104" i="1"/>
  <c r="AL105" i="1"/>
  <c r="AL109" i="1"/>
  <c r="AL110" i="1"/>
  <c r="AL111" i="1"/>
  <c r="AL112" i="1"/>
  <c r="AL115" i="1"/>
  <c r="AL116" i="1"/>
  <c r="AL117" i="1"/>
  <c r="AL118" i="1"/>
  <c r="AL119" i="1"/>
  <c r="AL120" i="1"/>
  <c r="AL121" i="1"/>
  <c r="AL122" i="1"/>
  <c r="AL123" i="1"/>
  <c r="AL124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50" i="1"/>
  <c r="AL153" i="1"/>
  <c r="AL154" i="1"/>
  <c r="AL155" i="1"/>
  <c r="AL156" i="1"/>
  <c r="AL157" i="1"/>
  <c r="AL158" i="1"/>
  <c r="AL159" i="1"/>
  <c r="AL160" i="1"/>
  <c r="AL161" i="1"/>
  <c r="AL162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5" i="1"/>
  <c r="AL186" i="1"/>
  <c r="AL188" i="1"/>
  <c r="AL190" i="1"/>
  <c r="AL191" i="1"/>
  <c r="AL193" i="1"/>
  <c r="AL194" i="1"/>
  <c r="AL195" i="1"/>
  <c r="AL198" i="1"/>
  <c r="AL200" i="1"/>
  <c r="AL202" i="1"/>
  <c r="AL203" i="1"/>
  <c r="AL205" i="1"/>
  <c r="AL206" i="1"/>
  <c r="AL207" i="1"/>
  <c r="AL208" i="1"/>
  <c r="AL210" i="1"/>
  <c r="AL211" i="1"/>
  <c r="AL212" i="1"/>
  <c r="AL213" i="1"/>
  <c r="AL218" i="1"/>
  <c r="AL219" i="1"/>
  <c r="AL224" i="1"/>
  <c r="AL225" i="1"/>
  <c r="AL226" i="1"/>
  <c r="AL228" i="1"/>
  <c r="AL229" i="1"/>
  <c r="AL232" i="1"/>
  <c r="AL238" i="1"/>
  <c r="AL240" i="1"/>
  <c r="AL241" i="1"/>
  <c r="AL242" i="1"/>
  <c r="AL244" i="1"/>
  <c r="AL247" i="1"/>
  <c r="AL248" i="1"/>
  <c r="AL249" i="1"/>
  <c r="AL250" i="1"/>
  <c r="AL251" i="1"/>
  <c r="AL252" i="1"/>
  <c r="AL253" i="1"/>
  <c r="AL255" i="1"/>
  <c r="AL256" i="1"/>
  <c r="AL259" i="1"/>
  <c r="AL262" i="1"/>
  <c r="AL264" i="1"/>
  <c r="AL266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65" i="1"/>
  <c r="AK66" i="1"/>
  <c r="AK67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103" i="1"/>
  <c r="AK104" i="1"/>
  <c r="AK105" i="1"/>
  <c r="AK109" i="1"/>
  <c r="AK110" i="1"/>
  <c r="AK111" i="1"/>
  <c r="AK112" i="1"/>
  <c r="AK113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5" i="1"/>
  <c r="AK206" i="1"/>
  <c r="AK207" i="1"/>
  <c r="AK208" i="1"/>
  <c r="AK209" i="1"/>
  <c r="AK210" i="1"/>
  <c r="AK211" i="1"/>
  <c r="AK212" i="1"/>
  <c r="AK213" i="1"/>
  <c r="AK215" i="1"/>
  <c r="AK217" i="1"/>
  <c r="AK218" i="1"/>
  <c r="AK219" i="1"/>
  <c r="AK220" i="1"/>
  <c r="AK222" i="1"/>
  <c r="AK224" i="1"/>
  <c r="AK225" i="1"/>
  <c r="AK226" i="1"/>
  <c r="AK227" i="1"/>
  <c r="AK228" i="1"/>
  <c r="AK229" i="1"/>
  <c r="AK231" i="1"/>
  <c r="AK232" i="1"/>
  <c r="AK233" i="1"/>
  <c r="AK235" i="1"/>
  <c r="AK236" i="1"/>
  <c r="AK237" i="1"/>
  <c r="AK238" i="1"/>
  <c r="AK240" i="1"/>
  <c r="AK241" i="1"/>
  <c r="AK242" i="1"/>
  <c r="AK243" i="1"/>
  <c r="AK244" i="1"/>
  <c r="AK245" i="1"/>
  <c r="AK247" i="1"/>
  <c r="AK248" i="1"/>
  <c r="AK249" i="1"/>
  <c r="AK250" i="1"/>
  <c r="AK251" i="1"/>
  <c r="AK252" i="1"/>
  <c r="AK253" i="1"/>
  <c r="AK255" i="1"/>
  <c r="AK256" i="1"/>
  <c r="AK258" i="1"/>
  <c r="AK259" i="1"/>
  <c r="AK260" i="1"/>
  <c r="AK262" i="1"/>
  <c r="AK263" i="1"/>
  <c r="AK264" i="1"/>
  <c r="AK265" i="1"/>
  <c r="AK266" i="1"/>
  <c r="AI3" i="1"/>
  <c r="AJ3" i="1"/>
  <c r="AI4" i="1"/>
  <c r="AJ4" i="1"/>
  <c r="AI5" i="1"/>
  <c r="AJ5" i="1"/>
  <c r="AI6" i="1"/>
  <c r="AJ6" i="1"/>
  <c r="AI7" i="1"/>
  <c r="AJ7" i="1"/>
  <c r="AI8" i="1"/>
  <c r="AJ8" i="1"/>
  <c r="AI9" i="1"/>
  <c r="AJ9" i="1"/>
  <c r="AI10" i="1"/>
  <c r="AJ10" i="1"/>
  <c r="AI11" i="1"/>
  <c r="AJ11" i="1"/>
  <c r="AI12" i="1"/>
  <c r="AJ12" i="1"/>
  <c r="AI13" i="1"/>
  <c r="AI14" i="1"/>
  <c r="AJ14" i="1"/>
  <c r="AI15" i="1"/>
  <c r="AI16" i="1"/>
  <c r="AJ16" i="1"/>
  <c r="AI17" i="1"/>
  <c r="AJ17" i="1"/>
  <c r="AI18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I26" i="1"/>
  <c r="AJ26" i="1"/>
  <c r="AI27" i="1"/>
  <c r="AJ27" i="1"/>
  <c r="AI28" i="1"/>
  <c r="AJ28" i="1"/>
  <c r="AI29" i="1"/>
  <c r="AJ29" i="1"/>
  <c r="AI30" i="1"/>
  <c r="AJ30" i="1"/>
  <c r="AI31" i="1"/>
  <c r="AJ31" i="1"/>
  <c r="AI32" i="1"/>
  <c r="AJ32" i="1"/>
  <c r="AI33" i="1"/>
  <c r="AJ33" i="1"/>
  <c r="AI34" i="1"/>
  <c r="AJ34" i="1"/>
  <c r="AI35" i="1"/>
  <c r="AJ35" i="1"/>
  <c r="AI36" i="1"/>
  <c r="AI37" i="1"/>
  <c r="AJ37" i="1"/>
  <c r="AI38" i="1"/>
  <c r="AJ38" i="1"/>
  <c r="AI39" i="1"/>
  <c r="AJ39" i="1"/>
  <c r="AI40" i="1"/>
  <c r="AJ40" i="1"/>
  <c r="AI41" i="1"/>
  <c r="AJ41" i="1"/>
  <c r="AI42" i="1"/>
  <c r="AJ42" i="1"/>
  <c r="AI43" i="1"/>
  <c r="AJ43" i="1"/>
  <c r="AI44" i="1"/>
  <c r="AJ44" i="1"/>
  <c r="AI45" i="1"/>
  <c r="AJ45" i="1"/>
  <c r="AI46" i="1"/>
  <c r="AJ46" i="1"/>
  <c r="AI47" i="1"/>
  <c r="AJ47" i="1"/>
  <c r="AI48" i="1"/>
  <c r="AJ48" i="1"/>
  <c r="AI49" i="1"/>
  <c r="AJ49" i="1"/>
  <c r="AI50" i="1"/>
  <c r="AJ50" i="1"/>
  <c r="AI51" i="1"/>
  <c r="AJ51" i="1"/>
  <c r="AI52" i="1"/>
  <c r="AJ52" i="1"/>
  <c r="AI53" i="1"/>
  <c r="AJ53" i="1"/>
  <c r="AI54" i="1"/>
  <c r="AJ54" i="1"/>
  <c r="AI55" i="1"/>
  <c r="AJ55" i="1"/>
  <c r="AI56" i="1"/>
  <c r="AJ56" i="1"/>
  <c r="AI57" i="1"/>
  <c r="AJ57" i="1"/>
  <c r="AI58" i="1"/>
  <c r="AJ58" i="1"/>
  <c r="AI65" i="1"/>
  <c r="AJ65" i="1"/>
  <c r="AI66" i="1"/>
  <c r="AJ66" i="1"/>
  <c r="AI67" i="1"/>
  <c r="AJ67" i="1"/>
  <c r="AI71" i="1"/>
  <c r="AJ71" i="1"/>
  <c r="AI72" i="1"/>
  <c r="AJ72" i="1"/>
  <c r="AI73" i="1"/>
  <c r="AJ73" i="1"/>
  <c r="AI74" i="1"/>
  <c r="AJ74" i="1"/>
  <c r="AI75" i="1"/>
  <c r="AJ75" i="1"/>
  <c r="AI76" i="1"/>
  <c r="AJ76" i="1"/>
  <c r="AI77" i="1"/>
  <c r="AJ77" i="1"/>
  <c r="AI78" i="1"/>
  <c r="AJ78" i="1"/>
  <c r="AI79" i="1"/>
  <c r="AJ79" i="1"/>
  <c r="AI80" i="1"/>
  <c r="AJ80" i="1"/>
  <c r="AI81" i="1"/>
  <c r="AJ81" i="1"/>
  <c r="AI82" i="1"/>
  <c r="AJ82" i="1"/>
  <c r="AI83" i="1"/>
  <c r="AJ83" i="1"/>
  <c r="AI84" i="1"/>
  <c r="AJ84" i="1"/>
  <c r="AI85" i="1"/>
  <c r="AJ85" i="1"/>
  <c r="AI86" i="1"/>
  <c r="AJ86" i="1"/>
  <c r="AI87" i="1"/>
  <c r="AJ87" i="1"/>
  <c r="AI88" i="1"/>
  <c r="AJ88" i="1"/>
  <c r="AI89" i="1"/>
  <c r="AJ89" i="1"/>
  <c r="AI90" i="1"/>
  <c r="AJ90" i="1"/>
  <c r="AI91" i="1"/>
  <c r="AJ91" i="1"/>
  <c r="AI92" i="1"/>
  <c r="AJ92" i="1"/>
  <c r="AI93" i="1"/>
  <c r="AJ93" i="1"/>
  <c r="AI94" i="1"/>
  <c r="AJ94" i="1"/>
  <c r="AI95" i="1"/>
  <c r="AJ95" i="1"/>
  <c r="AI96" i="1"/>
  <c r="AJ96" i="1"/>
  <c r="AI103" i="1"/>
  <c r="AJ103" i="1"/>
  <c r="AI104" i="1"/>
  <c r="AJ104" i="1"/>
  <c r="AI105" i="1"/>
  <c r="AI109" i="1"/>
  <c r="AJ109" i="1"/>
  <c r="AI110" i="1"/>
  <c r="AJ110" i="1"/>
  <c r="AI111" i="1"/>
  <c r="AJ111" i="1"/>
  <c r="AI112" i="1"/>
  <c r="AJ112" i="1"/>
  <c r="AI113" i="1"/>
  <c r="AJ113" i="1"/>
  <c r="AI115" i="1"/>
  <c r="AJ115" i="1"/>
  <c r="AI116" i="1"/>
  <c r="AJ116" i="1"/>
  <c r="AI117" i="1"/>
  <c r="AJ117" i="1"/>
  <c r="AI118" i="1"/>
  <c r="AJ118" i="1"/>
  <c r="AI119" i="1"/>
  <c r="AJ119" i="1"/>
  <c r="AI120" i="1"/>
  <c r="AJ120" i="1"/>
  <c r="AI121" i="1"/>
  <c r="AJ121" i="1"/>
  <c r="AI122" i="1"/>
  <c r="AJ122" i="1"/>
  <c r="AI123" i="1"/>
  <c r="AJ123" i="1"/>
  <c r="AI124" i="1"/>
  <c r="AJ124" i="1"/>
  <c r="AI125" i="1"/>
  <c r="AJ125" i="1"/>
  <c r="AI126" i="1"/>
  <c r="AJ126" i="1"/>
  <c r="AI127" i="1"/>
  <c r="AJ127" i="1"/>
  <c r="AI128" i="1"/>
  <c r="AJ128" i="1"/>
  <c r="AI129" i="1"/>
  <c r="AJ129" i="1"/>
  <c r="AI130" i="1"/>
  <c r="AJ130" i="1"/>
  <c r="AI131" i="1"/>
  <c r="AJ131" i="1"/>
  <c r="AI132" i="1"/>
  <c r="AJ132" i="1"/>
  <c r="AI133" i="1"/>
  <c r="AJ133" i="1"/>
  <c r="AI134" i="1"/>
  <c r="AJ134" i="1"/>
  <c r="AI135" i="1"/>
  <c r="AJ135" i="1"/>
  <c r="AI136" i="1"/>
  <c r="AJ136" i="1"/>
  <c r="AI137" i="1"/>
  <c r="AJ137" i="1"/>
  <c r="AI138" i="1"/>
  <c r="AJ138" i="1"/>
  <c r="AI139" i="1"/>
  <c r="AJ139" i="1"/>
  <c r="AI140" i="1"/>
  <c r="AJ140" i="1"/>
  <c r="AI141" i="1"/>
  <c r="AJ141" i="1"/>
  <c r="AI142" i="1"/>
  <c r="AJ142" i="1"/>
  <c r="AI143" i="1"/>
  <c r="AJ143" i="1"/>
  <c r="AI144" i="1"/>
  <c r="AJ144" i="1"/>
  <c r="AI145" i="1"/>
  <c r="AJ145" i="1"/>
  <c r="AI146" i="1"/>
  <c r="AJ146" i="1"/>
  <c r="AI147" i="1"/>
  <c r="AJ147" i="1"/>
  <c r="AI148" i="1"/>
  <c r="AJ148" i="1"/>
  <c r="AI149" i="1"/>
  <c r="AJ149" i="1"/>
  <c r="AI150" i="1"/>
  <c r="AJ150" i="1"/>
  <c r="AI151" i="1"/>
  <c r="AJ151" i="1"/>
  <c r="AI152" i="1"/>
  <c r="AJ152" i="1"/>
  <c r="AI153" i="1"/>
  <c r="AJ153" i="1"/>
  <c r="AI154" i="1"/>
  <c r="AJ154" i="1"/>
  <c r="AI155" i="1"/>
  <c r="AJ155" i="1"/>
  <c r="AI156" i="1"/>
  <c r="AJ156" i="1"/>
  <c r="AI157" i="1"/>
  <c r="AJ157" i="1"/>
  <c r="AI158" i="1"/>
  <c r="AJ158" i="1"/>
  <c r="AI159" i="1"/>
  <c r="AJ159" i="1"/>
  <c r="AI160" i="1"/>
  <c r="AJ160" i="1"/>
  <c r="AI161" i="1"/>
  <c r="AJ161" i="1"/>
  <c r="AI162" i="1"/>
  <c r="AJ162" i="1"/>
  <c r="AI163" i="1"/>
  <c r="AJ163" i="1"/>
  <c r="AI164" i="1"/>
  <c r="AJ164" i="1"/>
  <c r="AI165" i="1"/>
  <c r="AJ165" i="1"/>
  <c r="AI166" i="1"/>
  <c r="AJ166" i="1"/>
  <c r="AI167" i="1"/>
  <c r="AJ167" i="1"/>
  <c r="AI168" i="1"/>
  <c r="AJ168" i="1"/>
  <c r="AI169" i="1"/>
  <c r="AJ169" i="1"/>
  <c r="AI170" i="1"/>
  <c r="AJ170" i="1"/>
  <c r="AI171" i="1"/>
  <c r="AJ171" i="1"/>
  <c r="AI172" i="1"/>
  <c r="AJ172" i="1"/>
  <c r="AI173" i="1"/>
  <c r="AJ173" i="1"/>
  <c r="AI174" i="1"/>
  <c r="AJ174" i="1"/>
  <c r="AI175" i="1"/>
  <c r="AJ175" i="1"/>
  <c r="AI176" i="1"/>
  <c r="AJ176" i="1"/>
  <c r="AI177" i="1"/>
  <c r="AJ177" i="1"/>
  <c r="AI178" i="1"/>
  <c r="AJ178" i="1"/>
  <c r="AI179" i="1"/>
  <c r="AJ179" i="1"/>
  <c r="AI180" i="1"/>
  <c r="AJ180" i="1"/>
  <c r="AI181" i="1"/>
  <c r="AJ181" i="1"/>
  <c r="AI182" i="1"/>
  <c r="AJ182" i="1"/>
  <c r="AI183" i="1"/>
  <c r="AJ183" i="1"/>
  <c r="AI184" i="1"/>
  <c r="AJ184" i="1"/>
  <c r="AI185" i="1"/>
  <c r="AJ185" i="1"/>
  <c r="AI186" i="1"/>
  <c r="AJ186" i="1"/>
  <c r="AI188" i="1"/>
  <c r="AJ188" i="1"/>
  <c r="AI189" i="1"/>
  <c r="AJ189" i="1"/>
  <c r="AI190" i="1"/>
  <c r="AJ190" i="1"/>
  <c r="AI191" i="1"/>
  <c r="AJ191" i="1"/>
  <c r="AI192" i="1"/>
  <c r="AJ192" i="1"/>
  <c r="AI193" i="1"/>
  <c r="AJ193" i="1"/>
  <c r="AI194" i="1"/>
  <c r="AJ194" i="1"/>
  <c r="AI195" i="1"/>
  <c r="AJ195" i="1"/>
  <c r="AI196" i="1"/>
  <c r="AJ196" i="1"/>
  <c r="AI197" i="1"/>
  <c r="AJ197" i="1"/>
  <c r="AI198" i="1"/>
  <c r="AJ198" i="1"/>
  <c r="AI199" i="1"/>
  <c r="AJ199" i="1"/>
  <c r="AI200" i="1"/>
  <c r="AI201" i="1"/>
  <c r="AJ201" i="1"/>
  <c r="AI202" i="1"/>
  <c r="AJ202" i="1"/>
  <c r="AI203" i="1"/>
  <c r="AJ203" i="1"/>
  <c r="AI205" i="1"/>
  <c r="AJ205" i="1"/>
  <c r="AI206" i="1"/>
  <c r="AJ206" i="1"/>
  <c r="AI207" i="1"/>
  <c r="AJ207" i="1"/>
  <c r="AI208" i="1"/>
  <c r="AJ208" i="1"/>
  <c r="AI209" i="1"/>
  <c r="AJ209" i="1"/>
  <c r="AI210" i="1"/>
  <c r="AJ210" i="1"/>
  <c r="AI211" i="1"/>
  <c r="AI212" i="1"/>
  <c r="AJ212" i="1"/>
  <c r="AI213" i="1"/>
  <c r="AJ213" i="1"/>
  <c r="AI215" i="1"/>
  <c r="AJ215" i="1"/>
  <c r="AI217" i="1"/>
  <c r="AJ217" i="1"/>
  <c r="AI218" i="1"/>
  <c r="AI219" i="1"/>
  <c r="AJ219" i="1"/>
  <c r="AI220" i="1"/>
  <c r="AJ220" i="1"/>
  <c r="AI222" i="1"/>
  <c r="AJ222" i="1"/>
  <c r="AI224" i="1"/>
  <c r="AJ224" i="1"/>
  <c r="AI225" i="1"/>
  <c r="AJ225" i="1"/>
  <c r="AI226" i="1"/>
  <c r="AJ226" i="1"/>
  <c r="AI227" i="1"/>
  <c r="AJ227" i="1"/>
  <c r="AI228" i="1"/>
  <c r="AJ228" i="1"/>
  <c r="AI229" i="1"/>
  <c r="AJ229" i="1"/>
  <c r="AI231" i="1"/>
  <c r="AJ231" i="1"/>
  <c r="AI232" i="1"/>
  <c r="AJ232" i="1"/>
  <c r="AI233" i="1"/>
  <c r="AJ233" i="1"/>
  <c r="AI235" i="1"/>
  <c r="AJ235" i="1"/>
  <c r="AI236" i="1"/>
  <c r="AJ236" i="1"/>
  <c r="AI237" i="1"/>
  <c r="AJ237" i="1"/>
  <c r="AI238" i="1"/>
  <c r="AJ238" i="1"/>
  <c r="AI240" i="1"/>
  <c r="AI241" i="1"/>
  <c r="AJ241" i="1"/>
  <c r="AI242" i="1"/>
  <c r="AJ242" i="1"/>
  <c r="AI243" i="1"/>
  <c r="AJ243" i="1"/>
  <c r="AI244" i="1"/>
  <c r="AJ244" i="1"/>
  <c r="AI245" i="1"/>
  <c r="AJ245" i="1"/>
  <c r="AI247" i="1"/>
  <c r="AJ247" i="1"/>
  <c r="AI248" i="1"/>
  <c r="AJ248" i="1"/>
  <c r="AI249" i="1"/>
  <c r="AJ249" i="1"/>
  <c r="AI250" i="1"/>
  <c r="AJ250" i="1"/>
  <c r="AI251" i="1"/>
  <c r="AJ251" i="1"/>
  <c r="AI252" i="1"/>
  <c r="AJ252" i="1"/>
  <c r="AI253" i="1"/>
  <c r="AJ253" i="1"/>
  <c r="AI255" i="1"/>
  <c r="AI256" i="1"/>
  <c r="AI258" i="1"/>
  <c r="AJ258" i="1"/>
  <c r="AI259" i="1"/>
  <c r="AJ259" i="1"/>
  <c r="AI260" i="1"/>
  <c r="AJ260" i="1"/>
  <c r="AI262" i="1"/>
  <c r="AJ262" i="1"/>
  <c r="AI263" i="1"/>
  <c r="AJ263" i="1"/>
  <c r="AI264" i="1"/>
  <c r="AJ264" i="1"/>
  <c r="AI265" i="1"/>
  <c r="AJ265" i="1"/>
  <c r="AI266" i="1"/>
  <c r="AJ266" i="1"/>
  <c r="AN3" i="1"/>
  <c r="AO3" i="1"/>
  <c r="AN4" i="1"/>
  <c r="AO4" i="1"/>
  <c r="AN5" i="1"/>
  <c r="AO5" i="1"/>
  <c r="AN6" i="1"/>
  <c r="AO6" i="1"/>
  <c r="AN7" i="1"/>
  <c r="AO7" i="1"/>
  <c r="AN8" i="1"/>
  <c r="AO8" i="1"/>
  <c r="AN9" i="1"/>
  <c r="AO9" i="1"/>
  <c r="AN10" i="1"/>
  <c r="AO10" i="1"/>
  <c r="AN11" i="1"/>
  <c r="AO11" i="1"/>
  <c r="AN12" i="1"/>
  <c r="AO12" i="1"/>
  <c r="AN13" i="1"/>
  <c r="AO13" i="1"/>
  <c r="AN14" i="1"/>
  <c r="AO14" i="1"/>
  <c r="AN15" i="1"/>
  <c r="AO15" i="1"/>
  <c r="AN16" i="1"/>
  <c r="AO16" i="1"/>
  <c r="AN17" i="1"/>
  <c r="AO17" i="1"/>
  <c r="AN18" i="1"/>
  <c r="AO18" i="1"/>
  <c r="AN19" i="1"/>
  <c r="AO19" i="1"/>
  <c r="AN20" i="1"/>
  <c r="AO20" i="1"/>
  <c r="AN21" i="1"/>
  <c r="AO21" i="1"/>
  <c r="AN22" i="1"/>
  <c r="AO22" i="1"/>
  <c r="AN23" i="1"/>
  <c r="AO23" i="1"/>
  <c r="AN24" i="1"/>
  <c r="AO24" i="1"/>
  <c r="AN25" i="1"/>
  <c r="AO25" i="1"/>
  <c r="AN26" i="1"/>
  <c r="AO26" i="1"/>
  <c r="AN27" i="1"/>
  <c r="AO27" i="1"/>
  <c r="AN28" i="1"/>
  <c r="AO28" i="1"/>
  <c r="AN29" i="1"/>
  <c r="AO29" i="1"/>
  <c r="AN30" i="1"/>
  <c r="AO30" i="1"/>
  <c r="AN31" i="1"/>
  <c r="AO31" i="1"/>
  <c r="AN32" i="1"/>
  <c r="AO32" i="1"/>
  <c r="AN33" i="1"/>
  <c r="AO33" i="1"/>
  <c r="AN34" i="1"/>
  <c r="AO34" i="1"/>
  <c r="AN35" i="1"/>
  <c r="AO35" i="1"/>
  <c r="AN36" i="1"/>
  <c r="AO36" i="1"/>
  <c r="AN37" i="1"/>
  <c r="AO37" i="1"/>
  <c r="AN38" i="1"/>
  <c r="AO38" i="1"/>
  <c r="AN39" i="1"/>
  <c r="AO39" i="1"/>
  <c r="AN40" i="1"/>
  <c r="AO40" i="1"/>
  <c r="AN41" i="1"/>
  <c r="AO41" i="1"/>
  <c r="AN42" i="1"/>
  <c r="AO42" i="1"/>
  <c r="AN43" i="1"/>
  <c r="AO43" i="1"/>
  <c r="AN44" i="1"/>
  <c r="AO44" i="1"/>
  <c r="AN45" i="1"/>
  <c r="AO45" i="1"/>
  <c r="AN46" i="1"/>
  <c r="AO46" i="1"/>
  <c r="AN47" i="1"/>
  <c r="AO47" i="1"/>
  <c r="AN48" i="1"/>
  <c r="AO48" i="1"/>
  <c r="AN49" i="1"/>
  <c r="AO49" i="1"/>
  <c r="AN50" i="1"/>
  <c r="AO50" i="1"/>
  <c r="AN51" i="1"/>
  <c r="AO51" i="1"/>
  <c r="AN52" i="1"/>
  <c r="AO52" i="1"/>
  <c r="AN53" i="1"/>
  <c r="AO53" i="1"/>
  <c r="AN54" i="1"/>
  <c r="AO54" i="1"/>
  <c r="AN55" i="1"/>
  <c r="AO55" i="1"/>
  <c r="AN56" i="1"/>
  <c r="AO56" i="1"/>
  <c r="AN57" i="1"/>
  <c r="AO57" i="1"/>
  <c r="AN58" i="1"/>
  <c r="AO58" i="1"/>
  <c r="AN59" i="1"/>
  <c r="AO59" i="1"/>
  <c r="AN60" i="1"/>
  <c r="AO60" i="1"/>
  <c r="AN61" i="1"/>
  <c r="AO61" i="1"/>
  <c r="AN62" i="1"/>
  <c r="AO62" i="1"/>
  <c r="AN63" i="1"/>
  <c r="AO63" i="1"/>
  <c r="AN64" i="1"/>
  <c r="AO64" i="1"/>
  <c r="AN65" i="1"/>
  <c r="AO65" i="1"/>
  <c r="AN66" i="1"/>
  <c r="AO66" i="1"/>
  <c r="AN67" i="1"/>
  <c r="AO67" i="1"/>
  <c r="AN68" i="1"/>
  <c r="AO68" i="1"/>
  <c r="AN69" i="1"/>
  <c r="AO69" i="1"/>
  <c r="AN70" i="1"/>
  <c r="AO70" i="1"/>
  <c r="AN71" i="1"/>
  <c r="AO71" i="1"/>
  <c r="AN72" i="1"/>
  <c r="AO72" i="1"/>
  <c r="AN73" i="1"/>
  <c r="AO73" i="1"/>
  <c r="AN74" i="1"/>
  <c r="AO74" i="1"/>
  <c r="AN75" i="1"/>
  <c r="AO75" i="1"/>
  <c r="AN76" i="1"/>
  <c r="AO76" i="1"/>
  <c r="AN77" i="1"/>
  <c r="AO77" i="1"/>
  <c r="AN78" i="1"/>
  <c r="AO78" i="1"/>
  <c r="AN79" i="1"/>
  <c r="AO79" i="1"/>
  <c r="AN80" i="1"/>
  <c r="AO80" i="1"/>
  <c r="AN81" i="1"/>
  <c r="AO81" i="1"/>
  <c r="AN82" i="1"/>
  <c r="AO82" i="1"/>
  <c r="AN83" i="1"/>
  <c r="AO83" i="1"/>
  <c r="AN84" i="1"/>
  <c r="AO84" i="1"/>
  <c r="AN85" i="1"/>
  <c r="AO85" i="1"/>
  <c r="AN86" i="1"/>
  <c r="AO86" i="1"/>
  <c r="AN87" i="1"/>
  <c r="AO87" i="1"/>
  <c r="AN88" i="1"/>
  <c r="AO88" i="1"/>
  <c r="AN89" i="1"/>
  <c r="AO89" i="1"/>
  <c r="AN90" i="1"/>
  <c r="AO90" i="1"/>
  <c r="AN91" i="1"/>
  <c r="AO91" i="1"/>
  <c r="AN92" i="1"/>
  <c r="AO92" i="1"/>
  <c r="AN93" i="1"/>
  <c r="AO93" i="1"/>
  <c r="AN94" i="1"/>
  <c r="AO94" i="1"/>
  <c r="AN95" i="1"/>
  <c r="AO95" i="1"/>
  <c r="AN96" i="1"/>
  <c r="AO96" i="1"/>
  <c r="AN97" i="1"/>
  <c r="AO97" i="1"/>
  <c r="AN98" i="1"/>
  <c r="AO98" i="1"/>
  <c r="AN99" i="1"/>
  <c r="AO99" i="1"/>
  <c r="AN100" i="1"/>
  <c r="AO100" i="1"/>
  <c r="AN101" i="1"/>
  <c r="AO101" i="1"/>
  <c r="AN102" i="1"/>
  <c r="AO102" i="1"/>
  <c r="AN103" i="1"/>
  <c r="AO103" i="1"/>
  <c r="AN104" i="1"/>
  <c r="AO104" i="1"/>
  <c r="AN105" i="1"/>
  <c r="AO105" i="1"/>
  <c r="AN106" i="1"/>
  <c r="AO106" i="1"/>
  <c r="AN107" i="1"/>
  <c r="AO107" i="1"/>
  <c r="AN108" i="1"/>
  <c r="AO108" i="1"/>
  <c r="AN109" i="1"/>
  <c r="AO109" i="1"/>
  <c r="AN110" i="1"/>
  <c r="AO110" i="1"/>
  <c r="AN111" i="1"/>
  <c r="AO111" i="1"/>
  <c r="AN112" i="1"/>
  <c r="AO112" i="1"/>
  <c r="AN113" i="1"/>
  <c r="AO113" i="1"/>
  <c r="AN114" i="1"/>
  <c r="AO114" i="1"/>
  <c r="AN115" i="1"/>
  <c r="AO115" i="1"/>
  <c r="AN116" i="1"/>
  <c r="AO116" i="1"/>
  <c r="AN117" i="1"/>
  <c r="AO117" i="1"/>
  <c r="AN118" i="1"/>
  <c r="AO118" i="1"/>
  <c r="AN119" i="1"/>
  <c r="AO119" i="1"/>
  <c r="AN120" i="1"/>
  <c r="AO120" i="1"/>
  <c r="AN121" i="1"/>
  <c r="AO121" i="1"/>
  <c r="AN122" i="1"/>
  <c r="AO122" i="1"/>
  <c r="AN123" i="1"/>
  <c r="AO123" i="1"/>
  <c r="AN124" i="1"/>
  <c r="AO124" i="1"/>
  <c r="AN125" i="1"/>
  <c r="AO125" i="1"/>
  <c r="AN126" i="1"/>
  <c r="AO126" i="1"/>
  <c r="AN127" i="1"/>
  <c r="AO127" i="1"/>
  <c r="AN128" i="1"/>
  <c r="AO128" i="1"/>
  <c r="AN129" i="1"/>
  <c r="AO129" i="1"/>
  <c r="AN130" i="1"/>
  <c r="AO130" i="1"/>
  <c r="AN131" i="1"/>
  <c r="AO131" i="1"/>
  <c r="AN132" i="1"/>
  <c r="AO132" i="1"/>
  <c r="AN133" i="1"/>
  <c r="AO133" i="1"/>
  <c r="AN134" i="1"/>
  <c r="AO134" i="1"/>
  <c r="AN135" i="1"/>
  <c r="AO135" i="1"/>
  <c r="AN136" i="1"/>
  <c r="AO136" i="1"/>
  <c r="AN137" i="1"/>
  <c r="AO137" i="1"/>
  <c r="AN138" i="1"/>
  <c r="AO138" i="1"/>
  <c r="AN139" i="1"/>
  <c r="AO139" i="1"/>
  <c r="AN140" i="1"/>
  <c r="AO140" i="1"/>
  <c r="AN141" i="1"/>
  <c r="AO141" i="1"/>
  <c r="AN142" i="1"/>
  <c r="AO142" i="1"/>
  <c r="AN143" i="1"/>
  <c r="AO143" i="1"/>
  <c r="AN144" i="1"/>
  <c r="AO144" i="1"/>
  <c r="AN145" i="1"/>
  <c r="AO145" i="1"/>
  <c r="AN146" i="1"/>
  <c r="AO146" i="1"/>
  <c r="AN147" i="1"/>
  <c r="AO147" i="1"/>
  <c r="AN148" i="1"/>
  <c r="AO148" i="1"/>
  <c r="AN149" i="1"/>
  <c r="AO149" i="1"/>
  <c r="AN150" i="1"/>
  <c r="AO150" i="1"/>
  <c r="AN151" i="1"/>
  <c r="AO151" i="1"/>
  <c r="AN152" i="1"/>
  <c r="AO152" i="1"/>
  <c r="AN153" i="1"/>
  <c r="AO153" i="1"/>
  <c r="AN154" i="1"/>
  <c r="AO154" i="1"/>
  <c r="AN155" i="1"/>
  <c r="AO155" i="1"/>
  <c r="AN156" i="1"/>
  <c r="AO156" i="1"/>
  <c r="AN157" i="1"/>
  <c r="AO157" i="1"/>
  <c r="AN158" i="1"/>
  <c r="AO158" i="1"/>
  <c r="AN159" i="1"/>
  <c r="AO159" i="1"/>
  <c r="AN160" i="1"/>
  <c r="AO160" i="1"/>
  <c r="AN161" i="1"/>
  <c r="AO161" i="1"/>
  <c r="AN162" i="1"/>
  <c r="AO162" i="1"/>
  <c r="AN163" i="1"/>
  <c r="AO163" i="1"/>
  <c r="AN164" i="1"/>
  <c r="AO164" i="1"/>
  <c r="AN165" i="1"/>
  <c r="AO165" i="1"/>
  <c r="AN166" i="1"/>
  <c r="AO166" i="1"/>
  <c r="AN167" i="1"/>
  <c r="AO167" i="1"/>
  <c r="AN168" i="1"/>
  <c r="AO168" i="1"/>
  <c r="AN169" i="1"/>
  <c r="AO169" i="1"/>
  <c r="AN170" i="1"/>
  <c r="AO170" i="1"/>
  <c r="AN171" i="1"/>
  <c r="AO171" i="1"/>
  <c r="AN172" i="1"/>
  <c r="AO172" i="1"/>
  <c r="AN173" i="1"/>
  <c r="AO173" i="1"/>
  <c r="AN174" i="1"/>
  <c r="AO174" i="1"/>
  <c r="AN175" i="1"/>
  <c r="AO175" i="1"/>
  <c r="AN176" i="1"/>
  <c r="AO176" i="1"/>
  <c r="AN177" i="1"/>
  <c r="AO177" i="1"/>
  <c r="AN178" i="1"/>
  <c r="AO178" i="1"/>
  <c r="AN179" i="1"/>
  <c r="AO179" i="1"/>
  <c r="AN180" i="1"/>
  <c r="AO180" i="1"/>
  <c r="AN181" i="1"/>
  <c r="AO181" i="1"/>
  <c r="AN182" i="1"/>
  <c r="AO182" i="1"/>
  <c r="AN183" i="1"/>
  <c r="AO183" i="1"/>
  <c r="AN184" i="1"/>
  <c r="AO184" i="1"/>
  <c r="AN185" i="1"/>
  <c r="AO185" i="1"/>
  <c r="AN186" i="1"/>
  <c r="AO186" i="1"/>
  <c r="AN187" i="1"/>
  <c r="AO187" i="1"/>
  <c r="AN188" i="1"/>
  <c r="AO188" i="1"/>
  <c r="AN189" i="1"/>
  <c r="AO189" i="1"/>
  <c r="AN190" i="1"/>
  <c r="AO190" i="1"/>
  <c r="AN191" i="1"/>
  <c r="AO191" i="1"/>
  <c r="AN192" i="1"/>
  <c r="AO192" i="1"/>
  <c r="AN193" i="1"/>
  <c r="AO193" i="1"/>
  <c r="AN194" i="1"/>
  <c r="AO194" i="1"/>
  <c r="AN195" i="1"/>
  <c r="AO195" i="1"/>
  <c r="AN196" i="1"/>
  <c r="AO196" i="1"/>
  <c r="AN197" i="1"/>
  <c r="AO197" i="1"/>
  <c r="AN198" i="1"/>
  <c r="AO198" i="1"/>
  <c r="AN199" i="1"/>
  <c r="AO199" i="1"/>
  <c r="AN200" i="1"/>
  <c r="AO200" i="1"/>
  <c r="AN201" i="1"/>
  <c r="AO201" i="1"/>
  <c r="AN202" i="1"/>
  <c r="AO202" i="1"/>
  <c r="AN203" i="1"/>
  <c r="AO203" i="1"/>
  <c r="AN204" i="1"/>
  <c r="AO204" i="1"/>
  <c r="AN205" i="1"/>
  <c r="AO205" i="1"/>
  <c r="AN206" i="1"/>
  <c r="AO206" i="1"/>
  <c r="AN207" i="1"/>
  <c r="AO207" i="1"/>
  <c r="AN208" i="1"/>
  <c r="AO208" i="1"/>
  <c r="AN209" i="1"/>
  <c r="AO209" i="1"/>
  <c r="AN210" i="1"/>
  <c r="AO210" i="1"/>
  <c r="AN211" i="1"/>
  <c r="AO211" i="1"/>
  <c r="AN212" i="1"/>
  <c r="AO212" i="1"/>
  <c r="AN213" i="1"/>
  <c r="AO213" i="1"/>
  <c r="AN214" i="1"/>
  <c r="AO214" i="1"/>
  <c r="AN215" i="1"/>
  <c r="AO215" i="1"/>
  <c r="AN216" i="1"/>
  <c r="AO216" i="1"/>
  <c r="AN217" i="1"/>
  <c r="AO217" i="1"/>
  <c r="AN218" i="1"/>
  <c r="AO218" i="1"/>
  <c r="AN219" i="1"/>
  <c r="AO219" i="1"/>
  <c r="AN220" i="1"/>
  <c r="AO220" i="1"/>
  <c r="AN221" i="1"/>
  <c r="AO221" i="1"/>
  <c r="AN222" i="1"/>
  <c r="AO222" i="1"/>
  <c r="AN223" i="1"/>
  <c r="AO223" i="1"/>
  <c r="AN224" i="1"/>
  <c r="AO224" i="1"/>
  <c r="AN225" i="1"/>
  <c r="AO225" i="1"/>
  <c r="AN226" i="1"/>
  <c r="AO226" i="1"/>
  <c r="AN227" i="1"/>
  <c r="AO227" i="1"/>
  <c r="AN228" i="1"/>
  <c r="AO228" i="1"/>
  <c r="AN229" i="1"/>
  <c r="AO229" i="1"/>
  <c r="AN230" i="1"/>
  <c r="AO230" i="1"/>
  <c r="AN231" i="1"/>
  <c r="AO231" i="1"/>
  <c r="AN232" i="1"/>
  <c r="AO232" i="1"/>
  <c r="AN233" i="1"/>
  <c r="AO233" i="1"/>
  <c r="AN234" i="1"/>
  <c r="AO234" i="1"/>
  <c r="AN235" i="1"/>
  <c r="AO235" i="1"/>
  <c r="AN236" i="1"/>
  <c r="AO236" i="1"/>
  <c r="AN237" i="1"/>
  <c r="AO237" i="1"/>
  <c r="AN238" i="1"/>
  <c r="AO238" i="1"/>
  <c r="AN239" i="1"/>
  <c r="AO239" i="1"/>
  <c r="AN240" i="1"/>
  <c r="AO240" i="1"/>
  <c r="AN241" i="1"/>
  <c r="AO241" i="1"/>
  <c r="AN242" i="1"/>
  <c r="AO242" i="1"/>
  <c r="AN243" i="1"/>
  <c r="AO243" i="1"/>
  <c r="AN244" i="1"/>
  <c r="AO244" i="1"/>
  <c r="AN245" i="1"/>
  <c r="AO245" i="1"/>
  <c r="AN246" i="1"/>
  <c r="AO246" i="1"/>
  <c r="AN247" i="1"/>
  <c r="AO247" i="1"/>
  <c r="AN248" i="1"/>
  <c r="AO248" i="1"/>
  <c r="AN249" i="1"/>
  <c r="AO249" i="1"/>
  <c r="AN250" i="1"/>
  <c r="AO250" i="1"/>
  <c r="AN251" i="1"/>
  <c r="AO251" i="1"/>
  <c r="AN252" i="1"/>
  <c r="AO252" i="1"/>
  <c r="AN253" i="1"/>
  <c r="AO253" i="1"/>
  <c r="AN254" i="1"/>
  <c r="AO254" i="1"/>
  <c r="AN255" i="1"/>
  <c r="AO255" i="1"/>
  <c r="AN256" i="1"/>
  <c r="AO256" i="1"/>
  <c r="AN257" i="1"/>
  <c r="AO257" i="1"/>
  <c r="AN258" i="1"/>
  <c r="AO258" i="1"/>
  <c r="AN259" i="1"/>
  <c r="AO259" i="1"/>
  <c r="AN260" i="1"/>
  <c r="AO260" i="1"/>
  <c r="AN261" i="1"/>
  <c r="AO261" i="1"/>
  <c r="AN262" i="1"/>
  <c r="AO262" i="1"/>
  <c r="AN263" i="1"/>
  <c r="AO263" i="1"/>
  <c r="AN264" i="1"/>
  <c r="AO264" i="1"/>
  <c r="AN265" i="1"/>
  <c r="AO265" i="1"/>
  <c r="AN266" i="1"/>
  <c r="AO266" i="1"/>
  <c r="AN267" i="1"/>
  <c r="AO267" i="1"/>
  <c r="AG3" i="1"/>
  <c r="AG4" i="1"/>
  <c r="AG5" i="1"/>
  <c r="AG6" i="1"/>
  <c r="AG7" i="1"/>
  <c r="AG8" i="1"/>
  <c r="AG9" i="1"/>
  <c r="AG10" i="1"/>
  <c r="AG11" i="1"/>
  <c r="AG12" i="1"/>
  <c r="AG13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65" i="1"/>
  <c r="AG66" i="1"/>
  <c r="AG67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103" i="1"/>
  <c r="AG104" i="1"/>
  <c r="AG105" i="1"/>
  <c r="AG109" i="1"/>
  <c r="AG110" i="1"/>
  <c r="AG111" i="1"/>
  <c r="AG112" i="1"/>
  <c r="AG113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5" i="1"/>
  <c r="AG206" i="1"/>
  <c r="AG207" i="1"/>
  <c r="AG208" i="1"/>
  <c r="AG209" i="1"/>
  <c r="AG210" i="1"/>
  <c r="AG211" i="1"/>
  <c r="AG212" i="1"/>
  <c r="AG213" i="1"/>
  <c r="AG215" i="1"/>
  <c r="AG217" i="1"/>
  <c r="AG218" i="1"/>
  <c r="AG219" i="1"/>
  <c r="AG220" i="1"/>
  <c r="AG222" i="1"/>
  <c r="AG224" i="1"/>
  <c r="AG225" i="1"/>
  <c r="AG226" i="1"/>
  <c r="AG227" i="1"/>
  <c r="AG228" i="1"/>
  <c r="AG229" i="1"/>
  <c r="AG231" i="1"/>
  <c r="AG232" i="1"/>
  <c r="AG233" i="1"/>
  <c r="AG235" i="1"/>
  <c r="AG236" i="1"/>
  <c r="AG237" i="1"/>
  <c r="AG238" i="1"/>
  <c r="AG240" i="1"/>
  <c r="AG241" i="1"/>
  <c r="AG242" i="1"/>
  <c r="AG243" i="1"/>
  <c r="AG244" i="1"/>
  <c r="AG245" i="1"/>
  <c r="AG247" i="1"/>
  <c r="AG248" i="1"/>
  <c r="AG249" i="1"/>
  <c r="AG250" i="1"/>
  <c r="AG251" i="1"/>
  <c r="AG252" i="1"/>
  <c r="AG253" i="1"/>
  <c r="AG255" i="1"/>
  <c r="AG256" i="1"/>
  <c r="AG258" i="1"/>
  <c r="AG259" i="1"/>
  <c r="AG260" i="1"/>
  <c r="AG262" i="1"/>
  <c r="AG263" i="1"/>
  <c r="AG264" i="1"/>
  <c r="AG265" i="1"/>
  <c r="AG266" i="1"/>
  <c r="AH3" i="1"/>
  <c r="AH4" i="1"/>
  <c r="AH5" i="1"/>
  <c r="AH6" i="1"/>
  <c r="AH7" i="1"/>
  <c r="AH8" i="1"/>
  <c r="AH9" i="1"/>
  <c r="AH10" i="1"/>
  <c r="AH11" i="1"/>
  <c r="AH12" i="1"/>
  <c r="AH14" i="1"/>
  <c r="AH16" i="1"/>
  <c r="AH17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65" i="1"/>
  <c r="AH66" i="1"/>
  <c r="AH67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103" i="1"/>
  <c r="AH104" i="1"/>
  <c r="AH109" i="1"/>
  <c r="AH110" i="1"/>
  <c r="AH111" i="1"/>
  <c r="AH112" i="1"/>
  <c r="AH113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1" i="1"/>
  <c r="AH202" i="1"/>
  <c r="AH203" i="1"/>
  <c r="AH205" i="1"/>
  <c r="AH206" i="1"/>
  <c r="AH207" i="1"/>
  <c r="AH208" i="1"/>
  <c r="AH209" i="1"/>
  <c r="AH210" i="1"/>
  <c r="AH212" i="1"/>
  <c r="AH213" i="1"/>
  <c r="AH215" i="1"/>
  <c r="AH217" i="1"/>
  <c r="AH219" i="1"/>
  <c r="AH220" i="1"/>
  <c r="AH222" i="1"/>
  <c r="AH224" i="1"/>
  <c r="AH225" i="1"/>
  <c r="AH226" i="1"/>
  <c r="AH227" i="1"/>
  <c r="AH228" i="1"/>
  <c r="AH229" i="1"/>
  <c r="AH231" i="1"/>
  <c r="AH232" i="1"/>
  <c r="AH233" i="1"/>
  <c r="AH235" i="1"/>
  <c r="AH236" i="1"/>
  <c r="AH237" i="1"/>
  <c r="AH238" i="1"/>
  <c r="AH241" i="1"/>
  <c r="AH242" i="1"/>
  <c r="AH243" i="1"/>
  <c r="AH244" i="1"/>
  <c r="AH245" i="1"/>
  <c r="AH247" i="1"/>
  <c r="AH248" i="1"/>
  <c r="AH249" i="1"/>
  <c r="AH250" i="1"/>
  <c r="AH251" i="1"/>
  <c r="AH252" i="1"/>
  <c r="AH253" i="1"/>
  <c r="AH258" i="1"/>
  <c r="AH259" i="1"/>
  <c r="AH260" i="1"/>
  <c r="AH262" i="1"/>
  <c r="AH263" i="1"/>
  <c r="AH264" i="1"/>
  <c r="AH265" i="1"/>
  <c r="AH266" i="1"/>
</calcChain>
</file>

<file path=xl/sharedStrings.xml><?xml version="1.0" encoding="utf-8"?>
<sst xmlns="http://schemas.openxmlformats.org/spreadsheetml/2006/main" count="575" uniqueCount="88">
  <si>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</si>
  <si>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</si>
  <si>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</si>
  <si>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</si>
  <si>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</si>
  <si>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</si>
  <si>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</si>
  <si>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</si>
  <si>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</si>
  <si>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</si>
  <si>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</si>
  <si>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</si>
  <si>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</si>
  <si>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</si>
  <si>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</si>
  <si>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</si>
  <si>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</si>
  <si>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</si>
  <si>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</si>
  <si>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</si>
  <si>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</si>
  <si>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</si>
  <si>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</si>
  <si>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</si>
  <si>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qf_per</t>
  </si>
  <si>
    <t>qf_ppp</t>
  </si>
  <si>
    <t>real_gdp_per</t>
  </si>
  <si>
    <t>real_gdp_ppp</t>
  </si>
  <si>
    <t>AUS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</si>
  <si>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</si>
  <si>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</si>
  <si>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</si>
  <si>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</si>
  <si>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</si>
  <si>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</si>
  <si>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</si>
  <si>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</si>
  <si>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</si>
  <si>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</si>
  <si>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</si>
  <si>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</si>
  <si>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</si>
  <si>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</si>
  <si>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</si>
  <si>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</si>
  <si>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</si>
  <si>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</si>
  <si>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</si>
  <si>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</si>
  <si>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</si>
  <si>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</si>
  <si>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</si>
  <si>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</si>
  <si>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</si>
  <si>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</si>
  <si>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</si>
  <si>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</si>
  <si>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</si>
  <si>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</si>
  <si>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</si>
  <si>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</si>
  <si>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</si>
  <si>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</si>
  <si>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</si>
  <si>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</si>
  <si>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</si>
  <si>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Q1.2020</t>
  </si>
  <si>
    <t>Q2.2020</t>
  </si>
  <si>
    <t>Q3.2020</t>
  </si>
  <si>
    <t>Q4.2020</t>
  </si>
  <si>
    <t>Q1.2021</t>
  </si>
  <si>
    <t>Q2.2021</t>
  </si>
  <si>
    <t>Q3.2021</t>
  </si>
  <si>
    <t>share_nhealth_t</t>
  </si>
  <si>
    <t>share_health_t</t>
  </si>
  <si>
    <t>share_of_t</t>
  </si>
  <si>
    <t>share_be_of</t>
  </si>
  <si>
    <t>share_gu_of</t>
  </si>
  <si>
    <t>on_us</t>
  </si>
  <si>
    <t>on_per</t>
  </si>
  <si>
    <t>on_ppp</t>
  </si>
  <si>
    <t>share_on_t</t>
  </si>
  <si>
    <t>share_acc_t</t>
  </si>
  <si>
    <t>share_nhealth_on</t>
  </si>
  <si>
    <t>share_health_on</t>
  </si>
  <si>
    <t>share_be_t</t>
  </si>
  <si>
    <t>share_gu_t</t>
  </si>
  <si>
    <t>total_intensity_per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</si>
</sst>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7"/>
  <sheetViews>
    <sheetView tabSelected="1" zoomScale="66" zoomScaleNormal="70" workbookViewId="0">
      <selection activeCell="L1" sqref="L1:AE1048576"/>
    </sheetView>
  </sheetViews>
  <sheetFormatPr baseColWidth="10" defaultColWidth="8.7265625" defaultRowHeight="14.5" x14ac:dyDescent="0.35"/>
  <cols>
    <col min="3" max="3" width="20.6328125" customWidth="1"/>
    <col min="4" max="4" width="25.08984375" customWidth="1"/>
    <col min="5" max="5" width="23" customWidth="1"/>
    <col min="6" max="11" width="8.81640625" bestFit="1" customWidth="1"/>
    <col min="12" max="12" width="8.81640625" customWidth="1"/>
    <col min="13" max="13" width="8.81640625" bestFit="1" customWidth="1"/>
    <col min="14" max="14" width="8.81640625" customWidth="1"/>
    <col min="15" max="15" width="8.81640625" bestFit="1" customWidth="1"/>
    <col min="16" max="17" width="12.6328125" bestFit="1" customWidth="1"/>
    <col min="18" max="18" width="14" customWidth="1"/>
    <col min="19" max="29" width="8.81640625" bestFit="1" customWidth="1"/>
    <col min="30" max="30" width="16.1796875" customWidth="1"/>
    <col min="31" max="31" width="17.6328125" customWidth="1"/>
    <col min="32" max="33" width="27.54296875" customWidth="1"/>
    <col min="34" max="39" width="20.08984375" customWidth="1"/>
    <col min="40" max="40" width="22.54296875" customWidth="1"/>
    <col min="41" max="41" width="19.81640625" customWidth="1"/>
    <col min="43" max="43" width="20.4531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78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79</v>
      </c>
      <c r="N1" s="1" t="s">
        <v>11</v>
      </c>
      <c r="O1" s="1" t="s">
        <v>80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27</v>
      </c>
      <c r="AE1" s="1" t="s">
        <v>26</v>
      </c>
      <c r="AF1" s="1" t="s">
        <v>81</v>
      </c>
      <c r="AG1" s="1" t="s">
        <v>73</v>
      </c>
      <c r="AH1" s="2" t="s">
        <v>74</v>
      </c>
      <c r="AI1" s="1" t="s">
        <v>82</v>
      </c>
      <c r="AJ1" s="2" t="s">
        <v>83</v>
      </c>
      <c r="AK1" s="2" t="s">
        <v>84</v>
      </c>
      <c r="AL1" s="2" t="s">
        <v>75</v>
      </c>
      <c r="AM1" s="2" t="s">
        <v>85</v>
      </c>
      <c r="AN1" s="2" t="s">
        <v>86</v>
      </c>
      <c r="AO1" s="2" t="s">
        <v>76</v>
      </c>
      <c r="AP1" s="2" t="s">
        <v>77</v>
      </c>
      <c r="AQ1" s="2" t="s">
        <v>87</v>
      </c>
    </row>
    <row r="2" spans="1:43" x14ac:dyDescent="0.35">
      <c r="A2" t="s">
        <v>28</v>
      </c>
      <c r="B2" t="s">
        <v>66</v>
      </c>
      <c r="C2">
        <f>E2+F2+G2</f>
        <v>110.0051</v>
      </c>
      <c r="D2">
        <v>110.0051</v>
      </c>
      <c r="E2">
        <v>2.1168</v>
      </c>
      <c r="F2">
        <v>107.8883</v>
      </c>
      <c r="G2">
        <v>0</v>
      </c>
      <c r="H2">
        <v>24.0029</v>
      </c>
      <c r="I2">
        <v>10.3255</v>
      </c>
      <c r="J2">
        <v>13.6774</v>
      </c>
      <c r="K2">
        <v>0</v>
      </c>
      <c r="L2">
        <f>P2+R2+T2</f>
        <v>7.3593163001337505</v>
      </c>
      <c r="M2">
        <v>7.3593163001337496</v>
      </c>
      <c r="N2">
        <f>Q2+S2+U2</f>
        <v>8.9689107490462359</v>
      </c>
      <c r="O2">
        <v>8.9689107490462359</v>
      </c>
      <c r="P2">
        <v>0.1416134410506705</v>
      </c>
      <c r="Q2">
        <v>0.1725864552969005</v>
      </c>
      <c r="R2">
        <v>7.2177028590830803</v>
      </c>
      <c r="S2">
        <v>8.7963242937493362</v>
      </c>
      <c r="T2">
        <v>0</v>
      </c>
      <c r="U2">
        <v>0</v>
      </c>
      <c r="V2">
        <v>1.605788579079338</v>
      </c>
      <c r="W2">
        <v>1.956998973850139</v>
      </c>
      <c r="X2">
        <v>0.690773613741827</v>
      </c>
      <c r="Y2">
        <v>0.84185631338253319</v>
      </c>
      <c r="Z2">
        <v>0.91501496533751059</v>
      </c>
      <c r="AA2">
        <v>1.115142660467606</v>
      </c>
      <c r="AB2">
        <v>0</v>
      </c>
      <c r="AC2">
        <v>0</v>
      </c>
      <c r="AD2">
        <v>1226.51571721458</v>
      </c>
      <c r="AE2">
        <v>1494.77336635199</v>
      </c>
      <c r="AF2">
        <f>E2/(E2+I2)</f>
        <v>0.17012931692693473</v>
      </c>
      <c r="AG2">
        <f>(G2/(E2+I2))</f>
        <v>0</v>
      </c>
      <c r="AH2">
        <f>(F2/(E2+I2))</f>
        <v>8.6710897502873259</v>
      </c>
      <c r="AI2">
        <f>(H2/(E2+I2))</f>
        <v>1.9291368959115278</v>
      </c>
      <c r="AJ2">
        <f>(G2/(E2))</f>
        <v>0</v>
      </c>
      <c r="AK2">
        <f>F2/E2</f>
        <v>50.96763983371126</v>
      </c>
      <c r="AL2">
        <f>(I2/(D2+I2))</f>
        <v>8.5809428358206472E-2</v>
      </c>
      <c r="AM2">
        <f>(J2/(E2+I2))</f>
        <v>1.0992662128384625</v>
      </c>
      <c r="AN2">
        <f>(K2/(E2+I2))</f>
        <v>0</v>
      </c>
      <c r="AO2">
        <f>(J2/I2)</f>
        <v>1.3246235049150163</v>
      </c>
      <c r="AP2">
        <f>K2/I2</f>
        <v>0</v>
      </c>
      <c r="AQ2">
        <f>(E2+I2)/AD2</f>
        <v>1.0144427686794338E-2</v>
      </c>
    </row>
    <row r="3" spans="1:43" x14ac:dyDescent="0.35">
      <c r="A3" t="s">
        <v>29</v>
      </c>
      <c r="B3" t="s">
        <v>66</v>
      </c>
      <c r="C3">
        <f t="shared" ref="C3:C66" si="0">E3+F3+G3</f>
        <v>144.75</v>
      </c>
      <c r="D3">
        <v>81</v>
      </c>
      <c r="E3">
        <v>2.4</v>
      </c>
      <c r="F3">
        <v>78.599999999999994</v>
      </c>
      <c r="G3">
        <v>63.75</v>
      </c>
      <c r="H3">
        <v>51.7</v>
      </c>
      <c r="I3">
        <v>3.7</v>
      </c>
      <c r="J3">
        <v>48</v>
      </c>
      <c r="K3">
        <v>0</v>
      </c>
      <c r="L3">
        <f t="shared" ref="L3:L66" si="1">P3+R3+T3</f>
        <v>8.5317438253232964</v>
      </c>
      <c r="M3">
        <v>4.7742400680565593</v>
      </c>
      <c r="N3">
        <f t="shared" ref="N3:N66" si="2">Q3+S3+U3</f>
        <v>8.3986652177044707</v>
      </c>
      <c r="O3">
        <v>4.6997712099071647</v>
      </c>
      <c r="P3">
        <v>0.14145896497945359</v>
      </c>
      <c r="Q3">
        <v>0.13925248029354559</v>
      </c>
      <c r="R3">
        <v>4.6327811030771064</v>
      </c>
      <c r="S3">
        <v>4.5605187296136194</v>
      </c>
      <c r="T3">
        <v>3.7575037572667358</v>
      </c>
      <c r="U3">
        <v>3.698894007797306</v>
      </c>
      <c r="V3">
        <v>3.0472618705990642</v>
      </c>
      <c r="W3">
        <v>2.999730512990129</v>
      </c>
      <c r="X3">
        <v>0.2180825710099909</v>
      </c>
      <c r="Y3">
        <v>0.2146809071192162</v>
      </c>
      <c r="Z3">
        <v>2.829179299589073</v>
      </c>
      <c r="AA3">
        <v>2.7850496058709129</v>
      </c>
      <c r="AB3">
        <v>0</v>
      </c>
      <c r="AC3">
        <v>0</v>
      </c>
      <c r="AD3">
        <v>1723.48815255626</v>
      </c>
      <c r="AE3">
        <v>1696.60508992738</v>
      </c>
      <c r="AF3">
        <f t="shared" ref="AF3:AF66" si="3">E3/(E3+I3)</f>
        <v>0.39344262295081966</v>
      </c>
      <c r="AG3">
        <f>(F3/(D3+H3))</f>
        <v>0.59231348907309722</v>
      </c>
      <c r="AH3">
        <f>(F3/D3)</f>
        <v>0.97037037037037033</v>
      </c>
      <c r="AI3">
        <f>(E3/(D3+H3))</f>
        <v>1.8085908063300678E-2</v>
      </c>
      <c r="AJ3">
        <f>(E3/(D3))</f>
        <v>2.9629629629629627E-2</v>
      </c>
      <c r="AK3">
        <f>(H3/(D3+H3))</f>
        <v>0.38960060286360215</v>
      </c>
      <c r="AL3">
        <f>(I3/H3)</f>
        <v>7.1566731141199227E-2</v>
      </c>
      <c r="AM3">
        <f>J3/H3</f>
        <v>0.92843326885880073</v>
      </c>
      <c r="AN3">
        <f>(D3+H3)/AD3</f>
        <v>7.6995017228972937E-2</v>
      </c>
      <c r="AO3">
        <f>(D3+H3)/AE3</f>
        <v>7.8215019386556214E-2</v>
      </c>
    </row>
    <row r="4" spans="1:43" x14ac:dyDescent="0.35">
      <c r="A4" t="s">
        <v>30</v>
      </c>
      <c r="B4" t="s">
        <v>66</v>
      </c>
      <c r="C4">
        <f t="shared" si="0"/>
        <v>65</v>
      </c>
      <c r="D4">
        <v>16.5</v>
      </c>
      <c r="E4">
        <v>5.5</v>
      </c>
      <c r="F4">
        <v>11</v>
      </c>
      <c r="G4">
        <v>48.5</v>
      </c>
      <c r="H4">
        <v>348</v>
      </c>
      <c r="I4">
        <v>0</v>
      </c>
      <c r="J4">
        <v>348</v>
      </c>
      <c r="K4">
        <v>0</v>
      </c>
      <c r="L4">
        <f t="shared" si="1"/>
        <v>2.4839380106429401</v>
      </c>
      <c r="M4">
        <v>0.630538110393977</v>
      </c>
      <c r="N4">
        <f t="shared" si="2"/>
        <v>2.2359126966987684</v>
      </c>
      <c r="O4">
        <v>0.56757783839276432</v>
      </c>
      <c r="P4">
        <v>0.21017937013132559</v>
      </c>
      <c r="Q4">
        <v>0.18919261279758809</v>
      </c>
      <c r="R4">
        <v>0.4203587402626513</v>
      </c>
      <c r="S4">
        <v>0.37838522559517618</v>
      </c>
      <c r="T4">
        <v>1.853399900248963</v>
      </c>
      <c r="U4">
        <v>1.668334858306004</v>
      </c>
      <c r="V4">
        <v>13.29862196467297</v>
      </c>
      <c r="W4">
        <v>11.97073259155648</v>
      </c>
      <c r="X4">
        <v>0</v>
      </c>
      <c r="Y4">
        <v>0</v>
      </c>
      <c r="Z4">
        <v>13.29862196467297</v>
      </c>
      <c r="AA4">
        <v>11.97073259155648</v>
      </c>
      <c r="AB4">
        <v>0</v>
      </c>
      <c r="AC4">
        <v>0</v>
      </c>
      <c r="AD4">
        <v>2907.0902498102801</v>
      </c>
      <c r="AE4">
        <v>2616.8124857180101</v>
      </c>
      <c r="AF4">
        <f t="shared" si="3"/>
        <v>1</v>
      </c>
      <c r="AG4">
        <f>(F4/(D4+H4))</f>
        <v>3.017832647462277E-2</v>
      </c>
      <c r="AH4">
        <f>(F4/D4)</f>
        <v>0.66666666666666663</v>
      </c>
      <c r="AI4">
        <f>(E4/(D4+H4))</f>
        <v>1.5089163237311385E-2</v>
      </c>
      <c r="AJ4">
        <f>(E4/(D4))</f>
        <v>0.33333333333333331</v>
      </c>
      <c r="AK4">
        <f>(H4/(D4+H4))</f>
        <v>0.95473251028806583</v>
      </c>
      <c r="AL4">
        <f>(I4/H4)</f>
        <v>0</v>
      </c>
      <c r="AM4">
        <f>J4/H4</f>
        <v>1</v>
      </c>
      <c r="AN4">
        <f>(D4+H4)/AD4</f>
        <v>0.12538310429949248</v>
      </c>
      <c r="AO4">
        <f>(D4+H4)/AE4</f>
        <v>0.13929160075066946</v>
      </c>
    </row>
    <row r="5" spans="1:43" x14ac:dyDescent="0.35">
      <c r="A5" t="s">
        <v>31</v>
      </c>
      <c r="B5" t="s">
        <v>66</v>
      </c>
      <c r="C5">
        <f t="shared" si="0"/>
        <v>143</v>
      </c>
      <c r="D5">
        <v>143</v>
      </c>
      <c r="E5">
        <v>11.2</v>
      </c>
      <c r="F5">
        <v>131.80000000000001</v>
      </c>
      <c r="G5">
        <v>0</v>
      </c>
      <c r="H5">
        <v>1072</v>
      </c>
      <c r="I5">
        <v>223</v>
      </c>
      <c r="J5">
        <v>849</v>
      </c>
      <c r="K5">
        <v>0</v>
      </c>
      <c r="L5">
        <f t="shared" si="1"/>
        <v>3.975184466200266</v>
      </c>
      <c r="M5">
        <v>3.975184466200266</v>
      </c>
      <c r="N5">
        <f t="shared" si="2"/>
        <v>3.4360258824878329</v>
      </c>
      <c r="O5">
        <v>3.4360258824878329</v>
      </c>
      <c r="P5">
        <v>0.3113431190310697</v>
      </c>
      <c r="Q5">
        <v>0.26911531387317289</v>
      </c>
      <c r="R5">
        <v>3.6638413471691962</v>
      </c>
      <c r="S5">
        <v>3.1669105686146599</v>
      </c>
      <c r="T5">
        <v>0</v>
      </c>
      <c r="U5">
        <v>0</v>
      </c>
      <c r="V5">
        <v>29.79998425011668</v>
      </c>
      <c r="W5">
        <v>25.758180042146549</v>
      </c>
      <c r="X5">
        <v>6.1990638878507633</v>
      </c>
      <c r="Y5">
        <v>5.3582781244390683</v>
      </c>
      <c r="Z5">
        <v>23.600920362265921</v>
      </c>
      <c r="AA5">
        <v>20.399901917707481</v>
      </c>
      <c r="AB5">
        <v>0</v>
      </c>
      <c r="AC5">
        <v>0</v>
      </c>
      <c r="AD5">
        <v>4161.7847155581303</v>
      </c>
      <c r="AE5">
        <v>3597.3173374942398</v>
      </c>
      <c r="AF5">
        <f t="shared" si="3"/>
        <v>4.7822374039282661E-2</v>
      </c>
      <c r="AG5">
        <f>(F5/(D5+H5))</f>
        <v>0.10847736625514404</v>
      </c>
      <c r="AH5">
        <f>(F5/D5)</f>
        <v>0.92167832167832175</v>
      </c>
      <c r="AI5">
        <f>(E5/(D5+H5))</f>
        <v>9.2181069958847724E-3</v>
      </c>
      <c r="AJ5">
        <f>(E5/(D5))</f>
        <v>7.8321678321678315E-2</v>
      </c>
      <c r="AK5">
        <f>(H5/(D5+H5))</f>
        <v>0.8823045267489712</v>
      </c>
      <c r="AL5">
        <f>(I5/H5)</f>
        <v>0.2080223880597015</v>
      </c>
      <c r="AM5">
        <f>J5/H5</f>
        <v>0.79197761194029848</v>
      </c>
      <c r="AN5">
        <f>(D5+H5)/AD5</f>
        <v>0.29194205924634387</v>
      </c>
      <c r="AO5">
        <f>(D5+H5)/AE5</f>
        <v>0.33775168716316939</v>
      </c>
    </row>
    <row r="6" spans="1:43" x14ac:dyDescent="0.35">
      <c r="A6" t="s">
        <v>32</v>
      </c>
      <c r="B6" t="s">
        <v>66</v>
      </c>
      <c r="C6">
        <f t="shared" si="0"/>
        <v>22</v>
      </c>
      <c r="D6">
        <v>22</v>
      </c>
      <c r="E6">
        <v>3.63</v>
      </c>
      <c r="F6">
        <v>18.37</v>
      </c>
      <c r="G6">
        <v>0</v>
      </c>
      <c r="H6">
        <v>591</v>
      </c>
      <c r="I6">
        <v>0</v>
      </c>
      <c r="J6">
        <v>591</v>
      </c>
      <c r="K6">
        <v>0</v>
      </c>
      <c r="L6">
        <f t="shared" si="1"/>
        <v>1.1469339016069102</v>
      </c>
      <c r="M6">
        <v>1.14693390160691</v>
      </c>
      <c r="N6">
        <f t="shared" si="2"/>
        <v>0.94111212635674024</v>
      </c>
      <c r="O6">
        <v>0.94111212635674024</v>
      </c>
      <c r="P6">
        <v>0.18924409376514009</v>
      </c>
      <c r="Q6">
        <v>0.15528350084886211</v>
      </c>
      <c r="R6">
        <v>0.95768980784177005</v>
      </c>
      <c r="S6">
        <v>0.78582862550787813</v>
      </c>
      <c r="T6">
        <v>0</v>
      </c>
      <c r="U6">
        <v>0</v>
      </c>
      <c r="V6">
        <v>30.810815265894721</v>
      </c>
      <c r="W6">
        <v>25.281693939856069</v>
      </c>
      <c r="X6">
        <v>0</v>
      </c>
      <c r="Y6">
        <v>0</v>
      </c>
      <c r="Z6">
        <v>30.810815265894721</v>
      </c>
      <c r="AA6">
        <v>25.281693939856069</v>
      </c>
      <c r="AB6">
        <v>0</v>
      </c>
      <c r="AC6">
        <v>0</v>
      </c>
      <c r="AD6">
        <v>2337.6598158571201</v>
      </c>
      <c r="AE6">
        <v>1918.15761738117</v>
      </c>
      <c r="AF6">
        <f t="shared" si="3"/>
        <v>1</v>
      </c>
      <c r="AG6">
        <f>(F6/(D6+H6))</f>
        <v>2.9967373572593804E-2</v>
      </c>
      <c r="AH6">
        <f>(F6/D6)</f>
        <v>0.83500000000000008</v>
      </c>
      <c r="AI6">
        <f>(E6/(D6+H6))</f>
        <v>5.921696574225122E-3</v>
      </c>
      <c r="AJ6">
        <f>(E6/(D6))</f>
        <v>0.16500000000000001</v>
      </c>
      <c r="AK6">
        <f>(H6/(D6+H6))</f>
        <v>0.96411092985318103</v>
      </c>
      <c r="AL6">
        <f>(I6/H6)</f>
        <v>0</v>
      </c>
      <c r="AM6">
        <f>J6/H6</f>
        <v>1</v>
      </c>
      <c r="AN6">
        <f>(D6+H6)/AD6</f>
        <v>0.26222806066212806</v>
      </c>
      <c r="AO6">
        <f>(D6+H6)/AE6</f>
        <v>0.31957749167501631</v>
      </c>
    </row>
    <row r="7" spans="1:43" x14ac:dyDescent="0.35">
      <c r="A7" t="s">
        <v>33</v>
      </c>
      <c r="B7" t="s">
        <v>66</v>
      </c>
      <c r="C7">
        <f t="shared" si="0"/>
        <v>497</v>
      </c>
      <c r="D7">
        <v>497</v>
      </c>
      <c r="E7">
        <v>12.1906</v>
      </c>
      <c r="F7">
        <v>484.80939999999998</v>
      </c>
      <c r="G7">
        <v>0</v>
      </c>
      <c r="H7">
        <v>19</v>
      </c>
      <c r="I7">
        <v>0</v>
      </c>
      <c r="J7">
        <v>19</v>
      </c>
      <c r="K7">
        <v>0</v>
      </c>
      <c r="L7">
        <f t="shared" si="1"/>
        <v>10.888777155155257</v>
      </c>
      <c r="M7">
        <v>10.88877715515526</v>
      </c>
      <c r="N7">
        <f t="shared" si="2"/>
        <v>9.3335923458114571</v>
      </c>
      <c r="O7">
        <v>9.3335923458114554</v>
      </c>
      <c r="P7">
        <v>0.26708395731918649</v>
      </c>
      <c r="Q7">
        <v>0.22893780855301629</v>
      </c>
      <c r="R7">
        <v>10.62169319783607</v>
      </c>
      <c r="S7">
        <v>9.1046545372584404</v>
      </c>
      <c r="T7">
        <v>0</v>
      </c>
      <c r="U7">
        <v>0</v>
      </c>
      <c r="V7">
        <v>0.41627115884899379</v>
      </c>
      <c r="W7">
        <v>0.35681741362257069</v>
      </c>
      <c r="X7">
        <v>0</v>
      </c>
      <c r="Y7">
        <v>0</v>
      </c>
      <c r="Z7">
        <v>0.41627115884899379</v>
      </c>
      <c r="AA7">
        <v>0.35681741362257069</v>
      </c>
      <c r="AB7">
        <v>0</v>
      </c>
      <c r="AC7">
        <v>0</v>
      </c>
      <c r="AD7">
        <v>5324.8522282316499</v>
      </c>
      <c r="AE7">
        <v>4564.3325500944502</v>
      </c>
      <c r="AF7">
        <f t="shared" si="3"/>
        <v>1</v>
      </c>
      <c r="AG7">
        <f>(F7/(D7+H7))</f>
        <v>0.93955310077519372</v>
      </c>
      <c r="AH7">
        <f>(F7/D7)</f>
        <v>0.97547162977867197</v>
      </c>
      <c r="AI7">
        <f>(E7/(D7+H7))</f>
        <v>2.3625193798449611E-2</v>
      </c>
      <c r="AJ7">
        <f>(E7/(D7))</f>
        <v>2.4528370221327967E-2</v>
      </c>
      <c r="AK7">
        <f>(H7/(D7+H7))</f>
        <v>3.6821705426356592E-2</v>
      </c>
      <c r="AL7">
        <f>(I7/H7)</f>
        <v>0</v>
      </c>
      <c r="AM7">
        <f>J7/H7</f>
        <v>1</v>
      </c>
      <c r="AN7">
        <f>(D7+H7)/AD7</f>
        <v>9.6904097594340266E-2</v>
      </c>
      <c r="AO7">
        <f>(D7+H7)/AE7</f>
        <v>0.11305048314004254</v>
      </c>
    </row>
    <row r="8" spans="1:43" x14ac:dyDescent="0.35">
      <c r="A8" t="s">
        <v>34</v>
      </c>
      <c r="B8" t="s">
        <v>66</v>
      </c>
      <c r="C8">
        <f t="shared" si="0"/>
        <v>38</v>
      </c>
      <c r="D8">
        <v>24</v>
      </c>
      <c r="E8">
        <v>2.5</v>
      </c>
      <c r="F8">
        <v>21.5</v>
      </c>
      <c r="G8">
        <v>14</v>
      </c>
      <c r="H8">
        <v>215</v>
      </c>
      <c r="I8">
        <v>101</v>
      </c>
      <c r="J8">
        <v>114</v>
      </c>
      <c r="K8">
        <v>0</v>
      </c>
      <c r="L8">
        <f t="shared" si="1"/>
        <v>2.3196941985885813</v>
      </c>
      <c r="M8">
        <v>1.465070020161209</v>
      </c>
      <c r="N8">
        <f t="shared" si="2"/>
        <v>1.7620822035178274</v>
      </c>
      <c r="O8">
        <v>1.112894023274418</v>
      </c>
      <c r="P8">
        <v>0.15261146043345919</v>
      </c>
      <c r="Q8">
        <v>0.1159264607577518</v>
      </c>
      <c r="R8">
        <v>1.3124585597277501</v>
      </c>
      <c r="S8">
        <v>0.99696756251666563</v>
      </c>
      <c r="T8">
        <v>0.85462417842737204</v>
      </c>
      <c r="U8">
        <v>0.64918818024341018</v>
      </c>
      <c r="V8">
        <v>13.1245855972775</v>
      </c>
      <c r="W8">
        <v>9.9696756251666603</v>
      </c>
      <c r="X8">
        <v>6.1655030015117536</v>
      </c>
      <c r="Y8">
        <v>4.6834290146131741</v>
      </c>
      <c r="Z8">
        <v>6.9590825957657438</v>
      </c>
      <c r="AA8">
        <v>5.2862466105534844</v>
      </c>
      <c r="AB8">
        <v>0</v>
      </c>
      <c r="AC8">
        <v>0</v>
      </c>
      <c r="AD8">
        <v>2156.5395714307001</v>
      </c>
      <c r="AE8">
        <v>1638.14696019506</v>
      </c>
      <c r="AF8">
        <f t="shared" si="3"/>
        <v>2.4154589371980676E-2</v>
      </c>
      <c r="AG8">
        <f>(F8/(D8+H8))</f>
        <v>8.9958158995815898E-2</v>
      </c>
      <c r="AH8">
        <f>(F8/D8)</f>
        <v>0.89583333333333337</v>
      </c>
      <c r="AI8">
        <f>(E8/(D8+H8))</f>
        <v>1.0460251046025104E-2</v>
      </c>
      <c r="AJ8">
        <f>(E8/(D8))</f>
        <v>0.10416666666666667</v>
      </c>
      <c r="AK8">
        <f>(H8/(D8+H8))</f>
        <v>0.89958158995815896</v>
      </c>
      <c r="AL8">
        <f>(I8/H8)</f>
        <v>0.4697674418604651</v>
      </c>
      <c r="AM8">
        <f>J8/H8</f>
        <v>0.53023255813953485</v>
      </c>
      <c r="AN8">
        <f>(D8+H8)/AD8</f>
        <v>0.11082569648441075</v>
      </c>
      <c r="AO8">
        <f>(D8+H8)/AE8</f>
        <v>0.14589655617438707</v>
      </c>
    </row>
    <row r="9" spans="1:43" x14ac:dyDescent="0.35">
      <c r="A9" t="s">
        <v>35</v>
      </c>
      <c r="B9" t="s">
        <v>66</v>
      </c>
      <c r="C9">
        <f t="shared" si="0"/>
        <v>14.892900000000001</v>
      </c>
      <c r="D9">
        <v>14.892899999999999</v>
      </c>
      <c r="E9">
        <v>4.1786000000000003</v>
      </c>
      <c r="F9">
        <v>10.7143</v>
      </c>
      <c r="G9">
        <v>0</v>
      </c>
      <c r="H9">
        <v>175.61519999999999</v>
      </c>
      <c r="I9">
        <v>11</v>
      </c>
      <c r="J9">
        <v>164.61519999999999</v>
      </c>
      <c r="K9">
        <v>11.4316</v>
      </c>
      <c r="L9">
        <f t="shared" si="1"/>
        <v>1.1249106429758049</v>
      </c>
      <c r="M9">
        <v>1.1249106429758049</v>
      </c>
      <c r="N9">
        <f t="shared" si="2"/>
        <v>0.82898248866192525</v>
      </c>
      <c r="O9">
        <v>0.82898248866192525</v>
      </c>
      <c r="P9">
        <v>0.31562366045153722</v>
      </c>
      <c r="Q9">
        <v>0.2325931300903599</v>
      </c>
      <c r="R9">
        <v>0.80928698252426767</v>
      </c>
      <c r="S9">
        <v>0.59638935857156539</v>
      </c>
      <c r="T9">
        <v>0</v>
      </c>
      <c r="U9">
        <v>0</v>
      </c>
      <c r="V9">
        <v>13.264804540977551</v>
      </c>
      <c r="W9">
        <v>9.7752570381095527</v>
      </c>
      <c r="X9">
        <v>0.83086686090243378</v>
      </c>
      <c r="Y9">
        <v>0.61229225841046264</v>
      </c>
      <c r="Z9">
        <v>12.43393768007512</v>
      </c>
      <c r="AA9">
        <v>9.1629647796990881</v>
      </c>
      <c r="AB9">
        <v>0.86346705519020561</v>
      </c>
      <c r="AC9">
        <v>0.63631638011318581</v>
      </c>
      <c r="AD9">
        <v>1796.5276955414199</v>
      </c>
      <c r="AE9">
        <v>1323.9184901480501</v>
      </c>
      <c r="AF9">
        <f t="shared" si="3"/>
        <v>0.27529548179674018</v>
      </c>
      <c r="AG9">
        <f>(F9/(D9+H9))</f>
        <v>5.624065328455851E-2</v>
      </c>
      <c r="AH9">
        <f>(F9/D9)</f>
        <v>0.71942334938124886</v>
      </c>
      <c r="AI9">
        <f>(E9/(D9+H9))</f>
        <v>2.1933975510752563E-2</v>
      </c>
      <c r="AJ9">
        <f>(E9/(D9))</f>
        <v>0.28057665061875126</v>
      </c>
      <c r="AK9">
        <f>(H9/(D9+H9))</f>
        <v>0.92182537120468899</v>
      </c>
      <c r="AL9">
        <f>(I9/H9)</f>
        <v>6.2636947143527438E-2</v>
      </c>
      <c r="AM9">
        <f>J9/H9</f>
        <v>0.93736305285647259</v>
      </c>
      <c r="AN9">
        <f>(D9+H9)/AD9</f>
        <v>0.10604239526771476</v>
      </c>
      <c r="AO9">
        <f>(D9+H9)/AE9</f>
        <v>0.14389715183953355</v>
      </c>
    </row>
    <row r="10" spans="1:43" x14ac:dyDescent="0.35">
      <c r="A10" t="s">
        <v>36</v>
      </c>
      <c r="B10" t="s">
        <v>66</v>
      </c>
      <c r="C10">
        <f t="shared" si="0"/>
        <v>83.000000005000004</v>
      </c>
      <c r="D10">
        <v>83.000000005000004</v>
      </c>
      <c r="E10">
        <v>6.384615385</v>
      </c>
      <c r="F10">
        <v>76.61538462</v>
      </c>
      <c r="G10">
        <v>0</v>
      </c>
      <c r="H10">
        <v>423</v>
      </c>
      <c r="I10">
        <v>423</v>
      </c>
      <c r="J10">
        <v>0</v>
      </c>
      <c r="K10">
        <v>0</v>
      </c>
      <c r="L10">
        <f t="shared" si="1"/>
        <v>2.628755024499684</v>
      </c>
      <c r="M10">
        <v>2.628755024499684</v>
      </c>
      <c r="N10">
        <f t="shared" si="2"/>
        <v>2.8212212457603547</v>
      </c>
      <c r="O10">
        <v>2.8212212457603552</v>
      </c>
      <c r="P10">
        <v>0.20221192496151411</v>
      </c>
      <c r="Q10">
        <v>0.2170170189046427</v>
      </c>
      <c r="R10">
        <v>2.4265430995381698</v>
      </c>
      <c r="S10">
        <v>2.6042042268557122</v>
      </c>
      <c r="T10">
        <v>0</v>
      </c>
      <c r="U10">
        <v>0</v>
      </c>
      <c r="V10">
        <v>13.39714909995639</v>
      </c>
      <c r="W10">
        <v>14.37803116728602</v>
      </c>
      <c r="X10">
        <v>13.39714909995639</v>
      </c>
      <c r="Y10">
        <v>14.37803116728602</v>
      </c>
      <c r="Z10">
        <v>0</v>
      </c>
      <c r="AA10">
        <v>0</v>
      </c>
      <c r="AB10">
        <v>0</v>
      </c>
      <c r="AC10">
        <v>0</v>
      </c>
      <c r="AD10">
        <v>2941.9883367789698</v>
      </c>
      <c r="AE10">
        <v>3157.38816403392</v>
      </c>
      <c r="AF10">
        <f t="shared" si="3"/>
        <v>1.4869222501778153E-2</v>
      </c>
      <c r="AG10">
        <f>(F10/(D10+H10))</f>
        <v>0.15141380359534176</v>
      </c>
      <c r="AH10">
        <f>(F10/D10)</f>
        <v>0.92307692307692302</v>
      </c>
      <c r="AI10">
        <f>(E10/(D10+H10))</f>
        <v>1.261781696627848E-2</v>
      </c>
      <c r="AJ10">
        <f>(E10/(D10))</f>
        <v>7.6923076923076913E-2</v>
      </c>
      <c r="AK10">
        <f>(H10/(D10+H10))</f>
        <v>0.83596837943837976</v>
      </c>
      <c r="AL10">
        <f>(I10/H10)</f>
        <v>1</v>
      </c>
      <c r="AM10">
        <f>J10/H10</f>
        <v>0</v>
      </c>
      <c r="AN10">
        <f>(D10+H10)/AD10</f>
        <v>0.17199252413046379</v>
      </c>
      <c r="AO10">
        <f>(D10+H10)/AE10</f>
        <v>0.16025904124456078</v>
      </c>
    </row>
    <row r="11" spans="1:43" x14ac:dyDescent="0.35">
      <c r="A11" t="s">
        <v>37</v>
      </c>
      <c r="B11" t="s">
        <v>66</v>
      </c>
      <c r="C11">
        <f t="shared" si="0"/>
        <v>1395</v>
      </c>
      <c r="D11">
        <v>1395</v>
      </c>
      <c r="E11">
        <v>9.4499999999999993</v>
      </c>
      <c r="F11">
        <v>1385.55</v>
      </c>
      <c r="G11">
        <v>0</v>
      </c>
      <c r="H11">
        <v>510</v>
      </c>
      <c r="I11">
        <v>56</v>
      </c>
      <c r="J11">
        <v>454</v>
      </c>
      <c r="K11">
        <v>0</v>
      </c>
      <c r="L11">
        <f t="shared" si="1"/>
        <v>6.9998581774039028</v>
      </c>
      <c r="M11">
        <v>6.9998581774039028</v>
      </c>
      <c r="N11">
        <f t="shared" si="2"/>
        <v>6.9840045164241253</v>
      </c>
      <c r="O11">
        <v>6.9840045164241253</v>
      </c>
      <c r="P11">
        <v>4.7418394104994099E-2</v>
      </c>
      <c r="Q11">
        <v>4.7310998337066597E-2</v>
      </c>
      <c r="R11">
        <v>6.9524397832989084</v>
      </c>
      <c r="S11">
        <v>6.9366935180870586</v>
      </c>
      <c r="T11">
        <v>0</v>
      </c>
      <c r="U11">
        <v>0</v>
      </c>
      <c r="V11">
        <v>2.5590879358250822</v>
      </c>
      <c r="W11">
        <v>2.5532919737464539</v>
      </c>
      <c r="X11">
        <v>0.28099789099255812</v>
      </c>
      <c r="Y11">
        <v>0.2803614716270616</v>
      </c>
      <c r="Z11">
        <v>2.278090044832525</v>
      </c>
      <c r="AA11">
        <v>2.2729305021193928</v>
      </c>
      <c r="AB11">
        <v>0</v>
      </c>
      <c r="AC11">
        <v>0</v>
      </c>
      <c r="AD11">
        <v>19974.2138871676</v>
      </c>
      <c r="AE11">
        <v>19928.975197</v>
      </c>
      <c r="AF11">
        <f t="shared" si="3"/>
        <v>0.14438502673796791</v>
      </c>
      <c r="AG11">
        <f>(F11/(D11+H11))</f>
        <v>0.72732283464566927</v>
      </c>
      <c r="AH11">
        <f>(F11/D11)</f>
        <v>0.99322580645161285</v>
      </c>
      <c r="AI11">
        <f>(E11/(D11+H11))</f>
        <v>4.9606299212598421E-3</v>
      </c>
      <c r="AJ11">
        <f>(E11/(D11))</f>
        <v>6.7741935483870966E-3</v>
      </c>
      <c r="AK11">
        <f>(H11/(D11+H11))</f>
        <v>0.26771653543307089</v>
      </c>
      <c r="AL11">
        <f>(I11/H11)</f>
        <v>0.10980392156862745</v>
      </c>
      <c r="AM11">
        <f>J11/H11</f>
        <v>0.8901960784313725</v>
      </c>
      <c r="AN11">
        <f>(D11+H11)/AD11</f>
        <v>9.5372964901705798E-2</v>
      </c>
      <c r="AO11">
        <f>(D11+H11)/AE11</f>
        <v>9.558946113228986E-2</v>
      </c>
    </row>
    <row r="12" spans="1:43" x14ac:dyDescent="0.35">
      <c r="A12" t="s">
        <v>38</v>
      </c>
      <c r="B12" t="s">
        <v>66</v>
      </c>
      <c r="C12">
        <f t="shared" si="0"/>
        <v>1.8620000000000001</v>
      </c>
      <c r="D12">
        <v>1.8620000000000001</v>
      </c>
      <c r="E12">
        <v>1.8620000000000001</v>
      </c>
      <c r="F12">
        <v>0</v>
      </c>
      <c r="G12">
        <v>0</v>
      </c>
      <c r="H12">
        <v>3.3</v>
      </c>
      <c r="I12">
        <v>3.3</v>
      </c>
      <c r="J12">
        <v>0</v>
      </c>
      <c r="K12">
        <v>0</v>
      </c>
      <c r="L12">
        <f t="shared" si="1"/>
        <v>0.145565263565308</v>
      </c>
      <c r="M12">
        <v>0.145565263565308</v>
      </c>
      <c r="N12">
        <f t="shared" si="2"/>
        <v>7.81805165395449E-2</v>
      </c>
      <c r="O12">
        <v>7.81805165395449E-2</v>
      </c>
      <c r="P12">
        <v>0.145565263565308</v>
      </c>
      <c r="Q12">
        <v>7.81805165395449E-2</v>
      </c>
      <c r="R12">
        <v>0</v>
      </c>
      <c r="S12">
        <v>0</v>
      </c>
      <c r="T12">
        <v>0</v>
      </c>
      <c r="U12">
        <v>0</v>
      </c>
      <c r="V12">
        <v>0.2579835498203632</v>
      </c>
      <c r="W12">
        <v>0.1385583805480656</v>
      </c>
      <c r="X12">
        <v>0.2579835498203632</v>
      </c>
      <c r="Y12">
        <v>0.1385583805480656</v>
      </c>
      <c r="Z12">
        <v>0</v>
      </c>
      <c r="AA12">
        <v>0</v>
      </c>
      <c r="AB12">
        <v>0</v>
      </c>
      <c r="AC12">
        <v>0</v>
      </c>
      <c r="AD12">
        <v>2381.6675591522499</v>
      </c>
      <c r="AE12">
        <v>1279.1513266244399</v>
      </c>
      <c r="AF12">
        <f t="shared" si="3"/>
        <v>0.36071290197597833</v>
      </c>
      <c r="AG12">
        <f>(F12/(D12+H12))</f>
        <v>0</v>
      </c>
      <c r="AH12">
        <f>(F12/D12)</f>
        <v>0</v>
      </c>
      <c r="AI12">
        <f>(E12/(D12+H12))</f>
        <v>0.36071290197597833</v>
      </c>
      <c r="AJ12">
        <f>(E12/(D12))</f>
        <v>1</v>
      </c>
      <c r="AK12">
        <f>(H12/(D12+H12))</f>
        <v>0.63928709802402173</v>
      </c>
      <c r="AL12">
        <f>(I12/H12)</f>
        <v>1</v>
      </c>
      <c r="AM12">
        <f>J12/H12</f>
        <v>0</v>
      </c>
      <c r="AN12">
        <f>(D12+H12)/AD12</f>
        <v>2.1673889708761049E-3</v>
      </c>
      <c r="AO12">
        <f>(D12+H12)/AE12</f>
        <v>4.0354881338567133E-3</v>
      </c>
    </row>
    <row r="13" spans="1:43" x14ac:dyDescent="0.35">
      <c r="A13" t="s">
        <v>39</v>
      </c>
      <c r="B13" t="s">
        <v>66</v>
      </c>
      <c r="C13">
        <f t="shared" si="0"/>
        <v>0</v>
      </c>
      <c r="D13">
        <v>0</v>
      </c>
      <c r="E13">
        <v>0</v>
      </c>
      <c r="F13">
        <v>0</v>
      </c>
      <c r="G13">
        <v>0</v>
      </c>
      <c r="H13">
        <v>3.8</v>
      </c>
      <c r="I13">
        <v>0</v>
      </c>
      <c r="J13">
        <v>3.8</v>
      </c>
      <c r="K13">
        <v>0</v>
      </c>
      <c r="L13">
        <f t="shared" si="1"/>
        <v>0</v>
      </c>
      <c r="M13">
        <v>0</v>
      </c>
      <c r="N13">
        <f t="shared" si="2"/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0.38112295919650652</v>
      </c>
      <c r="W13">
        <v>0.16282573564584751</v>
      </c>
      <c r="X13">
        <v>0</v>
      </c>
      <c r="Y13">
        <v>0</v>
      </c>
      <c r="Z13">
        <v>0.38112295919650652</v>
      </c>
      <c r="AA13">
        <v>0.16282573564584751</v>
      </c>
      <c r="AB13">
        <v>0</v>
      </c>
      <c r="AC13">
        <v>0</v>
      </c>
      <c r="AD13">
        <v>2333.7834064911899</v>
      </c>
      <c r="AE13">
        <v>997.05355143423003</v>
      </c>
      <c r="AF13" t="e">
        <f t="shared" si="3"/>
        <v>#DIV/0!</v>
      </c>
      <c r="AG13">
        <f>(F13/(D13+H13))</f>
        <v>0</v>
      </c>
      <c r="AH13">
        <v>0</v>
      </c>
      <c r="AI13">
        <f>(E13/(D13+H13))</f>
        <v>0</v>
      </c>
      <c r="AJ13">
        <v>0</v>
      </c>
      <c r="AK13">
        <f>(H13/(D13+H13))</f>
        <v>1</v>
      </c>
      <c r="AL13">
        <f>(I13/H13)</f>
        <v>0</v>
      </c>
      <c r="AM13">
        <f>J13/H13</f>
        <v>1</v>
      </c>
      <c r="AN13">
        <f>(D13+H13)/AD13</f>
        <v>1.6282573564584751E-3</v>
      </c>
      <c r="AO13">
        <f>(D13+H13)/AE13</f>
        <v>3.8112295919650653E-3</v>
      </c>
    </row>
    <row r="14" spans="1:43" x14ac:dyDescent="0.35">
      <c r="A14" t="s">
        <v>40</v>
      </c>
      <c r="B14" t="s">
        <v>66</v>
      </c>
      <c r="C14">
        <f t="shared" si="0"/>
        <v>31.764700000000001</v>
      </c>
      <c r="D14">
        <v>31.764700000000001</v>
      </c>
      <c r="E14">
        <v>0</v>
      </c>
      <c r="F14">
        <v>31.764700000000001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1"/>
        <v>7.6735681329126031</v>
      </c>
      <c r="M14">
        <v>7.6735681329126031</v>
      </c>
      <c r="N14">
        <f t="shared" si="2"/>
        <v>6.7786506242927107</v>
      </c>
      <c r="O14">
        <v>6.7786506242927107</v>
      </c>
      <c r="P14">
        <v>0</v>
      </c>
      <c r="Q14">
        <v>0</v>
      </c>
      <c r="R14">
        <v>7.6735681329126031</v>
      </c>
      <c r="S14">
        <v>6.7786506242927107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468.59916169988998</v>
      </c>
      <c r="AE14">
        <v>413.94954015926999</v>
      </c>
      <c r="AF14" t="e">
        <f t="shared" si="3"/>
        <v>#DIV/0!</v>
      </c>
      <c r="AG14">
        <f>(F14/(D14+H14))</f>
        <v>1</v>
      </c>
      <c r="AH14">
        <f>(F14/D14)</f>
        <v>1</v>
      </c>
      <c r="AI14">
        <f>(E14/(D14+H14))</f>
        <v>0</v>
      </c>
      <c r="AJ14">
        <f>(E14/(D14))</f>
        <v>0</v>
      </c>
      <c r="AK14">
        <f>(H14/(D14+H14))</f>
        <v>0</v>
      </c>
      <c r="AL14">
        <v>0</v>
      </c>
      <c r="AM14">
        <v>0</v>
      </c>
      <c r="AN14">
        <f>(D14+H14)/AD14</f>
        <v>6.7786506242927105E-2</v>
      </c>
      <c r="AO14">
        <f>(D14+H14)/AE14</f>
        <v>7.6735681329126032E-2</v>
      </c>
    </row>
    <row r="15" spans="1:43" x14ac:dyDescent="0.35">
      <c r="A15" t="s">
        <v>41</v>
      </c>
      <c r="B15" t="s">
        <v>66</v>
      </c>
      <c r="C15">
        <f t="shared" si="0"/>
        <v>0</v>
      </c>
      <c r="D15">
        <v>0</v>
      </c>
      <c r="E15">
        <v>0</v>
      </c>
      <c r="F15">
        <v>0</v>
      </c>
      <c r="G15">
        <v>0</v>
      </c>
      <c r="H15">
        <v>54</v>
      </c>
      <c r="I15">
        <v>0</v>
      </c>
      <c r="J15">
        <v>54</v>
      </c>
      <c r="K15">
        <v>0</v>
      </c>
      <c r="L15">
        <f t="shared" si="1"/>
        <v>0</v>
      </c>
      <c r="M15">
        <v>0</v>
      </c>
      <c r="N15">
        <f t="shared" si="2"/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10.90562054178165</v>
      </c>
      <c r="W15">
        <v>9.7240885633744618</v>
      </c>
      <c r="X15">
        <v>0</v>
      </c>
      <c r="Y15">
        <v>0</v>
      </c>
      <c r="Z15">
        <v>10.90562054178165</v>
      </c>
      <c r="AA15">
        <v>9.7240885633744618</v>
      </c>
      <c r="AB15">
        <v>0</v>
      </c>
      <c r="AC15">
        <v>0</v>
      </c>
      <c r="AD15">
        <v>555.32196820367994</v>
      </c>
      <c r="AE15">
        <v>495.15751802582002</v>
      </c>
      <c r="AF15" t="e">
        <f t="shared" si="3"/>
        <v>#DIV/0!</v>
      </c>
      <c r="AG15">
        <f>(F15/(D15+H15))</f>
        <v>0</v>
      </c>
      <c r="AH15">
        <v>0</v>
      </c>
      <c r="AI15">
        <f>(E15/(D15+H15))</f>
        <v>0</v>
      </c>
      <c r="AJ15">
        <v>0</v>
      </c>
      <c r="AK15">
        <f>(H15/(D15+H15))</f>
        <v>1</v>
      </c>
      <c r="AL15">
        <f>(I15/H15)</f>
        <v>0</v>
      </c>
      <c r="AM15">
        <f>J15/H15</f>
        <v>1</v>
      </c>
      <c r="AN15">
        <f>(D15+H15)/AD15</f>
        <v>9.7240885633744611E-2</v>
      </c>
      <c r="AO15">
        <f>(D15+H15)/AE15</f>
        <v>0.10905620541781649</v>
      </c>
    </row>
    <row r="16" spans="1:43" x14ac:dyDescent="0.35">
      <c r="A16" t="s">
        <v>42</v>
      </c>
      <c r="B16" t="s">
        <v>66</v>
      </c>
      <c r="C16">
        <f t="shared" si="0"/>
        <v>9.0751215444483115</v>
      </c>
      <c r="D16">
        <v>9.0751215444483115</v>
      </c>
      <c r="E16">
        <v>2.2540984E-2</v>
      </c>
      <c r="F16">
        <v>9.0525805604483107</v>
      </c>
      <c r="G16">
        <v>0</v>
      </c>
      <c r="H16">
        <v>21.104230256601589</v>
      </c>
      <c r="I16">
        <v>0.80696442599999996</v>
      </c>
      <c r="J16">
        <v>20.297265830601589</v>
      </c>
      <c r="K16">
        <v>0</v>
      </c>
      <c r="L16">
        <f t="shared" si="1"/>
        <v>4.2084524748499499</v>
      </c>
      <c r="M16">
        <v>4.2084524748499499</v>
      </c>
      <c r="N16">
        <f t="shared" si="2"/>
        <v>2.2275928706634169</v>
      </c>
      <c r="O16">
        <v>2.227592870663416</v>
      </c>
      <c r="P16">
        <v>1.04530456628853E-2</v>
      </c>
      <c r="Q16">
        <v>5.5329435545527E-3</v>
      </c>
      <c r="R16">
        <v>4.1979994291870648</v>
      </c>
      <c r="S16">
        <v>2.2220599271088641</v>
      </c>
      <c r="T16">
        <v>0</v>
      </c>
      <c r="U16">
        <v>0</v>
      </c>
      <c r="V16">
        <v>9.7867725096785403</v>
      </c>
      <c r="W16">
        <v>5.1802758376502558</v>
      </c>
      <c r="X16">
        <v>0.37421773571651062</v>
      </c>
      <c r="Y16">
        <v>0.19807869166625841</v>
      </c>
      <c r="Z16">
        <v>9.4125547739620288</v>
      </c>
      <c r="AA16">
        <v>4.9821971459839984</v>
      </c>
      <c r="AB16">
        <v>0</v>
      </c>
      <c r="AC16">
        <v>0</v>
      </c>
      <c r="AD16">
        <v>407.39587848230002</v>
      </c>
      <c r="AE16">
        <v>215.64034757863999</v>
      </c>
      <c r="AF16">
        <f t="shared" si="3"/>
        <v>2.7174004808479792E-2</v>
      </c>
      <c r="AG16">
        <f>(F16/(D16+H16))</f>
        <v>0.29995941000076032</v>
      </c>
      <c r="AH16">
        <f>(F16/D16)</f>
        <v>0.99751617828041206</v>
      </c>
      <c r="AI16">
        <f>(E16/(D16+H16))</f>
        <v>7.4690086614835204E-4</v>
      </c>
      <c r="AJ16">
        <f>(E16/(D16))</f>
        <v>2.4838217195878114E-3</v>
      </c>
      <c r="AK16">
        <f>(H16/(D16+H16))</f>
        <v>0.69929368913309131</v>
      </c>
      <c r="AL16">
        <f>(I16/H16)</f>
        <v>3.8237093520507547E-2</v>
      </c>
      <c r="AM16">
        <f>J16/H16</f>
        <v>0.96176290647949247</v>
      </c>
      <c r="AN16">
        <f>(D16+H16)/AD16</f>
        <v>7.4078687083136738E-2</v>
      </c>
      <c r="AO16">
        <f>(D16+H16)/AE16</f>
        <v>0.1399522498452849</v>
      </c>
    </row>
    <row r="17" spans="1:41" x14ac:dyDescent="0.35">
      <c r="A17" t="s">
        <v>43</v>
      </c>
      <c r="B17" t="s">
        <v>66</v>
      </c>
      <c r="C17">
        <f t="shared" si="0"/>
        <v>9</v>
      </c>
      <c r="D17">
        <v>9</v>
      </c>
      <c r="E17">
        <v>0</v>
      </c>
      <c r="F17">
        <v>9</v>
      </c>
      <c r="G17">
        <v>0</v>
      </c>
      <c r="H17">
        <v>9.6999999999999993</v>
      </c>
      <c r="I17">
        <v>0</v>
      </c>
      <c r="J17">
        <v>9.6999999999999993</v>
      </c>
      <c r="K17">
        <v>0</v>
      </c>
      <c r="L17">
        <f t="shared" si="1"/>
        <v>2.7059324055091158</v>
      </c>
      <c r="M17">
        <v>2.7059324055091158</v>
      </c>
      <c r="N17">
        <f t="shared" si="2"/>
        <v>2.8932995220407598</v>
      </c>
      <c r="O17">
        <v>2.8932995220407598</v>
      </c>
      <c r="P17">
        <v>0</v>
      </c>
      <c r="Q17">
        <v>0</v>
      </c>
      <c r="R17">
        <v>2.7059324055091158</v>
      </c>
      <c r="S17">
        <v>2.8932995220407598</v>
      </c>
      <c r="T17">
        <v>0</v>
      </c>
      <c r="U17">
        <v>0</v>
      </c>
      <c r="V17">
        <v>2.9163938148264918</v>
      </c>
      <c r="W17">
        <v>3.1183339293105958</v>
      </c>
      <c r="X17">
        <v>0</v>
      </c>
      <c r="Y17">
        <v>0</v>
      </c>
      <c r="Z17">
        <v>2.9163938148264918</v>
      </c>
      <c r="AA17">
        <v>3.1183339293105958</v>
      </c>
      <c r="AB17">
        <v>0</v>
      </c>
      <c r="AC17">
        <v>0</v>
      </c>
      <c r="AD17">
        <v>311.06354290107998</v>
      </c>
      <c r="AE17">
        <v>332.60254327404999</v>
      </c>
      <c r="AF17" t="e">
        <f t="shared" si="3"/>
        <v>#DIV/0!</v>
      </c>
      <c r="AG17">
        <f>(F17/(D17+H17))</f>
        <v>0.48128342245989308</v>
      </c>
      <c r="AH17">
        <f>(F17/D17)</f>
        <v>1</v>
      </c>
      <c r="AI17">
        <f>(E17/(D17+H17))</f>
        <v>0</v>
      </c>
      <c r="AJ17">
        <f>(E17/(D17))</f>
        <v>0</v>
      </c>
      <c r="AK17">
        <f>(H17/(D17+H17))</f>
        <v>0.51871657754010692</v>
      </c>
      <c r="AL17">
        <f>(I17/H17)</f>
        <v>0</v>
      </c>
      <c r="AM17">
        <f>J17/H17</f>
        <v>1</v>
      </c>
      <c r="AN17">
        <f>(D17+H17)/AD17</f>
        <v>6.0116334513513559E-2</v>
      </c>
      <c r="AO17">
        <f>(D17+H17)/AE17</f>
        <v>5.6223262203356078E-2</v>
      </c>
    </row>
    <row r="18" spans="1:41" x14ac:dyDescent="0.35">
      <c r="A18" t="s">
        <v>44</v>
      </c>
      <c r="B18" t="s">
        <v>66</v>
      </c>
      <c r="C18">
        <f t="shared" si="0"/>
        <v>0</v>
      </c>
      <c r="D18">
        <v>0</v>
      </c>
      <c r="E18">
        <v>0</v>
      </c>
      <c r="F18">
        <v>0</v>
      </c>
      <c r="G18">
        <v>0</v>
      </c>
      <c r="H18">
        <v>0.34351350790000001</v>
      </c>
      <c r="I18">
        <v>0.166216216</v>
      </c>
      <c r="J18">
        <v>0.17729729189999999</v>
      </c>
      <c r="K18">
        <v>0</v>
      </c>
      <c r="L18">
        <f t="shared" si="1"/>
        <v>0</v>
      </c>
      <c r="M18">
        <v>0</v>
      </c>
      <c r="N18">
        <f t="shared" si="2"/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1.2772080118792739</v>
      </c>
      <c r="W18">
        <v>0.74820679582493232</v>
      </c>
      <c r="X18">
        <v>0.61800388601095835</v>
      </c>
      <c r="Y18">
        <v>0.36203555181215291</v>
      </c>
      <c r="Z18">
        <v>0.659204125868316</v>
      </c>
      <c r="AA18">
        <v>0.38617124401277941</v>
      </c>
      <c r="AB18">
        <v>0</v>
      </c>
      <c r="AC18">
        <v>0</v>
      </c>
      <c r="AD18">
        <v>45.911572818750003</v>
      </c>
      <c r="AE18">
        <v>26.895658710639999</v>
      </c>
      <c r="AF18">
        <f t="shared" si="3"/>
        <v>0</v>
      </c>
      <c r="AG18">
        <f>(F18/(D18+H18))</f>
        <v>0</v>
      </c>
      <c r="AH18">
        <v>0</v>
      </c>
      <c r="AI18">
        <f>(E18/(D18+H18))</f>
        <v>0</v>
      </c>
      <c r="AJ18">
        <v>0</v>
      </c>
      <c r="AK18">
        <f>(H18/(D18+H18))</f>
        <v>1</v>
      </c>
      <c r="AL18">
        <f>(I18/H18)</f>
        <v>0.48387097501966964</v>
      </c>
      <c r="AM18">
        <f>J18/H18</f>
        <v>0.51612902498033031</v>
      </c>
      <c r="AN18">
        <f>(D18+H18)/AD18</f>
        <v>7.4820679582493247E-3</v>
      </c>
      <c r="AO18">
        <f>(D18+H18)/AE18</f>
        <v>1.2772080118792743E-2</v>
      </c>
    </row>
    <row r="19" spans="1:41" x14ac:dyDescent="0.35">
      <c r="A19" t="s">
        <v>45</v>
      </c>
      <c r="B19" t="s">
        <v>66</v>
      </c>
      <c r="C19">
        <f t="shared" si="0"/>
        <v>8.8523525290000009</v>
      </c>
      <c r="D19">
        <v>4.352352529</v>
      </c>
      <c r="E19">
        <v>2.8823529000000001E-2</v>
      </c>
      <c r="F19">
        <v>4.3235289999999997</v>
      </c>
      <c r="G19">
        <v>4.5</v>
      </c>
      <c r="H19">
        <v>13.1</v>
      </c>
      <c r="I19">
        <v>1.1000000000000001</v>
      </c>
      <c r="J19">
        <v>12</v>
      </c>
      <c r="K19">
        <v>0</v>
      </c>
      <c r="L19">
        <f t="shared" si="1"/>
        <v>3.4749972442388337</v>
      </c>
      <c r="M19">
        <v>1.7085190625524529</v>
      </c>
      <c r="N19">
        <f t="shared" si="2"/>
        <v>3.4862443675836436</v>
      </c>
      <c r="O19">
        <v>1.7140488294221521</v>
      </c>
      <c r="P19">
        <v>1.1314696688378799E-2</v>
      </c>
      <c r="Q19">
        <v>1.1351317663970699E-2</v>
      </c>
      <c r="R19">
        <v>1.6972043658640741</v>
      </c>
      <c r="S19">
        <v>1.7026975117581811</v>
      </c>
      <c r="T19">
        <v>1.766478181686381</v>
      </c>
      <c r="U19">
        <v>1.772195538161492</v>
      </c>
      <c r="V19">
        <v>5.1424142622425748</v>
      </c>
      <c r="W19">
        <v>5.1590581222034544</v>
      </c>
      <c r="X19">
        <v>0.43180577774555973</v>
      </c>
      <c r="Y19">
        <v>0.43320335377280911</v>
      </c>
      <c r="Z19">
        <v>4.7106084844970146</v>
      </c>
      <c r="AA19">
        <v>4.7258547684306453</v>
      </c>
      <c r="AB19">
        <v>0</v>
      </c>
      <c r="AC19">
        <v>0</v>
      </c>
      <c r="AD19">
        <v>253.92231856471</v>
      </c>
      <c r="AE19">
        <v>254.7441596875</v>
      </c>
      <c r="AF19">
        <f t="shared" si="3"/>
        <v>2.553413200514533E-2</v>
      </c>
      <c r="AG19">
        <f>(F19/(D19+H19))</f>
        <v>0.24773330660240411</v>
      </c>
      <c r="AH19">
        <f>(F19/D19)</f>
        <v>0.99337748291115036</v>
      </c>
      <c r="AI19">
        <f>(E19/(D19+H19))</f>
        <v>1.6515555110467137E-3</v>
      </c>
      <c r="AJ19">
        <f>(E19/(D19))</f>
        <v>6.6225170888495367E-3</v>
      </c>
      <c r="AK19">
        <f>(H19/(D19+H19))</f>
        <v>0.75061513788654921</v>
      </c>
      <c r="AL19">
        <f>(I19/H19)</f>
        <v>8.3969465648854977E-2</v>
      </c>
      <c r="AM19">
        <f>J19/H19</f>
        <v>0.91603053435114501</v>
      </c>
      <c r="AN19">
        <f>(D19+H19)/AD19</f>
        <v>6.8731069516256058E-2</v>
      </c>
      <c r="AO19">
        <f>(D19+H19)/AE19</f>
        <v>6.8509333247950277E-2</v>
      </c>
    </row>
    <row r="20" spans="1:41" x14ac:dyDescent="0.35">
      <c r="A20" t="s">
        <v>46</v>
      </c>
      <c r="B20" t="s">
        <v>66</v>
      </c>
      <c r="C20">
        <f t="shared" si="0"/>
        <v>6.3664610000000001</v>
      </c>
      <c r="D20">
        <v>6.3664610000000001</v>
      </c>
      <c r="E20">
        <v>5.4100000000000003E-4</v>
      </c>
      <c r="F20">
        <v>6.36592</v>
      </c>
      <c r="G20">
        <v>0</v>
      </c>
      <c r="H20">
        <v>2.2164000000000001</v>
      </c>
      <c r="I20">
        <v>1.1082000000000001</v>
      </c>
      <c r="J20">
        <v>1.1082000000000001</v>
      </c>
      <c r="K20">
        <v>0</v>
      </c>
      <c r="L20">
        <f t="shared" si="1"/>
        <v>3.1222987126848292</v>
      </c>
      <c r="M20">
        <v>3.1222987126848292</v>
      </c>
      <c r="N20">
        <f t="shared" si="2"/>
        <v>2.1112823412204826</v>
      </c>
      <c r="O20">
        <v>2.1112823412204822</v>
      </c>
      <c r="P20">
        <v>2.6532222588999997E-4</v>
      </c>
      <c r="Q20">
        <v>1.794095254176E-4</v>
      </c>
      <c r="R20">
        <v>3.122033390458939</v>
      </c>
      <c r="S20">
        <v>2.1111029316950649</v>
      </c>
      <c r="T20">
        <v>0</v>
      </c>
      <c r="U20">
        <v>0</v>
      </c>
      <c r="V20">
        <v>1.086987396419244</v>
      </c>
      <c r="W20">
        <v>0.73501529045431646</v>
      </c>
      <c r="X20">
        <v>0.5434936982096219</v>
      </c>
      <c r="Y20">
        <v>0.36750764522715818</v>
      </c>
      <c r="Z20">
        <v>0.5434936982096219</v>
      </c>
      <c r="AA20">
        <v>0.36750764522715818</v>
      </c>
      <c r="AB20">
        <v>0</v>
      </c>
      <c r="AC20">
        <v>0</v>
      </c>
      <c r="AD20">
        <v>301.54474727050001</v>
      </c>
      <c r="AE20">
        <v>203.90300819506001</v>
      </c>
      <c r="AF20">
        <f t="shared" si="3"/>
        <v>4.879408265771718E-4</v>
      </c>
      <c r="AG20">
        <f>(F20/(D20+H20))</f>
        <v>0.74170139770409882</v>
      </c>
      <c r="AH20">
        <f>(F20/D20)</f>
        <v>0.99991502343295591</v>
      </c>
      <c r="AI20">
        <f>(E20/(D20+H20))</f>
        <v>6.3032594842209373E-5</v>
      </c>
      <c r="AJ20">
        <f>(E20/(D20))</f>
        <v>8.4976567044076767E-5</v>
      </c>
      <c r="AK20">
        <f>(H20/(D20+H20))</f>
        <v>0.25823556970105888</v>
      </c>
      <c r="AL20">
        <f>(I20/H20)</f>
        <v>0.5</v>
      </c>
      <c r="AM20">
        <f>J20/H20</f>
        <v>0.5</v>
      </c>
      <c r="AN20">
        <f>(D20+H20)/AD20</f>
        <v>2.8462976316747993E-2</v>
      </c>
      <c r="AO20">
        <f>(D20+H20)/AE20</f>
        <v>4.2092861091040733E-2</v>
      </c>
    </row>
    <row r="21" spans="1:41" x14ac:dyDescent="0.35">
      <c r="A21" t="s">
        <v>47</v>
      </c>
      <c r="B21" t="s">
        <v>66</v>
      </c>
      <c r="C21">
        <f t="shared" si="0"/>
        <v>0.88253820443329623</v>
      </c>
      <c r="D21">
        <v>0.88253820443329634</v>
      </c>
      <c r="E21">
        <v>2.1328006607137899E-2</v>
      </c>
      <c r="F21">
        <v>0.86121019782615837</v>
      </c>
      <c r="G21">
        <v>0</v>
      </c>
      <c r="H21">
        <v>0.91931062961801724</v>
      </c>
      <c r="I21">
        <v>0</v>
      </c>
      <c r="J21">
        <v>0.91931062961801724</v>
      </c>
      <c r="K21">
        <v>0</v>
      </c>
      <c r="L21">
        <f t="shared" si="1"/>
        <v>4.2572996227017779</v>
      </c>
      <c r="M21">
        <v>4.2572996227017779</v>
      </c>
      <c r="N21">
        <f t="shared" si="2"/>
        <v>4.6280958337256317</v>
      </c>
      <c r="O21">
        <v>4.6280958337256317</v>
      </c>
      <c r="P21">
        <v>0.1028847408819596</v>
      </c>
      <c r="Q21">
        <v>0.1118456493150361</v>
      </c>
      <c r="R21">
        <v>4.1544148818198181</v>
      </c>
      <c r="S21">
        <v>4.5162501844105956</v>
      </c>
      <c r="T21">
        <v>0</v>
      </c>
      <c r="U21">
        <v>0</v>
      </c>
      <c r="V21">
        <v>4.434687106981019</v>
      </c>
      <c r="W21">
        <v>4.8209331601308669</v>
      </c>
      <c r="X21">
        <v>0</v>
      </c>
      <c r="Y21">
        <v>0</v>
      </c>
      <c r="Z21">
        <v>4.434687106981019</v>
      </c>
      <c r="AA21">
        <v>4.8209331601308669</v>
      </c>
      <c r="AB21">
        <v>0</v>
      </c>
      <c r="AC21">
        <v>0</v>
      </c>
      <c r="AD21">
        <v>19.06914282116</v>
      </c>
      <c r="AE21">
        <v>20.729999827290001</v>
      </c>
      <c r="AF21">
        <f t="shared" si="3"/>
        <v>1</v>
      </c>
      <c r="AG21">
        <f>(F21/(D21+H21))</f>
        <v>0.4779591836734694</v>
      </c>
      <c r="AH21">
        <f>(F21/D21)</f>
        <v>0.97583333333333333</v>
      </c>
      <c r="AI21">
        <f>(E21/(D21+H21))</f>
        <v>1.1836734693877497E-2</v>
      </c>
      <c r="AJ21">
        <f>(E21/(D21))</f>
        <v>2.4166666666666559E-2</v>
      </c>
      <c r="AK21">
        <f>(H21/(D21+H21))</f>
        <v>0.51020408163265318</v>
      </c>
      <c r="AL21">
        <f>(I21/H21)</f>
        <v>0</v>
      </c>
      <c r="AM21">
        <f>J21/H21</f>
        <v>1</v>
      </c>
      <c r="AN21">
        <f>(D21+H21)/AD21</f>
        <v>9.4490289938564981E-2</v>
      </c>
      <c r="AO21">
        <f>(D21+H21)/AE21</f>
        <v>8.6919867296827963E-2</v>
      </c>
    </row>
    <row r="22" spans="1:41" x14ac:dyDescent="0.35">
      <c r="A22" t="s">
        <v>48</v>
      </c>
      <c r="B22" t="s">
        <v>66</v>
      </c>
      <c r="C22">
        <f t="shared" si="0"/>
        <v>26.292712146915662</v>
      </c>
      <c r="D22">
        <v>23.4348086526857</v>
      </c>
      <c r="E22">
        <v>2.2863227953839709</v>
      </c>
      <c r="F22">
        <v>21.148485857301729</v>
      </c>
      <c r="G22">
        <v>2.857903494229963</v>
      </c>
      <c r="H22">
        <v>6.8589683861519131</v>
      </c>
      <c r="I22">
        <v>4.5726455907679417</v>
      </c>
      <c r="J22">
        <v>2.2863227953839709</v>
      </c>
      <c r="K22">
        <v>0</v>
      </c>
      <c r="L22">
        <f t="shared" si="1"/>
        <v>7.0780824927377148</v>
      </c>
      <c r="M22">
        <v>6.308725700048833</v>
      </c>
      <c r="N22">
        <f t="shared" si="2"/>
        <v>6.2917668334244397</v>
      </c>
      <c r="O22">
        <v>5.6078791341391749</v>
      </c>
      <c r="P22">
        <v>0.61548543415110557</v>
      </c>
      <c r="Q22">
        <v>0.54711015942821217</v>
      </c>
      <c r="R22">
        <v>5.6932402658977272</v>
      </c>
      <c r="S22">
        <v>5.060768974710963</v>
      </c>
      <c r="T22">
        <v>0.76935679268888202</v>
      </c>
      <c r="U22">
        <v>0.68388769928526516</v>
      </c>
      <c r="V22">
        <v>1.8464563024533169</v>
      </c>
      <c r="W22">
        <v>1.6413304782846361</v>
      </c>
      <c r="X22">
        <v>1.2309708683022109</v>
      </c>
      <c r="Y22">
        <v>1.0942203188564239</v>
      </c>
      <c r="Z22">
        <v>0.61548543415110557</v>
      </c>
      <c r="AA22">
        <v>0.54711015942821217</v>
      </c>
      <c r="AB22">
        <v>0</v>
      </c>
      <c r="AC22">
        <v>0</v>
      </c>
      <c r="AD22">
        <v>417.89075855828003</v>
      </c>
      <c r="AE22">
        <v>371.46659669328</v>
      </c>
      <c r="AF22">
        <f t="shared" si="3"/>
        <v>0.33333333333333331</v>
      </c>
      <c r="AG22">
        <f>(F22/(D22+H22))</f>
        <v>0.69811320754716988</v>
      </c>
      <c r="AH22">
        <f>(F22/D22)</f>
        <v>0.90243902439024393</v>
      </c>
      <c r="AI22">
        <f>(E22/(D22+H22))</f>
        <v>7.5471698113207558E-2</v>
      </c>
      <c r="AJ22">
        <f>(E22/(D22))</f>
        <v>9.7560975609756101E-2</v>
      </c>
      <c r="AK22">
        <f>(H22/(D22+H22))</f>
        <v>0.22641509433962267</v>
      </c>
      <c r="AL22">
        <f>(I22/H22)</f>
        <v>0.66666666666666663</v>
      </c>
      <c r="AM22">
        <f>J22/H22</f>
        <v>0.33333333333333331</v>
      </c>
      <c r="AN22">
        <f>(D22+H22)/AD22</f>
        <v>7.2492096124238098E-2</v>
      </c>
      <c r="AO22">
        <f>(D22+H22)/AE22</f>
        <v>8.1551820025021482E-2</v>
      </c>
    </row>
    <row r="23" spans="1:41" x14ac:dyDescent="0.35">
      <c r="A23" t="s">
        <v>49</v>
      </c>
      <c r="B23" t="s">
        <v>66</v>
      </c>
      <c r="C23">
        <f t="shared" si="0"/>
        <v>27.998705557429695</v>
      </c>
      <c r="D23">
        <v>25.918306382883841</v>
      </c>
      <c r="E23">
        <v>4.0163261841927023</v>
      </c>
      <c r="F23">
        <v>21.901980198691131</v>
      </c>
      <c r="G23">
        <v>2.0803991745458599</v>
      </c>
      <c r="H23">
        <v>11.15325113020419</v>
      </c>
      <c r="I23">
        <v>0.9535162883335192</v>
      </c>
      <c r="J23">
        <v>10.19973484187067</v>
      </c>
      <c r="K23">
        <v>0</v>
      </c>
      <c r="L23">
        <f t="shared" si="1"/>
        <v>7.810825703523264</v>
      </c>
      <c r="M23">
        <v>7.2304547534162724</v>
      </c>
      <c r="N23">
        <f t="shared" si="2"/>
        <v>8.1772706328168336</v>
      </c>
      <c r="O23">
        <v>7.5696715765084619</v>
      </c>
      <c r="P23">
        <v>1.120438362012109</v>
      </c>
      <c r="Q23">
        <v>1.173003733706439</v>
      </c>
      <c r="R23">
        <v>6.1100163914041632</v>
      </c>
      <c r="S23">
        <v>6.3966678428020227</v>
      </c>
      <c r="T23">
        <v>0.5803709501069918</v>
      </c>
      <c r="U23">
        <v>0.60759905630837163</v>
      </c>
      <c r="V23">
        <v>3.1114331491847049</v>
      </c>
      <c r="W23">
        <v>3.257406051875436</v>
      </c>
      <c r="X23">
        <v>0.2660033521323712</v>
      </c>
      <c r="Y23">
        <v>0.27848290080800359</v>
      </c>
      <c r="Z23">
        <v>2.8454297970523341</v>
      </c>
      <c r="AA23">
        <v>2.9789231510674319</v>
      </c>
      <c r="AB23">
        <v>0</v>
      </c>
      <c r="AC23">
        <v>0</v>
      </c>
      <c r="AD23">
        <v>342.39670930134002</v>
      </c>
      <c r="AE23">
        <v>358.46025273358998</v>
      </c>
      <c r="AF23">
        <f t="shared" si="3"/>
        <v>0.80813953488372092</v>
      </c>
      <c r="AG23">
        <f>(F23/(D23+H23))</f>
        <v>0.59080280592361634</v>
      </c>
      <c r="AH23">
        <f>(F23/D23)</f>
        <v>0.84503901895206213</v>
      </c>
      <c r="AI23">
        <f>(E23/(D23+H23))</f>
        <v>0.10833982852689011</v>
      </c>
      <c r="AJ23">
        <f>(E23/(D23))</f>
        <v>0.15496098104793757</v>
      </c>
      <c r="AK23">
        <f>(H23/(D23+H23))</f>
        <v>0.30085736554949327</v>
      </c>
      <c r="AL23">
        <f>(I23/H23)</f>
        <v>8.5492227979274651E-2</v>
      </c>
      <c r="AM23">
        <f>J23/H23</f>
        <v>0.91450777202072531</v>
      </c>
      <c r="AN23">
        <f>(D23+H23)/AD23</f>
        <v>0.10827077628383897</v>
      </c>
      <c r="AO23">
        <f>(D23+H23)/AE23</f>
        <v>0.10341887902600977</v>
      </c>
    </row>
    <row r="24" spans="1:41" x14ac:dyDescent="0.35">
      <c r="A24" t="s">
        <v>50</v>
      </c>
      <c r="B24" t="s">
        <v>66</v>
      </c>
      <c r="C24">
        <f t="shared" si="0"/>
        <v>2.6412118346100706</v>
      </c>
      <c r="D24">
        <v>2.641211834610071</v>
      </c>
      <c r="E24">
        <v>0.2311060355223796</v>
      </c>
      <c r="F24">
        <v>2.4101057990876908</v>
      </c>
      <c r="G24">
        <v>0</v>
      </c>
      <c r="H24">
        <v>1.048561098329887</v>
      </c>
      <c r="I24">
        <v>0.2311060355223796</v>
      </c>
      <c r="J24">
        <v>0.81745506280750724</v>
      </c>
      <c r="K24">
        <v>0</v>
      </c>
      <c r="L24">
        <f t="shared" si="1"/>
        <v>8.7573111594010662</v>
      </c>
      <c r="M24">
        <v>8.7573111594010662</v>
      </c>
      <c r="N24">
        <f t="shared" si="2"/>
        <v>4.7655871856594887</v>
      </c>
      <c r="O24">
        <v>4.7655871856594887</v>
      </c>
      <c r="P24">
        <v>0.76626472642769428</v>
      </c>
      <c r="Q24">
        <v>0.41698887873437651</v>
      </c>
      <c r="R24">
        <v>7.9910464329733726</v>
      </c>
      <c r="S24">
        <v>4.348598306925112</v>
      </c>
      <c r="T24">
        <v>0</v>
      </c>
      <c r="U24">
        <v>0</v>
      </c>
      <c r="V24">
        <v>3.4766525302480362</v>
      </c>
      <c r="W24">
        <v>1.891938112688212</v>
      </c>
      <c r="X24">
        <v>0.76626472642769428</v>
      </c>
      <c r="Y24">
        <v>0.41698887873437651</v>
      </c>
      <c r="Z24">
        <v>2.7103878038203408</v>
      </c>
      <c r="AA24">
        <v>1.4749492339538359</v>
      </c>
      <c r="AB24">
        <v>0</v>
      </c>
      <c r="AC24">
        <v>0</v>
      </c>
      <c r="AD24">
        <v>55.422589739999999</v>
      </c>
      <c r="AE24">
        <v>30.160077523049999</v>
      </c>
      <c r="AF24">
        <f t="shared" si="3"/>
        <v>0.5</v>
      </c>
      <c r="AG24">
        <f>(F24/(D24+H24))</f>
        <v>0.65318539728333724</v>
      </c>
      <c r="AH24">
        <f>(F24/D24)</f>
        <v>0.91250000000227205</v>
      </c>
      <c r="AI24">
        <f>(E24/(D24+H24))</f>
        <v>6.2634216176071747E-2</v>
      </c>
      <c r="AJ24">
        <f>(E24/(D24))</f>
        <v>8.7499999997727701E-2</v>
      </c>
      <c r="AK24">
        <f>(H24/(D24+H24))</f>
        <v>0.28418038654059091</v>
      </c>
      <c r="AL24">
        <f>(I24/H24)</f>
        <v>0.22040302266646888</v>
      </c>
      <c r="AM24">
        <f>J24/H24</f>
        <v>0.77959697733353095</v>
      </c>
      <c r="AN24">
        <f>(D24+H24)/AD24</f>
        <v>6.6575252983477023E-2</v>
      </c>
      <c r="AO24">
        <f>(D24+H24)/AE24</f>
        <v>0.12233963689649104</v>
      </c>
    </row>
    <row r="25" spans="1:41" x14ac:dyDescent="0.35">
      <c r="A25" t="s">
        <v>51</v>
      </c>
      <c r="B25" t="s">
        <v>66</v>
      </c>
      <c r="C25">
        <f t="shared" si="0"/>
        <v>5.0984998337062546</v>
      </c>
      <c r="D25">
        <v>2.5949763727608071</v>
      </c>
      <c r="E25">
        <v>0.57158069884599272</v>
      </c>
      <c r="F25">
        <v>2.023395673914814</v>
      </c>
      <c r="G25">
        <v>2.503523460945448</v>
      </c>
      <c r="H25">
        <v>1.966237604030215</v>
      </c>
      <c r="I25">
        <v>0.36581164726143528</v>
      </c>
      <c r="J25">
        <v>1.60042595676878</v>
      </c>
      <c r="K25">
        <v>0</v>
      </c>
      <c r="L25">
        <f t="shared" si="1"/>
        <v>10.574121808189499</v>
      </c>
      <c r="M25">
        <v>5.3818960772623692</v>
      </c>
      <c r="N25">
        <f t="shared" si="2"/>
        <v>5.2488222531081297</v>
      </c>
      <c r="O25">
        <v>2.6714857655953939</v>
      </c>
      <c r="P25">
        <v>1.185439664595235</v>
      </c>
      <c r="Q25">
        <v>0.5884329880166066</v>
      </c>
      <c r="R25">
        <v>4.1964564126671338</v>
      </c>
      <c r="S25">
        <v>2.083052777578787</v>
      </c>
      <c r="T25">
        <v>5.19222573092713</v>
      </c>
      <c r="U25">
        <v>2.5773364875127358</v>
      </c>
      <c r="V25">
        <v>4.0779124462076091</v>
      </c>
      <c r="W25">
        <v>2.0242094787771259</v>
      </c>
      <c r="X25">
        <v>0.75868138534095053</v>
      </c>
      <c r="Y25">
        <v>0.3765971123306282</v>
      </c>
      <c r="Z25">
        <v>3.3192310608666582</v>
      </c>
      <c r="AA25">
        <v>1.6476123664464979</v>
      </c>
      <c r="AB25">
        <v>0</v>
      </c>
      <c r="AC25">
        <v>0</v>
      </c>
      <c r="AD25">
        <v>97.136073348400004</v>
      </c>
      <c r="AE25">
        <v>48.216768505140003</v>
      </c>
      <c r="AF25">
        <f t="shared" si="3"/>
        <v>0.6097560975609756</v>
      </c>
      <c r="AG25">
        <f>(F25/(D25+H25))</f>
        <v>0.44360902255639095</v>
      </c>
      <c r="AH25">
        <f>(F25/D25)</f>
        <v>0.7797356828193831</v>
      </c>
      <c r="AI25">
        <f>(E25/(D25+H25))</f>
        <v>0.12531328320802004</v>
      </c>
      <c r="AJ25">
        <f>(E25/(D25))</f>
        <v>0.22026431718061673</v>
      </c>
      <c r="AK25">
        <f>(H25/(D25+H25))</f>
        <v>0.431077694235589</v>
      </c>
      <c r="AL25">
        <f>(I25/H25)</f>
        <v>0.18604651162790695</v>
      </c>
      <c r="AM25">
        <f>J25/H25</f>
        <v>0.81395348837209325</v>
      </c>
      <c r="AN25">
        <f>(D25+H25)/AD25</f>
        <v>4.6956952443725199E-2</v>
      </c>
      <c r="AO25">
        <f>(D25+H25)/AE25</f>
        <v>9.4598085234699772E-2</v>
      </c>
    </row>
    <row r="26" spans="1:41" x14ac:dyDescent="0.35">
      <c r="A26" t="s">
        <v>52</v>
      </c>
      <c r="B26" t="s">
        <v>66</v>
      </c>
      <c r="C26">
        <f t="shared" si="0"/>
        <v>8.7583886403939886</v>
      </c>
      <c r="D26">
        <v>3.5438003328451551</v>
      </c>
      <c r="E26">
        <v>0.2286322795383971</v>
      </c>
      <c r="F26">
        <v>3.315168053306758</v>
      </c>
      <c r="G26">
        <v>5.2145883075488326</v>
      </c>
      <c r="H26">
        <v>2.857903494229963</v>
      </c>
      <c r="I26">
        <v>0</v>
      </c>
      <c r="J26">
        <v>2.857903494229963</v>
      </c>
      <c r="K26">
        <v>1.257477537461184</v>
      </c>
      <c r="L26">
        <f t="shared" si="1"/>
        <v>13.159131848923685</v>
      </c>
      <c r="M26">
        <v>5.3244195640159759</v>
      </c>
      <c r="N26">
        <f t="shared" si="2"/>
        <v>13.201580698565206</v>
      </c>
      <c r="O26">
        <v>5.3415951260588308</v>
      </c>
      <c r="P26">
        <v>0.34351093961393397</v>
      </c>
      <c r="Q26">
        <v>0.34461904039089231</v>
      </c>
      <c r="R26">
        <v>4.9809086244020424</v>
      </c>
      <c r="S26">
        <v>4.9969760856679386</v>
      </c>
      <c r="T26">
        <v>7.8347122849077087</v>
      </c>
      <c r="U26">
        <v>7.8599855725063756</v>
      </c>
      <c r="V26">
        <v>4.2938867451741736</v>
      </c>
      <c r="W26">
        <v>4.3077380048861542</v>
      </c>
      <c r="X26">
        <v>0</v>
      </c>
      <c r="Y26">
        <v>0</v>
      </c>
      <c r="Z26">
        <v>4.2938867451741736</v>
      </c>
      <c r="AA26">
        <v>4.3077380048861542</v>
      </c>
      <c r="AB26">
        <v>1.8893101678766371</v>
      </c>
      <c r="AC26">
        <v>1.895404722149908</v>
      </c>
      <c r="AD26">
        <v>66.343484468840003</v>
      </c>
      <c r="AE26">
        <v>66.557495896739994</v>
      </c>
      <c r="AF26">
        <f t="shared" si="3"/>
        <v>1</v>
      </c>
      <c r="AG26">
        <f>(F26/(D26+H26))</f>
        <v>0.5178571428571429</v>
      </c>
      <c r="AH26">
        <f>(F26/D26)</f>
        <v>0.93548387096774199</v>
      </c>
      <c r="AI26">
        <f>(E26/(D26+H26))</f>
        <v>3.5714285714285719E-2</v>
      </c>
      <c r="AJ26">
        <f>(E26/(D26))</f>
        <v>6.4516129032258063E-2</v>
      </c>
      <c r="AK26">
        <f>(H26/(D26+H26))</f>
        <v>0.44642857142857134</v>
      </c>
      <c r="AL26">
        <f>(I26/H26)</f>
        <v>0</v>
      </c>
      <c r="AM26">
        <f>J26/H26</f>
        <v>1</v>
      </c>
      <c r="AN26">
        <f>(D26+H26)/AD26</f>
        <v>9.6493331309449842E-2</v>
      </c>
      <c r="AO26">
        <f>(D26+H26)/AE26</f>
        <v>9.6183063091901499E-2</v>
      </c>
    </row>
    <row r="27" spans="1:41" x14ac:dyDescent="0.35">
      <c r="A27" t="s">
        <v>53</v>
      </c>
      <c r="B27" t="s">
        <v>66</v>
      </c>
      <c r="C27">
        <f t="shared" si="0"/>
        <v>67</v>
      </c>
      <c r="D27">
        <v>22</v>
      </c>
      <c r="E27">
        <v>0</v>
      </c>
      <c r="F27">
        <v>22</v>
      </c>
      <c r="G27">
        <v>45</v>
      </c>
      <c r="H27">
        <v>0</v>
      </c>
      <c r="I27">
        <v>0</v>
      </c>
      <c r="J27">
        <v>0</v>
      </c>
      <c r="K27">
        <v>0</v>
      </c>
      <c r="L27">
        <f t="shared" si="1"/>
        <v>7.9738132492564535</v>
      </c>
      <c r="M27">
        <v>2.6182670370692831</v>
      </c>
      <c r="N27">
        <f t="shared" si="2"/>
        <v>7.1854455820296348</v>
      </c>
      <c r="O27">
        <v>2.3594000418604768</v>
      </c>
      <c r="P27">
        <v>0</v>
      </c>
      <c r="Q27">
        <v>0</v>
      </c>
      <c r="R27">
        <v>2.6182670370692831</v>
      </c>
      <c r="S27">
        <v>2.3594000418604768</v>
      </c>
      <c r="T27">
        <v>5.3555462121871704</v>
      </c>
      <c r="U27">
        <v>4.826045540169158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932.44043441874999</v>
      </c>
      <c r="AE27">
        <v>840.25042856688003</v>
      </c>
      <c r="AF27" t="e">
        <f t="shared" si="3"/>
        <v>#DIV/0!</v>
      </c>
      <c r="AG27">
        <f>(F27/(D27+H27))</f>
        <v>1</v>
      </c>
      <c r="AH27">
        <f>(F27/D27)</f>
        <v>1</v>
      </c>
      <c r="AI27">
        <f>(E27/(D27+H27))</f>
        <v>0</v>
      </c>
      <c r="AJ27">
        <f>(E27/(D27))</f>
        <v>0</v>
      </c>
      <c r="AK27">
        <f>(H27/(D27+H27))</f>
        <v>0</v>
      </c>
      <c r="AL27">
        <v>0</v>
      </c>
      <c r="AM27">
        <v>0</v>
      </c>
      <c r="AN27">
        <f>(D27+H27)/AD27</f>
        <v>2.3594000418604769E-2</v>
      </c>
      <c r="AO27">
        <f>(D27+H27)/AE27</f>
        <v>2.6182670370692829E-2</v>
      </c>
    </row>
    <row r="28" spans="1:41" x14ac:dyDescent="0.35">
      <c r="A28" t="s">
        <v>54</v>
      </c>
      <c r="B28" t="s">
        <v>66</v>
      </c>
      <c r="C28">
        <f t="shared" si="0"/>
        <v>11.088515533797038</v>
      </c>
      <c r="D28">
        <v>11.08851553379704</v>
      </c>
      <c r="E28">
        <v>0.31570903379703807</v>
      </c>
      <c r="F28">
        <v>10.7728065</v>
      </c>
      <c r="G28">
        <v>0</v>
      </c>
      <c r="H28">
        <v>6.6522016324629796</v>
      </c>
      <c r="I28">
        <v>2.7058387100000001</v>
      </c>
      <c r="J28">
        <v>3.9463629224629799</v>
      </c>
      <c r="L28">
        <f t="shared" si="1"/>
        <v>5.463962448196896</v>
      </c>
      <c r="M28">
        <v>5.4639624481968951</v>
      </c>
      <c r="N28">
        <f t="shared" si="2"/>
        <v>5.7165015304406683</v>
      </c>
      <c r="O28">
        <v>5.7165015304406683</v>
      </c>
      <c r="P28">
        <v>0.15556837161527981</v>
      </c>
      <c r="Q28">
        <v>0.1627585919299977</v>
      </c>
      <c r="R28">
        <v>5.3083940765816164</v>
      </c>
      <c r="S28">
        <v>5.5537429385106707</v>
      </c>
      <c r="T28">
        <v>0</v>
      </c>
      <c r="U28">
        <v>0</v>
      </c>
      <c r="V28">
        <v>3.2779301978544808</v>
      </c>
      <c r="W28">
        <v>3.4294329747629302</v>
      </c>
      <c r="X28">
        <v>1.3333255526634811</v>
      </c>
      <c r="Y28">
        <v>1.394950575637957</v>
      </c>
      <c r="Z28">
        <v>1.944604645191</v>
      </c>
      <c r="AA28">
        <v>2.0344823991249732</v>
      </c>
      <c r="AB28">
        <v>0</v>
      </c>
      <c r="AC28">
        <v>0</v>
      </c>
      <c r="AD28">
        <v>193.97380504054999</v>
      </c>
      <c r="AE28">
        <v>202.93908750153</v>
      </c>
      <c r="AF28">
        <f t="shared" si="3"/>
        <v>0.10448586637267603</v>
      </c>
      <c r="AG28">
        <f>(F28/(D28+H28))</f>
        <v>0.60723624637273055</v>
      </c>
      <c r="AH28">
        <f>(F28/D28)</f>
        <v>0.97152828682660175</v>
      </c>
      <c r="AI28">
        <f>(E28/(D28+H28))</f>
        <v>1.7795731189349306E-2</v>
      </c>
      <c r="AJ28">
        <f>(E28/(D28))</f>
        <v>2.8471713173398049E-2</v>
      </c>
      <c r="AK28">
        <f>(H28/(D28+H28))</f>
        <v>0.37496802243791999</v>
      </c>
      <c r="AL28">
        <f>(I28/H28)</f>
        <v>0.40675837256577002</v>
      </c>
      <c r="AM28">
        <f>J28/H28</f>
        <v>0.59324162743423003</v>
      </c>
      <c r="AN28">
        <f>(D28+H28)/AD28</f>
        <v>9.1459345052035984E-2</v>
      </c>
      <c r="AO28">
        <f>(D28+H28)/AE28</f>
        <v>8.741892646051376E-2</v>
      </c>
    </row>
    <row r="29" spans="1:41" x14ac:dyDescent="0.35">
      <c r="A29" t="s">
        <v>55</v>
      </c>
      <c r="B29" t="s">
        <v>66</v>
      </c>
      <c r="C29">
        <f t="shared" si="0"/>
        <v>8.1</v>
      </c>
      <c r="D29">
        <v>8.1</v>
      </c>
      <c r="E29">
        <v>0</v>
      </c>
      <c r="F29">
        <v>8.1</v>
      </c>
      <c r="G29">
        <v>0</v>
      </c>
      <c r="H29">
        <v>10.6</v>
      </c>
      <c r="I29">
        <v>5.3</v>
      </c>
      <c r="J29">
        <v>5.3</v>
      </c>
      <c r="K29">
        <v>0</v>
      </c>
      <c r="L29">
        <f t="shared" si="1"/>
        <v>1.974409057893133</v>
      </c>
      <c r="M29">
        <v>1.974409057893133</v>
      </c>
      <c r="N29">
        <f t="shared" si="2"/>
        <v>2.4511712488266699</v>
      </c>
      <c r="O29">
        <v>2.4511712488266699</v>
      </c>
      <c r="P29">
        <v>0</v>
      </c>
      <c r="Q29">
        <v>0</v>
      </c>
      <c r="R29">
        <v>1.974409057893133</v>
      </c>
      <c r="S29">
        <v>2.4511712488266699</v>
      </c>
      <c r="T29">
        <v>0</v>
      </c>
      <c r="U29">
        <v>0</v>
      </c>
      <c r="V29">
        <v>2.5837945695885449</v>
      </c>
      <c r="W29">
        <v>3.2077055848842839</v>
      </c>
      <c r="X29">
        <v>1.291897284794272</v>
      </c>
      <c r="Y29">
        <v>1.603852792442142</v>
      </c>
      <c r="Z29">
        <v>1.291897284794272</v>
      </c>
      <c r="AA29">
        <v>1.603852792442142</v>
      </c>
      <c r="AB29">
        <v>0</v>
      </c>
      <c r="AC29">
        <v>0</v>
      </c>
      <c r="AD29">
        <v>330.45426768437</v>
      </c>
      <c r="AE29">
        <v>410.24933347112</v>
      </c>
      <c r="AF29">
        <f t="shared" si="3"/>
        <v>0</v>
      </c>
      <c r="AG29">
        <f>(F29/(D29+H29))</f>
        <v>0.43315508021390375</v>
      </c>
      <c r="AH29">
        <f>(F29/D29)</f>
        <v>1</v>
      </c>
      <c r="AI29">
        <f>(E29/(D29+H29))</f>
        <v>0</v>
      </c>
      <c r="AJ29">
        <f>(E29/(D29))</f>
        <v>0</v>
      </c>
      <c r="AK29">
        <f>(H29/(D29+H29))</f>
        <v>0.5668449197860963</v>
      </c>
      <c r="AL29">
        <f>(I29/H29)</f>
        <v>0.5</v>
      </c>
      <c r="AM29">
        <f>J29/H29</f>
        <v>0.5</v>
      </c>
      <c r="AN29">
        <f>(D29+H29)/AD29</f>
        <v>5.6588768337109546E-2</v>
      </c>
      <c r="AO29">
        <f>(D29+H29)/AE29</f>
        <v>4.5582036274816787E-2</v>
      </c>
    </row>
    <row r="30" spans="1:41" x14ac:dyDescent="0.35">
      <c r="A30" t="s">
        <v>56</v>
      </c>
      <c r="B30" t="s">
        <v>66</v>
      </c>
      <c r="C30">
        <f t="shared" si="0"/>
        <v>16.232891847226195</v>
      </c>
      <c r="D30">
        <v>7.2019168054595077</v>
      </c>
      <c r="E30">
        <v>1.829058236307177</v>
      </c>
      <c r="F30">
        <v>5.3728585691523314</v>
      </c>
      <c r="G30">
        <v>9.0309750417666859</v>
      </c>
      <c r="H30">
        <v>14.86109816999581</v>
      </c>
      <c r="I30">
        <v>0</v>
      </c>
      <c r="J30">
        <v>14.86109816999581</v>
      </c>
      <c r="K30">
        <v>0</v>
      </c>
      <c r="L30">
        <f t="shared" si="1"/>
        <v>7.3001969797441815</v>
      </c>
      <c r="M30">
        <v>3.2388197867879112</v>
      </c>
      <c r="N30">
        <f t="shared" si="2"/>
        <v>4.7573664135939167</v>
      </c>
      <c r="O30">
        <v>2.110662563777582</v>
      </c>
      <c r="P30">
        <v>0.82255740616835848</v>
      </c>
      <c r="Q30">
        <v>0.53604128603875123</v>
      </c>
      <c r="R30">
        <v>2.416262380619552</v>
      </c>
      <c r="S30">
        <v>1.5746212777388311</v>
      </c>
      <c r="T30">
        <v>4.0613771929562708</v>
      </c>
      <c r="U30">
        <v>2.6467038498163342</v>
      </c>
      <c r="V30">
        <v>6.6832789251179134</v>
      </c>
      <c r="W30">
        <v>4.3553354490648539</v>
      </c>
      <c r="X30">
        <v>0</v>
      </c>
      <c r="Y30">
        <v>0</v>
      </c>
      <c r="Z30">
        <v>6.6832789251179134</v>
      </c>
      <c r="AA30">
        <v>4.3553354490648539</v>
      </c>
      <c r="AB30">
        <v>0</v>
      </c>
      <c r="AC30">
        <v>0</v>
      </c>
      <c r="AD30">
        <v>341.21592570296002</v>
      </c>
      <c r="AE30">
        <v>222.36238134761999</v>
      </c>
      <c r="AF30">
        <f t="shared" si="3"/>
        <v>1</v>
      </c>
      <c r="AG30">
        <f>(F30/(D30+H30))</f>
        <v>0.24352331606217617</v>
      </c>
      <c r="AH30">
        <f>(F30/D30)</f>
        <v>0.74603174603174605</v>
      </c>
      <c r="AI30">
        <f>(E30/(D30+H30))</f>
        <v>8.2901554404145095E-2</v>
      </c>
      <c r="AJ30">
        <f>(E30/(D30))</f>
        <v>0.25396825396825401</v>
      </c>
      <c r="AK30">
        <f>(H30/(D30+H30))</f>
        <v>0.67357512953367871</v>
      </c>
      <c r="AL30">
        <f>(I30/H30)</f>
        <v>0</v>
      </c>
      <c r="AM30">
        <f>J30/H30</f>
        <v>1</v>
      </c>
      <c r="AN30">
        <f>(D30+H30)/AD30</f>
        <v>6.465998012842436E-2</v>
      </c>
      <c r="AO30">
        <f>(D30+H30)/AE30</f>
        <v>9.9220987119058232E-2</v>
      </c>
    </row>
    <row r="31" spans="1:41" x14ac:dyDescent="0.35">
      <c r="A31" t="s">
        <v>57</v>
      </c>
      <c r="B31" t="s">
        <v>66</v>
      </c>
      <c r="C31">
        <f t="shared" si="0"/>
        <v>3.92104359408351</v>
      </c>
      <c r="D31">
        <v>2.5149550749223679</v>
      </c>
      <c r="E31">
        <v>0.18290582363071761</v>
      </c>
      <c r="F31">
        <v>2.3320492512916502</v>
      </c>
      <c r="G31">
        <v>1.4060885191611421</v>
      </c>
      <c r="H31">
        <v>4.5840772047448617</v>
      </c>
      <c r="I31">
        <v>0</v>
      </c>
      <c r="J31">
        <v>4.5840772047448617</v>
      </c>
      <c r="K31">
        <v>0</v>
      </c>
      <c r="L31">
        <f t="shared" si="1"/>
        <v>3.9411806160659957</v>
      </c>
      <c r="M31">
        <v>2.52787094908023</v>
      </c>
      <c r="N31">
        <f t="shared" si="2"/>
        <v>2.1578371948915001</v>
      </c>
      <c r="O31">
        <v>1.3840355185893001</v>
      </c>
      <c r="P31">
        <v>0.1838451599331076</v>
      </c>
      <c r="Q31">
        <v>0.1006571286246763</v>
      </c>
      <c r="R31">
        <v>2.344025789147123</v>
      </c>
      <c r="S31">
        <v>1.2833783899646241</v>
      </c>
      <c r="T31">
        <v>1.413309666985765</v>
      </c>
      <c r="U31">
        <v>0.77380167630219954</v>
      </c>
      <c r="V31">
        <v>4.6076193208235097</v>
      </c>
      <c r="W31">
        <v>2.5227192861559522</v>
      </c>
      <c r="X31">
        <v>0</v>
      </c>
      <c r="Y31">
        <v>0</v>
      </c>
      <c r="Z31">
        <v>4.6076193208235097</v>
      </c>
      <c r="AA31">
        <v>2.5227192861559522</v>
      </c>
      <c r="AB31">
        <v>0</v>
      </c>
      <c r="AC31">
        <v>0</v>
      </c>
      <c r="AD31">
        <v>181.71174374815001</v>
      </c>
      <c r="AE31">
        <v>99.489061173690004</v>
      </c>
      <c r="AF31">
        <f t="shared" si="3"/>
        <v>1</v>
      </c>
      <c r="AG31">
        <f>(F31/(D31+H31))</f>
        <v>0.32850241545893721</v>
      </c>
      <c r="AH31">
        <f>(F31/D31)</f>
        <v>0.92727272727272725</v>
      </c>
      <c r="AI31">
        <f>(E31/(D31+H31))</f>
        <v>2.5764895330112714E-2</v>
      </c>
      <c r="AJ31">
        <f>(E31/(D31))</f>
        <v>7.272727272727271E-2</v>
      </c>
      <c r="AK31">
        <f>(H31/(D31+H31))</f>
        <v>0.64573268921095017</v>
      </c>
      <c r="AL31">
        <f>(I31/H31)</f>
        <v>0</v>
      </c>
      <c r="AM31">
        <f>J31/H31</f>
        <v>1</v>
      </c>
      <c r="AN31">
        <f>(D31+H31)/AD31</f>
        <v>3.9067548047452515E-2</v>
      </c>
      <c r="AO31">
        <f>(D31+H31)/AE31</f>
        <v>7.1354902699037395E-2</v>
      </c>
    </row>
    <row r="32" spans="1:41" x14ac:dyDescent="0.35">
      <c r="A32" t="s">
        <v>58</v>
      </c>
      <c r="B32" t="s">
        <v>66</v>
      </c>
      <c r="C32">
        <f t="shared" si="0"/>
        <v>4.1153810316911672</v>
      </c>
      <c r="D32">
        <v>4.1153810316911672</v>
      </c>
      <c r="E32">
        <v>0.11431613976919899</v>
      </c>
      <c r="F32">
        <v>4.0010648919219678</v>
      </c>
      <c r="G32">
        <v>0</v>
      </c>
      <c r="H32">
        <v>3.3151680533067731</v>
      </c>
      <c r="I32">
        <v>0.68589683861519435</v>
      </c>
      <c r="J32">
        <v>2.629271214691578</v>
      </c>
      <c r="K32">
        <v>0.11431613976919899</v>
      </c>
      <c r="L32">
        <f t="shared" si="1"/>
        <v>8.1625269737342645</v>
      </c>
      <c r="M32">
        <v>8.1625269737342627</v>
      </c>
      <c r="N32">
        <f t="shared" si="2"/>
        <v>5.4123140293972885</v>
      </c>
      <c r="O32">
        <v>5.4123140293972876</v>
      </c>
      <c r="P32">
        <v>0.22673686038150731</v>
      </c>
      <c r="Q32">
        <v>0.1503420563721469</v>
      </c>
      <c r="R32">
        <v>7.9357901133527564</v>
      </c>
      <c r="S32">
        <v>5.2619719730251413</v>
      </c>
      <c r="T32">
        <v>0</v>
      </c>
      <c r="U32">
        <v>0</v>
      </c>
      <c r="V32">
        <v>6.5753689510637114</v>
      </c>
      <c r="W32">
        <v>4.3599196347922593</v>
      </c>
      <c r="X32">
        <v>1.360421162289043</v>
      </c>
      <c r="Y32">
        <v>0.90205233823288122</v>
      </c>
      <c r="Z32">
        <v>5.2149477887746674</v>
      </c>
      <c r="AA32">
        <v>3.4578672965593782</v>
      </c>
      <c r="AB32">
        <v>0.22673686038150731</v>
      </c>
      <c r="AC32">
        <v>0.1503420563721469</v>
      </c>
      <c r="AD32">
        <v>76.037366075549997</v>
      </c>
      <c r="AE32">
        <v>50.417977728389999</v>
      </c>
      <c r="AF32">
        <f t="shared" si="3"/>
        <v>0.14285714285714279</v>
      </c>
      <c r="AG32">
        <f>(F32/(D32+H32))</f>
        <v>0.53846153846153844</v>
      </c>
      <c r="AH32">
        <f>(F32/D32)</f>
        <v>0.9722222222222221</v>
      </c>
      <c r="AI32">
        <f>(E32/(D32+H32))</f>
        <v>1.5384615384615373E-2</v>
      </c>
      <c r="AJ32">
        <f>(E32/(D32))</f>
        <v>2.7777777777777755E-2</v>
      </c>
      <c r="AK32">
        <f>(H32/(D32+H32))</f>
        <v>0.44615384615384612</v>
      </c>
      <c r="AL32">
        <f>(I32/H32)</f>
        <v>0.2068965517241379</v>
      </c>
      <c r="AM32">
        <f>J32/H32</f>
        <v>0.79310344827586188</v>
      </c>
      <c r="AN32">
        <f>(D32+H32)/AD32</f>
        <v>9.7722336641895488E-2</v>
      </c>
      <c r="AO32">
        <f>(D32+H32)/AE32</f>
        <v>0.14737895924797975</v>
      </c>
    </row>
    <row r="33" spans="1:41" x14ac:dyDescent="0.35">
      <c r="A33" t="s">
        <v>59</v>
      </c>
      <c r="B33" t="s">
        <v>66</v>
      </c>
      <c r="C33">
        <f t="shared" si="0"/>
        <v>11</v>
      </c>
      <c r="D33">
        <v>11</v>
      </c>
      <c r="E33">
        <v>0</v>
      </c>
      <c r="F33">
        <v>11</v>
      </c>
      <c r="G33">
        <v>0</v>
      </c>
      <c r="H33">
        <v>25</v>
      </c>
      <c r="I33">
        <v>0</v>
      </c>
      <c r="J33">
        <v>25</v>
      </c>
      <c r="K33">
        <v>0</v>
      </c>
      <c r="L33">
        <f t="shared" si="1"/>
        <v>2.000650095073174</v>
      </c>
      <c r="M33">
        <v>2.000650095073174</v>
      </c>
      <c r="N33">
        <f t="shared" si="2"/>
        <v>2.111306177863205</v>
      </c>
      <c r="O33">
        <v>2.111306177863205</v>
      </c>
      <c r="P33">
        <v>0</v>
      </c>
      <c r="Q33">
        <v>0</v>
      </c>
      <c r="R33">
        <v>2.000650095073174</v>
      </c>
      <c r="S33">
        <v>2.111306177863205</v>
      </c>
      <c r="T33">
        <v>0</v>
      </c>
      <c r="U33">
        <v>0</v>
      </c>
      <c r="V33">
        <v>4.5469320342572148</v>
      </c>
      <c r="W33">
        <v>4.7984231315072847</v>
      </c>
      <c r="X33">
        <v>0</v>
      </c>
      <c r="Y33">
        <v>0</v>
      </c>
      <c r="Z33">
        <v>4.5469320342572148</v>
      </c>
      <c r="AA33">
        <v>4.7984231315072847</v>
      </c>
      <c r="AB33">
        <v>0</v>
      </c>
      <c r="AC33">
        <v>0</v>
      </c>
      <c r="AD33">
        <v>521.00449074291998</v>
      </c>
      <c r="AE33">
        <v>549.82128194673999</v>
      </c>
      <c r="AF33" t="e">
        <f t="shared" si="3"/>
        <v>#DIV/0!</v>
      </c>
      <c r="AG33">
        <f>(F33/(D33+H33))</f>
        <v>0.30555555555555558</v>
      </c>
      <c r="AH33">
        <f>(F33/D33)</f>
        <v>1</v>
      </c>
      <c r="AI33">
        <f>(E33/(D33+H33))</f>
        <v>0</v>
      </c>
      <c r="AJ33">
        <f>(E33/(D33))</f>
        <v>0</v>
      </c>
      <c r="AK33">
        <f>(H33/(D33+H33))</f>
        <v>0.69444444444444442</v>
      </c>
      <c r="AL33">
        <f>(I33/H33)</f>
        <v>0</v>
      </c>
      <c r="AM33">
        <f>J33/H33</f>
        <v>1</v>
      </c>
      <c r="AN33">
        <f>(D33+H33)/AD33</f>
        <v>6.9097293093704895E-2</v>
      </c>
      <c r="AO33">
        <f>(D33+H33)/AE33</f>
        <v>6.5475821293303885E-2</v>
      </c>
    </row>
    <row r="34" spans="1:41" x14ac:dyDescent="0.35">
      <c r="A34" t="s">
        <v>60</v>
      </c>
      <c r="B34" t="s">
        <v>66</v>
      </c>
      <c r="C34">
        <f t="shared" si="0"/>
        <v>1.6825977000000001</v>
      </c>
      <c r="D34">
        <v>1.6825977000000001</v>
      </c>
      <c r="E34">
        <v>0</v>
      </c>
      <c r="F34">
        <v>1.6825977000000001</v>
      </c>
      <c r="G34">
        <v>0</v>
      </c>
      <c r="H34">
        <v>0.21161295999999999</v>
      </c>
      <c r="I34">
        <v>0.10838709000000001</v>
      </c>
      <c r="J34">
        <v>0.10322587</v>
      </c>
      <c r="K34">
        <v>0</v>
      </c>
      <c r="L34">
        <f t="shared" si="1"/>
        <v>0.22521425078179019</v>
      </c>
      <c r="M34">
        <v>0.22521425078179019</v>
      </c>
      <c r="N34">
        <f t="shared" si="2"/>
        <v>0.2847930279580338</v>
      </c>
      <c r="O34">
        <v>0.2847930279580338</v>
      </c>
      <c r="P34">
        <v>0</v>
      </c>
      <c r="Q34">
        <v>0</v>
      </c>
      <c r="R34">
        <v>0.22521425078179019</v>
      </c>
      <c r="S34">
        <v>0.2847930279580338</v>
      </c>
      <c r="T34">
        <v>0</v>
      </c>
      <c r="U34">
        <v>0</v>
      </c>
      <c r="V34">
        <v>2.8324212164391301E-2</v>
      </c>
      <c r="W34">
        <v>3.5817174618485603E-2</v>
      </c>
      <c r="X34">
        <v>1.4507518504731301E-2</v>
      </c>
      <c r="Y34">
        <v>1.83453760531468E-2</v>
      </c>
      <c r="Z34">
        <v>1.3816693659659899E-2</v>
      </c>
      <c r="AA34">
        <v>1.74717985653388E-2</v>
      </c>
      <c r="AB34">
        <v>0</v>
      </c>
      <c r="AC34">
        <v>0</v>
      </c>
      <c r="AD34">
        <v>590.81421763174001</v>
      </c>
      <c r="AE34">
        <v>747.10978286638999</v>
      </c>
      <c r="AF34">
        <f t="shared" si="3"/>
        <v>0</v>
      </c>
      <c r="AG34">
        <f>(F34/(D34+H34))</f>
        <v>0.88828435798159844</v>
      </c>
      <c r="AH34">
        <f>(F34/D34)</f>
        <v>1</v>
      </c>
      <c r="AI34">
        <f>(E34/(D34+H34))</f>
        <v>0</v>
      </c>
      <c r="AJ34">
        <f>(E34/(D34))</f>
        <v>0</v>
      </c>
      <c r="AK34">
        <f>(H34/(D34+H34))</f>
        <v>0.11171564201840146</v>
      </c>
      <c r="AL34">
        <f>(I34/H34)</f>
        <v>0.51219495252086644</v>
      </c>
      <c r="AM34">
        <f>J34/H34</f>
        <v>0.48780504747913361</v>
      </c>
      <c r="AN34">
        <f>(D34+H34)/AD34</f>
        <v>3.2061020257651944E-3</v>
      </c>
      <c r="AO34">
        <f>(D34+H34)/AE34</f>
        <v>2.5353846294618163E-3</v>
      </c>
    </row>
    <row r="35" spans="1:41" x14ac:dyDescent="0.35">
      <c r="A35" t="s">
        <v>61</v>
      </c>
      <c r="B35" t="s">
        <v>66</v>
      </c>
      <c r="C35">
        <f t="shared" si="0"/>
        <v>9.3152702259999991</v>
      </c>
      <c r="D35">
        <v>4.5999999999999996</v>
      </c>
      <c r="E35">
        <v>1</v>
      </c>
      <c r="F35">
        <v>3.6</v>
      </c>
      <c r="G35">
        <v>4.7152702260000003</v>
      </c>
      <c r="H35">
        <v>2.4</v>
      </c>
      <c r="I35">
        <v>2.4</v>
      </c>
      <c r="J35">
        <v>0</v>
      </c>
      <c r="K35">
        <v>0</v>
      </c>
      <c r="L35">
        <f t="shared" si="1"/>
        <v>3.5559969159076981</v>
      </c>
      <c r="M35">
        <v>1.755996918642198</v>
      </c>
      <c r="N35">
        <f t="shared" si="2"/>
        <v>2.1109243696967823</v>
      </c>
      <c r="O35">
        <v>1.0424015476762829</v>
      </c>
      <c r="P35">
        <v>0.38173846057439093</v>
      </c>
      <c r="Q35">
        <v>0.2266090321035398</v>
      </c>
      <c r="R35">
        <v>1.374258458067807</v>
      </c>
      <c r="S35">
        <v>0.81579251557274324</v>
      </c>
      <c r="T35">
        <v>1.7999999972655001</v>
      </c>
      <c r="U35">
        <v>1.068522822020499</v>
      </c>
      <c r="V35">
        <v>0.91617230537853822</v>
      </c>
      <c r="W35">
        <v>0.54386167704849553</v>
      </c>
      <c r="X35">
        <v>0.91617230537853822</v>
      </c>
      <c r="Y35">
        <v>0.54386167704849553</v>
      </c>
      <c r="Z35">
        <v>0</v>
      </c>
      <c r="AA35">
        <v>0</v>
      </c>
      <c r="AB35">
        <v>0</v>
      </c>
      <c r="AC35">
        <v>0</v>
      </c>
      <c r="AD35">
        <v>441.28867711817003</v>
      </c>
      <c r="AE35">
        <v>261.95945739796002</v>
      </c>
      <c r="AF35">
        <f t="shared" si="3"/>
        <v>0.29411764705882354</v>
      </c>
      <c r="AG35">
        <f>(F35/(D35+H35))</f>
        <v>0.51428571428571435</v>
      </c>
      <c r="AH35">
        <f>(F35/D35)</f>
        <v>0.78260869565217395</v>
      </c>
      <c r="AI35">
        <f>(E35/(D35+H35))</f>
        <v>0.14285714285714285</v>
      </c>
      <c r="AJ35">
        <f>(E35/(D35))</f>
        <v>0.21739130434782611</v>
      </c>
      <c r="AK35">
        <f>(H35/(D35+H35))</f>
        <v>0.34285714285714286</v>
      </c>
      <c r="AL35">
        <f>(I35/H35)</f>
        <v>1</v>
      </c>
      <c r="AM35">
        <f>J35/H35</f>
        <v>0</v>
      </c>
      <c r="AN35">
        <f>(D35+H35)/AD35</f>
        <v>1.5862632247247786E-2</v>
      </c>
      <c r="AO35">
        <f>(D35+H35)/AE35</f>
        <v>2.6721692240207363E-2</v>
      </c>
    </row>
    <row r="36" spans="1:41" x14ac:dyDescent="0.35">
      <c r="A36" t="s">
        <v>62</v>
      </c>
      <c r="B36" t="s">
        <v>66</v>
      </c>
      <c r="C36">
        <f t="shared" si="0"/>
        <v>0</v>
      </c>
      <c r="D36">
        <v>0</v>
      </c>
      <c r="E36">
        <v>0</v>
      </c>
      <c r="F36">
        <v>0</v>
      </c>
      <c r="G36">
        <v>0</v>
      </c>
      <c r="H36">
        <v>0.1</v>
      </c>
      <c r="I36">
        <v>0.1</v>
      </c>
      <c r="J36">
        <v>0</v>
      </c>
      <c r="K36">
        <v>0</v>
      </c>
      <c r="L36">
        <f t="shared" si="1"/>
        <v>0</v>
      </c>
      <c r="M36">
        <v>0</v>
      </c>
      <c r="N36">
        <f t="shared" si="2"/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3.1113334029335599E-2</v>
      </c>
      <c r="W36">
        <v>1.44829067404155E-2</v>
      </c>
      <c r="X36">
        <v>3.1113334029335599E-2</v>
      </c>
      <c r="Y36">
        <v>1.44829067404155E-2</v>
      </c>
      <c r="Z36">
        <v>0</v>
      </c>
      <c r="AA36">
        <v>0</v>
      </c>
      <c r="AB36">
        <v>0</v>
      </c>
      <c r="AC36">
        <v>0</v>
      </c>
      <c r="AD36">
        <v>690.46912883131995</v>
      </c>
      <c r="AE36">
        <v>321.40560669490998</v>
      </c>
      <c r="AF36">
        <f t="shared" si="3"/>
        <v>0</v>
      </c>
      <c r="AG36">
        <f>(F36/(D36+H36))</f>
        <v>0</v>
      </c>
      <c r="AH36">
        <v>0</v>
      </c>
      <c r="AI36">
        <f>(E36/(D36+H36))</f>
        <v>0</v>
      </c>
      <c r="AJ36">
        <v>0</v>
      </c>
      <c r="AK36">
        <f>(H36/(D36+H36))</f>
        <v>1</v>
      </c>
      <c r="AL36">
        <f>(I36/H36)</f>
        <v>1</v>
      </c>
      <c r="AM36">
        <f>J36/H36</f>
        <v>0</v>
      </c>
      <c r="AN36">
        <f>(D36+H36)/AD36</f>
        <v>1.4482906740415584E-4</v>
      </c>
      <c r="AO36">
        <f>(D36+H36)/AE36</f>
        <v>3.1113334029335611E-4</v>
      </c>
    </row>
    <row r="37" spans="1:41" x14ac:dyDescent="0.35">
      <c r="A37" t="s">
        <v>63</v>
      </c>
      <c r="B37" t="s">
        <v>66</v>
      </c>
      <c r="C37">
        <f t="shared" si="0"/>
        <v>0.71743400000000002</v>
      </c>
      <c r="D37">
        <v>0.71743400000000002</v>
      </c>
      <c r="E37">
        <v>0.17</v>
      </c>
      <c r="F37">
        <v>0.54743399999999998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1"/>
        <v>1.1143308580281421</v>
      </c>
      <c r="M37">
        <v>1.1143308580281419</v>
      </c>
      <c r="N37">
        <f t="shared" si="2"/>
        <v>0.7863713384702169</v>
      </c>
      <c r="O37">
        <v>0.7863713384702169</v>
      </c>
      <c r="P37">
        <v>0.26404693095780818</v>
      </c>
      <c r="Q37">
        <v>0.18633508802194609</v>
      </c>
      <c r="R37">
        <v>0.85028392707033384</v>
      </c>
      <c r="S37">
        <v>0.6000362504482708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91.233487908610002</v>
      </c>
      <c r="AE37">
        <v>64.38249419652</v>
      </c>
      <c r="AF37">
        <f t="shared" si="3"/>
        <v>1</v>
      </c>
      <c r="AG37">
        <f>(F37/(D37+H37))</f>
        <v>0.76304440547841335</v>
      </c>
      <c r="AH37">
        <f>(F37/D37)</f>
        <v>0.76304440547841335</v>
      </c>
      <c r="AI37">
        <f>(E37/(D37+H37))</f>
        <v>0.23695559452158665</v>
      </c>
      <c r="AJ37">
        <f>(E37/(D37))</f>
        <v>0.23695559452158665</v>
      </c>
      <c r="AK37">
        <f>(H37/(D37+H37))</f>
        <v>0</v>
      </c>
      <c r="AL37">
        <v>0</v>
      </c>
      <c r="AM37">
        <v>0</v>
      </c>
      <c r="AN37">
        <f>(D37+H37)/AD37</f>
        <v>7.863713384702169E-3</v>
      </c>
      <c r="AO37">
        <f>(D37+H37)/AE37</f>
        <v>1.1143308580281419E-2</v>
      </c>
    </row>
    <row r="38" spans="1:41" x14ac:dyDescent="0.35">
      <c r="A38" t="s">
        <v>64</v>
      </c>
      <c r="B38" t="s">
        <v>66</v>
      </c>
      <c r="C38">
        <f t="shared" si="0"/>
        <v>4.4197489986439056</v>
      </c>
      <c r="D38">
        <v>4.4197489986439056</v>
      </c>
      <c r="E38">
        <v>0</v>
      </c>
      <c r="F38">
        <v>4.4197489986439056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1"/>
        <v>2.998798899106466</v>
      </c>
      <c r="M38">
        <v>2.998798899106466</v>
      </c>
      <c r="N38">
        <f t="shared" si="2"/>
        <v>1.4262400226188989</v>
      </c>
      <c r="O38">
        <v>1.4262400226188989</v>
      </c>
      <c r="P38">
        <v>0</v>
      </c>
      <c r="Q38">
        <v>0</v>
      </c>
      <c r="R38">
        <v>2.998798899106466</v>
      </c>
      <c r="S38">
        <v>1.4262400226188989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309.88816247970999</v>
      </c>
      <c r="AE38">
        <v>147.38397429586999</v>
      </c>
      <c r="AF38" t="e">
        <f t="shared" si="3"/>
        <v>#DIV/0!</v>
      </c>
      <c r="AG38">
        <f>(F38/(D38+H38))</f>
        <v>1</v>
      </c>
      <c r="AH38">
        <f>(F38/D38)</f>
        <v>1</v>
      </c>
      <c r="AI38">
        <f>(E38/(D38+H38))</f>
        <v>0</v>
      </c>
      <c r="AJ38">
        <f>(E38/(D38))</f>
        <v>0</v>
      </c>
      <c r="AK38">
        <f>(H38/(D38+H38))</f>
        <v>0</v>
      </c>
      <c r="AL38">
        <v>0</v>
      </c>
      <c r="AM38">
        <v>0</v>
      </c>
      <c r="AN38">
        <f>(D38+H38)/AD38</f>
        <v>1.4262400226188987E-2</v>
      </c>
      <c r="AO38">
        <f>(D38+H38)/AE38</f>
        <v>2.9987988991064658E-2</v>
      </c>
    </row>
    <row r="39" spans="1:41" x14ac:dyDescent="0.35">
      <c r="A39" t="s">
        <v>65</v>
      </c>
      <c r="B39" t="s">
        <v>66</v>
      </c>
      <c r="C39">
        <f t="shared" si="0"/>
        <v>17</v>
      </c>
      <c r="D39">
        <v>17</v>
      </c>
      <c r="E39">
        <v>8</v>
      </c>
      <c r="F39">
        <v>9</v>
      </c>
      <c r="G39">
        <v>0</v>
      </c>
      <c r="H39">
        <v>17</v>
      </c>
      <c r="I39">
        <v>0</v>
      </c>
      <c r="J39">
        <v>17</v>
      </c>
      <c r="K39">
        <v>0</v>
      </c>
      <c r="L39">
        <f t="shared" si="1"/>
        <v>2.9746119470950942</v>
      </c>
      <c r="M39">
        <v>2.9746119470950938</v>
      </c>
      <c r="N39">
        <f t="shared" si="2"/>
        <v>1.3986901541599801</v>
      </c>
      <c r="O39">
        <v>1.3986901541599801</v>
      </c>
      <c r="P39">
        <v>1.3998173868682799</v>
      </c>
      <c r="Q39">
        <v>0.65820713136940245</v>
      </c>
      <c r="R39">
        <v>1.5747945602268141</v>
      </c>
      <c r="S39">
        <v>0.74048302279057776</v>
      </c>
      <c r="T39">
        <v>0</v>
      </c>
      <c r="U39">
        <v>0</v>
      </c>
      <c r="V39">
        <v>2.9746119470950938</v>
      </c>
      <c r="W39">
        <v>1.3986901541599801</v>
      </c>
      <c r="X39">
        <v>0</v>
      </c>
      <c r="Y39">
        <v>0</v>
      </c>
      <c r="Z39">
        <v>2.9746119470950938</v>
      </c>
      <c r="AA39">
        <v>1.3986901541599801</v>
      </c>
      <c r="AB39">
        <v>0</v>
      </c>
      <c r="AC39">
        <v>0</v>
      </c>
      <c r="AD39">
        <v>1215.4228689920101</v>
      </c>
      <c r="AE39">
        <v>571.50311712429004</v>
      </c>
      <c r="AF39">
        <f t="shared" si="3"/>
        <v>1</v>
      </c>
      <c r="AG39">
        <f>(F39/(D39+H39))</f>
        <v>0.26470588235294118</v>
      </c>
      <c r="AH39">
        <f>(F39/D39)</f>
        <v>0.52941176470588236</v>
      </c>
      <c r="AI39">
        <f>(E39/(D39+H39))</f>
        <v>0.23529411764705882</v>
      </c>
      <c r="AJ39">
        <f>(E39/(D39))</f>
        <v>0.47058823529411764</v>
      </c>
      <c r="AK39">
        <f>(H39/(D39+H39))</f>
        <v>0.5</v>
      </c>
      <c r="AL39">
        <f>(I39/H39)</f>
        <v>0</v>
      </c>
      <c r="AM39">
        <f>J39/H39</f>
        <v>1</v>
      </c>
      <c r="AN39">
        <f>(D39+H39)/AD39</f>
        <v>2.7973803083199605E-2</v>
      </c>
      <c r="AO39">
        <f>(D39+H39)/AE39</f>
        <v>5.9492238941901879E-2</v>
      </c>
    </row>
    <row r="40" spans="1:41" x14ac:dyDescent="0.35">
      <c r="A40" t="s">
        <v>28</v>
      </c>
      <c r="B40" t="s">
        <v>67</v>
      </c>
      <c r="C40">
        <f t="shared" si="0"/>
        <v>0.36671521951269437</v>
      </c>
      <c r="D40">
        <v>0.36671521951269881</v>
      </c>
      <c r="E40">
        <v>1.154445264360187</v>
      </c>
      <c r="F40">
        <v>-0.78773004484749265</v>
      </c>
      <c r="G40">
        <v>0</v>
      </c>
      <c r="H40">
        <v>-1.1041831494786929</v>
      </c>
      <c r="I40">
        <v>-0.51176420691943925</v>
      </c>
      <c r="J40">
        <v>-0.59241894255925409</v>
      </c>
      <c r="K40">
        <v>0</v>
      </c>
      <c r="L40">
        <f t="shared" si="1"/>
        <v>2.4533165212039694E-2</v>
      </c>
      <c r="M40">
        <v>2.4533165212040398E-2</v>
      </c>
      <c r="N40">
        <f t="shared" si="2"/>
        <v>2.98989417229404E-2</v>
      </c>
      <c r="O40">
        <v>2.9898941722940699E-2</v>
      </c>
      <c r="P40">
        <v>7.7232126979732196E-2</v>
      </c>
      <c r="Q40">
        <v>9.4123968258795196E-2</v>
      </c>
      <c r="R40">
        <v>-5.2698961767692502E-2</v>
      </c>
      <c r="S40">
        <v>-6.4225026535854796E-2</v>
      </c>
      <c r="T40">
        <v>0</v>
      </c>
      <c r="U40">
        <v>0</v>
      </c>
      <c r="V40">
        <v>-7.3869602866517697E-2</v>
      </c>
      <c r="W40">
        <v>-9.0026008960267995E-2</v>
      </c>
      <c r="X40">
        <v>-3.4236909650618402E-2</v>
      </c>
      <c r="Y40">
        <v>-4.17250427154457E-2</v>
      </c>
      <c r="Z40">
        <v>-3.9632693215899302E-2</v>
      </c>
      <c r="AA40">
        <v>-4.8300966244822302E-2</v>
      </c>
      <c r="AB40">
        <v>0</v>
      </c>
      <c r="AC40">
        <v>0</v>
      </c>
      <c r="AD40">
        <v>1226.51571721458</v>
      </c>
      <c r="AE40">
        <v>1494.77336635199</v>
      </c>
      <c r="AF40">
        <f t="shared" si="3"/>
        <v>1.7962957690979113</v>
      </c>
      <c r="AG40">
        <f>(F40/(D40+H40))</f>
        <v>1.0681549838835924</v>
      </c>
      <c r="AH40">
        <f>(F40/D40)</f>
        <v>-2.1480702270667953</v>
      </c>
      <c r="AI40">
        <f>(E40/(D40+H40))</f>
        <v>-1.5654175828546477</v>
      </c>
      <c r="AJ40">
        <f>(E40/(D40))</f>
        <v>3.1480702270667833</v>
      </c>
      <c r="AK40">
        <f>(H40/(D40+H40))</f>
        <v>1.4972625989710613</v>
      </c>
      <c r="AL40">
        <f>(I40/H40)</f>
        <v>0.4634776460418305</v>
      </c>
      <c r="AM40">
        <f>J40/H40</f>
        <v>0.53652235395816994</v>
      </c>
      <c r="AN40">
        <f>(D40+H40)/AD40</f>
        <v>-6.0127067237327001E-4</v>
      </c>
      <c r="AO40">
        <f>(D40+H40)/AE40</f>
        <v>-4.9336437654478162E-4</v>
      </c>
    </row>
    <row r="41" spans="1:41" x14ac:dyDescent="0.35">
      <c r="A41" t="s">
        <v>29</v>
      </c>
      <c r="B41" t="s">
        <v>67</v>
      </c>
      <c r="C41">
        <f t="shared" si="0"/>
        <v>2.8194664340988358</v>
      </c>
      <c r="D41">
        <v>5.3821266931310277</v>
      </c>
      <c r="E41">
        <v>0.47940422310436759</v>
      </c>
      <c r="F41">
        <v>4.9027224700266601</v>
      </c>
      <c r="G41">
        <v>-2.5626602590321919</v>
      </c>
      <c r="H41">
        <v>-1.3104260956735769</v>
      </c>
      <c r="I41">
        <v>-0.10074472111954109</v>
      </c>
      <c r="J41">
        <v>-1.20968137455403</v>
      </c>
      <c r="K41">
        <v>0</v>
      </c>
      <c r="L41">
        <f t="shared" si="1"/>
        <v>0.1661828348174717</v>
      </c>
      <c r="M41">
        <v>0.31722919641608449</v>
      </c>
      <c r="N41">
        <f t="shared" si="2"/>
        <v>0.16359070585527588</v>
      </c>
      <c r="O41">
        <v>0.3122810380302487</v>
      </c>
      <c r="P41">
        <v>2.8256677169634498E-2</v>
      </c>
      <c r="Q41">
        <v>2.7815927971034798E-2</v>
      </c>
      <c r="R41">
        <v>0.28897251924645051</v>
      </c>
      <c r="S41">
        <v>0.28446511005921321</v>
      </c>
      <c r="T41">
        <v>-0.15104636159861329</v>
      </c>
      <c r="U41">
        <v>-0.1486903321749721</v>
      </c>
      <c r="V41">
        <v>-7.7238132990021094E-2</v>
      </c>
      <c r="W41">
        <v>-7.6033368359971598E-2</v>
      </c>
      <c r="X41">
        <v>-5.9380183236307999E-3</v>
      </c>
      <c r="Y41">
        <v>-5.8453967884906999E-3</v>
      </c>
      <c r="Z41">
        <v>-7.1300114666389997E-2</v>
      </c>
      <c r="AA41">
        <v>-7.0187971571480795E-2</v>
      </c>
      <c r="AB41">
        <v>0</v>
      </c>
      <c r="AC41">
        <v>0</v>
      </c>
      <c r="AD41">
        <v>1723.48815255626</v>
      </c>
      <c r="AE41">
        <v>1696.60508992738</v>
      </c>
      <c r="AF41">
        <f t="shared" si="3"/>
        <v>1.2660562341403441</v>
      </c>
      <c r="AG41">
        <f>(F41/(D41+H41))</f>
        <v>1.2040969989512824</v>
      </c>
      <c r="AH41">
        <f>(F41/D41)</f>
        <v>0.91092661870702329</v>
      </c>
      <c r="AI41">
        <f>(E41/(D41+H41))</f>
        <v>0.1177405390277784</v>
      </c>
      <c r="AJ41">
        <f>(E41/(D41))</f>
        <v>8.907338129297665E-2</v>
      </c>
      <c r="AK41">
        <f>(H41/(D41+H41))</f>
        <v>-0.32183753797906084</v>
      </c>
      <c r="AL41">
        <f>(I41/H41)</f>
        <v>7.6879361188054579E-2</v>
      </c>
      <c r="AM41">
        <f>J41/H41</f>
        <v>0.92312063881194095</v>
      </c>
      <c r="AN41">
        <f>(D41+H41)/AD41</f>
        <v>2.3624766967027568E-3</v>
      </c>
      <c r="AO41">
        <f>(D41+H41)/AE41</f>
        <v>2.3999106342606409E-3</v>
      </c>
    </row>
    <row r="42" spans="1:41" x14ac:dyDescent="0.35">
      <c r="A42" t="s">
        <v>30</v>
      </c>
      <c r="B42" t="s">
        <v>67</v>
      </c>
      <c r="C42">
        <f t="shared" si="0"/>
        <v>58.271457544134336</v>
      </c>
      <c r="D42">
        <v>46.119277635451212</v>
      </c>
      <c r="E42">
        <v>3.2426565634137821</v>
      </c>
      <c r="F42">
        <v>42.87662107203743</v>
      </c>
      <c r="G42">
        <v>12.15217990868312</v>
      </c>
      <c r="H42">
        <v>32.305560508499518</v>
      </c>
      <c r="I42">
        <v>22.949473478961181</v>
      </c>
      <c r="J42">
        <v>9.3560870295383438</v>
      </c>
      <c r="K42">
        <v>0</v>
      </c>
      <c r="L42">
        <f t="shared" si="1"/>
        <v>2.2268105896837165</v>
      </c>
      <c r="M42">
        <v>1.76242194987834</v>
      </c>
      <c r="N42">
        <f t="shared" si="2"/>
        <v>2.0044598735088184</v>
      </c>
      <c r="O42">
        <v>1.5864412065797071</v>
      </c>
      <c r="P42">
        <v>0.12391627528191219</v>
      </c>
      <c r="Q42">
        <v>0.1115430304795457</v>
      </c>
      <c r="R42">
        <v>1.6385056745964279</v>
      </c>
      <c r="S42">
        <v>1.4748981761001609</v>
      </c>
      <c r="T42">
        <v>0.4643886398053762</v>
      </c>
      <c r="U42">
        <v>0.41801866692911188</v>
      </c>
      <c r="V42">
        <v>1.2345386108028831</v>
      </c>
      <c r="W42">
        <v>1.1112678909988369</v>
      </c>
      <c r="X42">
        <v>0.87700106920974974</v>
      </c>
      <c r="Y42">
        <v>0.78943106360247617</v>
      </c>
      <c r="Z42">
        <v>0.35753754159313361</v>
      </c>
      <c r="AA42">
        <v>0.32183682739636049</v>
      </c>
      <c r="AB42">
        <v>0</v>
      </c>
      <c r="AC42">
        <v>0</v>
      </c>
      <c r="AD42">
        <v>2907.0902498102801</v>
      </c>
      <c r="AE42">
        <v>2616.8124857180101</v>
      </c>
      <c r="AF42">
        <f t="shared" si="3"/>
        <v>0.1238027055519214</v>
      </c>
      <c r="AG42">
        <f>(F42/(D42+H42))</f>
        <v>0.54672246812083103</v>
      </c>
      <c r="AH42">
        <f>(F42/D42)</f>
        <v>0.92968977985636969</v>
      </c>
      <c r="AI42">
        <f>(E42/(D42+H42))</f>
        <v>4.1347315979942553E-2</v>
      </c>
      <c r="AJ42">
        <f>(E42/(D42))</f>
        <v>7.0310220143630336E-2</v>
      </c>
      <c r="AK42">
        <f>(H42/(D42+H42))</f>
        <v>0.41193021589922652</v>
      </c>
      <c r="AL42">
        <f>(I42/H42)</f>
        <v>0.71038772018591745</v>
      </c>
      <c r="AM42">
        <f>J42/H42</f>
        <v>0.28961227981408277</v>
      </c>
      <c r="AN42">
        <f>(D42+H42)/AD42</f>
        <v>2.697709097578543E-2</v>
      </c>
      <c r="AO42">
        <f>(D42+H42)/AE42</f>
        <v>2.9969605606812229E-2</v>
      </c>
    </row>
    <row r="43" spans="1:41" x14ac:dyDescent="0.35">
      <c r="A43" t="s">
        <v>31</v>
      </c>
      <c r="B43" t="s">
        <v>67</v>
      </c>
      <c r="C43">
        <f t="shared" si="0"/>
        <v>189.22094940972298</v>
      </c>
      <c r="D43">
        <v>189.22094940972289</v>
      </c>
      <c r="E43">
        <v>13.93513761981457</v>
      </c>
      <c r="F43">
        <v>175.28581178990839</v>
      </c>
      <c r="G43">
        <v>0</v>
      </c>
      <c r="H43">
        <v>42.688711835254708</v>
      </c>
      <c r="I43">
        <v>-4.4335859146559358</v>
      </c>
      <c r="J43">
        <v>47.122297749910672</v>
      </c>
      <c r="K43">
        <v>0</v>
      </c>
      <c r="L43">
        <f t="shared" si="1"/>
        <v>5.2600571942181613</v>
      </c>
      <c r="M43">
        <v>5.2600571942181622</v>
      </c>
      <c r="N43">
        <f t="shared" si="2"/>
        <v>4.5466299278372659</v>
      </c>
      <c r="O43">
        <v>4.5466299278372659</v>
      </c>
      <c r="P43">
        <v>0.3873758223821665</v>
      </c>
      <c r="Q43">
        <v>0.33483561914484439</v>
      </c>
      <c r="R43">
        <v>4.8726813718359949</v>
      </c>
      <c r="S43">
        <v>4.2117943086924212</v>
      </c>
      <c r="T43">
        <v>0</v>
      </c>
      <c r="U43">
        <v>0</v>
      </c>
      <c r="V43">
        <v>1.186681847339887</v>
      </c>
      <c r="W43">
        <v>1.0257309003916151</v>
      </c>
      <c r="X43">
        <v>-0.1232470059965349</v>
      </c>
      <c r="Y43">
        <v>-0.1065308808041347</v>
      </c>
      <c r="Z43">
        <v>1.30992885333642</v>
      </c>
      <c r="AA43">
        <v>1.1322617811957481</v>
      </c>
      <c r="AB43">
        <v>0</v>
      </c>
      <c r="AC43">
        <v>0</v>
      </c>
      <c r="AD43">
        <v>4161.7847155581303</v>
      </c>
      <c r="AE43">
        <v>3597.3173374942398</v>
      </c>
      <c r="AF43">
        <f t="shared" si="3"/>
        <v>1.4666170381674426</v>
      </c>
      <c r="AG43">
        <f>(F43/(D43+H43))</f>
        <v>0.75583660831079114</v>
      </c>
      <c r="AH43">
        <f>(F43/D43)</f>
        <v>0.92635520716239228</v>
      </c>
      <c r="AI43">
        <f>(E43/(D43+H43))</f>
        <v>6.0088646350503691E-2</v>
      </c>
      <c r="AJ43">
        <f>(E43/(D43))</f>
        <v>7.3644792837608122E-2</v>
      </c>
      <c r="AK43">
        <f>(H43/(D43+H43))</f>
        <v>0.18407474533870549</v>
      </c>
      <c r="AL43">
        <f>(I43/H43)</f>
        <v>-0.10385850788297703</v>
      </c>
      <c r="AM43">
        <f>J43/H43</f>
        <v>1.1038585078829777</v>
      </c>
      <c r="AN43">
        <f>(D43+H43)/AD43</f>
        <v>5.5723608282288714E-2</v>
      </c>
      <c r="AO43">
        <f>(D43+H43)/AE43</f>
        <v>6.4467390415580472E-2</v>
      </c>
    </row>
    <row r="44" spans="1:41" x14ac:dyDescent="0.35">
      <c r="A44" t="s">
        <v>32</v>
      </c>
      <c r="B44" t="s">
        <v>67</v>
      </c>
      <c r="C44">
        <f t="shared" si="0"/>
        <v>45.755588366456806</v>
      </c>
      <c r="D44">
        <v>38.105763873469748</v>
      </c>
      <c r="E44">
        <v>3.4734084577736981</v>
      </c>
      <c r="F44">
        <v>34.632355415696047</v>
      </c>
      <c r="G44">
        <v>7.6498244929870598</v>
      </c>
      <c r="H44">
        <v>-8.1926568414287431</v>
      </c>
      <c r="I44">
        <v>3.6063458324081852</v>
      </c>
      <c r="J44">
        <v>-11.799002673836981</v>
      </c>
      <c r="K44">
        <v>0</v>
      </c>
      <c r="L44">
        <f t="shared" si="1"/>
        <v>2.3853925220663661</v>
      </c>
      <c r="M44">
        <v>1.986581474232286</v>
      </c>
      <c r="N44">
        <f t="shared" si="2"/>
        <v>1.9573245027390855</v>
      </c>
      <c r="O44">
        <v>1.6300816575185899</v>
      </c>
      <c r="P44">
        <v>0.18108045065221939</v>
      </c>
      <c r="Q44">
        <v>0.14858485542731309</v>
      </c>
      <c r="R44">
        <v>1.805501023580067</v>
      </c>
      <c r="S44">
        <v>1.481496802091276</v>
      </c>
      <c r="T44">
        <v>0.39881104783407961</v>
      </c>
      <c r="U44">
        <v>0.32724284522049651</v>
      </c>
      <c r="V44">
        <v>-0.4271107216212009</v>
      </c>
      <c r="W44">
        <v>-0.35046403184309582</v>
      </c>
      <c r="X44">
        <v>0.18801092255035179</v>
      </c>
      <c r="Y44">
        <v>0.15427162703251979</v>
      </c>
      <c r="Z44">
        <v>-0.61512164417155191</v>
      </c>
      <c r="AA44">
        <v>-0.50473565887561733</v>
      </c>
      <c r="AB44">
        <v>0</v>
      </c>
      <c r="AC44">
        <v>0</v>
      </c>
      <c r="AD44">
        <v>2337.6598158571201</v>
      </c>
      <c r="AE44">
        <v>1918.15761738117</v>
      </c>
      <c r="AF44">
        <f t="shared" si="3"/>
        <v>0.49061144150024788</v>
      </c>
      <c r="AG44">
        <f>(F44/(D44+H44))</f>
        <v>1.1577652357744077</v>
      </c>
      <c r="AH44">
        <f>(F44/D44)</f>
        <v>0.90884821337509047</v>
      </c>
      <c r="AI44">
        <f>(E44/(D44+H44))</f>
        <v>0.11611660580939337</v>
      </c>
      <c r="AJ44">
        <f>(E44/(D44))</f>
        <v>9.115178662490947E-2</v>
      </c>
      <c r="AK44">
        <f>(H44/(D44+H44))</f>
        <v>-0.27388184158380119</v>
      </c>
      <c r="AL44">
        <f>(I44/H44)</f>
        <v>-0.44019246774398807</v>
      </c>
      <c r="AM44">
        <f>J44/H44</f>
        <v>1.4401924677439946</v>
      </c>
      <c r="AN44">
        <f>(D44+H44)/AD44</f>
        <v>1.279617625675494E-2</v>
      </c>
      <c r="AO44">
        <f>(D44+H44)/AE44</f>
        <v>1.5594707526110859E-2</v>
      </c>
    </row>
    <row r="45" spans="1:41" x14ac:dyDescent="0.35">
      <c r="A45" t="s">
        <v>33</v>
      </c>
      <c r="B45" t="s">
        <v>67</v>
      </c>
      <c r="C45">
        <f t="shared" si="0"/>
        <v>297.79351515490208</v>
      </c>
      <c r="D45">
        <v>54.106824187597113</v>
      </c>
      <c r="E45">
        <v>26.236916652536529</v>
      </c>
      <c r="F45">
        <v>27.869907535060641</v>
      </c>
      <c r="G45">
        <v>243.68669096730491</v>
      </c>
      <c r="H45">
        <v>128.1492710841033</v>
      </c>
      <c r="I45">
        <v>0</v>
      </c>
      <c r="J45">
        <v>128.1492710841033</v>
      </c>
      <c r="K45">
        <v>1021.60958905524</v>
      </c>
      <c r="L45">
        <f t="shared" si="1"/>
        <v>6.5243606132234984</v>
      </c>
      <c r="M45">
        <v>1.1854268634847269</v>
      </c>
      <c r="N45">
        <f t="shared" si="2"/>
        <v>5.592521677428735</v>
      </c>
      <c r="O45">
        <v>1.0161187929447151</v>
      </c>
      <c r="P45">
        <v>0.57482482629346554</v>
      </c>
      <c r="Q45">
        <v>0.49272572323100211</v>
      </c>
      <c r="R45">
        <v>0.61060203719126172</v>
      </c>
      <c r="S45">
        <v>0.52339306971371258</v>
      </c>
      <c r="T45">
        <v>5.3389337497387714</v>
      </c>
      <c r="U45">
        <v>4.5764028844840201</v>
      </c>
      <c r="V45">
        <v>2.8076234515701861</v>
      </c>
      <c r="W45">
        <v>2.4066258666235489</v>
      </c>
      <c r="X45">
        <v>0</v>
      </c>
      <c r="Y45">
        <v>0</v>
      </c>
      <c r="Z45">
        <v>2.8076234515701861</v>
      </c>
      <c r="AA45">
        <v>2.4066258666235489</v>
      </c>
      <c r="AB45">
        <v>22.382453027751001</v>
      </c>
      <c r="AC45">
        <v>19.185689015721469</v>
      </c>
      <c r="AD45">
        <v>5324.8522282316499</v>
      </c>
      <c r="AE45">
        <v>4564.3325500944502</v>
      </c>
      <c r="AF45">
        <f t="shared" si="3"/>
        <v>1</v>
      </c>
      <c r="AG45">
        <f>(F45/(D45+H45))</f>
        <v>0.15291618913218374</v>
      </c>
      <c r="AH45">
        <f>(F45/D45)</f>
        <v>0.51509043366565299</v>
      </c>
      <c r="AI45">
        <f>(E45/(D45+H45))</f>
        <v>0.14395631933968264</v>
      </c>
      <c r="AJ45">
        <f>(E45/(D45))</f>
        <v>0.48490956633434801</v>
      </c>
      <c r="AK45">
        <f>(H45/(D45+H45))</f>
        <v>0.70312749152813392</v>
      </c>
      <c r="AL45">
        <f>(I45/H45)</f>
        <v>0</v>
      </c>
      <c r="AM45">
        <f>J45/H45</f>
        <v>1</v>
      </c>
      <c r="AN45">
        <f>(D45+H45)/AD45</f>
        <v>3.4227446595682623E-2</v>
      </c>
      <c r="AO45">
        <f>(D45+H45)/AE45</f>
        <v>3.9930503150549135E-2</v>
      </c>
    </row>
    <row r="46" spans="1:41" x14ac:dyDescent="0.35">
      <c r="A46" t="s">
        <v>34</v>
      </c>
      <c r="B46" t="s">
        <v>67</v>
      </c>
      <c r="C46">
        <f t="shared" si="0"/>
        <v>36.886000912551282</v>
      </c>
      <c r="D46">
        <v>23.75934855125389</v>
      </c>
      <c r="E46">
        <v>1.281290935211151</v>
      </c>
      <c r="F46">
        <v>22.47805761604274</v>
      </c>
      <c r="G46">
        <v>13.12665236129739</v>
      </c>
      <c r="H46">
        <v>-186.96912589332601</v>
      </c>
      <c r="I46">
        <v>-101</v>
      </c>
      <c r="J46">
        <v>-85.969125893326037</v>
      </c>
      <c r="K46">
        <v>120.836905973052</v>
      </c>
      <c r="L46">
        <f t="shared" si="1"/>
        <v>2.2516905875257454</v>
      </c>
      <c r="M46">
        <v>1.4503795525417811</v>
      </c>
      <c r="N46">
        <f t="shared" si="2"/>
        <v>1.7104254149197096</v>
      </c>
      <c r="O46">
        <v>1.101734874982673</v>
      </c>
      <c r="P46">
        <v>7.8215872345090698E-2</v>
      </c>
      <c r="Q46">
        <v>5.9414209328007402E-2</v>
      </c>
      <c r="R46">
        <v>1.3721636801966901</v>
      </c>
      <c r="S46">
        <v>1.0423206656546651</v>
      </c>
      <c r="T46">
        <v>0.8013110349839645</v>
      </c>
      <c r="U46">
        <v>0.60869053993703692</v>
      </c>
      <c r="V46">
        <v>-11.413452543419121</v>
      </c>
      <c r="W46">
        <v>-8.6698676143135298</v>
      </c>
      <c r="X46">
        <v>-6.1655030015117536</v>
      </c>
      <c r="Y46">
        <v>-4.6834290146131741</v>
      </c>
      <c r="Z46">
        <v>-5.2479495419073627</v>
      </c>
      <c r="AA46">
        <v>-3.9864385997003549</v>
      </c>
      <c r="AB46">
        <v>7.3764386779232263</v>
      </c>
      <c r="AC46">
        <v>5.6032779353492641</v>
      </c>
      <c r="AD46">
        <v>2156.5395714307001</v>
      </c>
      <c r="AE46">
        <v>1638.14696019506</v>
      </c>
      <c r="AF46">
        <f t="shared" si="3"/>
        <v>-1.2849052572257786E-2</v>
      </c>
      <c r="AG46">
        <f>(F46/(D46+H46))</f>
        <v>-0.13772494504989657</v>
      </c>
      <c r="AH46">
        <f>(F46/D46)</f>
        <v>0.94607213525037792</v>
      </c>
      <c r="AI46">
        <f>(E46/(D46+H46))</f>
        <v>-7.8505770676084406E-3</v>
      </c>
      <c r="AJ46">
        <f>(E46/(D46))</f>
        <v>5.3927864749622162E-2</v>
      </c>
      <c r="AK46">
        <f>(H46/(D46+H46))</f>
        <v>1.145575522117505</v>
      </c>
      <c r="AL46">
        <f>(I46/H46)</f>
        <v>0.54019613942905675</v>
      </c>
      <c r="AM46">
        <f>J46/H46</f>
        <v>0.45980386057094341</v>
      </c>
      <c r="AN46">
        <f>(D46+H46)/AD46</f>
        <v>-7.5681327393308559E-2</v>
      </c>
      <c r="AO46">
        <f>(D46+H46)/AE46</f>
        <v>-9.9630729908773363E-2</v>
      </c>
    </row>
    <row r="47" spans="1:41" x14ac:dyDescent="0.35">
      <c r="A47" t="s">
        <v>35</v>
      </c>
      <c r="B47" t="s">
        <v>67</v>
      </c>
      <c r="C47">
        <f t="shared" si="0"/>
        <v>24.886187363532709</v>
      </c>
      <c r="D47">
        <v>24.886187363532709</v>
      </c>
      <c r="E47">
        <v>0.52057790283490757</v>
      </c>
      <c r="F47">
        <v>24.365609460697801</v>
      </c>
      <c r="G47">
        <v>0</v>
      </c>
      <c r="H47">
        <v>-60.841604635503842</v>
      </c>
      <c r="I47">
        <v>-10.86448882326709</v>
      </c>
      <c r="J47">
        <v>-49.977115812236761</v>
      </c>
      <c r="K47">
        <v>-0.50327929573277252</v>
      </c>
      <c r="L47">
        <f t="shared" si="1"/>
        <v>1.8797371249607486</v>
      </c>
      <c r="M47">
        <v>1.8797371249607491</v>
      </c>
      <c r="N47">
        <f t="shared" si="2"/>
        <v>1.3852381694584868</v>
      </c>
      <c r="O47">
        <v>1.385238169458487</v>
      </c>
      <c r="P47">
        <v>3.9320993453055599E-2</v>
      </c>
      <c r="Q47">
        <v>2.89768927095789E-2</v>
      </c>
      <c r="R47">
        <v>1.840416131507693</v>
      </c>
      <c r="S47">
        <v>1.356261276748908</v>
      </c>
      <c r="T47">
        <v>0</v>
      </c>
      <c r="U47">
        <v>0</v>
      </c>
      <c r="V47">
        <v>-4.5955702777970959</v>
      </c>
      <c r="W47">
        <v>-3.3866221370535561</v>
      </c>
      <c r="X47">
        <v>-0.82063124762704553</v>
      </c>
      <c r="Y47">
        <v>-0.60474930891576673</v>
      </c>
      <c r="Z47">
        <v>-3.7749390301700489</v>
      </c>
      <c r="AA47">
        <v>-2.7818728281377889</v>
      </c>
      <c r="AB47">
        <v>-3.8014371691152501E-2</v>
      </c>
      <c r="AC47">
        <v>-2.8014001508676899E-2</v>
      </c>
      <c r="AD47">
        <v>1796.5276955414199</v>
      </c>
      <c r="AE47">
        <v>1323.9184901480501</v>
      </c>
      <c r="AF47">
        <f t="shared" si="3"/>
        <v>-5.0326990133549708E-2</v>
      </c>
      <c r="AG47">
        <f>(F47/(D47+H47))</f>
        <v>-0.67766170745268739</v>
      </c>
      <c r="AH47">
        <f>(F47/D47)</f>
        <v>0.97908165299768879</v>
      </c>
      <c r="AI47">
        <f>(E47/(D47+H47))</f>
        <v>-1.4478427517533541E-2</v>
      </c>
      <c r="AJ47">
        <f>(E47/(D47))</f>
        <v>2.0918347002311131E-2</v>
      </c>
      <c r="AK47">
        <f>(H47/(D47+H47))</f>
        <v>1.692140134970221</v>
      </c>
      <c r="AL47">
        <f>(I47/H47)</f>
        <v>0.17857005725531386</v>
      </c>
      <c r="AM47">
        <f>J47/H47</f>
        <v>0.82142994274468628</v>
      </c>
      <c r="AN47">
        <f>(D47+H47)/AD47</f>
        <v>-2.001383967595069E-2</v>
      </c>
      <c r="AO47">
        <f>(D47+H47)/AE47</f>
        <v>-2.7158331528363455E-2</v>
      </c>
    </row>
    <row r="48" spans="1:41" x14ac:dyDescent="0.35">
      <c r="A48" t="s">
        <v>36</v>
      </c>
      <c r="B48" t="s">
        <v>67</v>
      </c>
      <c r="C48">
        <f t="shared" si="0"/>
        <v>71.618784378598789</v>
      </c>
      <c r="D48">
        <v>71.618784378598804</v>
      </c>
      <c r="E48">
        <v>1.8120430642510199</v>
      </c>
      <c r="F48">
        <v>69.806741314347775</v>
      </c>
      <c r="G48">
        <v>0</v>
      </c>
      <c r="H48">
        <v>0.49401987796943558</v>
      </c>
      <c r="I48">
        <v>-421.75808205314382</v>
      </c>
      <c r="J48">
        <v>422.2521019311132</v>
      </c>
      <c r="K48">
        <v>0</v>
      </c>
      <c r="L48">
        <f t="shared" si="1"/>
        <v>2.2682920394272252</v>
      </c>
      <c r="M48">
        <v>2.2682920394272248</v>
      </c>
      <c r="N48">
        <f t="shared" si="2"/>
        <v>2.4343666996657953</v>
      </c>
      <c r="O48">
        <v>2.434366699665794</v>
      </c>
      <c r="P48">
        <v>5.7390569993647098E-2</v>
      </c>
      <c r="Q48">
        <v>6.1592462539634997E-2</v>
      </c>
      <c r="R48">
        <v>2.210901469433578</v>
      </c>
      <c r="S48">
        <v>2.3727742371261602</v>
      </c>
      <c r="T48">
        <v>0</v>
      </c>
      <c r="U48">
        <v>0</v>
      </c>
      <c r="V48">
        <v>1.5646472726947601E-2</v>
      </c>
      <c r="W48">
        <v>1.6792040668327901E-2</v>
      </c>
      <c r="X48">
        <v>-13.357815388599549</v>
      </c>
      <c r="Y48">
        <v>-14.335817609491439</v>
      </c>
      <c r="Z48">
        <v>13.373461861326501</v>
      </c>
      <c r="AA48">
        <v>14.35260965015976</v>
      </c>
      <c r="AB48">
        <v>0</v>
      </c>
      <c r="AC48">
        <v>0</v>
      </c>
      <c r="AD48">
        <v>2941.9883367789698</v>
      </c>
      <c r="AE48">
        <v>3157.38816403392</v>
      </c>
      <c r="AF48">
        <f t="shared" si="3"/>
        <v>-4.3149426259952101E-3</v>
      </c>
      <c r="AG48">
        <f>(F48/(D48+H48))</f>
        <v>0.9680214496441466</v>
      </c>
      <c r="AH48">
        <f>(F48/D48)</f>
        <v>0.97469877379275227</v>
      </c>
      <c r="AI48">
        <f>(E48/(D48+H48))</f>
        <v>2.5127896258256715E-2</v>
      </c>
      <c r="AJ48">
        <f>(E48/(D48))</f>
        <v>2.5301226207247611E-2</v>
      </c>
      <c r="AK48">
        <f>(H48/(D48+H48))</f>
        <v>6.8506540975965284E-3</v>
      </c>
      <c r="AL48">
        <f>(I48/H48)</f>
        <v>-853.72694675099183</v>
      </c>
      <c r="AM48">
        <f>J48/H48</f>
        <v>854.72694675099171</v>
      </c>
      <c r="AN48">
        <f>(D48+H48)/AD48</f>
        <v>2.451158740334124E-2</v>
      </c>
      <c r="AO48">
        <f>(D48+H48)/AE48</f>
        <v>2.2839385121541718E-2</v>
      </c>
    </row>
    <row r="49" spans="1:41" x14ac:dyDescent="0.35">
      <c r="A49" t="s">
        <v>37</v>
      </c>
      <c r="B49" t="s">
        <v>67</v>
      </c>
      <c r="C49">
        <f t="shared" si="0"/>
        <v>1048</v>
      </c>
      <c r="D49">
        <v>1048</v>
      </c>
      <c r="E49">
        <v>294.55</v>
      </c>
      <c r="F49">
        <v>753.45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1"/>
        <v>5.2586748171464448</v>
      </c>
      <c r="M49">
        <v>5.2586748171464457</v>
      </c>
      <c r="N49">
        <f t="shared" si="2"/>
        <v>5.2467646833064387</v>
      </c>
      <c r="O49">
        <v>5.2467646833064396</v>
      </c>
      <c r="P49">
        <v>1.4779987284260361</v>
      </c>
      <c r="Q49">
        <v>1.4746512762098389</v>
      </c>
      <c r="R49">
        <v>3.7806760887204089</v>
      </c>
      <c r="S49">
        <v>3.7721134070966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19974.2138871676</v>
      </c>
      <c r="AE49">
        <v>19928.975197</v>
      </c>
      <c r="AF49">
        <f t="shared" si="3"/>
        <v>1</v>
      </c>
      <c r="AG49">
        <f>(F49/(D49+H49))</f>
        <v>0.7189408396946565</v>
      </c>
      <c r="AH49">
        <f>(F49/D49)</f>
        <v>0.7189408396946565</v>
      </c>
      <c r="AI49">
        <f>(E49/(D49+H49))</f>
        <v>0.2810591603053435</v>
      </c>
      <c r="AJ49">
        <f>(E49/(D49))</f>
        <v>0.2810591603053435</v>
      </c>
      <c r="AK49">
        <f>(H49/(D49+H49))</f>
        <v>0</v>
      </c>
      <c r="AL49">
        <v>0</v>
      </c>
      <c r="AM49">
        <v>0</v>
      </c>
      <c r="AN49">
        <f>(D49+H49)/AD49</f>
        <v>5.2467646833064395E-2</v>
      </c>
      <c r="AO49">
        <f>(D49+H49)/AE49</f>
        <v>5.2586748171464442E-2</v>
      </c>
    </row>
    <row r="50" spans="1:41" x14ac:dyDescent="0.35">
      <c r="A50" t="s">
        <v>38</v>
      </c>
      <c r="B50" t="s">
        <v>67</v>
      </c>
      <c r="C50">
        <f t="shared" si="0"/>
        <v>7.1567951026174805</v>
      </c>
      <c r="D50">
        <v>4.9963816139161317</v>
      </c>
      <c r="E50">
        <v>4.2542129426510002E-4</v>
      </c>
      <c r="F50">
        <v>4.9959561926218674</v>
      </c>
      <c r="G50">
        <v>2.160413488701348</v>
      </c>
      <c r="H50">
        <v>-1.5306958497704479</v>
      </c>
      <c r="I50">
        <v>-1.5306958497704479</v>
      </c>
      <c r="J50">
        <v>0</v>
      </c>
      <c r="K50">
        <v>3.026441309603181</v>
      </c>
      <c r="L50">
        <f t="shared" si="1"/>
        <v>0.55949557754856005</v>
      </c>
      <c r="M50">
        <v>0.39060129242887259</v>
      </c>
      <c r="N50">
        <f t="shared" si="2"/>
        <v>0.30049513313121357</v>
      </c>
      <c r="O50">
        <v>0.20978501364374219</v>
      </c>
      <c r="P50">
        <v>3.3258089595061817E-5</v>
      </c>
      <c r="Q50">
        <v>1.786232896484885E-5</v>
      </c>
      <c r="R50">
        <v>0.3905680343392775</v>
      </c>
      <c r="S50">
        <v>0.20976715131477741</v>
      </c>
      <c r="T50">
        <v>0.16889428511968749</v>
      </c>
      <c r="U50">
        <v>9.0710119487471305E-2</v>
      </c>
      <c r="V50">
        <v>-0.11966495424820529</v>
      </c>
      <c r="W50">
        <v>-6.42699206229813E-2</v>
      </c>
      <c r="X50">
        <v>-0.11966495424820529</v>
      </c>
      <c r="Y50">
        <v>-6.42699206229813E-2</v>
      </c>
      <c r="Z50">
        <v>0</v>
      </c>
      <c r="AA50">
        <v>0</v>
      </c>
      <c r="AB50">
        <v>0.23659759768921751</v>
      </c>
      <c r="AC50">
        <v>0.12707236566132829</v>
      </c>
      <c r="AD50">
        <v>2381.6675591522499</v>
      </c>
      <c r="AE50">
        <v>1279.1513266244399</v>
      </c>
      <c r="AF50">
        <f t="shared" si="3"/>
        <v>-2.7800399612291227E-4</v>
      </c>
      <c r="AG50">
        <f>(F50/(D50+H50))</f>
        <v>1.4415490995483851</v>
      </c>
      <c r="AH50">
        <f>(F50/D50)</f>
        <v>0.99991485412301584</v>
      </c>
      <c r="AI50">
        <f>(E50/(D50+H50))</f>
        <v>1.2275241415892458E-4</v>
      </c>
      <c r="AJ50">
        <f>(E50/(D50))</f>
        <v>8.5145876984295756E-5</v>
      </c>
      <c r="AK50">
        <f>(H50/(D50+H50))</f>
        <v>-0.44167185196254383</v>
      </c>
      <c r="AL50">
        <f>(I50/H50)</f>
        <v>1</v>
      </c>
      <c r="AM50">
        <f>J50/H50</f>
        <v>0</v>
      </c>
      <c r="AN50">
        <f>(D50+H50)/AD50</f>
        <v>1.4551509302076098E-3</v>
      </c>
      <c r="AO50">
        <f>(D50+H50)/AE50</f>
        <v>2.7093633818066724E-3</v>
      </c>
    </row>
    <row r="51" spans="1:41" x14ac:dyDescent="0.35">
      <c r="A51" t="s">
        <v>39</v>
      </c>
      <c r="B51" t="s">
        <v>67</v>
      </c>
      <c r="C51">
        <f t="shared" si="0"/>
        <v>11.563909774436091</v>
      </c>
      <c r="D51">
        <v>1.654135338345865</v>
      </c>
      <c r="E51">
        <v>0</v>
      </c>
      <c r="F51">
        <v>1.654135338345865</v>
      </c>
      <c r="G51">
        <v>9.9097744360902258</v>
      </c>
      <c r="H51">
        <v>44.019548872180451</v>
      </c>
      <c r="I51">
        <v>3.007518796992481</v>
      </c>
      <c r="J51">
        <v>41.012030075187972</v>
      </c>
      <c r="K51">
        <v>15.47368421052632</v>
      </c>
      <c r="L51">
        <f t="shared" si="1"/>
        <v>1.1598082929248654</v>
      </c>
      <c r="M51">
        <v>0.16590235659523431</v>
      </c>
      <c r="N51">
        <f t="shared" si="2"/>
        <v>0.49550055683283228</v>
      </c>
      <c r="O51">
        <v>7.0877842979989003E-2</v>
      </c>
      <c r="P51">
        <v>0</v>
      </c>
      <c r="Q51">
        <v>0</v>
      </c>
      <c r="R51">
        <v>0.16590235659523431</v>
      </c>
      <c r="S51">
        <v>7.0877842979989003E-2</v>
      </c>
      <c r="T51">
        <v>0.9939059363296312</v>
      </c>
      <c r="U51">
        <v>0.42462271385284328</v>
      </c>
      <c r="V51">
        <v>4.4149633496475413</v>
      </c>
      <c r="W51">
        <v>1.886188270502926</v>
      </c>
      <c r="X51">
        <v>0.30164064835497151</v>
      </c>
      <c r="Y51">
        <v>0.12886880541816181</v>
      </c>
      <c r="Z51">
        <v>4.1133227012925699</v>
      </c>
      <c r="AA51">
        <v>1.7573194650847641</v>
      </c>
      <c r="AB51">
        <v>1.5519411357863291</v>
      </c>
      <c r="AC51">
        <v>0.66303000387644273</v>
      </c>
      <c r="AD51">
        <v>2333.7834064911899</v>
      </c>
      <c r="AE51">
        <v>997.05355143423003</v>
      </c>
      <c r="AF51">
        <f t="shared" si="3"/>
        <v>0</v>
      </c>
      <c r="AG51">
        <f>(F51/(D51+H51))</f>
        <v>3.62163763869226E-2</v>
      </c>
      <c r="AH51">
        <f>(F51/D51)</f>
        <v>1</v>
      </c>
      <c r="AI51">
        <f>(E51/(D51+H51))</f>
        <v>0</v>
      </c>
      <c r="AJ51">
        <f>(E51/(D51))</f>
        <v>0</v>
      </c>
      <c r="AK51">
        <f>(H51/(D51+H51))</f>
        <v>0.96378362361307734</v>
      </c>
      <c r="AL51">
        <f>(I51/H51)</f>
        <v>6.8322344822874317E-2</v>
      </c>
      <c r="AM51">
        <f>J51/H51</f>
        <v>0.93167765517712575</v>
      </c>
      <c r="AN51">
        <f>(D51+H51)/AD51</f>
        <v>1.9570661134829154E-2</v>
      </c>
      <c r="AO51">
        <f>(D51+H51)/AE51</f>
        <v>4.5808657062427753E-2</v>
      </c>
    </row>
    <row r="52" spans="1:41" x14ac:dyDescent="0.35">
      <c r="A52" t="s">
        <v>40</v>
      </c>
      <c r="B52" t="s">
        <v>67</v>
      </c>
      <c r="C52">
        <f t="shared" si="0"/>
        <v>8.4705882300000006</v>
      </c>
      <c r="D52">
        <v>8.4705882300000006</v>
      </c>
      <c r="E52">
        <v>0</v>
      </c>
      <c r="F52">
        <v>8.4705882300000006</v>
      </c>
      <c r="G52">
        <v>0</v>
      </c>
      <c r="H52">
        <v>8.4705999999999992</v>
      </c>
      <c r="I52">
        <v>0</v>
      </c>
      <c r="J52">
        <v>8.4705999999999992</v>
      </c>
      <c r="K52">
        <v>0</v>
      </c>
      <c r="L52">
        <f t="shared" si="1"/>
        <v>2.0462852131061382</v>
      </c>
      <c r="M52">
        <v>2.0462852131061382</v>
      </c>
      <c r="N52">
        <f t="shared" si="2"/>
        <v>1.8076405000965221</v>
      </c>
      <c r="O52">
        <v>1.8076405000965221</v>
      </c>
      <c r="P52">
        <v>0</v>
      </c>
      <c r="Q52">
        <v>0</v>
      </c>
      <c r="R52">
        <v>2.0462852131061382</v>
      </c>
      <c r="S52">
        <v>1.8076405000965221</v>
      </c>
      <c r="T52">
        <v>0</v>
      </c>
      <c r="U52">
        <v>0</v>
      </c>
      <c r="V52">
        <v>2.0462880564478652</v>
      </c>
      <c r="W52">
        <v>1.8076430118381039</v>
      </c>
      <c r="X52">
        <v>0</v>
      </c>
      <c r="Y52">
        <v>0</v>
      </c>
      <c r="Z52">
        <v>2.0462880564478652</v>
      </c>
      <c r="AA52">
        <v>1.8076430118381039</v>
      </c>
      <c r="AB52">
        <v>0</v>
      </c>
      <c r="AC52">
        <v>0</v>
      </c>
      <c r="AD52">
        <v>468.59916169988998</v>
      </c>
      <c r="AE52">
        <v>413.94954015926999</v>
      </c>
      <c r="AF52" t="e">
        <f t="shared" si="3"/>
        <v>#DIV/0!</v>
      </c>
      <c r="AG52">
        <f>(F52/(D52+H52))</f>
        <v>0.49999965262176888</v>
      </c>
      <c r="AH52">
        <f>(F52/D52)</f>
        <v>1</v>
      </c>
      <c r="AI52">
        <f>(E52/(D52+H52))</f>
        <v>0</v>
      </c>
      <c r="AJ52">
        <f>(E52/(D52))</f>
        <v>0</v>
      </c>
      <c r="AK52">
        <f>(H52/(D52+H52))</f>
        <v>0.50000034737823096</v>
      </c>
      <c r="AL52">
        <f>(I52/H52)</f>
        <v>0</v>
      </c>
      <c r="AM52">
        <f>J52/H52</f>
        <v>1</v>
      </c>
      <c r="AN52">
        <f>(D52+H52)/AD52</f>
        <v>3.6152835119346263E-2</v>
      </c>
      <c r="AO52">
        <f>(D52+H52)/AE52</f>
        <v>4.0925732695540042E-2</v>
      </c>
    </row>
    <row r="53" spans="1:41" x14ac:dyDescent="0.35">
      <c r="A53" t="s">
        <v>41</v>
      </c>
      <c r="B53" t="s">
        <v>67</v>
      </c>
      <c r="C53">
        <f t="shared" si="0"/>
        <v>27.757934588838758</v>
      </c>
      <c r="D53">
        <v>15.736781814144811</v>
      </c>
      <c r="E53">
        <v>2.2949473478961182</v>
      </c>
      <c r="F53">
        <v>13.441834466248689</v>
      </c>
      <c r="G53">
        <v>12.021152774693951</v>
      </c>
      <c r="H53">
        <v>2.827267662189584</v>
      </c>
      <c r="I53">
        <v>0</v>
      </c>
      <c r="J53">
        <v>2.827267662189584</v>
      </c>
      <c r="K53">
        <v>0</v>
      </c>
      <c r="L53">
        <f t="shared" si="1"/>
        <v>5.6058796601753951</v>
      </c>
      <c r="M53">
        <v>3.1781365002569171</v>
      </c>
      <c r="N53">
        <f t="shared" si="2"/>
        <v>4.9985298940411731</v>
      </c>
      <c r="O53">
        <v>2.8338122233934211</v>
      </c>
      <c r="P53">
        <v>0.46347823962080031</v>
      </c>
      <c r="Q53">
        <v>0.41326428257820719</v>
      </c>
      <c r="R53">
        <v>2.7146582606361171</v>
      </c>
      <c r="S53">
        <v>2.4205479408152142</v>
      </c>
      <c r="T53">
        <v>2.427743159918478</v>
      </c>
      <c r="U53">
        <v>2.164717670647752</v>
      </c>
      <c r="V53">
        <v>0.57098348692388257</v>
      </c>
      <c r="W53">
        <v>0.50912224332400235</v>
      </c>
      <c r="X53">
        <v>0</v>
      </c>
      <c r="Y53">
        <v>0</v>
      </c>
      <c r="Z53">
        <v>0.57098348692388257</v>
      </c>
      <c r="AA53">
        <v>0.50912224332400235</v>
      </c>
      <c r="AB53">
        <v>0</v>
      </c>
      <c r="AC53">
        <v>0</v>
      </c>
      <c r="AD53">
        <v>555.32196820367994</v>
      </c>
      <c r="AE53">
        <v>495.15751802582002</v>
      </c>
      <c r="AF53">
        <f t="shared" si="3"/>
        <v>1</v>
      </c>
      <c r="AG53">
        <f>(F53/(D53+H53))</f>
        <v>0.72407878913404378</v>
      </c>
      <c r="AH53">
        <f>(F53/D53)</f>
        <v>0.85416666666666652</v>
      </c>
      <c r="AI53">
        <f>(E53/(D53+H53))</f>
        <v>0.12362320790093433</v>
      </c>
      <c r="AJ53">
        <f>(E53/(D53))</f>
        <v>0.14583333333333334</v>
      </c>
      <c r="AK53">
        <f>(H53/(D53+H53))</f>
        <v>0.15229800296502163</v>
      </c>
      <c r="AL53">
        <f>(I53/H53)</f>
        <v>0</v>
      </c>
      <c r="AM53">
        <f>J53/H53</f>
        <v>1</v>
      </c>
      <c r="AN53">
        <f>(D53+H53)/AD53</f>
        <v>3.3429344667174253E-2</v>
      </c>
      <c r="AO53">
        <f>(D53+H53)/AE53</f>
        <v>3.7491199871808011E-2</v>
      </c>
    </row>
    <row r="54" spans="1:41" x14ac:dyDescent="0.35">
      <c r="A54" t="s">
        <v>42</v>
      </c>
      <c r="B54" t="s">
        <v>67</v>
      </c>
      <c r="C54">
        <f t="shared" si="0"/>
        <v>1.8854020040765489</v>
      </c>
      <c r="D54">
        <v>1.885402004076548</v>
      </c>
      <c r="E54">
        <v>1.8854020040765489</v>
      </c>
      <c r="F54">
        <v>0</v>
      </c>
      <c r="G54">
        <v>0</v>
      </c>
      <c r="H54">
        <v>-0.77448880067103687</v>
      </c>
      <c r="I54">
        <v>-0.77448880067103743</v>
      </c>
      <c r="J54">
        <v>0</v>
      </c>
      <c r="K54">
        <v>0</v>
      </c>
      <c r="L54">
        <f t="shared" si="1"/>
        <v>0.8743271030895452</v>
      </c>
      <c r="M54">
        <v>0.87432710308954587</v>
      </c>
      <c r="N54">
        <f t="shared" si="2"/>
        <v>0.46279358816794303</v>
      </c>
      <c r="O54">
        <v>0.4627935881679428</v>
      </c>
      <c r="P54">
        <v>0.8743271030895452</v>
      </c>
      <c r="Q54">
        <v>0.46279358816794303</v>
      </c>
      <c r="R54">
        <v>0</v>
      </c>
      <c r="S54">
        <v>0</v>
      </c>
      <c r="T54">
        <v>0</v>
      </c>
      <c r="U54">
        <v>0</v>
      </c>
      <c r="V54">
        <v>-0.35915764807817041</v>
      </c>
      <c r="W54">
        <v>-0.19010717623268381</v>
      </c>
      <c r="X54">
        <v>-0.35915764807817141</v>
      </c>
      <c r="Y54">
        <v>-0.190107176232684</v>
      </c>
      <c r="Z54">
        <v>0</v>
      </c>
      <c r="AA54">
        <v>0</v>
      </c>
      <c r="AB54">
        <v>0</v>
      </c>
      <c r="AC54">
        <v>0</v>
      </c>
      <c r="AD54">
        <v>407.39587848230002</v>
      </c>
      <c r="AE54">
        <v>215.64034757863999</v>
      </c>
      <c r="AF54">
        <f t="shared" si="3"/>
        <v>1.6971640973361708</v>
      </c>
      <c r="AG54">
        <f>(F54/(D54+H54))</f>
        <v>0</v>
      </c>
      <c r="AH54">
        <f>(F54/D54)</f>
        <v>0</v>
      </c>
      <c r="AI54">
        <f>(E54/(D54+H54))</f>
        <v>1.6971640973361715</v>
      </c>
      <c r="AJ54">
        <f>(E54/(D54))</f>
        <v>1.0000000000000004</v>
      </c>
      <c r="AK54">
        <f>(H54/(D54+H54))</f>
        <v>-0.69716409733617057</v>
      </c>
      <c r="AL54">
        <f>(I54/H54)</f>
        <v>1.0000000000000007</v>
      </c>
      <c r="AM54">
        <f>J54/H54</f>
        <v>0</v>
      </c>
      <c r="AN54">
        <f>(D54+H54)/AD54</f>
        <v>2.7268641193525884E-3</v>
      </c>
      <c r="AO54">
        <f>(D54+H54)/AE54</f>
        <v>5.151694550113735E-3</v>
      </c>
    </row>
    <row r="55" spans="1:41" x14ac:dyDescent="0.35">
      <c r="A55" t="s">
        <v>43</v>
      </c>
      <c r="B55" t="s">
        <v>67</v>
      </c>
      <c r="C55">
        <f t="shared" si="0"/>
        <v>33.672649112091534</v>
      </c>
      <c r="D55">
        <v>9.3883508485756941</v>
      </c>
      <c r="E55">
        <v>0.1167514339592107</v>
      </c>
      <c r="F55">
        <v>9.2715994146164817</v>
      </c>
      <c r="G55">
        <v>24.28429826351584</v>
      </c>
      <c r="H55">
        <v>21.16616035296634</v>
      </c>
      <c r="I55">
        <v>5.822977768715635</v>
      </c>
      <c r="J55">
        <v>15.3431825842507</v>
      </c>
      <c r="K55">
        <v>0</v>
      </c>
      <c r="L55">
        <f t="shared" si="1"/>
        <v>10.123990267971804</v>
      </c>
      <c r="M55">
        <v>2.822693643938885</v>
      </c>
      <c r="N55">
        <f t="shared" si="2"/>
        <v>10.825006620206736</v>
      </c>
      <c r="O55">
        <v>3.0181456692150008</v>
      </c>
      <c r="P55">
        <v>3.5102387615542803E-2</v>
      </c>
      <c r="Q55">
        <v>3.7532985341306398E-2</v>
      </c>
      <c r="R55">
        <v>2.7875912563233429</v>
      </c>
      <c r="S55">
        <v>2.9806126838736948</v>
      </c>
      <c r="T55">
        <v>7.3012966240329176</v>
      </c>
      <c r="U55">
        <v>7.8068609509917337</v>
      </c>
      <c r="V55">
        <v>6.363799911032654</v>
      </c>
      <c r="W55">
        <v>6.8044490702972862</v>
      </c>
      <c r="X55">
        <v>1.7507315823252001</v>
      </c>
      <c r="Y55">
        <v>1.8719576438976571</v>
      </c>
      <c r="Z55">
        <v>4.6130683287074534</v>
      </c>
      <c r="AA55">
        <v>4.9324914263996291</v>
      </c>
      <c r="AB55">
        <v>0</v>
      </c>
      <c r="AC55">
        <v>0</v>
      </c>
      <c r="AD55">
        <v>311.06354290107998</v>
      </c>
      <c r="AE55">
        <v>332.60254327404999</v>
      </c>
      <c r="AF55">
        <f t="shared" si="3"/>
        <v>1.9656019656019652E-2</v>
      </c>
      <c r="AG55">
        <f>(F55/(D55+H55))</f>
        <v>0.30344453404800531</v>
      </c>
      <c r="AH55">
        <f>(F55/D55)</f>
        <v>0.98756422338254168</v>
      </c>
      <c r="AI55">
        <f>(E55/(D55+H55))</f>
        <v>3.8210866208626651E-3</v>
      </c>
      <c r="AJ55">
        <f>(E55/(D55))</f>
        <v>1.2435776617458118E-2</v>
      </c>
      <c r="AK55">
        <f>(H55/(D55+H55))</f>
        <v>0.69273437933113191</v>
      </c>
      <c r="AL55">
        <f>(I55/H55)</f>
        <v>0.27510789258003382</v>
      </c>
      <c r="AM55">
        <f>J55/H55</f>
        <v>0.7248921074199659</v>
      </c>
      <c r="AN55">
        <f>(D55+H55)/AD55</f>
        <v>9.8225947395122887E-2</v>
      </c>
      <c r="AO55">
        <f>(D55+H55)/AE55</f>
        <v>9.1864935549715407E-2</v>
      </c>
    </row>
    <row r="56" spans="1:41" x14ac:dyDescent="0.35">
      <c r="A56" t="s">
        <v>44</v>
      </c>
      <c r="B56" t="s">
        <v>67</v>
      </c>
      <c r="C56">
        <f t="shared" si="0"/>
        <v>1.2481951410000001</v>
      </c>
      <c r="D56">
        <v>1.2481951410000001</v>
      </c>
      <c r="E56">
        <v>0.33243433</v>
      </c>
      <c r="F56">
        <v>0.91576081099999995</v>
      </c>
      <c r="G56">
        <v>0</v>
      </c>
      <c r="H56">
        <v>0.67566216200000007</v>
      </c>
      <c r="I56">
        <v>0.61666216200000001</v>
      </c>
      <c r="J56">
        <v>5.8999999999999997E-2</v>
      </c>
      <c r="K56">
        <v>0</v>
      </c>
      <c r="L56">
        <f t="shared" si="1"/>
        <v>4.6408796097126643</v>
      </c>
      <c r="M56">
        <v>4.6408796097126643</v>
      </c>
      <c r="N56">
        <f t="shared" si="2"/>
        <v>2.7186939247924098</v>
      </c>
      <c r="O56">
        <v>2.7186939247924111</v>
      </c>
      <c r="P56">
        <v>1.2360148289228849</v>
      </c>
      <c r="Q56">
        <v>0.72407523765824</v>
      </c>
      <c r="R56">
        <v>3.4048647807897798</v>
      </c>
      <c r="S56">
        <v>1.99461868713417</v>
      </c>
      <c r="T56">
        <v>0</v>
      </c>
      <c r="U56">
        <v>0</v>
      </c>
      <c r="V56">
        <v>2.5121606771902791</v>
      </c>
      <c r="W56">
        <v>1.471659802785201</v>
      </c>
      <c r="X56">
        <v>2.2927944194802219</v>
      </c>
      <c r="Y56">
        <v>1.3431518986170721</v>
      </c>
      <c r="Z56">
        <v>0.21936625771005719</v>
      </c>
      <c r="AA56">
        <v>0.12850790416812899</v>
      </c>
      <c r="AB56">
        <v>0</v>
      </c>
      <c r="AC56">
        <v>0</v>
      </c>
      <c r="AD56">
        <v>45.911572818750003</v>
      </c>
      <c r="AE56">
        <v>26.895658710639999</v>
      </c>
      <c r="AF56">
        <f t="shared" si="3"/>
        <v>0.350263996129068</v>
      </c>
      <c r="AG56">
        <f>(F56/(D56+H56))</f>
        <v>0.47600246108273858</v>
      </c>
      <c r="AH56">
        <f>(F56/D56)</f>
        <v>0.73366798260913912</v>
      </c>
      <c r="AI56">
        <f>(E56/(D56+H56))</f>
        <v>0.17279573151377328</v>
      </c>
      <c r="AJ56">
        <f>(E56/(D56))</f>
        <v>0.26633201739086082</v>
      </c>
      <c r="AK56">
        <f>(H56/(D56+H56))</f>
        <v>0.35120180740348811</v>
      </c>
      <c r="AL56">
        <f>(I56/H56)</f>
        <v>0.91267825354411358</v>
      </c>
      <c r="AM56">
        <f>J56/H56</f>
        <v>8.732174645588632E-2</v>
      </c>
      <c r="AN56">
        <f>(D56+H56)/AD56</f>
        <v>4.1903537275776115E-2</v>
      </c>
      <c r="AO56">
        <f>(D56+H56)/AE56</f>
        <v>7.1530402869029439E-2</v>
      </c>
    </row>
    <row r="57" spans="1:41" x14ac:dyDescent="0.35">
      <c r="A57" t="s">
        <v>45</v>
      </c>
      <c r="B57" t="s">
        <v>67</v>
      </c>
      <c r="C57">
        <f t="shared" si="0"/>
        <v>4.4900342188398579</v>
      </c>
      <c r="D57">
        <v>3.252665849099563</v>
      </c>
      <c r="E57">
        <v>1.5678041258934421</v>
      </c>
      <c r="F57">
        <v>1.684861723206122</v>
      </c>
      <c r="G57">
        <v>1.237368369740294</v>
      </c>
      <c r="H57">
        <v>3.751470525980066</v>
      </c>
      <c r="I57">
        <v>1.54465361043267</v>
      </c>
      <c r="J57">
        <v>2.206816915547396</v>
      </c>
      <c r="K57">
        <v>1.0928320704267229</v>
      </c>
      <c r="L57">
        <f t="shared" si="1"/>
        <v>1.762566107245747</v>
      </c>
      <c r="M57">
        <v>1.2768362788335079</v>
      </c>
      <c r="N57">
        <f t="shared" si="2"/>
        <v>1.768270801960093</v>
      </c>
      <c r="O57">
        <v>1.280968867756558</v>
      </c>
      <c r="P57">
        <v>0.6154426181219228</v>
      </c>
      <c r="Q57">
        <v>0.61743455035989681</v>
      </c>
      <c r="R57">
        <v>0.66139366071158512</v>
      </c>
      <c r="S57">
        <v>0.6635343173966608</v>
      </c>
      <c r="T57">
        <v>0.48572982841223911</v>
      </c>
      <c r="U57">
        <v>0.4873019342035354</v>
      </c>
      <c r="V57">
        <v>1.4726424074185149</v>
      </c>
      <c r="W57">
        <v>1.477408739485826</v>
      </c>
      <c r="X57">
        <v>0.60635486690942364</v>
      </c>
      <c r="Y57">
        <v>0.60831738586973727</v>
      </c>
      <c r="Z57">
        <v>0.8662875405090924</v>
      </c>
      <c r="AA57">
        <v>0.86909135361608847</v>
      </c>
      <c r="AB57">
        <v>0.42899200192354658</v>
      </c>
      <c r="AC57">
        <v>0.43038047092667181</v>
      </c>
      <c r="AD57">
        <v>253.92231856471</v>
      </c>
      <c r="AE57">
        <v>254.7441596875</v>
      </c>
      <c r="AF57">
        <f t="shared" si="3"/>
        <v>0.50371900880622056</v>
      </c>
      <c r="AG57">
        <f>(F57/(D57+H57))</f>
        <v>0.2405523869010856</v>
      </c>
      <c r="AH57">
        <f>(F57/D57)</f>
        <v>0.51799410126082979</v>
      </c>
      <c r="AI57">
        <f>(E57/(D57+H57))</f>
        <v>0.2238397486764552</v>
      </c>
      <c r="AJ57">
        <f>(E57/(D57))</f>
        <v>0.48200589873917055</v>
      </c>
      <c r="AK57">
        <f>(H57/(D57+H57))</f>
        <v>0.53560786442245945</v>
      </c>
      <c r="AL57">
        <f>(I57/H57)</f>
        <v>0.41174616719909629</v>
      </c>
      <c r="AM57">
        <f>J57/H57</f>
        <v>0.58825383280090371</v>
      </c>
      <c r="AN57">
        <f>(D57+H57)/AD57</f>
        <v>2.7583776072423828E-2</v>
      </c>
      <c r="AO57">
        <f>(D57+H57)/AE57</f>
        <v>2.7494786862520222E-2</v>
      </c>
    </row>
    <row r="58" spans="1:41" x14ac:dyDescent="0.35">
      <c r="A58" t="s">
        <v>46</v>
      </c>
      <c r="B58" t="s">
        <v>67</v>
      </c>
      <c r="C58">
        <f t="shared" si="0"/>
        <v>4.02544590517134</v>
      </c>
      <c r="D58">
        <v>4.0254459051713392</v>
      </c>
      <c r="E58">
        <v>0.707075905171339</v>
      </c>
      <c r="F58">
        <v>3.3183700000000012</v>
      </c>
      <c r="G58">
        <v>0</v>
      </c>
      <c r="H58">
        <v>6.7446143999999997</v>
      </c>
      <c r="I58">
        <v>5.3117944000000001</v>
      </c>
      <c r="J58">
        <v>1.43282</v>
      </c>
      <c r="K58">
        <v>0</v>
      </c>
      <c r="L58">
        <f t="shared" si="1"/>
        <v>1.9741964283923028</v>
      </c>
      <c r="M58">
        <v>1.9741964283923019</v>
      </c>
      <c r="N58">
        <f t="shared" si="2"/>
        <v>1.3349414777105444</v>
      </c>
      <c r="O58">
        <v>1.3349414777105451</v>
      </c>
      <c r="P58">
        <v>0.3467707080098239</v>
      </c>
      <c r="Q58">
        <v>0.2344845703901644</v>
      </c>
      <c r="R58">
        <v>1.6274257203824789</v>
      </c>
      <c r="S58">
        <v>1.10045690732038</v>
      </c>
      <c r="T58">
        <v>0</v>
      </c>
      <c r="U58">
        <v>0</v>
      </c>
      <c r="V58">
        <v>3.3077562021781892</v>
      </c>
      <c r="W58">
        <v>2.236687742383308</v>
      </c>
      <c r="X58">
        <v>2.6050593598494491</v>
      </c>
      <c r="Y58">
        <v>1.7615277493907291</v>
      </c>
      <c r="Z58">
        <v>0.70269684232874052</v>
      </c>
      <c r="AA58">
        <v>0.47515999299257961</v>
      </c>
      <c r="AB58">
        <v>0</v>
      </c>
      <c r="AC58">
        <v>0</v>
      </c>
      <c r="AD58">
        <v>301.54474727050001</v>
      </c>
      <c r="AE58">
        <v>203.90300819506001</v>
      </c>
      <c r="AF58">
        <f t="shared" si="3"/>
        <v>0.1174765145817859</v>
      </c>
      <c r="AG58">
        <f>(F58/(D58+H58))</f>
        <v>0.30811062389378235</v>
      </c>
      <c r="AH58">
        <f>(F58/D58)</f>
        <v>0.82434842702444866</v>
      </c>
      <c r="AI58">
        <f>(E58/(D58+H58))</f>
        <v>6.5651991273607851E-2</v>
      </c>
      <c r="AJ58">
        <f>(E58/(D58))</f>
        <v>0.17565157297555165</v>
      </c>
      <c r="AK58">
        <f>(H58/(D58+H58))</f>
        <v>0.62623738483260993</v>
      </c>
      <c r="AL58">
        <f>(I58/H58)</f>
        <v>0.78756087227166027</v>
      </c>
      <c r="AM58">
        <f>J58/H58</f>
        <v>0.21243912772833981</v>
      </c>
      <c r="AN58">
        <f>(D58+H58)/AD58</f>
        <v>3.5716292200938526E-2</v>
      </c>
      <c r="AO58">
        <f>(D58+H58)/AE58</f>
        <v>5.2819526305704918E-2</v>
      </c>
    </row>
    <row r="59" spans="1:41" x14ac:dyDescent="0.35">
      <c r="A59" t="s">
        <v>47</v>
      </c>
      <c r="B59" t="s">
        <v>67</v>
      </c>
      <c r="C59">
        <f t="shared" si="0"/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1"/>
        <v>0</v>
      </c>
      <c r="M59">
        <v>0</v>
      </c>
      <c r="N59">
        <f t="shared" si="2"/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19.06914282116</v>
      </c>
      <c r="AE59">
        <v>20.729999827290001</v>
      </c>
      <c r="AF59" t="e">
        <f t="shared" si="3"/>
        <v>#DIV/0!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f>(D59+H59)/AD59</f>
        <v>0</v>
      </c>
      <c r="AO59">
        <f>(D59+H59)/AE59</f>
        <v>0</v>
      </c>
    </row>
    <row r="60" spans="1:41" x14ac:dyDescent="0.35">
      <c r="A60" t="s">
        <v>48</v>
      </c>
      <c r="B60" t="s">
        <v>67</v>
      </c>
      <c r="C60">
        <f t="shared" si="0"/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1"/>
        <v>0</v>
      </c>
      <c r="M60">
        <v>0</v>
      </c>
      <c r="N60">
        <f t="shared" si="2"/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417.89075855828003</v>
      </c>
      <c r="AE60">
        <v>371.46659669328</v>
      </c>
      <c r="AF60" t="e">
        <f t="shared" si="3"/>
        <v>#DIV/0!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f>(D60+H60)/AD60</f>
        <v>0</v>
      </c>
      <c r="AO60">
        <f>(D60+H60)/AE60</f>
        <v>0</v>
      </c>
    </row>
    <row r="61" spans="1:41" x14ac:dyDescent="0.35">
      <c r="A61" t="s">
        <v>49</v>
      </c>
      <c r="B61" t="s">
        <v>67</v>
      </c>
      <c r="C61">
        <f t="shared" si="0"/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1"/>
        <v>0</v>
      </c>
      <c r="M61">
        <v>0</v>
      </c>
      <c r="N61">
        <f t="shared" si="2"/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342.39670930134002</v>
      </c>
      <c r="AE61">
        <v>358.46025273358998</v>
      </c>
      <c r="AF61" t="e">
        <f t="shared" si="3"/>
        <v>#DIV/0!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f>(D61+H61)/AD61</f>
        <v>0</v>
      </c>
      <c r="AO61">
        <f>(D61+H61)/AE61</f>
        <v>0</v>
      </c>
    </row>
    <row r="62" spans="1:41" x14ac:dyDescent="0.35">
      <c r="A62" t="s">
        <v>50</v>
      </c>
      <c r="B62" t="s">
        <v>67</v>
      </c>
      <c r="C62">
        <f t="shared" si="0"/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f t="shared" si="1"/>
        <v>0</v>
      </c>
      <c r="M62">
        <v>0</v>
      </c>
      <c r="N62">
        <f t="shared" si="2"/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55.422589739999999</v>
      </c>
      <c r="AE62">
        <v>30.160077523049999</v>
      </c>
      <c r="AF62" t="e">
        <f t="shared" si="3"/>
        <v>#DIV/0!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f>(D62+H62)/AD62</f>
        <v>0</v>
      </c>
      <c r="AO62">
        <f>(D62+H62)/AE62</f>
        <v>0</v>
      </c>
    </row>
    <row r="63" spans="1:41" x14ac:dyDescent="0.35">
      <c r="A63" t="s">
        <v>51</v>
      </c>
      <c r="B63" t="s">
        <v>67</v>
      </c>
      <c r="C63">
        <f t="shared" si="0"/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f t="shared" si="1"/>
        <v>0</v>
      </c>
      <c r="M63">
        <v>0</v>
      </c>
      <c r="N63">
        <f t="shared" si="2"/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97.136073348400004</v>
      </c>
      <c r="AE63">
        <v>48.216768505140003</v>
      </c>
      <c r="AF63" t="e">
        <f t="shared" si="3"/>
        <v>#DIV/0!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f>(D63+H63)/AD63</f>
        <v>0</v>
      </c>
      <c r="AO63">
        <f>(D63+H63)/AE63</f>
        <v>0</v>
      </c>
    </row>
    <row r="64" spans="1:41" x14ac:dyDescent="0.35">
      <c r="A64" t="s">
        <v>52</v>
      </c>
      <c r="B64" t="s">
        <v>67</v>
      </c>
      <c r="C64">
        <f t="shared" si="0"/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f t="shared" si="1"/>
        <v>0</v>
      </c>
      <c r="M64">
        <v>0</v>
      </c>
      <c r="N64">
        <f t="shared" si="2"/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66.343484468840003</v>
      </c>
      <c r="AE64">
        <v>66.557495896739994</v>
      </c>
      <c r="AF64" t="e">
        <f t="shared" si="3"/>
        <v>#DIV/0!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f>(D64+H64)/AD64</f>
        <v>0</v>
      </c>
      <c r="AO64">
        <f>(D64+H64)/AE64</f>
        <v>0</v>
      </c>
    </row>
    <row r="65" spans="1:41" x14ac:dyDescent="0.35">
      <c r="A65" t="s">
        <v>53</v>
      </c>
      <c r="B65" t="s">
        <v>67</v>
      </c>
      <c r="C65">
        <f t="shared" si="0"/>
        <v>1.957703643926207</v>
      </c>
      <c r="D65">
        <v>11.987077390271081</v>
      </c>
      <c r="E65">
        <v>0.76498244929870585</v>
      </c>
      <c r="F65">
        <v>11.22209494097237</v>
      </c>
      <c r="G65">
        <v>-10.02937374634487</v>
      </c>
      <c r="H65">
        <v>33.440661355057721</v>
      </c>
      <c r="I65">
        <v>0</v>
      </c>
      <c r="J65">
        <v>33.440661355057721</v>
      </c>
      <c r="K65">
        <v>0</v>
      </c>
      <c r="L65">
        <f t="shared" si="1"/>
        <v>0.23299049632919866</v>
      </c>
      <c r="M65">
        <v>1.426607709170238</v>
      </c>
      <c r="N65">
        <f t="shared" si="2"/>
        <v>0.20995482088317652</v>
      </c>
      <c r="O65">
        <v>1.285559586199561</v>
      </c>
      <c r="P65">
        <v>9.1042196860696603E-2</v>
      </c>
      <c r="Q65">
        <v>8.2040891949904396E-2</v>
      </c>
      <c r="R65">
        <v>1.3355655123095409</v>
      </c>
      <c r="S65">
        <v>1.203518694249657</v>
      </c>
      <c r="T65">
        <v>-1.1936172128410389</v>
      </c>
      <c r="U65">
        <v>-1.0756047653163849</v>
      </c>
      <c r="V65">
        <v>3.979844605624737</v>
      </c>
      <c r="W65">
        <v>3.5863589909529652</v>
      </c>
      <c r="X65">
        <v>0</v>
      </c>
      <c r="Y65">
        <v>0</v>
      </c>
      <c r="Z65">
        <v>3.979844605624737</v>
      </c>
      <c r="AA65">
        <v>3.5863589909529652</v>
      </c>
      <c r="AB65">
        <v>0</v>
      </c>
      <c r="AC65">
        <v>0</v>
      </c>
      <c r="AD65">
        <v>932.44043441874999</v>
      </c>
      <c r="AE65">
        <v>840.25042856688003</v>
      </c>
      <c r="AF65">
        <f t="shared" si="3"/>
        <v>1</v>
      </c>
      <c r="AG65">
        <f>(F65/(D65+H65))</f>
        <v>0.24703177509856364</v>
      </c>
      <c r="AH65">
        <f>(F65/D65)</f>
        <v>0.93618273876169489</v>
      </c>
      <c r="AI65">
        <f>(E65/(D65+H65))</f>
        <v>1.6839544965846814E-2</v>
      </c>
      <c r="AJ65">
        <f>(E65/(D65))</f>
        <v>6.3817261238304751E-2</v>
      </c>
      <c r="AK65">
        <f>(H65/(D65+H65))</f>
        <v>0.73612867993558939</v>
      </c>
      <c r="AL65">
        <f>(I65/H65)</f>
        <v>0</v>
      </c>
      <c r="AM65">
        <f>J65/H65</f>
        <v>1</v>
      </c>
      <c r="AN65">
        <f>(D65+H65)/AD65</f>
        <v>4.8719185771525265E-2</v>
      </c>
      <c r="AO65">
        <f>(D65+H65)/AE65</f>
        <v>5.4064523147949774E-2</v>
      </c>
    </row>
    <row r="66" spans="1:41" x14ac:dyDescent="0.35">
      <c r="A66" t="s">
        <v>54</v>
      </c>
      <c r="B66" t="s">
        <v>67</v>
      </c>
      <c r="C66">
        <f t="shared" si="0"/>
        <v>28.1225464637951</v>
      </c>
      <c r="D66">
        <v>28.1225464637951</v>
      </c>
      <c r="E66">
        <v>0</v>
      </c>
      <c r="F66">
        <v>28.1225464637951</v>
      </c>
      <c r="G66">
        <v>0</v>
      </c>
      <c r="H66">
        <v>1.1458115023238651</v>
      </c>
      <c r="I66">
        <v>1.1458115023238651</v>
      </c>
      <c r="J66">
        <v>0</v>
      </c>
      <c r="K66">
        <v>0</v>
      </c>
      <c r="L66">
        <f t="shared" si="1"/>
        <v>13.85762930642086</v>
      </c>
      <c r="M66">
        <v>13.85762930642086</v>
      </c>
      <c r="N66">
        <f t="shared" si="2"/>
        <v>14.498115587265049</v>
      </c>
      <c r="O66">
        <v>14.498115587265049</v>
      </c>
      <c r="P66">
        <v>0</v>
      </c>
      <c r="Q66">
        <v>0</v>
      </c>
      <c r="R66">
        <v>13.85762930642086</v>
      </c>
      <c r="S66">
        <v>14.498115587265049</v>
      </c>
      <c r="T66">
        <v>0</v>
      </c>
      <c r="U66">
        <v>0</v>
      </c>
      <c r="V66">
        <v>0.5646085810429331</v>
      </c>
      <c r="W66">
        <v>0.5907042459080154</v>
      </c>
      <c r="X66">
        <v>0.56460858104293332</v>
      </c>
      <c r="Y66">
        <v>0.5907042459080154</v>
      </c>
      <c r="Z66">
        <v>0</v>
      </c>
      <c r="AA66">
        <v>0</v>
      </c>
      <c r="AB66">
        <v>0</v>
      </c>
      <c r="AC66">
        <v>0</v>
      </c>
      <c r="AD66">
        <v>193.97380504054999</v>
      </c>
      <c r="AE66">
        <v>202.93908750153</v>
      </c>
      <c r="AF66">
        <f t="shared" si="3"/>
        <v>0</v>
      </c>
      <c r="AG66">
        <f>(F66/(D66+H66))</f>
        <v>0.96085152765829029</v>
      </c>
      <c r="AH66">
        <f>(F66/D66)</f>
        <v>1</v>
      </c>
      <c r="AI66">
        <f>(E66/(D66+H66))</f>
        <v>0</v>
      </c>
      <c r="AJ66">
        <f>(E66/(D66))</f>
        <v>0</v>
      </c>
      <c r="AK66">
        <f>(H66/(D66+H66))</f>
        <v>3.9148472341709629E-2</v>
      </c>
      <c r="AL66">
        <f>(I66/H66)</f>
        <v>1</v>
      </c>
      <c r="AM66">
        <f>J66/H66</f>
        <v>0</v>
      </c>
      <c r="AN66">
        <f>(D66+H66)/AD66</f>
        <v>0.15088819833173067</v>
      </c>
      <c r="AO66">
        <f>(D66+H66)/AE66</f>
        <v>0.14422237887463796</v>
      </c>
    </row>
    <row r="67" spans="1:41" x14ac:dyDescent="0.35">
      <c r="A67" t="s">
        <v>55</v>
      </c>
      <c r="B67" t="s">
        <v>67</v>
      </c>
      <c r="C67">
        <f t="shared" ref="C67:C130" si="4">E67+F67+G67</f>
        <v>-8.1</v>
      </c>
      <c r="D67">
        <v>-8.1</v>
      </c>
      <c r="E67">
        <v>0</v>
      </c>
      <c r="F67">
        <v>-8.1</v>
      </c>
      <c r="G67">
        <v>0</v>
      </c>
      <c r="H67">
        <v>7.1492515149594507</v>
      </c>
      <c r="I67">
        <v>-0.35867162723845958</v>
      </c>
      <c r="J67">
        <v>7.5079231421979111</v>
      </c>
      <c r="K67">
        <v>0</v>
      </c>
      <c r="L67">
        <f t="shared" ref="L67:L130" si="5">P67+R67+T67</f>
        <v>-1.974409057893133</v>
      </c>
      <c r="M67">
        <v>-1.974409057893133</v>
      </c>
      <c r="N67">
        <f t="shared" ref="N67:N130" si="6">Q67+S67+U67</f>
        <v>-2.4511712488266699</v>
      </c>
      <c r="O67">
        <v>-2.4511712488266699</v>
      </c>
      <c r="P67">
        <v>0</v>
      </c>
      <c r="Q67">
        <v>0</v>
      </c>
      <c r="R67">
        <v>-1.974409057893133</v>
      </c>
      <c r="S67">
        <v>-2.4511712488266699</v>
      </c>
      <c r="T67">
        <v>0</v>
      </c>
      <c r="U67">
        <v>0</v>
      </c>
      <c r="V67">
        <v>1.742660117073104</v>
      </c>
      <c r="W67">
        <v>2.1634616992714961</v>
      </c>
      <c r="X67">
        <v>-8.7427717238133695E-2</v>
      </c>
      <c r="Y67">
        <v>-0.1085389605502209</v>
      </c>
      <c r="Z67">
        <v>1.8300878343112379</v>
      </c>
      <c r="AA67">
        <v>2.2720006598217171</v>
      </c>
      <c r="AB67">
        <v>0</v>
      </c>
      <c r="AC67">
        <v>0</v>
      </c>
      <c r="AD67">
        <v>330.45426768437</v>
      </c>
      <c r="AE67">
        <v>410.24933347112</v>
      </c>
      <c r="AF67">
        <f t="shared" ref="AF67:AF130" si="7">E67/(E67+I67)</f>
        <v>0</v>
      </c>
      <c r="AG67">
        <f>(F67/(D67+H67))</f>
        <v>8.5196033729725471</v>
      </c>
      <c r="AH67">
        <f>(F67/D67)</f>
        <v>1</v>
      </c>
      <c r="AI67">
        <f>(E67/(D67+H67))</f>
        <v>0</v>
      </c>
      <c r="AJ67">
        <f>(E67/(D67))</f>
        <v>0</v>
      </c>
      <c r="AK67">
        <f>(H67/(D67+H67))</f>
        <v>-7.5196033729725462</v>
      </c>
      <c r="AL67">
        <f>(I67/H67)</f>
        <v>-5.0169115814146022E-2</v>
      </c>
      <c r="AM67">
        <f>J67/H67</f>
        <v>1.0501691158141462</v>
      </c>
      <c r="AN67">
        <f>(D67+H67)/AD67</f>
        <v>-2.8770954955517373E-3</v>
      </c>
      <c r="AO67">
        <f>(D67+H67)/AE67</f>
        <v>-2.3174894082002894E-3</v>
      </c>
    </row>
    <row r="68" spans="1:41" x14ac:dyDescent="0.35">
      <c r="A68" t="s">
        <v>56</v>
      </c>
      <c r="B68" t="s">
        <v>67</v>
      </c>
      <c r="C68">
        <f t="shared" si="4"/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f t="shared" si="5"/>
        <v>0</v>
      </c>
      <c r="M68">
        <v>0</v>
      </c>
      <c r="N68">
        <f t="shared" si="6"/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341.21592570296002</v>
      </c>
      <c r="AE68">
        <v>222.36238134761999</v>
      </c>
      <c r="AF68" t="e">
        <f t="shared" si="7"/>
        <v>#DIV/0!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f>(D68+H68)/AD68</f>
        <v>0</v>
      </c>
      <c r="AO68">
        <f>(D68+H68)/AE68</f>
        <v>0</v>
      </c>
    </row>
    <row r="69" spans="1:41" x14ac:dyDescent="0.35">
      <c r="A69" t="s">
        <v>57</v>
      </c>
      <c r="B69" t="s">
        <v>67</v>
      </c>
      <c r="C69">
        <f t="shared" si="4"/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5"/>
        <v>0</v>
      </c>
      <c r="M69">
        <v>0</v>
      </c>
      <c r="N69">
        <f t="shared" si="6"/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181.71174374815001</v>
      </c>
      <c r="AE69">
        <v>99.489061173690004</v>
      </c>
      <c r="AF69" t="e">
        <f t="shared" si="7"/>
        <v>#DIV/0!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f>(D69+H69)/AD69</f>
        <v>0</v>
      </c>
      <c r="AO69">
        <f>(D69+H69)/AE69</f>
        <v>0</v>
      </c>
    </row>
    <row r="70" spans="1:41" x14ac:dyDescent="0.35">
      <c r="A70" t="s">
        <v>58</v>
      </c>
      <c r="B70" t="s">
        <v>67</v>
      </c>
      <c r="C70">
        <f t="shared" si="4"/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f t="shared" si="5"/>
        <v>0</v>
      </c>
      <c r="M70">
        <v>0</v>
      </c>
      <c r="N70">
        <f t="shared" si="6"/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76.037366075549997</v>
      </c>
      <c r="AE70">
        <v>50.417977728389999</v>
      </c>
      <c r="AF70" t="e">
        <f t="shared" si="7"/>
        <v>#DIV/0!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f>(D70+H70)/AD70</f>
        <v>0</v>
      </c>
      <c r="AO70">
        <f>(D70+H70)/AE70</f>
        <v>0</v>
      </c>
    </row>
    <row r="71" spans="1:41" x14ac:dyDescent="0.35">
      <c r="A71" t="s">
        <v>59</v>
      </c>
      <c r="B71" t="s">
        <v>67</v>
      </c>
      <c r="C71">
        <f t="shared" si="4"/>
        <v>48.212593605940782</v>
      </c>
      <c r="D71">
        <v>14.10043735832228</v>
      </c>
      <c r="E71">
        <v>0.8349841230760352</v>
      </c>
      <c r="F71">
        <v>13.265453235246239</v>
      </c>
      <c r="G71">
        <v>34.112156247618508</v>
      </c>
      <c r="H71">
        <v>-1.5797136210380349</v>
      </c>
      <c r="I71">
        <v>0</v>
      </c>
      <c r="J71">
        <v>-1.5797136210380349</v>
      </c>
      <c r="K71">
        <v>0</v>
      </c>
      <c r="L71">
        <f t="shared" si="5"/>
        <v>8.7687754528590709</v>
      </c>
      <c r="M71">
        <v>2.5645492128637088</v>
      </c>
      <c r="N71">
        <f t="shared" si="6"/>
        <v>9.2537769755482611</v>
      </c>
      <c r="O71">
        <v>2.706394591381724</v>
      </c>
      <c r="P71">
        <v>0.15186464229242369</v>
      </c>
      <c r="Q71">
        <v>0.1602642852243748</v>
      </c>
      <c r="R71">
        <v>2.4126845705712858</v>
      </c>
      <c r="S71">
        <v>2.546130306157349</v>
      </c>
      <c r="T71">
        <v>6.2042262399953607</v>
      </c>
      <c r="U71">
        <v>6.5473823841665366</v>
      </c>
      <c r="V71">
        <v>-0.28731401873801232</v>
      </c>
      <c r="W71">
        <v>-0.30320537521384239</v>
      </c>
      <c r="X71">
        <v>0</v>
      </c>
      <c r="Y71">
        <v>0</v>
      </c>
      <c r="Z71">
        <v>-0.28731401873801232</v>
      </c>
      <c r="AA71">
        <v>-0.30320537521384239</v>
      </c>
      <c r="AB71">
        <v>0</v>
      </c>
      <c r="AC71">
        <v>0</v>
      </c>
      <c r="AD71">
        <v>521.00449074291998</v>
      </c>
      <c r="AE71">
        <v>549.82128194673999</v>
      </c>
      <c r="AF71">
        <f t="shared" si="7"/>
        <v>1</v>
      </c>
      <c r="AG71">
        <f>(F71/(D71+H71))</f>
        <v>1.0594797484225562</v>
      </c>
      <c r="AH71">
        <f>(F71/D71)</f>
        <v>0.94078310467559922</v>
      </c>
      <c r="AI71">
        <f>(E71/(D71+H71))</f>
        <v>6.6688167600856593E-2</v>
      </c>
      <c r="AJ71">
        <f>(E71/(D71))</f>
        <v>5.9216895324400387E-2</v>
      </c>
      <c r="AK71">
        <f>(H71/(D71+H71))</f>
        <v>-0.12616791602341321</v>
      </c>
      <c r="AL71">
        <f>(I71/H71)</f>
        <v>0</v>
      </c>
      <c r="AM71">
        <f>J71/H71</f>
        <v>1</v>
      </c>
      <c r="AN71">
        <f>(D71+H71)/AD71</f>
        <v>2.4031892161678822E-2</v>
      </c>
      <c r="AO71">
        <f>(D71+H71)/AE71</f>
        <v>2.2772351941256978E-2</v>
      </c>
    </row>
    <row r="72" spans="1:41" x14ac:dyDescent="0.35">
      <c r="A72" t="s">
        <v>60</v>
      </c>
      <c r="B72" t="s">
        <v>67</v>
      </c>
      <c r="C72">
        <f t="shared" si="4"/>
        <v>30.272820547635053</v>
      </c>
      <c r="D72">
        <v>30.27282054763505</v>
      </c>
      <c r="E72">
        <v>2.6975353066185428</v>
      </c>
      <c r="F72">
        <v>27.575285241016509</v>
      </c>
      <c r="G72">
        <v>0</v>
      </c>
      <c r="H72">
        <v>42.741449230002956</v>
      </c>
      <c r="I72">
        <v>-0.10838709000000001</v>
      </c>
      <c r="J72">
        <v>42.84983632000295</v>
      </c>
      <c r="K72">
        <v>0</v>
      </c>
      <c r="L72">
        <f t="shared" si="5"/>
        <v>4.0519909177857611</v>
      </c>
      <c r="M72">
        <v>4.051990917785762</v>
      </c>
      <c r="N72">
        <f t="shared" si="6"/>
        <v>5.1239153771523451</v>
      </c>
      <c r="O72">
        <v>5.1239153771523451</v>
      </c>
      <c r="P72">
        <v>0.3610627739699882</v>
      </c>
      <c r="Q72">
        <v>0.45657928095087619</v>
      </c>
      <c r="R72">
        <v>3.6909281438157731</v>
      </c>
      <c r="S72">
        <v>4.6673360962014687</v>
      </c>
      <c r="T72">
        <v>0</v>
      </c>
      <c r="U72">
        <v>0</v>
      </c>
      <c r="V72">
        <v>5.7209061118192661</v>
      </c>
      <c r="W72">
        <v>7.2343298374454648</v>
      </c>
      <c r="X72">
        <v>-1.4507518504731301E-2</v>
      </c>
      <c r="Y72">
        <v>-1.83453760531468E-2</v>
      </c>
      <c r="Z72">
        <v>5.7354136303239978</v>
      </c>
      <c r="AA72">
        <v>7.2526752134986117</v>
      </c>
      <c r="AB72">
        <v>0</v>
      </c>
      <c r="AC72">
        <v>0</v>
      </c>
      <c r="AD72">
        <v>590.81421763174001</v>
      </c>
      <c r="AE72">
        <v>747.10978286638999</v>
      </c>
      <c r="AF72">
        <f t="shared" si="7"/>
        <v>1.0418620646374408</v>
      </c>
      <c r="AG72">
        <f>(F72/(D72+H72))</f>
        <v>0.37766980790187893</v>
      </c>
      <c r="AH72">
        <f>(F72/D72)</f>
        <v>0.91089250166254243</v>
      </c>
      <c r="AI72">
        <f>(E72/(D72+H72))</f>
        <v>3.6945316509139611E-2</v>
      </c>
      <c r="AJ72">
        <f>(E72/(D72))</f>
        <v>8.9107498337457611E-2</v>
      </c>
      <c r="AK72">
        <f>(H72/(D72+H72))</f>
        <v>0.58538487558898156</v>
      </c>
      <c r="AL72">
        <f>(I72/H72)</f>
        <v>-2.5358777475405813E-3</v>
      </c>
      <c r="AM72">
        <f>J72/H72</f>
        <v>1.0025358777475404</v>
      </c>
      <c r="AN72">
        <f>(D72+H72)/AD72</f>
        <v>0.12358245214597811</v>
      </c>
      <c r="AO72">
        <f>(D72+H72)/AE72</f>
        <v>9.772897029605028E-2</v>
      </c>
    </row>
    <row r="73" spans="1:41" x14ac:dyDescent="0.35">
      <c r="A73" t="s">
        <v>61</v>
      </c>
      <c r="B73" t="s">
        <v>67</v>
      </c>
      <c r="C73">
        <f t="shared" si="4"/>
        <v>12.693842633135697</v>
      </c>
      <c r="D73">
        <v>13.597478788559121</v>
      </c>
      <c r="E73">
        <v>0.72138312864748477</v>
      </c>
      <c r="F73">
        <v>12.876095659911639</v>
      </c>
      <c r="G73">
        <v>-0.90363615542342723</v>
      </c>
      <c r="H73">
        <v>3.194495168104325</v>
      </c>
      <c r="I73">
        <v>0.18207469297122711</v>
      </c>
      <c r="J73">
        <v>3.0124204751330979</v>
      </c>
      <c r="K73">
        <v>0</v>
      </c>
      <c r="L73">
        <f t="shared" si="5"/>
        <v>4.8457279455467948</v>
      </c>
      <c r="M73">
        <v>5.1906806204374947</v>
      </c>
      <c r="N73">
        <f t="shared" si="6"/>
        <v>2.8765393927695291</v>
      </c>
      <c r="O73">
        <v>3.0813115073237962</v>
      </c>
      <c r="P73">
        <v>0.2753796850142286</v>
      </c>
      <c r="Q73">
        <v>0.1634719325586298</v>
      </c>
      <c r="R73">
        <v>4.9153009354232662</v>
      </c>
      <c r="S73">
        <v>2.917839574765166</v>
      </c>
      <c r="T73">
        <v>-0.34495267489070008</v>
      </c>
      <c r="U73">
        <v>-0.20477211455426669</v>
      </c>
      <c r="V73">
        <v>1.219461667784475</v>
      </c>
      <c r="W73">
        <v>0.72390145810355577</v>
      </c>
      <c r="X73">
        <v>6.95049130043911E-2</v>
      </c>
      <c r="Y73">
        <v>4.1259769944758801E-2</v>
      </c>
      <c r="Z73">
        <v>1.149956754780084</v>
      </c>
      <c r="AA73">
        <v>0.68264168815879689</v>
      </c>
      <c r="AB73">
        <v>0</v>
      </c>
      <c r="AC73">
        <v>0</v>
      </c>
      <c r="AD73">
        <v>441.28867711817003</v>
      </c>
      <c r="AE73">
        <v>261.95945739796002</v>
      </c>
      <c r="AF73">
        <f t="shared" si="7"/>
        <v>0.79846907225286223</v>
      </c>
      <c r="AG73">
        <f>(F73/(D73+H73))</f>
        <v>0.76680059730572081</v>
      </c>
      <c r="AH73">
        <f>(F73/D73)</f>
        <v>0.94694728781232218</v>
      </c>
      <c r="AI73">
        <f>(E73/(D73+H73))</f>
        <v>4.2959995680628311E-2</v>
      </c>
      <c r="AJ73">
        <f>(E73/(D73))</f>
        <v>5.305271218767809E-2</v>
      </c>
      <c r="AK73">
        <f>(H73/(D73+H73))</f>
        <v>0.190239407013651</v>
      </c>
      <c r="AL73">
        <f>(I73/H73)</f>
        <v>5.699639016179002E-2</v>
      </c>
      <c r="AM73">
        <f>J73/H73</f>
        <v>0.94300360983820997</v>
      </c>
      <c r="AN73">
        <f>(D73+H73)/AD73</f>
        <v>3.8052129654273514E-2</v>
      </c>
      <c r="AO73">
        <f>(D73+H73)/AE73</f>
        <v>6.4101422882219691E-2</v>
      </c>
    </row>
    <row r="74" spans="1:41" x14ac:dyDescent="0.35">
      <c r="A74" t="s">
        <v>62</v>
      </c>
      <c r="B74" t="s">
        <v>67</v>
      </c>
      <c r="C74">
        <f t="shared" si="4"/>
        <v>3.9294238314498191</v>
      </c>
      <c r="D74">
        <v>3.824337949750285</v>
      </c>
      <c r="E74">
        <v>1.9136139057485111</v>
      </c>
      <c r="F74">
        <v>1.9107240440017741</v>
      </c>
      <c r="G74">
        <v>0.1050858816995338</v>
      </c>
      <c r="H74">
        <v>0.88649371445437386</v>
      </c>
      <c r="I74">
        <v>0.88649371445437386</v>
      </c>
      <c r="J74">
        <v>0</v>
      </c>
      <c r="K74">
        <v>0</v>
      </c>
      <c r="L74">
        <f t="shared" si="5"/>
        <v>1.2225747621072995</v>
      </c>
      <c r="M74">
        <v>1.189879040716451</v>
      </c>
      <c r="N74">
        <f t="shared" si="6"/>
        <v>0.56909478894454202</v>
      </c>
      <c r="O74">
        <v>0.55387529870065522</v>
      </c>
      <c r="P74">
        <v>0.59538908652734979</v>
      </c>
      <c r="Q74">
        <v>0.27714691734118102</v>
      </c>
      <c r="R74">
        <v>0.59448995418910144</v>
      </c>
      <c r="S74">
        <v>0.27672838135947408</v>
      </c>
      <c r="T74">
        <v>3.2695721390848399E-2</v>
      </c>
      <c r="U74">
        <v>1.5219490243886901E-2</v>
      </c>
      <c r="V74">
        <v>0.27581775052725399</v>
      </c>
      <c r="W74">
        <v>0.12839005792407299</v>
      </c>
      <c r="X74">
        <v>0.27581775052725399</v>
      </c>
      <c r="Y74">
        <v>0.12839005792407299</v>
      </c>
      <c r="Z74">
        <v>0</v>
      </c>
      <c r="AA74">
        <v>0</v>
      </c>
      <c r="AB74">
        <v>0</v>
      </c>
      <c r="AC74">
        <v>0</v>
      </c>
      <c r="AD74">
        <v>690.46912883131995</v>
      </c>
      <c r="AE74">
        <v>321.40560669490998</v>
      </c>
      <c r="AF74">
        <f t="shared" si="7"/>
        <v>0.68340727047121774</v>
      </c>
      <c r="AG74">
        <f>(F74/(D74+H74))</f>
        <v>0.40560227581903335</v>
      </c>
      <c r="AH74">
        <f>(F74/D74)</f>
        <v>0.49962217489867422</v>
      </c>
      <c r="AI74">
        <f>(E74/(D74+H74))</f>
        <v>0.40621572625681818</v>
      </c>
      <c r="AJ74">
        <f>(E74/(D74))</f>
        <v>0.50037782510132578</v>
      </c>
      <c r="AK74">
        <f>(H74/(D74+H74))</f>
        <v>0.18818199792414844</v>
      </c>
      <c r="AL74">
        <f>(I74/H74)</f>
        <v>1</v>
      </c>
      <c r="AM74">
        <f>J74/H74</f>
        <v>0</v>
      </c>
      <c r="AN74">
        <f>(D74+H74)/AD74</f>
        <v>6.8226535662472823E-3</v>
      </c>
      <c r="AO74">
        <f>(D74+H74)/AE74</f>
        <v>1.4656967912437053E-2</v>
      </c>
    </row>
    <row r="75" spans="1:41" x14ac:dyDescent="0.35">
      <c r="A75" t="s">
        <v>63</v>
      </c>
      <c r="B75" t="s">
        <v>67</v>
      </c>
      <c r="C75">
        <f t="shared" si="4"/>
        <v>0.47734985167435312</v>
      </c>
      <c r="D75">
        <v>7.0499999999999993E-2</v>
      </c>
      <c r="E75">
        <v>0</v>
      </c>
      <c r="F75">
        <v>7.0499999999999993E-2</v>
      </c>
      <c r="G75">
        <v>0.40684985167435311</v>
      </c>
      <c r="H75">
        <v>0</v>
      </c>
      <c r="I75">
        <v>0</v>
      </c>
      <c r="J75">
        <v>0</v>
      </c>
      <c r="K75">
        <v>0</v>
      </c>
      <c r="L75">
        <f t="shared" si="5"/>
        <v>0.74142801957516391</v>
      </c>
      <c r="M75">
        <v>0.1095018154854439</v>
      </c>
      <c r="N75">
        <f t="shared" si="6"/>
        <v>0.52321780370002047</v>
      </c>
      <c r="O75">
        <v>7.7274257091453996E-2</v>
      </c>
      <c r="P75">
        <v>0</v>
      </c>
      <c r="Q75">
        <v>0</v>
      </c>
      <c r="R75">
        <v>0.1095018154854439</v>
      </c>
      <c r="S75">
        <v>7.7274257091453996E-2</v>
      </c>
      <c r="T75">
        <v>0.63192620408972</v>
      </c>
      <c r="U75">
        <v>0.4459435466085665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91.233487908610002</v>
      </c>
      <c r="AE75">
        <v>64.38249419652</v>
      </c>
      <c r="AF75" t="e">
        <f t="shared" si="7"/>
        <v>#DIV/0!</v>
      </c>
      <c r="AG75">
        <f>(F75/(D75+H75))</f>
        <v>1</v>
      </c>
      <c r="AH75">
        <f>(F75/D75)</f>
        <v>1</v>
      </c>
      <c r="AI75">
        <f>(E75/(D75+H75))</f>
        <v>0</v>
      </c>
      <c r="AJ75">
        <f>(E75/(D75))</f>
        <v>0</v>
      </c>
      <c r="AK75">
        <f>(H75/(D75+H75))</f>
        <v>0</v>
      </c>
      <c r="AL75">
        <v>0</v>
      </c>
      <c r="AM75">
        <v>0</v>
      </c>
      <c r="AN75">
        <f>(D75+H75)/AD75</f>
        <v>7.727425709145411E-4</v>
      </c>
      <c r="AO75">
        <f>(D75+H75)/AE75</f>
        <v>1.0950181548544395E-3</v>
      </c>
    </row>
    <row r="76" spans="1:41" x14ac:dyDescent="0.35">
      <c r="A76" t="s">
        <v>64</v>
      </c>
      <c r="B76" t="s">
        <v>67</v>
      </c>
      <c r="C76">
        <f t="shared" si="4"/>
        <v>1.7694150329493319</v>
      </c>
      <c r="D76">
        <v>1.7694150329493319</v>
      </c>
      <c r="E76">
        <v>1.7694150329493319</v>
      </c>
      <c r="F76">
        <v>0</v>
      </c>
      <c r="G76">
        <v>0</v>
      </c>
      <c r="H76">
        <v>6.6270225953158493</v>
      </c>
      <c r="I76">
        <v>0</v>
      </c>
      <c r="J76">
        <v>6.6270225953158493</v>
      </c>
      <c r="K76">
        <v>0</v>
      </c>
      <c r="L76">
        <f t="shared" si="5"/>
        <v>1.2005477809936591</v>
      </c>
      <c r="M76">
        <v>1.2005477809936591</v>
      </c>
      <c r="N76">
        <f t="shared" si="6"/>
        <v>0.57098503498505992</v>
      </c>
      <c r="O76">
        <v>0.57098503498506004</v>
      </c>
      <c r="P76">
        <v>1.2005477809936591</v>
      </c>
      <c r="Q76">
        <v>0.57098503498505992</v>
      </c>
      <c r="R76">
        <v>0</v>
      </c>
      <c r="S76">
        <v>0</v>
      </c>
      <c r="T76">
        <v>0</v>
      </c>
      <c r="U76">
        <v>0</v>
      </c>
      <c r="V76">
        <v>4.4964336366803703</v>
      </c>
      <c r="W76">
        <v>2.1385207302811242</v>
      </c>
      <c r="X76">
        <v>0</v>
      </c>
      <c r="Y76">
        <v>0</v>
      </c>
      <c r="Z76">
        <v>4.4964336366803703</v>
      </c>
      <c r="AA76">
        <v>2.1385207302811242</v>
      </c>
      <c r="AB76">
        <v>0</v>
      </c>
      <c r="AC76">
        <v>0</v>
      </c>
      <c r="AD76">
        <v>309.88816247970999</v>
      </c>
      <c r="AE76">
        <v>147.38397429586999</v>
      </c>
      <c r="AF76">
        <f t="shared" si="7"/>
        <v>1</v>
      </c>
      <c r="AG76">
        <f>(F76/(D76+H76))</f>
        <v>0</v>
      </c>
      <c r="AH76">
        <f>(F76/D76)</f>
        <v>0</v>
      </c>
      <c r="AI76">
        <f>(E76/(D76+H76))</f>
        <v>0.21073401736385164</v>
      </c>
      <c r="AJ76">
        <f>(E76/(D76))</f>
        <v>1</v>
      </c>
      <c r="AK76">
        <f>(H76/(D76+H76))</f>
        <v>0.78926598263614844</v>
      </c>
      <c r="AL76">
        <f>(I76/H76)</f>
        <v>0</v>
      </c>
      <c r="AM76">
        <f>J76/H76</f>
        <v>1</v>
      </c>
      <c r="AN76">
        <f>(D76+H76)/AD76</f>
        <v>2.7095057652661837E-2</v>
      </c>
      <c r="AO76">
        <f>(D76+H76)/AE76</f>
        <v>5.696981417674029E-2</v>
      </c>
    </row>
    <row r="77" spans="1:41" x14ac:dyDescent="0.35">
      <c r="A77" t="s">
        <v>65</v>
      </c>
      <c r="B77" t="s">
        <v>67</v>
      </c>
      <c r="C77">
        <f t="shared" si="4"/>
        <v>26.050977899376022</v>
      </c>
      <c r="D77">
        <v>26.050977899376029</v>
      </c>
      <c r="E77">
        <v>-5.7942536941247962</v>
      </c>
      <c r="F77">
        <v>31.84523159350082</v>
      </c>
      <c r="G77">
        <v>0</v>
      </c>
      <c r="H77">
        <v>2.2029678393841219</v>
      </c>
      <c r="I77">
        <v>0</v>
      </c>
      <c r="J77">
        <v>2.2029678393841219</v>
      </c>
      <c r="K77">
        <v>9.8869334416288517</v>
      </c>
      <c r="L77">
        <f t="shared" si="5"/>
        <v>4.5583264760584807</v>
      </c>
      <c r="M77">
        <v>4.5583264760584807</v>
      </c>
      <c r="N77">
        <f t="shared" si="6"/>
        <v>2.1433674290644991</v>
      </c>
      <c r="O77">
        <v>2.1433674290645</v>
      </c>
      <c r="P77">
        <v>-1.013862133120206</v>
      </c>
      <c r="Q77">
        <v>-0.4767273878045557</v>
      </c>
      <c r="R77">
        <v>5.5721886091786867</v>
      </c>
      <c r="S77">
        <v>2.620094816869055</v>
      </c>
      <c r="T77">
        <v>0</v>
      </c>
      <c r="U77">
        <v>0</v>
      </c>
      <c r="V77">
        <v>0.38546908553519321</v>
      </c>
      <c r="W77">
        <v>0.1812511427575092</v>
      </c>
      <c r="X77">
        <v>0</v>
      </c>
      <c r="Y77">
        <v>0</v>
      </c>
      <c r="Z77">
        <v>0.38546908553519321</v>
      </c>
      <c r="AA77">
        <v>0.1812511427575092</v>
      </c>
      <c r="AB77">
        <v>1.7299876668001879</v>
      </c>
      <c r="AC77">
        <v>0.81345626233184243</v>
      </c>
      <c r="AD77">
        <v>1215.4228689920101</v>
      </c>
      <c r="AE77">
        <v>571.50311712429004</v>
      </c>
      <c r="AF77">
        <f t="shared" si="7"/>
        <v>1</v>
      </c>
      <c r="AG77">
        <f>(F77/(D77+H77))</f>
        <v>1.1271074096321338</v>
      </c>
      <c r="AH77">
        <f>(F77/D77)</f>
        <v>1.2224198153522512</v>
      </c>
      <c r="AI77">
        <f>(E77/(D77+H77))</f>
        <v>-0.20507768181121527</v>
      </c>
      <c r="AJ77">
        <f>(E77/(D77))</f>
        <v>-0.2224198153522513</v>
      </c>
      <c r="AK77">
        <f>(H77/(D77+H77))</f>
        <v>7.7970272179081257E-2</v>
      </c>
      <c r="AL77">
        <f>(I77/H77)</f>
        <v>0</v>
      </c>
      <c r="AM77">
        <f>J77/H77</f>
        <v>1</v>
      </c>
      <c r="AN77">
        <f>(D77+H77)/AD77</f>
        <v>2.324618571822009E-2</v>
      </c>
      <c r="AO77">
        <f>(D77+H77)/AE77</f>
        <v>4.9437955615936745E-2</v>
      </c>
    </row>
    <row r="78" spans="1:41" x14ac:dyDescent="0.35">
      <c r="A78" t="s">
        <v>28</v>
      </c>
      <c r="B78" t="s">
        <v>68</v>
      </c>
      <c r="C78">
        <f t="shared" si="4"/>
        <v>46.16341804345641</v>
      </c>
      <c r="D78">
        <v>46.163418043456417</v>
      </c>
      <c r="E78">
        <v>3.337102314023733</v>
      </c>
      <c r="F78">
        <v>42.826315729432679</v>
      </c>
      <c r="G78">
        <v>0</v>
      </c>
      <c r="H78">
        <v>1.1942170290034011</v>
      </c>
      <c r="I78">
        <v>0.5118072981443138</v>
      </c>
      <c r="J78">
        <v>0.68240973085908685</v>
      </c>
      <c r="K78">
        <v>0</v>
      </c>
      <c r="L78">
        <f t="shared" si="5"/>
        <v>3.0883222221251305</v>
      </c>
      <c r="M78">
        <v>3.0883222221251301</v>
      </c>
      <c r="N78">
        <f t="shared" si="6"/>
        <v>3.7637852817975808</v>
      </c>
      <c r="O78">
        <v>3.7637852817975812</v>
      </c>
      <c r="P78">
        <v>0.2232513897520107</v>
      </c>
      <c r="Q78">
        <v>0.2720798655236395</v>
      </c>
      <c r="R78">
        <v>2.86507083237312</v>
      </c>
      <c r="S78">
        <v>3.4917054162739412</v>
      </c>
      <c r="T78">
        <v>0</v>
      </c>
      <c r="U78">
        <v>0</v>
      </c>
      <c r="V78">
        <v>7.9892849035562999E-2</v>
      </c>
      <c r="W78">
        <v>9.7366630711873001E-2</v>
      </c>
      <c r="X78">
        <v>3.42397924438127E-2</v>
      </c>
      <c r="Y78">
        <v>4.1728556019374002E-2</v>
      </c>
      <c r="Z78">
        <v>4.5653056591750403E-2</v>
      </c>
      <c r="AA78">
        <v>5.5638074692498901E-2</v>
      </c>
      <c r="AB78">
        <v>0</v>
      </c>
      <c r="AC78">
        <v>0</v>
      </c>
      <c r="AD78">
        <v>1226.51571721458</v>
      </c>
      <c r="AE78">
        <v>1494.77336635199</v>
      </c>
      <c r="AF78">
        <f t="shared" si="7"/>
        <v>0.86702537868744112</v>
      </c>
      <c r="AG78">
        <f>(F78/(D78+H78))</f>
        <v>0.90431702647114931</v>
      </c>
      <c r="AH78">
        <f>(F78/D78)</f>
        <v>0.92771110859073902</v>
      </c>
      <c r="AI78">
        <f>(E78/(D78+H78))</f>
        <v>7.0465983128544754E-2</v>
      </c>
      <c r="AJ78">
        <f>(E78/(D78))</f>
        <v>7.2288891409260828E-2</v>
      </c>
      <c r="AK78">
        <f>(H78/(D78+H78))</f>
        <v>2.5216990400305728E-2</v>
      </c>
      <c r="AL78">
        <f>(I78/H78)</f>
        <v>0.42857142857142777</v>
      </c>
      <c r="AM78">
        <f>J78/H78</f>
        <v>0.57142857142857184</v>
      </c>
      <c r="AN78">
        <f>(D78+H78)/AD78</f>
        <v>3.8611519125094557E-2</v>
      </c>
      <c r="AO78">
        <f>(D78+H78)/AE78</f>
        <v>3.1682150711606953E-2</v>
      </c>
    </row>
    <row r="79" spans="1:41" x14ac:dyDescent="0.35">
      <c r="A79" t="s">
        <v>29</v>
      </c>
      <c r="B79" t="s">
        <v>68</v>
      </c>
      <c r="C79">
        <f t="shared" si="4"/>
        <v>115.13396651601344</v>
      </c>
      <c r="D79">
        <v>113.24279834523109</v>
      </c>
      <c r="E79">
        <v>11.814177619868021</v>
      </c>
      <c r="F79">
        <v>101.4286207253631</v>
      </c>
      <c r="G79">
        <v>1.891168170782322</v>
      </c>
      <c r="H79">
        <v>17.661004631055771</v>
      </c>
      <c r="I79">
        <v>0.25966520513249008</v>
      </c>
      <c r="J79">
        <v>17.401339425923279</v>
      </c>
      <c r="K79">
        <v>0</v>
      </c>
      <c r="L79">
        <f t="shared" si="5"/>
        <v>6.7861382238893055</v>
      </c>
      <c r="M79">
        <v>6.6746704355389079</v>
      </c>
      <c r="N79">
        <f t="shared" si="6"/>
        <v>6.6802876680787104</v>
      </c>
      <c r="O79">
        <v>6.570558560398025</v>
      </c>
      <c r="P79">
        <v>0.69634222424581427</v>
      </c>
      <c r="Q79">
        <v>0.6854806400812995</v>
      </c>
      <c r="R79">
        <v>5.9783282112930944</v>
      </c>
      <c r="S79">
        <v>5.8850779203167258</v>
      </c>
      <c r="T79">
        <v>0.1114677883503971</v>
      </c>
      <c r="U79">
        <v>0.10972910768068581</v>
      </c>
      <c r="V79">
        <v>1.040961431502702</v>
      </c>
      <c r="W79">
        <v>1.02472445806263</v>
      </c>
      <c r="X79">
        <v>1.5304987983008099E-2</v>
      </c>
      <c r="Y79">
        <v>1.50662599419298E-2</v>
      </c>
      <c r="Z79">
        <v>1.025656443519694</v>
      </c>
      <c r="AA79">
        <v>1.0096581981207</v>
      </c>
      <c r="AB79">
        <v>0</v>
      </c>
      <c r="AC79">
        <v>0</v>
      </c>
      <c r="AD79">
        <v>1723.48815255626</v>
      </c>
      <c r="AE79">
        <v>1696.60508992738</v>
      </c>
      <c r="AF79">
        <f t="shared" si="7"/>
        <v>0.97849357417550453</v>
      </c>
      <c r="AG79">
        <f>(F79/(D79+H79))</f>
        <v>0.77483326243575079</v>
      </c>
      <c r="AH79">
        <f>(F79/D79)</f>
        <v>0.89567391664190965</v>
      </c>
      <c r="AI79">
        <f>(E79/(D79+H79))</f>
        <v>9.0250835737813909E-2</v>
      </c>
      <c r="AJ79">
        <f>(E79/(D79))</f>
        <v>0.10432608335809057</v>
      </c>
      <c r="AK79">
        <f>(H79/(D79+H79))</f>
        <v>0.13491590182643548</v>
      </c>
      <c r="AL79">
        <f>(I79/H79)</f>
        <v>1.4702742599131936E-2</v>
      </c>
      <c r="AM79">
        <f>J79/H79</f>
        <v>0.98529725740086793</v>
      </c>
      <c r="AN79">
        <f>(D79+H79)/AD79</f>
        <v>7.5952830184606537E-2</v>
      </c>
      <c r="AO79">
        <f>(D79+H79)/AE79</f>
        <v>7.7156318670416085E-2</v>
      </c>
    </row>
    <row r="80" spans="1:41" x14ac:dyDescent="0.35">
      <c r="A80" t="s">
        <v>30</v>
      </c>
      <c r="B80" t="s">
        <v>68</v>
      </c>
      <c r="C80">
        <f t="shared" si="4"/>
        <v>74.838412675886758</v>
      </c>
      <c r="D80">
        <v>70.901973614972704</v>
      </c>
      <c r="E80">
        <v>7.2616030042740149</v>
      </c>
      <c r="F80">
        <v>63.640370610698689</v>
      </c>
      <c r="G80">
        <v>3.9364390609140609</v>
      </c>
      <c r="H80">
        <v>21.5156707802334</v>
      </c>
      <c r="I80">
        <v>1.056915872570517</v>
      </c>
      <c r="J80">
        <v>20.458754907662861</v>
      </c>
      <c r="K80">
        <v>0</v>
      </c>
      <c r="L80">
        <f t="shared" si="5"/>
        <v>2.8599073523356533</v>
      </c>
      <c r="M80">
        <v>2.709478573720514</v>
      </c>
      <c r="N80">
        <f t="shared" si="6"/>
        <v>2.5743408785045738</v>
      </c>
      <c r="O80">
        <v>2.4389326619495169</v>
      </c>
      <c r="P80">
        <v>0.27749802646946448</v>
      </c>
      <c r="Q80">
        <v>0.2497893900868029</v>
      </c>
      <c r="R80">
        <v>2.4319805472510501</v>
      </c>
      <c r="S80">
        <v>2.1891432718627142</v>
      </c>
      <c r="T80">
        <v>0.15042877861513879</v>
      </c>
      <c r="U80">
        <v>0.13540821655505689</v>
      </c>
      <c r="V80">
        <v>0.82220911500771621</v>
      </c>
      <c r="W80">
        <v>0.7401101765463789</v>
      </c>
      <c r="X80">
        <v>4.0389438614303899E-2</v>
      </c>
      <c r="Y80">
        <v>3.6356486443428898E-2</v>
      </c>
      <c r="Z80">
        <v>0.7818196763934111</v>
      </c>
      <c r="AA80">
        <v>0.70375369010294975</v>
      </c>
      <c r="AB80">
        <v>0</v>
      </c>
      <c r="AC80">
        <v>0</v>
      </c>
      <c r="AD80">
        <v>2907.0902498102801</v>
      </c>
      <c r="AE80">
        <v>2616.8124857180101</v>
      </c>
      <c r="AF80">
        <f t="shared" si="7"/>
        <v>0.87294422381939252</v>
      </c>
      <c r="AG80">
        <f>(F80/(D80+H80))</f>
        <v>0.68861710366207785</v>
      </c>
      <c r="AH80">
        <f>(F80/D80)</f>
        <v>0.89758249828548431</v>
      </c>
      <c r="AI80">
        <f>(E80/(D80+H80))</f>
        <v>7.8573772917443982E-2</v>
      </c>
      <c r="AJ80">
        <f>(E80/(D80))</f>
        <v>0.10241750171451572</v>
      </c>
      <c r="AK80">
        <f>(H80/(D80+H80))</f>
        <v>0.23280912342047816</v>
      </c>
      <c r="AL80">
        <f>(I80/H80)</f>
        <v>4.9123073287657533E-2</v>
      </c>
      <c r="AM80">
        <f>J80/H80</f>
        <v>0.95087692671234147</v>
      </c>
      <c r="AN80">
        <f>(D80+H80)/AD80</f>
        <v>3.1790428384958942E-2</v>
      </c>
      <c r="AO80">
        <f>(D80+H80)/AE80</f>
        <v>3.5316876887282293E-2</v>
      </c>
    </row>
    <row r="81" spans="1:41" x14ac:dyDescent="0.35">
      <c r="A81" t="s">
        <v>31</v>
      </c>
      <c r="B81" t="s">
        <v>68</v>
      </c>
      <c r="C81">
        <f t="shared" si="4"/>
        <v>-16.708403646733561</v>
      </c>
      <c r="D81">
        <v>-16.70840364673353</v>
      </c>
      <c r="E81">
        <v>1.1575745271012181</v>
      </c>
      <c r="F81">
        <v>-17.86597817383478</v>
      </c>
      <c r="G81">
        <v>0</v>
      </c>
      <c r="H81">
        <v>51.335913810575683</v>
      </c>
      <c r="I81">
        <v>10.065865453054069</v>
      </c>
      <c r="J81">
        <v>41.270048357521659</v>
      </c>
      <c r="K81">
        <v>0</v>
      </c>
      <c r="L81">
        <f t="shared" si="5"/>
        <v>-0.46446843798251258</v>
      </c>
      <c r="M81">
        <v>-0.46446843798251258</v>
      </c>
      <c r="N81">
        <f t="shared" si="6"/>
        <v>-0.4014720796169961</v>
      </c>
      <c r="O81">
        <v>-0.4014720796169966</v>
      </c>
      <c r="P81">
        <v>3.2178827123089997E-2</v>
      </c>
      <c r="Q81">
        <v>2.7814377874324499E-2</v>
      </c>
      <c r="R81">
        <v>-0.49664726510560259</v>
      </c>
      <c r="S81">
        <v>-0.42928645749132061</v>
      </c>
      <c r="T81">
        <v>0</v>
      </c>
      <c r="U81">
        <v>0</v>
      </c>
      <c r="V81">
        <v>1.42706102893704</v>
      </c>
      <c r="W81">
        <v>1.2335071926874259</v>
      </c>
      <c r="X81">
        <v>0.2798158880268708</v>
      </c>
      <c r="Y81">
        <v>0.24186415542890849</v>
      </c>
      <c r="Z81">
        <v>1.1472451409101689</v>
      </c>
      <c r="AA81">
        <v>0.99164303725851966</v>
      </c>
      <c r="AB81">
        <v>0</v>
      </c>
      <c r="AC81">
        <v>0</v>
      </c>
      <c r="AD81">
        <v>4161.7847155581303</v>
      </c>
      <c r="AE81">
        <v>3597.3173374942398</v>
      </c>
      <c r="AF81">
        <f t="shared" si="7"/>
        <v>0.1031390134529148</v>
      </c>
      <c r="AG81">
        <f>(F81/(D81+H81))</f>
        <v>-0.51594752522779797</v>
      </c>
      <c r="AH81">
        <f>(F81/D81)</f>
        <v>1.0692809769009592</v>
      </c>
      <c r="AI81">
        <f>(E81/(D81+H81))</f>
        <v>3.3429331812310052E-2</v>
      </c>
      <c r="AJ81">
        <f>(E81/(D81))</f>
        <v>-6.92809769009574E-2</v>
      </c>
      <c r="AK81">
        <f>(H81/(D81+H81))</f>
        <v>1.482518193415487</v>
      </c>
      <c r="AL81">
        <f>(I81/H81)</f>
        <v>0.19607843137254929</v>
      </c>
      <c r="AM81">
        <f>J81/H81</f>
        <v>0.80392156862745157</v>
      </c>
      <c r="AN81">
        <f>(D81+H81)/AD81</f>
        <v>8.3203511307043451E-3</v>
      </c>
      <c r="AO81">
        <f>(D81+H81)/AE81</f>
        <v>9.6259259095452538E-3</v>
      </c>
    </row>
    <row r="82" spans="1:41" x14ac:dyDescent="0.35">
      <c r="A82" t="s">
        <v>32</v>
      </c>
      <c r="B82" t="s">
        <v>68</v>
      </c>
      <c r="C82">
        <f t="shared" si="4"/>
        <v>31.699453232745938</v>
      </c>
      <c r="D82">
        <v>31.347147941889091</v>
      </c>
      <c r="E82">
        <v>0.32714062722420761</v>
      </c>
      <c r="F82">
        <v>31.020007314664891</v>
      </c>
      <c r="G82">
        <v>0.35230529085683848</v>
      </c>
      <c r="H82">
        <v>26.783472160680049</v>
      </c>
      <c r="I82">
        <v>0.1089287100907681</v>
      </c>
      <c r="J82">
        <v>26.67454345058934</v>
      </c>
      <c r="K82">
        <v>0</v>
      </c>
      <c r="L82">
        <f t="shared" si="5"/>
        <v>1.6525989806835941</v>
      </c>
      <c r="M82">
        <v>1.634232122419994</v>
      </c>
      <c r="N82">
        <f t="shared" si="6"/>
        <v>1.3560336289188892</v>
      </c>
      <c r="O82">
        <v>1.3409627752186619</v>
      </c>
      <c r="P82">
        <v>1.7054939816199599E-2</v>
      </c>
      <c r="Q82">
        <v>1.3994364150211399E-2</v>
      </c>
      <c r="R82">
        <v>1.6171771826037951</v>
      </c>
      <c r="S82">
        <v>1.3269684110684501</v>
      </c>
      <c r="T82">
        <v>1.83668582635995E-2</v>
      </c>
      <c r="U82">
        <v>1.5070853700227701E-2</v>
      </c>
      <c r="V82">
        <v>1.3963123738104031</v>
      </c>
      <c r="W82">
        <v>1.145738656197917</v>
      </c>
      <c r="X82">
        <v>5.6788195664278004E-3</v>
      </c>
      <c r="Y82">
        <v>4.6597331806736003E-3</v>
      </c>
      <c r="Z82">
        <v>1.3906335542439729</v>
      </c>
      <c r="AA82">
        <v>1.1410789230172469</v>
      </c>
      <c r="AB82">
        <v>0</v>
      </c>
      <c r="AC82">
        <v>0</v>
      </c>
      <c r="AD82">
        <v>2337.6598158571201</v>
      </c>
      <c r="AE82">
        <v>1918.15761738117</v>
      </c>
      <c r="AF82">
        <f t="shared" si="7"/>
        <v>0.75020323428040481</v>
      </c>
      <c r="AG82">
        <f>(F82/(D82+H82))</f>
        <v>0.53362594893932558</v>
      </c>
      <c r="AH82">
        <f>(F82/D82)</f>
        <v>0.98956394285596094</v>
      </c>
      <c r="AI82">
        <f>(E82/(D82+H82))</f>
        <v>5.6276817045299212E-3</v>
      </c>
      <c r="AJ82">
        <f>(E82/(D82))</f>
        <v>1.0436057144039272E-2</v>
      </c>
      <c r="AK82">
        <f>(H82/(D82+H82))</f>
        <v>0.46074636935614466</v>
      </c>
      <c r="AL82">
        <f>(I82/H82)</f>
        <v>4.0670122767235096E-3</v>
      </c>
      <c r="AM82">
        <f>J82/H82</f>
        <v>0.99593298772327876</v>
      </c>
      <c r="AN82">
        <f>(D82+H82)/AD82</f>
        <v>2.4867014314165777E-2</v>
      </c>
      <c r="AO82">
        <f>(D82+H82)/AE82</f>
        <v>3.0305444962303956E-2</v>
      </c>
    </row>
    <row r="83" spans="1:41" x14ac:dyDescent="0.35">
      <c r="A83" t="s">
        <v>33</v>
      </c>
      <c r="B83" t="s">
        <v>68</v>
      </c>
      <c r="C83">
        <f t="shared" si="4"/>
        <v>2.8537190989904531</v>
      </c>
      <c r="D83">
        <v>3.981017193766661</v>
      </c>
      <c r="E83">
        <v>9.1514411801517923</v>
      </c>
      <c r="F83">
        <v>-5.170423986385174</v>
      </c>
      <c r="G83">
        <v>-1.127298094776165</v>
      </c>
      <c r="H83">
        <v>-0.68071461876866124</v>
      </c>
      <c r="I83">
        <v>0</v>
      </c>
      <c r="J83">
        <v>-0.68071461876866124</v>
      </c>
      <c r="K83">
        <v>-4.7259804742539018</v>
      </c>
      <c r="L83">
        <f t="shared" si="5"/>
        <v>6.2522155598224008E-2</v>
      </c>
      <c r="M83">
        <v>8.7220138981422196E-2</v>
      </c>
      <c r="N83">
        <f t="shared" si="6"/>
        <v>5.3592456216163889E-2</v>
      </c>
      <c r="O83">
        <v>7.4762960982461296E-2</v>
      </c>
      <c r="P83">
        <v>0.20049900132632581</v>
      </c>
      <c r="Q83">
        <v>0.17186281962214989</v>
      </c>
      <c r="R83">
        <v>-0.1132788623449041</v>
      </c>
      <c r="S83">
        <v>-9.7099858639687397E-2</v>
      </c>
      <c r="T83">
        <v>-2.4697983383197699E-2</v>
      </c>
      <c r="U83">
        <v>-2.1170504766298601E-2</v>
      </c>
      <c r="V83">
        <v>-1.4913782273698601E-2</v>
      </c>
      <c r="W83">
        <v>-1.2783727878110799E-2</v>
      </c>
      <c r="X83">
        <v>0</v>
      </c>
      <c r="Y83">
        <v>0</v>
      </c>
      <c r="Z83">
        <v>-1.4913782273698601E-2</v>
      </c>
      <c r="AA83">
        <v>-1.2783727878110799E-2</v>
      </c>
      <c r="AB83">
        <v>-0.103541545721864</v>
      </c>
      <c r="AC83">
        <v>-8.8753269981790298E-2</v>
      </c>
      <c r="AD83">
        <v>5324.8522282316499</v>
      </c>
      <c r="AE83">
        <v>4564.3325500944502</v>
      </c>
      <c r="AF83">
        <f t="shared" si="7"/>
        <v>1</v>
      </c>
      <c r="AG83">
        <f>(F83/(D83+H83))</f>
        <v>-1.5666515020636578</v>
      </c>
      <c r="AH83">
        <f>(F83/D83)</f>
        <v>-1.2987695693655494</v>
      </c>
      <c r="AI83">
        <f>(E83/(D83+H83))</f>
        <v>2.7729097475728688</v>
      </c>
      <c r="AJ83">
        <f>(E83/(D83))</f>
        <v>2.2987695693655388</v>
      </c>
      <c r="AK83">
        <f>(H83/(D83+H83))</f>
        <v>-0.20625824550922389</v>
      </c>
      <c r="AL83">
        <f>(I83/H83)</f>
        <v>0</v>
      </c>
      <c r="AM83">
        <f>J83/H83</f>
        <v>1</v>
      </c>
      <c r="AN83">
        <f>(D83+H83)/AD83</f>
        <v>6.1979233104352449E-4</v>
      </c>
      <c r="AO83">
        <f>(D83+H83)/AE83</f>
        <v>7.2306356707722938E-4</v>
      </c>
    </row>
    <row r="84" spans="1:41" x14ac:dyDescent="0.35">
      <c r="A84" t="s">
        <v>34</v>
      </c>
      <c r="B84" t="s">
        <v>68</v>
      </c>
      <c r="C84">
        <f t="shared" si="4"/>
        <v>8.0444134093533837</v>
      </c>
      <c r="D84">
        <v>7.6111093494739919</v>
      </c>
      <c r="E84">
        <v>0.4779750571525323</v>
      </c>
      <c r="F84">
        <v>7.1331342923214649</v>
      </c>
      <c r="G84">
        <v>0.43330405987938642</v>
      </c>
      <c r="H84">
        <v>31.181274689127051</v>
      </c>
      <c r="I84">
        <v>0</v>
      </c>
      <c r="J84">
        <v>31.181274689127051</v>
      </c>
      <c r="K84">
        <v>-16.443131650412699</v>
      </c>
      <c r="L84">
        <f t="shared" si="5"/>
        <v>0.4910678714927687</v>
      </c>
      <c r="M84">
        <v>0.4646170053367924</v>
      </c>
      <c r="N84">
        <f t="shared" si="6"/>
        <v>0.3730241501674153</v>
      </c>
      <c r="O84">
        <v>0.35293158772990241</v>
      </c>
      <c r="P84">
        <v>2.91777886091256E-2</v>
      </c>
      <c r="Q84">
        <v>2.2163982682470801E-2</v>
      </c>
      <c r="R84">
        <v>0.435439216727667</v>
      </c>
      <c r="S84">
        <v>0.33076760504743152</v>
      </c>
      <c r="T84">
        <v>2.64508661559761E-2</v>
      </c>
      <c r="U84">
        <v>2.0092562437512999E-2</v>
      </c>
      <c r="V84">
        <v>1.903447947393816</v>
      </c>
      <c r="W84">
        <v>1.445893926650307</v>
      </c>
      <c r="X84">
        <v>0</v>
      </c>
      <c r="Y84">
        <v>0</v>
      </c>
      <c r="Z84">
        <v>1.903447947393816</v>
      </c>
      <c r="AA84">
        <v>1.445893926650307</v>
      </c>
      <c r="AB84">
        <v>-1.0037641341076471</v>
      </c>
      <c r="AC84">
        <v>-0.76247762240244477</v>
      </c>
      <c r="AD84">
        <v>2156.5395714307001</v>
      </c>
      <c r="AE84">
        <v>1638.14696019506</v>
      </c>
      <c r="AF84">
        <f t="shared" si="7"/>
        <v>1</v>
      </c>
      <c r="AG84">
        <f>(F84/(D84+H84))</f>
        <v>0.18387976065671846</v>
      </c>
      <c r="AH84">
        <f>(F84/D84)</f>
        <v>0.93720034291905685</v>
      </c>
      <c r="AI84">
        <f>(E84/(D84+H84))</f>
        <v>1.2321363303603996E-2</v>
      </c>
      <c r="AJ84">
        <f>(E84/(D84))</f>
        <v>6.2799657080943844E-2</v>
      </c>
      <c r="AK84">
        <f>(H84/(D84+H84))</f>
        <v>0.8037988760396777</v>
      </c>
      <c r="AL84">
        <f>(I84/H84)</f>
        <v>0</v>
      </c>
      <c r="AM84">
        <f>J84/H84</f>
        <v>1</v>
      </c>
      <c r="AN84">
        <f>(D84+H84)/AD84</f>
        <v>1.798825514380209E-2</v>
      </c>
      <c r="AO84">
        <f>(D84+H84)/AE84</f>
        <v>2.3680649527306082E-2</v>
      </c>
    </row>
    <row r="85" spans="1:41" x14ac:dyDescent="0.35">
      <c r="A85" t="s">
        <v>35</v>
      </c>
      <c r="B85" t="s">
        <v>68</v>
      </c>
      <c r="C85">
        <f t="shared" si="4"/>
        <v>3.7753618885319389</v>
      </c>
      <c r="D85">
        <v>3.7753618885319331</v>
      </c>
      <c r="E85">
        <v>1.3595775049326151</v>
      </c>
      <c r="F85">
        <v>2.4157843835993238</v>
      </c>
      <c r="G85">
        <v>0</v>
      </c>
      <c r="H85">
        <v>50.527542741764933</v>
      </c>
      <c r="I85">
        <v>0.55038566188227755</v>
      </c>
      <c r="J85">
        <v>49.977157079882673</v>
      </c>
      <c r="K85">
        <v>0.50329327265262691</v>
      </c>
      <c r="L85">
        <f t="shared" si="5"/>
        <v>0.28516573464501938</v>
      </c>
      <c r="M85">
        <v>0.2851657346450196</v>
      </c>
      <c r="N85">
        <f t="shared" si="6"/>
        <v>0.2101477142769097</v>
      </c>
      <c r="O85">
        <v>0.2101477142769097</v>
      </c>
      <c r="P85">
        <v>0.1026934448797204</v>
      </c>
      <c r="Q85">
        <v>7.56780709981138E-2</v>
      </c>
      <c r="R85">
        <v>0.182472289765299</v>
      </c>
      <c r="S85">
        <v>0.1344696432787959</v>
      </c>
      <c r="T85">
        <v>0</v>
      </c>
      <c r="U85">
        <v>0</v>
      </c>
      <c r="V85">
        <v>3.816514620633074</v>
      </c>
      <c r="W85">
        <v>2.8125112052078598</v>
      </c>
      <c r="X85">
        <v>4.1572473379439603E-2</v>
      </c>
      <c r="Y85">
        <v>3.0636079991876099E-2</v>
      </c>
      <c r="Z85">
        <v>3.7749421472536331</v>
      </c>
      <c r="AA85">
        <v>2.7818751252159828</v>
      </c>
      <c r="AB85">
        <v>3.8015427414745603E-2</v>
      </c>
      <c r="AC85">
        <v>2.8014779505024501E-2</v>
      </c>
      <c r="AD85">
        <v>1796.5276955414199</v>
      </c>
      <c r="AE85">
        <v>1323.9184901480501</v>
      </c>
      <c r="AF85">
        <f t="shared" si="7"/>
        <v>0.71183441050325813</v>
      </c>
      <c r="AG85">
        <f>(F85/(D85+H85))</f>
        <v>4.4487203770155255E-2</v>
      </c>
      <c r="AH85">
        <f>(F85/D85)</f>
        <v>0.63988154114113616</v>
      </c>
      <c r="AI85">
        <f>(E85/(D85+H85))</f>
        <v>2.5036920477621651E-2</v>
      </c>
      <c r="AJ85">
        <f>(E85/(D85))</f>
        <v>0.36011845885886534</v>
      </c>
      <c r="AK85">
        <f>(H85/(D85+H85))</f>
        <v>0.93047587575222324</v>
      </c>
      <c r="AL85">
        <f>(I85/H85)</f>
        <v>1.0892785043895299E-2</v>
      </c>
      <c r="AM85">
        <f>J85/H85</f>
        <v>0.9891072149561051</v>
      </c>
      <c r="AN85">
        <f>(D85+H85)/AD85</f>
        <v>3.0226589194847667E-2</v>
      </c>
      <c r="AO85">
        <f>(D85+H85)/AE85</f>
        <v>4.1016803552780902E-2</v>
      </c>
    </row>
    <row r="86" spans="1:41" x14ac:dyDescent="0.35">
      <c r="A86" t="s">
        <v>36</v>
      </c>
      <c r="B86" t="s">
        <v>68</v>
      </c>
      <c r="C86">
        <f t="shared" si="4"/>
        <v>91.948787240177779</v>
      </c>
      <c r="D86">
        <v>86.82264229997449</v>
      </c>
      <c r="E86">
        <v>32.556193825364851</v>
      </c>
      <c r="F86">
        <v>54.26644847460966</v>
      </c>
      <c r="G86">
        <v>5.126144940203254</v>
      </c>
      <c r="H86">
        <v>13.5098362743579</v>
      </c>
      <c r="I86">
        <v>3.9618288194598297E-2</v>
      </c>
      <c r="J86">
        <v>13.47021798616333</v>
      </c>
      <c r="K86">
        <v>0</v>
      </c>
      <c r="L86">
        <f t="shared" si="5"/>
        <v>2.9121787522856479</v>
      </c>
      <c r="M86">
        <v>2.7498247852126219</v>
      </c>
      <c r="N86">
        <f t="shared" si="6"/>
        <v>3.125396049015194</v>
      </c>
      <c r="O86">
        <v>2.9511552175299278</v>
      </c>
      <c r="P86">
        <v>1.0311115432753959</v>
      </c>
      <c r="Q86">
        <v>1.106605128863595</v>
      </c>
      <c r="R86">
        <v>1.718713241937226</v>
      </c>
      <c r="S86">
        <v>1.844550088666332</v>
      </c>
      <c r="T86">
        <v>0.1623539670730261</v>
      </c>
      <c r="U86">
        <v>0.17424083148526701</v>
      </c>
      <c r="V86">
        <v>0.42788012029213363</v>
      </c>
      <c r="W86">
        <v>0.45920767616465591</v>
      </c>
      <c r="X86">
        <v>1.2547804114138E-3</v>
      </c>
      <c r="Y86">
        <v>1.3466500767292001E-3</v>
      </c>
      <c r="Z86">
        <v>0.42662533988072049</v>
      </c>
      <c r="AA86">
        <v>0.45786102608792761</v>
      </c>
      <c r="AB86">
        <v>0</v>
      </c>
      <c r="AC86">
        <v>0</v>
      </c>
      <c r="AD86">
        <v>2941.9883367789698</v>
      </c>
      <c r="AE86">
        <v>3157.38816403392</v>
      </c>
      <c r="AF86">
        <f t="shared" si="7"/>
        <v>0.9987845589471257</v>
      </c>
      <c r="AG86">
        <f>(F86/(D86+H86))</f>
        <v>0.54086622044730792</v>
      </c>
      <c r="AH86">
        <f>(F86/D86)</f>
        <v>0.62502645665997669</v>
      </c>
      <c r="AI86">
        <f>(E86/(D86+H86))</f>
        <v>0.32448310146395165</v>
      </c>
      <c r="AJ86">
        <f>(E86/(D86))</f>
        <v>0.37497354334002359</v>
      </c>
      <c r="AK86">
        <f>(H86/(D86+H86))</f>
        <v>0.13465067808874068</v>
      </c>
      <c r="AL86">
        <f>(I86/H86)</f>
        <v>2.9325513196481199E-3</v>
      </c>
      <c r="AM86">
        <f>J86/H86</f>
        <v>0.99706744868035402</v>
      </c>
      <c r="AN86">
        <f>(D86+H86)/AD86</f>
        <v>3.4103628936945823E-2</v>
      </c>
      <c r="AO86">
        <f>(D86+H86)/AE86</f>
        <v>3.1777049055047545E-2</v>
      </c>
    </row>
    <row r="87" spans="1:41" x14ac:dyDescent="0.35">
      <c r="A87" t="s">
        <v>37</v>
      </c>
      <c r="B87" t="s">
        <v>68</v>
      </c>
      <c r="C87">
        <f t="shared" si="4"/>
        <v>24</v>
      </c>
      <c r="D87">
        <v>6</v>
      </c>
      <c r="E87">
        <v>0</v>
      </c>
      <c r="F87">
        <v>6</v>
      </c>
      <c r="G87">
        <v>18</v>
      </c>
      <c r="H87">
        <v>0</v>
      </c>
      <c r="I87">
        <v>0</v>
      </c>
      <c r="J87">
        <v>0</v>
      </c>
      <c r="K87">
        <v>0</v>
      </c>
      <c r="L87">
        <f t="shared" si="5"/>
        <v>0.1204276675682367</v>
      </c>
      <c r="M87">
        <v>3.01069168920573E-2</v>
      </c>
      <c r="N87">
        <f t="shared" si="6"/>
        <v>0.12015491641159831</v>
      </c>
      <c r="O87">
        <v>3.0038729102900001E-2</v>
      </c>
      <c r="P87">
        <v>0</v>
      </c>
      <c r="Q87">
        <v>0</v>
      </c>
      <c r="R87">
        <v>3.01069168920573E-2</v>
      </c>
      <c r="S87">
        <v>3.0038729102900001E-2</v>
      </c>
      <c r="T87">
        <v>9.0320750676179395E-2</v>
      </c>
      <c r="U87">
        <v>9.0116187308698303E-2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19974.2138871676</v>
      </c>
      <c r="AE87">
        <v>19928.975197</v>
      </c>
      <c r="AF87" t="e">
        <f t="shared" si="7"/>
        <v>#DIV/0!</v>
      </c>
      <c r="AG87">
        <f>(F87/(D87+H87))</f>
        <v>1</v>
      </c>
      <c r="AH87">
        <f>(F87/D87)</f>
        <v>1</v>
      </c>
      <c r="AI87">
        <f>(E87/(D87+H87))</f>
        <v>0</v>
      </c>
      <c r="AJ87">
        <f>(E87/(D87))</f>
        <v>0</v>
      </c>
      <c r="AK87">
        <f>(H87/(D87+H87))</f>
        <v>0</v>
      </c>
      <c r="AL87">
        <v>0</v>
      </c>
      <c r="AM87">
        <v>0</v>
      </c>
      <c r="AN87">
        <f>(D87+H87)/AD87</f>
        <v>3.0038729102899463E-4</v>
      </c>
      <c r="AO87">
        <f>(D87+H87)/AE87</f>
        <v>3.0106916892059794E-4</v>
      </c>
    </row>
    <row r="88" spans="1:41" x14ac:dyDescent="0.35">
      <c r="A88" t="s">
        <v>38</v>
      </c>
      <c r="B88" t="s">
        <v>68</v>
      </c>
      <c r="C88">
        <f t="shared" si="4"/>
        <v>-0.14843950319521448</v>
      </c>
      <c r="D88">
        <v>-0.1128814600963092</v>
      </c>
      <c r="E88">
        <v>-3.0653485430090801E-2</v>
      </c>
      <c r="F88">
        <v>-8.2227974666218395E-2</v>
      </c>
      <c r="G88">
        <v>-3.5558043098905298E-2</v>
      </c>
      <c r="H88">
        <v>-2.9120811158586099E-2</v>
      </c>
      <c r="I88">
        <v>-2.9120811158586099E-2</v>
      </c>
      <c r="J88">
        <v>0</v>
      </c>
      <c r="K88">
        <v>-4.9811913823897401E-2</v>
      </c>
      <c r="L88">
        <f t="shared" si="5"/>
        <v>-1.1604530293294599E-2</v>
      </c>
      <c r="M88">
        <v>-8.8247150862277007E-3</v>
      </c>
      <c r="N88">
        <f t="shared" si="6"/>
        <v>-6.2325870218448006E-3</v>
      </c>
      <c r="O88">
        <v>-4.7395976681350004E-3</v>
      </c>
      <c r="P88">
        <v>-2.3963924198852999E-3</v>
      </c>
      <c r="Q88">
        <v>-1.2870597876809E-3</v>
      </c>
      <c r="R88">
        <v>-6.4283226663423999E-3</v>
      </c>
      <c r="S88">
        <v>-3.4525378804541001E-3</v>
      </c>
      <c r="T88">
        <v>-2.7798152070668998E-3</v>
      </c>
      <c r="U88">
        <v>-1.4929893537098001E-3</v>
      </c>
      <c r="V88">
        <v>-2.2765727988909999E-3</v>
      </c>
      <c r="W88">
        <v>-1.2227067982968E-3</v>
      </c>
      <c r="X88">
        <v>-2.2765727988909999E-3</v>
      </c>
      <c r="Y88">
        <v>-1.2227067982968E-3</v>
      </c>
      <c r="Z88">
        <v>0</v>
      </c>
      <c r="AA88">
        <v>0</v>
      </c>
      <c r="AB88">
        <v>-3.8941376823135999E-3</v>
      </c>
      <c r="AC88">
        <v>-2.0914721549814999E-3</v>
      </c>
      <c r="AD88">
        <v>2381.6675591522499</v>
      </c>
      <c r="AE88">
        <v>1279.1513266244399</v>
      </c>
      <c r="AF88">
        <f t="shared" si="7"/>
        <v>0.51282051282051422</v>
      </c>
      <c r="AG88">
        <f>(F88/(D88+H88))</f>
        <v>0.57906098219104174</v>
      </c>
      <c r="AH88">
        <f>(F88/D88)</f>
        <v>0.72844534962661189</v>
      </c>
      <c r="AI88">
        <f>(E88/(D88+H88))</f>
        <v>0.21586616297895359</v>
      </c>
      <c r="AJ88">
        <f>(E88/(D88))</f>
        <v>0.27155465037338805</v>
      </c>
      <c r="AK88">
        <f>(H88/(D88+H88))</f>
        <v>0.20507285483000476</v>
      </c>
      <c r="AL88">
        <f>(I88/H88)</f>
        <v>1</v>
      </c>
      <c r="AM88">
        <f>J88/H88</f>
        <v>0</v>
      </c>
      <c r="AN88">
        <f>(D88+H88)/AD88</f>
        <v>-5.9623044664319452E-5</v>
      </c>
      <c r="AO88">
        <f>(D88+H88)/AE88</f>
        <v>-1.1101287885118794E-4</v>
      </c>
    </row>
    <row r="89" spans="1:41" x14ac:dyDescent="0.35">
      <c r="A89" t="s">
        <v>39</v>
      </c>
      <c r="B89" t="s">
        <v>68</v>
      </c>
      <c r="C89">
        <f t="shared" si="4"/>
        <v>2.9584598606921841</v>
      </c>
      <c r="D89">
        <v>3.2493340902482442</v>
      </c>
      <c r="E89">
        <v>1.9527090644843801</v>
      </c>
      <c r="F89">
        <v>1.2966250257638641</v>
      </c>
      <c r="G89">
        <v>-0.29087422955606002</v>
      </c>
      <c r="H89">
        <v>21.277422987389031</v>
      </c>
      <c r="I89">
        <v>-0.1146164792378447</v>
      </c>
      <c r="J89">
        <v>21.39203946662688</v>
      </c>
      <c r="K89">
        <v>-0.15576643801551521</v>
      </c>
      <c r="L89">
        <f t="shared" si="5"/>
        <v>0.29672025704502353</v>
      </c>
      <c r="M89">
        <v>0.32589363786671027</v>
      </c>
      <c r="N89">
        <f t="shared" si="6"/>
        <v>0.12676668505155692</v>
      </c>
      <c r="O89">
        <v>0.13923031936942129</v>
      </c>
      <c r="P89">
        <v>0.19584796239634961</v>
      </c>
      <c r="Q89">
        <v>8.3671392086048305E-2</v>
      </c>
      <c r="R89">
        <v>0.13004567547036061</v>
      </c>
      <c r="S89">
        <v>5.5558927283372903E-2</v>
      </c>
      <c r="T89">
        <v>-2.91733808216867E-2</v>
      </c>
      <c r="U89">
        <v>-1.24636343178643E-2</v>
      </c>
      <c r="V89">
        <v>2.134030108691968</v>
      </c>
      <c r="W89">
        <v>0.91171369751828557</v>
      </c>
      <c r="X89">
        <v>-1.14955188788979E-2</v>
      </c>
      <c r="Y89">
        <v>-4.9111875129049997E-3</v>
      </c>
      <c r="Z89">
        <v>2.145525627570867</v>
      </c>
      <c r="AA89">
        <v>0.91662488503119077</v>
      </c>
      <c r="AB89">
        <v>-1.5622675210519001E-2</v>
      </c>
      <c r="AC89">
        <v>-6.6744170681075996E-3</v>
      </c>
      <c r="AD89">
        <v>2333.7834064911899</v>
      </c>
      <c r="AE89">
        <v>997.05355143423003</v>
      </c>
      <c r="AF89">
        <f t="shared" si="7"/>
        <v>1.0623562056437281</v>
      </c>
      <c r="AG89">
        <f>(F89/(D89+H89))</f>
        <v>5.2865734416478807E-2</v>
      </c>
      <c r="AH89">
        <f>(F89/D89)</f>
        <v>0.39904330849057257</v>
      </c>
      <c r="AI89">
        <f>(E89/(D89+H89))</f>
        <v>7.96154607110615E-2</v>
      </c>
      <c r="AJ89">
        <f>(E89/(D89))</f>
        <v>0.60095669150942743</v>
      </c>
      <c r="AK89">
        <f>(H89/(D89+H89))</f>
        <v>0.86751880487245969</v>
      </c>
      <c r="AL89">
        <f>(I89/H89)</f>
        <v>-5.3867650845582675E-3</v>
      </c>
      <c r="AM89">
        <f>J89/H89</f>
        <v>1.0053867650845585</v>
      </c>
      <c r="AN89">
        <f>(D89+H89)/AD89</f>
        <v>1.050944016887707E-2</v>
      </c>
      <c r="AO89">
        <f>(D89+H89)/AE89</f>
        <v>2.4599237465586787E-2</v>
      </c>
    </row>
    <row r="90" spans="1:41" x14ac:dyDescent="0.35">
      <c r="A90" t="s">
        <v>40</v>
      </c>
      <c r="B90" t="s">
        <v>68</v>
      </c>
      <c r="C90">
        <f t="shared" si="4"/>
        <v>-3.6541235038564666</v>
      </c>
      <c r="D90">
        <v>-3.6541235038564679</v>
      </c>
      <c r="E90">
        <v>2.0576905158455738</v>
      </c>
      <c r="F90">
        <v>-5.7118140197020404</v>
      </c>
      <c r="G90">
        <v>0</v>
      </c>
      <c r="H90">
        <v>1.817852579227869</v>
      </c>
      <c r="I90">
        <v>0</v>
      </c>
      <c r="J90">
        <v>1.817852579227869</v>
      </c>
      <c r="K90">
        <v>0</v>
      </c>
      <c r="L90">
        <f t="shared" si="5"/>
        <v>-0.88274611984120344</v>
      </c>
      <c r="M90">
        <v>-0.88274611984120277</v>
      </c>
      <c r="N90">
        <f t="shared" si="6"/>
        <v>-0.77979727718691794</v>
      </c>
      <c r="O90">
        <v>-0.77979727718691727</v>
      </c>
      <c r="P90">
        <v>0.49708728147248649</v>
      </c>
      <c r="Q90">
        <v>0.43911527890513008</v>
      </c>
      <c r="R90">
        <v>-1.3798334013136899</v>
      </c>
      <c r="S90">
        <v>-1.218912556092048</v>
      </c>
      <c r="T90">
        <v>0</v>
      </c>
      <c r="U90">
        <v>0</v>
      </c>
      <c r="V90">
        <v>0.4391483509145675</v>
      </c>
      <c r="W90">
        <v>0.38793338268754662</v>
      </c>
      <c r="X90">
        <v>0</v>
      </c>
      <c r="Y90">
        <v>0</v>
      </c>
      <c r="Z90">
        <v>0.4391483509145675</v>
      </c>
      <c r="AA90">
        <v>0.38793338268754662</v>
      </c>
      <c r="AB90">
        <v>0</v>
      </c>
      <c r="AC90">
        <v>0</v>
      </c>
      <c r="AD90">
        <v>468.59916169988998</v>
      </c>
      <c r="AE90">
        <v>413.94954015926999</v>
      </c>
      <c r="AF90">
        <f t="shared" si="7"/>
        <v>1</v>
      </c>
      <c r="AG90">
        <f>(F90/(D90+H90))</f>
        <v>3.1105508142036844</v>
      </c>
      <c r="AH90">
        <f>(F90/D90)</f>
        <v>1.5631146603758572</v>
      </c>
      <c r="AI90">
        <f>(E90/(D90+H90))</f>
        <v>-1.1205811126491365</v>
      </c>
      <c r="AJ90">
        <f>(E90/(D90))</f>
        <v>-0.56311466037585767</v>
      </c>
      <c r="AK90">
        <f>(H90/(D90+H90))</f>
        <v>-0.98996970155454855</v>
      </c>
      <c r="AL90">
        <f>(I90/H90)</f>
        <v>0</v>
      </c>
      <c r="AM90">
        <f>J90/H90</f>
        <v>1</v>
      </c>
      <c r="AN90">
        <f>(D90+H90)/AD90</f>
        <v>-3.9186389449937208E-3</v>
      </c>
      <c r="AO90">
        <f>(D90+H90)/AE90</f>
        <v>-4.4359776892663799E-3</v>
      </c>
    </row>
    <row r="91" spans="1:41" x14ac:dyDescent="0.35">
      <c r="A91" t="s">
        <v>41</v>
      </c>
      <c r="B91" t="s">
        <v>68</v>
      </c>
      <c r="C91">
        <f t="shared" si="4"/>
        <v>10.537972233842755</v>
      </c>
      <c r="D91">
        <v>4.1542265056957364</v>
      </c>
      <c r="E91">
        <v>1.4774852644874339</v>
      </c>
      <c r="F91">
        <v>2.6767412412083029</v>
      </c>
      <c r="G91">
        <v>6.3837457281470176</v>
      </c>
      <c r="H91">
        <v>3.874602555254846</v>
      </c>
      <c r="I91">
        <v>1.257477537461184</v>
      </c>
      <c r="J91">
        <v>2.6171250177936609</v>
      </c>
      <c r="K91">
        <v>0</v>
      </c>
      <c r="L91">
        <f t="shared" si="5"/>
        <v>2.1282060455948186</v>
      </c>
      <c r="M91">
        <v>0.83897070214313363</v>
      </c>
      <c r="N91">
        <f t="shared" si="6"/>
        <v>1.8976328755605174</v>
      </c>
      <c r="O91">
        <v>0.74807530469820316</v>
      </c>
      <c r="P91">
        <v>0.2983869194550714</v>
      </c>
      <c r="Q91">
        <v>0.26605921412882499</v>
      </c>
      <c r="R91">
        <v>0.54058378268806218</v>
      </c>
      <c r="S91">
        <v>0.48201609056937839</v>
      </c>
      <c r="T91">
        <v>1.289235343451685</v>
      </c>
      <c r="U91">
        <v>1.149557570862314</v>
      </c>
      <c r="V91">
        <v>0.78249898551531238</v>
      </c>
      <c r="W91">
        <v>0.69772182213287159</v>
      </c>
      <c r="X91">
        <v>0.25395505302529059</v>
      </c>
      <c r="Y91">
        <v>0.2264411655690107</v>
      </c>
      <c r="Z91">
        <v>0.52854393249002207</v>
      </c>
      <c r="AA91">
        <v>0.4712806565638612</v>
      </c>
      <c r="AB91">
        <v>0</v>
      </c>
      <c r="AC91">
        <v>0</v>
      </c>
      <c r="AD91">
        <v>555.32196820367994</v>
      </c>
      <c r="AE91">
        <v>495.15751802582002</v>
      </c>
      <c r="AF91">
        <f t="shared" si="7"/>
        <v>0.54022133808721229</v>
      </c>
      <c r="AG91">
        <f>(F91/(D91+H91))</f>
        <v>0.33339123561952971</v>
      </c>
      <c r="AH91">
        <f>(F91/D91)</f>
        <v>0.64434166927063385</v>
      </c>
      <c r="AI91">
        <f>(E91/(D91+H91))</f>
        <v>0.18402250854653338</v>
      </c>
      <c r="AJ91">
        <f>(E91/(D91))</f>
        <v>0.35565833072936631</v>
      </c>
      <c r="AK91">
        <f>(H91/(D91+H91))</f>
        <v>0.48258625583393705</v>
      </c>
      <c r="AL91">
        <f>(I91/H91)</f>
        <v>0.32454361951415051</v>
      </c>
      <c r="AM91">
        <f>J91/H91</f>
        <v>0.67545638048584922</v>
      </c>
      <c r="AN91">
        <f>(D91+H91)/AD91</f>
        <v>1.4457971268310752E-2</v>
      </c>
      <c r="AO91">
        <f>(D91+H91)/AE91</f>
        <v>1.6214696876584469E-2</v>
      </c>
    </row>
    <row r="92" spans="1:41" x14ac:dyDescent="0.35">
      <c r="A92" t="s">
        <v>42</v>
      </c>
      <c r="B92" t="s">
        <v>68</v>
      </c>
      <c r="C92">
        <f t="shared" si="4"/>
        <v>1.20207297718041</v>
      </c>
      <c r="D92">
        <v>-0.38718454813488101</v>
      </c>
      <c r="E92">
        <v>0.62357924487103089</v>
      </c>
      <c r="F92">
        <v>-1.0107637930059119</v>
      </c>
      <c r="G92">
        <v>1.589257525315291</v>
      </c>
      <c r="H92">
        <v>17.056890492060301</v>
      </c>
      <c r="I92">
        <v>1.0946711428285801E-2</v>
      </c>
      <c r="J92">
        <v>17.045943780632019</v>
      </c>
      <c r="K92">
        <v>0</v>
      </c>
      <c r="L92">
        <f t="shared" si="5"/>
        <v>0.5574434426015924</v>
      </c>
      <c r="M92">
        <v>-0.1795510684723238</v>
      </c>
      <c r="N92">
        <f t="shared" si="6"/>
        <v>0.29506262597907829</v>
      </c>
      <c r="O92">
        <v>-9.5038896705898601E-2</v>
      </c>
      <c r="P92">
        <v>0.28917558883252281</v>
      </c>
      <c r="Q92">
        <v>0.15306469157078709</v>
      </c>
      <c r="R92">
        <v>-0.46872665730484631</v>
      </c>
      <c r="S92">
        <v>-0.24810358827668569</v>
      </c>
      <c r="T92">
        <v>0.73699451107391589</v>
      </c>
      <c r="U92">
        <v>0.39010152268497689</v>
      </c>
      <c r="V92">
        <v>7.9098789644827363</v>
      </c>
      <c r="W92">
        <v>4.1868097820732793</v>
      </c>
      <c r="X92">
        <v>5.0763744128605997E-3</v>
      </c>
      <c r="Y92">
        <v>2.6869961151954002E-3</v>
      </c>
      <c r="Z92">
        <v>7.9048025900698766</v>
      </c>
      <c r="AA92">
        <v>4.184122785958083</v>
      </c>
      <c r="AB92">
        <v>0</v>
      </c>
      <c r="AC92">
        <v>0</v>
      </c>
      <c r="AD92">
        <v>407.39587848230002</v>
      </c>
      <c r="AE92">
        <v>215.64034757863999</v>
      </c>
      <c r="AF92">
        <f t="shared" si="7"/>
        <v>0.98274820546013708</v>
      </c>
      <c r="AG92">
        <f>(F92/(D92+H92))</f>
        <v>-6.0634770427623684E-2</v>
      </c>
      <c r="AH92">
        <f>(F92/D92)</f>
        <v>2.6105478585725961</v>
      </c>
      <c r="AI92">
        <f>(E92/(D92+H92))</f>
        <v>3.7407933107438424E-2</v>
      </c>
      <c r="AJ92">
        <f>(E92/(D92))</f>
        <v>-1.6105478585725961</v>
      </c>
      <c r="AK92">
        <f>(H92/(D92+H92))</f>
        <v>1.0232268373201852</v>
      </c>
      <c r="AL92">
        <f>(I92/H92)</f>
        <v>6.4177649691667495E-4</v>
      </c>
      <c r="AM92">
        <f>J92/H92</f>
        <v>0.99935822350308356</v>
      </c>
      <c r="AN92">
        <f>(D92+H92)/AD92</f>
        <v>4.0917708853673795E-2</v>
      </c>
      <c r="AO92">
        <f>(D92+H92)/AE92</f>
        <v>7.7303278960104124E-2</v>
      </c>
    </row>
    <row r="93" spans="1:41" x14ac:dyDescent="0.35">
      <c r="A93" t="s">
        <v>43</v>
      </c>
      <c r="B93" t="s">
        <v>68</v>
      </c>
      <c r="C93">
        <f t="shared" si="4"/>
        <v>4.1281532170241384</v>
      </c>
      <c r="D93">
        <v>1.6560605792137399</v>
      </c>
      <c r="E93">
        <v>5.2845564687310003E-3</v>
      </c>
      <c r="F93">
        <v>1.6507760227450099</v>
      </c>
      <c r="G93">
        <v>2.4720926378103978</v>
      </c>
      <c r="H93">
        <v>-0.17410876033898501</v>
      </c>
      <c r="I93">
        <v>3.1619220265415771</v>
      </c>
      <c r="J93">
        <v>-3.3360307868805599</v>
      </c>
      <c r="K93">
        <v>0</v>
      </c>
      <c r="L93">
        <f t="shared" si="5"/>
        <v>1.2411670627613702</v>
      </c>
      <c r="M93">
        <v>0.49790977630896283</v>
      </c>
      <c r="N93">
        <f t="shared" si="6"/>
        <v>1.3271093033029957</v>
      </c>
      <c r="O93">
        <v>0.53238658692329555</v>
      </c>
      <c r="P93">
        <v>1.5888502886091001E-3</v>
      </c>
      <c r="Q93">
        <v>1.698867189464E-3</v>
      </c>
      <c r="R93">
        <v>0.4963209260203536</v>
      </c>
      <c r="S93">
        <v>0.53068771973383111</v>
      </c>
      <c r="T93">
        <v>0.74325728645240741</v>
      </c>
      <c r="U93">
        <v>0.7947227163797006</v>
      </c>
      <c r="V93">
        <v>-5.2347392964920303E-2</v>
      </c>
      <c r="W93">
        <v>-5.5972088119098297E-2</v>
      </c>
      <c r="X93">
        <v>0.95066080836799016</v>
      </c>
      <c r="Y93">
        <v>1.016487498680321</v>
      </c>
      <c r="Z93">
        <v>-1.00300820133291</v>
      </c>
      <c r="AA93">
        <v>-1.0724595867994211</v>
      </c>
      <c r="AB93">
        <v>0</v>
      </c>
      <c r="AC93">
        <v>0</v>
      </c>
      <c r="AD93">
        <v>311.06354290107998</v>
      </c>
      <c r="AE93">
        <v>332.60254327404999</v>
      </c>
      <c r="AF93">
        <f t="shared" si="7"/>
        <v>1.6685228229439434E-3</v>
      </c>
      <c r="AG93">
        <f>(F93/(D93+H93))</f>
        <v>1.1139201704941009</v>
      </c>
      <c r="AH93">
        <f>(F93/D93)</f>
        <v>0.99680895944565084</v>
      </c>
      <c r="AI93">
        <f>(E93/(D93+H93))</f>
        <v>3.565943508705675E-3</v>
      </c>
      <c r="AJ93">
        <f>(E93/(D93))</f>
        <v>3.1910405543497619E-3</v>
      </c>
      <c r="AK93">
        <f>(H93/(D93+H93))</f>
        <v>-0.1174861140028059</v>
      </c>
      <c r="AL93">
        <f>(I93/H93)</f>
        <v>-18.160614206806144</v>
      </c>
      <c r="AM93">
        <f>J93/H93</f>
        <v>19.16061420680613</v>
      </c>
      <c r="AN93">
        <f>(D93+H93)/AD93</f>
        <v>4.7641449880419587E-3</v>
      </c>
      <c r="AO93">
        <f>(D93+H93)/AE93</f>
        <v>4.4556238334404171E-3</v>
      </c>
    </row>
    <row r="94" spans="1:41" x14ac:dyDescent="0.35">
      <c r="A94" t="s">
        <v>44</v>
      </c>
      <c r="B94" t="s">
        <v>68</v>
      </c>
      <c r="C94">
        <f t="shared" si="4"/>
        <v>-0.1736234271695335</v>
      </c>
      <c r="D94">
        <v>-0.17362342716953361</v>
      </c>
      <c r="E94">
        <v>-6.9507208530843301E-2</v>
      </c>
      <c r="F94">
        <v>-0.10411621863869019</v>
      </c>
      <c r="G94">
        <v>0</v>
      </c>
      <c r="H94">
        <v>0.30689155142270308</v>
      </c>
      <c r="I94">
        <v>0.20024042401510739</v>
      </c>
      <c r="J94">
        <v>0.10665112740759559</v>
      </c>
      <c r="K94">
        <v>0</v>
      </c>
      <c r="L94">
        <f t="shared" si="5"/>
        <v>-0.6455444316775466</v>
      </c>
      <c r="M94">
        <v>-0.64554443167754627</v>
      </c>
      <c r="N94">
        <f t="shared" si="6"/>
        <v>-0.3781691989838058</v>
      </c>
      <c r="O94">
        <v>-0.37816919898380608</v>
      </c>
      <c r="P94">
        <v>-0.25843281727599432</v>
      </c>
      <c r="Q94">
        <v>-0.1513936558114537</v>
      </c>
      <c r="R94">
        <v>-0.38711161440155228</v>
      </c>
      <c r="S94">
        <v>-0.2267755431723521</v>
      </c>
      <c r="T94">
        <v>0</v>
      </c>
      <c r="U94">
        <v>0</v>
      </c>
      <c r="V94">
        <v>1.1410449348886771</v>
      </c>
      <c r="W94">
        <v>0.6684405098345283</v>
      </c>
      <c r="X94">
        <v>0.74450834675371524</v>
      </c>
      <c r="Y94">
        <v>0.43614368169354151</v>
      </c>
      <c r="Z94">
        <v>0.39653658813496218</v>
      </c>
      <c r="AA94">
        <v>0.23229682814098659</v>
      </c>
      <c r="AB94">
        <v>0</v>
      </c>
      <c r="AC94">
        <v>0</v>
      </c>
      <c r="AD94">
        <v>45.911572818750003</v>
      </c>
      <c r="AE94">
        <v>26.895658710639999</v>
      </c>
      <c r="AF94">
        <f t="shared" si="7"/>
        <v>-0.53167214065204149</v>
      </c>
      <c r="AG94">
        <f>(F94/(D94+H94))</f>
        <v>-0.78125372606656185</v>
      </c>
      <c r="AH94">
        <f>(F94/D94)</f>
        <v>0.59966687869273827</v>
      </c>
      <c r="AI94">
        <f>(E94/(D94+H94))</f>
        <v>-0.52155914192054242</v>
      </c>
      <c r="AJ94">
        <f>(E94/(D94))</f>
        <v>0.40033312130726106</v>
      </c>
      <c r="AK94">
        <f>(H94/(D94+H94))</f>
        <v>2.3028128679871052</v>
      </c>
      <c r="AL94">
        <f>(I94/H94)</f>
        <v>0.65247942827628491</v>
      </c>
      <c r="AM94">
        <f>J94/H94</f>
        <v>0.34752057172371481</v>
      </c>
      <c r="AN94">
        <f>(D94+H94)/AD94</f>
        <v>2.9027131085072213E-3</v>
      </c>
      <c r="AO94">
        <f>(D94+H94)/AE94</f>
        <v>4.955005032111306E-3</v>
      </c>
    </row>
    <row r="95" spans="1:41" x14ac:dyDescent="0.35">
      <c r="A95" t="s">
        <v>45</v>
      </c>
      <c r="B95" t="s">
        <v>68</v>
      </c>
      <c r="C95">
        <f t="shared" si="4"/>
        <v>-1.5678243516124075</v>
      </c>
      <c r="D95">
        <v>-0.74604999194765043</v>
      </c>
      <c r="E95">
        <v>-0.1105178378938607</v>
      </c>
      <c r="F95">
        <v>-0.63553215405378971</v>
      </c>
      <c r="G95">
        <v>-0.82177435966475709</v>
      </c>
      <c r="H95">
        <v>0.66176208666115244</v>
      </c>
      <c r="I95">
        <v>0.1217969719819347</v>
      </c>
      <c r="J95">
        <v>0.53996511467921771</v>
      </c>
      <c r="K95">
        <v>5.0329327265262701E-2</v>
      </c>
      <c r="L95">
        <f t="shared" si="5"/>
        <v>-0.61545055774220281</v>
      </c>
      <c r="M95">
        <v>-0.2928624518272942</v>
      </c>
      <c r="N95">
        <f t="shared" si="6"/>
        <v>-0.61744251567743191</v>
      </c>
      <c r="O95">
        <v>-0.29381032599445422</v>
      </c>
      <c r="P95">
        <v>-4.33838554059238E-2</v>
      </c>
      <c r="Q95">
        <v>-4.3524270933945598E-2</v>
      </c>
      <c r="R95">
        <v>-0.2494785964213703</v>
      </c>
      <c r="S95">
        <v>-0.25028605506050861</v>
      </c>
      <c r="T95">
        <v>-0.32258810591490872</v>
      </c>
      <c r="U95">
        <v>-0.32363218968297769</v>
      </c>
      <c r="V95">
        <v>0.25977517501203978</v>
      </c>
      <c r="W95">
        <v>0.26061595940118559</v>
      </c>
      <c r="X95">
        <v>4.7811487467012102E-2</v>
      </c>
      <c r="Y95">
        <v>4.7966233401769802E-2</v>
      </c>
      <c r="Z95">
        <v>0.21196368754502701</v>
      </c>
      <c r="AA95">
        <v>0.21264972599941601</v>
      </c>
      <c r="AB95">
        <v>1.9756813002897701E-2</v>
      </c>
      <c r="AC95">
        <v>1.9820757604037301E-2</v>
      </c>
      <c r="AD95">
        <v>253.92231856471</v>
      </c>
      <c r="AE95">
        <v>254.7441596875</v>
      </c>
      <c r="AF95">
        <f t="shared" si="7"/>
        <v>-9.7984328434145294</v>
      </c>
      <c r="AG95">
        <f>(F95/(D95+H95))</f>
        <v>7.5400159951014363</v>
      </c>
      <c r="AH95">
        <f>(F95/D95)</f>
        <v>0.85186269139238102</v>
      </c>
      <c r="AI95">
        <f>(E95/(D95+H95))</f>
        <v>1.3111945007792769</v>
      </c>
      <c r="AJ95">
        <f>(E95/(D95))</f>
        <v>0.14813730860761892</v>
      </c>
      <c r="AK95">
        <f>(H95/(D95+H95))</f>
        <v>-7.8512104958807125</v>
      </c>
      <c r="AL95">
        <f>(I95/H95)</f>
        <v>0.18404948611735658</v>
      </c>
      <c r="AM95">
        <f>J95/H95</f>
        <v>0.81595051388264339</v>
      </c>
      <c r="AN95">
        <f>(D95+H95)/AD95</f>
        <v>-3.3194366593268922E-4</v>
      </c>
      <c r="AO95">
        <f>(D95+H95)/AE95</f>
        <v>-3.3087276815254853E-4</v>
      </c>
    </row>
    <row r="96" spans="1:41" x14ac:dyDescent="0.35">
      <c r="A96" t="s">
        <v>46</v>
      </c>
      <c r="B96" t="s">
        <v>68</v>
      </c>
      <c r="C96">
        <f t="shared" si="4"/>
        <v>4.2405589852861407</v>
      </c>
      <c r="D96">
        <v>2.8687653080557518</v>
      </c>
      <c r="E96">
        <v>-0.36466848586374179</v>
      </c>
      <c r="F96">
        <v>3.233433793919493</v>
      </c>
      <c r="G96">
        <v>1.3717936772303889</v>
      </c>
      <c r="H96">
        <v>-5.9887947660008241</v>
      </c>
      <c r="I96">
        <v>-6.4199944000000002</v>
      </c>
      <c r="J96">
        <v>0.43119963399917571</v>
      </c>
      <c r="K96">
        <v>0</v>
      </c>
      <c r="L96">
        <f t="shared" si="5"/>
        <v>2.0796941755903324</v>
      </c>
      <c r="M96">
        <v>1.406926427152758</v>
      </c>
      <c r="N96">
        <f t="shared" si="6"/>
        <v>1.4062785121181878</v>
      </c>
      <c r="O96">
        <v>0.951356418582324</v>
      </c>
      <c r="P96">
        <v>-0.1788440931263203</v>
      </c>
      <c r="Q96">
        <v>-0.12093345653161609</v>
      </c>
      <c r="R96">
        <v>1.5857705202790779</v>
      </c>
      <c r="S96">
        <v>1.07228987511394</v>
      </c>
      <c r="T96">
        <v>0.6727677484375747</v>
      </c>
      <c r="U96">
        <v>0.45492209353586399</v>
      </c>
      <c r="V96">
        <v>-2.937080143649355</v>
      </c>
      <c r="W96">
        <v>-1.986038496843253</v>
      </c>
      <c r="X96">
        <v>-3.148553058059071</v>
      </c>
      <c r="Y96">
        <v>-2.1290353946178868</v>
      </c>
      <c r="Z96">
        <v>0.21147291440971619</v>
      </c>
      <c r="AA96">
        <v>0.14299689777463409</v>
      </c>
      <c r="AB96">
        <v>0</v>
      </c>
      <c r="AC96">
        <v>0</v>
      </c>
      <c r="AD96">
        <v>301.54474727050001</v>
      </c>
      <c r="AE96">
        <v>203.90300819506001</v>
      </c>
      <c r="AF96">
        <f t="shared" si="7"/>
        <v>5.374894699979136E-2</v>
      </c>
      <c r="AG96">
        <f>(F96/(D96+H96))</f>
        <v>-1.0363472004040346</v>
      </c>
      <c r="AH96">
        <f>(F96/D96)</f>
        <v>1.1271168766715489</v>
      </c>
      <c r="AI96">
        <f>(E96/(D96+H96))</f>
        <v>0.11687982141807128</v>
      </c>
      <c r="AJ96">
        <f>(E96/(D96))</f>
        <v>-0.12711687667154917</v>
      </c>
      <c r="AK96">
        <f>(H96/(D96+H96))</f>
        <v>1.9194673789859635</v>
      </c>
      <c r="AL96">
        <f>(I96/H96)</f>
        <v>1.0720010704736709</v>
      </c>
      <c r="AM96">
        <f>J96/H96</f>
        <v>-7.2001070473670728E-2</v>
      </c>
      <c r="AN96">
        <f>(D96+H96)/AD96</f>
        <v>-1.0346820782609279E-2</v>
      </c>
      <c r="AO96">
        <f>(D96+H96)/AE96</f>
        <v>-1.5301537164965974E-2</v>
      </c>
    </row>
    <row r="97" spans="1:41" x14ac:dyDescent="0.35">
      <c r="A97" t="s">
        <v>47</v>
      </c>
      <c r="B97" t="s">
        <v>68</v>
      </c>
      <c r="C97">
        <f t="shared" si="4"/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f t="shared" si="5"/>
        <v>0</v>
      </c>
      <c r="M97">
        <v>0</v>
      </c>
      <c r="N97">
        <f t="shared" si="6"/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19.06914282116</v>
      </c>
      <c r="AE97">
        <v>20.729999827290001</v>
      </c>
      <c r="AF97" t="e">
        <f t="shared" si="7"/>
        <v>#DIV/0!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f>(D97+H97)/AD97</f>
        <v>0</v>
      </c>
      <c r="AO97">
        <f>(D97+H97)/AE97</f>
        <v>0</v>
      </c>
    </row>
    <row r="98" spans="1:41" x14ac:dyDescent="0.35">
      <c r="A98" t="s">
        <v>48</v>
      </c>
      <c r="B98" t="s">
        <v>68</v>
      </c>
      <c r="C98">
        <f t="shared" si="4"/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f t="shared" si="5"/>
        <v>0</v>
      </c>
      <c r="M98">
        <v>0</v>
      </c>
      <c r="N98">
        <f t="shared" si="6"/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417.89075855828003</v>
      </c>
      <c r="AE98">
        <v>371.46659669328</v>
      </c>
      <c r="AF98" t="e">
        <f t="shared" si="7"/>
        <v>#DIV/0!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f>(D98+H98)/AD98</f>
        <v>0</v>
      </c>
      <c r="AO98">
        <f>(D98+H98)/AE98</f>
        <v>0</v>
      </c>
    </row>
    <row r="99" spans="1:41" x14ac:dyDescent="0.35">
      <c r="A99" t="s">
        <v>49</v>
      </c>
      <c r="B99" t="s">
        <v>68</v>
      </c>
      <c r="C99">
        <f t="shared" si="4"/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f t="shared" si="5"/>
        <v>0</v>
      </c>
      <c r="M99">
        <v>0</v>
      </c>
      <c r="N99">
        <f t="shared" si="6"/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342.39670930134002</v>
      </c>
      <c r="AE99">
        <v>358.46025273358998</v>
      </c>
      <c r="AF99" t="e">
        <f t="shared" si="7"/>
        <v>#DIV/0!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f>(D99+H99)/AD99</f>
        <v>0</v>
      </c>
      <c r="AO99">
        <f>(D99+H99)/AE99</f>
        <v>0</v>
      </c>
    </row>
    <row r="100" spans="1:41" x14ac:dyDescent="0.35">
      <c r="A100" t="s">
        <v>50</v>
      </c>
      <c r="B100" t="s">
        <v>68</v>
      </c>
      <c r="C100">
        <f t="shared" si="4"/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f t="shared" si="5"/>
        <v>0</v>
      </c>
      <c r="M100">
        <v>0</v>
      </c>
      <c r="N100">
        <f t="shared" si="6"/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55.422589739999999</v>
      </c>
      <c r="AE100">
        <v>30.160077523049999</v>
      </c>
      <c r="AF100" t="e">
        <f t="shared" si="7"/>
        <v>#DIV/0!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f>(D100+H100)/AD100</f>
        <v>0</v>
      </c>
      <c r="AO100">
        <f>(D100+H100)/AE100</f>
        <v>0</v>
      </c>
    </row>
    <row r="101" spans="1:41" x14ac:dyDescent="0.35">
      <c r="A101" t="s">
        <v>51</v>
      </c>
      <c r="B101" t="s">
        <v>68</v>
      </c>
      <c r="C101">
        <f t="shared" si="4"/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f t="shared" si="5"/>
        <v>0</v>
      </c>
      <c r="M101">
        <v>0</v>
      </c>
      <c r="N101">
        <f t="shared" si="6"/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97.136073348400004</v>
      </c>
      <c r="AE101">
        <v>48.216768505140003</v>
      </c>
      <c r="AF101" t="e">
        <f t="shared" si="7"/>
        <v>#DIV/0!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f>(D101+H101)/AD101</f>
        <v>0</v>
      </c>
      <c r="AO101">
        <f>(D101+H101)/AE101</f>
        <v>0</v>
      </c>
    </row>
    <row r="102" spans="1:41" x14ac:dyDescent="0.35">
      <c r="A102" t="s">
        <v>52</v>
      </c>
      <c r="B102" t="s">
        <v>68</v>
      </c>
      <c r="C102">
        <f t="shared" si="4"/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f t="shared" si="5"/>
        <v>0</v>
      </c>
      <c r="M102">
        <v>0</v>
      </c>
      <c r="N102">
        <f t="shared" si="6"/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66.343484468840003</v>
      </c>
      <c r="AE102">
        <v>66.557495896739994</v>
      </c>
      <c r="AF102" t="e">
        <f t="shared" si="7"/>
        <v>#DIV/0!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f>(D102+H102)/AD102</f>
        <v>0</v>
      </c>
      <c r="AO102">
        <f>(D102+H102)/AE102</f>
        <v>0</v>
      </c>
    </row>
    <row r="103" spans="1:41" x14ac:dyDescent="0.35">
      <c r="A103" t="s">
        <v>53</v>
      </c>
      <c r="B103" t="s">
        <v>68</v>
      </c>
      <c r="C103">
        <f t="shared" si="4"/>
        <v>2.6041998515920959</v>
      </c>
      <c r="D103">
        <v>6.7094683675636091</v>
      </c>
      <c r="E103">
        <v>3.464714722161641</v>
      </c>
      <c r="F103">
        <v>3.2447536454019712</v>
      </c>
      <c r="G103">
        <v>-4.1052685159715168</v>
      </c>
      <c r="H103">
        <v>4.2836647687777969</v>
      </c>
      <c r="I103">
        <v>0</v>
      </c>
      <c r="J103">
        <v>4.2836647687777969</v>
      </c>
      <c r="K103">
        <v>0</v>
      </c>
      <c r="L103">
        <f t="shared" si="5"/>
        <v>0.30993139224383143</v>
      </c>
      <c r="M103">
        <v>0.79850817559321996</v>
      </c>
      <c r="N103">
        <f t="shared" si="6"/>
        <v>0.27928860176633852</v>
      </c>
      <c r="O103">
        <v>0.71955999760414269</v>
      </c>
      <c r="P103">
        <v>0.4123431068129309</v>
      </c>
      <c r="Q103">
        <v>0.37157491184103569</v>
      </c>
      <c r="R103">
        <v>0.3861650687802895</v>
      </c>
      <c r="S103">
        <v>0.34798508576310722</v>
      </c>
      <c r="T103">
        <v>-0.48857678334938898</v>
      </c>
      <c r="U103">
        <v>-0.44027139583780439</v>
      </c>
      <c r="V103">
        <v>0.50980810281572397</v>
      </c>
      <c r="W103">
        <v>0.45940358339866272</v>
      </c>
      <c r="X103">
        <v>0</v>
      </c>
      <c r="Y103">
        <v>0</v>
      </c>
      <c r="Z103">
        <v>0.50980810281572397</v>
      </c>
      <c r="AA103">
        <v>0.45940358339866272</v>
      </c>
      <c r="AB103">
        <v>0</v>
      </c>
      <c r="AC103">
        <v>0</v>
      </c>
      <c r="AD103">
        <v>932.44043441874999</v>
      </c>
      <c r="AE103">
        <v>840.25042856688003</v>
      </c>
      <c r="AF103">
        <f t="shared" si="7"/>
        <v>1</v>
      </c>
      <c r="AG103">
        <f>(F103/(D103+H103))</f>
        <v>0.29516186196957572</v>
      </c>
      <c r="AH103">
        <f>(F103/D103)</f>
        <v>0.48360815904408677</v>
      </c>
      <c r="AI103">
        <f>(E103/(D103+H103))</f>
        <v>0.31517081428841159</v>
      </c>
      <c r="AJ103">
        <f>(E103/(D103))</f>
        <v>0.51639184095591373</v>
      </c>
      <c r="AK103">
        <f>(H103/(D103+H103))</f>
        <v>0.38966732374201296</v>
      </c>
      <c r="AL103">
        <f>(I103/H103)</f>
        <v>0</v>
      </c>
      <c r="AM103">
        <f>J103/H103</f>
        <v>1</v>
      </c>
      <c r="AN103">
        <f>(D103+H103)/AD103</f>
        <v>1.178963581002805E-2</v>
      </c>
      <c r="AO103">
        <f>(D103+H103)/AE103</f>
        <v>1.3083162784089438E-2</v>
      </c>
    </row>
    <row r="104" spans="1:41" x14ac:dyDescent="0.35">
      <c r="A104" t="s">
        <v>54</v>
      </c>
      <c r="B104" t="s">
        <v>68</v>
      </c>
      <c r="C104">
        <f t="shared" si="4"/>
        <v>-1.5631513525729279</v>
      </c>
      <c r="D104">
        <v>-1.5631513525729299</v>
      </c>
      <c r="E104">
        <v>0.199134188698951</v>
      </c>
      <c r="F104">
        <v>-1.762285541271879</v>
      </c>
      <c r="G104">
        <v>0</v>
      </c>
      <c r="H104">
        <v>0.14987911249498689</v>
      </c>
      <c r="I104">
        <v>7.4029359208051607E-2</v>
      </c>
      <c r="J104">
        <v>7.5849753286935301E-2</v>
      </c>
      <c r="K104">
        <v>0</v>
      </c>
      <c r="L104">
        <f t="shared" si="5"/>
        <v>-0.77025642118408788</v>
      </c>
      <c r="M104">
        <v>-0.7702564211840901</v>
      </c>
      <c r="N104">
        <f t="shared" si="6"/>
        <v>-0.80585693116972812</v>
      </c>
      <c r="O104">
        <v>-0.80585693116972834</v>
      </c>
      <c r="P104">
        <v>9.8125103029966798E-2</v>
      </c>
      <c r="Q104">
        <v>0.10266035079186191</v>
      </c>
      <c r="R104">
        <v>-0.86838152421405468</v>
      </c>
      <c r="S104">
        <v>-0.90851728196158998</v>
      </c>
      <c r="T104">
        <v>0</v>
      </c>
      <c r="U104">
        <v>0</v>
      </c>
      <c r="V104">
        <v>7.3854235938582702E-2</v>
      </c>
      <c r="W104">
        <v>7.7267707597762497E-2</v>
      </c>
      <c r="X104">
        <v>3.6478610463591903E-2</v>
      </c>
      <c r="Y104">
        <v>3.8164616708207401E-2</v>
      </c>
      <c r="Z104">
        <v>3.7375625474990799E-2</v>
      </c>
      <c r="AA104">
        <v>3.9103090889555298E-2</v>
      </c>
      <c r="AB104">
        <v>0</v>
      </c>
      <c r="AC104">
        <v>0</v>
      </c>
      <c r="AD104">
        <v>193.97380504054999</v>
      </c>
      <c r="AE104">
        <v>202.93908750153</v>
      </c>
      <c r="AF104">
        <f t="shared" si="7"/>
        <v>0.72899254027387805</v>
      </c>
      <c r="AG104">
        <f>(F104/(D104+H104))</f>
        <v>1.2469540484108623</v>
      </c>
      <c r="AH104">
        <f>(F104/D104)</f>
        <v>1.1273927750957553</v>
      </c>
      <c r="AI104">
        <f>(E104/(D104+H104))</f>
        <v>-0.14090292234705509</v>
      </c>
      <c r="AJ104">
        <f>(E104/(D104))</f>
        <v>-0.12739277509575661</v>
      </c>
      <c r="AK104">
        <f>(H104/(D104+H104))</f>
        <v>-0.10605112606380845</v>
      </c>
      <c r="AL104">
        <f>(I104/H104)</f>
        <v>0.4939271255060822</v>
      </c>
      <c r="AM104">
        <f>J104/H104</f>
        <v>0.50607287449391791</v>
      </c>
      <c r="AN104">
        <f>(D104+H104)/AD104</f>
        <v>-7.2858922357196638E-3</v>
      </c>
      <c r="AO104">
        <f>(D104+H104)/AE104</f>
        <v>-6.9640218524550527E-3</v>
      </c>
    </row>
    <row r="105" spans="1:41" x14ac:dyDescent="0.35">
      <c r="A105" t="s">
        <v>55</v>
      </c>
      <c r="B105" t="s">
        <v>68</v>
      </c>
      <c r="C105">
        <f t="shared" si="4"/>
        <v>0</v>
      </c>
      <c r="D105">
        <v>0</v>
      </c>
      <c r="E105">
        <v>0</v>
      </c>
      <c r="F105">
        <v>0</v>
      </c>
      <c r="G105">
        <v>0</v>
      </c>
      <c r="H105">
        <v>1.3754229037270851</v>
      </c>
      <c r="I105">
        <v>0.38291283511333057</v>
      </c>
      <c r="J105">
        <v>0.99251006861375402</v>
      </c>
      <c r="K105">
        <v>0</v>
      </c>
      <c r="L105">
        <f t="shared" si="5"/>
        <v>0</v>
      </c>
      <c r="M105">
        <v>0</v>
      </c>
      <c r="N105">
        <f t="shared" si="6"/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0.33526511599412778</v>
      </c>
      <c r="W105">
        <v>0.416221861307843</v>
      </c>
      <c r="X105">
        <v>9.3336613584110897E-2</v>
      </c>
      <c r="Y105">
        <v>0.1158746829921613</v>
      </c>
      <c r="Z105">
        <v>0.24192850241001679</v>
      </c>
      <c r="AA105">
        <v>0.3003471783156817</v>
      </c>
      <c r="AB105">
        <v>0</v>
      </c>
      <c r="AC105">
        <v>0</v>
      </c>
      <c r="AD105">
        <v>330.45426768437</v>
      </c>
      <c r="AE105">
        <v>410.24933347112</v>
      </c>
      <c r="AF105">
        <f t="shared" si="7"/>
        <v>0</v>
      </c>
      <c r="AG105">
        <f>(F105/(D105+H105))</f>
        <v>0</v>
      </c>
      <c r="AH105">
        <v>0</v>
      </c>
      <c r="AI105">
        <f>(E105/(D105+H105))</f>
        <v>0</v>
      </c>
      <c r="AJ105">
        <v>0</v>
      </c>
      <c r="AK105">
        <f>(H105/(D105+H105))</f>
        <v>1</v>
      </c>
      <c r="AL105">
        <f>(I105/H105)</f>
        <v>0.27839643652561213</v>
      </c>
      <c r="AM105">
        <f>J105/H105</f>
        <v>0.72160356347438748</v>
      </c>
      <c r="AN105">
        <f>(D105+H105)/AD105</f>
        <v>4.1622186130784253E-3</v>
      </c>
      <c r="AO105">
        <f>(D105+H105)/AE105</f>
        <v>3.3526511599412741E-3</v>
      </c>
    </row>
    <row r="106" spans="1:41" x14ac:dyDescent="0.35">
      <c r="A106" t="s">
        <v>56</v>
      </c>
      <c r="B106" t="s">
        <v>68</v>
      </c>
      <c r="C106">
        <f t="shared" si="4"/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f t="shared" si="5"/>
        <v>0</v>
      </c>
      <c r="M106">
        <v>0</v>
      </c>
      <c r="N106">
        <f t="shared" si="6"/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341.21592570296002</v>
      </c>
      <c r="AE106">
        <v>222.36238134761999</v>
      </c>
      <c r="AF106" t="e">
        <f t="shared" si="7"/>
        <v>#DIV/0!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f>(D106+H106)/AD106</f>
        <v>0</v>
      </c>
      <c r="AO106">
        <f>(D106+H106)/AE106</f>
        <v>0</v>
      </c>
    </row>
    <row r="107" spans="1:41" x14ac:dyDescent="0.35">
      <c r="A107" t="s">
        <v>57</v>
      </c>
      <c r="B107" t="s">
        <v>68</v>
      </c>
      <c r="C107">
        <f t="shared" si="4"/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f t="shared" si="5"/>
        <v>0</v>
      </c>
      <c r="M107">
        <v>0</v>
      </c>
      <c r="N107">
        <f t="shared" si="6"/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181.71174374815001</v>
      </c>
      <c r="AE107">
        <v>99.489061173690004</v>
      </c>
      <c r="AF107" t="e">
        <f t="shared" si="7"/>
        <v>#DIV/0!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f>(D107+H107)/AD107</f>
        <v>0</v>
      </c>
      <c r="AO107">
        <f>(D107+H107)/AE107</f>
        <v>0</v>
      </c>
    </row>
    <row r="108" spans="1:41" x14ac:dyDescent="0.35">
      <c r="A108" t="s">
        <v>58</v>
      </c>
      <c r="B108" t="s">
        <v>68</v>
      </c>
      <c r="C108">
        <f t="shared" si="4"/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f t="shared" si="5"/>
        <v>0</v>
      </c>
      <c r="M108">
        <v>0</v>
      </c>
      <c r="N108">
        <f t="shared" si="6"/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76.037366075549997</v>
      </c>
      <c r="AE108">
        <v>50.417977728389999</v>
      </c>
      <c r="AF108" t="e">
        <f t="shared" si="7"/>
        <v>#DIV/0!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f>(D108+H108)/AD108</f>
        <v>0</v>
      </c>
      <c r="AO108">
        <f>(D108+H108)/AE108</f>
        <v>0</v>
      </c>
    </row>
    <row r="109" spans="1:41" x14ac:dyDescent="0.35">
      <c r="A109" t="s">
        <v>59</v>
      </c>
      <c r="B109" t="s">
        <v>68</v>
      </c>
      <c r="C109">
        <f t="shared" si="4"/>
        <v>2.8049063918750301</v>
      </c>
      <c r="D109">
        <v>2.644233693332168</v>
      </c>
      <c r="E109">
        <v>0.71001324529060439</v>
      </c>
      <c r="F109">
        <v>1.934220448041565</v>
      </c>
      <c r="G109">
        <v>0.16067269854286079</v>
      </c>
      <c r="H109">
        <v>5.0533623042457521</v>
      </c>
      <c r="I109">
        <v>1.272990789428851</v>
      </c>
      <c r="J109">
        <v>3.780371514816903</v>
      </c>
      <c r="K109">
        <v>0</v>
      </c>
      <c r="L109">
        <f t="shared" si="5"/>
        <v>0.51014874905237517</v>
      </c>
      <c r="M109">
        <v>0.48092603545097301</v>
      </c>
      <c r="N109">
        <f t="shared" si="6"/>
        <v>0.53836510849943042</v>
      </c>
      <c r="O109">
        <v>0.50752608476784022</v>
      </c>
      <c r="P109">
        <v>0.129135278790351</v>
      </c>
      <c r="Q109">
        <v>0.13627775919515969</v>
      </c>
      <c r="R109">
        <v>0.35179075666062148</v>
      </c>
      <c r="S109">
        <v>0.37124832557268039</v>
      </c>
      <c r="T109">
        <v>2.9222713601402699E-2</v>
      </c>
      <c r="U109">
        <v>3.0839023731590299E-2</v>
      </c>
      <c r="V109">
        <v>0.91909179767531501</v>
      </c>
      <c r="W109">
        <v>0.96992682290319099</v>
      </c>
      <c r="X109">
        <v>0.23152810399073689</v>
      </c>
      <c r="Y109">
        <v>0.24433393800764469</v>
      </c>
      <c r="Z109">
        <v>0.68756369368457815</v>
      </c>
      <c r="AA109">
        <v>0.72559288489554596</v>
      </c>
      <c r="AB109">
        <v>0</v>
      </c>
      <c r="AC109">
        <v>0</v>
      </c>
      <c r="AD109">
        <v>521.00449074291998</v>
      </c>
      <c r="AE109">
        <v>549.82128194673999</v>
      </c>
      <c r="AF109">
        <f t="shared" si="7"/>
        <v>0.35804931954717539</v>
      </c>
      <c r="AG109">
        <f>(F109/(D109+H109))</f>
        <v>0.25127591116111775</v>
      </c>
      <c r="AH109">
        <f>(F109/D109)</f>
        <v>0.73148619689666317</v>
      </c>
      <c r="AI109">
        <f>(E109/(D109+H109))</f>
        <v>9.2238309923515463E-2</v>
      </c>
      <c r="AJ109">
        <f>(E109/(D109))</f>
        <v>0.26851380310333739</v>
      </c>
      <c r="AK109">
        <f>(H109/(D109+H109))</f>
        <v>0.65648577891536697</v>
      </c>
      <c r="AL109">
        <f>(I109/H109)</f>
        <v>0.25190966188181385</v>
      </c>
      <c r="AM109">
        <f>J109/H109</f>
        <v>0.74809033811818659</v>
      </c>
      <c r="AN109">
        <f>(D109+H109)/AD109</f>
        <v>1.4774529076710313E-2</v>
      </c>
      <c r="AO109">
        <f>(D109+H109)/AE109</f>
        <v>1.4000178331262866E-2</v>
      </c>
    </row>
    <row r="110" spans="1:41" x14ac:dyDescent="0.35">
      <c r="A110" t="s">
        <v>60</v>
      </c>
      <c r="B110" t="s">
        <v>68</v>
      </c>
      <c r="C110">
        <f t="shared" si="4"/>
        <v>1.8004263575689257</v>
      </c>
      <c r="D110">
        <v>1.800426357568927</v>
      </c>
      <c r="E110">
        <v>7.9844312796973599E-2</v>
      </c>
      <c r="F110">
        <v>1.720582044771952</v>
      </c>
      <c r="G110">
        <v>0</v>
      </c>
      <c r="H110">
        <v>2.2594733452900262</v>
      </c>
      <c r="I110">
        <v>1.014811784017208</v>
      </c>
      <c r="J110">
        <v>1.2446615612728209</v>
      </c>
      <c r="K110">
        <v>0</v>
      </c>
      <c r="L110">
        <f t="shared" si="5"/>
        <v>0.2409855149615813</v>
      </c>
      <c r="M110">
        <v>0.2409855149615811</v>
      </c>
      <c r="N110">
        <f t="shared" si="6"/>
        <v>0.30473646432983231</v>
      </c>
      <c r="O110">
        <v>0.30473646432983248</v>
      </c>
      <c r="P110">
        <v>1.0687092396332899E-2</v>
      </c>
      <c r="Q110">
        <v>1.3514284256229799E-2</v>
      </c>
      <c r="R110">
        <v>0.23029842256524841</v>
      </c>
      <c r="S110">
        <v>0.29122218007360251</v>
      </c>
      <c r="T110">
        <v>0</v>
      </c>
      <c r="U110">
        <v>0</v>
      </c>
      <c r="V110">
        <v>0.30242855830655108</v>
      </c>
      <c r="W110">
        <v>0.3824338138555729</v>
      </c>
      <c r="X110">
        <v>0.13583168194154041</v>
      </c>
      <c r="Y110">
        <v>0.17176495651798099</v>
      </c>
      <c r="Z110">
        <v>0.16659687636501089</v>
      </c>
      <c r="AA110">
        <v>0.21066885733759211</v>
      </c>
      <c r="AB110">
        <v>0</v>
      </c>
      <c r="AC110">
        <v>0</v>
      </c>
      <c r="AD110">
        <v>590.81421763174001</v>
      </c>
      <c r="AE110">
        <v>747.10978286638999</v>
      </c>
      <c r="AF110">
        <f t="shared" si="7"/>
        <v>7.294008869940749E-2</v>
      </c>
      <c r="AG110">
        <f>(F110/(D110+H110))</f>
        <v>0.42379915039781157</v>
      </c>
      <c r="AH110">
        <f>(F110/D110)</f>
        <v>0.95565255281821859</v>
      </c>
      <c r="AI110">
        <f>(E110/(D110+H110))</f>
        <v>1.9666572733495803E-2</v>
      </c>
      <c r="AJ110">
        <f>(E110/(D110))</f>
        <v>4.4347447181780589E-2</v>
      </c>
      <c r="AK110">
        <f>(H110/(D110+H110))</f>
        <v>0.55653427686869228</v>
      </c>
      <c r="AL110">
        <f>(I110/H110)</f>
        <v>0.44913642647417318</v>
      </c>
      <c r="AM110">
        <f>J110/H110</f>
        <v>0.55086357352582804</v>
      </c>
      <c r="AN110">
        <f>(D110+H110)/AD110</f>
        <v>6.8717027818540515E-3</v>
      </c>
      <c r="AO110">
        <f>(D110+H110)/AE110</f>
        <v>5.4341407326813284E-3</v>
      </c>
    </row>
    <row r="111" spans="1:41" x14ac:dyDescent="0.35">
      <c r="A111" t="s">
        <v>61</v>
      </c>
      <c r="B111" t="s">
        <v>68</v>
      </c>
      <c r="C111">
        <f t="shared" si="4"/>
        <v>4.1921318200426141</v>
      </c>
      <c r="D111">
        <v>2.3892134593666938</v>
      </c>
      <c r="E111">
        <v>2.5366516631069199E-2</v>
      </c>
      <c r="F111">
        <v>2.363846942735623</v>
      </c>
      <c r="G111">
        <v>1.802918360675922</v>
      </c>
      <c r="H111">
        <v>-5.5944951681043253</v>
      </c>
      <c r="I111">
        <v>-2.582074692971227</v>
      </c>
      <c r="J111">
        <v>-3.0124204751330979</v>
      </c>
      <c r="K111">
        <v>5.6145524312524948</v>
      </c>
      <c r="L111">
        <f t="shared" si="5"/>
        <v>1.6002979475079873</v>
      </c>
      <c r="M111">
        <v>0.91205466796225643</v>
      </c>
      <c r="N111">
        <f t="shared" si="6"/>
        <v>0.94997493419030743</v>
      </c>
      <c r="O111">
        <v>0.54141734951583675</v>
      </c>
      <c r="P111">
        <v>9.6833750088789992E-3</v>
      </c>
      <c r="Q111">
        <v>5.7482817816048E-3</v>
      </c>
      <c r="R111">
        <v>0.90237129295337759</v>
      </c>
      <c r="S111">
        <v>0.53566906773423151</v>
      </c>
      <c r="T111">
        <v>0.68824327954573072</v>
      </c>
      <c r="U111">
        <v>0.40855758467447112</v>
      </c>
      <c r="V111">
        <v>-2.1356339731630141</v>
      </c>
      <c r="W111">
        <v>-1.2677631351520511</v>
      </c>
      <c r="X111">
        <v>-0.98567721838292921</v>
      </c>
      <c r="Y111">
        <v>-0.58512144699325441</v>
      </c>
      <c r="Z111">
        <v>-1.149956754780084</v>
      </c>
      <c r="AA111">
        <v>-0.68264168815879689</v>
      </c>
      <c r="AB111">
        <v>2.1432906019205311</v>
      </c>
      <c r="AC111">
        <v>1.2723082921407041</v>
      </c>
      <c r="AD111">
        <v>441.28867711817003</v>
      </c>
      <c r="AE111">
        <v>261.95945739796002</v>
      </c>
      <c r="AF111">
        <f t="shared" si="7"/>
        <v>-9.921553373127048E-3</v>
      </c>
      <c r="AG111">
        <f>(F111/(D111+H111))</f>
        <v>-0.73748492567494195</v>
      </c>
      <c r="AH111">
        <f>(F111/D111)</f>
        <v>0.98938290066480927</v>
      </c>
      <c r="AI111">
        <f>(E111/(D111+H111))</f>
        <v>-7.9139741639306805E-3</v>
      </c>
      <c r="AJ111">
        <f>(E111/(D111))</f>
        <v>1.0617099335190032E-2</v>
      </c>
      <c r="AK111">
        <f>(H111/(D111+H111))</f>
        <v>1.7453988998388732</v>
      </c>
      <c r="AL111">
        <f>(I111/H111)</f>
        <v>0.46153846153846151</v>
      </c>
      <c r="AM111">
        <f>J111/H111</f>
        <v>0.53846153846153844</v>
      </c>
      <c r="AN111">
        <f>(D111+H111)/AD111</f>
        <v>-7.2634578563621488E-3</v>
      </c>
      <c r="AO111">
        <f>(D111+H111)/AE111</f>
        <v>-1.2235793052007567E-2</v>
      </c>
    </row>
    <row r="112" spans="1:41" x14ac:dyDescent="0.35">
      <c r="A112" t="s">
        <v>62</v>
      </c>
      <c r="B112" t="s">
        <v>68</v>
      </c>
      <c r="C112">
        <f t="shared" si="4"/>
        <v>3.2258738534714397</v>
      </c>
      <c r="D112">
        <v>3.2258738534714402</v>
      </c>
      <c r="E112">
        <v>0.45292015012499087</v>
      </c>
      <c r="F112">
        <v>2.7729537033464489</v>
      </c>
      <c r="G112">
        <v>0</v>
      </c>
      <c r="H112">
        <v>5.9276318719664554</v>
      </c>
      <c r="I112">
        <v>-6.6204105470706306E-2</v>
      </c>
      <c r="J112">
        <v>5.9938359774371612</v>
      </c>
      <c r="K112">
        <v>0</v>
      </c>
      <c r="L112">
        <f t="shared" si="5"/>
        <v>1.0036769073955694</v>
      </c>
      <c r="M112">
        <v>1.00367690739557</v>
      </c>
      <c r="N112">
        <f t="shared" si="6"/>
        <v>0.46720030176171912</v>
      </c>
      <c r="O112">
        <v>0.46720030176171901</v>
      </c>
      <c r="P112">
        <v>0.1409185591945567</v>
      </c>
      <c r="Q112">
        <v>6.5596002951152699E-2</v>
      </c>
      <c r="R112">
        <v>0.86275834820101271</v>
      </c>
      <c r="S112">
        <v>0.40160429881056642</v>
      </c>
      <c r="T112">
        <v>0</v>
      </c>
      <c r="U112">
        <v>0</v>
      </c>
      <c r="V112">
        <v>1.8442839043542829</v>
      </c>
      <c r="W112">
        <v>0.85849339593205221</v>
      </c>
      <c r="X112">
        <v>-2.0598304476234501E-2</v>
      </c>
      <c r="Y112">
        <v>-9.5882788536487008E-3</v>
      </c>
      <c r="Z112">
        <v>1.864882208830517</v>
      </c>
      <c r="AA112">
        <v>0.86808167478570097</v>
      </c>
      <c r="AB112">
        <v>0</v>
      </c>
      <c r="AC112">
        <v>0</v>
      </c>
      <c r="AD112">
        <v>690.46912883131995</v>
      </c>
      <c r="AE112">
        <v>321.40560669490998</v>
      </c>
      <c r="AF112">
        <f t="shared" si="7"/>
        <v>1.1711956521739131</v>
      </c>
      <c r="AG112">
        <f>(F112/(D112+H112))</f>
        <v>0.30293898168876637</v>
      </c>
      <c r="AH112">
        <f>(F112/D112)</f>
        <v>0.8595976871080705</v>
      </c>
      <c r="AI112">
        <f>(E112/(D112+H112))</f>
        <v>4.9480512025716093E-2</v>
      </c>
      <c r="AJ112">
        <f>(E112/(D112))</f>
        <v>0.14040231289192931</v>
      </c>
      <c r="AK112">
        <f>(H112/(D112+H112))</f>
        <v>0.64758050628551744</v>
      </c>
      <c r="AL112">
        <f>(I112/H112)</f>
        <v>-1.1168727562824089E-2</v>
      </c>
      <c r="AM112">
        <f>J112/H112</f>
        <v>1.0111687275628241</v>
      </c>
      <c r="AN112">
        <f>(D112+H112)/AD112</f>
        <v>1.3256936976937713E-2</v>
      </c>
      <c r="AO112">
        <f>(D112+H112)/AE112</f>
        <v>2.8479608117498521E-2</v>
      </c>
    </row>
    <row r="113" spans="1:41" x14ac:dyDescent="0.35">
      <c r="A113" t="s">
        <v>63</v>
      </c>
      <c r="B113" t="s">
        <v>68</v>
      </c>
      <c r="C113">
        <f t="shared" si="4"/>
        <v>6.369238443699321E-2</v>
      </c>
      <c r="D113">
        <v>6.3692384436993293E-2</v>
      </c>
      <c r="E113">
        <v>2.6529165639306101E-2</v>
      </c>
      <c r="F113">
        <v>3.7163218797687102E-2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f t="shared" si="5"/>
        <v>9.8928109623370203E-2</v>
      </c>
      <c r="M113">
        <v>9.8928109623369995E-2</v>
      </c>
      <c r="N113">
        <f t="shared" si="6"/>
        <v>6.9812506237616298E-2</v>
      </c>
      <c r="O113">
        <v>6.9812506237616298E-2</v>
      </c>
      <c r="P113">
        <v>4.1205557458412499E-2</v>
      </c>
      <c r="Q113">
        <v>2.9078320085581699E-2</v>
      </c>
      <c r="R113">
        <v>5.7722552164957697E-2</v>
      </c>
      <c r="S113">
        <v>4.0734186152034599E-2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91.233487908610002</v>
      </c>
      <c r="AE113">
        <v>64.38249419652</v>
      </c>
      <c r="AF113">
        <f t="shared" si="7"/>
        <v>1</v>
      </c>
      <c r="AG113">
        <f>(F113/(D113+H113))</f>
        <v>0.58347978531798006</v>
      </c>
      <c r="AH113">
        <f>(F113/D113)</f>
        <v>0.58347978531798006</v>
      </c>
      <c r="AI113">
        <f>(E113/(D113+H113))</f>
        <v>0.4165202146820185</v>
      </c>
      <c r="AJ113">
        <f>(E113/(D113))</f>
        <v>0.4165202146820185</v>
      </c>
      <c r="AK113">
        <f>(H113/(D113+H113))</f>
        <v>0</v>
      </c>
      <c r="AL113">
        <v>0</v>
      </c>
      <c r="AM113">
        <v>0</v>
      </c>
      <c r="AN113">
        <f>(D113+H113)/AD113</f>
        <v>6.9812506237616322E-4</v>
      </c>
      <c r="AO113">
        <f>(D113+H113)/AE113</f>
        <v>9.8928109623370249E-4</v>
      </c>
    </row>
    <row r="114" spans="1:41" x14ac:dyDescent="0.35">
      <c r="A114" t="s">
        <v>64</v>
      </c>
      <c r="B114" t="s">
        <v>68</v>
      </c>
      <c r="C114">
        <f t="shared" si="4"/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f t="shared" si="5"/>
        <v>0</v>
      </c>
      <c r="M114">
        <v>0</v>
      </c>
      <c r="N114">
        <f t="shared" si="6"/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309.88816247970999</v>
      </c>
      <c r="AE114">
        <v>147.38397429586999</v>
      </c>
      <c r="AF114" t="e">
        <f t="shared" si="7"/>
        <v>#DIV/0!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f>(D114+H114)/AD114</f>
        <v>0</v>
      </c>
      <c r="AO114">
        <f>(D114+H114)/AE114</f>
        <v>0</v>
      </c>
    </row>
    <row r="115" spans="1:41" x14ac:dyDescent="0.35">
      <c r="A115" t="s">
        <v>65</v>
      </c>
      <c r="B115" t="s">
        <v>68</v>
      </c>
      <c r="C115">
        <f t="shared" si="4"/>
        <v>-4.3303995984909855</v>
      </c>
      <c r="D115">
        <v>-4.3303995984909802</v>
      </c>
      <c r="E115">
        <v>-3.6168747816384302E-2</v>
      </c>
      <c r="F115">
        <v>-4.2942308506746016</v>
      </c>
      <c r="G115">
        <v>0</v>
      </c>
      <c r="H115">
        <v>9.8948958804635723</v>
      </c>
      <c r="I115">
        <v>10.209776743806209</v>
      </c>
      <c r="J115">
        <v>-0.31488086334263699</v>
      </c>
      <c r="K115">
        <v>-9.8869334416288517</v>
      </c>
      <c r="L115">
        <f t="shared" si="5"/>
        <v>-0.7577210812568882</v>
      </c>
      <c r="M115">
        <v>-0.75772108125688842</v>
      </c>
      <c r="N115">
        <f t="shared" si="6"/>
        <v>-0.35628748717574549</v>
      </c>
      <c r="O115">
        <v>-0.35628748717574549</v>
      </c>
      <c r="P115">
        <v>-6.3287052568285996E-3</v>
      </c>
      <c r="Q115">
        <v>-2.9758159681806998E-3</v>
      </c>
      <c r="R115">
        <v>-0.75139237600005959</v>
      </c>
      <c r="S115">
        <v>-0.35331167120756479</v>
      </c>
      <c r="T115">
        <v>0</v>
      </c>
      <c r="U115">
        <v>0</v>
      </c>
      <c r="V115">
        <v>1.731380911840527</v>
      </c>
      <c r="W115">
        <v>0.81411137908485554</v>
      </c>
      <c r="X115">
        <v>1.7864778752529169</v>
      </c>
      <c r="Y115">
        <v>0.84001848280784031</v>
      </c>
      <c r="Z115">
        <v>-5.50969634123901E-2</v>
      </c>
      <c r="AA115">
        <v>-2.5907103722984898E-2</v>
      </c>
      <c r="AB115">
        <v>-1.7299876668001879</v>
      </c>
      <c r="AC115">
        <v>-0.81345626233184243</v>
      </c>
      <c r="AD115">
        <v>1215.4228689920101</v>
      </c>
      <c r="AE115">
        <v>571.50311712429004</v>
      </c>
      <c r="AF115">
        <f t="shared" si="7"/>
        <v>-3.555154457557348E-3</v>
      </c>
      <c r="AG115">
        <f>(F115/(D115+H115))</f>
        <v>-0.77171960103319792</v>
      </c>
      <c r="AH115">
        <f>(F115/D115)</f>
        <v>0.99164771125764417</v>
      </c>
      <c r="AI115">
        <f>(E115/(D115+H115))</f>
        <v>-6.4999140952903328E-3</v>
      </c>
      <c r="AJ115">
        <f>(E115/(D115))</f>
        <v>8.3522887423571873E-3</v>
      </c>
      <c r="AK115">
        <f>(H115/(D115+H115))</f>
        <v>1.7782195151284872</v>
      </c>
      <c r="AL115">
        <f>(I115/H115)</f>
        <v>1.0318225544913855</v>
      </c>
      <c r="AM115">
        <f>J115/H115</f>
        <v>-3.1822554491385407E-2</v>
      </c>
      <c r="AN115">
        <f>(D115+H115)/AD115</f>
        <v>4.5782389190911071E-3</v>
      </c>
      <c r="AO115">
        <f>(D115+H115)/AE115</f>
        <v>9.7365983058364143E-3</v>
      </c>
    </row>
    <row r="116" spans="1:41" x14ac:dyDescent="0.35">
      <c r="A116" t="s">
        <v>28</v>
      </c>
      <c r="B116" t="s">
        <v>69</v>
      </c>
      <c r="C116">
        <f t="shared" si="4"/>
        <v>61.912545774045448</v>
      </c>
      <c r="D116">
        <v>61.912545774045441</v>
      </c>
      <c r="E116">
        <v>4.8525662396136839</v>
      </c>
      <c r="F116">
        <v>57.059979534431761</v>
      </c>
      <c r="G116">
        <v>0</v>
      </c>
      <c r="H116">
        <v>7.1643447578672595E-2</v>
      </c>
      <c r="I116">
        <v>3.0704334676574501E-2</v>
      </c>
      <c r="J116">
        <v>4.0939112902098097E-2</v>
      </c>
      <c r="K116">
        <v>0</v>
      </c>
      <c r="L116">
        <f t="shared" si="5"/>
        <v>4.1419353038878173</v>
      </c>
      <c r="M116">
        <v>4.1419353038878182</v>
      </c>
      <c r="N116">
        <f t="shared" si="6"/>
        <v>5.0478395755619792</v>
      </c>
      <c r="O116">
        <v>5.0478395755619783</v>
      </c>
      <c r="P116">
        <v>0.32463558348356319</v>
      </c>
      <c r="Q116">
        <v>0.39563832501338608</v>
      </c>
      <c r="R116">
        <v>3.8172997204042538</v>
      </c>
      <c r="S116">
        <v>4.6522012505485932</v>
      </c>
      <c r="T116">
        <v>0</v>
      </c>
      <c r="U116">
        <v>0</v>
      </c>
      <c r="V116">
        <v>4.7929304328934996E-3</v>
      </c>
      <c r="W116">
        <v>5.8412172443556001E-3</v>
      </c>
      <c r="X116">
        <v>2.0541130426686002E-3</v>
      </c>
      <c r="Y116">
        <v>2.5033788190095998E-3</v>
      </c>
      <c r="Z116">
        <v>2.7388173902246999E-3</v>
      </c>
      <c r="AA116">
        <v>3.3378384253461E-3</v>
      </c>
      <c r="AB116">
        <v>0</v>
      </c>
      <c r="AC116">
        <v>0</v>
      </c>
      <c r="AD116">
        <v>1226.51571721458</v>
      </c>
      <c r="AE116">
        <v>1494.77336635199</v>
      </c>
      <c r="AF116">
        <f t="shared" si="7"/>
        <v>0.99371234212615034</v>
      </c>
      <c r="AG116">
        <f>(F116/(D116+H116))</f>
        <v>0.92055700414849551</v>
      </c>
      <c r="AH116">
        <f>(F116/D116)</f>
        <v>0.92162224668771509</v>
      </c>
      <c r="AI116">
        <f>(E116/(D116+H116))</f>
        <v>7.8287161622189835E-2</v>
      </c>
      <c r="AJ116">
        <f>(E116/(D116))</f>
        <v>7.8377753312284956E-2</v>
      </c>
      <c r="AK116">
        <f>(H116/(D116+H116))</f>
        <v>1.1558342293147025E-3</v>
      </c>
      <c r="AL116">
        <f>(I116/H116)</f>
        <v>0.42857142857143599</v>
      </c>
      <c r="AM116">
        <f>J116/H116</f>
        <v>0.57142857142856407</v>
      </c>
      <c r="AN116">
        <f>(D116+H116)/AD116</f>
        <v>5.0536807928063365E-2</v>
      </c>
      <c r="AO116">
        <f>(D116+H116)/AE116</f>
        <v>4.1467282343207103E-2</v>
      </c>
    </row>
    <row r="117" spans="1:41" x14ac:dyDescent="0.35">
      <c r="A117" t="s">
        <v>29</v>
      </c>
      <c r="B117" t="s">
        <v>69</v>
      </c>
      <c r="C117">
        <f t="shared" si="4"/>
        <v>40.645124362128023</v>
      </c>
      <c r="D117">
        <v>40.479513138385329</v>
      </c>
      <c r="E117">
        <v>24.517772021033171</v>
      </c>
      <c r="F117">
        <v>15.961741117352149</v>
      </c>
      <c r="G117">
        <v>0.1656112237427009</v>
      </c>
      <c r="H117">
        <v>-2.1278849423861459</v>
      </c>
      <c r="I117">
        <v>1.01315101583767E-2</v>
      </c>
      <c r="J117">
        <v>-2.138016452544512</v>
      </c>
      <c r="K117">
        <v>0</v>
      </c>
      <c r="L117">
        <f t="shared" si="5"/>
        <v>2.3956738432199196</v>
      </c>
      <c r="M117">
        <v>2.3859125130950769</v>
      </c>
      <c r="N117">
        <f t="shared" si="6"/>
        <v>2.3583059913608118</v>
      </c>
      <c r="O117">
        <v>2.3486969189980531</v>
      </c>
      <c r="P117">
        <v>1.4451077723739829</v>
      </c>
      <c r="Q117">
        <v>1.422566902166903</v>
      </c>
      <c r="R117">
        <v>0.94080474072109321</v>
      </c>
      <c r="S117">
        <v>0.92613001683115037</v>
      </c>
      <c r="T117">
        <v>9.7613301248435005E-3</v>
      </c>
      <c r="U117">
        <v>9.6090723627586007E-3</v>
      </c>
      <c r="V117">
        <v>-0.12542016731054501</v>
      </c>
      <c r="W117">
        <v>-0.1234638566693981</v>
      </c>
      <c r="X117">
        <v>5.9716372528450005E-4</v>
      </c>
      <c r="Y117">
        <v>5.8784913278050002E-4</v>
      </c>
      <c r="Z117">
        <v>-0.12601733103582941</v>
      </c>
      <c r="AA117">
        <v>-0.124051705802179</v>
      </c>
      <c r="AB117">
        <v>0</v>
      </c>
      <c r="AC117">
        <v>0</v>
      </c>
      <c r="AD117">
        <v>1723.48815255626</v>
      </c>
      <c r="AE117">
        <v>1696.60508992738</v>
      </c>
      <c r="AF117">
        <f t="shared" si="7"/>
        <v>0.99958693941593935</v>
      </c>
      <c r="AG117">
        <f>(F117/(D117+H117))</f>
        <v>0.41619461462700735</v>
      </c>
      <c r="AH117">
        <f>(F117/D117)</f>
        <v>0.39431652902505343</v>
      </c>
      <c r="AI117">
        <f>(E117/(D117+H117))</f>
        <v>0.639288947413994</v>
      </c>
      <c r="AJ117">
        <f>(E117/(D117))</f>
        <v>0.60568347097494635</v>
      </c>
      <c r="AK117">
        <f>(H117/(D117+H117))</f>
        <v>-5.548356204100157E-2</v>
      </c>
      <c r="AL117">
        <f>(I117/H117)</f>
        <v>-4.7613054430544217E-3</v>
      </c>
      <c r="AM117">
        <f>J117/H117</f>
        <v>1.0047613054430495</v>
      </c>
      <c r="AN117">
        <f>(D117+H117)/AD117</f>
        <v>2.2252330623286524E-2</v>
      </c>
      <c r="AO117">
        <f>(D117+H117)/AE117</f>
        <v>2.2604923457845309E-2</v>
      </c>
    </row>
    <row r="118" spans="1:41" x14ac:dyDescent="0.35">
      <c r="A118" t="s">
        <v>30</v>
      </c>
      <c r="B118" t="s">
        <v>69</v>
      </c>
      <c r="C118">
        <f t="shared" si="4"/>
        <v>62.552451494316109</v>
      </c>
      <c r="D118">
        <v>64.536582715928375</v>
      </c>
      <c r="E118">
        <v>4.2568291943873264</v>
      </c>
      <c r="F118">
        <v>60.279753521541039</v>
      </c>
      <c r="G118">
        <v>-1.984131221612252</v>
      </c>
      <c r="H118">
        <v>2.8314122459696591</v>
      </c>
      <c r="I118">
        <v>-0.10285766593745289</v>
      </c>
      <c r="J118">
        <v>2.934269911907109</v>
      </c>
      <c r="K118">
        <v>0</v>
      </c>
      <c r="L118">
        <f t="shared" si="5"/>
        <v>2.3904063373173936</v>
      </c>
      <c r="M118">
        <v>2.4662287828476401</v>
      </c>
      <c r="N118">
        <f t="shared" si="6"/>
        <v>2.1517203154734648</v>
      </c>
      <c r="O118">
        <v>2.2199717645552992</v>
      </c>
      <c r="P118">
        <v>0.1626723052423576</v>
      </c>
      <c r="Q118">
        <v>0.1464292068216709</v>
      </c>
      <c r="R118">
        <v>2.3035564776052828</v>
      </c>
      <c r="S118">
        <v>2.0735425577336288</v>
      </c>
      <c r="T118">
        <v>-7.5822445530246904E-2</v>
      </c>
      <c r="U118">
        <v>-6.8251449081834795E-2</v>
      </c>
      <c r="V118">
        <v>0.1082008077163667</v>
      </c>
      <c r="W118">
        <v>9.7396778313104407E-2</v>
      </c>
      <c r="X118">
        <v>-3.9306471708930998E-3</v>
      </c>
      <c r="Y118">
        <v>-3.5381655572668002E-3</v>
      </c>
      <c r="Z118">
        <v>0.11213145488725999</v>
      </c>
      <c r="AA118">
        <v>0.10093494387037261</v>
      </c>
      <c r="AB118">
        <v>0</v>
      </c>
      <c r="AC118">
        <v>0</v>
      </c>
      <c r="AD118">
        <v>2907.0902498102801</v>
      </c>
      <c r="AE118">
        <v>2616.8124857180101</v>
      </c>
      <c r="AF118">
        <f t="shared" si="7"/>
        <v>1.0247612833244035</v>
      </c>
      <c r="AG118">
        <f>(F118/(D118+H118))</f>
        <v>0.8947832506464537</v>
      </c>
      <c r="AH118">
        <f>(F118/D118)</f>
        <v>0.93404005890543218</v>
      </c>
      <c r="AI118">
        <f>(E118/(D118+H118))</f>
        <v>6.3187708002812051E-2</v>
      </c>
      <c r="AJ118">
        <f>(E118/(D118))</f>
        <v>6.5959941094567626E-2</v>
      </c>
      <c r="AK118">
        <f>(H118/(D118+H118))</f>
        <v>4.2029041350734105E-2</v>
      </c>
      <c r="AL118">
        <f>(I118/H118)</f>
        <v>-3.6327336679377736E-2</v>
      </c>
      <c r="AM118">
        <f>J118/H118</f>
        <v>1.0363273366793766</v>
      </c>
      <c r="AN118">
        <f>(D118+H118)/AD118</f>
        <v>2.3173685428684074E-2</v>
      </c>
      <c r="AO118">
        <f>(D118+H118)/AE118</f>
        <v>2.5744295905640091E-2</v>
      </c>
    </row>
    <row r="119" spans="1:41" x14ac:dyDescent="0.35">
      <c r="A119" t="s">
        <v>31</v>
      </c>
      <c r="B119" t="s">
        <v>69</v>
      </c>
      <c r="C119">
        <f t="shared" si="4"/>
        <v>102.23012702811141</v>
      </c>
      <c r="D119">
        <v>102.2301270281114</v>
      </c>
      <c r="E119">
        <v>19.23782439707341</v>
      </c>
      <c r="F119">
        <v>82.992302631038001</v>
      </c>
      <c r="G119">
        <v>0</v>
      </c>
      <c r="H119">
        <v>-111.6512256284006</v>
      </c>
      <c r="I119">
        <v>-114.80593817842519</v>
      </c>
      <c r="J119">
        <v>3.1547125500243278</v>
      </c>
      <c r="K119">
        <v>0</v>
      </c>
      <c r="L119">
        <f t="shared" si="5"/>
        <v>2.8418434471316676</v>
      </c>
      <c r="M119">
        <v>2.841843447131668</v>
      </c>
      <c r="N119">
        <f t="shared" si="6"/>
        <v>2.4564011359343336</v>
      </c>
      <c r="O119">
        <v>2.4564011359343332</v>
      </c>
      <c r="P119">
        <v>0.53478252242471824</v>
      </c>
      <c r="Q119">
        <v>0.46224938846923158</v>
      </c>
      <c r="R119">
        <v>2.3070609247069491</v>
      </c>
      <c r="S119">
        <v>1.994151747465102</v>
      </c>
      <c r="T119">
        <v>0</v>
      </c>
      <c r="U119">
        <v>0</v>
      </c>
      <c r="V119">
        <v>-3.1037357884632151</v>
      </c>
      <c r="W119">
        <v>-2.6827727347599581</v>
      </c>
      <c r="X119">
        <v>-3.191432042478489</v>
      </c>
      <c r="Y119">
        <v>-2.758574650659908</v>
      </c>
      <c r="Z119">
        <v>8.7696254015273895E-2</v>
      </c>
      <c r="AA119">
        <v>7.5801915899951597E-2</v>
      </c>
      <c r="AB119">
        <v>0</v>
      </c>
      <c r="AC119">
        <v>0</v>
      </c>
      <c r="AD119">
        <v>4161.7847155581303</v>
      </c>
      <c r="AE119">
        <v>3597.3173374942398</v>
      </c>
      <c r="AF119">
        <f t="shared" si="7"/>
        <v>-0.20129961381352793</v>
      </c>
      <c r="AG119">
        <f>(F119/(D119+H119))</f>
        <v>-8.8091958435176974</v>
      </c>
      <c r="AH119">
        <f>(F119/D119)</f>
        <v>0.81181844377652634</v>
      </c>
      <c r="AI119">
        <f>(E119/(D119+H119))</f>
        <v>-2.0419937433287099</v>
      </c>
      <c r="AJ119">
        <f>(E119/(D119))</f>
        <v>0.18818155622347377</v>
      </c>
      <c r="AK119">
        <f>(H119/(D119+H119))</f>
        <v>11.851189586846406</v>
      </c>
      <c r="AL119">
        <f>(I119/H119)</f>
        <v>1.0282550642168871</v>
      </c>
      <c r="AM119">
        <f>J119/H119</f>
        <v>-2.8255064216884576E-2</v>
      </c>
      <c r="AN119">
        <f>(D119+H119)/AD119</f>
        <v>-2.2637159882561947E-3</v>
      </c>
      <c r="AO119">
        <f>(D119+H119)/AE119</f>
        <v>-2.6189234133154327E-3</v>
      </c>
    </row>
    <row r="120" spans="1:41" x14ac:dyDescent="0.35">
      <c r="A120" t="s">
        <v>32</v>
      </c>
      <c r="B120" t="s">
        <v>69</v>
      </c>
      <c r="C120">
        <f t="shared" si="4"/>
        <v>35.998304619164635</v>
      </c>
      <c r="D120">
        <v>36.032590507810447</v>
      </c>
      <c r="E120">
        <v>3.3829533441994899</v>
      </c>
      <c r="F120">
        <v>32.649637163610961</v>
      </c>
      <c r="G120">
        <v>-3.4285888645816998E-2</v>
      </c>
      <c r="H120">
        <v>53.163057249189023</v>
      </c>
      <c r="I120">
        <v>-1.5918448299843499E-2</v>
      </c>
      <c r="J120">
        <v>53.178975697488909</v>
      </c>
      <c r="K120">
        <v>0</v>
      </c>
      <c r="L120">
        <f t="shared" si="5"/>
        <v>1.8767125440042067</v>
      </c>
      <c r="M120">
        <v>1.878499982551235</v>
      </c>
      <c r="N120">
        <f t="shared" si="6"/>
        <v>1.5399291366081678</v>
      </c>
      <c r="O120">
        <v>1.5413958123157809</v>
      </c>
      <c r="P120">
        <v>0.1763647217280393</v>
      </c>
      <c r="Q120">
        <v>0.1447153825056921</v>
      </c>
      <c r="R120">
        <v>1.702135260823195</v>
      </c>
      <c r="S120">
        <v>1.396680429810089</v>
      </c>
      <c r="T120">
        <v>-1.7874385470275E-3</v>
      </c>
      <c r="U120">
        <v>-1.4666757076133999E-3</v>
      </c>
      <c r="V120">
        <v>2.7715687578256341</v>
      </c>
      <c r="W120">
        <v>2.27419990233679</v>
      </c>
      <c r="X120">
        <v>-8.2988218254849996E-4</v>
      </c>
      <c r="Y120">
        <v>-6.8095657853479996E-4</v>
      </c>
      <c r="Z120">
        <v>2.7723986400081841</v>
      </c>
      <c r="AA120">
        <v>2.2748808589153242</v>
      </c>
      <c r="AB120">
        <v>0</v>
      </c>
      <c r="AC120">
        <v>0</v>
      </c>
      <c r="AD120">
        <v>2337.6598158571201</v>
      </c>
      <c r="AE120">
        <v>1918.15761738117</v>
      </c>
      <c r="AF120">
        <f t="shared" si="7"/>
        <v>1.0047277348741557</v>
      </c>
      <c r="AG120">
        <f>(F120/(D120+H120))</f>
        <v>0.36604518252460178</v>
      </c>
      <c r="AH120">
        <f>(F120/D120)</f>
        <v>0.90611406794451277</v>
      </c>
      <c r="AI120">
        <f>(E120/(D120+H120))</f>
        <v>3.7927336470674582E-2</v>
      </c>
      <c r="AJ120">
        <f>(E120/(D120))</f>
        <v>9.3885932055487342E-2</v>
      </c>
      <c r="AK120">
        <f>(H120/(D120+H120))</f>
        <v>0.59602748100472358</v>
      </c>
      <c r="AL120">
        <f>(I120/H120)</f>
        <v>-2.994268788047611E-4</v>
      </c>
      <c r="AM120">
        <f>J120/H120</f>
        <v>1.0002994268788055</v>
      </c>
      <c r="AN120">
        <f>(D120+H120)/AD120</f>
        <v>3.8155957146525719E-2</v>
      </c>
      <c r="AO120">
        <f>(D120+H120)/AE120</f>
        <v>4.6500687403768663E-2</v>
      </c>
    </row>
    <row r="121" spans="1:41" x14ac:dyDescent="0.35">
      <c r="A121" t="s">
        <v>33</v>
      </c>
      <c r="B121" t="s">
        <v>69</v>
      </c>
      <c r="C121">
        <f t="shared" si="4"/>
        <v>227.99500429432956</v>
      </c>
      <c r="D121">
        <v>227.24510700030919</v>
      </c>
      <c r="E121">
        <v>42.258318536499011</v>
      </c>
      <c r="F121">
        <v>184.9867884638102</v>
      </c>
      <c r="G121">
        <v>0.749897294020343</v>
      </c>
      <c r="H121">
        <v>0.4528225967738137</v>
      </c>
      <c r="I121">
        <v>0</v>
      </c>
      <c r="J121">
        <v>0.4528225967738137</v>
      </c>
      <c r="K121">
        <v>264.23338464211298</v>
      </c>
      <c r="L121">
        <f t="shared" si="5"/>
        <v>4.9951444552306254</v>
      </c>
      <c r="M121">
        <v>4.978714949146438</v>
      </c>
      <c r="N121">
        <f t="shared" si="6"/>
        <v>4.2817151447983983</v>
      </c>
      <c r="O121">
        <v>4.2676321756965621</v>
      </c>
      <c r="P121">
        <v>0.92583785411570318</v>
      </c>
      <c r="Q121">
        <v>0.79360546969643764</v>
      </c>
      <c r="R121">
        <v>4.052877095030734</v>
      </c>
      <c r="S121">
        <v>3.474026706000124</v>
      </c>
      <c r="T121">
        <v>1.6429506084188299E-2</v>
      </c>
      <c r="U121">
        <v>1.40829691018362E-2</v>
      </c>
      <c r="V121">
        <v>9.9208940585281992E-3</v>
      </c>
      <c r="W121">
        <v>8.5039467268783007E-3</v>
      </c>
      <c r="X121">
        <v>0</v>
      </c>
      <c r="Y121">
        <v>0</v>
      </c>
      <c r="Z121">
        <v>9.9208940585281992E-3</v>
      </c>
      <c r="AA121">
        <v>8.5039467268783007E-3</v>
      </c>
      <c r="AB121">
        <v>5.7890914332402303</v>
      </c>
      <c r="AC121">
        <v>4.9622669947756144</v>
      </c>
      <c r="AD121">
        <v>5324.8522282316499</v>
      </c>
      <c r="AE121">
        <v>4564.3325500944502</v>
      </c>
      <c r="AF121">
        <f t="shared" si="7"/>
        <v>1</v>
      </c>
      <c r="AG121">
        <f>(F121/(D121+H121))</f>
        <v>0.81242191701588506</v>
      </c>
      <c r="AH121">
        <f>(F121/D121)</f>
        <v>0.81404079896672321</v>
      </c>
      <c r="AI121">
        <f>(E121/(D121+H121))</f>
        <v>0.1855893841954388</v>
      </c>
      <c r="AJ121">
        <f>(E121/(D121))</f>
        <v>0.18595920103327687</v>
      </c>
      <c r="AK121">
        <f>(H121/(D121+H121))</f>
        <v>1.9886987886762707E-3</v>
      </c>
      <c r="AL121">
        <f>(I121/H121)</f>
        <v>0</v>
      </c>
      <c r="AM121">
        <f>J121/H121</f>
        <v>1</v>
      </c>
      <c r="AN121">
        <f>(D121+H121)/AD121</f>
        <v>4.27613612242344E-2</v>
      </c>
      <c r="AO121">
        <f>(D121+H121)/AE121</f>
        <v>4.9886358432049659E-2</v>
      </c>
    </row>
    <row r="122" spans="1:41" x14ac:dyDescent="0.35">
      <c r="A122" t="s">
        <v>34</v>
      </c>
      <c r="B122" t="s">
        <v>69</v>
      </c>
      <c r="C122">
        <f t="shared" si="4"/>
        <v>1.0631452400697414</v>
      </c>
      <c r="D122">
        <v>0.70983413309792809</v>
      </c>
      <c r="E122">
        <v>5.4602625622916998E-2</v>
      </c>
      <c r="F122">
        <v>0.65523150747500836</v>
      </c>
      <c r="G122">
        <v>0.353311106971816</v>
      </c>
      <c r="H122">
        <v>0.75908356013035672</v>
      </c>
      <c r="I122">
        <v>0</v>
      </c>
      <c r="J122">
        <v>0.75908356013035672</v>
      </c>
      <c r="K122">
        <v>1.338299647620516</v>
      </c>
      <c r="L122">
        <f t="shared" si="5"/>
        <v>6.4899259095969303E-2</v>
      </c>
      <c r="M122">
        <v>4.3331529487037099E-2</v>
      </c>
      <c r="N122">
        <f t="shared" si="6"/>
        <v>4.9298665981093802E-2</v>
      </c>
      <c r="O122">
        <v>3.2915423510035499E-2</v>
      </c>
      <c r="P122">
        <v>3.3331945759259001E-3</v>
      </c>
      <c r="Q122">
        <v>2.5319556546181E-3</v>
      </c>
      <c r="R122">
        <v>3.9998334911111003E-2</v>
      </c>
      <c r="S122">
        <v>3.0383467855417099E-2</v>
      </c>
      <c r="T122">
        <v>2.1567729608932398E-2</v>
      </c>
      <c r="U122">
        <v>1.6383242471058601E-2</v>
      </c>
      <c r="V122">
        <v>4.6337940281009703E-2</v>
      </c>
      <c r="W122">
        <v>3.5199148218122603E-2</v>
      </c>
      <c r="X122">
        <v>0</v>
      </c>
      <c r="Y122">
        <v>0</v>
      </c>
      <c r="Z122">
        <v>4.6337940281009703E-2</v>
      </c>
      <c r="AA122">
        <v>3.5199148218122603E-2</v>
      </c>
      <c r="AB122">
        <v>8.1695945488379801E-2</v>
      </c>
      <c r="AC122">
        <v>6.2057736632796699E-2</v>
      </c>
      <c r="AD122">
        <v>2156.5395714307001</v>
      </c>
      <c r="AE122">
        <v>1638.14696019506</v>
      </c>
      <c r="AF122">
        <f t="shared" si="7"/>
        <v>1</v>
      </c>
      <c r="AG122">
        <f>(F122/(D122+H122))</f>
        <v>0.44606413994169153</v>
      </c>
      <c r="AH122">
        <f>(F122/D122)</f>
        <v>0.92307692307692002</v>
      </c>
      <c r="AI122">
        <f>(E122/(D122+H122))</f>
        <v>3.7172011661807378E-2</v>
      </c>
      <c r="AJ122">
        <f>(E122/(D122))</f>
        <v>7.692307692307615E-2</v>
      </c>
      <c r="AK122">
        <f>(H122/(D122+H122))</f>
        <v>0.51676384839649925</v>
      </c>
      <c r="AL122">
        <f>(I122/H122)</f>
        <v>0</v>
      </c>
      <c r="AM122">
        <f>J122/H122</f>
        <v>1</v>
      </c>
      <c r="AN122">
        <f>(D122+H122)/AD122</f>
        <v>6.8114571728158436E-4</v>
      </c>
      <c r="AO122">
        <f>(D122+H122)/AE122</f>
        <v>8.9669469768046664E-4</v>
      </c>
    </row>
    <row r="123" spans="1:41" x14ac:dyDescent="0.35">
      <c r="A123" t="s">
        <v>35</v>
      </c>
      <c r="B123" t="s">
        <v>69</v>
      </c>
      <c r="C123">
        <f t="shared" si="4"/>
        <v>9.5341563582265767</v>
      </c>
      <c r="D123">
        <v>8.919494114882724</v>
      </c>
      <c r="E123">
        <v>-1.0503963879287279</v>
      </c>
      <c r="F123">
        <v>9.9698905028114524</v>
      </c>
      <c r="G123">
        <v>0.614662243343852</v>
      </c>
      <c r="H123">
        <v>6.8486823031478536</v>
      </c>
      <c r="I123">
        <v>4.1453482675033501E-2</v>
      </c>
      <c r="J123">
        <v>6.8072288204728011</v>
      </c>
      <c r="K123">
        <v>-4.8979840922594699E-2</v>
      </c>
      <c r="L123">
        <f t="shared" si="5"/>
        <v>0.72014677861024512</v>
      </c>
      <c r="M123">
        <v>0.67371927964275846</v>
      </c>
      <c r="N123">
        <f t="shared" si="6"/>
        <v>0.53069910260154773</v>
      </c>
      <c r="O123">
        <v>0.49648519958912501</v>
      </c>
      <c r="P123">
        <v>-7.9339959049236103E-2</v>
      </c>
      <c r="Q123">
        <v>-5.8468143326461199E-2</v>
      </c>
      <c r="R123">
        <v>0.75305923869199454</v>
      </c>
      <c r="S123">
        <v>0.5549533429155864</v>
      </c>
      <c r="T123">
        <v>4.6427498967486699E-2</v>
      </c>
      <c r="U123">
        <v>3.4213903012422497E-2</v>
      </c>
      <c r="V123">
        <v>0.51730392423040783</v>
      </c>
      <c r="W123">
        <v>0.38121774132092229</v>
      </c>
      <c r="X123">
        <v>3.131120456698E-3</v>
      </c>
      <c r="Y123">
        <v>2.3074224114612999E-3</v>
      </c>
      <c r="Z123">
        <v>0.514172803773711</v>
      </c>
      <c r="AA123">
        <v>0.37891031890946181</v>
      </c>
      <c r="AB123">
        <v>-3.6996115158960999E-3</v>
      </c>
      <c r="AC123">
        <v>-2.7263615831890999E-3</v>
      </c>
      <c r="AD123">
        <v>1796.5276955414199</v>
      </c>
      <c r="AE123">
        <v>1323.9184901480501</v>
      </c>
      <c r="AF123">
        <f t="shared" si="7"/>
        <v>1.0410860539869797</v>
      </c>
      <c r="AG123">
        <f>(F123/(D123+H123))</f>
        <v>0.63227923372363415</v>
      </c>
      <c r="AH123">
        <f>(F123/D123)</f>
        <v>1.1177641214176124</v>
      </c>
      <c r="AI123">
        <f>(E123/(D123+H123))</f>
        <v>-6.6614956611445675E-2</v>
      </c>
      <c r="AJ123">
        <f>(E123/(D123))</f>
        <v>-0.11776412141761235</v>
      </c>
      <c r="AK123">
        <f>(H123/(D123+H123))</f>
        <v>0.43433572288781153</v>
      </c>
      <c r="AL123">
        <f>(I123/H123)</f>
        <v>6.0527676478700542E-3</v>
      </c>
      <c r="AM123">
        <f>J123/H123</f>
        <v>0.99394723235212712</v>
      </c>
      <c r="AN123">
        <f>(D123+H123)/AD123</f>
        <v>8.7770294091004918E-3</v>
      </c>
      <c r="AO123">
        <f>(D123+H123)/AE123</f>
        <v>1.1910232038731679E-2</v>
      </c>
    </row>
    <row r="124" spans="1:41" x14ac:dyDescent="0.35">
      <c r="A124" t="s">
        <v>36</v>
      </c>
      <c r="B124" t="s">
        <v>69</v>
      </c>
      <c r="C124">
        <f t="shared" si="4"/>
        <v>202.94318783825901</v>
      </c>
      <c r="D124">
        <v>199.1047307379088</v>
      </c>
      <c r="E124">
        <v>103.96143780860361</v>
      </c>
      <c r="F124">
        <v>95.143292929305247</v>
      </c>
      <c r="G124">
        <v>3.838457100350162</v>
      </c>
      <c r="H124">
        <v>-0.29967103393948941</v>
      </c>
      <c r="I124">
        <v>-8.7880068603979995E-4</v>
      </c>
      <c r="J124">
        <v>-0.29879223325349358</v>
      </c>
      <c r="K124">
        <v>0</v>
      </c>
      <c r="L124">
        <f t="shared" si="5"/>
        <v>6.4275653576586569</v>
      </c>
      <c r="M124">
        <v>6.3059947144265589</v>
      </c>
      <c r="N124">
        <f t="shared" si="6"/>
        <v>6.8981642551462636</v>
      </c>
      <c r="O124">
        <v>6.7676927283776473</v>
      </c>
      <c r="P124">
        <v>3.2926403852664432</v>
      </c>
      <c r="Q124">
        <v>3.5337134586476822</v>
      </c>
      <c r="R124">
        <v>3.0133543291601161</v>
      </c>
      <c r="S124">
        <v>3.2339792697299639</v>
      </c>
      <c r="T124">
        <v>0.12157064323209781</v>
      </c>
      <c r="U124">
        <v>0.1304715267686169</v>
      </c>
      <c r="V124">
        <v>-9.4911052544333005E-3</v>
      </c>
      <c r="W124">
        <v>-1.01860034655185E-2</v>
      </c>
      <c r="X124">
        <v>-2.7833153238815411E-5</v>
      </c>
      <c r="Y124">
        <v>-2.9870977904758459E-5</v>
      </c>
      <c r="Z124">
        <v>-9.4632721011950992E-3</v>
      </c>
      <c r="AA124">
        <v>-1.0156132487614E-2</v>
      </c>
      <c r="AB124">
        <v>0</v>
      </c>
      <c r="AC124">
        <v>0</v>
      </c>
      <c r="AD124">
        <v>2941.9883367789698</v>
      </c>
      <c r="AE124">
        <v>3157.38816403392</v>
      </c>
      <c r="AF124">
        <f t="shared" si="7"/>
        <v>1.0000084532123954</v>
      </c>
      <c r="AG124">
        <f>(F124/(D124+H124))</f>
        <v>0.47857581226040413</v>
      </c>
      <c r="AH124">
        <f>(F124/D124)</f>
        <v>0.47785551140192128</v>
      </c>
      <c r="AI124">
        <f>(E124/(D124+H124))</f>
        <v>0.52293154894250371</v>
      </c>
      <c r="AJ124">
        <f>(E124/(D124))</f>
        <v>0.52214448859807894</v>
      </c>
      <c r="AK124">
        <f>(H124/(D124+H124))</f>
        <v>-1.5073612029075849E-3</v>
      </c>
      <c r="AL124">
        <f>(I124/H124)</f>
        <v>2.9325513196489001E-3</v>
      </c>
      <c r="AM124">
        <f>J124/H124</f>
        <v>0.99706744868049779</v>
      </c>
      <c r="AN124">
        <f>(D124+H124)/AD124</f>
        <v>6.7575067249121268E-2</v>
      </c>
      <c r="AO124">
        <f>(D124+H124)/AE124</f>
        <v>6.2965036091721258E-2</v>
      </c>
    </row>
    <row r="125" spans="1:41" x14ac:dyDescent="0.35">
      <c r="A125" t="s">
        <v>37</v>
      </c>
      <c r="B125" t="s">
        <v>69</v>
      </c>
      <c r="C125">
        <f t="shared" si="4"/>
        <v>1054.3</v>
      </c>
      <c r="D125">
        <v>1054.3</v>
      </c>
      <c r="E125">
        <v>179.8</v>
      </c>
      <c r="F125">
        <v>874.5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f t="shared" si="5"/>
        <v>5.2902870798831074</v>
      </c>
      <c r="M125">
        <v>5.2902870798831074</v>
      </c>
      <c r="N125">
        <f t="shared" si="6"/>
        <v>5.2783053488644835</v>
      </c>
      <c r="O125">
        <v>5.2783053488644818</v>
      </c>
      <c r="P125">
        <v>0.90220394286539163</v>
      </c>
      <c r="Q125">
        <v>0.90016058211688743</v>
      </c>
      <c r="R125">
        <v>4.3880831370177162</v>
      </c>
      <c r="S125">
        <v>4.3781447667475959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19974.2138871676</v>
      </c>
      <c r="AE125">
        <v>19928.975197</v>
      </c>
      <c r="AF125">
        <f t="shared" si="7"/>
        <v>1</v>
      </c>
      <c r="AG125">
        <f>(F125/(D125+H125))</f>
        <v>0.82946030541591576</v>
      </c>
      <c r="AH125">
        <f>(F125/D125)</f>
        <v>0.82946030541591576</v>
      </c>
      <c r="AI125">
        <f>(E125/(D125+H125))</f>
        <v>0.17053969458408424</v>
      </c>
      <c r="AJ125">
        <f>(E125/(D125))</f>
        <v>0.17053969458408424</v>
      </c>
      <c r="AK125">
        <f>(H125/(D125+H125))</f>
        <v>0</v>
      </c>
      <c r="AL125">
        <v>0</v>
      </c>
      <c r="AM125">
        <v>0</v>
      </c>
      <c r="AN125">
        <f>(D125+H125)/AD125</f>
        <v>5.2783053488644836E-2</v>
      </c>
      <c r="AO125">
        <f>(D125+H125)/AE125</f>
        <v>5.2902870798831068E-2</v>
      </c>
    </row>
    <row r="126" spans="1:41" x14ac:dyDescent="0.35">
      <c r="A126" t="s">
        <v>38</v>
      </c>
      <c r="B126" t="s">
        <v>69</v>
      </c>
      <c r="C126">
        <f t="shared" si="4"/>
        <v>2.6756517035228975</v>
      </c>
      <c r="D126">
        <v>0.48248815777999438</v>
      </c>
      <c r="E126">
        <v>0.51497751595394803</v>
      </c>
      <c r="F126">
        <v>-3.2489358173953597E-2</v>
      </c>
      <c r="G126">
        <v>2.1931635457429031</v>
      </c>
      <c r="H126">
        <v>1.254832181317395</v>
      </c>
      <c r="I126">
        <v>0.10436173005807831</v>
      </c>
      <c r="J126">
        <v>1.150470451259316</v>
      </c>
      <c r="K126">
        <v>7.6165976297277194</v>
      </c>
      <c r="L126">
        <f t="shared" si="5"/>
        <v>0.20917397713870878</v>
      </c>
      <c r="M126">
        <v>3.7719396269809198E-2</v>
      </c>
      <c r="N126">
        <f t="shared" si="6"/>
        <v>0.11234362634872891</v>
      </c>
      <c r="O126">
        <v>2.0258417507762201E-2</v>
      </c>
      <c r="P126">
        <v>4.0259311407112801E-2</v>
      </c>
      <c r="Q126">
        <v>2.1622560796740801E-2</v>
      </c>
      <c r="R126">
        <v>-2.5399151373036001E-3</v>
      </c>
      <c r="S126">
        <v>-1.3641432889784999E-3</v>
      </c>
      <c r="T126">
        <v>0.17145458086889959</v>
      </c>
      <c r="U126">
        <v>9.2085208840966604E-2</v>
      </c>
      <c r="V126">
        <v>9.8098806231845803E-2</v>
      </c>
      <c r="W126">
        <v>5.2687125728161997E-2</v>
      </c>
      <c r="X126">
        <v>8.1586695714477003E-3</v>
      </c>
      <c r="Y126">
        <v>4.3818764569822999E-3</v>
      </c>
      <c r="Z126">
        <v>8.9940136660398004E-2</v>
      </c>
      <c r="AA126">
        <v>4.8305249271179698E-2</v>
      </c>
      <c r="AB126">
        <v>0.59544148305167344</v>
      </c>
      <c r="AC126">
        <v>0.31980104026100231</v>
      </c>
      <c r="AD126">
        <v>2381.6675591522499</v>
      </c>
      <c r="AE126">
        <v>1279.1513266244399</v>
      </c>
      <c r="AF126">
        <f t="shared" si="7"/>
        <v>0.83149504777862593</v>
      </c>
      <c r="AG126">
        <f>(F126/(D126+H126))</f>
        <v>-1.8700844883237353E-2</v>
      </c>
      <c r="AH126">
        <f>(F126/D126)</f>
        <v>-6.7337110041088596E-2</v>
      </c>
      <c r="AI126">
        <f>(E126/(D126+H126))</f>
        <v>0.29642058770894281</v>
      </c>
      <c r="AJ126">
        <f>(E126/(D126))</f>
        <v>1.0673371100410887</v>
      </c>
      <c r="AK126">
        <f>(H126/(D126+H126))</f>
        <v>0.72228025717429456</v>
      </c>
      <c r="AL126">
        <f>(I126/H126)</f>
        <v>8.3167878232540515E-2</v>
      </c>
      <c r="AM126">
        <f>J126/H126</f>
        <v>0.91683212176745887</v>
      </c>
      <c r="AN126">
        <f>(D126+H126)/AD126</f>
        <v>7.2945543235924384E-4</v>
      </c>
      <c r="AO126">
        <f>(D126+H126)/AE126</f>
        <v>1.358182025016551E-3</v>
      </c>
    </row>
    <row r="127" spans="1:41" x14ac:dyDescent="0.35">
      <c r="A127" t="s">
        <v>39</v>
      </c>
      <c r="B127" t="s">
        <v>69</v>
      </c>
      <c r="C127">
        <f t="shared" si="4"/>
        <v>2.9555531427100137</v>
      </c>
      <c r="D127">
        <v>2.706739027069029</v>
      </c>
      <c r="E127">
        <v>6.3428250262197894E-2</v>
      </c>
      <c r="F127">
        <v>2.6433107768068318</v>
      </c>
      <c r="G127">
        <v>0.24881411564098421</v>
      </c>
      <c r="H127">
        <v>-22.6690210199828</v>
      </c>
      <c r="I127">
        <v>8.8709204053682503E-2</v>
      </c>
      <c r="J127">
        <v>-22.757730224036489</v>
      </c>
      <c r="K127">
        <v>2.230995755846735</v>
      </c>
      <c r="L127">
        <f t="shared" si="5"/>
        <v>0.29642872626636202</v>
      </c>
      <c r="M127">
        <v>0.2714737862550583</v>
      </c>
      <c r="N127">
        <f t="shared" si="6"/>
        <v>0.1266421354479354</v>
      </c>
      <c r="O127">
        <v>0.1159807298115369</v>
      </c>
      <c r="P127">
        <v>6.3615690622593002E-3</v>
      </c>
      <c r="Q127">
        <v>2.7178293446502998E-3</v>
      </c>
      <c r="R127">
        <v>0.26511221719279898</v>
      </c>
      <c r="S127">
        <v>0.1132629004668866</v>
      </c>
      <c r="T127">
        <v>2.4954940011303699E-2</v>
      </c>
      <c r="U127">
        <v>1.06614056363985E-2</v>
      </c>
      <c r="V127">
        <v>-2.27360115084833</v>
      </c>
      <c r="W127">
        <v>-0.97134211156575756</v>
      </c>
      <c r="X127">
        <v>8.8971353570804993E-3</v>
      </c>
      <c r="Y127">
        <v>3.8010898443680001E-3</v>
      </c>
      <c r="Z127">
        <v>-2.2824982862054122</v>
      </c>
      <c r="AA127">
        <v>-0.975143201410126</v>
      </c>
      <c r="AB127">
        <v>0.22375886958504049</v>
      </c>
      <c r="AC127">
        <v>9.5595664518028298E-2</v>
      </c>
      <c r="AD127">
        <v>2333.7834064911899</v>
      </c>
      <c r="AE127">
        <v>997.05355143423003</v>
      </c>
      <c r="AF127">
        <f t="shared" si="7"/>
        <v>0.41691410275935675</v>
      </c>
      <c r="AG127">
        <f>(F127/(D127+H127))</f>
        <v>-0.1324152608276527</v>
      </c>
      <c r="AH127">
        <f>(F127/D127)</f>
        <v>0.97656654386408281</v>
      </c>
      <c r="AI127">
        <f>(E127/(D127+H127))</f>
        <v>-3.1774047819138973E-3</v>
      </c>
      <c r="AJ127">
        <f>(E127/(D127))</f>
        <v>2.3433456135917421E-2</v>
      </c>
      <c r="AK127">
        <f>(H127/(D127+H127))</f>
        <v>1.1355926656095667</v>
      </c>
      <c r="AL127">
        <f>(I127/H127)</f>
        <v>-3.9132348933588754E-3</v>
      </c>
      <c r="AM127">
        <f>J127/H127</f>
        <v>1.0039132348933593</v>
      </c>
      <c r="AN127">
        <f>(D127+H127)/AD127</f>
        <v>-8.5536138175422091E-3</v>
      </c>
      <c r="AO127">
        <f>(D127+H127)/AE127</f>
        <v>-2.0021273645932716E-2</v>
      </c>
    </row>
    <row r="128" spans="1:41" x14ac:dyDescent="0.35">
      <c r="A128" t="s">
        <v>40</v>
      </c>
      <c r="B128" t="s">
        <v>69</v>
      </c>
      <c r="C128">
        <f t="shared" si="4"/>
        <v>-0.15673549095230832</v>
      </c>
      <c r="D128">
        <v>-0.15673549095230749</v>
      </c>
      <c r="E128">
        <v>-8.8163713660671002E-3</v>
      </c>
      <c r="F128">
        <v>-0.14791911958624121</v>
      </c>
      <c r="G128">
        <v>0</v>
      </c>
      <c r="H128">
        <v>-4.4081856830334901E-2</v>
      </c>
      <c r="I128">
        <v>0</v>
      </c>
      <c r="J128">
        <v>-4.4081856830334901E-2</v>
      </c>
      <c r="K128">
        <v>0</v>
      </c>
      <c r="L128">
        <f t="shared" si="5"/>
        <v>-3.7863429173518003E-2</v>
      </c>
      <c r="M128">
        <v>-3.7863429173517801E-2</v>
      </c>
      <c r="N128">
        <f t="shared" si="6"/>
        <v>-3.3447667807116395E-2</v>
      </c>
      <c r="O128">
        <v>-3.3447667807116901E-2</v>
      </c>
      <c r="P128">
        <v>-2.1298178910102998E-3</v>
      </c>
      <c r="Q128">
        <v>-1.8814313141501001E-3</v>
      </c>
      <c r="R128">
        <v>-3.5733611282507703E-2</v>
      </c>
      <c r="S128">
        <v>-3.1566236492966297E-2</v>
      </c>
      <c r="T128">
        <v>0</v>
      </c>
      <c r="U128">
        <v>0</v>
      </c>
      <c r="V128">
        <v>-1.06490894550512E-2</v>
      </c>
      <c r="W128">
        <v>-9.4071565707508995E-3</v>
      </c>
      <c r="X128">
        <v>0</v>
      </c>
      <c r="Y128">
        <v>0</v>
      </c>
      <c r="Z128">
        <v>-1.06490894550512E-2</v>
      </c>
      <c r="AA128">
        <v>-9.4071565707508995E-3</v>
      </c>
      <c r="AB128">
        <v>0</v>
      </c>
      <c r="AC128">
        <v>0</v>
      </c>
      <c r="AD128">
        <v>468.59916169988998</v>
      </c>
      <c r="AE128">
        <v>413.94954015926999</v>
      </c>
      <c r="AF128">
        <f t="shared" si="7"/>
        <v>1</v>
      </c>
      <c r="AG128">
        <f>(F128/(D128+H128))</f>
        <v>0.7365853658536694</v>
      </c>
      <c r="AH128">
        <f>(F128/D128)</f>
        <v>0.94375000000000653</v>
      </c>
      <c r="AI128">
        <f>(E128/(D128+H128))</f>
        <v>4.3902439024389617E-2</v>
      </c>
      <c r="AJ128">
        <f>(E128/(D128))</f>
        <v>5.6249999999998752E-2</v>
      </c>
      <c r="AK128">
        <f>(H128/(D128+H128))</f>
        <v>0.21951219512194509</v>
      </c>
      <c r="AL128">
        <f>(I128/H128)</f>
        <v>0</v>
      </c>
      <c r="AM128">
        <f>J128/H128</f>
        <v>1</v>
      </c>
      <c r="AN128">
        <f>(D128+H128)/AD128</f>
        <v>-4.2854824377866474E-4</v>
      </c>
      <c r="AO128">
        <f>(D128+H128)/AE128</f>
        <v>-4.8512518628569194E-4</v>
      </c>
    </row>
    <row r="129" spans="1:41" x14ac:dyDescent="0.35">
      <c r="A129" t="s">
        <v>41</v>
      </c>
      <c r="B129" t="s">
        <v>69</v>
      </c>
      <c r="C129">
        <f t="shared" si="4"/>
        <v>13.950383861545907</v>
      </c>
      <c r="D129">
        <v>16.64724725671066</v>
      </c>
      <c r="E129">
        <v>5.4475010377742272</v>
      </c>
      <c r="F129">
        <v>11.199746218936429</v>
      </c>
      <c r="G129">
        <v>-2.6968633951647489</v>
      </c>
      <c r="H129">
        <v>-0.37390929665895811</v>
      </c>
      <c r="I129">
        <v>-0.1192141238614583</v>
      </c>
      <c r="J129">
        <v>-0.25469517279749709</v>
      </c>
      <c r="K129">
        <v>0</v>
      </c>
      <c r="L129">
        <f t="shared" si="5"/>
        <v>2.8173628297447078</v>
      </c>
      <c r="M129">
        <v>3.3620104008685532</v>
      </c>
      <c r="N129">
        <f t="shared" si="6"/>
        <v>2.512125336347077</v>
      </c>
      <c r="O129">
        <v>2.9977649381601279</v>
      </c>
      <c r="P129">
        <v>1.100155170720879</v>
      </c>
      <c r="Q129">
        <v>0.98096263963686803</v>
      </c>
      <c r="R129">
        <v>2.2618552301476749</v>
      </c>
      <c r="S129">
        <v>2.0168022985232601</v>
      </c>
      <c r="T129">
        <v>-0.54464757112384632</v>
      </c>
      <c r="U129">
        <v>-0.48563960181305132</v>
      </c>
      <c r="V129">
        <v>-7.5513201970499794E-2</v>
      </c>
      <c r="W129">
        <v>-6.73319836181622E-2</v>
      </c>
      <c r="X129">
        <v>-2.4075999963963299E-2</v>
      </c>
      <c r="Y129">
        <v>-2.1467568489516899E-2</v>
      </c>
      <c r="Z129">
        <v>-5.1437202006535898E-2</v>
      </c>
      <c r="AA129">
        <v>-4.5864415128646002E-2</v>
      </c>
      <c r="AB129">
        <v>0</v>
      </c>
      <c r="AC129">
        <v>0</v>
      </c>
      <c r="AD129">
        <v>555.32196820367994</v>
      </c>
      <c r="AE129">
        <v>495.15751802582002</v>
      </c>
      <c r="AF129">
        <f t="shared" si="7"/>
        <v>1.0223738184124764</v>
      </c>
      <c r="AG129">
        <f>(F129/(D129+H129))</f>
        <v>0.68822673298065318</v>
      </c>
      <c r="AH129">
        <f>(F129/D129)</f>
        <v>0.67276865936028596</v>
      </c>
      <c r="AI129">
        <f>(E129/(D129+H129))</f>
        <v>0.33475007101474341</v>
      </c>
      <c r="AJ129">
        <f>(E129/(D129))</f>
        <v>0.32723134063971382</v>
      </c>
      <c r="AK129">
        <f>(H129/(D129+H129))</f>
        <v>-2.2976803995396786E-2</v>
      </c>
      <c r="AL129">
        <f>(I129/H129)</f>
        <v>0.31883166566514459</v>
      </c>
      <c r="AM129">
        <f>J129/H129</f>
        <v>0.68116833433484814</v>
      </c>
      <c r="AN129">
        <f>(D129+H129)/AD129</f>
        <v>2.9304329545419672E-2</v>
      </c>
      <c r="AO129">
        <f>(D129+H129)/AE129</f>
        <v>3.2864971988980543E-2</v>
      </c>
    </row>
    <row r="130" spans="1:41" x14ac:dyDescent="0.35">
      <c r="A130" t="s">
        <v>42</v>
      </c>
      <c r="B130" t="s">
        <v>69</v>
      </c>
      <c r="C130">
        <f t="shared" si="4"/>
        <v>2.4619885799198751</v>
      </c>
      <c r="D130">
        <v>2.4930645985307538</v>
      </c>
      <c r="E130">
        <v>0.32729011819604897</v>
      </c>
      <c r="F130">
        <v>2.1657744803347061</v>
      </c>
      <c r="G130">
        <v>-3.1076018610880201E-2</v>
      </c>
      <c r="H130">
        <v>-0.25641147142569309</v>
      </c>
      <c r="I130">
        <v>-4.9722637971639995E-4</v>
      </c>
      <c r="J130">
        <v>-0.25591424504597882</v>
      </c>
      <c r="K130">
        <v>0</v>
      </c>
      <c r="L130">
        <f t="shared" si="5"/>
        <v>1.1417105414477382</v>
      </c>
      <c r="M130">
        <v>1.1561215823126889</v>
      </c>
      <c r="N130">
        <f t="shared" si="6"/>
        <v>0.60432338910538108</v>
      </c>
      <c r="O130">
        <v>0.61195135498629538</v>
      </c>
      <c r="P130">
        <v>0.15177591850091621</v>
      </c>
      <c r="Q130">
        <v>8.0337120595162903E-2</v>
      </c>
      <c r="R130">
        <v>1.0043456638117729</v>
      </c>
      <c r="S130">
        <v>0.53161423439113231</v>
      </c>
      <c r="T130">
        <v>-1.4411040864951E-2</v>
      </c>
      <c r="U130">
        <v>-7.6279658809140999E-3</v>
      </c>
      <c r="V130">
        <v>-0.1189070015444073</v>
      </c>
      <c r="W130">
        <v>-6.2939142237013301E-2</v>
      </c>
      <c r="X130">
        <v>-2.3058132918980001E-4</v>
      </c>
      <c r="Y130">
        <v>-1.220499288232E-4</v>
      </c>
      <c r="Z130">
        <v>-0.11867642021521969</v>
      </c>
      <c r="AA130">
        <v>-6.2817092308188494E-2</v>
      </c>
      <c r="AB130">
        <v>0</v>
      </c>
      <c r="AC130">
        <v>0</v>
      </c>
      <c r="AD130">
        <v>407.39587848230002</v>
      </c>
      <c r="AE130">
        <v>215.64034757863999</v>
      </c>
      <c r="AF130">
        <f t="shared" si="7"/>
        <v>1.0015215336446053</v>
      </c>
      <c r="AG130">
        <f>(F130/(D130+H130))</f>
        <v>0.96831039828598986</v>
      </c>
      <c r="AH130">
        <f>(F130/D130)</f>
        <v>0.86871976025453546</v>
      </c>
      <c r="AI130">
        <f>(E130/(D130+H130))</f>
        <v>0.14633029781406753</v>
      </c>
      <c r="AJ130">
        <f>(E130/(D130))</f>
        <v>0.13128023974546507</v>
      </c>
      <c r="AK130">
        <f>(H130/(D130+H130))</f>
        <v>-0.11464069610005685</v>
      </c>
      <c r="AL130">
        <f>(I130/H130)</f>
        <v>1.9391736920026761E-3</v>
      </c>
      <c r="AM130">
        <f>J130/H130</f>
        <v>0.99806082630800563</v>
      </c>
      <c r="AN130">
        <f>(D130+H130)/AD130</f>
        <v>5.4901221274928427E-3</v>
      </c>
      <c r="AO130">
        <f>(D130+H130)/AE130</f>
        <v>1.0372145807682838E-2</v>
      </c>
    </row>
    <row r="131" spans="1:41" x14ac:dyDescent="0.35">
      <c r="A131" t="s">
        <v>43</v>
      </c>
      <c r="B131" t="s">
        <v>69</v>
      </c>
      <c r="C131">
        <f t="shared" ref="C131:C194" si="8">E131+F131+G131</f>
        <v>-13.921968259466084</v>
      </c>
      <c r="D131">
        <v>-13.901541641016699</v>
      </c>
      <c r="E131">
        <v>-9.3165876622044994E-5</v>
      </c>
      <c r="F131">
        <v>-13.90144847514008</v>
      </c>
      <c r="G131">
        <v>-2.0426618449381002E-2</v>
      </c>
      <c r="H131">
        <v>-15.907093829902591</v>
      </c>
      <c r="I131">
        <v>-0.28382197792848268</v>
      </c>
      <c r="J131">
        <v>-15.62327185197411</v>
      </c>
      <c r="K131">
        <v>0</v>
      </c>
      <c r="L131">
        <f t="shared" ref="L131:L194" si="9">P131+R131+T131</f>
        <v>-4.185767229084294</v>
      </c>
      <c r="M131">
        <v>-4.1796257792179414</v>
      </c>
      <c r="N131">
        <f t="shared" ref="N131:N194" si="10">Q131+S131+U131</f>
        <v>-4.4756026789977597</v>
      </c>
      <c r="O131">
        <v>-4.4690359761759257</v>
      </c>
      <c r="P131">
        <v>-2.8011173848804801E-5</v>
      </c>
      <c r="Q131">
        <v>-2.9950754033447599E-5</v>
      </c>
      <c r="R131">
        <v>-4.1795977680440934</v>
      </c>
      <c r="S131">
        <v>-4.4690060254218924</v>
      </c>
      <c r="T131">
        <v>-6.1414498663516E-3</v>
      </c>
      <c r="U131">
        <v>-6.5667028218339002E-3</v>
      </c>
      <c r="V131">
        <v>-4.7826134079786158</v>
      </c>
      <c r="W131">
        <v>-5.1137763305683004</v>
      </c>
      <c r="X131">
        <v>-8.5333676385819596E-2</v>
      </c>
      <c r="Y131">
        <v>-9.1242443676127202E-2</v>
      </c>
      <c r="Z131">
        <v>-4.697279731592797</v>
      </c>
      <c r="AA131">
        <v>-5.0225338868921714</v>
      </c>
      <c r="AB131">
        <v>0</v>
      </c>
      <c r="AC131">
        <v>0</v>
      </c>
      <c r="AD131">
        <v>311.06354290107998</v>
      </c>
      <c r="AE131">
        <v>332.60254327404999</v>
      </c>
      <c r="AF131">
        <f t="shared" ref="AF131:AF194" si="11">E131/(E131+I131)</f>
        <v>3.2814690816915096E-4</v>
      </c>
      <c r="AG131">
        <f>(F131/(D131+H131))</f>
        <v>0.46635641838426506</v>
      </c>
      <c r="AH131">
        <f>(F131/D131)</f>
        <v>0.99999329816224525</v>
      </c>
      <c r="AI131">
        <f>(E131/(D131+H131))</f>
        <v>3.1254659983660022E-6</v>
      </c>
      <c r="AJ131">
        <f>(E131/(D131))</f>
        <v>6.7018377549694007E-6</v>
      </c>
      <c r="AK131">
        <f>(H131/(D131+H131))</f>
        <v>0.53364045614973665</v>
      </c>
      <c r="AL131">
        <f>(I131/H131)</f>
        <v>1.7842478391304033E-2</v>
      </c>
      <c r="AM131">
        <f>J131/H131</f>
        <v>0.98215752160869607</v>
      </c>
      <c r="AN131">
        <f>(D131+H131)/AD131</f>
        <v>-9.5828123067442234E-2</v>
      </c>
      <c r="AO131">
        <f>(D131+H131)/AE131</f>
        <v>-8.9622391871965565E-2</v>
      </c>
    </row>
    <row r="132" spans="1:41" x14ac:dyDescent="0.35">
      <c r="A132" t="s">
        <v>44</v>
      </c>
      <c r="B132" t="s">
        <v>69</v>
      </c>
      <c r="C132">
        <f t="shared" si="8"/>
        <v>-6.8806318739233997E-3</v>
      </c>
      <c r="D132">
        <v>-6.8806318739236001E-3</v>
      </c>
      <c r="E132">
        <v>-1.1265363412197001E-3</v>
      </c>
      <c r="F132">
        <v>-5.7540955327036996E-3</v>
      </c>
      <c r="G132">
        <v>0</v>
      </c>
      <c r="H132">
        <v>-5.6816615470212002E-3</v>
      </c>
      <c r="I132">
        <v>-4.2122663193432004E-3</v>
      </c>
      <c r="J132">
        <v>-1.4693952276778001E-3</v>
      </c>
      <c r="K132">
        <v>0</v>
      </c>
      <c r="L132">
        <f t="shared" si="9"/>
        <v>-2.5582685845137999E-2</v>
      </c>
      <c r="M132">
        <v>-2.5582685845137999E-2</v>
      </c>
      <c r="N132">
        <f t="shared" si="10"/>
        <v>-1.4986704770683699E-2</v>
      </c>
      <c r="O132">
        <v>-1.49867047706839E-2</v>
      </c>
      <c r="P132">
        <v>-4.1885434126735996E-3</v>
      </c>
      <c r="Q132">
        <v>-2.4537088843962999E-3</v>
      </c>
      <c r="R132">
        <v>-2.1394142432464399E-2</v>
      </c>
      <c r="S132">
        <v>-1.2532995886287399E-2</v>
      </c>
      <c r="T132">
        <v>0</v>
      </c>
      <c r="U132">
        <v>0</v>
      </c>
      <c r="V132">
        <v>-2.11248276465285E-2</v>
      </c>
      <c r="W132">
        <v>-1.2375227416955001E-2</v>
      </c>
      <c r="X132">
        <v>-1.5661510151737001E-2</v>
      </c>
      <c r="Y132">
        <v>-9.1747375677426E-3</v>
      </c>
      <c r="Z132">
        <v>-5.4633174947917003E-3</v>
      </c>
      <c r="AA132">
        <v>-3.2004898492122998E-3</v>
      </c>
      <c r="AB132">
        <v>0</v>
      </c>
      <c r="AC132">
        <v>0</v>
      </c>
      <c r="AD132">
        <v>45.911572818750003</v>
      </c>
      <c r="AE132">
        <v>26.895658710639999</v>
      </c>
      <c r="AF132">
        <f t="shared" si="11"/>
        <v>0.21100917431192764</v>
      </c>
      <c r="AG132">
        <f>(F132/(D132+H132))</f>
        <v>0.45804498747896133</v>
      </c>
      <c r="AH132">
        <f>(F132/D132)</f>
        <v>0.83627428964928674</v>
      </c>
      <c r="AI132">
        <f>(E132/(D132+H132))</f>
        <v>8.9676009266067128E-2</v>
      </c>
      <c r="AJ132">
        <f>(E132/(D132))</f>
        <v>0.16372571035068409</v>
      </c>
      <c r="AK132">
        <f>(H132/(D132+H132))</f>
        <v>0.45227900325495557</v>
      </c>
      <c r="AL132">
        <f>(I132/H132)</f>
        <v>0.74137931034480942</v>
      </c>
      <c r="AM132">
        <f>J132/H132</f>
        <v>0.25862068965515544</v>
      </c>
      <c r="AN132">
        <f>(D132+H132)/AD132</f>
        <v>-2.7361932187638835E-4</v>
      </c>
      <c r="AO132">
        <f>(D132+H132)/AE132</f>
        <v>-4.6707513491666672E-4</v>
      </c>
    </row>
    <row r="133" spans="1:41" x14ac:dyDescent="0.35">
      <c r="A133" t="s">
        <v>45</v>
      </c>
      <c r="B133" t="s">
        <v>69</v>
      </c>
      <c r="C133">
        <f t="shared" si="8"/>
        <v>0.9739878360894787</v>
      </c>
      <c r="D133">
        <v>1.0519623383661809</v>
      </c>
      <c r="E133">
        <v>0.6196774981599118</v>
      </c>
      <c r="F133">
        <v>0.43228484020626912</v>
      </c>
      <c r="G133">
        <v>-7.7974502276702204E-2</v>
      </c>
      <c r="H133">
        <v>-7.5037116293415806E-2</v>
      </c>
      <c r="I133">
        <v>-1.1853121503268199E-2</v>
      </c>
      <c r="J133">
        <v>-6.31839947901493E-2</v>
      </c>
      <c r="K133">
        <v>-4.8979840922596003E-3</v>
      </c>
      <c r="L133">
        <f t="shared" si="9"/>
        <v>0.38233961370666508</v>
      </c>
      <c r="M133">
        <v>0.41294855970658689</v>
      </c>
      <c r="N133">
        <f t="shared" si="10"/>
        <v>0.38357708829807563</v>
      </c>
      <c r="O133">
        <v>0.41428510274810509</v>
      </c>
      <c r="P133">
        <v>0.24325484004033029</v>
      </c>
      <c r="Q133">
        <v>0.24404215496401591</v>
      </c>
      <c r="R133">
        <v>0.1696937196662569</v>
      </c>
      <c r="S133">
        <v>0.17024294778408941</v>
      </c>
      <c r="T133">
        <v>-3.0608945999922098E-2</v>
      </c>
      <c r="U133">
        <v>-3.07080144500297E-2</v>
      </c>
      <c r="V133">
        <v>-2.9455873055330699E-2</v>
      </c>
      <c r="W133">
        <v>-2.9551209487045101E-2</v>
      </c>
      <c r="X133">
        <v>-4.6529512267556002E-3</v>
      </c>
      <c r="Y133">
        <v>-4.6680108980838003E-3</v>
      </c>
      <c r="Z133">
        <v>-2.4802921828574499E-2</v>
      </c>
      <c r="AA133">
        <v>-2.4883198588961201E-2</v>
      </c>
      <c r="AB133">
        <v>-1.922707118494E-3</v>
      </c>
      <c r="AC133">
        <v>-1.9289301231751E-3</v>
      </c>
      <c r="AD133">
        <v>253.92231856471</v>
      </c>
      <c r="AE133">
        <v>254.7441596875</v>
      </c>
      <c r="AF133">
        <f t="shared" si="11"/>
        <v>1.0195008985464957</v>
      </c>
      <c r="AG133">
        <f>(F133/(D133+H133))</f>
        <v>0.44249532148333753</v>
      </c>
      <c r="AH133">
        <f>(F133/D133)</f>
        <v>0.41093185985884001</v>
      </c>
      <c r="AI133">
        <f>(E133/(D133+H133))</f>
        <v>0.6343141564562409</v>
      </c>
      <c r="AJ133">
        <f>(E133/(D133))</f>
        <v>0.58906814014115993</v>
      </c>
      <c r="AK133">
        <f>(H133/(D133+H133))</f>
        <v>-7.680947793957843E-2</v>
      </c>
      <c r="AL133">
        <f>(I133/H133)</f>
        <v>0.15796344647519805</v>
      </c>
      <c r="AM133">
        <f>J133/H133</f>
        <v>0.84203655352482454</v>
      </c>
      <c r="AN133">
        <f>(D133+H133)/AD133</f>
        <v>3.8473389326106199E-3</v>
      </c>
      <c r="AO133">
        <f>(D133+H133)/AE133</f>
        <v>3.8349268665125815E-3</v>
      </c>
    </row>
    <row r="134" spans="1:41" x14ac:dyDescent="0.35">
      <c r="A134" t="s">
        <v>46</v>
      </c>
      <c r="B134" t="s">
        <v>69</v>
      </c>
      <c r="C134">
        <f t="shared" si="8"/>
        <v>8.3725140766960351</v>
      </c>
      <c r="D134">
        <v>7.9529738437430826</v>
      </c>
      <c r="E134">
        <v>0.36466848586374179</v>
      </c>
      <c r="F134">
        <v>7.5883053578793396</v>
      </c>
      <c r="G134">
        <v>0.41954023295295251</v>
      </c>
      <c r="H134">
        <v>6.360550016758193</v>
      </c>
      <c r="I134">
        <v>6.41999440943819</v>
      </c>
      <c r="J134">
        <v>-5.9444392679996502E-2</v>
      </c>
      <c r="K134">
        <v>0</v>
      </c>
      <c r="L134">
        <f t="shared" si="9"/>
        <v>4.1061258246306123</v>
      </c>
      <c r="M134">
        <v>3.9003710215667908</v>
      </c>
      <c r="N134">
        <f t="shared" si="10"/>
        <v>2.7765411775471889</v>
      </c>
      <c r="O134">
        <v>2.6374108372741398</v>
      </c>
      <c r="P134">
        <v>0.1788440931263203</v>
      </c>
      <c r="Q134">
        <v>0.12093345653161609</v>
      </c>
      <c r="R134">
        <v>3.7215269284404711</v>
      </c>
      <c r="S134">
        <v>2.5164773807425238</v>
      </c>
      <c r="T134">
        <v>0.2057548030638211</v>
      </c>
      <c r="U134">
        <v>0.13913034027304899</v>
      </c>
      <c r="V134">
        <v>3.1193997935888671</v>
      </c>
      <c r="W134">
        <v>2.1093221070279422</v>
      </c>
      <c r="X134">
        <v>3.1485530626878351</v>
      </c>
      <c r="Y134">
        <v>2.1290353977478338</v>
      </c>
      <c r="Z134">
        <v>-2.9153269098967899E-2</v>
      </c>
      <c r="AA134">
        <v>-1.97132907198918E-2</v>
      </c>
      <c r="AB134">
        <v>0</v>
      </c>
      <c r="AC134">
        <v>0</v>
      </c>
      <c r="AD134">
        <v>301.54474727050001</v>
      </c>
      <c r="AE134">
        <v>203.90300819506001</v>
      </c>
      <c r="AF134">
        <f t="shared" si="11"/>
        <v>5.3748946925020843E-2</v>
      </c>
      <c r="AG134">
        <f>(F134/(D134+H134))</f>
        <v>0.5301493490935214</v>
      </c>
      <c r="AH134">
        <f>(F134/D134)</f>
        <v>0.95414690240045963</v>
      </c>
      <c r="AI134">
        <f>(E134/(D134+H134))</f>
        <v>2.5477198306844525E-2</v>
      </c>
      <c r="AJ134">
        <f>(E134/(D134))</f>
        <v>4.5853097599540184E-2</v>
      </c>
      <c r="AK134">
        <f>(H134/(D134+H134))</f>
        <v>0.44437345259963396</v>
      </c>
      <c r="AL134">
        <f>(I134/H134)</f>
        <v>1.0093457943925255</v>
      </c>
      <c r="AM134">
        <f>J134/H134</f>
        <v>-9.3457943925254697E-3</v>
      </c>
      <c r="AN134">
        <f>(D134+H134)/AD134</f>
        <v>4.7467329443020817E-2</v>
      </c>
      <c r="AO134">
        <f>(D134+H134)/AE134</f>
        <v>7.0197708151556598E-2</v>
      </c>
    </row>
    <row r="135" spans="1:41" x14ac:dyDescent="0.35">
      <c r="A135" t="s">
        <v>47</v>
      </c>
      <c r="B135" t="s">
        <v>69</v>
      </c>
      <c r="C135">
        <f t="shared" si="8"/>
        <v>2.62667508678592E-2</v>
      </c>
      <c r="D135">
        <v>2.62667508678592E-2</v>
      </c>
      <c r="E135">
        <v>2.8942786299298601E-2</v>
      </c>
      <c r="F135">
        <v>-2.6760354314394001E-3</v>
      </c>
      <c r="G135">
        <v>0</v>
      </c>
      <c r="H135">
        <v>-2.8565706996578001E-3</v>
      </c>
      <c r="I135">
        <v>0</v>
      </c>
      <c r="J135">
        <v>-2.8565706996578001E-3</v>
      </c>
      <c r="K135">
        <v>0</v>
      </c>
      <c r="L135">
        <f t="shared" si="9"/>
        <v>0.12670888126723651</v>
      </c>
      <c r="M135">
        <v>0.1267088812672359</v>
      </c>
      <c r="N135">
        <f t="shared" si="10"/>
        <v>0.13774479070298001</v>
      </c>
      <c r="O135">
        <v>0.13774479070298001</v>
      </c>
      <c r="P135">
        <v>0.1396178800792699</v>
      </c>
      <c r="Q135">
        <v>0.15177811908347741</v>
      </c>
      <c r="R135">
        <v>-1.29089988120334E-2</v>
      </c>
      <c r="S135">
        <v>-1.40333283804974E-2</v>
      </c>
      <c r="T135">
        <v>0</v>
      </c>
      <c r="U135">
        <v>0</v>
      </c>
      <c r="V135">
        <v>-1.3779887715664E-2</v>
      </c>
      <c r="W135">
        <v>-1.4980068723843901E-2</v>
      </c>
      <c r="X135">
        <v>0</v>
      </c>
      <c r="Y135">
        <v>0</v>
      </c>
      <c r="Z135">
        <v>-1.3779887715664E-2</v>
      </c>
      <c r="AA135">
        <v>-1.4980068723843901E-2</v>
      </c>
      <c r="AB135">
        <v>0</v>
      </c>
      <c r="AC135">
        <v>0</v>
      </c>
      <c r="AD135">
        <v>19.06914282116</v>
      </c>
      <c r="AE135">
        <v>20.729999827290001</v>
      </c>
      <c r="AF135">
        <f t="shared" si="11"/>
        <v>1</v>
      </c>
      <c r="AG135">
        <f>(F135/(D135+H135))</f>
        <v>-0.11431075763672773</v>
      </c>
      <c r="AH135">
        <f>(F135/D135)</f>
        <v>-0.10187919491458226</v>
      </c>
      <c r="AI135">
        <f>(E135/(D135+H135))</f>
        <v>1.2363333426460454</v>
      </c>
      <c r="AJ135">
        <f>(E135/(D135))</f>
        <v>1.1018791949145823</v>
      </c>
      <c r="AK135">
        <f>(H135/(D135+H135))</f>
        <v>-0.12202258500931776</v>
      </c>
      <c r="AL135">
        <f>(I135/H135)</f>
        <v>0</v>
      </c>
      <c r="AM135">
        <f>J135/H135</f>
        <v>1</v>
      </c>
      <c r="AN135">
        <f>(D135+H135)/AD135</f>
        <v>1.2276472197913575E-3</v>
      </c>
      <c r="AO135">
        <f>(D135+H135)/AE135</f>
        <v>1.129289935515729E-3</v>
      </c>
    </row>
    <row r="136" spans="1:41" x14ac:dyDescent="0.35">
      <c r="A136" t="s">
        <v>48</v>
      </c>
      <c r="B136" t="s">
        <v>69</v>
      </c>
      <c r="C136">
        <f t="shared" si="8"/>
        <v>-1.4467121469156698</v>
      </c>
      <c r="D136">
        <v>-1.048808652685707</v>
      </c>
      <c r="E136">
        <v>0.78867720461602975</v>
      </c>
      <c r="F136">
        <v>-1.8374858573017361</v>
      </c>
      <c r="G136">
        <v>-0.39790349422996352</v>
      </c>
      <c r="H136">
        <v>-0.70896838615191271</v>
      </c>
      <c r="I136">
        <v>-0.8826455907679418</v>
      </c>
      <c r="J136">
        <v>0.17367720461602909</v>
      </c>
      <c r="K136">
        <v>0</v>
      </c>
      <c r="L136">
        <f t="shared" si="9"/>
        <v>-0.38945955297030871</v>
      </c>
      <c r="M136">
        <v>-0.28234265530790292</v>
      </c>
      <c r="N136">
        <f t="shared" si="10"/>
        <v>-0.34619385982758172</v>
      </c>
      <c r="O136">
        <v>-0.2509767519875501</v>
      </c>
      <c r="P136">
        <v>0.2123144346319894</v>
      </c>
      <c r="Q136">
        <v>0.18872807987832979</v>
      </c>
      <c r="R136">
        <v>-0.4946570899398921</v>
      </c>
      <c r="S136">
        <v>-0.43970483186588</v>
      </c>
      <c r="T136">
        <v>-0.10711689766240599</v>
      </c>
      <c r="U136">
        <v>-9.5217107840031498E-2</v>
      </c>
      <c r="V136">
        <v>-0.19085656488712699</v>
      </c>
      <c r="W136">
        <v>-0.1696539996715527</v>
      </c>
      <c r="X136">
        <v>-0.23761102576249729</v>
      </c>
      <c r="Y136">
        <v>-0.21121443168857401</v>
      </c>
      <c r="Z136">
        <v>4.6754460875370302E-2</v>
      </c>
      <c r="AA136">
        <v>4.1560432017021399E-2</v>
      </c>
      <c r="AB136">
        <v>0</v>
      </c>
      <c r="AC136">
        <v>0</v>
      </c>
      <c r="AD136">
        <v>417.89075855828003</v>
      </c>
      <c r="AE136">
        <v>371.46659669328</v>
      </c>
      <c r="AF136">
        <f t="shared" si="11"/>
        <v>-8.3930057428147276</v>
      </c>
      <c r="AG136">
        <f>(F136/(D136+H136))</f>
        <v>1.0453463759640564</v>
      </c>
      <c r="AH136">
        <f>(F136/D136)</f>
        <v>1.7519743497504967</v>
      </c>
      <c r="AI136">
        <f>(E136/(D136+H136))</f>
        <v>-0.44867875002939228</v>
      </c>
      <c r="AJ136">
        <f>(E136/(D136))</f>
        <v>-0.75197434975049737</v>
      </c>
      <c r="AK136">
        <f>(H136/(D136+H136))</f>
        <v>0.40333237406533556</v>
      </c>
      <c r="AL136">
        <f>(I136/H136)</f>
        <v>1.2449717194848442</v>
      </c>
      <c r="AM136">
        <f>J136/H136</f>
        <v>-0.24497171948484425</v>
      </c>
      <c r="AN136">
        <f>(D136+H136)/AD136</f>
        <v>-4.206307516591028E-3</v>
      </c>
      <c r="AO136">
        <f>(D136+H136)/AE136</f>
        <v>-4.7319922019503045E-3</v>
      </c>
    </row>
    <row r="137" spans="1:41" x14ac:dyDescent="0.35">
      <c r="A137" t="s">
        <v>49</v>
      </c>
      <c r="B137" t="s">
        <v>69</v>
      </c>
      <c r="C137">
        <f t="shared" si="8"/>
        <v>0.97733203671214797</v>
      </c>
      <c r="D137">
        <v>0.973540694996057</v>
      </c>
      <c r="E137">
        <v>0.44152575336758199</v>
      </c>
      <c r="F137">
        <v>0.53201494162847496</v>
      </c>
      <c r="G137">
        <v>3.791341716091E-3</v>
      </c>
      <c r="H137">
        <v>-8.6212863034837994E-3</v>
      </c>
      <c r="I137">
        <v>-2.7209392217096302E-2</v>
      </c>
      <c r="J137">
        <v>1.85881059136132E-2</v>
      </c>
      <c r="K137">
        <v>0</v>
      </c>
      <c r="L137">
        <f t="shared" si="9"/>
        <v>0.2726472542657345</v>
      </c>
      <c r="M137">
        <v>0.27158958003625511</v>
      </c>
      <c r="N137">
        <f t="shared" si="10"/>
        <v>0.28543850164518031</v>
      </c>
      <c r="O137">
        <v>0.28433120662361761</v>
      </c>
      <c r="P137">
        <v>0.12317286226312139</v>
      </c>
      <c r="Q137">
        <v>0.12895151774925501</v>
      </c>
      <c r="R137">
        <v>0.14841671777313339</v>
      </c>
      <c r="S137">
        <v>0.1553796888743619</v>
      </c>
      <c r="T137">
        <v>1.0576742294797E-3</v>
      </c>
      <c r="U137">
        <v>1.1072950215634E-3</v>
      </c>
      <c r="V137">
        <v>-2.4050884966290999E-3</v>
      </c>
      <c r="W137">
        <v>-2.5179232362004E-3</v>
      </c>
      <c r="X137">
        <v>-7.5906302050505001E-3</v>
      </c>
      <c r="Y137">
        <v>-7.9467446613657993E-3</v>
      </c>
      <c r="Z137">
        <v>5.1855417084216001E-3</v>
      </c>
      <c r="AA137">
        <v>5.4288214251653998E-3</v>
      </c>
      <c r="AB137">
        <v>0</v>
      </c>
      <c r="AC137">
        <v>0</v>
      </c>
      <c r="AD137">
        <v>342.39670930134002</v>
      </c>
      <c r="AE137">
        <v>358.46025273358998</v>
      </c>
      <c r="AF137">
        <f t="shared" si="11"/>
        <v>1.0656729851110405</v>
      </c>
      <c r="AG137">
        <f>(F137/(D137+H137))</f>
        <v>0.55135686652767579</v>
      </c>
      <c r="AH137">
        <f>(F137/D137)</f>
        <v>0.54647427104280388</v>
      </c>
      <c r="AI137">
        <f>(E137/(D137+H137))</f>
        <v>0.45757785509344406</v>
      </c>
      <c r="AJ137">
        <f>(E137/(D137))</f>
        <v>0.45352572895719601</v>
      </c>
      <c r="AK137">
        <f>(H137/(D137+H137))</f>
        <v>-8.9347216211199381E-3</v>
      </c>
      <c r="AL137">
        <f>(I137/H137)</f>
        <v>3.1560710617046999</v>
      </c>
      <c r="AM137">
        <f>J137/H137</f>
        <v>-2.1560710617047807</v>
      </c>
      <c r="AN137">
        <f>(D137+H137)/AD137</f>
        <v>2.8181328338741625E-3</v>
      </c>
      <c r="AO137">
        <f>(D137+H137)/AE137</f>
        <v>2.6918449153962619E-3</v>
      </c>
    </row>
    <row r="138" spans="1:41" x14ac:dyDescent="0.35">
      <c r="A138" t="s">
        <v>50</v>
      </c>
      <c r="B138" t="s">
        <v>69</v>
      </c>
      <c r="C138">
        <f t="shared" si="8"/>
        <v>-2.3205983330700897E-2</v>
      </c>
      <c r="D138">
        <v>-2.3205983330701199E-2</v>
      </c>
      <c r="E138">
        <v>7.9292813335628005E-3</v>
      </c>
      <c r="F138">
        <v>-3.1135264664263699E-2</v>
      </c>
      <c r="G138">
        <v>0</v>
      </c>
      <c r="H138">
        <v>-6.9654562634122397E-2</v>
      </c>
      <c r="I138">
        <v>-3.4533528024344E-3</v>
      </c>
      <c r="J138">
        <v>-6.6201209831687993E-2</v>
      </c>
      <c r="K138">
        <v>0</v>
      </c>
      <c r="L138">
        <f t="shared" si="9"/>
        <v>-7.6942717779705502E-2</v>
      </c>
      <c r="M138">
        <v>-7.6942717779704795E-2</v>
      </c>
      <c r="N138">
        <f t="shared" si="10"/>
        <v>-4.1870983365384501E-2</v>
      </c>
      <c r="O138">
        <v>-4.1870983365384903E-2</v>
      </c>
      <c r="P138">
        <v>2.6290653024690899E-2</v>
      </c>
      <c r="Q138">
        <v>1.4306948431606899E-2</v>
      </c>
      <c r="R138">
        <v>-0.1032333708043964</v>
      </c>
      <c r="S138">
        <v>-5.6177931796991397E-2</v>
      </c>
      <c r="T138">
        <v>0</v>
      </c>
      <c r="U138">
        <v>0</v>
      </c>
      <c r="V138">
        <v>-0.2309495477287431</v>
      </c>
      <c r="W138">
        <v>-0.12567901096085179</v>
      </c>
      <c r="X138">
        <v>-1.14500793301846E-2</v>
      </c>
      <c r="Y138">
        <v>-6.2309481001066001E-3</v>
      </c>
      <c r="Z138">
        <v>-0.21949946839855849</v>
      </c>
      <c r="AA138">
        <v>-0.1194480628607452</v>
      </c>
      <c r="AB138">
        <v>0</v>
      </c>
      <c r="AC138">
        <v>0</v>
      </c>
      <c r="AD138">
        <v>55.422589739999999</v>
      </c>
      <c r="AE138">
        <v>30.160077523049999</v>
      </c>
      <c r="AF138">
        <f t="shared" si="11"/>
        <v>1.7715388613597445</v>
      </c>
      <c r="AG138">
        <f>(F138/(D138+H138))</f>
        <v>0.33529056221635845</v>
      </c>
      <c r="AH138">
        <f>(F138/D138)</f>
        <v>1.3416912449071774</v>
      </c>
      <c r="AI138">
        <f>(E138/(D138+H138))</f>
        <v>-8.5389131101668111E-2</v>
      </c>
      <c r="AJ138">
        <f>(E138/(D138))</f>
        <v>-0.34169124490719038</v>
      </c>
      <c r="AK138">
        <f>(H138/(D138+H138))</f>
        <v>0.75009856888530646</v>
      </c>
      <c r="AL138">
        <f>(I138/H138)</f>
        <v>4.9578271283878116E-2</v>
      </c>
      <c r="AM138">
        <f>J138/H138</f>
        <v>0.95042172871612185</v>
      </c>
      <c r="AN138">
        <f>(D138+H138)/AD138</f>
        <v>-1.6754999432623699E-3</v>
      </c>
      <c r="AO138">
        <f>(D138+H138)/AE138</f>
        <v>-3.0789226550845049E-3</v>
      </c>
    </row>
    <row r="139" spans="1:41" x14ac:dyDescent="0.35">
      <c r="A139" t="s">
        <v>51</v>
      </c>
      <c r="B139" t="s">
        <v>69</v>
      </c>
      <c r="C139">
        <f t="shared" si="8"/>
        <v>-1.84302188106782E-2</v>
      </c>
      <c r="D139">
        <v>-7.7036336486297997E-3</v>
      </c>
      <c r="E139">
        <v>-2.4489920461298002E-3</v>
      </c>
      <c r="F139">
        <v>-5.2546416025002997E-3</v>
      </c>
      <c r="G139">
        <v>-1.0726585162048099E-2</v>
      </c>
      <c r="H139">
        <v>-8.4245326386861996E-3</v>
      </c>
      <c r="I139">
        <v>-1.5673549095230001E-3</v>
      </c>
      <c r="J139">
        <v>-6.8571777291632002E-3</v>
      </c>
      <c r="K139">
        <v>0</v>
      </c>
      <c r="L139">
        <f t="shared" si="9"/>
        <v>-3.8223670689821403E-2</v>
      </c>
      <c r="M139">
        <v>-1.59770840880986E-2</v>
      </c>
      <c r="N139">
        <f t="shared" si="10"/>
        <v>-1.8973609057238799E-2</v>
      </c>
      <c r="O139">
        <v>-7.9307649394054994E-3</v>
      </c>
      <c r="P139">
        <v>-5.0791293611240004E-3</v>
      </c>
      <c r="Q139">
        <v>-2.5211972871767999E-3</v>
      </c>
      <c r="R139">
        <v>-1.0897954726974701E-2</v>
      </c>
      <c r="S139">
        <v>-5.4095676522288999E-3</v>
      </c>
      <c r="T139">
        <v>-2.2246586601722702E-2</v>
      </c>
      <c r="U139">
        <v>-1.10428441178331E-2</v>
      </c>
      <c r="V139">
        <v>-1.74722050022664E-2</v>
      </c>
      <c r="W139">
        <v>-8.6729186678872992E-3</v>
      </c>
      <c r="X139">
        <v>-3.2506427911193E-3</v>
      </c>
      <c r="Y139">
        <v>-1.6135662637929999E-3</v>
      </c>
      <c r="Z139">
        <v>-1.4221562211146999E-2</v>
      </c>
      <c r="AA139">
        <v>-7.0593524040941996E-3</v>
      </c>
      <c r="AB139">
        <v>0</v>
      </c>
      <c r="AC139">
        <v>0</v>
      </c>
      <c r="AD139">
        <v>97.136073348400004</v>
      </c>
      <c r="AE139">
        <v>48.216768505140003</v>
      </c>
      <c r="AF139">
        <f t="shared" si="11"/>
        <v>0.60975609756098648</v>
      </c>
      <c r="AG139">
        <f>(F139/(D139+H139))</f>
        <v>0.32580527190079966</v>
      </c>
      <c r="AH139">
        <f>(F139/D139)</f>
        <v>0.68209910312063082</v>
      </c>
      <c r="AI139">
        <f>(E139/(D139+H139))</f>
        <v>0.15184565948181042</v>
      </c>
      <c r="AJ139">
        <f>(E139/(D139))</f>
        <v>0.31790089687940809</v>
      </c>
      <c r="AK139">
        <f>(H139/(D139+H139))</f>
        <v>0.52234906861740849</v>
      </c>
      <c r="AL139">
        <f>(I139/H139)</f>
        <v>0.18604651162790534</v>
      </c>
      <c r="AM139">
        <f>J139/H139</f>
        <v>0.81395348837209469</v>
      </c>
      <c r="AN139">
        <f>(D139+H139)/AD139</f>
        <v>-1.6603683607292592E-4</v>
      </c>
      <c r="AO139">
        <f>(D139+H139)/AE139</f>
        <v>-3.3449289090364289E-4</v>
      </c>
    </row>
    <row r="140" spans="1:41" x14ac:dyDescent="0.35">
      <c r="A140" t="s">
        <v>52</v>
      </c>
      <c r="B140" t="s">
        <v>69</v>
      </c>
      <c r="C140">
        <f t="shared" si="8"/>
        <v>-0.56289206247596146</v>
      </c>
      <c r="D140">
        <v>-0.58431545748586755</v>
      </c>
      <c r="E140">
        <v>-9.795968184518999E-4</v>
      </c>
      <c r="F140">
        <v>-0.5833358606674155</v>
      </c>
      <c r="G140">
        <v>2.1423395009906001E-2</v>
      </c>
      <c r="H140">
        <v>0.44306040520924173</v>
      </c>
      <c r="I140">
        <v>0.45530536543989031</v>
      </c>
      <c r="J140">
        <v>-1.22449602306486E-2</v>
      </c>
      <c r="K140">
        <v>-0.23304046522143079</v>
      </c>
      <c r="L140">
        <f t="shared" si="9"/>
        <v>-0.84572301720794119</v>
      </c>
      <c r="M140">
        <v>-0.8779108192297338</v>
      </c>
      <c r="N140">
        <f t="shared" si="10"/>
        <v>-0.84845115836557861</v>
      </c>
      <c r="O140">
        <v>-0.88074279209785278</v>
      </c>
      <c r="P140">
        <v>-1.4718053996077001E-3</v>
      </c>
      <c r="Q140">
        <v>-1.4765531631247999E-3</v>
      </c>
      <c r="R140">
        <v>-0.87643901383012679</v>
      </c>
      <c r="S140">
        <v>-0.87926623893472833</v>
      </c>
      <c r="T140">
        <v>3.2187802021793298E-2</v>
      </c>
      <c r="U140">
        <v>3.2291633732274498E-2</v>
      </c>
      <c r="V140">
        <v>0.66568070093355658</v>
      </c>
      <c r="W140">
        <v>0.66782805991647276</v>
      </c>
      <c r="X140">
        <v>0.68407826842865238</v>
      </c>
      <c r="Y140">
        <v>0.68628497445553482</v>
      </c>
      <c r="Z140">
        <v>-1.8397567495095499E-2</v>
      </c>
      <c r="AA140">
        <v>-1.84569145390618E-2</v>
      </c>
      <c r="AB140">
        <v>-0.350134063912169</v>
      </c>
      <c r="AC140">
        <v>-0.35126352962495422</v>
      </c>
      <c r="AD140">
        <v>66.343484468840003</v>
      </c>
      <c r="AE140">
        <v>66.557495896739994</v>
      </c>
      <c r="AF140">
        <f t="shared" si="11"/>
        <v>-2.1561550898252864E-3</v>
      </c>
      <c r="AG140">
        <f>(F140/(D140+H140))</f>
        <v>4.1296636917810474</v>
      </c>
      <c r="AH140">
        <f>(F140/D140)</f>
        <v>0.99832351376999851</v>
      </c>
      <c r="AI140">
        <f>(E140/(D140+H140))</f>
        <v>6.9349506630992106E-3</v>
      </c>
      <c r="AJ140">
        <f>(E140/(D140))</f>
        <v>1.6764862300011852E-3</v>
      </c>
      <c r="AK140">
        <f>(H140/(D140+H140))</f>
        <v>-3.1365986424441479</v>
      </c>
      <c r="AL140">
        <f>(I140/H140)</f>
        <v>1.0276372252782682</v>
      </c>
      <c r="AM140">
        <f>J140/H140</f>
        <v>-2.7637225278268184E-2</v>
      </c>
      <c r="AN140">
        <f>(D140+H140)/AD140</f>
        <v>-2.1291473218137953E-3</v>
      </c>
      <c r="AO140">
        <f>(D140+H140)/AE140</f>
        <v>-2.1223011829617907E-3</v>
      </c>
    </row>
    <row r="141" spans="1:41" x14ac:dyDescent="0.35">
      <c r="A141" t="s">
        <v>53</v>
      </c>
      <c r="B141" t="s">
        <v>69</v>
      </c>
      <c r="C141">
        <f t="shared" si="8"/>
        <v>-16.697606960011509</v>
      </c>
      <c r="D141">
        <v>-0.1743682336844401</v>
      </c>
      <c r="E141">
        <v>2.4860569687780369</v>
      </c>
      <c r="F141">
        <v>-2.660425202462477</v>
      </c>
      <c r="G141">
        <v>-16.523238726327069</v>
      </c>
      <c r="H141">
        <v>36.262795760146673</v>
      </c>
      <c r="I141">
        <v>0</v>
      </c>
      <c r="J141">
        <v>36.262795760146673</v>
      </c>
      <c r="K141">
        <v>0</v>
      </c>
      <c r="L141">
        <f t="shared" si="9"/>
        <v>-1.9872179046062155</v>
      </c>
      <c r="M141">
        <v>-2.07519362985433E-2</v>
      </c>
      <c r="N141">
        <f t="shared" si="10"/>
        <v>-1.7907424800191343</v>
      </c>
      <c r="O141">
        <v>-1.8700200811554799E-2</v>
      </c>
      <c r="P141">
        <v>0.29587095516490508</v>
      </c>
      <c r="Q141">
        <v>0.26661831437283778</v>
      </c>
      <c r="R141">
        <v>-0.31662289146344857</v>
      </c>
      <c r="S141">
        <v>-0.28531851518439311</v>
      </c>
      <c r="T141">
        <v>-1.966465968307672</v>
      </c>
      <c r="U141">
        <v>-1.772042279207579</v>
      </c>
      <c r="V141">
        <v>4.3157128550348984</v>
      </c>
      <c r="W141">
        <v>3.8890200833849069</v>
      </c>
      <c r="X141">
        <v>0</v>
      </c>
      <c r="Y141">
        <v>0</v>
      </c>
      <c r="Z141">
        <v>4.3157128550348984</v>
      </c>
      <c r="AA141">
        <v>3.8890200833849069</v>
      </c>
      <c r="AB141">
        <v>0</v>
      </c>
      <c r="AC141">
        <v>0</v>
      </c>
      <c r="AD141">
        <v>932.44043441874999</v>
      </c>
      <c r="AE141">
        <v>840.25042856688003</v>
      </c>
      <c r="AF141">
        <f t="shared" si="11"/>
        <v>1</v>
      </c>
      <c r="AG141">
        <f>(F141/(D141+H141))</f>
        <v>-7.3719621075528749E-2</v>
      </c>
      <c r="AH141">
        <f>(F141/D141)</f>
        <v>15.257510764702335</v>
      </c>
      <c r="AI141">
        <f>(E141/(D141+H141))</f>
        <v>6.8887927215867423E-2</v>
      </c>
      <c r="AJ141">
        <f>(E141/(D141))</f>
        <v>-14.257510764702335</v>
      </c>
      <c r="AK141">
        <f>(H141/(D141+H141))</f>
        <v>1.0048316938596613</v>
      </c>
      <c r="AL141">
        <f>(I141/H141)</f>
        <v>0</v>
      </c>
      <c r="AM141">
        <f>J141/H141</f>
        <v>1</v>
      </c>
      <c r="AN141">
        <f>(D141+H141)/AD141</f>
        <v>3.8703198825733538E-2</v>
      </c>
      <c r="AO141">
        <f>(D141+H141)/AE141</f>
        <v>4.2949609187363555E-2</v>
      </c>
    </row>
    <row r="142" spans="1:41" x14ac:dyDescent="0.35">
      <c r="A142" t="s">
        <v>54</v>
      </c>
      <c r="B142" t="s">
        <v>69</v>
      </c>
      <c r="C142">
        <f t="shared" si="8"/>
        <v>2.2603788228926911</v>
      </c>
      <c r="D142">
        <v>2.2603788228926902</v>
      </c>
      <c r="E142">
        <v>2.0118179613490819</v>
      </c>
      <c r="F142">
        <v>0.24856086154360921</v>
      </c>
      <c r="G142">
        <v>0</v>
      </c>
      <c r="H142">
        <v>-2.2791011296807091</v>
      </c>
      <c r="I142">
        <v>-2.306024966503025</v>
      </c>
      <c r="J142">
        <v>2.6923836822314501E-2</v>
      </c>
      <c r="K142">
        <v>0</v>
      </c>
      <c r="L142">
        <f t="shared" si="9"/>
        <v>1.113821319845862</v>
      </c>
      <c r="M142">
        <v>1.113821319845862</v>
      </c>
      <c r="N142">
        <f t="shared" si="10"/>
        <v>1.1653010685747798</v>
      </c>
      <c r="O142">
        <v>1.1653010685747811</v>
      </c>
      <c r="P142">
        <v>0.9913407939877108</v>
      </c>
      <c r="Q142">
        <v>1.037159610767296</v>
      </c>
      <c r="R142">
        <v>0.1224805258581511</v>
      </c>
      <c r="S142">
        <v>0.12814145780748371</v>
      </c>
      <c r="T142">
        <v>0</v>
      </c>
      <c r="U142">
        <v>0</v>
      </c>
      <c r="V142">
        <v>-1.123046899313336</v>
      </c>
      <c r="W142">
        <v>-1.174953045440474</v>
      </c>
      <c r="X142">
        <v>-1.1363138540206741</v>
      </c>
      <c r="Y142">
        <v>-1.188833186017541</v>
      </c>
      <c r="Z142">
        <v>1.3266954707338499E-2</v>
      </c>
      <c r="AA142">
        <v>1.3880140577067599E-2</v>
      </c>
      <c r="AB142">
        <v>0</v>
      </c>
      <c r="AC142">
        <v>0</v>
      </c>
      <c r="AD142">
        <v>193.97380504054999</v>
      </c>
      <c r="AE142">
        <v>202.93908750153</v>
      </c>
      <c r="AF142">
        <f t="shared" si="11"/>
        <v>-6.8381035329067119</v>
      </c>
      <c r="AG142">
        <f>(F142/(D142+H142))</f>
        <v>-13.276187830800456</v>
      </c>
      <c r="AH142">
        <f>(F142/D142)</f>
        <v>0.10996424980902833</v>
      </c>
      <c r="AI142">
        <f>(E142/(D142+H142))</f>
        <v>-107.45566687522285</v>
      </c>
      <c r="AJ142">
        <f>(E142/(D142))</f>
        <v>0.89003575019097203</v>
      </c>
      <c r="AK142">
        <f>(H142/(D142+H142))</f>
        <v>121.73185470602326</v>
      </c>
      <c r="AL142">
        <f>(I142/H142)</f>
        <v>1.0118133576749566</v>
      </c>
      <c r="AM142">
        <f>J142/H142</f>
        <v>-1.1813357674956003E-2</v>
      </c>
      <c r="AN142">
        <f>(D142+H142)/AD142</f>
        <v>-9.6519768656932919E-5</v>
      </c>
      <c r="AO142">
        <f>(D142+H142)/AE142</f>
        <v>-9.2255794674733343E-5</v>
      </c>
    </row>
    <row r="143" spans="1:41" x14ac:dyDescent="0.35">
      <c r="A143" t="s">
        <v>55</v>
      </c>
      <c r="B143" t="s">
        <v>69</v>
      </c>
      <c r="C143">
        <f t="shared" si="8"/>
        <v>13.348965621899451</v>
      </c>
      <c r="D143">
        <v>13.348965621899451</v>
      </c>
      <c r="E143">
        <v>1.1414792455781</v>
      </c>
      <c r="F143">
        <v>12.20748637632135</v>
      </c>
      <c r="G143">
        <v>0</v>
      </c>
      <c r="H143">
        <v>-5.3846464626538513</v>
      </c>
      <c r="I143">
        <v>0.17176997453820239</v>
      </c>
      <c r="J143">
        <v>-5.5564164371920564</v>
      </c>
      <c r="K143">
        <v>0</v>
      </c>
      <c r="L143">
        <f t="shared" si="9"/>
        <v>3.2538664984422612</v>
      </c>
      <c r="M143">
        <v>3.2538664984422612</v>
      </c>
      <c r="N143">
        <f t="shared" si="10"/>
        <v>4.0395803375278465</v>
      </c>
      <c r="O143">
        <v>4.0395803375278474</v>
      </c>
      <c r="P143">
        <v>0.27824036566252108</v>
      </c>
      <c r="Q143">
        <v>0.34542729727078969</v>
      </c>
      <c r="R143">
        <v>2.9756261327797402</v>
      </c>
      <c r="S143">
        <v>3.6941530402570568</v>
      </c>
      <c r="T143">
        <v>0</v>
      </c>
      <c r="U143">
        <v>0</v>
      </c>
      <c r="V143">
        <v>-1.312530215977282</v>
      </c>
      <c r="W143">
        <v>-1.6294679746115259</v>
      </c>
      <c r="X143">
        <v>4.1869653531148202E-2</v>
      </c>
      <c r="Y143">
        <v>5.19799534567566E-2</v>
      </c>
      <c r="Z143">
        <v>-1.3543998695084309</v>
      </c>
      <c r="AA143">
        <v>-1.681447928068283</v>
      </c>
      <c r="AB143">
        <v>0</v>
      </c>
      <c r="AC143">
        <v>0</v>
      </c>
      <c r="AD143">
        <v>330.45426768437</v>
      </c>
      <c r="AE143">
        <v>410.24933347112</v>
      </c>
      <c r="AF143">
        <f t="shared" si="11"/>
        <v>0.86920230226903139</v>
      </c>
      <c r="AG143">
        <f>(F143/(D143+H143))</f>
        <v>1.5327721217889609</v>
      </c>
      <c r="AH143">
        <f>(F143/D143)</f>
        <v>0.91448931116389542</v>
      </c>
      <c r="AI143">
        <f>(E143/(D143+H143))</f>
        <v>0.14332414645299371</v>
      </c>
      <c r="AJ143">
        <f>(E143/(D143))</f>
        <v>8.5510688836104493E-2</v>
      </c>
      <c r="AK143">
        <f>(H143/(D143+H143))</f>
        <v>-0.67609626824195457</v>
      </c>
      <c r="AL143">
        <f>(I143/H143)</f>
        <v>-3.18999540136094E-2</v>
      </c>
      <c r="AM143">
        <f>J143/H143</f>
        <v>1.03189995401361</v>
      </c>
      <c r="AN143">
        <f>(D143+H143)/AD143</f>
        <v>2.4101123629163227E-2</v>
      </c>
      <c r="AO143">
        <f>(D143+H143)/AE143</f>
        <v>1.94133628246498E-2</v>
      </c>
    </row>
    <row r="144" spans="1:41" x14ac:dyDescent="0.35">
      <c r="A144" t="s">
        <v>56</v>
      </c>
      <c r="B144" t="s">
        <v>69</v>
      </c>
      <c r="C144">
        <f t="shared" si="8"/>
        <v>3.572891549409039</v>
      </c>
      <c r="D144">
        <v>3.6115856237378878</v>
      </c>
      <c r="E144">
        <v>0.6751212736122203</v>
      </c>
      <c r="F144">
        <v>2.9364643501256689</v>
      </c>
      <c r="G144">
        <v>-3.8694074328850102E-2</v>
      </c>
      <c r="H144">
        <v>-6.3673793199374204E-2</v>
      </c>
      <c r="I144">
        <v>0</v>
      </c>
      <c r="J144">
        <v>-6.3673793199374204E-2</v>
      </c>
      <c r="K144">
        <v>0</v>
      </c>
      <c r="L144">
        <f t="shared" si="9"/>
        <v>1.6067877703753866</v>
      </c>
      <c r="M144">
        <v>1.6241891285072561</v>
      </c>
      <c r="N144">
        <f t="shared" si="10"/>
        <v>1.0471057416350964</v>
      </c>
      <c r="O144">
        <v>1.0584457968359591</v>
      </c>
      <c r="P144">
        <v>0.30361307947894312</v>
      </c>
      <c r="Q144">
        <v>0.19785749220859511</v>
      </c>
      <c r="R144">
        <v>1.320576049028312</v>
      </c>
      <c r="S144">
        <v>0.86058830462736391</v>
      </c>
      <c r="T144">
        <v>-1.7401358131868602E-2</v>
      </c>
      <c r="U144">
        <v>-1.1340055200862601E-2</v>
      </c>
      <c r="V144">
        <v>-2.8635146292947899E-2</v>
      </c>
      <c r="W144">
        <v>-1.86608503305336E-2</v>
      </c>
      <c r="X144">
        <v>0</v>
      </c>
      <c r="Y144">
        <v>0</v>
      </c>
      <c r="Z144">
        <v>-2.8635146292947899E-2</v>
      </c>
      <c r="AA144">
        <v>-1.86608503305336E-2</v>
      </c>
      <c r="AB144">
        <v>0</v>
      </c>
      <c r="AC144">
        <v>0</v>
      </c>
      <c r="AD144">
        <v>341.21592570296002</v>
      </c>
      <c r="AE144">
        <v>222.36238134761999</v>
      </c>
      <c r="AF144">
        <f t="shared" si="11"/>
        <v>1</v>
      </c>
      <c r="AG144">
        <f>(F144/(D144+H144))</f>
        <v>0.82765989978955112</v>
      </c>
      <c r="AH144">
        <f>(F144/D144)</f>
        <v>0.81306790314623978</v>
      </c>
      <c r="AI144">
        <f>(E144/(D144+H144))</f>
        <v>0.19028693661469828</v>
      </c>
      <c r="AJ144">
        <f>(E144/(D144))</f>
        <v>0.18693209685376061</v>
      </c>
      <c r="AK144">
        <f>(H144/(D144+H144))</f>
        <v>-1.7946836404248972E-2</v>
      </c>
      <c r="AL144">
        <f>(I144/H144)</f>
        <v>0</v>
      </c>
      <c r="AM144">
        <f>J144/H144</f>
        <v>1</v>
      </c>
      <c r="AN144">
        <f>(D144+H144)/AD144</f>
        <v>1.0397849465054249E-2</v>
      </c>
      <c r="AO144">
        <f>(D144+H144)/AE144</f>
        <v>1.5955539822143067E-2</v>
      </c>
    </row>
    <row r="145" spans="1:41" x14ac:dyDescent="0.35">
      <c r="A145" t="s">
        <v>57</v>
      </c>
      <c r="B145" t="s">
        <v>69</v>
      </c>
      <c r="C145">
        <f t="shared" si="8"/>
        <v>0.59079391103845713</v>
      </c>
      <c r="D145">
        <v>1.4522233867921299</v>
      </c>
      <c r="E145">
        <v>-2.9240262794754598E-2</v>
      </c>
      <c r="F145">
        <v>1.4814636495868849</v>
      </c>
      <c r="G145">
        <v>-0.86142947575367323</v>
      </c>
      <c r="H145">
        <v>-1.9640916209961098E-2</v>
      </c>
      <c r="I145">
        <v>0</v>
      </c>
      <c r="J145">
        <v>-1.9640916209961098E-2</v>
      </c>
      <c r="K145">
        <v>0</v>
      </c>
      <c r="L145">
        <f t="shared" si="9"/>
        <v>0.5938280088974176</v>
      </c>
      <c r="M145">
        <v>1.459681466143107</v>
      </c>
      <c r="N145">
        <f t="shared" si="10"/>
        <v>0.32512698345864199</v>
      </c>
      <c r="O145">
        <v>0.79919071648164497</v>
      </c>
      <c r="P145">
        <v>-2.9390429912396501E-2</v>
      </c>
      <c r="Q145">
        <v>-1.6091564690106801E-2</v>
      </c>
      <c r="R145">
        <v>1.4890718960555029</v>
      </c>
      <c r="S145">
        <v>0.81528228117175172</v>
      </c>
      <c r="T145">
        <v>-0.86585345724568874</v>
      </c>
      <c r="U145">
        <v>-0.47406373302300298</v>
      </c>
      <c r="V145">
        <v>-1.9741784652758498E-2</v>
      </c>
      <c r="W145">
        <v>-1.08088315068854E-2</v>
      </c>
      <c r="X145">
        <v>0</v>
      </c>
      <c r="Y145">
        <v>0</v>
      </c>
      <c r="Z145">
        <v>-1.9741784652758498E-2</v>
      </c>
      <c r="AA145">
        <v>-1.08088315068854E-2</v>
      </c>
      <c r="AB145">
        <v>0</v>
      </c>
      <c r="AC145">
        <v>0</v>
      </c>
      <c r="AD145">
        <v>181.71174374815001</v>
      </c>
      <c r="AE145">
        <v>99.489061173690004</v>
      </c>
      <c r="AF145">
        <f t="shared" si="11"/>
        <v>1</v>
      </c>
      <c r="AG145">
        <f>(F145/(D145+H145))</f>
        <v>1.0341210227044395</v>
      </c>
      <c r="AH145">
        <f>(F145/D145)</f>
        <v>1.0201348243394874</v>
      </c>
      <c r="AI145">
        <f>(E145/(D145+H145))</f>
        <v>-2.0410875740279038E-2</v>
      </c>
      <c r="AJ145">
        <f>(E145/(D145))</f>
        <v>-2.0134824339487122E-2</v>
      </c>
      <c r="AK145">
        <f>(H145/(D145+H145))</f>
        <v>-1.37101469641601E-2</v>
      </c>
      <c r="AL145">
        <f>(I145/H145)</f>
        <v>0</v>
      </c>
      <c r="AM145">
        <f>J145/H145</f>
        <v>1</v>
      </c>
      <c r="AN145">
        <f>(D145+H145)/AD145</f>
        <v>7.883818849747589E-3</v>
      </c>
      <c r="AO145">
        <f>(D145+H145)/AE145</f>
        <v>1.4399396814903475E-2</v>
      </c>
    </row>
    <row r="146" spans="1:41" x14ac:dyDescent="0.35">
      <c r="A146" t="s">
        <v>58</v>
      </c>
      <c r="B146" t="s">
        <v>69</v>
      </c>
      <c r="C146">
        <f t="shared" si="8"/>
        <v>-1.2494009366438232</v>
      </c>
      <c r="D146">
        <v>-1.349400936643824</v>
      </c>
      <c r="E146">
        <v>0.34098922567069279</v>
      </c>
      <c r="F146">
        <v>-1.6903901623145161</v>
      </c>
      <c r="G146">
        <v>0.1</v>
      </c>
      <c r="H146">
        <v>0.18483194669322731</v>
      </c>
      <c r="I146">
        <v>0.3141031613848056</v>
      </c>
      <c r="J146">
        <v>-0.1292712146915784</v>
      </c>
      <c r="K146">
        <v>-0.11431613976919899</v>
      </c>
      <c r="L146">
        <f t="shared" si="9"/>
        <v>-2.4780861766700615</v>
      </c>
      <c r="M146">
        <v>-2.6764281263188878</v>
      </c>
      <c r="N146">
        <f t="shared" si="10"/>
        <v>-1.6431407360986574</v>
      </c>
      <c r="O146">
        <v>-1.7746550232987699</v>
      </c>
      <c r="P146">
        <v>0.67632467828768994</v>
      </c>
      <c r="Q146">
        <v>0.44844954956999578</v>
      </c>
      <c r="R146">
        <v>-3.352752804606578</v>
      </c>
      <c r="S146">
        <v>-2.2231045728687659</v>
      </c>
      <c r="T146">
        <v>0.19834194964882679</v>
      </c>
      <c r="U146">
        <v>0.13151428720011279</v>
      </c>
      <c r="V146">
        <v>0.36659928664522651</v>
      </c>
      <c r="W146">
        <v>0.24308041721168999</v>
      </c>
      <c r="X146">
        <v>0.62299833419922468</v>
      </c>
      <c r="Y146">
        <v>0.41309053376824723</v>
      </c>
      <c r="Z146">
        <v>-0.25639904755399812</v>
      </c>
      <c r="AA146">
        <v>-0.17001011655655679</v>
      </c>
      <c r="AB146">
        <v>-0.22673686038150731</v>
      </c>
      <c r="AC146">
        <v>-0.1503420563721469</v>
      </c>
      <c r="AD146">
        <v>76.037366075549997</v>
      </c>
      <c r="AE146">
        <v>50.417977728389999</v>
      </c>
      <c r="AF146">
        <f t="shared" si="11"/>
        <v>0.52052081875560663</v>
      </c>
      <c r="AG146">
        <f>(F146/(D146+H146))</f>
        <v>1.4515156911281193</v>
      </c>
      <c r="AH146">
        <f>(F146/D146)</f>
        <v>1.2526967459491964</v>
      </c>
      <c r="AI146">
        <f>(E146/(D146+H146))</f>
        <v>-0.29280294135700646</v>
      </c>
      <c r="AJ146">
        <f>(E146/(D146))</f>
        <v>-0.25269674594919694</v>
      </c>
      <c r="AK146">
        <f>(H146/(D146+H146))</f>
        <v>-0.15871274977111338</v>
      </c>
      <c r="AL146">
        <f>(I146/H146)</f>
        <v>1.6993986537734989</v>
      </c>
      <c r="AM146">
        <f>J146/H146</f>
        <v>-0.69939865377349952</v>
      </c>
      <c r="AN146">
        <f>(D146+H146)/AD146</f>
        <v>-1.531574606087081E-2</v>
      </c>
      <c r="AO146">
        <f>(D146+H146)/AE146</f>
        <v>-2.3098288396736631E-2</v>
      </c>
    </row>
    <row r="147" spans="1:41" x14ac:dyDescent="0.35">
      <c r="A147" t="s">
        <v>59</v>
      </c>
      <c r="B147" t="s">
        <v>69</v>
      </c>
      <c r="C147">
        <f t="shared" si="8"/>
        <v>-3.4329710142523155</v>
      </c>
      <c r="D147">
        <v>-5.4196425105654953</v>
      </c>
      <c r="E147">
        <v>2.5312199052560209</v>
      </c>
      <c r="F147">
        <v>-7.9508624158215149</v>
      </c>
      <c r="G147">
        <v>1.986671496313178</v>
      </c>
      <c r="H147">
        <v>-0.14794341217610449</v>
      </c>
      <c r="I147">
        <v>-6.6142068110831998E-3</v>
      </c>
      <c r="J147">
        <v>-0.14132920536502169</v>
      </c>
      <c r="K147">
        <v>0</v>
      </c>
      <c r="L147">
        <f t="shared" si="9"/>
        <v>-0.62437943509521177</v>
      </c>
      <c r="M147">
        <v>-0.98570984582049725</v>
      </c>
      <c r="N147">
        <f t="shared" si="10"/>
        <v>-0.65891390098329272</v>
      </c>
      <c r="O147">
        <v>-1.0402295194879061</v>
      </c>
      <c r="P147">
        <v>0.46037139491832468</v>
      </c>
      <c r="Q147">
        <v>0.48583456577248668</v>
      </c>
      <c r="R147">
        <v>-1.446081240738821</v>
      </c>
      <c r="S147">
        <v>-1.5260640852603931</v>
      </c>
      <c r="T147">
        <v>0.3613304107252846</v>
      </c>
      <c r="U147">
        <v>0.3813156185046136</v>
      </c>
      <c r="V147">
        <v>-2.69075456032341E-2</v>
      </c>
      <c r="W147">
        <v>-2.83958036455969E-2</v>
      </c>
      <c r="X147">
        <v>-1.2029739532206001E-3</v>
      </c>
      <c r="Y147">
        <v>-1.2695105183549999E-3</v>
      </c>
      <c r="Z147">
        <v>-2.5704571650013702E-2</v>
      </c>
      <c r="AA147">
        <v>-2.7126293127241501E-2</v>
      </c>
      <c r="AB147">
        <v>0</v>
      </c>
      <c r="AC147">
        <v>0</v>
      </c>
      <c r="AD147">
        <v>521.00449074291998</v>
      </c>
      <c r="AE147">
        <v>549.82128194673999</v>
      </c>
      <c r="AF147">
        <f t="shared" si="11"/>
        <v>1.002619896966547</v>
      </c>
      <c r="AG147">
        <f>(F147/(D147+H147))</f>
        <v>1.4280628132464166</v>
      </c>
      <c r="AH147">
        <f>(F147/D147)</f>
        <v>1.4670455478053122</v>
      </c>
      <c r="AI147">
        <f>(E147/(D147+H147))</f>
        <v>-0.45463508608226266</v>
      </c>
      <c r="AJ147">
        <f>(E147/(D147))</f>
        <v>-0.46704554780531249</v>
      </c>
      <c r="AK147">
        <f>(H147/(D147+H147))</f>
        <v>2.6572272835845873E-2</v>
      </c>
      <c r="AL147">
        <f>(I147/H147)</f>
        <v>4.4707680550249693E-2</v>
      </c>
      <c r="AM147">
        <f>J147/H147</f>
        <v>0.95529231944975301</v>
      </c>
      <c r="AN147">
        <f>(D147+H147)/AD147</f>
        <v>-1.0686253231335048E-2</v>
      </c>
      <c r="AO147">
        <f>(D147+H147)/AE147</f>
        <v>-1.0126173914237318E-2</v>
      </c>
    </row>
    <row r="148" spans="1:41" x14ac:dyDescent="0.35">
      <c r="A148" t="s">
        <v>60</v>
      </c>
      <c r="B148" t="s">
        <v>69</v>
      </c>
      <c r="C148">
        <f t="shared" si="8"/>
        <v>5.7337721328573297</v>
      </c>
      <c r="D148">
        <v>5.7337721328573252</v>
      </c>
      <c r="E148">
        <v>0.41206821103311331</v>
      </c>
      <c r="F148">
        <v>5.3217039218242164</v>
      </c>
      <c r="G148">
        <v>0</v>
      </c>
      <c r="H148">
        <v>-0.34763605364891959</v>
      </c>
      <c r="I148">
        <v>-0.16429236256423979</v>
      </c>
      <c r="J148">
        <v>-0.18334369108467991</v>
      </c>
      <c r="K148">
        <v>0</v>
      </c>
      <c r="L148">
        <f t="shared" si="9"/>
        <v>0.76746045418638753</v>
      </c>
      <c r="M148">
        <v>0.76746045418638786</v>
      </c>
      <c r="N148">
        <f t="shared" si="10"/>
        <v>0.97048648487860911</v>
      </c>
      <c r="O148">
        <v>0.97048648487860856</v>
      </c>
      <c r="P148">
        <v>5.5154974607902398E-2</v>
      </c>
      <c r="Q148">
        <v>6.97458183529968E-2</v>
      </c>
      <c r="R148">
        <v>0.71230547957848511</v>
      </c>
      <c r="S148">
        <v>0.90074066652561235</v>
      </c>
      <c r="T148">
        <v>0</v>
      </c>
      <c r="U148">
        <v>0</v>
      </c>
      <c r="V148">
        <v>-4.6530785919462497E-2</v>
      </c>
      <c r="W148">
        <v>-5.8840163840743601E-2</v>
      </c>
      <c r="X148">
        <v>-2.1990391015080699E-2</v>
      </c>
      <c r="Y148">
        <v>-2.78077875686202E-2</v>
      </c>
      <c r="Z148">
        <v>-2.4540394904382E-2</v>
      </c>
      <c r="AA148">
        <v>-3.1032376272123401E-2</v>
      </c>
      <c r="AB148">
        <v>0</v>
      </c>
      <c r="AC148">
        <v>0</v>
      </c>
      <c r="AD148">
        <v>590.81421763174001</v>
      </c>
      <c r="AE148">
        <v>747.10978286638999</v>
      </c>
      <c r="AF148">
        <f t="shared" si="11"/>
        <v>1.663068509620617</v>
      </c>
      <c r="AG148">
        <f>(F148/(D148+H148))</f>
        <v>0.98803740632678949</v>
      </c>
      <c r="AH148">
        <f>(F148/D148)</f>
        <v>0.92813313792646968</v>
      </c>
      <c r="AI148">
        <f>(E148/(D148+H148))</f>
        <v>7.650534724211322E-2</v>
      </c>
      <c r="AJ148">
        <f>(E148/(D148))</f>
        <v>7.1866862073531046E-2</v>
      </c>
      <c r="AK148">
        <f>(H148/(D148+H148))</f>
        <v>-6.4542753568901892E-2</v>
      </c>
      <c r="AL148">
        <f>(I148/H148)</f>
        <v>0.47259874469222907</v>
      </c>
      <c r="AM148">
        <f>J148/H148</f>
        <v>0.52740125530777127</v>
      </c>
      <c r="AN148">
        <f>(D148+H148)/AD148</f>
        <v>9.1164632103786555E-3</v>
      </c>
      <c r="AO148">
        <f>(D148+H148)/AE148</f>
        <v>7.2092966826692454E-3</v>
      </c>
    </row>
    <row r="149" spans="1:41" x14ac:dyDescent="0.35">
      <c r="A149" t="s">
        <v>61</v>
      </c>
      <c r="B149" t="s">
        <v>69</v>
      </c>
      <c r="C149">
        <f t="shared" si="8"/>
        <v>-2.4256874147586851</v>
      </c>
      <c r="D149">
        <v>0.1488650164938079</v>
      </c>
      <c r="E149">
        <v>0.46869556347929597</v>
      </c>
      <c r="F149">
        <v>-0.3198305469854858</v>
      </c>
      <c r="G149">
        <v>-2.5745524312524952</v>
      </c>
      <c r="H149">
        <v>0</v>
      </c>
      <c r="I149">
        <v>0</v>
      </c>
      <c r="J149">
        <v>0</v>
      </c>
      <c r="K149">
        <v>-1.1142321069096259</v>
      </c>
      <c r="L149">
        <f t="shared" si="9"/>
        <v>-0.92597817954465456</v>
      </c>
      <c r="M149">
        <v>5.6827502229728197E-2</v>
      </c>
      <c r="N149">
        <f t="shared" si="10"/>
        <v>-0.54968267724420261</v>
      </c>
      <c r="O149">
        <v>3.3734157301740397E-2</v>
      </c>
      <c r="P149">
        <v>0.17891912288063319</v>
      </c>
      <c r="Q149">
        <v>0.1062106479912665</v>
      </c>
      <c r="R149">
        <v>-0.12209162065090499</v>
      </c>
      <c r="S149">
        <v>-7.2476490689526302E-2</v>
      </c>
      <c r="T149">
        <v>-0.98280568177438277</v>
      </c>
      <c r="U149">
        <v>-0.58341683454594284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-0.42534524921424061</v>
      </c>
      <c r="AC149">
        <v>-0.252495059285478</v>
      </c>
      <c r="AD149">
        <v>441.28867711817003</v>
      </c>
      <c r="AE149">
        <v>261.95945739796002</v>
      </c>
      <c r="AF149">
        <f t="shared" si="11"/>
        <v>1</v>
      </c>
      <c r="AG149">
        <f>(F149/(D149+H149))</f>
        <v>-2.1484600916884276</v>
      </c>
      <c r="AH149">
        <f>(F149/D149)</f>
        <v>-2.1484600916884276</v>
      </c>
      <c r="AI149">
        <f>(E149/(D149+H149))</f>
        <v>3.1484600916884427</v>
      </c>
      <c r="AJ149">
        <f>(E149/(D149))</f>
        <v>3.1484600916884427</v>
      </c>
      <c r="AK149">
        <f>(H149/(D149+H149))</f>
        <v>0</v>
      </c>
      <c r="AL149">
        <v>0</v>
      </c>
      <c r="AM149">
        <v>0</v>
      </c>
      <c r="AN149">
        <f>(D149+H149)/AD149</f>
        <v>3.3734157301739298E-4</v>
      </c>
      <c r="AO149">
        <f>(D149+H149)/AE149</f>
        <v>5.6827502229727538E-4</v>
      </c>
    </row>
    <row r="150" spans="1:41" x14ac:dyDescent="0.35">
      <c r="A150" t="s">
        <v>62</v>
      </c>
      <c r="B150" t="s">
        <v>69</v>
      </c>
      <c r="C150">
        <f t="shared" si="8"/>
        <v>4.0123179589086631</v>
      </c>
      <c r="D150">
        <v>4.0098421863494309</v>
      </c>
      <c r="E150">
        <v>0.54698847303368625</v>
      </c>
      <c r="F150">
        <v>3.4628537133157442</v>
      </c>
      <c r="G150">
        <v>2.4757725592319002E-3</v>
      </c>
      <c r="H150">
        <v>8.4973082357751313</v>
      </c>
      <c r="I150">
        <v>7.6160721771276307</v>
      </c>
      <c r="J150">
        <v>0.88123605864749965</v>
      </c>
      <c r="K150">
        <v>0</v>
      </c>
      <c r="L150">
        <f t="shared" si="9"/>
        <v>1.2483658888742724</v>
      </c>
      <c r="M150">
        <v>1.247595593488112</v>
      </c>
      <c r="N150">
        <f t="shared" si="10"/>
        <v>0.58110026811768767</v>
      </c>
      <c r="O150">
        <v>0.58074170428682947</v>
      </c>
      <c r="P150">
        <v>0.17018635071693311</v>
      </c>
      <c r="Q150">
        <v>7.9219830430292001E-2</v>
      </c>
      <c r="R150">
        <v>1.077409242771179</v>
      </c>
      <c r="S150">
        <v>0.50152187385653735</v>
      </c>
      <c r="T150">
        <v>7.7029538616040004E-4</v>
      </c>
      <c r="U150">
        <v>3.5856383085830002E-4</v>
      </c>
      <c r="V150">
        <v>2.6437958948989611</v>
      </c>
      <c r="W150">
        <v>1.230657227232965</v>
      </c>
      <c r="X150">
        <v>2.369613976385013</v>
      </c>
      <c r="Y150">
        <v>1.1030286306961341</v>
      </c>
      <c r="Z150">
        <v>0.27418191851394841</v>
      </c>
      <c r="AA150">
        <v>0.12762859653683131</v>
      </c>
      <c r="AB150">
        <v>0</v>
      </c>
      <c r="AC150">
        <v>0</v>
      </c>
      <c r="AD150">
        <v>690.46912883131995</v>
      </c>
      <c r="AE150">
        <v>321.40560669490998</v>
      </c>
      <c r="AF150">
        <f t="shared" si="11"/>
        <v>6.7007767855170444E-2</v>
      </c>
      <c r="AG150">
        <f>(F150/(D150+H150))</f>
        <v>0.27686991812220618</v>
      </c>
      <c r="AH150">
        <f>(F150/D150)</f>
        <v>0.86358852852219947</v>
      </c>
      <c r="AI150">
        <f>(E150/(D150+H150))</f>
        <v>4.3734060483200818E-2</v>
      </c>
      <c r="AJ150">
        <f>(E150/(D150))</f>
        <v>0.13641147147780042</v>
      </c>
      <c r="AK150">
        <f>(H150/(D150+H150))</f>
        <v>0.67939602139459299</v>
      </c>
      <c r="AL150">
        <f>(I150/H150)</f>
        <v>0.89629232761766309</v>
      </c>
      <c r="AM150">
        <f>J150/H150</f>
        <v>0.1037076723823368</v>
      </c>
      <c r="AN150">
        <f>(D150+H150)/AD150</f>
        <v>1.8113989315197945E-2</v>
      </c>
      <c r="AO150">
        <f>(D150+H150)/AE150</f>
        <v>3.8913914883870741E-2</v>
      </c>
    </row>
    <row r="151" spans="1:41" x14ac:dyDescent="0.35">
      <c r="A151" t="s">
        <v>63</v>
      </c>
      <c r="B151" t="s">
        <v>69</v>
      </c>
      <c r="C151">
        <f t="shared" si="8"/>
        <v>-7.3367331368355999E-3</v>
      </c>
      <c r="D151">
        <v>-4.9648577665709999E-3</v>
      </c>
      <c r="E151">
        <v>-1.1457364076702E-3</v>
      </c>
      <c r="F151">
        <v>-3.8191213589006999E-3</v>
      </c>
      <c r="G151">
        <v>-2.3718753702646998E-3</v>
      </c>
      <c r="H151">
        <v>0</v>
      </c>
      <c r="I151">
        <v>0</v>
      </c>
      <c r="J151">
        <v>0</v>
      </c>
      <c r="K151">
        <v>0</v>
      </c>
      <c r="L151">
        <f t="shared" si="9"/>
        <v>-1.1395540400222701E-2</v>
      </c>
      <c r="M151">
        <v>-7.7115026817946002E-3</v>
      </c>
      <c r="N151">
        <f t="shared" si="10"/>
        <v>-8.0417106755636004E-3</v>
      </c>
      <c r="O151">
        <v>-5.4419247585320999E-3</v>
      </c>
      <c r="P151">
        <v>-1.7795775419526001E-3</v>
      </c>
      <c r="Q151">
        <v>-1.2558287904305E-3</v>
      </c>
      <c r="R151">
        <v>-5.9319251398419004E-3</v>
      </c>
      <c r="S151">
        <v>-4.1860959681015997E-3</v>
      </c>
      <c r="T151">
        <v>-3.6840377184282E-3</v>
      </c>
      <c r="U151">
        <v>-2.5997859170315001E-3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91.233487908610002</v>
      </c>
      <c r="AE151">
        <v>64.38249419652</v>
      </c>
      <c r="AF151">
        <f t="shared" si="11"/>
        <v>1</v>
      </c>
      <c r="AG151">
        <f>(F151/(D151+H151))</f>
        <v>0.76923076923075528</v>
      </c>
      <c r="AH151">
        <f>(F151/D151)</f>
        <v>0.76923076923075528</v>
      </c>
      <c r="AI151">
        <f>(E151/(D151+H151))</f>
        <v>0.23076923076922456</v>
      </c>
      <c r="AJ151">
        <f>(E151/(D151))</f>
        <v>0.23076923076922456</v>
      </c>
      <c r="AK151">
        <f>(H151/(D151+H151))</f>
        <v>0</v>
      </c>
      <c r="AL151">
        <v>0</v>
      </c>
      <c r="AM151">
        <v>0</v>
      </c>
      <c r="AN151">
        <f>(D151+H151)/AD151</f>
        <v>-5.4419247585320588E-5</v>
      </c>
      <c r="AO151">
        <f>(D151+H151)/AE151</f>
        <v>-7.7115026817947666E-5</v>
      </c>
    </row>
    <row r="152" spans="1:41" x14ac:dyDescent="0.35">
      <c r="A152" t="s">
        <v>64</v>
      </c>
      <c r="B152" t="s">
        <v>69</v>
      </c>
      <c r="C152">
        <f t="shared" si="8"/>
        <v>-0.19161498549824249</v>
      </c>
      <c r="D152">
        <v>-0.19161498549824249</v>
      </c>
      <c r="E152">
        <v>0</v>
      </c>
      <c r="F152">
        <v>-0.19161498549824249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f t="shared" si="9"/>
        <v>-0.13001073313003439</v>
      </c>
      <c r="M152">
        <v>-0.13001073313003439</v>
      </c>
      <c r="N152">
        <f t="shared" si="10"/>
        <v>-6.1833593114673603E-2</v>
      </c>
      <c r="O152">
        <v>-6.1833593114673797E-2</v>
      </c>
      <c r="P152">
        <v>0</v>
      </c>
      <c r="Q152">
        <v>0</v>
      </c>
      <c r="R152">
        <v>-0.13001073313003439</v>
      </c>
      <c r="S152">
        <v>-6.1833593114673603E-2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309.88816247970999</v>
      </c>
      <c r="AE152">
        <v>147.38397429586999</v>
      </c>
      <c r="AF152" t="e">
        <f t="shared" si="11"/>
        <v>#DIV/0!</v>
      </c>
      <c r="AG152">
        <f>(F152/(D152+H152))</f>
        <v>1</v>
      </c>
      <c r="AH152">
        <f>(F152/D152)</f>
        <v>1</v>
      </c>
      <c r="AI152">
        <f>(E152/(D152+H152))</f>
        <v>0</v>
      </c>
      <c r="AJ152">
        <f>(E152/(D152))</f>
        <v>0</v>
      </c>
      <c r="AK152">
        <f>(H152/(D152+H152))</f>
        <v>0</v>
      </c>
      <c r="AL152">
        <v>0</v>
      </c>
      <c r="AM152">
        <v>0</v>
      </c>
      <c r="AN152">
        <f>(D152+H152)/AD152</f>
        <v>-6.1833593114673602E-4</v>
      </c>
      <c r="AO152">
        <f>(D152+H152)/AE152</f>
        <v>-1.3001073313003472E-3</v>
      </c>
    </row>
    <row r="153" spans="1:41" x14ac:dyDescent="0.35">
      <c r="A153" t="s">
        <v>65</v>
      </c>
      <c r="B153" t="s">
        <v>69</v>
      </c>
      <c r="C153">
        <f t="shared" si="8"/>
        <v>5.9891531238189888</v>
      </c>
      <c r="D153">
        <v>5.989153123818987</v>
      </c>
      <c r="E153">
        <v>-4.1489705375412E-3</v>
      </c>
      <c r="F153">
        <v>5.9933020943565296</v>
      </c>
      <c r="G153">
        <v>0</v>
      </c>
      <c r="H153">
        <v>2.4919180275215358</v>
      </c>
      <c r="I153">
        <v>2.528038476907192</v>
      </c>
      <c r="J153">
        <v>-3.6120449385656103E-2</v>
      </c>
      <c r="K153">
        <v>0</v>
      </c>
      <c r="L153">
        <f t="shared" si="9"/>
        <v>1.0479650844172872</v>
      </c>
      <c r="M153">
        <v>1.047965084417287</v>
      </c>
      <c r="N153">
        <f t="shared" si="10"/>
        <v>0.49276291212012457</v>
      </c>
      <c r="O153">
        <v>0.49276291212012419</v>
      </c>
      <c r="P153">
        <v>-7.2597513700680002E-4</v>
      </c>
      <c r="Q153">
        <v>-3.4136024945629999E-4</v>
      </c>
      <c r="R153">
        <v>1.048691059554294</v>
      </c>
      <c r="S153">
        <v>0.49310427236958088</v>
      </c>
      <c r="T153">
        <v>0</v>
      </c>
      <c r="U153">
        <v>0</v>
      </c>
      <c r="V153">
        <v>0.43602877269689427</v>
      </c>
      <c r="W153">
        <v>0.20502477706283079</v>
      </c>
      <c r="X153">
        <v>0.44234902683083649</v>
      </c>
      <c r="Y153">
        <v>0.20799661923456941</v>
      </c>
      <c r="Z153">
        <v>-6.3202541339419001E-3</v>
      </c>
      <c r="AA153">
        <v>-2.9718421717381E-3</v>
      </c>
      <c r="AB153">
        <v>0</v>
      </c>
      <c r="AC153">
        <v>0</v>
      </c>
      <c r="AD153">
        <v>1215.4228689920101</v>
      </c>
      <c r="AE153">
        <v>571.50311712429004</v>
      </c>
      <c r="AF153">
        <f t="shared" si="11"/>
        <v>-1.6438796258989392E-3</v>
      </c>
      <c r="AG153">
        <f>(F153/(D153+H153))</f>
        <v>0.70666805966003776</v>
      </c>
      <c r="AH153">
        <f>(F153/D153)</f>
        <v>1.0006927474472211</v>
      </c>
      <c r="AI153">
        <f>(E153/(D153+H153))</f>
        <v>-4.8920359981715418E-4</v>
      </c>
      <c r="AJ153">
        <f>(E153/(D153))</f>
        <v>-6.9274744722098644E-4</v>
      </c>
      <c r="AK153">
        <f>(H153/(D153+H153))</f>
        <v>0.29382114393977959</v>
      </c>
      <c r="AL153">
        <f>(I153/H153)</f>
        <v>1.0144950391572798</v>
      </c>
      <c r="AM153">
        <f>J153/H153</f>
        <v>-1.44950391572798E-2</v>
      </c>
      <c r="AN153">
        <f>(D153+H153)/AD153</f>
        <v>6.9778768918295504E-3</v>
      </c>
      <c r="AO153">
        <f>(D153+H153)/AE153</f>
        <v>1.4839938571141801E-2</v>
      </c>
    </row>
    <row r="154" spans="1:41" x14ac:dyDescent="0.35">
      <c r="A154" t="s">
        <v>28</v>
      </c>
      <c r="B154" t="s">
        <v>70</v>
      </c>
      <c r="C154">
        <f t="shared" si="8"/>
        <v>0.83038838202105758</v>
      </c>
      <c r="D154">
        <v>0.8303883820210558</v>
      </c>
      <c r="E154">
        <v>9.8710831084147799E-5</v>
      </c>
      <c r="F154">
        <v>0.83028967118997343</v>
      </c>
      <c r="G154">
        <v>0</v>
      </c>
      <c r="H154">
        <v>2.0812524626020001E-4</v>
      </c>
      <c r="I154">
        <v>8.9196534112545578E-5</v>
      </c>
      <c r="J154">
        <v>1.189287121476E-4</v>
      </c>
      <c r="K154">
        <v>0</v>
      </c>
      <c r="L154">
        <f t="shared" si="9"/>
        <v>5.5552794872685642E-2</v>
      </c>
      <c r="M154">
        <v>5.5552794872685399E-2</v>
      </c>
      <c r="N154">
        <f t="shared" si="10"/>
        <v>6.7703036362787336E-2</v>
      </c>
      <c r="O154">
        <v>6.7703036362789903E-2</v>
      </c>
      <c r="P154">
        <v>6.6037322652423569E-6</v>
      </c>
      <c r="Q154">
        <v>8.0480689891304635E-6</v>
      </c>
      <c r="R154">
        <v>5.5546191140420399E-2</v>
      </c>
      <c r="S154">
        <v>6.7694988293798206E-2</v>
      </c>
      <c r="T154">
        <v>0</v>
      </c>
      <c r="U154">
        <v>0</v>
      </c>
      <c r="V154">
        <v>1.392353188434114E-5</v>
      </c>
      <c r="W154">
        <v>1.6968820157892139E-5</v>
      </c>
      <c r="X154">
        <v>5.9672279504319192E-6</v>
      </c>
      <c r="Y154">
        <v>7.2723514963346503E-6</v>
      </c>
      <c r="Z154">
        <v>7.9563039337982033E-6</v>
      </c>
      <c r="AA154">
        <v>9.6964686615574874E-6</v>
      </c>
      <c r="AB154">
        <v>0</v>
      </c>
      <c r="AC154">
        <v>0</v>
      </c>
      <c r="AD154">
        <v>1226.51571721458</v>
      </c>
      <c r="AE154">
        <v>1494.77336635199</v>
      </c>
      <c r="AF154">
        <f t="shared" si="11"/>
        <v>0.52531645569518537</v>
      </c>
      <c r="AG154">
        <f>(F154/(D154+H154))</f>
        <v>0.99963058347265132</v>
      </c>
      <c r="AH154">
        <f>(F154/D154)</f>
        <v>0.99988112691215392</v>
      </c>
      <c r="AI154">
        <f>(E154/(D154+H154))</f>
        <v>1.1884330143514446E-4</v>
      </c>
      <c r="AJ154">
        <f>(E154/(D154))</f>
        <v>1.1887308784824114E-4</v>
      </c>
      <c r="AK154">
        <f>(H154/(D154+H154))</f>
        <v>2.5057322591559821E-4</v>
      </c>
      <c r="AL154">
        <f>(I154/H154)</f>
        <v>0.4285714285763837</v>
      </c>
      <c r="AM154">
        <f>J154/H154</f>
        <v>0.57142857142335479</v>
      </c>
      <c r="AN154">
        <f>(D154+H154)/AD154</f>
        <v>6.7720005182942344E-4</v>
      </c>
      <c r="AO154">
        <f>(D154+H154)/AE154</f>
        <v>5.5566718404569614E-4</v>
      </c>
    </row>
    <row r="155" spans="1:41" x14ac:dyDescent="0.35">
      <c r="A155" t="s">
        <v>29</v>
      </c>
      <c r="B155" t="s">
        <v>70</v>
      </c>
      <c r="C155">
        <f t="shared" si="8"/>
        <v>0.64367895118510177</v>
      </c>
      <c r="D155">
        <v>0.50948049435228882</v>
      </c>
      <c r="E155">
        <v>8.3203043236338203E-2</v>
      </c>
      <c r="F155">
        <v>0.42627745111596482</v>
      </c>
      <c r="G155">
        <v>0.13419845683279871</v>
      </c>
      <c r="H155">
        <v>0.1398821561810166</v>
      </c>
      <c r="I155">
        <v>8.2097879474187004E-3</v>
      </c>
      <c r="J155">
        <v>0.13167236823359471</v>
      </c>
      <c r="K155">
        <v>0</v>
      </c>
      <c r="L155">
        <f t="shared" si="9"/>
        <v>3.79392325890427E-2</v>
      </c>
      <c r="M155">
        <v>3.00294097534568E-2</v>
      </c>
      <c r="N155">
        <f t="shared" si="10"/>
        <v>3.7347454360530802E-2</v>
      </c>
      <c r="O155">
        <v>2.9561009374893001E-2</v>
      </c>
      <c r="P155">
        <v>4.9040901580639003E-3</v>
      </c>
      <c r="Q155">
        <v>4.8275958910961002E-3</v>
      </c>
      <c r="R155">
        <v>2.5125319595392801E-2</v>
      </c>
      <c r="S155">
        <v>2.4733413483795898E-2</v>
      </c>
      <c r="T155">
        <v>7.9098228355860001E-3</v>
      </c>
      <c r="U155">
        <v>7.7864449856387997E-3</v>
      </c>
      <c r="V155">
        <v>8.2448270968589008E-3</v>
      </c>
      <c r="W155">
        <v>8.1162238320890007E-3</v>
      </c>
      <c r="X155">
        <v>4.8389504405939998E-4</v>
      </c>
      <c r="Y155">
        <v>4.7634722265079999E-4</v>
      </c>
      <c r="Z155">
        <v>7.7609320527994999E-3</v>
      </c>
      <c r="AA155">
        <v>7.6398766094385E-3</v>
      </c>
      <c r="AB155">
        <v>0</v>
      </c>
      <c r="AC155">
        <v>0</v>
      </c>
      <c r="AD155">
        <v>1723.48815255626</v>
      </c>
      <c r="AE155">
        <v>1696.60508992738</v>
      </c>
      <c r="AF155">
        <f t="shared" si="11"/>
        <v>0.91018998272884155</v>
      </c>
      <c r="AG155">
        <f>(F155/(D155+H155))</f>
        <v>0.656455142231962</v>
      </c>
      <c r="AH155">
        <f>(F155/D155)</f>
        <v>0.83669042454294262</v>
      </c>
      <c r="AI155">
        <f>(E155/(D155+H155))</f>
        <v>0.12813031850231241</v>
      </c>
      <c r="AJ155">
        <f>(E155/(D155))</f>
        <v>0.16330957545708524</v>
      </c>
      <c r="AK155">
        <f>(H155/(D155+H155))</f>
        <v>0.2154145392657475</v>
      </c>
      <c r="AL155">
        <f>(I155/H155)</f>
        <v>5.8690744920994076E-2</v>
      </c>
      <c r="AM155">
        <f>J155/H155</f>
        <v>0.94130925507898311</v>
      </c>
      <c r="AN155">
        <f>(D155+H155)/AD155</f>
        <v>3.7677233206980703E-4</v>
      </c>
      <c r="AO155">
        <f>(D155+H155)/AE155</f>
        <v>3.8274236850315013E-4</v>
      </c>
    </row>
    <row r="156" spans="1:41" x14ac:dyDescent="0.35">
      <c r="A156" t="s">
        <v>30</v>
      </c>
      <c r="B156" t="s">
        <v>70</v>
      </c>
      <c r="C156">
        <f t="shared" si="8"/>
        <v>17.239811038462239</v>
      </c>
      <c r="D156">
        <v>0.52520956131547791</v>
      </c>
      <c r="E156">
        <v>1.1950101937878339</v>
      </c>
      <c r="F156">
        <v>-0.66980063247234511</v>
      </c>
      <c r="G156">
        <v>16.714601477146751</v>
      </c>
      <c r="H156">
        <v>1.0730574657911229</v>
      </c>
      <c r="I156">
        <v>6.3387360848420102E-2</v>
      </c>
      <c r="J156">
        <v>1.0096701049426999</v>
      </c>
      <c r="K156">
        <v>0</v>
      </c>
      <c r="L156">
        <f t="shared" si="9"/>
        <v>0.65880956822673997</v>
      </c>
      <c r="M156">
        <v>2.0070584506226102E-2</v>
      </c>
      <c r="N156">
        <f t="shared" si="10"/>
        <v>0.593026344455159</v>
      </c>
      <c r="O156">
        <v>1.8066503485737601E-2</v>
      </c>
      <c r="P156">
        <v>4.5666634514698198E-2</v>
      </c>
      <c r="Q156">
        <v>4.1106745614994999E-2</v>
      </c>
      <c r="R156">
        <v>-2.5596050008472201E-2</v>
      </c>
      <c r="S156">
        <v>-2.3040242129257898E-2</v>
      </c>
      <c r="T156">
        <v>0.63873898372051396</v>
      </c>
      <c r="U156">
        <v>0.57495984096942188</v>
      </c>
      <c r="V156">
        <v>4.1006280413581501E-2</v>
      </c>
      <c r="W156">
        <v>3.6911735569995899E-2</v>
      </c>
      <c r="X156">
        <v>2.4223119231650998E-3</v>
      </c>
      <c r="Y156">
        <v>2.1804400758647E-3</v>
      </c>
      <c r="Z156">
        <v>3.8583968490415899E-2</v>
      </c>
      <c r="AA156">
        <v>3.4731295494131197E-2</v>
      </c>
      <c r="AB156">
        <v>0</v>
      </c>
      <c r="AC156">
        <v>0</v>
      </c>
      <c r="AD156">
        <v>2907.0902498102801</v>
      </c>
      <c r="AE156">
        <v>2616.8124857180101</v>
      </c>
      <c r="AF156">
        <f t="shared" si="11"/>
        <v>0.94962850919815833</v>
      </c>
      <c r="AG156">
        <f>(F156/(D156+H156))</f>
        <v>-0.41907930346589756</v>
      </c>
      <c r="AH156">
        <f>(F156/D156)</f>
        <v>-1.2753016734781331</v>
      </c>
      <c r="AI156">
        <f>(E156/(D156+H156))</f>
        <v>0.74769120148289803</v>
      </c>
      <c r="AJ156">
        <f>(E156/(D156))</f>
        <v>2.2753016734781539</v>
      </c>
      <c r="AK156">
        <f>(H156/(D156+H156))</f>
        <v>0.67138810198300636</v>
      </c>
      <c r="AL156">
        <f>(I156/H156)</f>
        <v>5.907172995780529E-2</v>
      </c>
      <c r="AM156">
        <f>J156/H156</f>
        <v>0.94092827004219204</v>
      </c>
      <c r="AN156">
        <f>(D156+H156)/AD156</f>
        <v>5.4978239055732982E-4</v>
      </c>
      <c r="AO156">
        <f>(D156+H156)/AE156</f>
        <v>6.1076864919805776E-4</v>
      </c>
    </row>
    <row r="157" spans="1:41" x14ac:dyDescent="0.35">
      <c r="A157" t="s">
        <v>31</v>
      </c>
      <c r="B157" t="s">
        <v>70</v>
      </c>
      <c r="C157">
        <f t="shared" si="8"/>
        <v>1.1077695919685908</v>
      </c>
      <c r="D157">
        <v>1.107769591968633</v>
      </c>
      <c r="E157">
        <v>0.1207378301873092</v>
      </c>
      <c r="F157">
        <v>0.9870317617812816</v>
      </c>
      <c r="G157">
        <v>0</v>
      </c>
      <c r="H157">
        <v>2.795986302562369</v>
      </c>
      <c r="I157">
        <v>0.30184457546828009</v>
      </c>
      <c r="J157">
        <v>2.494141727094302</v>
      </c>
      <c r="K157">
        <v>0</v>
      </c>
      <c r="L157">
        <f t="shared" si="9"/>
        <v>3.0794324993863899E-2</v>
      </c>
      <c r="M157">
        <v>3.0794324993863101E-2</v>
      </c>
      <c r="N157">
        <f t="shared" si="10"/>
        <v>2.6617657271588303E-2</v>
      </c>
      <c r="O157">
        <v>2.6617657271588099E-2</v>
      </c>
      <c r="P157">
        <v>3.3563296996037E-3</v>
      </c>
      <c r="Q157">
        <v>2.9011070595734E-3</v>
      </c>
      <c r="R157">
        <v>2.7437995294260199E-2</v>
      </c>
      <c r="S157">
        <v>2.3716550212014902E-2</v>
      </c>
      <c r="T157">
        <v>0</v>
      </c>
      <c r="U157">
        <v>0</v>
      </c>
      <c r="V157">
        <v>7.7724205018569095E-2</v>
      </c>
      <c r="W157">
        <v>6.7182386732074606E-2</v>
      </c>
      <c r="X157">
        <v>8.3908242490089002E-3</v>
      </c>
      <c r="Y157">
        <v>7.2527676489335001E-3</v>
      </c>
      <c r="Z157">
        <v>6.9333380769560193E-2</v>
      </c>
      <c r="AA157">
        <v>5.9929619083138798E-2</v>
      </c>
      <c r="AB157">
        <v>0</v>
      </c>
      <c r="AC157">
        <v>0</v>
      </c>
      <c r="AD157">
        <v>4161.7847155581303</v>
      </c>
      <c r="AE157">
        <v>3597.3173374942398</v>
      </c>
      <c r="AF157">
        <f t="shared" si="11"/>
        <v>0.28571428571428092</v>
      </c>
      <c r="AG157">
        <f>(F157/(D157+H157))</f>
        <v>0.25284156808167019</v>
      </c>
      <c r="AH157">
        <f>(F157/D157)</f>
        <v>0.89100817438688984</v>
      </c>
      <c r="AI157">
        <f>(E157/(D157+H157))</f>
        <v>3.0928632181243153E-2</v>
      </c>
      <c r="AJ157">
        <f>(E157/(D157))</f>
        <v>0.10899182561307202</v>
      </c>
      <c r="AK157">
        <f>(H157/(D157+H157))</f>
        <v>0.7162297997370759</v>
      </c>
      <c r="AL157">
        <f>(I157/H157)</f>
        <v>0.10795638562022138</v>
      </c>
      <c r="AM157">
        <f>J157/H157</f>
        <v>0.8920436143798548</v>
      </c>
      <c r="AN157">
        <f>(D157+H157)/AD157</f>
        <v>9.3800044003657112E-4</v>
      </c>
      <c r="AO157">
        <f>(D157+H157)/AE157</f>
        <v>1.0851853001242909E-3</v>
      </c>
    </row>
    <row r="158" spans="1:41" x14ac:dyDescent="0.35">
      <c r="A158" t="s">
        <v>32</v>
      </c>
      <c r="B158" t="s">
        <v>70</v>
      </c>
      <c r="C158">
        <f t="shared" si="8"/>
        <v>32.315087106731255</v>
      </c>
      <c r="D158">
        <v>32.293957986448447</v>
      </c>
      <c r="E158">
        <v>0.59931616434672996</v>
      </c>
      <c r="F158">
        <v>31.694641822101719</v>
      </c>
      <c r="G158">
        <v>2.1129120282806099E-2</v>
      </c>
      <c r="H158">
        <v>1.757490040666426</v>
      </c>
      <c r="I158">
        <v>9.8099487027312002E-3</v>
      </c>
      <c r="J158">
        <v>1.747680091963616</v>
      </c>
      <c r="K158">
        <v>0</v>
      </c>
      <c r="L158">
        <f t="shared" si="9"/>
        <v>1.6846940425495651</v>
      </c>
      <c r="M158">
        <v>1.6835925105330429</v>
      </c>
      <c r="N158">
        <f t="shared" si="10"/>
        <v>1.382369106382688</v>
      </c>
      <c r="O158">
        <v>1.381465248595533</v>
      </c>
      <c r="P158">
        <v>3.12443648486493E-2</v>
      </c>
      <c r="Q158">
        <v>2.5637441354014301E-2</v>
      </c>
      <c r="R158">
        <v>1.652348145684394</v>
      </c>
      <c r="S158">
        <v>1.3558278072415191</v>
      </c>
      <c r="T158">
        <v>1.1015320165218001E-3</v>
      </c>
      <c r="U158">
        <v>9.0385778715449999E-4</v>
      </c>
      <c r="V158">
        <v>9.1623859517120806E-2</v>
      </c>
      <c r="W158">
        <v>7.5181599510106098E-2</v>
      </c>
      <c r="X158">
        <v>5.1142557909939997E-4</v>
      </c>
      <c r="Y158">
        <v>4.1964825832170003E-4</v>
      </c>
      <c r="Z158">
        <v>9.1112433938022194E-2</v>
      </c>
      <c r="AA158">
        <v>7.4761951251783601E-2</v>
      </c>
      <c r="AB158">
        <v>0</v>
      </c>
      <c r="AC158">
        <v>0</v>
      </c>
      <c r="AD158">
        <v>2337.6598158571201</v>
      </c>
      <c r="AE158">
        <v>1918.15761738117</v>
      </c>
      <c r="AF158">
        <f t="shared" si="11"/>
        <v>0.9838950448969922</v>
      </c>
      <c r="AG158">
        <f>(F158/(D158+H158))</f>
        <v>0.93078690212714454</v>
      </c>
      <c r="AH158">
        <f>(F158/D158)</f>
        <v>0.98144184851549565</v>
      </c>
      <c r="AI158">
        <f>(E158/(D158+H158))</f>
        <v>1.7600313615723468E-2</v>
      </c>
      <c r="AJ158">
        <f>(E158/(D158))</f>
        <v>1.8558151484504369E-2</v>
      </c>
      <c r="AK158">
        <f>(H158/(D158+H158))</f>
        <v>5.1612784257132088E-2</v>
      </c>
      <c r="AL158">
        <f>(I158/H158)</f>
        <v>5.5817947616996723E-3</v>
      </c>
      <c r="AM158">
        <f>J158/H158</f>
        <v>0.99441820523825541</v>
      </c>
      <c r="AN158">
        <f>(D158+H158)/AD158</f>
        <v>1.4566468481056411E-2</v>
      </c>
      <c r="AO158">
        <f>(D158+H158)/AE158</f>
        <v>1.775216370050172E-2</v>
      </c>
    </row>
    <row r="159" spans="1:41" x14ac:dyDescent="0.35">
      <c r="A159" t="s">
        <v>33</v>
      </c>
      <c r="B159" t="s">
        <v>70</v>
      </c>
      <c r="C159">
        <f t="shared" si="8"/>
        <v>18.613778543454199</v>
      </c>
      <c r="D159">
        <v>18.41942346889493</v>
      </c>
      <c r="E159">
        <v>7.1761873683442404E-2</v>
      </c>
      <c r="F159">
        <v>18.347661595211431</v>
      </c>
      <c r="G159">
        <v>0.1943550745593256</v>
      </c>
      <c r="H159">
        <v>0.117360564253147</v>
      </c>
      <c r="I159">
        <v>0</v>
      </c>
      <c r="J159">
        <v>0.117360564253147</v>
      </c>
      <c r="K159">
        <v>1.0233542195064731</v>
      </c>
      <c r="L159">
        <f t="shared" si="9"/>
        <v>0.40780942972854006</v>
      </c>
      <c r="M159">
        <v>0.40355130277511719</v>
      </c>
      <c r="N159">
        <f t="shared" si="10"/>
        <v>0.34956422724308533</v>
      </c>
      <c r="O159">
        <v>0.34591426539947001</v>
      </c>
      <c r="P159">
        <v>1.5722314904937E-3</v>
      </c>
      <c r="Q159">
        <v>1.3476782191809999E-3</v>
      </c>
      <c r="R159">
        <v>0.40197907128462518</v>
      </c>
      <c r="S159">
        <v>0.34456658718028871</v>
      </c>
      <c r="T159">
        <v>4.2581269534211997E-3</v>
      </c>
      <c r="U159">
        <v>3.6499618436155999E-3</v>
      </c>
      <c r="V159">
        <v>2.5712535834125001E-3</v>
      </c>
      <c r="W159">
        <v>2.2040154209519002E-3</v>
      </c>
      <c r="X159">
        <v>0</v>
      </c>
      <c r="Y159">
        <v>0</v>
      </c>
      <c r="Z159">
        <v>2.5712535834125001E-3</v>
      </c>
      <c r="AA159">
        <v>2.2040154209519002E-3</v>
      </c>
      <c r="AB159">
        <v>2.24206761508902E-2</v>
      </c>
      <c r="AC159">
        <v>1.9218452938108699E-2</v>
      </c>
      <c r="AD159">
        <v>5324.8522282316499</v>
      </c>
      <c r="AE159">
        <v>4564.3325500944502</v>
      </c>
      <c r="AF159">
        <f t="shared" si="11"/>
        <v>1</v>
      </c>
      <c r="AG159">
        <f>(F159/(D159+H159))</f>
        <v>0.98979745151055054</v>
      </c>
      <c r="AH159">
        <f>(F159/D159)</f>
        <v>0.99610401086631817</v>
      </c>
      <c r="AI159">
        <f>(E159/(D159+H159))</f>
        <v>3.8713227469832686E-3</v>
      </c>
      <c r="AJ159">
        <f>(E159/(D159))</f>
        <v>3.8959891336787724E-3</v>
      </c>
      <c r="AK159">
        <f>(H159/(D159+H159))</f>
        <v>6.3312257424631502E-3</v>
      </c>
      <c r="AL159">
        <f>(I159/H159)</f>
        <v>0</v>
      </c>
      <c r="AM159">
        <f>J159/H159</f>
        <v>1</v>
      </c>
      <c r="AN159">
        <f>(D159+H159)/AD159</f>
        <v>3.4811828082042433E-3</v>
      </c>
      <c r="AO159">
        <f>(D159+H159)/AE159</f>
        <v>4.0612255635853033E-3</v>
      </c>
    </row>
    <row r="160" spans="1:41" x14ac:dyDescent="0.35">
      <c r="A160" t="s">
        <v>34</v>
      </c>
      <c r="B160" t="s">
        <v>70</v>
      </c>
      <c r="C160">
        <f t="shared" si="8"/>
        <v>29.05580927286822</v>
      </c>
      <c r="D160">
        <v>17.39332324339199</v>
      </c>
      <c r="E160">
        <v>4.1605968119116481</v>
      </c>
      <c r="F160">
        <v>13.232726431480341</v>
      </c>
      <c r="G160">
        <v>11.662486029476231</v>
      </c>
      <c r="H160">
        <v>0.1127275420472031</v>
      </c>
      <c r="I160">
        <v>0</v>
      </c>
      <c r="J160">
        <v>0.1127275420472031</v>
      </c>
      <c r="K160">
        <v>0.1987439034682694</v>
      </c>
      <c r="L160">
        <f t="shared" si="9"/>
        <v>1.773699794883387</v>
      </c>
      <c r="M160">
        <v>1.061768184786114</v>
      </c>
      <c r="N160">
        <f t="shared" si="10"/>
        <v>1.3473348533823515</v>
      </c>
      <c r="O160">
        <v>0.80653856176878946</v>
      </c>
      <c r="P160">
        <v>0.2539819022962525</v>
      </c>
      <c r="Q160">
        <v>0.1929293052179612</v>
      </c>
      <c r="R160">
        <v>0.8077862824898614</v>
      </c>
      <c r="S160">
        <v>0.61360925655082843</v>
      </c>
      <c r="T160">
        <v>0.71193161009727324</v>
      </c>
      <c r="U160">
        <v>0.5407962916135618</v>
      </c>
      <c r="V160">
        <v>6.8814059291586E-3</v>
      </c>
      <c r="W160">
        <v>5.2272419917809001E-3</v>
      </c>
      <c r="X160">
        <v>0</v>
      </c>
      <c r="Y160">
        <v>0</v>
      </c>
      <c r="Z160">
        <v>6.8814059291586E-3</v>
      </c>
      <c r="AA160">
        <v>5.2272419917809001E-3</v>
      </c>
      <c r="AB160">
        <v>1.21322389442157E-2</v>
      </c>
      <c r="AC160">
        <v>9.2158709305030003E-3</v>
      </c>
      <c r="AD160">
        <v>2156.5395714307001</v>
      </c>
      <c r="AE160">
        <v>1638.14696019506</v>
      </c>
      <c r="AF160">
        <f t="shared" si="11"/>
        <v>1</v>
      </c>
      <c r="AG160">
        <f>(F160/(D160+H160))</f>
        <v>0.75589443865242145</v>
      </c>
      <c r="AH160">
        <f>(F160/D160)</f>
        <v>0.76079345196483206</v>
      </c>
      <c r="AI160">
        <f>(E160/(D160+H160))</f>
        <v>0.23766621397969781</v>
      </c>
      <c r="AJ160">
        <f>(E160/(D160))</f>
        <v>0.23920654803516789</v>
      </c>
      <c r="AK160">
        <f>(H160/(D160+H160))</f>
        <v>6.4393473678806641E-3</v>
      </c>
      <c r="AL160">
        <f>(I160/H160)</f>
        <v>0</v>
      </c>
      <c r="AM160">
        <f>J160/H160</f>
        <v>1</v>
      </c>
      <c r="AN160">
        <f>(D160+H160)/AD160</f>
        <v>8.1176580376057083E-3</v>
      </c>
      <c r="AO160">
        <f>(D160+H160)/AE160</f>
        <v>1.0686495907152729E-2</v>
      </c>
    </row>
    <row r="161" spans="1:41" x14ac:dyDescent="0.35">
      <c r="A161" t="s">
        <v>35</v>
      </c>
      <c r="B161" t="s">
        <v>70</v>
      </c>
      <c r="C161">
        <f t="shared" si="8"/>
        <v>43.971710118504795</v>
      </c>
      <c r="D161">
        <v>44.535014678177703</v>
      </c>
      <c r="E161">
        <v>11.083715197058419</v>
      </c>
      <c r="F161">
        <v>33.451299481119278</v>
      </c>
      <c r="G161">
        <v>-0.56330455967290338</v>
      </c>
      <c r="H161">
        <v>0.4565067174930561</v>
      </c>
      <c r="I161">
        <v>1.9287868372448E-3</v>
      </c>
      <c r="J161">
        <v>0.45457793065583019</v>
      </c>
      <c r="K161">
        <v>3.01844575468663E-2</v>
      </c>
      <c r="L161">
        <f t="shared" si="9"/>
        <v>3.3213306140612606</v>
      </c>
      <c r="M161">
        <v>3.363878895081938</v>
      </c>
      <c r="N161">
        <f t="shared" si="10"/>
        <v>2.4475943358754084</v>
      </c>
      <c r="O161">
        <v>2.478949519604047</v>
      </c>
      <c r="P161">
        <v>0.83719015026513932</v>
      </c>
      <c r="Q161">
        <v>0.61695209178047894</v>
      </c>
      <c r="R161">
        <v>2.5266887448167989</v>
      </c>
      <c r="S161">
        <v>1.8619974278235689</v>
      </c>
      <c r="T161">
        <v>-4.2548281020677502E-2</v>
      </c>
      <c r="U161">
        <v>-3.1355183728639303E-2</v>
      </c>
      <c r="V161">
        <v>3.4481482122211901E-2</v>
      </c>
      <c r="W161">
        <v>2.5410502639399299E-2</v>
      </c>
      <c r="X161">
        <v>1.456877331646E-4</v>
      </c>
      <c r="Y161">
        <v>1.07361931688E-4</v>
      </c>
      <c r="Z161">
        <v>3.4335794389047401E-2</v>
      </c>
      <c r="AA161">
        <v>2.5303140707711301E-2</v>
      </c>
      <c r="AB161">
        <v>2.2799332263643999E-3</v>
      </c>
      <c r="AC161">
        <v>1.6801554254787E-3</v>
      </c>
      <c r="AD161">
        <v>1796.5276955414199</v>
      </c>
      <c r="AE161">
        <v>1323.9184901480501</v>
      </c>
      <c r="AF161">
        <f t="shared" si="11"/>
        <v>0.99982601039325747</v>
      </c>
      <c r="AG161">
        <f>(F161/(D161+H161))</f>
        <v>0.74350229650909472</v>
      </c>
      <c r="AH161">
        <f>(F161/D161)</f>
        <v>0.75112357597381729</v>
      </c>
      <c r="AI161">
        <f>(E161/(D161+H161))</f>
        <v>0.24635119803094574</v>
      </c>
      <c r="AJ161">
        <f>(E161/(D161))</f>
        <v>0.24887642402618257</v>
      </c>
      <c r="AK161">
        <f>(H161/(D161+H161))</f>
        <v>1.0146505459959458E-2</v>
      </c>
      <c r="AL161">
        <f>(I161/H161)</f>
        <v>4.2251006684784192E-3</v>
      </c>
      <c r="AM161">
        <f>J161/H161</f>
        <v>0.99577489933156293</v>
      </c>
      <c r="AN161">
        <f>(D161+H161)/AD161</f>
        <v>2.5043600222434452E-2</v>
      </c>
      <c r="AO161">
        <f>(D161+H161)/AE161</f>
        <v>3.3983603772041501E-2</v>
      </c>
    </row>
    <row r="162" spans="1:41" x14ac:dyDescent="0.35">
      <c r="A162" t="s">
        <v>36</v>
      </c>
      <c r="B162" t="s">
        <v>70</v>
      </c>
      <c r="C162">
        <f t="shared" si="8"/>
        <v>4.6599063126115929</v>
      </c>
      <c r="D162">
        <v>-0.48813945339185238</v>
      </c>
      <c r="E162">
        <v>59.277619120647593</v>
      </c>
      <c r="F162">
        <v>-59.76575857403941</v>
      </c>
      <c r="G162">
        <v>5.1480457660034098</v>
      </c>
      <c r="H162">
        <v>0.78789688487375997</v>
      </c>
      <c r="I162">
        <v>2.3105480494830999E-3</v>
      </c>
      <c r="J162">
        <v>0.78558633682428081</v>
      </c>
      <c r="K162">
        <v>0</v>
      </c>
      <c r="L162">
        <f t="shared" si="9"/>
        <v>0.14758737508720077</v>
      </c>
      <c r="M162">
        <v>-1.5460229405817901E-2</v>
      </c>
      <c r="N162">
        <f t="shared" si="10"/>
        <v>0.15839309266988694</v>
      </c>
      <c r="O162">
        <v>-1.6592161406265401E-2</v>
      </c>
      <c r="P162">
        <v>1.8774257722216121</v>
      </c>
      <c r="Q162">
        <v>2.014882872905865</v>
      </c>
      <c r="R162">
        <v>-1.89288600162743</v>
      </c>
      <c r="S162">
        <v>-2.0314750343121291</v>
      </c>
      <c r="T162">
        <v>0.16304760449301869</v>
      </c>
      <c r="U162">
        <v>0.17498525407615101</v>
      </c>
      <c r="V162">
        <v>2.49540710213818E-2</v>
      </c>
      <c r="W162">
        <v>2.6781101577593999E-2</v>
      </c>
      <c r="X162">
        <v>7.3179093904349179E-5</v>
      </c>
      <c r="Y162">
        <v>7.8536954773000822E-5</v>
      </c>
      <c r="Z162">
        <v>2.4880891927477201E-2</v>
      </c>
      <c r="AA162">
        <v>2.6702564622819801E-2</v>
      </c>
      <c r="AB162">
        <v>0</v>
      </c>
      <c r="AC162">
        <v>0</v>
      </c>
      <c r="AD162">
        <v>2941.9883367789698</v>
      </c>
      <c r="AE162">
        <v>3157.38816403392</v>
      </c>
      <c r="AF162">
        <f t="shared" si="11"/>
        <v>0.99996102309732149</v>
      </c>
      <c r="AG162">
        <f>(F162/(D162+H162))</f>
        <v>-199.38040661269372</v>
      </c>
      <c r="AH162">
        <f>(F162/D162)</f>
        <v>122.43582885742005</v>
      </c>
      <c r="AI162">
        <f>(E162/(D162+H162))</f>
        <v>197.75195840048892</v>
      </c>
      <c r="AJ162">
        <f>(E162/(D162))</f>
        <v>-121.43582885742012</v>
      </c>
      <c r="AK162">
        <f>(H162/(D162+H162))</f>
        <v>2.628448212204924</v>
      </c>
      <c r="AL162">
        <f>(I162/H162)</f>
        <v>2.9325513196480084E-3</v>
      </c>
      <c r="AM162">
        <f>J162/H162</f>
        <v>0.99706744868035702</v>
      </c>
      <c r="AN162">
        <f>(D162+H162)/AD162</f>
        <v>1.0188940171329722E-4</v>
      </c>
      <c r="AO162">
        <f>(D162+H162)/AE162</f>
        <v>9.4938416155628327E-5</v>
      </c>
    </row>
    <row r="163" spans="1:41" x14ac:dyDescent="0.35">
      <c r="A163" t="s">
        <v>37</v>
      </c>
      <c r="B163" t="s">
        <v>70</v>
      </c>
      <c r="C163">
        <f t="shared" si="8"/>
        <v>1824.7079999999999</v>
      </c>
      <c r="D163">
        <v>1824.7279999999989</v>
      </c>
      <c r="E163">
        <v>206.6</v>
      </c>
      <c r="F163">
        <v>1618.1279999999999</v>
      </c>
      <c r="G163">
        <v>-1.9999999999999501E-2</v>
      </c>
      <c r="H163">
        <v>0</v>
      </c>
      <c r="I163">
        <v>0</v>
      </c>
      <c r="J163">
        <v>0</v>
      </c>
      <c r="K163">
        <v>0</v>
      </c>
      <c r="L163">
        <f t="shared" si="9"/>
        <v>9.1560553513794414</v>
      </c>
      <c r="M163">
        <v>9.1561557077690807</v>
      </c>
      <c r="N163">
        <f t="shared" si="10"/>
        <v>9.1353182173155787</v>
      </c>
      <c r="O163">
        <v>9.1354183464125889</v>
      </c>
      <c r="P163">
        <v>1.036681504983259</v>
      </c>
      <c r="Q163">
        <v>1.0343335721098379</v>
      </c>
      <c r="R163">
        <v>8.1194742027858222</v>
      </c>
      <c r="S163">
        <v>8.1010847743027501</v>
      </c>
      <c r="T163">
        <v>-1.003563896402E-4</v>
      </c>
      <c r="U163">
        <v>-1.001290970096E-4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19974.2138871676</v>
      </c>
      <c r="AE163">
        <v>19928.975197</v>
      </c>
      <c r="AF163">
        <f t="shared" si="11"/>
        <v>1</v>
      </c>
      <c r="AG163">
        <f>(F163/(D163+H163))</f>
        <v>0.88677764576419105</v>
      </c>
      <c r="AH163">
        <f>(F163/D163)</f>
        <v>0.88677764576419105</v>
      </c>
      <c r="AI163">
        <f>(E163/(D163+H163))</f>
        <v>0.11322235423580945</v>
      </c>
      <c r="AJ163">
        <f>(E163/(D163))</f>
        <v>0.11322235423580945</v>
      </c>
      <c r="AK163">
        <f>(H163/(D163+H163))</f>
        <v>0</v>
      </c>
      <c r="AL163">
        <v>0</v>
      </c>
      <c r="AM163">
        <v>0</v>
      </c>
      <c r="AN163">
        <f>(D163+H163)/AD163</f>
        <v>9.135418346412584E-2</v>
      </c>
      <c r="AO163">
        <f>(D163+H163)/AE163</f>
        <v>9.1561557077690758E-2</v>
      </c>
    </row>
    <row r="164" spans="1:41" x14ac:dyDescent="0.35">
      <c r="A164" t="s">
        <v>38</v>
      </c>
      <c r="B164" t="s">
        <v>70</v>
      </c>
      <c r="C164">
        <f t="shared" si="8"/>
        <v>-0.23611110498627713</v>
      </c>
      <c r="D164">
        <v>-0.2000281227447073</v>
      </c>
      <c r="E164">
        <v>2.4564657236113301</v>
      </c>
      <c r="F164">
        <v>-2.656493846356037</v>
      </c>
      <c r="G164">
        <v>-3.6082982241570201E-2</v>
      </c>
      <c r="H164">
        <v>-1.924531518112417</v>
      </c>
      <c r="I164">
        <v>-0.95092364114216943</v>
      </c>
      <c r="J164">
        <v>-0.9736078769702472</v>
      </c>
      <c r="K164">
        <v>1.196059834340673</v>
      </c>
      <c r="L164">
        <f t="shared" si="9"/>
        <v>-1.8458418489808618E-2</v>
      </c>
      <c r="M164">
        <v>-1.5637565202903901E-2</v>
      </c>
      <c r="N164">
        <f t="shared" si="10"/>
        <v>-9.9136885867613898E-3</v>
      </c>
      <c r="O164">
        <v>-8.3986584095685993E-3</v>
      </c>
      <c r="P164">
        <v>0.19203871133009029</v>
      </c>
      <c r="Q164">
        <v>0.1031405795561872</v>
      </c>
      <c r="R164">
        <v>-0.20767627653299431</v>
      </c>
      <c r="S164">
        <v>-0.11153923796575579</v>
      </c>
      <c r="T164">
        <v>-2.8208532869045998E-3</v>
      </c>
      <c r="U164">
        <v>-1.5150301771928E-3</v>
      </c>
      <c r="V164">
        <v>-0.15045377963145881</v>
      </c>
      <c r="W164">
        <v>-8.0806051655565606E-2</v>
      </c>
      <c r="X164">
        <v>-7.4340198954534004E-2</v>
      </c>
      <c r="Y164">
        <v>-3.9926799921675402E-2</v>
      </c>
      <c r="Z164">
        <v>-7.6113580676924794E-2</v>
      </c>
      <c r="AA164">
        <v>-4.0879251733890197E-2</v>
      </c>
      <c r="AB164">
        <v>9.3504170260837002E-2</v>
      </c>
      <c r="AC164">
        <v>5.0219428389342902E-2</v>
      </c>
      <c r="AD164">
        <v>2381.6675591522499</v>
      </c>
      <c r="AE164">
        <v>1279.1513266244399</v>
      </c>
      <c r="AF164">
        <f t="shared" si="11"/>
        <v>1.6316154508166318</v>
      </c>
      <c r="AG164">
        <f>(F164/(D164+H164))</f>
        <v>1.250373863491218</v>
      </c>
      <c r="AH164">
        <f>(F164/D164)</f>
        <v>13.280601796910716</v>
      </c>
      <c r="AI164">
        <f>(E164/(D164+H164))</f>
        <v>-1.1562234716180069</v>
      </c>
      <c r="AJ164">
        <f>(E164/(D164))</f>
        <v>-12.280601796910718</v>
      </c>
      <c r="AK164">
        <f>(H164/(D164+H164))</f>
        <v>0.90584960812678872</v>
      </c>
      <c r="AL164">
        <f>(I164/H164)</f>
        <v>0.49410655642305956</v>
      </c>
      <c r="AM164">
        <f>J164/H164</f>
        <v>0.50589344357694022</v>
      </c>
      <c r="AN164">
        <f>(D164+H164)/AD164</f>
        <v>-8.9204710065134249E-4</v>
      </c>
      <c r="AO164">
        <f>(D164+H164)/AE164</f>
        <v>-1.6609134483436276E-3</v>
      </c>
    </row>
    <row r="165" spans="1:41" x14ac:dyDescent="0.35">
      <c r="A165" t="s">
        <v>39</v>
      </c>
      <c r="B165" t="s">
        <v>70</v>
      </c>
      <c r="C165">
        <f t="shared" si="8"/>
        <v>6.0872373355272105</v>
      </c>
      <c r="D165">
        <v>5.9126558224667001</v>
      </c>
      <c r="E165">
        <v>0.38031964593465961</v>
      </c>
      <c r="F165">
        <v>5.5323361765320396</v>
      </c>
      <c r="G165">
        <v>0.1745815130605112</v>
      </c>
      <c r="H165">
        <v>2.4997121076552422</v>
      </c>
      <c r="I165">
        <v>1.39596790432272E-2</v>
      </c>
      <c r="J165">
        <v>2.4857524286120172</v>
      </c>
      <c r="K165">
        <v>0.92377554356033542</v>
      </c>
      <c r="L165">
        <f t="shared" si="9"/>
        <v>0.61052260701252303</v>
      </c>
      <c r="M165">
        <v>0.59301286414972698</v>
      </c>
      <c r="N165">
        <f t="shared" si="10"/>
        <v>0.2608312887389701</v>
      </c>
      <c r="O165">
        <v>0.25335066681943258</v>
      </c>
      <c r="P165">
        <v>3.8144354973469699E-2</v>
      </c>
      <c r="Q165">
        <v>1.62962700341787E-2</v>
      </c>
      <c r="R165">
        <v>0.5548685091762573</v>
      </c>
      <c r="S165">
        <v>0.23705439678525389</v>
      </c>
      <c r="T165">
        <v>1.75097428627961E-2</v>
      </c>
      <c r="U165">
        <v>7.4806219195374998E-3</v>
      </c>
      <c r="V165">
        <v>0.250709914633922</v>
      </c>
      <c r="W165">
        <v>0.10710985863994631</v>
      </c>
      <c r="X165">
        <v>1.4000932069443001E-3</v>
      </c>
      <c r="Y165">
        <v>5.981565814719E-4</v>
      </c>
      <c r="Z165">
        <v>0.24930982142697819</v>
      </c>
      <c r="AA165">
        <v>0.1065117020584747</v>
      </c>
      <c r="AB165">
        <v>9.2650544419756897E-2</v>
      </c>
      <c r="AC165">
        <v>3.9582745382066901E-2</v>
      </c>
      <c r="AD165">
        <v>2333.7834064911899</v>
      </c>
      <c r="AE165">
        <v>997.05355143423003</v>
      </c>
      <c r="AF165">
        <f t="shared" si="11"/>
        <v>0.96459444318057985</v>
      </c>
      <c r="AG165">
        <f>(F165/(D165+H165))</f>
        <v>0.65764315380483429</v>
      </c>
      <c r="AH165">
        <f>(F165/D165)</f>
        <v>0.9356770193709677</v>
      </c>
      <c r="AI165">
        <f>(E165/(D165+H165))</f>
        <v>4.5209582972810684E-2</v>
      </c>
      <c r="AJ165">
        <f>(E165/(D165))</f>
        <v>6.4322980629032134E-2</v>
      </c>
      <c r="AK165">
        <f>(H165/(D165+H165))</f>
        <v>0.29714726322235496</v>
      </c>
      <c r="AL165">
        <f>(I165/H165)</f>
        <v>5.5845147129048936E-3</v>
      </c>
      <c r="AM165">
        <f>J165/H165</f>
        <v>0.994415485287096</v>
      </c>
      <c r="AN165">
        <f>(D165+H165)/AD165</f>
        <v>3.6046052545937917E-3</v>
      </c>
      <c r="AO165">
        <f>(D165+H165)/AE165</f>
        <v>8.4372277878364873E-3</v>
      </c>
    </row>
    <row r="166" spans="1:41" x14ac:dyDescent="0.35">
      <c r="A166" t="s">
        <v>40</v>
      </c>
      <c r="B166" t="s">
        <v>70</v>
      </c>
      <c r="C166">
        <f t="shared" si="8"/>
        <v>13.791972576402923</v>
      </c>
      <c r="D166">
        <v>13.79197257640293</v>
      </c>
      <c r="E166">
        <v>0.80433050390652472</v>
      </c>
      <c r="F166">
        <v>12.987642072496399</v>
      </c>
      <c r="G166">
        <v>0</v>
      </c>
      <c r="H166">
        <v>2.7166011792179E-2</v>
      </c>
      <c r="I166">
        <v>0</v>
      </c>
      <c r="J166">
        <v>2.7166011792179E-2</v>
      </c>
      <c r="K166">
        <v>0</v>
      </c>
      <c r="L166">
        <f t="shared" si="9"/>
        <v>3.3318004342018028</v>
      </c>
      <c r="M166">
        <v>3.3318004342018028</v>
      </c>
      <c r="N166">
        <f t="shared" si="10"/>
        <v>2.9432345816350116</v>
      </c>
      <c r="O166">
        <v>2.9432345816350129</v>
      </c>
      <c r="P166">
        <v>0.1943064131915819</v>
      </c>
      <c r="Q166">
        <v>0.17164574110391839</v>
      </c>
      <c r="R166">
        <v>3.1374940210102209</v>
      </c>
      <c r="S166">
        <v>2.7715888405310931</v>
      </c>
      <c r="T166">
        <v>0</v>
      </c>
      <c r="U166">
        <v>0</v>
      </c>
      <c r="V166">
        <v>6.5626384756285001E-3</v>
      </c>
      <c r="W166">
        <v>5.7972813467337004E-3</v>
      </c>
      <c r="X166">
        <v>0</v>
      </c>
      <c r="Y166">
        <v>0</v>
      </c>
      <c r="Z166">
        <v>6.5626384756285001E-3</v>
      </c>
      <c r="AA166">
        <v>5.7972813467337004E-3</v>
      </c>
      <c r="AB166">
        <v>0</v>
      </c>
      <c r="AC166">
        <v>0</v>
      </c>
      <c r="AD166">
        <v>468.59916169988998</v>
      </c>
      <c r="AE166">
        <v>413.94954015926999</v>
      </c>
      <c r="AF166">
        <f t="shared" si="11"/>
        <v>1</v>
      </c>
      <c r="AG166">
        <f>(F166/(D166+H166))</f>
        <v>0.93983007620974224</v>
      </c>
      <c r="AH166">
        <f>(F166/D166)</f>
        <v>0.94168125701738403</v>
      </c>
      <c r="AI166">
        <f>(E166/(D166+H166))</f>
        <v>5.820409852417413E-2</v>
      </c>
      <c r="AJ166">
        <f>(E166/(D166))</f>
        <v>5.8318742982615565E-2</v>
      </c>
      <c r="AK166">
        <f>(H166/(D166+H166))</f>
        <v>1.9658252660831807E-3</v>
      </c>
      <c r="AL166">
        <f>(I166/H166)</f>
        <v>0</v>
      </c>
      <c r="AM166">
        <f>J166/H166</f>
        <v>1</v>
      </c>
      <c r="AN166">
        <f>(D166+H166)/AD166</f>
        <v>2.949031862981746E-2</v>
      </c>
      <c r="AO166">
        <f>(D166+H166)/AE166</f>
        <v>3.3383630726774326E-2</v>
      </c>
    </row>
    <row r="167" spans="1:41" x14ac:dyDescent="0.35">
      <c r="A167" t="s">
        <v>41</v>
      </c>
      <c r="B167" t="s">
        <v>70</v>
      </c>
      <c r="C167">
        <f t="shared" si="8"/>
        <v>4.4754177256868832</v>
      </c>
      <c r="D167">
        <v>4.6620195461430924</v>
      </c>
      <c r="E167">
        <v>0.36683396841928578</v>
      </c>
      <c r="F167">
        <v>4.2951855777238066</v>
      </c>
      <c r="G167">
        <v>-0.18660182045620921</v>
      </c>
      <c r="H167">
        <v>0.27410581093383252</v>
      </c>
      <c r="I167">
        <v>0.1171466316901279</v>
      </c>
      <c r="J167">
        <v>0.15695917924369951</v>
      </c>
      <c r="K167">
        <v>0</v>
      </c>
      <c r="L167">
        <f t="shared" si="9"/>
        <v>0.90383717559823307</v>
      </c>
      <c r="M167">
        <v>0.94152252090010602</v>
      </c>
      <c r="N167">
        <f t="shared" si="10"/>
        <v>0.80591404301250291</v>
      </c>
      <c r="O167">
        <v>0.83951649909033765</v>
      </c>
      <c r="P167">
        <v>7.4084297433641699E-2</v>
      </c>
      <c r="Q167">
        <v>6.6057888832652595E-2</v>
      </c>
      <c r="R167">
        <v>0.86743822346646393</v>
      </c>
      <c r="S167">
        <v>0.77345861025768503</v>
      </c>
      <c r="T167">
        <v>-3.7685345301872598E-2</v>
      </c>
      <c r="U167">
        <v>-3.36024560778347E-2</v>
      </c>
      <c r="V167">
        <v>5.5357295598920303E-2</v>
      </c>
      <c r="W167">
        <v>4.9359799652892201E-2</v>
      </c>
      <c r="X167">
        <v>2.3658457647414598E-2</v>
      </c>
      <c r="Y167">
        <v>2.1095263360292799E-2</v>
      </c>
      <c r="Z167">
        <v>3.1698837951504098E-2</v>
      </c>
      <c r="AA167">
        <v>2.8264536292599701E-2</v>
      </c>
      <c r="AB167">
        <v>0</v>
      </c>
      <c r="AC167">
        <v>0</v>
      </c>
      <c r="AD167">
        <v>555.32196820367994</v>
      </c>
      <c r="AE167">
        <v>495.15751802582002</v>
      </c>
      <c r="AF167">
        <f t="shared" si="11"/>
        <v>0.75795180289531339</v>
      </c>
      <c r="AG167">
        <f>(F167/(D167+H167))</f>
        <v>0.87015326131573978</v>
      </c>
      <c r="AH167">
        <f>(F167/D167)</f>
        <v>0.92131436498957431</v>
      </c>
      <c r="AI167">
        <f>(E167/(D167+H167))</f>
        <v>7.4316177544671916E-2</v>
      </c>
      <c r="AJ167">
        <f>(E167/(D167))</f>
        <v>7.8685635010425692E-2</v>
      </c>
      <c r="AK167">
        <f>(H167/(D167+H167))</f>
        <v>5.553056113958834E-2</v>
      </c>
      <c r="AL167">
        <f>(I167/H167)</f>
        <v>0.42737741053729938</v>
      </c>
      <c r="AM167">
        <f>J167/H167</f>
        <v>0.57262258946268196</v>
      </c>
      <c r="AN167">
        <f>(D167+H167)/AD167</f>
        <v>8.8887629874322971E-3</v>
      </c>
      <c r="AO167">
        <f>(D167+H167)/AE167</f>
        <v>9.9687981649902568E-3</v>
      </c>
    </row>
    <row r="168" spans="1:41" x14ac:dyDescent="0.35">
      <c r="A168" t="s">
        <v>42</v>
      </c>
      <c r="B168" t="s">
        <v>70</v>
      </c>
      <c r="C168">
        <f t="shared" si="8"/>
        <v>5.4274449959136002E-2</v>
      </c>
      <c r="D168">
        <v>4.84917598108634E-2</v>
      </c>
      <c r="E168">
        <v>1.0609563743112701E-2</v>
      </c>
      <c r="F168">
        <v>3.7882196067750201E-2</v>
      </c>
      <c r="G168">
        <v>5.7826901482730996E-3</v>
      </c>
      <c r="H168">
        <v>0.13779688645334431</v>
      </c>
      <c r="I168">
        <v>1.5930275890549999E-4</v>
      </c>
      <c r="J168">
        <v>0.1376375836944348</v>
      </c>
      <c r="K168">
        <v>0</v>
      </c>
      <c r="L168">
        <f t="shared" si="9"/>
        <v>2.5168967945269599E-2</v>
      </c>
      <c r="M168">
        <v>2.2487331501438598E-2</v>
      </c>
      <c r="N168">
        <f t="shared" si="10"/>
        <v>1.3322287442211601E-2</v>
      </c>
      <c r="O168">
        <v>1.19028596930119E-2</v>
      </c>
      <c r="P168">
        <v>4.9200271944671E-3</v>
      </c>
      <c r="Q168">
        <v>2.6042393415065999E-3</v>
      </c>
      <c r="R168">
        <v>1.7567304306971201E-2</v>
      </c>
      <c r="S168">
        <v>9.2986203515055006E-3</v>
      </c>
      <c r="T168">
        <v>2.6816364438313001E-3</v>
      </c>
      <c r="U168">
        <v>1.4194277491995E-3</v>
      </c>
      <c r="V168">
        <v>6.3901254102311997E-2</v>
      </c>
      <c r="W168">
        <v>3.3823829285333597E-2</v>
      </c>
      <c r="X168">
        <v>7.3874282199206526E-5</v>
      </c>
      <c r="Y168">
        <v>3.9102692815415341E-5</v>
      </c>
      <c r="Z168">
        <v>6.3827379820114702E-2</v>
      </c>
      <c r="AA168">
        <v>3.3784726592518403E-2</v>
      </c>
      <c r="AB168">
        <v>0</v>
      </c>
      <c r="AC168">
        <v>0</v>
      </c>
      <c r="AD168">
        <v>407.39587848230002</v>
      </c>
      <c r="AE168">
        <v>215.64034757863999</v>
      </c>
      <c r="AF168">
        <f t="shared" si="11"/>
        <v>0.98520710059172478</v>
      </c>
      <c r="AG168">
        <f>(F168/(D168+H168))</f>
        <v>0.20335214639985624</v>
      </c>
      <c r="AH168">
        <f>(F168/D168)</f>
        <v>0.78120893561102756</v>
      </c>
      <c r="AI168">
        <f>(E168/(D168+H168))</f>
        <v>5.6952283222164106E-2</v>
      </c>
      <c r="AJ168">
        <f>(E168/(D168))</f>
        <v>0.21879106438896215</v>
      </c>
      <c r="AK168">
        <f>(H168/(D168+H168))</f>
        <v>0.73969557037797695</v>
      </c>
      <c r="AL168">
        <f>(I168/H168)</f>
        <v>1.1560693641611214E-3</v>
      </c>
      <c r="AM168">
        <f>J168/H168</f>
        <v>0.99884393063580967</v>
      </c>
      <c r="AN168">
        <f>(D168+H168)/AD168</f>
        <v>4.5726688978347467E-4</v>
      </c>
      <c r="AO168">
        <f>(D168+H168)/AE168</f>
        <v>8.638858560375476E-4</v>
      </c>
    </row>
    <row r="169" spans="1:41" x14ac:dyDescent="0.35">
      <c r="A169" t="s">
        <v>43</v>
      </c>
      <c r="B169" t="s">
        <v>70</v>
      </c>
      <c r="C169">
        <f t="shared" si="8"/>
        <v>33.827042892683806</v>
      </c>
      <c r="D169">
        <v>11.8328660765875</v>
      </c>
      <c r="E169">
        <v>3.4109288650490001E-4</v>
      </c>
      <c r="F169">
        <v>11.832524983700999</v>
      </c>
      <c r="G169">
        <v>21.994176816096299</v>
      </c>
      <c r="H169">
        <v>33.062446307244088</v>
      </c>
      <c r="I169">
        <v>25.12571084390953</v>
      </c>
      <c r="J169">
        <v>7.9367354633345588</v>
      </c>
      <c r="K169">
        <v>0</v>
      </c>
      <c r="L169">
        <f t="shared" si="9"/>
        <v>10.170410171762216</v>
      </c>
      <c r="M169">
        <v>3.5576595296319602</v>
      </c>
      <c r="N169">
        <f t="shared" si="10"/>
        <v>10.874640781494925</v>
      </c>
      <c r="O169">
        <v>3.8040028626403259</v>
      </c>
      <c r="P169">
        <v>1.025526994313E-4</v>
      </c>
      <c r="Q169">
        <v>1.096537650551E-4</v>
      </c>
      <c r="R169">
        <v>3.557556976932529</v>
      </c>
      <c r="S169">
        <v>3.8038932088752722</v>
      </c>
      <c r="T169">
        <v>6.6127506421302549</v>
      </c>
      <c r="U169">
        <v>7.0706379188545974</v>
      </c>
      <c r="V169">
        <v>9.9405272075752222</v>
      </c>
      <c r="W169">
        <v>10.628840010916401</v>
      </c>
      <c r="X169">
        <v>7.5542750204429563</v>
      </c>
      <c r="Y169">
        <v>8.0773563528464187</v>
      </c>
      <c r="Z169">
        <v>2.3862521871322659</v>
      </c>
      <c r="AA169">
        <v>2.55148365806998</v>
      </c>
      <c r="AB169">
        <v>0</v>
      </c>
      <c r="AC169">
        <v>0</v>
      </c>
      <c r="AD169">
        <v>311.06354290107998</v>
      </c>
      <c r="AE169">
        <v>332.60254327404999</v>
      </c>
      <c r="AF169">
        <f t="shared" si="11"/>
        <v>1.3575267907704354E-5</v>
      </c>
      <c r="AG169">
        <f>(F169/(D169+H169))</f>
        <v>0.26355813904442987</v>
      </c>
      <c r="AH169">
        <f>(F169/D169)</f>
        <v>0.99997117411079506</v>
      </c>
      <c r="AI169">
        <f>(E169/(D169+H169))</f>
        <v>7.5975167204258011E-6</v>
      </c>
      <c r="AJ169">
        <f>(E169/(D169))</f>
        <v>2.8825889205303027E-5</v>
      </c>
      <c r="AK169">
        <f>(H169/(D169+H169))</f>
        <v>0.73643426343884977</v>
      </c>
      <c r="AL169">
        <f>(I169/H169)</f>
        <v>0.75994711977511498</v>
      </c>
      <c r="AM169">
        <f>J169/H169</f>
        <v>0.24005288022488508</v>
      </c>
      <c r="AN169">
        <f>(D169+H169)/AD169</f>
        <v>0.14432842873556725</v>
      </c>
      <c r="AO169">
        <f>(D169+H169)/AE169</f>
        <v>0.1349818673720718</v>
      </c>
    </row>
    <row r="170" spans="1:41" x14ac:dyDescent="0.35">
      <c r="A170" t="s">
        <v>44</v>
      </c>
      <c r="B170" t="s">
        <v>70</v>
      </c>
      <c r="C170">
        <f t="shared" si="8"/>
        <v>-9.4391081956542694E-2</v>
      </c>
      <c r="D170">
        <v>-9.4391081956542694E-2</v>
      </c>
      <c r="E170">
        <v>-3.7900585127936898E-2</v>
      </c>
      <c r="F170">
        <v>-5.6490496828605803E-2</v>
      </c>
      <c r="G170">
        <v>0</v>
      </c>
      <c r="H170">
        <v>0.22987065939187659</v>
      </c>
      <c r="I170">
        <v>0.1682830664882291</v>
      </c>
      <c r="J170">
        <v>6.1587592903647403E-2</v>
      </c>
      <c r="K170">
        <v>0</v>
      </c>
      <c r="L170">
        <f t="shared" si="9"/>
        <v>-0.35095285440695068</v>
      </c>
      <c r="M170">
        <v>-0.3509528544069509</v>
      </c>
      <c r="N170">
        <f t="shared" si="10"/>
        <v>-0.20559322227792198</v>
      </c>
      <c r="O170">
        <v>-0.20559322227792171</v>
      </c>
      <c r="P170">
        <v>-0.14091711058537271</v>
      </c>
      <c r="Q170">
        <v>-8.2551267144693796E-2</v>
      </c>
      <c r="R170">
        <v>-0.210035743821578</v>
      </c>
      <c r="S170">
        <v>-0.1230419551332282</v>
      </c>
      <c r="T170">
        <v>0</v>
      </c>
      <c r="U170">
        <v>0</v>
      </c>
      <c r="V170">
        <v>0.85467570013795235</v>
      </c>
      <c r="W170">
        <v>0.50068129946094686</v>
      </c>
      <c r="X170">
        <v>0.62568858527958593</v>
      </c>
      <c r="Y170">
        <v>0.36653735900658008</v>
      </c>
      <c r="Z170">
        <v>0.22898711485836659</v>
      </c>
      <c r="AA170">
        <v>0.13414394045436709</v>
      </c>
      <c r="AB170">
        <v>0</v>
      </c>
      <c r="AC170">
        <v>0</v>
      </c>
      <c r="AD170">
        <v>45.911572818750003</v>
      </c>
      <c r="AE170">
        <v>26.895658710639999</v>
      </c>
      <c r="AF170">
        <f t="shared" si="11"/>
        <v>-0.29068771151244144</v>
      </c>
      <c r="AG170">
        <f>(F170/(D170+H170))</f>
        <v>-0.4169668808981149</v>
      </c>
      <c r="AH170">
        <f>(F170/D170)</f>
        <v>0.59847281816955777</v>
      </c>
      <c r="AI170">
        <f>(E170/(D170+H170))</f>
        <v>-0.27975127945780109</v>
      </c>
      <c r="AJ170">
        <f>(E170/(D170))</f>
        <v>0.40152718183044228</v>
      </c>
      <c r="AK170">
        <f>(H170/(D170+H170))</f>
        <v>1.696718160355916</v>
      </c>
      <c r="AL170">
        <f>(I170/H170)</f>
        <v>0.73207719042274633</v>
      </c>
      <c r="AM170">
        <f>J170/H170</f>
        <v>0.26792280957725328</v>
      </c>
      <c r="AN170">
        <f>(D170+H170)/AD170</f>
        <v>2.9508807718302537E-3</v>
      </c>
      <c r="AO170">
        <f>(D170+H170)/AE170</f>
        <v>5.0372284573100192E-3</v>
      </c>
    </row>
    <row r="171" spans="1:41" x14ac:dyDescent="0.35">
      <c r="A171" t="s">
        <v>45</v>
      </c>
      <c r="B171" t="s">
        <v>70</v>
      </c>
      <c r="C171">
        <f t="shared" si="8"/>
        <v>-3.5155799901397318</v>
      </c>
      <c r="D171">
        <v>-1.0746523869851621</v>
      </c>
      <c r="E171">
        <v>5.5841246461699997E-3</v>
      </c>
      <c r="F171">
        <v>-1.0802365116313331</v>
      </c>
      <c r="G171">
        <v>-2.4409276031545688</v>
      </c>
      <c r="H171">
        <v>-1.6885058372569099</v>
      </c>
      <c r="I171">
        <v>-0.92854648594427636</v>
      </c>
      <c r="J171">
        <v>-0.75995935131263259</v>
      </c>
      <c r="K171">
        <v>3.4268640238179242</v>
      </c>
      <c r="L171">
        <f t="shared" si="9"/>
        <v>-1.3800434107900126</v>
      </c>
      <c r="M171">
        <v>-0.42185555433477262</v>
      </c>
      <c r="N171">
        <f t="shared" si="10"/>
        <v>-1.3845100383501008</v>
      </c>
      <c r="O171">
        <v>-0.4232209256199333</v>
      </c>
      <c r="P171">
        <v>2.1920520780614999E-3</v>
      </c>
      <c r="Q171">
        <v>2.1991468405512002E-3</v>
      </c>
      <c r="R171">
        <v>-0.4240476064128344</v>
      </c>
      <c r="S171">
        <v>-0.4254200724604848</v>
      </c>
      <c r="T171">
        <v>-0.95818785645523963</v>
      </c>
      <c r="U171">
        <v>-0.96128911273016715</v>
      </c>
      <c r="V171">
        <v>-0.66282416025876145</v>
      </c>
      <c r="W171">
        <v>-0.66496944687696224</v>
      </c>
      <c r="X171">
        <v>-0.3645015795782498</v>
      </c>
      <c r="Y171">
        <v>-0.3656813198591064</v>
      </c>
      <c r="Z171">
        <v>-0.29832258068051137</v>
      </c>
      <c r="AA171">
        <v>-0.29928812701785551</v>
      </c>
      <c r="AB171">
        <v>1.3452178954845251</v>
      </c>
      <c r="AC171">
        <v>1.34957180731028</v>
      </c>
      <c r="AD171">
        <v>253.92231856471</v>
      </c>
      <c r="AE171">
        <v>254.7441596875</v>
      </c>
      <c r="AF171">
        <f t="shared" si="11"/>
        <v>-6.0502192508870801E-3</v>
      </c>
      <c r="AG171">
        <f>(F171/(D171+H171))</f>
        <v>0.39094269092304318</v>
      </c>
      <c r="AH171">
        <f>(F171/D171)</f>
        <v>1.0051962148075033</v>
      </c>
      <c r="AI171">
        <f>(E171/(D171+H171))</f>
        <v>-2.0209210595248171E-3</v>
      </c>
      <c r="AJ171">
        <f>(E171/(D171))</f>
        <v>-5.1962148075023083E-3</v>
      </c>
      <c r="AK171">
        <f>(H171/(D171+H171))</f>
        <v>0.6110782301364821</v>
      </c>
      <c r="AL171">
        <f>(I171/H171)</f>
        <v>0.54992198750864962</v>
      </c>
      <c r="AM171">
        <f>J171/H171</f>
        <v>0.45007801249134982</v>
      </c>
      <c r="AN171">
        <f>(D171+H171)/AD171</f>
        <v>-1.0881903724968956E-2</v>
      </c>
      <c r="AO171">
        <f>(D171+H171)/AE171</f>
        <v>-1.0846797145935342E-2</v>
      </c>
    </row>
    <row r="172" spans="1:41" x14ac:dyDescent="0.35">
      <c r="A172" t="s">
        <v>46</v>
      </c>
      <c r="B172" t="s">
        <v>70</v>
      </c>
      <c r="C172">
        <f t="shared" si="8"/>
        <v>3.1760258864367081</v>
      </c>
      <c r="D172">
        <v>4.1228112206977841</v>
      </c>
      <c r="E172">
        <v>0.35377522402826478</v>
      </c>
      <c r="F172">
        <v>3.7690359966695191</v>
      </c>
      <c r="G172">
        <v>-0.94678533426107603</v>
      </c>
      <c r="H172">
        <v>-2.0856298438568488</v>
      </c>
      <c r="I172">
        <v>-2.539636087633188</v>
      </c>
      <c r="J172">
        <v>0.45400624377633791</v>
      </c>
      <c r="K172">
        <v>0</v>
      </c>
      <c r="L172">
        <f t="shared" si="9"/>
        <v>1.557616003094189</v>
      </c>
      <c r="M172">
        <v>2.021947227357126</v>
      </c>
      <c r="N172">
        <f t="shared" si="10"/>
        <v>1.0532519353048651</v>
      </c>
      <c r="O172">
        <v>1.3672303225363169</v>
      </c>
      <c r="P172">
        <v>0.17350171886126969</v>
      </c>
      <c r="Q172">
        <v>0.1173209705128478</v>
      </c>
      <c r="R172">
        <v>1.8484455084958551</v>
      </c>
      <c r="S172">
        <v>1.2499093520234701</v>
      </c>
      <c r="T172">
        <v>-0.4643312242629356</v>
      </c>
      <c r="U172">
        <v>-0.31397838723145272</v>
      </c>
      <c r="V172">
        <v>-1.022853886423132</v>
      </c>
      <c r="W172">
        <v>-0.69164854063464798</v>
      </c>
      <c r="X172">
        <v>-1.2455118294300449</v>
      </c>
      <c r="Y172">
        <v>-0.84220869725679992</v>
      </c>
      <c r="Z172">
        <v>0.22265794300691311</v>
      </c>
      <c r="AA172">
        <v>0.15056015662215219</v>
      </c>
      <c r="AB172">
        <v>0</v>
      </c>
      <c r="AC172">
        <v>0</v>
      </c>
      <c r="AD172">
        <v>301.54474727050001</v>
      </c>
      <c r="AE172">
        <v>203.90300819506001</v>
      </c>
      <c r="AF172">
        <f t="shared" si="11"/>
        <v>-0.16184709187977245</v>
      </c>
      <c r="AG172">
        <f>(F172/(D172+H172))</f>
        <v>1.8501229392319387</v>
      </c>
      <c r="AH172">
        <f>(F172/D172)</f>
        <v>0.91419077782358693</v>
      </c>
      <c r="AI172">
        <f>(E172/(D172+H172))</f>
        <v>0.17365916852080462</v>
      </c>
      <c r="AJ172">
        <f>(E172/(D172))</f>
        <v>8.5809222176413028E-2</v>
      </c>
      <c r="AK172">
        <f>(H172/(D172+H172))</f>
        <v>-1.0237821077527436</v>
      </c>
      <c r="AL172">
        <f>(I172/H172)</f>
        <v>1.2176830395449121</v>
      </c>
      <c r="AM172">
        <f>J172/H172</f>
        <v>-0.21768303954491144</v>
      </c>
      <c r="AN172">
        <f>(D172+H172)/AD172</f>
        <v>6.7558178190167129E-3</v>
      </c>
      <c r="AO172">
        <f>(D172+H172)/AE172</f>
        <v>9.9909334093399131E-3</v>
      </c>
    </row>
    <row r="173" spans="1:41" x14ac:dyDescent="0.35">
      <c r="A173" t="s">
        <v>47</v>
      </c>
      <c r="B173" t="s">
        <v>70</v>
      </c>
      <c r="C173">
        <f t="shared" si="8"/>
        <v>1.1003161672985486</v>
      </c>
      <c r="D173">
        <v>1.1003161672985491</v>
      </c>
      <c r="E173">
        <v>5.4677508422957703E-2</v>
      </c>
      <c r="F173">
        <v>1.045638658875591</v>
      </c>
      <c r="G173">
        <v>0</v>
      </c>
      <c r="H173">
        <v>-0.58381004119310087</v>
      </c>
      <c r="I173">
        <v>0.1</v>
      </c>
      <c r="J173">
        <v>-0.68381004119310085</v>
      </c>
      <c r="K173">
        <v>0</v>
      </c>
      <c r="L173">
        <f t="shared" si="9"/>
        <v>5.3078445560334151</v>
      </c>
      <c r="M173">
        <v>5.307844556033416</v>
      </c>
      <c r="N173">
        <f t="shared" si="10"/>
        <v>5.7701396314342315</v>
      </c>
      <c r="O173">
        <v>5.7701396314342324</v>
      </c>
      <c r="P173">
        <v>0.26376029367341147</v>
      </c>
      <c r="Q173">
        <v>0.28673291157211911</v>
      </c>
      <c r="R173">
        <v>5.0440842623600037</v>
      </c>
      <c r="S173">
        <v>5.4834067198621126</v>
      </c>
      <c r="T173">
        <v>0</v>
      </c>
      <c r="U173">
        <v>0</v>
      </c>
      <c r="V173">
        <v>-2.81625685507505</v>
      </c>
      <c r="W173">
        <v>-3.0615431782559122</v>
      </c>
      <c r="X173">
        <v>0.48239267165046013</v>
      </c>
      <c r="Y173">
        <v>0.52440742060537404</v>
      </c>
      <c r="Z173">
        <v>-3.29864952672551</v>
      </c>
      <c r="AA173">
        <v>-3.5859505988612859</v>
      </c>
      <c r="AB173">
        <v>0</v>
      </c>
      <c r="AC173">
        <v>0</v>
      </c>
      <c r="AD173">
        <v>19.06914282116</v>
      </c>
      <c r="AE173">
        <v>20.729999827290001</v>
      </c>
      <c r="AF173">
        <f t="shared" si="11"/>
        <v>0.35349359438506639</v>
      </c>
      <c r="AG173">
        <f>(F173/(D173+H173))</f>
        <v>2.0244458023371381</v>
      </c>
      <c r="AH173">
        <f>(F173/D173)</f>
        <v>0.95030745703100949</v>
      </c>
      <c r="AI173">
        <f>(E173/(D173+H173))</f>
        <v>0.10586032896693062</v>
      </c>
      <c r="AJ173">
        <f>(E173/(D173))</f>
        <v>4.9692542968990151E-2</v>
      </c>
      <c r="AK173">
        <f>(H173/(D173+H173))</f>
        <v>-1.1303061313040692</v>
      </c>
      <c r="AL173">
        <f>(I173/H173)</f>
        <v>-0.17128859208319788</v>
      </c>
      <c r="AM173">
        <f>J173/H173</f>
        <v>1.1712885920831979</v>
      </c>
      <c r="AN173">
        <f>(D173+H173)/AD173</f>
        <v>2.7085964531783212E-2</v>
      </c>
      <c r="AO173">
        <f>(D173+H173)/AE173</f>
        <v>2.4915877009583663E-2</v>
      </c>
    </row>
    <row r="174" spans="1:41" x14ac:dyDescent="0.35">
      <c r="A174" t="s">
        <v>48</v>
      </c>
      <c r="B174" t="s">
        <v>70</v>
      </c>
      <c r="C174">
        <f t="shared" si="8"/>
        <v>14.07217103441748</v>
      </c>
      <c r="D174">
        <v>14.15911182500178</v>
      </c>
      <c r="E174">
        <v>2.857648023539249</v>
      </c>
      <c r="F174">
        <v>11.30146380146253</v>
      </c>
      <c r="G174">
        <v>-8.6940790584300404E-2</v>
      </c>
      <c r="H174">
        <v>1.6810953910718081</v>
      </c>
      <c r="I174">
        <v>1.768036181656109</v>
      </c>
      <c r="J174">
        <v>-8.6940790584300404E-2</v>
      </c>
      <c r="K174">
        <v>0</v>
      </c>
      <c r="L174">
        <f t="shared" si="9"/>
        <v>3.7882736051330266</v>
      </c>
      <c r="M174">
        <v>3.8116783449826479</v>
      </c>
      <c r="N174">
        <f t="shared" si="10"/>
        <v>3.3674281486784641</v>
      </c>
      <c r="O174">
        <v>3.388232818033738</v>
      </c>
      <c r="P174">
        <v>0.7692880191590441</v>
      </c>
      <c r="Q174">
        <v>0.68382656591835456</v>
      </c>
      <c r="R174">
        <v>3.0423903258236029</v>
      </c>
      <c r="S174">
        <v>2.7044062521153842</v>
      </c>
      <c r="T174">
        <v>-2.3404739849620299E-2</v>
      </c>
      <c r="U174">
        <v>-2.0804669355275002E-2</v>
      </c>
      <c r="V174">
        <v>0.45255627451743341</v>
      </c>
      <c r="W174">
        <v>0.40228106428377952</v>
      </c>
      <c r="X174">
        <v>0.4759610143670539</v>
      </c>
      <c r="Y174">
        <v>0.42308573363905427</v>
      </c>
      <c r="Z174">
        <v>-2.3404739849620299E-2</v>
      </c>
      <c r="AA174">
        <v>-2.0804669355275002E-2</v>
      </c>
      <c r="AB174">
        <v>0</v>
      </c>
      <c r="AC174">
        <v>0</v>
      </c>
      <c r="AD174">
        <v>417.89075855828003</v>
      </c>
      <c r="AE174">
        <v>371.46659669328</v>
      </c>
      <c r="AF174">
        <f t="shared" si="11"/>
        <v>0.61777845109479557</v>
      </c>
      <c r="AG174">
        <f>(F174/(D174+H174))</f>
        <v>0.71346691664453454</v>
      </c>
      <c r="AH174">
        <f>(F174/D174)</f>
        <v>0.79817603965149198</v>
      </c>
      <c r="AI174">
        <f>(E174/(D174+H174))</f>
        <v>0.18040471217065254</v>
      </c>
      <c r="AJ174">
        <f>(E174/(D174))</f>
        <v>0.20182396034850791</v>
      </c>
      <c r="AK174">
        <f>(H174/(D174+H174))</f>
        <v>0.1061283711848128</v>
      </c>
      <c r="AL174">
        <f>(I174/H174)</f>
        <v>1.0517167503081848</v>
      </c>
      <c r="AM174">
        <f>J174/H174</f>
        <v>-5.1716750308184463E-2</v>
      </c>
      <c r="AN174">
        <f>(D174+H174)/AD174</f>
        <v>3.7905138823175186E-2</v>
      </c>
      <c r="AO174">
        <f>(D174+H174)/AE174</f>
        <v>4.2642346195000812E-2</v>
      </c>
    </row>
    <row r="175" spans="1:41" x14ac:dyDescent="0.35">
      <c r="A175" t="s">
        <v>49</v>
      </c>
      <c r="B175" t="s">
        <v>70</v>
      </c>
      <c r="C175">
        <f t="shared" si="8"/>
        <v>13.357727297596252</v>
      </c>
      <c r="D175">
        <v>13.341642509066689</v>
      </c>
      <c r="E175">
        <v>0.55317835395472414</v>
      </c>
      <c r="F175">
        <v>12.788464155111971</v>
      </c>
      <c r="G175">
        <v>1.6084788529556901E-2</v>
      </c>
      <c r="H175">
        <v>7.0403264603798448</v>
      </c>
      <c r="I175">
        <v>2.6177261216507142</v>
      </c>
      <c r="J175">
        <v>4.4226003387291293</v>
      </c>
      <c r="K175">
        <v>0</v>
      </c>
      <c r="L175">
        <f t="shared" si="9"/>
        <v>3.726417976813682</v>
      </c>
      <c r="M175">
        <v>3.7219307879532999</v>
      </c>
      <c r="N175">
        <f t="shared" si="10"/>
        <v>3.9012428959532568</v>
      </c>
      <c r="O175">
        <v>3.8965451906037001</v>
      </c>
      <c r="P175">
        <v>0.15432069517784169</v>
      </c>
      <c r="Q175">
        <v>0.16156065141031381</v>
      </c>
      <c r="R175">
        <v>3.567610092775459</v>
      </c>
      <c r="S175">
        <v>3.7349845391933858</v>
      </c>
      <c r="T175">
        <v>4.4871888603814003E-3</v>
      </c>
      <c r="U175">
        <v>4.6977053495571002E-3</v>
      </c>
      <c r="V175">
        <v>1.9640466151242331</v>
      </c>
      <c r="W175">
        <v>2.056189872486105</v>
      </c>
      <c r="X175">
        <v>0.73026956313514213</v>
      </c>
      <c r="Y175">
        <v>0.76453016356149583</v>
      </c>
      <c r="Z175">
        <v>1.23377705198909</v>
      </c>
      <c r="AA175">
        <v>1.2916597089246089</v>
      </c>
      <c r="AB175">
        <v>0</v>
      </c>
      <c r="AC175">
        <v>0</v>
      </c>
      <c r="AD175">
        <v>342.39670930134002</v>
      </c>
      <c r="AE175">
        <v>358.46025273358998</v>
      </c>
      <c r="AF175">
        <f t="shared" si="11"/>
        <v>0.17445443664748139</v>
      </c>
      <c r="AG175">
        <f>(F175/(D175+H175))</f>
        <v>0.62744007579848837</v>
      </c>
      <c r="AH175">
        <f>(F175/D175)</f>
        <v>0.95853746241673088</v>
      </c>
      <c r="AI175">
        <f>(E175/(D175+H175))</f>
        <v>2.7140574827876681E-2</v>
      </c>
      <c r="AJ175">
        <f>(E175/(D175))</f>
        <v>4.1462537583269538E-2</v>
      </c>
      <c r="AK175">
        <f>(H175/(D175+H175))</f>
        <v>0.34541934937363528</v>
      </c>
      <c r="AL175">
        <f>(I175/H175)</f>
        <v>0.37181885476223792</v>
      </c>
      <c r="AM175">
        <f>J175/H175</f>
        <v>0.62818114523776192</v>
      </c>
      <c r="AN175">
        <f>(D175+H175)/AD175</f>
        <v>5.9527350630898028E-2</v>
      </c>
      <c r="AO175">
        <f>(D175+H175)/AE175</f>
        <v>5.6859774030775308E-2</v>
      </c>
    </row>
    <row r="176" spans="1:41" x14ac:dyDescent="0.35">
      <c r="A176" t="s">
        <v>50</v>
      </c>
      <c r="B176" t="s">
        <v>70</v>
      </c>
      <c r="C176">
        <f t="shared" si="8"/>
        <v>0.29461204530702118</v>
      </c>
      <c r="D176">
        <v>0.29461204530702151</v>
      </c>
      <c r="E176">
        <v>0.44007731725619958</v>
      </c>
      <c r="F176">
        <v>-0.14546527194917841</v>
      </c>
      <c r="G176">
        <v>0</v>
      </c>
      <c r="H176">
        <v>6.66396128648091E-2</v>
      </c>
      <c r="I176">
        <v>6.1972289180490699E-2</v>
      </c>
      <c r="J176">
        <v>4.6673236843184996E-3</v>
      </c>
      <c r="K176">
        <v>0</v>
      </c>
      <c r="L176">
        <f t="shared" si="9"/>
        <v>0.97682787811756233</v>
      </c>
      <c r="M176">
        <v>0.976827878117561</v>
      </c>
      <c r="N176">
        <f t="shared" si="10"/>
        <v>0.53157394248286383</v>
      </c>
      <c r="O176">
        <v>0.53157394248286405</v>
      </c>
      <c r="P176">
        <v>1.459138548035456</v>
      </c>
      <c r="Q176">
        <v>0.79403961330696116</v>
      </c>
      <c r="R176">
        <v>-0.48231066991789362</v>
      </c>
      <c r="S176">
        <v>-0.26246567082409727</v>
      </c>
      <c r="T176">
        <v>0</v>
      </c>
      <c r="U176">
        <v>0</v>
      </c>
      <c r="V176">
        <v>0.22095305562089251</v>
      </c>
      <c r="W176">
        <v>0.12023908153233349</v>
      </c>
      <c r="X176">
        <v>0.2054778842432618</v>
      </c>
      <c r="Y176">
        <v>0.1118177433988863</v>
      </c>
      <c r="Z176">
        <v>1.5475171377631099E-2</v>
      </c>
      <c r="AA176">
        <v>8.4213381334471999E-3</v>
      </c>
      <c r="AB176">
        <v>0</v>
      </c>
      <c r="AC176">
        <v>0</v>
      </c>
      <c r="AD176">
        <v>55.422589739999999</v>
      </c>
      <c r="AE176">
        <v>30.160077523049999</v>
      </c>
      <c r="AF176">
        <f t="shared" si="11"/>
        <v>0.87656142264438652</v>
      </c>
      <c r="AG176">
        <f>(F176/(D176+H176))</f>
        <v>-0.40267018478289546</v>
      </c>
      <c r="AH176">
        <f>(F176/D176)</f>
        <v>-0.49375195028969687</v>
      </c>
      <c r="AI176">
        <f>(E176/(D176+H176))</f>
        <v>1.2182015149308334</v>
      </c>
      <c r="AJ176">
        <f>(E176/(D176))</f>
        <v>1.4937519502896957</v>
      </c>
      <c r="AK176">
        <f>(H176/(D176+H176))</f>
        <v>0.18446866985206126</v>
      </c>
      <c r="AL176">
        <f>(I176/H176)</f>
        <v>0.92996172271008026</v>
      </c>
      <c r="AM176">
        <f>J176/H176</f>
        <v>7.0038277289921194E-2</v>
      </c>
      <c r="AN176">
        <f>(D176+H176)/AD176</f>
        <v>6.5181302401519751E-3</v>
      </c>
      <c r="AO176">
        <f>(D176+H176)/AE176</f>
        <v>1.1977809337384564E-2</v>
      </c>
    </row>
    <row r="177" spans="1:41" x14ac:dyDescent="0.35">
      <c r="A177" t="s">
        <v>51</v>
      </c>
      <c r="B177" t="s">
        <v>70</v>
      </c>
      <c r="C177">
        <f t="shared" si="8"/>
        <v>2.1460296418646996E-2</v>
      </c>
      <c r="D177">
        <v>1.019177936447766</v>
      </c>
      <c r="E177">
        <v>0.1612886831869611</v>
      </c>
      <c r="F177">
        <v>0.85788925326080534</v>
      </c>
      <c r="G177">
        <v>-0.99771764002911945</v>
      </c>
      <c r="H177">
        <v>-0.39425692407598317</v>
      </c>
      <c r="I177">
        <v>5.80299956092203E-2</v>
      </c>
      <c r="J177">
        <v>-0.45228691968520368</v>
      </c>
      <c r="K177">
        <v>0</v>
      </c>
      <c r="L177">
        <f t="shared" si="9"/>
        <v>4.4507952490344227E-2</v>
      </c>
      <c r="M177">
        <v>2.1137416878924999</v>
      </c>
      <c r="N177">
        <f t="shared" si="10"/>
        <v>2.2093024433543995E-2</v>
      </c>
      <c r="O177">
        <v>1.0492270289661181</v>
      </c>
      <c r="P177">
        <v>0.33450745080472849</v>
      </c>
      <c r="Q177">
        <v>0.16604406337124999</v>
      </c>
      <c r="R177">
        <v>1.779234237087773</v>
      </c>
      <c r="S177">
        <v>0.8831829655948682</v>
      </c>
      <c r="T177">
        <v>-2.069233735402157</v>
      </c>
      <c r="U177">
        <v>-1.0271340045325741</v>
      </c>
      <c r="V177">
        <v>-0.81767595859095099</v>
      </c>
      <c r="W177">
        <v>-0.40588105992497131</v>
      </c>
      <c r="X177">
        <v>0.1203523118788731</v>
      </c>
      <c r="Y177">
        <v>5.9740932085120303E-2</v>
      </c>
      <c r="Z177">
        <v>-0.9380282704698244</v>
      </c>
      <c r="AA177">
        <v>-0.46562199201009169</v>
      </c>
      <c r="AB177">
        <v>0</v>
      </c>
      <c r="AC177">
        <v>0</v>
      </c>
      <c r="AD177">
        <v>97.136073348400004</v>
      </c>
      <c r="AE177">
        <v>48.216768505140003</v>
      </c>
      <c r="AF177">
        <f t="shared" si="11"/>
        <v>0.73540787347552328</v>
      </c>
      <c r="AG177">
        <f>(F177/(D177+H177))</f>
        <v>1.3727962994952445</v>
      </c>
      <c r="AH177">
        <f>(F177/D177)</f>
        <v>0.84174629628549957</v>
      </c>
      <c r="AI177">
        <f>(E177/(D177+H177))</f>
        <v>0.25809451113640264</v>
      </c>
      <c r="AJ177">
        <f>(E177/(D177))</f>
        <v>0.15825370371450082</v>
      </c>
      <c r="AK177">
        <f>(H177/(D177+H177))</f>
        <v>-0.63089081063164643</v>
      </c>
      <c r="AL177">
        <f>(I177/H177)</f>
        <v>-0.14718827258449485</v>
      </c>
      <c r="AM177">
        <f>J177/H177</f>
        <v>1.1471882725844953</v>
      </c>
      <c r="AN177">
        <f>(D177+H177)/AD177</f>
        <v>6.433459690411464E-3</v>
      </c>
      <c r="AO177">
        <f>(D177+H177)/AE177</f>
        <v>1.2960657293015498E-2</v>
      </c>
    </row>
    <row r="178" spans="1:41" x14ac:dyDescent="0.35">
      <c r="A178" t="s">
        <v>52</v>
      </c>
      <c r="B178" t="s">
        <v>70</v>
      </c>
      <c r="C178">
        <f t="shared" si="8"/>
        <v>0.12444817677564089</v>
      </c>
      <c r="D178">
        <v>0.1219761448976264</v>
      </c>
      <c r="E178">
        <v>0.1147318750863785</v>
      </c>
      <c r="F178">
        <v>7.2442698112475E-3</v>
      </c>
      <c r="G178">
        <v>2.4720318780148999E-3</v>
      </c>
      <c r="H178">
        <v>8.7534926885911996E-3</v>
      </c>
      <c r="I178">
        <v>1.2073783018746E-3</v>
      </c>
      <c r="J178">
        <v>7.5461143867164996E-3</v>
      </c>
      <c r="K178">
        <v>-8.6962174143261003E-3</v>
      </c>
      <c r="L178">
        <f t="shared" si="9"/>
        <v>0.18697845389002368</v>
      </c>
      <c r="M178">
        <v>0.18326432395663511</v>
      </c>
      <c r="N178">
        <f t="shared" si="10"/>
        <v>0.18758161072183571</v>
      </c>
      <c r="O178">
        <v>0.18385549971363879</v>
      </c>
      <c r="P178">
        <v>0.17238009564599349</v>
      </c>
      <c r="Q178">
        <v>0.17293616095830111</v>
      </c>
      <c r="R178">
        <v>1.08842283106422E-2</v>
      </c>
      <c r="S178">
        <v>1.0919338755337901E-2</v>
      </c>
      <c r="T178">
        <v>3.7141299333880002E-3</v>
      </c>
      <c r="U178">
        <v>3.7261110081967001E-3</v>
      </c>
      <c r="V178">
        <v>1.3151775875360899E-2</v>
      </c>
      <c r="W178">
        <v>1.31942009960344E-2</v>
      </c>
      <c r="X178">
        <v>1.8140380517739001E-3</v>
      </c>
      <c r="Y178">
        <v>1.8198897925563999E-3</v>
      </c>
      <c r="Z178">
        <v>1.13377378235863E-2</v>
      </c>
      <c r="AA178">
        <v>1.1374311203478E-2</v>
      </c>
      <c r="AB178">
        <v>-1.3065722045519401E-2</v>
      </c>
      <c r="AC178">
        <v>-1.3107869572950501E-2</v>
      </c>
      <c r="AD178">
        <v>66.343484468840003</v>
      </c>
      <c r="AE178">
        <v>66.557495896739994</v>
      </c>
      <c r="AF178">
        <f t="shared" si="11"/>
        <v>0.98958611284280584</v>
      </c>
      <c r="AG178">
        <f>(F178/(D178+H178))</f>
        <v>5.5414135195393829E-2</v>
      </c>
      <c r="AH178">
        <f>(F178/D178)</f>
        <v>5.9390873660809314E-2</v>
      </c>
      <c r="AI178">
        <f>(E178/(D178+H178))</f>
        <v>0.87762711811016536</v>
      </c>
      <c r="AJ178">
        <f>(E178/(D178))</f>
        <v>0.94060912633918736</v>
      </c>
      <c r="AK178">
        <f>(H178/(D178+H178))</f>
        <v>6.6958746694437812E-2</v>
      </c>
      <c r="AL178">
        <f>(I178/H178)</f>
        <v>0.13793103448275312</v>
      </c>
      <c r="AM178">
        <f>J178/H178</f>
        <v>0.86206896551723544</v>
      </c>
      <c r="AN178">
        <f>(D178+H178)/AD178</f>
        <v>1.9704970070967293E-3</v>
      </c>
      <c r="AO178">
        <f>(D178+H178)/AE178</f>
        <v>1.9641609983199618E-3</v>
      </c>
    </row>
    <row r="179" spans="1:41" x14ac:dyDescent="0.35">
      <c r="A179" t="s">
        <v>53</v>
      </c>
      <c r="B179" t="s">
        <v>70</v>
      </c>
      <c r="C179">
        <f t="shared" si="8"/>
        <v>0.71613001505309626</v>
      </c>
      <c r="D179">
        <v>0.67809759854404916</v>
      </c>
      <c r="E179">
        <v>8.6285741513915298E-2</v>
      </c>
      <c r="F179">
        <v>0.59181185703013028</v>
      </c>
      <c r="G179">
        <v>3.80324165090506E-2</v>
      </c>
      <c r="H179">
        <v>0.19619897405462439</v>
      </c>
      <c r="I179">
        <v>0</v>
      </c>
      <c r="J179">
        <v>0.19619897405462439</v>
      </c>
      <c r="K179">
        <v>0</v>
      </c>
      <c r="L179">
        <f t="shared" si="9"/>
        <v>8.5228164212247798E-2</v>
      </c>
      <c r="M179">
        <v>8.0701845008350703E-2</v>
      </c>
      <c r="N179">
        <f t="shared" si="10"/>
        <v>7.6801690340628198E-2</v>
      </c>
      <c r="O179">
        <v>7.2722886472287293E-2</v>
      </c>
      <c r="P179">
        <v>1.02690505806802E-2</v>
      </c>
      <c r="Q179">
        <v>9.2537537336314004E-3</v>
      </c>
      <c r="R179">
        <v>7.0432794427670503E-2</v>
      </c>
      <c r="S179">
        <v>6.3469132738655606E-2</v>
      </c>
      <c r="T179">
        <v>4.5263192038970997E-3</v>
      </c>
      <c r="U179">
        <v>4.0788038683411999E-3</v>
      </c>
      <c r="V179">
        <v>2.3350059385181799E-2</v>
      </c>
      <c r="W179">
        <v>2.1041448527157901E-2</v>
      </c>
      <c r="X179">
        <v>0</v>
      </c>
      <c r="Y179">
        <v>0</v>
      </c>
      <c r="Z179">
        <v>2.3350059385181799E-2</v>
      </c>
      <c r="AA179">
        <v>2.1041448527157901E-2</v>
      </c>
      <c r="AB179">
        <v>0</v>
      </c>
      <c r="AC179">
        <v>0</v>
      </c>
      <c r="AD179">
        <v>932.44043441874999</v>
      </c>
      <c r="AE179">
        <v>840.25042856688003</v>
      </c>
      <c r="AF179">
        <f t="shared" si="11"/>
        <v>1</v>
      </c>
      <c r="AG179">
        <f>(F179/(D179+H179))</f>
        <v>0.67690057993832309</v>
      </c>
      <c r="AH179">
        <f>(F179/D179)</f>
        <v>0.87275321178074672</v>
      </c>
      <c r="AI179">
        <f>(E179/(D179+H179))</f>
        <v>9.8691615886641312E-2</v>
      </c>
      <c r="AJ179">
        <f>(E179/(D179))</f>
        <v>0.12724678821924804</v>
      </c>
      <c r="AK179">
        <f>(H179/(D179+H179))</f>
        <v>0.22440780417503156</v>
      </c>
      <c r="AL179">
        <f>(I179/H179)</f>
        <v>0</v>
      </c>
      <c r="AM179">
        <f>J179/H179</f>
        <v>1</v>
      </c>
      <c r="AN179">
        <f>(D179+H179)/AD179</f>
        <v>9.3764334999444634E-4</v>
      </c>
      <c r="AO179">
        <f>(D179+H179)/AE179</f>
        <v>1.0405190439353447E-3</v>
      </c>
    </row>
    <row r="180" spans="1:41" x14ac:dyDescent="0.35">
      <c r="A180" t="s">
        <v>54</v>
      </c>
      <c r="B180" t="s">
        <v>70</v>
      </c>
      <c r="C180">
        <f t="shared" si="8"/>
        <v>0.4580441819920264</v>
      </c>
      <c r="D180">
        <v>0.45804418199202951</v>
      </c>
      <c r="E180">
        <v>8.4225719459962E-3</v>
      </c>
      <c r="F180">
        <v>0.44962161004603018</v>
      </c>
      <c r="G180">
        <v>0</v>
      </c>
      <c r="H180">
        <v>0.14890109120145739</v>
      </c>
      <c r="I180">
        <v>0.1354033797495397</v>
      </c>
      <c r="J180">
        <v>1.34977114519179E-2</v>
      </c>
      <c r="K180">
        <v>0</v>
      </c>
      <c r="L180">
        <f t="shared" si="9"/>
        <v>0.22570525354735771</v>
      </c>
      <c r="M180">
        <v>0.2257052535473604</v>
      </c>
      <c r="N180">
        <f t="shared" si="10"/>
        <v>0.2361371329991048</v>
      </c>
      <c r="O180">
        <v>0.23613713299910441</v>
      </c>
      <c r="P180">
        <v>4.1502955639005001E-3</v>
      </c>
      <c r="Q180">
        <v>4.3421182278894997E-3</v>
      </c>
      <c r="R180">
        <v>0.2215549579834572</v>
      </c>
      <c r="S180">
        <v>0.23179501477121531</v>
      </c>
      <c r="T180">
        <v>0</v>
      </c>
      <c r="U180">
        <v>0</v>
      </c>
      <c r="V180">
        <v>7.3372307441923898E-2</v>
      </c>
      <c r="W180">
        <v>7.6763504830113405E-2</v>
      </c>
      <c r="X180">
        <v>6.6721192756185405E-2</v>
      </c>
      <c r="Y180">
        <v>6.9804982029008505E-2</v>
      </c>
      <c r="Z180">
        <v>6.6511146857386001E-3</v>
      </c>
      <c r="AA180">
        <v>6.958522801105E-3</v>
      </c>
      <c r="AB180">
        <v>0</v>
      </c>
      <c r="AC180">
        <v>0</v>
      </c>
      <c r="AD180">
        <v>193.97380504054999</v>
      </c>
      <c r="AE180">
        <v>202.93908750153</v>
      </c>
      <c r="AF180">
        <f t="shared" si="11"/>
        <v>5.8560863645984292E-2</v>
      </c>
      <c r="AG180">
        <f>(F180/(D180+H180))</f>
        <v>0.74079431853931943</v>
      </c>
      <c r="AH180">
        <f>(F180/D180)</f>
        <v>0.9816118787725463</v>
      </c>
      <c r="AI180">
        <f>(E180/(D180+H180))</f>
        <v>1.3876987461621082E-2</v>
      </c>
      <c r="AJ180">
        <f>(E180/(D180))</f>
        <v>1.8388121227446923E-2</v>
      </c>
      <c r="AK180">
        <f>(H180/(D180+H180))</f>
        <v>0.24532869399905435</v>
      </c>
      <c r="AL180">
        <f>(I180/H180)</f>
        <v>0.90935115825540991</v>
      </c>
      <c r="AM180">
        <f>J180/H180</f>
        <v>9.0648841744591521E-2</v>
      </c>
      <c r="AN180">
        <f>(D180+H180)/AD180</f>
        <v>3.1290063782921911E-3</v>
      </c>
      <c r="AO180">
        <f>(D180+H180)/AE180</f>
        <v>2.9907756098928504E-3</v>
      </c>
    </row>
    <row r="181" spans="1:41" x14ac:dyDescent="0.35">
      <c r="A181" t="s">
        <v>55</v>
      </c>
      <c r="B181" t="s">
        <v>70</v>
      </c>
      <c r="C181">
        <f t="shared" si="8"/>
        <v>6.4610800792816295E-2</v>
      </c>
      <c r="D181">
        <v>6.4610800792815198E-2</v>
      </c>
      <c r="E181">
        <v>5.5249140820460996E-3</v>
      </c>
      <c r="F181">
        <v>5.9085886710770197E-2</v>
      </c>
      <c r="G181">
        <v>0</v>
      </c>
      <c r="H181">
        <v>2.4021959889068901E-2</v>
      </c>
      <c r="I181">
        <v>-1.5880197370153198E-2</v>
      </c>
      <c r="J181">
        <v>3.9902157259222103E-2</v>
      </c>
      <c r="K181">
        <v>0</v>
      </c>
      <c r="L181">
        <f t="shared" si="9"/>
        <v>1.5749154360872101E-2</v>
      </c>
      <c r="M181">
        <v>1.57491543608725E-2</v>
      </c>
      <c r="N181">
        <f t="shared" si="10"/>
        <v>1.9552115711977701E-2</v>
      </c>
      <c r="O181">
        <v>1.9552115711977701E-2</v>
      </c>
      <c r="P181">
        <v>1.3467210379842999E-3</v>
      </c>
      <c r="Q181">
        <v>1.6719148827343999E-3</v>
      </c>
      <c r="R181">
        <v>1.4402433322887801E-2</v>
      </c>
      <c r="S181">
        <v>1.7880200829243301E-2</v>
      </c>
      <c r="T181">
        <v>0</v>
      </c>
      <c r="U181">
        <v>0</v>
      </c>
      <c r="V181">
        <v>5.855453727571E-3</v>
      </c>
      <c r="W181">
        <v>7.2693749901916998E-3</v>
      </c>
      <c r="X181">
        <v>-3.8708648800940002E-3</v>
      </c>
      <c r="Y181">
        <v>-4.8055658295570996E-3</v>
      </c>
      <c r="Z181">
        <v>9.7263186076647998E-3</v>
      </c>
      <c r="AA181">
        <v>1.20749408197489E-2</v>
      </c>
      <c r="AB181">
        <v>0</v>
      </c>
      <c r="AC181">
        <v>0</v>
      </c>
      <c r="AD181">
        <v>330.45426768437</v>
      </c>
      <c r="AE181">
        <v>410.24933347112</v>
      </c>
      <c r="AF181">
        <f t="shared" si="11"/>
        <v>-0.53353577380074069</v>
      </c>
      <c r="AG181">
        <f>(F181/(D181+H181))</f>
        <v>0.66663710185941361</v>
      </c>
      <c r="AH181">
        <f>(F181/D181)</f>
        <v>0.9144893111639103</v>
      </c>
      <c r="AI181">
        <f>(E181/(D181+H181))</f>
        <v>6.2334897836205529E-2</v>
      </c>
      <c r="AJ181">
        <f>(E181/(D181))</f>
        <v>8.5510688836106755E-2</v>
      </c>
      <c r="AK181">
        <f>(H181/(D181+H181))</f>
        <v>0.27102800030439328</v>
      </c>
      <c r="AL181">
        <f>(I181/H181)</f>
        <v>-0.6610700144154108</v>
      </c>
      <c r="AM181">
        <f>J181/H181</f>
        <v>1.6610700144154109</v>
      </c>
      <c r="AN181">
        <f>(D181+H181)/AD181</f>
        <v>2.6821490702169041E-4</v>
      </c>
      <c r="AO181">
        <f>(D181+H181)/AE181</f>
        <v>2.1604608088442759E-4</v>
      </c>
    </row>
    <row r="182" spans="1:41" x14ac:dyDescent="0.35">
      <c r="A182" t="s">
        <v>56</v>
      </c>
      <c r="B182" t="s">
        <v>70</v>
      </c>
      <c r="C182">
        <f t="shared" si="8"/>
        <v>-5.9962728984468416</v>
      </c>
      <c r="D182">
        <v>1.7405980237011409</v>
      </c>
      <c r="E182">
        <v>-0.33574397714601328</v>
      </c>
      <c r="F182">
        <v>2.0763420008471538</v>
      </c>
      <c r="G182">
        <v>-7.7368709221479817</v>
      </c>
      <c r="H182">
        <v>-1.6726829942206931</v>
      </c>
      <c r="I182">
        <v>0</v>
      </c>
      <c r="J182">
        <v>-1.6726829942206931</v>
      </c>
      <c r="K182">
        <v>0</v>
      </c>
      <c r="L182">
        <f t="shared" si="9"/>
        <v>-2.6966220014854234</v>
      </c>
      <c r="M182">
        <v>0.78277540164496529</v>
      </c>
      <c r="N182">
        <f t="shared" si="10"/>
        <v>-1.757325038710766</v>
      </c>
      <c r="O182">
        <v>0.51011629076668319</v>
      </c>
      <c r="P182">
        <v>-0.1509895581758243</v>
      </c>
      <c r="Q182">
        <v>-9.8396338463489302E-2</v>
      </c>
      <c r="R182">
        <v>0.93376495982079</v>
      </c>
      <c r="S182">
        <v>0.60851262923017257</v>
      </c>
      <c r="T182">
        <v>-3.4793974031303891</v>
      </c>
      <c r="U182">
        <v>-2.2674413294774491</v>
      </c>
      <c r="V182">
        <v>-0.75223290202391802</v>
      </c>
      <c r="W182">
        <v>-0.4902124632004487</v>
      </c>
      <c r="X182">
        <v>0</v>
      </c>
      <c r="Y182">
        <v>0</v>
      </c>
      <c r="Z182">
        <v>-0.75223290202391802</v>
      </c>
      <c r="AA182">
        <v>-0.4902124632004487</v>
      </c>
      <c r="AB182">
        <v>0</v>
      </c>
      <c r="AC182">
        <v>0</v>
      </c>
      <c r="AD182">
        <v>341.21592570296002</v>
      </c>
      <c r="AE182">
        <v>222.36238134761999</v>
      </c>
      <c r="AF182">
        <f t="shared" si="11"/>
        <v>1</v>
      </c>
      <c r="AG182">
        <f>(F182/(D182+H182))</f>
        <v>30.57264373926122</v>
      </c>
      <c r="AH182">
        <f>(F182/D182)</f>
        <v>1.1928900139919152</v>
      </c>
      <c r="AI182">
        <f>(E182/(D182+H182))</f>
        <v>-4.9435887713583524</v>
      </c>
      <c r="AJ182">
        <f>(E182/(D182))</f>
        <v>-0.19289001399191535</v>
      </c>
      <c r="AK182">
        <f>(H182/(D182+H182))</f>
        <v>-24.629054967902871</v>
      </c>
      <c r="AL182">
        <f>(I182/H182)</f>
        <v>0</v>
      </c>
      <c r="AM182">
        <f>J182/H182</f>
        <v>1</v>
      </c>
      <c r="AN182">
        <f>(D182+H182)/AD182</f>
        <v>1.9903827566234447E-4</v>
      </c>
      <c r="AO182">
        <f>(D182+H182)/AE182</f>
        <v>3.0542499621046953E-4</v>
      </c>
    </row>
    <row r="183" spans="1:41" x14ac:dyDescent="0.35">
      <c r="A183" t="s">
        <v>57</v>
      </c>
      <c r="B183" t="s">
        <v>70</v>
      </c>
      <c r="C183">
        <f t="shared" si="8"/>
        <v>0.7084994283487096</v>
      </c>
      <c r="D183">
        <v>0.65254641160964377</v>
      </c>
      <c r="E183">
        <v>0.12712771106513479</v>
      </c>
      <c r="F183">
        <v>0.52541870054450879</v>
      </c>
      <c r="G183">
        <v>5.5953016739065997E-2</v>
      </c>
      <c r="H183">
        <v>1.7931727792675801E-2</v>
      </c>
      <c r="I183">
        <v>0</v>
      </c>
      <c r="J183">
        <v>1.7931727792675801E-2</v>
      </c>
      <c r="K183">
        <v>0</v>
      </c>
      <c r="L183">
        <f t="shared" si="9"/>
        <v>0.71213801797948018</v>
      </c>
      <c r="M183">
        <v>0.65589764735081246</v>
      </c>
      <c r="N183">
        <f t="shared" si="10"/>
        <v>0.3899029384312549</v>
      </c>
      <c r="O183">
        <v>0.35911075319053859</v>
      </c>
      <c r="P183">
        <v>0.1277805917207247</v>
      </c>
      <c r="Q183">
        <v>6.99611970271619E-2</v>
      </c>
      <c r="R183">
        <v>0.52811705563008715</v>
      </c>
      <c r="S183">
        <v>0.28914955616337679</v>
      </c>
      <c r="T183">
        <v>5.62403706286684E-2</v>
      </c>
      <c r="U183">
        <v>3.07921852407162E-2</v>
      </c>
      <c r="V183">
        <v>1.8023818479270402E-2</v>
      </c>
      <c r="W183">
        <v>9.8682272388126002E-3</v>
      </c>
      <c r="X183">
        <v>0</v>
      </c>
      <c r="Y183">
        <v>0</v>
      </c>
      <c r="Z183">
        <v>1.8023818479270402E-2</v>
      </c>
      <c r="AA183">
        <v>9.8682272388126002E-3</v>
      </c>
      <c r="AB183">
        <v>0</v>
      </c>
      <c r="AC183">
        <v>0</v>
      </c>
      <c r="AD183">
        <v>181.71174374815001</v>
      </c>
      <c r="AE183">
        <v>99.489061173690004</v>
      </c>
      <c r="AF183">
        <f t="shared" si="11"/>
        <v>1</v>
      </c>
      <c r="AG183">
        <f>(F183/(D183+H183))</f>
        <v>0.78364777263712093</v>
      </c>
      <c r="AH183">
        <f>(F183/D183)</f>
        <v>0.80518211608650547</v>
      </c>
      <c r="AI183">
        <f>(E183/(D183+H183))</f>
        <v>0.18960754064026533</v>
      </c>
      <c r="AJ183">
        <f>(E183/(D183))</f>
        <v>0.19481788391349422</v>
      </c>
      <c r="AK183">
        <f>(H183/(D183+H183))</f>
        <v>2.6744686722613473E-2</v>
      </c>
      <c r="AL183">
        <f>(I183/H183)</f>
        <v>0</v>
      </c>
      <c r="AM183">
        <f>J183/H183</f>
        <v>1</v>
      </c>
      <c r="AN183">
        <f>(D183+H183)/AD183</f>
        <v>3.6897898042935139E-3</v>
      </c>
      <c r="AO183">
        <f>(D183+H183)/AE183</f>
        <v>6.7392146583008291E-3</v>
      </c>
    </row>
    <row r="184" spans="1:41" x14ac:dyDescent="0.35">
      <c r="A184" t="s">
        <v>58</v>
      </c>
      <c r="B184" t="s">
        <v>70</v>
      </c>
      <c r="C184">
        <f t="shared" si="8"/>
        <v>1.0573141337899381</v>
      </c>
      <c r="D184">
        <v>1.0573141337899381</v>
      </c>
      <c r="E184">
        <v>1.2073783018730999E-3</v>
      </c>
      <c r="F184">
        <v>1.056106755488065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f t="shared" si="9"/>
        <v>2.0970974668715678</v>
      </c>
      <c r="M184">
        <v>2.0970974668715678</v>
      </c>
      <c r="N184">
        <f t="shared" si="10"/>
        <v>1.3905191465198852</v>
      </c>
      <c r="O184">
        <v>1.390519146519885</v>
      </c>
      <c r="P184">
        <v>2.3947376635719999E-3</v>
      </c>
      <c r="Q184">
        <v>1.5878749675172E-3</v>
      </c>
      <c r="R184">
        <v>2.0947027292079961</v>
      </c>
      <c r="S184">
        <v>1.3889312715523681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76.037366075549997</v>
      </c>
      <c r="AE184">
        <v>50.417977728389999</v>
      </c>
      <c r="AF184">
        <f t="shared" si="11"/>
        <v>1</v>
      </c>
      <c r="AG184">
        <f>(F184/(D184+H184))</f>
        <v>0.99885807040378316</v>
      </c>
      <c r="AH184">
        <f>(F184/D184)</f>
        <v>0.99885807040378316</v>
      </c>
      <c r="AI184">
        <f>(E184/(D184+H184))</f>
        <v>1.1419295962168381E-3</v>
      </c>
      <c r="AJ184">
        <f>(E184/(D184))</f>
        <v>1.1419295962168381E-3</v>
      </c>
      <c r="AK184">
        <f>(H184/(D184+H184))</f>
        <v>0</v>
      </c>
      <c r="AL184">
        <v>0</v>
      </c>
      <c r="AM184">
        <v>0</v>
      </c>
      <c r="AN184">
        <f>(D184+H184)/AD184</f>
        <v>1.3905191465198845E-2</v>
      </c>
      <c r="AO184">
        <f>(D184+H184)/AE184</f>
        <v>2.0970974668715683E-2</v>
      </c>
    </row>
    <row r="185" spans="1:41" x14ac:dyDescent="0.35">
      <c r="A185" t="s">
        <v>59</v>
      </c>
      <c r="B185" t="s">
        <v>70</v>
      </c>
      <c r="C185">
        <f t="shared" si="8"/>
        <v>0.26257357591797148</v>
      </c>
      <c r="D185">
        <v>0.1497873810746348</v>
      </c>
      <c r="E185">
        <v>4.9594344938770699E-2</v>
      </c>
      <c r="F185">
        <v>0.1001930361358631</v>
      </c>
      <c r="G185">
        <v>0.1127861948433377</v>
      </c>
      <c r="H185">
        <v>8.81079020611963E-2</v>
      </c>
      <c r="I185">
        <v>3.9390999393046997E-3</v>
      </c>
      <c r="J185">
        <v>8.4168802121890707E-2</v>
      </c>
      <c r="K185">
        <v>0</v>
      </c>
      <c r="L185">
        <f t="shared" si="9"/>
        <v>4.7756168147635197E-2</v>
      </c>
      <c r="M185">
        <v>2.72429216534293E-2</v>
      </c>
      <c r="N185">
        <f t="shared" si="10"/>
        <v>5.0397564816294697E-2</v>
      </c>
      <c r="O185">
        <v>2.87497293662566E-2</v>
      </c>
      <c r="P185">
        <v>9.0200846288038001E-3</v>
      </c>
      <c r="Q185">
        <v>9.5189860778459E-3</v>
      </c>
      <c r="R185">
        <v>1.8222837024625699E-2</v>
      </c>
      <c r="S185">
        <v>1.9230743288411099E-2</v>
      </c>
      <c r="T185">
        <v>2.05132464942057E-2</v>
      </c>
      <c r="U185">
        <v>2.1647835450037699E-2</v>
      </c>
      <c r="V185">
        <v>1.6024825694129701E-2</v>
      </c>
      <c r="W185">
        <v>1.6911159812760701E-2</v>
      </c>
      <c r="X185">
        <v>7.164327880066E-4</v>
      </c>
      <c r="Y185">
        <v>7.5605873064310005E-4</v>
      </c>
      <c r="Z185">
        <v>1.5308392906123699E-2</v>
      </c>
      <c r="AA185">
        <v>1.61551010821172E-2</v>
      </c>
      <c r="AB185">
        <v>0</v>
      </c>
      <c r="AC185">
        <v>0</v>
      </c>
      <c r="AD185">
        <v>521.00449074291998</v>
      </c>
      <c r="AE185">
        <v>549.82128194673999</v>
      </c>
      <c r="AF185">
        <f t="shared" si="11"/>
        <v>0.92641796267219201</v>
      </c>
      <c r="AG185">
        <f>(F185/(D185+H185))</f>
        <v>0.42116445023693838</v>
      </c>
      <c r="AH185">
        <f>(F185/D185)</f>
        <v>0.66890171533167908</v>
      </c>
      <c r="AI185">
        <f>(E185/(D185+H185))</f>
        <v>0.20847132521939837</v>
      </c>
      <c r="AJ185">
        <f>(E185/(D185))</f>
        <v>0.33109828466831426</v>
      </c>
      <c r="AK185">
        <f>(H185/(D185+H185))</f>
        <v>0.37036422454365908</v>
      </c>
      <c r="AL185">
        <f>(I185/H185)</f>
        <v>4.4707680550250248E-2</v>
      </c>
      <c r="AM185">
        <f>J185/H185</f>
        <v>0.95529231944973958</v>
      </c>
      <c r="AN185">
        <f>(D185+H185)/AD185</f>
        <v>4.5660889179017865E-4</v>
      </c>
      <c r="AO185">
        <f>(D185+H185)/AE185</f>
        <v>4.3267747347560016E-4</v>
      </c>
    </row>
    <row r="186" spans="1:41" x14ac:dyDescent="0.35">
      <c r="A186" t="s">
        <v>60</v>
      </c>
      <c r="B186" t="s">
        <v>70</v>
      </c>
      <c r="C186">
        <f t="shared" si="8"/>
        <v>14.861503111824634</v>
      </c>
      <c r="D186">
        <v>14.861503111824639</v>
      </c>
      <c r="E186">
        <v>1.550165795496744</v>
      </c>
      <c r="F186">
        <v>13.31133731632789</v>
      </c>
      <c r="G186">
        <v>0</v>
      </c>
      <c r="H186">
        <v>1.759052535380377</v>
      </c>
      <c r="I186">
        <v>0.21456229224262149</v>
      </c>
      <c r="J186">
        <v>1.544490243137751</v>
      </c>
      <c r="K186">
        <v>0</v>
      </c>
      <c r="L186">
        <f t="shared" si="9"/>
        <v>1.9891993723876069</v>
      </c>
      <c r="M186">
        <v>1.989199372387606</v>
      </c>
      <c r="N186">
        <f t="shared" si="10"/>
        <v>2.5154274674357873</v>
      </c>
      <c r="O186">
        <v>2.5154274674357882</v>
      </c>
      <c r="P186">
        <v>0.20748835459620391</v>
      </c>
      <c r="Q186">
        <v>0.26237787602853141</v>
      </c>
      <c r="R186">
        <v>1.7817110177914031</v>
      </c>
      <c r="S186">
        <v>2.2530495914072559</v>
      </c>
      <c r="T186">
        <v>0</v>
      </c>
      <c r="U186">
        <v>0</v>
      </c>
      <c r="V186">
        <v>0.2354476645495831</v>
      </c>
      <c r="W186">
        <v>0.29773361623413219</v>
      </c>
      <c r="X186">
        <v>2.8718977741052101E-2</v>
      </c>
      <c r="Y186">
        <v>3.63163725312311E-2</v>
      </c>
      <c r="Z186">
        <v>0.2067286868085309</v>
      </c>
      <c r="AA186">
        <v>0.2614172437029012</v>
      </c>
      <c r="AB186">
        <v>0</v>
      </c>
      <c r="AC186">
        <v>0</v>
      </c>
      <c r="AD186">
        <v>590.81421763174001</v>
      </c>
      <c r="AE186">
        <v>747.10978286638999</v>
      </c>
      <c r="AF186">
        <f t="shared" si="11"/>
        <v>0.87841623095744004</v>
      </c>
      <c r="AG186">
        <f>(F186/(D186+H186))</f>
        <v>0.80089604697219507</v>
      </c>
      <c r="AH186">
        <f>(F186/D186)</f>
        <v>0.8956925296295668</v>
      </c>
      <c r="AI186">
        <f>(E186/(D186+H186))</f>
        <v>9.3267988652198069E-2</v>
      </c>
      <c r="AJ186">
        <f>(E186/(D186))</f>
        <v>0.10430747037043284</v>
      </c>
      <c r="AK186">
        <f>(H186/(D186+H186))</f>
        <v>0.10583596437560659</v>
      </c>
      <c r="AL186">
        <f>(I186/H186)</f>
        <v>0.12197605695512932</v>
      </c>
      <c r="AM186">
        <f>J186/H186</f>
        <v>0.87802394304486808</v>
      </c>
      <c r="AN186">
        <f>(D186+H186)/AD186</f>
        <v>2.8131610836699197E-2</v>
      </c>
      <c r="AO186">
        <f>(D186+H186)/AE186</f>
        <v>2.2246470369371895E-2</v>
      </c>
    </row>
    <row r="187" spans="1:41" x14ac:dyDescent="0.35">
      <c r="A187" t="s">
        <v>61</v>
      </c>
      <c r="B187" t="s">
        <v>70</v>
      </c>
      <c r="C187">
        <f t="shared" si="8"/>
        <v>-2.3244291230590001E-4</v>
      </c>
      <c r="D187">
        <v>0</v>
      </c>
      <c r="E187">
        <v>0</v>
      </c>
      <c r="F187">
        <v>0</v>
      </c>
      <c r="G187">
        <v>-2.3244291230590001E-4</v>
      </c>
      <c r="H187">
        <v>0</v>
      </c>
      <c r="I187">
        <v>0</v>
      </c>
      <c r="J187">
        <v>0</v>
      </c>
      <c r="K187">
        <v>0</v>
      </c>
      <c r="L187">
        <f t="shared" si="9"/>
        <v>-8.8732399514901417E-5</v>
      </c>
      <c r="M187">
        <v>0</v>
      </c>
      <c r="N187">
        <f t="shared" si="10"/>
        <v>-5.2673663377023061E-5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-8.8732399514901417E-5</v>
      </c>
      <c r="U187">
        <v>-5.2673663377023061E-5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441.28867711817003</v>
      </c>
      <c r="AE187">
        <v>261.95945739796002</v>
      </c>
      <c r="AF187" t="e">
        <f t="shared" si="11"/>
        <v>#DIV/0!</v>
      </c>
      <c r="AG187">
        <v>0</v>
      </c>
      <c r="AH187">
        <v>0</v>
      </c>
      <c r="AI187">
        <v>0</v>
      </c>
      <c r="AJ187">
        <v>0</v>
      </c>
      <c r="AK187" t="e">
        <f>(H187/(D187+H187))</f>
        <v>#DIV/0!</v>
      </c>
      <c r="AL187">
        <v>0</v>
      </c>
      <c r="AM187">
        <v>0</v>
      </c>
      <c r="AN187">
        <f>(D187+H187)/AD187</f>
        <v>0</v>
      </c>
      <c r="AO187">
        <f>(D187+H187)/AE187</f>
        <v>0</v>
      </c>
    </row>
    <row r="188" spans="1:41" x14ac:dyDescent="0.35">
      <c r="A188" t="s">
        <v>62</v>
      </c>
      <c r="B188" t="s">
        <v>70</v>
      </c>
      <c r="C188">
        <f t="shared" si="8"/>
        <v>7.7171335028739893E-2</v>
      </c>
      <c r="D188">
        <v>7.6428054034677104E-2</v>
      </c>
      <c r="E188">
        <v>2.01332522861585E-2</v>
      </c>
      <c r="F188">
        <v>5.6294801748519398E-2</v>
      </c>
      <c r="G188">
        <v>7.4328099406199995E-4</v>
      </c>
      <c r="H188">
        <v>0.1064973008292113</v>
      </c>
      <c r="I188">
        <v>5.8988637891250299E-2</v>
      </c>
      <c r="J188">
        <v>4.7508662937961001E-2</v>
      </c>
      <c r="K188">
        <v>0</v>
      </c>
      <c r="L188">
        <f t="shared" si="9"/>
        <v>2.4010575242389001E-2</v>
      </c>
      <c r="M188">
        <v>2.3779315743929798E-2</v>
      </c>
      <c r="N188">
        <f t="shared" si="10"/>
        <v>1.11766524825459E-2</v>
      </c>
      <c r="O188">
        <v>1.10690037893568E-2</v>
      </c>
      <c r="P188">
        <v>6.2641260347612998E-3</v>
      </c>
      <c r="Q188">
        <v>2.9158801524168999E-3</v>
      </c>
      <c r="R188">
        <v>1.75151897091687E-2</v>
      </c>
      <c r="S188">
        <v>8.1531236369397995E-3</v>
      </c>
      <c r="T188">
        <v>2.31259498459E-4</v>
      </c>
      <c r="U188">
        <v>1.0764869318919999E-4</v>
      </c>
      <c r="V188">
        <v>3.3134860939218101E-2</v>
      </c>
      <c r="W188">
        <v>1.5423904760153999E-2</v>
      </c>
      <c r="X188">
        <v>1.8353331946459401E-2</v>
      </c>
      <c r="Y188">
        <v>8.5432694132310007E-3</v>
      </c>
      <c r="Z188">
        <v>1.4781528992759E-2</v>
      </c>
      <c r="AA188">
        <v>6.8806353469231998E-3</v>
      </c>
      <c r="AB188">
        <v>0</v>
      </c>
      <c r="AC188">
        <v>0</v>
      </c>
      <c r="AD188">
        <v>690.46912883131995</v>
      </c>
      <c r="AE188">
        <v>321.40560669490998</v>
      </c>
      <c r="AF188">
        <f t="shared" si="11"/>
        <v>0.25445868698302443</v>
      </c>
      <c r="AG188">
        <f>(F188/(D188+H188))</f>
        <v>0.30774739669307949</v>
      </c>
      <c r="AH188">
        <f>(F188/D188)</f>
        <v>0.7365724858437086</v>
      </c>
      <c r="AI188">
        <f>(E188/(D188+H188))</f>
        <v>0.1100626662779433</v>
      </c>
      <c r="AJ188">
        <f>(E188/(D188))</f>
        <v>0.26342751415630178</v>
      </c>
      <c r="AK188">
        <f>(H188/(D188+H188))</f>
        <v>0.58218993702898159</v>
      </c>
      <c r="AL188">
        <f>(I188/H188)</f>
        <v>0.55389796203238817</v>
      </c>
      <c r="AM188">
        <f>J188/H188</f>
        <v>0.44610203796761183</v>
      </c>
      <c r="AN188">
        <f>(D188+H188)/AD188</f>
        <v>2.6492908549511219E-4</v>
      </c>
      <c r="AO188">
        <f>(D188+H188)/AE188</f>
        <v>5.6914176683149111E-4</v>
      </c>
    </row>
    <row r="189" spans="1:41" x14ac:dyDescent="0.35">
      <c r="A189" t="s">
        <v>63</v>
      </c>
      <c r="B189" t="s">
        <v>70</v>
      </c>
      <c r="C189">
        <f t="shared" si="8"/>
        <v>-0.39634581993233947</v>
      </c>
      <c r="D189">
        <v>8.1321563717489005E-3</v>
      </c>
      <c r="E189">
        <v>4.6165707683641002E-3</v>
      </c>
      <c r="F189">
        <v>3.5155856033847999E-3</v>
      </c>
      <c r="G189">
        <v>-0.40447797630408838</v>
      </c>
      <c r="H189">
        <v>0</v>
      </c>
      <c r="I189">
        <v>0</v>
      </c>
      <c r="J189">
        <v>0</v>
      </c>
      <c r="K189">
        <v>0</v>
      </c>
      <c r="L189">
        <f t="shared" si="9"/>
        <v>-0.61561116088876666</v>
      </c>
      <c r="M189">
        <v>1.26310054825253E-2</v>
      </c>
      <c r="N189">
        <f t="shared" si="10"/>
        <v>-0.43443019555425211</v>
      </c>
      <c r="O189">
        <v>8.9135651372827997E-3</v>
      </c>
      <c r="P189">
        <v>7.1705373113886001E-3</v>
      </c>
      <c r="Q189">
        <v>5.0601712969568996E-3</v>
      </c>
      <c r="R189">
        <v>5.4604681711365004E-3</v>
      </c>
      <c r="S189">
        <v>3.8533938403259001E-3</v>
      </c>
      <c r="T189">
        <v>-0.62824216637129171</v>
      </c>
      <c r="U189">
        <v>-0.44334376069153492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91.233487908610002</v>
      </c>
      <c r="AE189">
        <v>64.38249419652</v>
      </c>
      <c r="AF189">
        <f t="shared" si="11"/>
        <v>1</v>
      </c>
      <c r="AG189">
        <f>(F189/(D189+H189))</f>
        <v>0.43230668996945742</v>
      </c>
      <c r="AH189">
        <f>(F189/D189)</f>
        <v>0.43230668996945742</v>
      </c>
      <c r="AI189">
        <f>(E189/(D189+H189))</f>
        <v>0.56769331003054246</v>
      </c>
      <c r="AJ189">
        <f>(E189/(D189))</f>
        <v>0.56769331003054246</v>
      </c>
      <c r="AK189">
        <f>(H189/(D189+H189))</f>
        <v>0</v>
      </c>
      <c r="AL189">
        <v>0</v>
      </c>
      <c r="AM189">
        <v>0</v>
      </c>
      <c r="AN189">
        <f>(D189+H189)/AD189</f>
        <v>8.9135651372827129E-5</v>
      </c>
      <c r="AO189">
        <f>(D189+H189)/AE189</f>
        <v>1.2631005482525184E-4</v>
      </c>
    </row>
    <row r="190" spans="1:41" x14ac:dyDescent="0.35">
      <c r="A190" t="s">
        <v>64</v>
      </c>
      <c r="B190" t="s">
        <v>70</v>
      </c>
      <c r="C190">
        <f t="shared" si="8"/>
        <v>10.602450953905006</v>
      </c>
      <c r="D190">
        <v>7.7024509539050037</v>
      </c>
      <c r="E190">
        <v>2.430584967050669</v>
      </c>
      <c r="F190">
        <v>5.2718659868543361</v>
      </c>
      <c r="G190">
        <v>2.9</v>
      </c>
      <c r="H190">
        <v>-0.1270225953158492</v>
      </c>
      <c r="I190">
        <v>0</v>
      </c>
      <c r="J190">
        <v>-0.1270225953158492</v>
      </c>
      <c r="K190">
        <v>0</v>
      </c>
      <c r="L190">
        <f t="shared" si="9"/>
        <v>7.1937610615797514</v>
      </c>
      <c r="M190">
        <v>5.2261115841824903</v>
      </c>
      <c r="N190">
        <f t="shared" si="10"/>
        <v>3.4213797871673144</v>
      </c>
      <c r="O190">
        <v>2.4855583034441739</v>
      </c>
      <c r="P190">
        <v>1.64915146213341</v>
      </c>
      <c r="Q190">
        <v>0.78434263109673064</v>
      </c>
      <c r="R190">
        <v>3.5769601220490799</v>
      </c>
      <c r="S190">
        <v>1.701215672347443</v>
      </c>
      <c r="T190">
        <v>1.967649477397261</v>
      </c>
      <c r="U190">
        <v>0.93582148372314078</v>
      </c>
      <c r="V190">
        <v>-8.6184808031336296E-2</v>
      </c>
      <c r="W190">
        <v>-4.0989818487876702E-2</v>
      </c>
      <c r="X190">
        <v>0</v>
      </c>
      <c r="Y190">
        <v>0</v>
      </c>
      <c r="Z190">
        <v>-8.6184808031336296E-2</v>
      </c>
      <c r="AA190">
        <v>-4.0989818487876702E-2</v>
      </c>
      <c r="AB190">
        <v>0</v>
      </c>
      <c r="AC190">
        <v>0</v>
      </c>
      <c r="AD190">
        <v>309.88816247970999</v>
      </c>
      <c r="AE190">
        <v>147.38397429586999</v>
      </c>
      <c r="AF190">
        <f t="shared" si="11"/>
        <v>1</v>
      </c>
      <c r="AG190">
        <f>(F190/(D190+H190))</f>
        <v>0.69591655247811846</v>
      </c>
      <c r="AH190">
        <f>(F190/D190)</f>
        <v>0.68444005919720852</v>
      </c>
      <c r="AI190">
        <f>(E190/(D190+H190))</f>
        <v>0.32085115877240511</v>
      </c>
      <c r="AJ190">
        <f>(E190/(D190))</f>
        <v>0.31555994080279165</v>
      </c>
      <c r="AK190">
        <f>(H190/(D190+H190))</f>
        <v>-1.6767711250523377E-2</v>
      </c>
      <c r="AL190">
        <f>(I190/H190)</f>
        <v>0</v>
      </c>
      <c r="AM190">
        <f>J190/H190</f>
        <v>1</v>
      </c>
      <c r="AN190">
        <f>(D190+H190)/AD190</f>
        <v>2.4445684849562971E-2</v>
      </c>
      <c r="AO190">
        <f>(D190+H190)/AE190</f>
        <v>5.1399267761511533E-2</v>
      </c>
    </row>
    <row r="191" spans="1:41" x14ac:dyDescent="0.35">
      <c r="A191" t="s">
        <v>65</v>
      </c>
      <c r="B191" t="s">
        <v>70</v>
      </c>
      <c r="C191">
        <f t="shared" si="8"/>
        <v>1.5765726587907913</v>
      </c>
      <c r="D191">
        <v>1.5765726587907949</v>
      </c>
      <c r="E191">
        <v>1.4258862393990299E-2</v>
      </c>
      <c r="F191">
        <v>1.562313796396801</v>
      </c>
      <c r="G191">
        <v>0</v>
      </c>
      <c r="H191">
        <v>0.2080116396299764</v>
      </c>
      <c r="I191">
        <v>8.3875661141119495E-2</v>
      </c>
      <c r="J191">
        <v>0.1241359784888587</v>
      </c>
      <c r="K191">
        <v>0</v>
      </c>
      <c r="L191">
        <f t="shared" si="9"/>
        <v>0.27586422742956329</v>
      </c>
      <c r="M191">
        <v>0.27586422742956351</v>
      </c>
      <c r="N191">
        <f t="shared" si="10"/>
        <v>0.12971392089226461</v>
      </c>
      <c r="O191">
        <v>0.1297139208922648</v>
      </c>
      <c r="P191">
        <v>2.4949754370087E-3</v>
      </c>
      <c r="Q191">
        <v>1.1731606141174001E-3</v>
      </c>
      <c r="R191">
        <v>0.27336925199255457</v>
      </c>
      <c r="S191">
        <v>0.1285407602781472</v>
      </c>
      <c r="T191">
        <v>0</v>
      </c>
      <c r="U191">
        <v>0</v>
      </c>
      <c r="V191">
        <v>3.6397288728128502E-2</v>
      </c>
      <c r="W191">
        <v>1.7114343076537201E-2</v>
      </c>
      <c r="X191">
        <v>1.46763261000515E-2</v>
      </c>
      <c r="Y191">
        <v>6.9009447889260998E-3</v>
      </c>
      <c r="Z191">
        <v>2.17209626280765E-2</v>
      </c>
      <c r="AA191">
        <v>1.0213398287610601E-2</v>
      </c>
      <c r="AB191">
        <v>0</v>
      </c>
      <c r="AC191">
        <v>0</v>
      </c>
      <c r="AD191">
        <v>1215.4228689920101</v>
      </c>
      <c r="AE191">
        <v>571.50311712429004</v>
      </c>
      <c r="AF191">
        <f t="shared" si="11"/>
        <v>0.14529914529914517</v>
      </c>
      <c r="AG191">
        <f>(F191/(D191+H191))</f>
        <v>0.875449704325728</v>
      </c>
      <c r="AH191">
        <f>(F191/D191)</f>
        <v>0.99095578480668933</v>
      </c>
      <c r="AI191">
        <f>(E191/(D191+H191))</f>
        <v>7.9900189677833463E-3</v>
      </c>
      <c r="AJ191">
        <f>(E191/(D191))</f>
        <v>9.0442151933083827E-3</v>
      </c>
      <c r="AK191">
        <f>(H191/(D191+H191))</f>
        <v>0.11656027670648662</v>
      </c>
      <c r="AL191">
        <f>(I191/H191)</f>
        <v>0.40322580645161282</v>
      </c>
      <c r="AM191">
        <f>J191/H191</f>
        <v>0.59677419354839578</v>
      </c>
      <c r="AN191">
        <f>(D191+H191)/AD191</f>
        <v>1.468282639688017E-3</v>
      </c>
      <c r="AO191">
        <f>(D191+H191)/AE191</f>
        <v>3.1226151615769077E-3</v>
      </c>
    </row>
    <row r="192" spans="1:41" x14ac:dyDescent="0.35">
      <c r="A192" t="s">
        <v>28</v>
      </c>
      <c r="B192" t="s">
        <v>71</v>
      </c>
      <c r="C192">
        <f t="shared" si="8"/>
        <v>30.447629669960556</v>
      </c>
      <c r="D192">
        <v>30.447629669960548</v>
      </c>
      <c r="E192">
        <v>2.3474363010853931</v>
      </c>
      <c r="F192">
        <v>28.100193368875161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f t="shared" si="9"/>
        <v>2.0369395358085822</v>
      </c>
      <c r="M192">
        <v>2.0369395358085818</v>
      </c>
      <c r="N192">
        <f t="shared" si="10"/>
        <v>2.4824492048994844</v>
      </c>
      <c r="O192">
        <v>2.4824492048994808</v>
      </c>
      <c r="P192">
        <v>0.15704295740927829</v>
      </c>
      <c r="Q192">
        <v>0.19139064164757921</v>
      </c>
      <c r="R192">
        <v>1.879896578399304</v>
      </c>
      <c r="S192">
        <v>2.2910585632519052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1226.51571721458</v>
      </c>
      <c r="AE192">
        <v>1494.77336635199</v>
      </c>
      <c r="AF192">
        <f t="shared" si="11"/>
        <v>1</v>
      </c>
      <c r="AG192">
        <f>(F192/(D192+H192))</f>
        <v>0.92290249433106597</v>
      </c>
      <c r="AH192">
        <f>(F192/D192)</f>
        <v>0.92290249433106597</v>
      </c>
      <c r="AI192">
        <f>(E192/(D192+H192))</f>
        <v>7.7097505668934224E-2</v>
      </c>
      <c r="AJ192">
        <f>(E192/(D192))</f>
        <v>7.7097505668934224E-2</v>
      </c>
      <c r="AK192">
        <f>(H192/(D192+H192))</f>
        <v>0</v>
      </c>
      <c r="AL192">
        <v>0</v>
      </c>
      <c r="AM192">
        <v>0</v>
      </c>
      <c r="AN192">
        <f>(D192+H192)/AD192</f>
        <v>2.4824492048994843E-2</v>
      </c>
      <c r="AO192">
        <f>(D192+H192)/AE192</f>
        <v>2.0369395358085827E-2</v>
      </c>
    </row>
    <row r="193" spans="1:41" x14ac:dyDescent="0.35">
      <c r="A193" t="s">
        <v>29</v>
      </c>
      <c r="B193" t="s">
        <v>71</v>
      </c>
      <c r="C193">
        <f t="shared" si="8"/>
        <v>20.579312535860982</v>
      </c>
      <c r="D193">
        <v>20.504749809281801</v>
      </c>
      <c r="E193">
        <v>5.6667672200197003</v>
      </c>
      <c r="F193">
        <v>14.837982589262079</v>
      </c>
      <c r="G193">
        <v>7.4562726579202293E-2</v>
      </c>
      <c r="H193">
        <v>-1.118440898688092</v>
      </c>
      <c r="I193">
        <v>0</v>
      </c>
      <c r="J193">
        <v>-1.1184408986881</v>
      </c>
      <c r="K193">
        <v>0</v>
      </c>
      <c r="L193">
        <f t="shared" si="9"/>
        <v>1.2129701047131625</v>
      </c>
      <c r="M193">
        <v>1.2085752854931859</v>
      </c>
      <c r="N193">
        <f t="shared" si="10"/>
        <v>1.194050130564456</v>
      </c>
      <c r="O193">
        <v>1.189723861975454</v>
      </c>
      <c r="P193">
        <v>0.33400626071811729</v>
      </c>
      <c r="Q193">
        <v>0.32879641276412691</v>
      </c>
      <c r="R193">
        <v>0.87456902477507015</v>
      </c>
      <c r="S193">
        <v>0.86092744921132791</v>
      </c>
      <c r="T193">
        <v>4.3948192199748997E-3</v>
      </c>
      <c r="U193">
        <v>4.3262685890010002E-3</v>
      </c>
      <c r="V193">
        <v>-6.5922288299629095E-2</v>
      </c>
      <c r="W193">
        <v>-6.4894028835025194E-2</v>
      </c>
      <c r="X193">
        <v>0</v>
      </c>
      <c r="Y193">
        <v>0</v>
      </c>
      <c r="Z193">
        <v>-6.5922288299629095E-2</v>
      </c>
      <c r="AA193">
        <v>-6.4894028835025194E-2</v>
      </c>
      <c r="AB193">
        <v>0</v>
      </c>
      <c r="AC193">
        <v>0</v>
      </c>
      <c r="AD193">
        <v>1723.48815255626</v>
      </c>
      <c r="AE193">
        <v>1696.60508992738</v>
      </c>
      <c r="AF193">
        <f t="shared" si="11"/>
        <v>1</v>
      </c>
      <c r="AG193">
        <f>(F193/(D193+H193))</f>
        <v>0.76538461538461389</v>
      </c>
      <c r="AH193">
        <f>(F193/D193)</f>
        <v>0.72363636363636252</v>
      </c>
      <c r="AI193">
        <f>(E193/(D193+H193))</f>
        <v>0.29230769230769238</v>
      </c>
      <c r="AJ193">
        <f>(E193/(D193))</f>
        <v>0.27636363636363648</v>
      </c>
      <c r="AK193">
        <f>(H193/(D193+H193))</f>
        <v>-5.7692307692307356E-2</v>
      </c>
      <c r="AL193">
        <f>(I193/H193)</f>
        <v>0</v>
      </c>
      <c r="AM193">
        <f>J193/H193</f>
        <v>1.0000000000000071</v>
      </c>
      <c r="AN193">
        <f>(D193+H193)/AD193</f>
        <v>1.1248298331404328E-2</v>
      </c>
      <c r="AO193">
        <f>(D193+H193)/AE193</f>
        <v>1.1426529971935604E-2</v>
      </c>
    </row>
    <row r="194" spans="1:41" x14ac:dyDescent="0.35">
      <c r="A194" t="s">
        <v>30</v>
      </c>
      <c r="B194" t="s">
        <v>71</v>
      </c>
      <c r="C194">
        <f t="shared" si="8"/>
        <v>53.297862831851091</v>
      </c>
      <c r="D194">
        <v>53.297862831851091</v>
      </c>
      <c r="E194">
        <v>14.26602324193016</v>
      </c>
      <c r="F194">
        <v>39.031839589920928</v>
      </c>
      <c r="G194">
        <v>0</v>
      </c>
      <c r="H194">
        <v>-5.9346656686429924</v>
      </c>
      <c r="I194">
        <v>-5.9346656686429426</v>
      </c>
      <c r="J194">
        <v>0</v>
      </c>
      <c r="K194">
        <v>0</v>
      </c>
      <c r="L194">
        <f t="shared" si="9"/>
        <v>2.0367474980625904</v>
      </c>
      <c r="M194">
        <v>2.0367474980625899</v>
      </c>
      <c r="N194">
        <f t="shared" si="10"/>
        <v>1.833374895579158</v>
      </c>
      <c r="O194">
        <v>1.833374895579158</v>
      </c>
      <c r="P194">
        <v>0.5451679598668604</v>
      </c>
      <c r="Q194">
        <v>0.49073203843125179</v>
      </c>
      <c r="R194">
        <v>1.49157953819573</v>
      </c>
      <c r="S194">
        <v>1.3426428571479061</v>
      </c>
      <c r="T194">
        <v>0</v>
      </c>
      <c r="U194">
        <v>0</v>
      </c>
      <c r="V194">
        <v>-0.22678987130461431</v>
      </c>
      <c r="W194">
        <v>-0.20414452798740079</v>
      </c>
      <c r="X194">
        <v>-0.22678987130461389</v>
      </c>
      <c r="Y194">
        <v>-0.2041445279874006</v>
      </c>
      <c r="Z194">
        <v>0</v>
      </c>
      <c r="AA194">
        <v>0</v>
      </c>
      <c r="AB194">
        <v>0</v>
      </c>
      <c r="AC194">
        <v>0</v>
      </c>
      <c r="AD194">
        <v>2907.0902498102801</v>
      </c>
      <c r="AE194">
        <v>2616.8124857180101</v>
      </c>
      <c r="AF194">
        <f t="shared" si="11"/>
        <v>1.712328767123287</v>
      </c>
      <c r="AG194">
        <f>(F194/(D194+H194))</f>
        <v>0.82409638554216946</v>
      </c>
      <c r="AH194">
        <f>(F194/D194)</f>
        <v>0.73233404710920769</v>
      </c>
      <c r="AI194">
        <f>(E194/(D194+H194))</f>
        <v>0.30120481927710863</v>
      </c>
      <c r="AJ194">
        <f>(E194/(D194))</f>
        <v>0.2676659528907922</v>
      </c>
      <c r="AK194">
        <f>(H194/(D194+H194))</f>
        <v>-0.12530120481927817</v>
      </c>
      <c r="AL194">
        <f>(I194/H194)</f>
        <v>0.99999999999999167</v>
      </c>
      <c r="AM194">
        <f>J194/H194</f>
        <v>0</v>
      </c>
      <c r="AN194">
        <f>(D194+H194)/AD194</f>
        <v>1.6292303675917552E-2</v>
      </c>
      <c r="AO194">
        <f>(D194+H194)/AE194</f>
        <v>1.8099576267579763E-2</v>
      </c>
    </row>
    <row r="195" spans="1:41" x14ac:dyDescent="0.35">
      <c r="A195" t="s">
        <v>31</v>
      </c>
      <c r="B195" t="s">
        <v>71</v>
      </c>
      <c r="C195">
        <f t="shared" ref="C195:C258" si="12">E195+F195+G195</f>
        <v>100.43280362318829</v>
      </c>
      <c r="D195">
        <v>100.43280362318831</v>
      </c>
      <c r="E195">
        <v>23.966919046442669</v>
      </c>
      <c r="F195">
        <v>76.465884576745623</v>
      </c>
      <c r="G195">
        <v>0</v>
      </c>
      <c r="H195">
        <v>0.7988973015483225</v>
      </c>
      <c r="I195">
        <v>0</v>
      </c>
      <c r="J195">
        <v>0.79889730154820882</v>
      </c>
      <c r="K195">
        <v>0</v>
      </c>
      <c r="L195">
        <f t="shared" ref="L195:L258" si="13">P195+R195+T195</f>
        <v>2.7918805654534262</v>
      </c>
      <c r="M195">
        <v>2.7918805654534271</v>
      </c>
      <c r="N195">
        <f t="shared" ref="N195:N258" si="14">Q195+S195+U195</f>
        <v>2.4132147741265229</v>
      </c>
      <c r="O195">
        <v>2.4132147741265229</v>
      </c>
      <c r="P195">
        <v>0.66624422584684018</v>
      </c>
      <c r="Q195">
        <v>0.57588079837110207</v>
      </c>
      <c r="R195">
        <v>2.125636339606586</v>
      </c>
      <c r="S195">
        <v>1.837333975755421</v>
      </c>
      <c r="T195">
        <v>0</v>
      </c>
      <c r="U195">
        <v>0</v>
      </c>
      <c r="V195">
        <v>2.22081408615615E-2</v>
      </c>
      <c r="W195">
        <v>1.9196026612373601E-2</v>
      </c>
      <c r="X195">
        <v>0</v>
      </c>
      <c r="Y195">
        <v>0</v>
      </c>
      <c r="Z195">
        <v>2.22081408615615E-2</v>
      </c>
      <c r="AA195">
        <v>1.9196026612373601E-2</v>
      </c>
      <c r="AB195">
        <v>0</v>
      </c>
      <c r="AC195">
        <v>0</v>
      </c>
      <c r="AD195">
        <v>4161.7847155581303</v>
      </c>
      <c r="AE195">
        <v>3597.3173374942398</v>
      </c>
      <c r="AF195">
        <f t="shared" ref="AF195:AF258" si="15">E195/(E195+I195)</f>
        <v>1</v>
      </c>
      <c r="AG195">
        <f>(F195/(D195+H195))</f>
        <v>0.75535512965050544</v>
      </c>
      <c r="AH195">
        <f>(F195/D195)</f>
        <v>0.76136363636363613</v>
      </c>
      <c r="AI195">
        <f>(E195/(D195+H195))</f>
        <v>0.23675310033821823</v>
      </c>
      <c r="AJ195">
        <f>(E195/(D195))</f>
        <v>0.23863636363636367</v>
      </c>
      <c r="AK195">
        <f>(H195/(D195+H195))</f>
        <v>7.8917700112762484E-3</v>
      </c>
      <c r="AL195">
        <f>(I195/H195)</f>
        <v>0</v>
      </c>
      <c r="AM195">
        <f>J195/H195</f>
        <v>0.99999999999985767</v>
      </c>
      <c r="AN195">
        <f>(D195+H195)/AD195</f>
        <v>2.4324108007388989E-2</v>
      </c>
      <c r="AO195">
        <f>(D195+H195)/AE195</f>
        <v>2.8140887063149937E-2</v>
      </c>
    </row>
    <row r="196" spans="1:41" x14ac:dyDescent="0.35">
      <c r="A196" t="s">
        <v>32</v>
      </c>
      <c r="B196" t="s">
        <v>71</v>
      </c>
      <c r="C196">
        <f t="shared" si="12"/>
        <v>45.651274374176523</v>
      </c>
      <c r="D196">
        <v>45.651274374176523</v>
      </c>
      <c r="E196">
        <v>11.412818593544131</v>
      </c>
      <c r="F196">
        <v>34.238455780632393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f t="shared" si="13"/>
        <v>2.379954283240993</v>
      </c>
      <c r="M196">
        <v>2.379954283240993</v>
      </c>
      <c r="N196">
        <f t="shared" si="14"/>
        <v>1.952862177144373</v>
      </c>
      <c r="O196">
        <v>1.952862177144373</v>
      </c>
      <c r="P196">
        <v>0.59498857081024792</v>
      </c>
      <c r="Q196">
        <v>0.48821554428609321</v>
      </c>
      <c r="R196">
        <v>1.784965712430745</v>
      </c>
      <c r="S196">
        <v>1.4646466328582799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2337.6598158571201</v>
      </c>
      <c r="AE196">
        <v>1918.15761738117</v>
      </c>
      <c r="AF196">
        <f t="shared" si="15"/>
        <v>1</v>
      </c>
      <c r="AG196">
        <f>(F196/(D196+H196))</f>
        <v>0.75</v>
      </c>
      <c r="AH196">
        <f>(F196/D196)</f>
        <v>0.75</v>
      </c>
      <c r="AI196">
        <f>(E196/(D196+H196))</f>
        <v>0.25</v>
      </c>
      <c r="AJ196">
        <f>(E196/(D196))</f>
        <v>0.25</v>
      </c>
      <c r="AK196">
        <f>(H196/(D196+H196))</f>
        <v>0</v>
      </c>
      <c r="AL196">
        <v>0</v>
      </c>
      <c r="AM196">
        <v>0</v>
      </c>
      <c r="AN196">
        <f>(D196+H196)/AD196</f>
        <v>1.9528621771443742E-2</v>
      </c>
      <c r="AO196">
        <f>(D196+H196)/AE196</f>
        <v>2.3799542832409926E-2</v>
      </c>
    </row>
    <row r="197" spans="1:41" x14ac:dyDescent="0.35">
      <c r="A197" t="s">
        <v>33</v>
      </c>
      <c r="B197" t="s">
        <v>71</v>
      </c>
      <c r="C197">
        <f t="shared" si="12"/>
        <v>-186.37394385761746</v>
      </c>
      <c r="D197">
        <v>29.96967941429034</v>
      </c>
      <c r="E197">
        <v>4.6827624084828594</v>
      </c>
      <c r="F197">
        <v>25.286917005807481</v>
      </c>
      <c r="G197">
        <v>-216.3436232719078</v>
      </c>
      <c r="H197">
        <v>0</v>
      </c>
      <c r="I197">
        <v>0</v>
      </c>
      <c r="J197">
        <v>0</v>
      </c>
      <c r="K197">
        <v>0</v>
      </c>
      <c r="L197">
        <f t="shared" si="13"/>
        <v>-4.0832682941509342</v>
      </c>
      <c r="M197">
        <v>0.65660595684839507</v>
      </c>
      <c r="N197">
        <f t="shared" si="14"/>
        <v>-3.5000772954691177</v>
      </c>
      <c r="O197">
        <v>0.56282649977393184</v>
      </c>
      <c r="P197">
        <v>0.1025946807575612</v>
      </c>
      <c r="Q197">
        <v>8.7941640589676406E-2</v>
      </c>
      <c r="R197">
        <v>0.55401127609083289</v>
      </c>
      <c r="S197">
        <v>0.4748848591842556</v>
      </c>
      <c r="T197">
        <v>-4.7398742509993284</v>
      </c>
      <c r="U197">
        <v>-4.0629037952430496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5324.8522282316499</v>
      </c>
      <c r="AE197">
        <v>4564.3325500944502</v>
      </c>
      <c r="AF197">
        <f t="shared" si="15"/>
        <v>1</v>
      </c>
      <c r="AG197">
        <f>(F197/(D197+H197))</f>
        <v>0.84375000000000022</v>
      </c>
      <c r="AH197">
        <f>(F197/D197)</f>
        <v>0.84375000000000022</v>
      </c>
      <c r="AI197">
        <f>(E197/(D197+H197))</f>
        <v>0.15624999999999981</v>
      </c>
      <c r="AJ197">
        <f>(E197/(D197))</f>
        <v>0.15624999999999981</v>
      </c>
      <c r="AK197">
        <f>(H197/(D197+H197))</f>
        <v>0</v>
      </c>
      <c r="AL197">
        <v>0</v>
      </c>
      <c r="AM197">
        <v>0</v>
      </c>
      <c r="AN197">
        <f>(D197+H197)/AD197</f>
        <v>5.6282649977393052E-3</v>
      </c>
      <c r="AO197">
        <f>(D197+H197)/AE197</f>
        <v>6.5660595684839344E-3</v>
      </c>
    </row>
    <row r="198" spans="1:41" x14ac:dyDescent="0.35">
      <c r="A198" t="s">
        <v>34</v>
      </c>
      <c r="B198" t="s">
        <v>71</v>
      </c>
      <c r="C198">
        <f t="shared" si="12"/>
        <v>9.7954529108252686E-4</v>
      </c>
      <c r="D198">
        <v>6.3663101002469995E-4</v>
      </c>
      <c r="E198">
        <v>7.3429182238626822E-5</v>
      </c>
      <c r="F198">
        <v>5.6320182778790001E-4</v>
      </c>
      <c r="G198">
        <v>3.4291428105600002E-4</v>
      </c>
      <c r="H198">
        <v>5.2061290207910005E-4</v>
      </c>
      <c r="I198">
        <v>0</v>
      </c>
      <c r="J198">
        <v>5.2061290207910005E-4</v>
      </c>
      <c r="K198">
        <v>9.1786477798900005E-4</v>
      </c>
      <c r="L198">
        <f t="shared" si="13"/>
        <v>5.9795934973516665E-5</v>
      </c>
      <c r="M198">
        <v>3.8862875279654929E-5</v>
      </c>
      <c r="N198">
        <f t="shared" si="14"/>
        <v>4.5422087499247255E-5</v>
      </c>
      <c r="O198">
        <v>2.952095192076953E-5</v>
      </c>
      <c r="P198">
        <v>4.4824538958376792E-6</v>
      </c>
      <c r="Q198">
        <v>3.404954085350909E-6</v>
      </c>
      <c r="R198">
        <v>3.4380421383595212E-5</v>
      </c>
      <c r="S198">
        <v>2.6115997835418628E-5</v>
      </c>
      <c r="T198">
        <v>2.093305969408377E-5</v>
      </c>
      <c r="U198">
        <v>1.5901135578477721E-5</v>
      </c>
      <c r="V198">
        <v>3.1780598122921333E-5</v>
      </c>
      <c r="W198">
        <v>2.4141124465248961E-5</v>
      </c>
      <c r="X198">
        <v>0</v>
      </c>
      <c r="Y198">
        <v>0</v>
      </c>
      <c r="Z198">
        <v>3.1780598122921333E-5</v>
      </c>
      <c r="AA198">
        <v>2.4141124465248961E-5</v>
      </c>
      <c r="AB198">
        <v>5.6030673700746547E-5</v>
      </c>
      <c r="AC198">
        <v>4.2561926066220217E-5</v>
      </c>
      <c r="AD198">
        <v>2156.5395714307001</v>
      </c>
      <c r="AE198">
        <v>1638.14696019506</v>
      </c>
      <c r="AF198">
        <f t="shared" si="15"/>
        <v>1</v>
      </c>
      <c r="AG198">
        <f>(F198/(D198+H198))</f>
        <v>0.48667512690909975</v>
      </c>
      <c r="AH198">
        <f>(F198/D198)</f>
        <v>0.88465974625717492</v>
      </c>
      <c r="AI198">
        <f>(E198/(D198+H198))</f>
        <v>6.3451776648482838E-2</v>
      </c>
      <c r="AJ198">
        <f>(E198/(D198))</f>
        <v>0.11534025374569473</v>
      </c>
      <c r="AK198">
        <f>(H198/(D198+H198))</f>
        <v>0.44987309644399598</v>
      </c>
      <c r="AL198">
        <f>(I198/H198)</f>
        <v>0</v>
      </c>
      <c r="AM198">
        <f>J198/H198</f>
        <v>1</v>
      </c>
      <c r="AN198">
        <f>(D198+H198)/AD198</f>
        <v>5.3662076385459358E-7</v>
      </c>
      <c r="AO198">
        <f>(D198+H198)/AE198</f>
        <v>7.0643473401556288E-7</v>
      </c>
    </row>
    <row r="199" spans="1:41" x14ac:dyDescent="0.35">
      <c r="A199" t="s">
        <v>35</v>
      </c>
      <c r="B199" t="s">
        <v>71</v>
      </c>
      <c r="C199">
        <f t="shared" si="12"/>
        <v>1.1412818593541299E-2</v>
      </c>
      <c r="D199">
        <v>1.1412818593541299E-2</v>
      </c>
      <c r="E199">
        <v>0</v>
      </c>
      <c r="F199">
        <v>1.1412818593541299E-2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f t="shared" si="13"/>
        <v>8.6204843262379998E-4</v>
      </c>
      <c r="M199">
        <v>8.6204843262379998E-4</v>
      </c>
      <c r="N199">
        <f t="shared" si="14"/>
        <v>6.3527095195140004E-4</v>
      </c>
      <c r="O199">
        <v>6.3527095195140004E-4</v>
      </c>
      <c r="P199">
        <v>0</v>
      </c>
      <c r="Q199">
        <v>0</v>
      </c>
      <c r="R199">
        <v>8.6204843262379998E-4</v>
      </c>
      <c r="S199">
        <v>6.3527095195140004E-4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1796.5276955414199</v>
      </c>
      <c r="AE199">
        <v>1323.9184901480501</v>
      </c>
      <c r="AF199" t="e">
        <f t="shared" si="15"/>
        <v>#DIV/0!</v>
      </c>
      <c r="AG199">
        <f>(F199/(D199+H199))</f>
        <v>1</v>
      </c>
      <c r="AH199">
        <f>(F199/D199)</f>
        <v>1</v>
      </c>
      <c r="AI199">
        <f>(E199/(D199+H199))</f>
        <v>0</v>
      </c>
      <c r="AJ199">
        <f>(E199/(D199))</f>
        <v>0</v>
      </c>
      <c r="AK199">
        <f>(H199/(D199+H199))</f>
        <v>0</v>
      </c>
      <c r="AL199">
        <v>0</v>
      </c>
      <c r="AM199">
        <v>0</v>
      </c>
      <c r="AN199">
        <f>(D199+H199)/AD199</f>
        <v>6.3527095195166559E-6</v>
      </c>
      <c r="AO199">
        <f>(D199+H199)/AE199</f>
        <v>8.6204843262405345E-6</v>
      </c>
    </row>
    <row r="200" spans="1:41" x14ac:dyDescent="0.35">
      <c r="A200" t="s">
        <v>36</v>
      </c>
      <c r="B200" t="s">
        <v>71</v>
      </c>
      <c r="C200">
        <f t="shared" si="12"/>
        <v>0</v>
      </c>
      <c r="D200">
        <v>0</v>
      </c>
      <c r="E200">
        <v>0</v>
      </c>
      <c r="F200">
        <v>0</v>
      </c>
      <c r="G200">
        <v>0</v>
      </c>
      <c r="H200">
        <v>15.395615788971099</v>
      </c>
      <c r="I200">
        <v>0</v>
      </c>
      <c r="J200">
        <v>15.395615788971099</v>
      </c>
      <c r="K200">
        <v>0</v>
      </c>
      <c r="L200">
        <f t="shared" si="13"/>
        <v>0</v>
      </c>
      <c r="M200">
        <v>0</v>
      </c>
      <c r="N200">
        <f t="shared" si="14"/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0.4876060525070649</v>
      </c>
      <c r="W200">
        <v>0.52330648617822106</v>
      </c>
      <c r="X200">
        <v>0</v>
      </c>
      <c r="Y200">
        <v>0</v>
      </c>
      <c r="Z200">
        <v>0.4876060525070649</v>
      </c>
      <c r="AA200">
        <v>0.52330648617822106</v>
      </c>
      <c r="AB200">
        <v>0</v>
      </c>
      <c r="AC200">
        <v>0</v>
      </c>
      <c r="AD200">
        <v>2941.9883367789698</v>
      </c>
      <c r="AE200">
        <v>3157.38816403392</v>
      </c>
      <c r="AF200" t="e">
        <f t="shared" si="15"/>
        <v>#DIV/0!</v>
      </c>
      <c r="AG200">
        <f>(F200/(D200+H200))</f>
        <v>0</v>
      </c>
      <c r="AH200">
        <v>0</v>
      </c>
      <c r="AI200">
        <f>(E200/(D200+H200))</f>
        <v>0</v>
      </c>
      <c r="AJ200">
        <v>0</v>
      </c>
      <c r="AK200">
        <f>(H200/(D200+H200))</f>
        <v>1</v>
      </c>
      <c r="AL200">
        <f>(I200/H200)</f>
        <v>0</v>
      </c>
      <c r="AM200">
        <f>J200/H200</f>
        <v>1</v>
      </c>
      <c r="AN200">
        <f>(D200+H200)/AD200</f>
        <v>5.2330648617822054E-3</v>
      </c>
      <c r="AO200">
        <f>(D200+H200)/AE200</f>
        <v>4.8760605250706525E-3</v>
      </c>
    </row>
    <row r="201" spans="1:41" x14ac:dyDescent="0.35">
      <c r="A201" t="s">
        <v>37</v>
      </c>
      <c r="B201" t="s">
        <v>71</v>
      </c>
      <c r="C201">
        <f t="shared" si="12"/>
        <v>0.27200000000027469</v>
      </c>
      <c r="D201">
        <v>0.27200000000084401</v>
      </c>
      <c r="E201">
        <v>-3.1000000000000232</v>
      </c>
      <c r="F201">
        <v>3.3720000000002979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f t="shared" si="13"/>
        <v>1.3648468991078015E-3</v>
      </c>
      <c r="M201">
        <v>1.3648468991078E-3</v>
      </c>
      <c r="N201">
        <f t="shared" si="14"/>
        <v>1.3617557193317999E-3</v>
      </c>
      <c r="O201">
        <v>1.3617557193335E-3</v>
      </c>
      <c r="P201">
        <v>-1.55552403942316E-2</v>
      </c>
      <c r="Q201">
        <v>-1.5520010036498199E-2</v>
      </c>
      <c r="R201">
        <v>1.6920087293339402E-2</v>
      </c>
      <c r="S201">
        <v>1.6881765755829999E-2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19974.2138871676</v>
      </c>
      <c r="AE201">
        <v>19928.975197</v>
      </c>
      <c r="AF201">
        <f t="shared" si="15"/>
        <v>1</v>
      </c>
      <c r="AG201">
        <f>(F201/(D201+H201))</f>
        <v>12.397058823492038</v>
      </c>
      <c r="AH201">
        <f>(F201/D201)</f>
        <v>12.397058823492038</v>
      </c>
      <c r="AI201">
        <f>(E201/(D201+H201))</f>
        <v>-11.397058823494133</v>
      </c>
      <c r="AJ201">
        <f>(E201/(D201))</f>
        <v>-11.397058823494133</v>
      </c>
      <c r="AK201">
        <f>(H201/(D201+H201))</f>
        <v>0</v>
      </c>
      <c r="AL201">
        <v>0</v>
      </c>
      <c r="AM201">
        <v>0</v>
      </c>
      <c r="AN201">
        <f>(D201+H201)/AD201</f>
        <v>1.3617557193356679E-5</v>
      </c>
      <c r="AO201">
        <f>(D201+H201)/AE201</f>
        <v>1.3648468991109459E-5</v>
      </c>
    </row>
    <row r="202" spans="1:41" x14ac:dyDescent="0.35">
      <c r="A202" t="s">
        <v>38</v>
      </c>
      <c r="B202" t="s">
        <v>71</v>
      </c>
      <c r="C202">
        <f t="shared" si="12"/>
        <v>-2.6645352591003757E-14</v>
      </c>
      <c r="D202">
        <v>-1.7763568394002501E-14</v>
      </c>
      <c r="E202">
        <v>-1.154631945610163E-14</v>
      </c>
      <c r="F202">
        <v>-5.3290705182007514E-15</v>
      </c>
      <c r="G202">
        <v>-9.7699626167013776E-15</v>
      </c>
      <c r="H202">
        <v>-2.442490654175344E-15</v>
      </c>
      <c r="I202">
        <v>-1.9984014443252822E-15</v>
      </c>
      <c r="J202">
        <v>-4.163336342344337E-16</v>
      </c>
      <c r="K202">
        <v>-2.664535259100376E-14</v>
      </c>
      <c r="L202">
        <f t="shared" si="13"/>
        <v>-2.0261570199409107E-15</v>
      </c>
      <c r="M202">
        <v>-1.332267629550188E-15</v>
      </c>
      <c r="N202">
        <f t="shared" si="14"/>
        <v>-1.124100812432971E-15</v>
      </c>
      <c r="O202">
        <v>-7.2164496600635175E-16</v>
      </c>
      <c r="P202">
        <v>-8.3266726846886741E-16</v>
      </c>
      <c r="Q202">
        <v>-4.7184478546569153E-16</v>
      </c>
      <c r="R202">
        <v>-4.163336342344337E-16</v>
      </c>
      <c r="S202">
        <v>-2.3592239273284581E-16</v>
      </c>
      <c r="T202">
        <v>-7.7715611723760968E-16</v>
      </c>
      <c r="U202">
        <v>-4.163336342344337E-16</v>
      </c>
      <c r="V202">
        <v>-1.8041124150158801E-16</v>
      </c>
      <c r="W202">
        <v>-9.714451465470121E-17</v>
      </c>
      <c r="X202">
        <v>-1.52655665885959E-16</v>
      </c>
      <c r="Y202">
        <v>-8.3266726846886741E-17</v>
      </c>
      <c r="Z202">
        <v>-3.2959746043559329E-17</v>
      </c>
      <c r="AA202">
        <v>-1.647987302177967E-17</v>
      </c>
      <c r="AB202">
        <v>-2.109423746787797E-15</v>
      </c>
      <c r="AC202">
        <v>-1.165734175856414E-15</v>
      </c>
      <c r="AD202">
        <v>2381.6675591522499</v>
      </c>
      <c r="AE202">
        <v>1279.1513266244399</v>
      </c>
      <c r="AF202">
        <f t="shared" si="15"/>
        <v>0.85245901639344268</v>
      </c>
      <c r="AG202">
        <f>(F202/(D202+H202))</f>
        <v>0.2637362637362638</v>
      </c>
      <c r="AH202">
        <f>(F202/D202)</f>
        <v>0.30000000000000004</v>
      </c>
      <c r="AI202">
        <f>(E202/(D202+H202))</f>
        <v>0.57142857142857162</v>
      </c>
      <c r="AJ202">
        <f>(E202/(D202))</f>
        <v>0.65000000000000024</v>
      </c>
      <c r="AK202">
        <f>(H202/(D202+H202))</f>
        <v>0.12087912087912088</v>
      </c>
      <c r="AL202">
        <f>(I202/H202)</f>
        <v>0.81818181818181845</v>
      </c>
      <c r="AM202">
        <f>J202/H202</f>
        <v>0.17045454545454547</v>
      </c>
      <c r="AN202">
        <f>(D202+H202)/AD202</f>
        <v>-8.4839964211336678E-18</v>
      </c>
      <c r="AO202">
        <f>(D202+H202)/AE202</f>
        <v>-1.5796457094329671E-17</v>
      </c>
    </row>
    <row r="203" spans="1:41" x14ac:dyDescent="0.35">
      <c r="A203" t="s">
        <v>39</v>
      </c>
      <c r="B203" t="s">
        <v>71</v>
      </c>
      <c r="C203">
        <f t="shared" si="12"/>
        <v>6.4348398866345011</v>
      </c>
      <c r="D203">
        <v>6.4771357218701624</v>
      </c>
      <c r="E203">
        <v>0.60354303931876307</v>
      </c>
      <c r="F203">
        <v>5.8735926825513989</v>
      </c>
      <c r="G203">
        <v>-4.2295835235661203E-2</v>
      </c>
      <c r="H203">
        <v>7.2337052758079695E-2</v>
      </c>
      <c r="I203">
        <v>4.4287991484539E-3</v>
      </c>
      <c r="J203">
        <v>6.7908253609623104E-2</v>
      </c>
      <c r="K203">
        <v>0.5273109280821302</v>
      </c>
      <c r="L203">
        <f t="shared" si="13"/>
        <v>0.6453855840920667</v>
      </c>
      <c r="M203">
        <v>0.64962766669383099</v>
      </c>
      <c r="N203">
        <f t="shared" si="14"/>
        <v>0.27572566797486958</v>
      </c>
      <c r="O203">
        <v>0.2775379970503965</v>
      </c>
      <c r="P203">
        <v>6.0532660302005298E-2</v>
      </c>
      <c r="Q203">
        <v>2.5861141939738999E-2</v>
      </c>
      <c r="R203">
        <v>0.58909500639182544</v>
      </c>
      <c r="S203">
        <v>0.2516768551106574</v>
      </c>
      <c r="T203">
        <v>-4.2420826017640998E-3</v>
      </c>
      <c r="U203">
        <v>-1.8123290755268E-3</v>
      </c>
      <c r="V203">
        <v>7.255082001766E-3</v>
      </c>
      <c r="W203">
        <v>3.0995615341544002E-3</v>
      </c>
      <c r="X203">
        <v>4.4418869398559998E-4</v>
      </c>
      <c r="Y203">
        <v>1.897690735196E-4</v>
      </c>
      <c r="Z203">
        <v>6.8108933077802997E-3</v>
      </c>
      <c r="AA203">
        <v>2.9097924606344E-3</v>
      </c>
      <c r="AB203">
        <v>5.2886921401925802E-2</v>
      </c>
      <c r="AC203">
        <v>2.2594681520807201E-2</v>
      </c>
      <c r="AD203">
        <v>2333.7834064911899</v>
      </c>
      <c r="AE203">
        <v>997.05355143423003</v>
      </c>
      <c r="AF203">
        <f t="shared" si="15"/>
        <v>0.99271545346636514</v>
      </c>
      <c r="AG203">
        <f>(F203/(D203+H203))</f>
        <v>0.89680389317822495</v>
      </c>
      <c r="AH203">
        <f>(F203/D203)</f>
        <v>0.90681945458068913</v>
      </c>
      <c r="AI203">
        <f>(E203/(D203+H203))</f>
        <v>9.2151392957430994E-2</v>
      </c>
      <c r="AJ203">
        <f>(E203/(D203))</f>
        <v>9.3180545419310798E-2</v>
      </c>
      <c r="AK203">
        <f>(H203/(D203+H203))</f>
        <v>1.1044713864343936E-2</v>
      </c>
      <c r="AL203">
        <f>(I203/H203)</f>
        <v>6.1224489795918935E-2</v>
      </c>
      <c r="AM203">
        <f>J203/H203</f>
        <v>0.93877551020404382</v>
      </c>
      <c r="AN203">
        <f>(D203+H203)/AD203</f>
        <v>2.8063755858455095E-3</v>
      </c>
      <c r="AO203">
        <f>(D203+H203)/AE203</f>
        <v>6.568827486955974E-3</v>
      </c>
    </row>
    <row r="204" spans="1:41" x14ac:dyDescent="0.35">
      <c r="A204" t="s">
        <v>40</v>
      </c>
      <c r="B204" t="s">
        <v>71</v>
      </c>
      <c r="C204">
        <f t="shared" si="12"/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f t="shared" si="13"/>
        <v>0</v>
      </c>
      <c r="M204">
        <v>0</v>
      </c>
      <c r="N204">
        <f t="shared" si="14"/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468.59916169988998</v>
      </c>
      <c r="AE204">
        <v>413.94954015926999</v>
      </c>
      <c r="AF204" t="e">
        <f t="shared" si="15"/>
        <v>#DIV/0!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f>(D204+H204)/AD204</f>
        <v>0</v>
      </c>
      <c r="AO204">
        <f>(D204+H204)/AE204</f>
        <v>0</v>
      </c>
    </row>
    <row r="205" spans="1:41" x14ac:dyDescent="0.35">
      <c r="A205" t="s">
        <v>41</v>
      </c>
      <c r="B205" t="s">
        <v>71</v>
      </c>
      <c r="C205">
        <f t="shared" si="12"/>
        <v>0.68476911561264764</v>
      </c>
      <c r="D205">
        <v>1.141281859354407</v>
      </c>
      <c r="E205">
        <v>0.91302548748352841</v>
      </c>
      <c r="F205">
        <v>0.22825637187088429</v>
      </c>
      <c r="G205">
        <v>-0.45651274374176509</v>
      </c>
      <c r="H205">
        <v>0.5706409296772037</v>
      </c>
      <c r="I205">
        <v>0.57064092967720637</v>
      </c>
      <c r="J205">
        <v>0</v>
      </c>
      <c r="K205">
        <v>0</v>
      </c>
      <c r="L205">
        <f t="shared" si="13"/>
        <v>0.13829318765931381</v>
      </c>
      <c r="M205">
        <v>0.2304886460988555</v>
      </c>
      <c r="N205">
        <f t="shared" si="14"/>
        <v>0.12331028751261169</v>
      </c>
      <c r="O205">
        <v>0.2055171458543521</v>
      </c>
      <c r="P205">
        <v>0.18439091687908471</v>
      </c>
      <c r="Q205">
        <v>0.1644137166834809</v>
      </c>
      <c r="R205">
        <v>4.6097729219771198E-2</v>
      </c>
      <c r="S205">
        <v>4.1103429170870898E-2</v>
      </c>
      <c r="T205">
        <v>-9.2195458439542105E-2</v>
      </c>
      <c r="U205">
        <v>-8.2206858341740102E-2</v>
      </c>
      <c r="V205">
        <v>0.11524432304942769</v>
      </c>
      <c r="W205">
        <v>0.10275857292717561</v>
      </c>
      <c r="X205">
        <v>0.1152443230494281</v>
      </c>
      <c r="Y205">
        <v>0.1027585729271758</v>
      </c>
      <c r="Z205">
        <v>0</v>
      </c>
      <c r="AA205">
        <v>0</v>
      </c>
      <c r="AB205">
        <v>0</v>
      </c>
      <c r="AC205">
        <v>0</v>
      </c>
      <c r="AD205">
        <v>555.32196820367994</v>
      </c>
      <c r="AE205">
        <v>495.15751802582002</v>
      </c>
      <c r="AF205">
        <f t="shared" si="15"/>
        <v>0.61538461538461497</v>
      </c>
      <c r="AG205">
        <f>(F205/(D205+H205))</f>
        <v>0.13333333333333502</v>
      </c>
      <c r="AH205">
        <f>(F205/D205)</f>
        <v>0.20000000000000254</v>
      </c>
      <c r="AI205">
        <f>(E205/(D205+H205))</f>
        <v>0.53333333333333488</v>
      </c>
      <c r="AJ205">
        <f>(E205/(D205))</f>
        <v>0.80000000000000249</v>
      </c>
      <c r="AK205">
        <f>(H205/(D205+H205))</f>
        <v>0.33333333333333343</v>
      </c>
      <c r="AL205">
        <f>(I205/H205)</f>
        <v>1.0000000000000047</v>
      </c>
      <c r="AM205">
        <f>J205/H205</f>
        <v>0</v>
      </c>
      <c r="AN205">
        <f>(D205+H205)/AD205</f>
        <v>3.0827571878152583E-3</v>
      </c>
      <c r="AO205">
        <f>(D205+H205)/AE205</f>
        <v>3.457329691482827E-3</v>
      </c>
    </row>
    <row r="206" spans="1:41" x14ac:dyDescent="0.35">
      <c r="A206" t="s">
        <v>42</v>
      </c>
      <c r="B206" t="s">
        <v>71</v>
      </c>
      <c r="C206">
        <f t="shared" si="12"/>
        <v>10.27563253304036</v>
      </c>
      <c r="D206">
        <v>10.27563253304036</v>
      </c>
      <c r="E206">
        <v>3.6363244687153311</v>
      </c>
      <c r="F206">
        <v>6.6393080643250286</v>
      </c>
      <c r="G206">
        <v>0</v>
      </c>
      <c r="H206">
        <v>0.49977919238267532</v>
      </c>
      <c r="I206">
        <v>0</v>
      </c>
      <c r="J206">
        <v>0.49977919238267532</v>
      </c>
      <c r="K206">
        <v>0</v>
      </c>
      <c r="L206">
        <f t="shared" si="13"/>
        <v>4.7651715685039084</v>
      </c>
      <c r="M206">
        <v>4.7651715685039084</v>
      </c>
      <c r="N206">
        <f t="shared" si="14"/>
        <v>2.5222720885937489</v>
      </c>
      <c r="O206">
        <v>2.522272088593748</v>
      </c>
      <c r="P206">
        <v>1.686291322355262</v>
      </c>
      <c r="Q206">
        <v>0.89257762799711693</v>
      </c>
      <c r="R206">
        <v>3.0788802461486462</v>
      </c>
      <c r="S206">
        <v>1.6296944605966319</v>
      </c>
      <c r="T206">
        <v>0</v>
      </c>
      <c r="U206">
        <v>0</v>
      </c>
      <c r="V206">
        <v>0.23176515804882669</v>
      </c>
      <c r="W206">
        <v>0.12267654602804071</v>
      </c>
      <c r="X206">
        <v>0</v>
      </c>
      <c r="Y206">
        <v>0</v>
      </c>
      <c r="Z206">
        <v>0.23176515804882669</v>
      </c>
      <c r="AA206">
        <v>0.12267654602804071</v>
      </c>
      <c r="AB206">
        <v>0</v>
      </c>
      <c r="AC206">
        <v>0</v>
      </c>
      <c r="AD206">
        <v>407.39587848230002</v>
      </c>
      <c r="AE206">
        <v>215.64034757863999</v>
      </c>
      <c r="AF206">
        <f t="shared" si="15"/>
        <v>1</v>
      </c>
      <c r="AG206">
        <f>(F206/(D206+H206))</f>
        <v>0.61615353858456612</v>
      </c>
      <c r="AH206">
        <f>(F206/D206)</f>
        <v>0.64612159329140451</v>
      </c>
      <c r="AI206">
        <f>(E206/(D206+H206))</f>
        <v>0.33746501399440226</v>
      </c>
      <c r="AJ206">
        <f>(E206/(D206))</f>
        <v>0.35387840670859544</v>
      </c>
      <c r="AK206">
        <f>(H206/(D206+H206))</f>
        <v>4.6381447421031542E-2</v>
      </c>
      <c r="AL206">
        <f>(I206/H206)</f>
        <v>0</v>
      </c>
      <c r="AM206">
        <f>J206/H206</f>
        <v>1</v>
      </c>
      <c r="AN206">
        <f>(D206+H206)/AD206</f>
        <v>2.6449486346217885E-2</v>
      </c>
      <c r="AO206">
        <f>(D206+H206)/AE206</f>
        <v>4.9969367265527365E-2</v>
      </c>
    </row>
    <row r="207" spans="1:41" x14ac:dyDescent="0.35">
      <c r="A207" t="s">
        <v>43</v>
      </c>
      <c r="B207" t="s">
        <v>71</v>
      </c>
      <c r="C207">
        <f t="shared" si="12"/>
        <v>-5.7014876505385779</v>
      </c>
      <c r="D207">
        <v>-5.7014876505385761</v>
      </c>
      <c r="E207">
        <v>0</v>
      </c>
      <c r="F207">
        <v>-5.7014876505385779</v>
      </c>
      <c r="G207">
        <v>0</v>
      </c>
      <c r="H207">
        <v>7.8223493436008482</v>
      </c>
      <c r="I207">
        <v>9.2782922355949484</v>
      </c>
      <c r="J207">
        <v>-1.455942891994098</v>
      </c>
      <c r="K207">
        <v>0</v>
      </c>
      <c r="L207">
        <f t="shared" si="13"/>
        <v>-1.7142044659113751</v>
      </c>
      <c r="M207">
        <v>-1.7142044659113751</v>
      </c>
      <c r="N207">
        <f t="shared" si="14"/>
        <v>-1.8329012771360631</v>
      </c>
      <c r="O207">
        <v>-1.8329012771360631</v>
      </c>
      <c r="P207">
        <v>0</v>
      </c>
      <c r="Q207">
        <v>0</v>
      </c>
      <c r="R207">
        <v>-1.7142044659113751</v>
      </c>
      <c r="S207">
        <v>-1.8329012771360631</v>
      </c>
      <c r="T207">
        <v>0</v>
      </c>
      <c r="U207">
        <v>0</v>
      </c>
      <c r="V207">
        <v>2.351860952895835</v>
      </c>
      <c r="W207">
        <v>2.5147110685640222</v>
      </c>
      <c r="X207">
        <v>2.7896035142311102</v>
      </c>
      <c r="Y207">
        <v>2.9827642767334841</v>
      </c>
      <c r="Z207">
        <v>-0.43774256133527611</v>
      </c>
      <c r="AA207">
        <v>-0.46805320816946328</v>
      </c>
      <c r="AB207">
        <v>0</v>
      </c>
      <c r="AC207">
        <v>0</v>
      </c>
      <c r="AD207">
        <v>311.06354290107998</v>
      </c>
      <c r="AE207">
        <v>332.60254327404999</v>
      </c>
      <c r="AF207">
        <f t="shared" si="15"/>
        <v>0</v>
      </c>
      <c r="AG207">
        <f>(F207/(D207+H207))</f>
        <v>-2.6882882882882888</v>
      </c>
      <c r="AH207">
        <f>(F207/D207)</f>
        <v>1.0000000000000002</v>
      </c>
      <c r="AI207">
        <f>(E207/(D207+H207))</f>
        <v>0</v>
      </c>
      <c r="AJ207">
        <f>(E207/(D207))</f>
        <v>0</v>
      </c>
      <c r="AK207">
        <f>(H207/(D207+H207))</f>
        <v>3.6882882882882879</v>
      </c>
      <c r="AL207">
        <f>(I207/H207)</f>
        <v>1.1861260381045433</v>
      </c>
      <c r="AM207">
        <f>J207/H207</f>
        <v>-0.18612603810454295</v>
      </c>
      <c r="AN207">
        <f>(D207+H207)/AD207</f>
        <v>6.8180979142795865E-3</v>
      </c>
      <c r="AO207">
        <f>(D207+H207)/AE207</f>
        <v>6.37656486984459E-3</v>
      </c>
    </row>
    <row r="208" spans="1:41" x14ac:dyDescent="0.35">
      <c r="A208" t="s">
        <v>44</v>
      </c>
      <c r="B208" t="s">
        <v>71</v>
      </c>
      <c r="C208">
        <f t="shared" si="12"/>
        <v>0.61379999999999979</v>
      </c>
      <c r="D208">
        <v>0.6137999999999999</v>
      </c>
      <c r="E208">
        <v>0.21110000000000001</v>
      </c>
      <c r="F208">
        <v>0.40269999999999978</v>
      </c>
      <c r="G208">
        <v>0</v>
      </c>
      <c r="H208">
        <v>-0.17325621916755879</v>
      </c>
      <c r="I208">
        <v>-0.1201896021839934</v>
      </c>
      <c r="J208">
        <v>-5.3066616983565199E-2</v>
      </c>
      <c r="K208">
        <v>0</v>
      </c>
      <c r="L208">
        <f t="shared" si="13"/>
        <v>2.2821526946175101</v>
      </c>
      <c r="M208">
        <v>2.2821526946175101</v>
      </c>
      <c r="N208">
        <f t="shared" si="14"/>
        <v>1.3369178233626702</v>
      </c>
      <c r="O208">
        <v>1.33691782336267</v>
      </c>
      <c r="P208">
        <v>0.78488503394225595</v>
      </c>
      <c r="Q208">
        <v>0.45979692491342422</v>
      </c>
      <c r="R208">
        <v>1.497267660675254</v>
      </c>
      <c r="S208">
        <v>0.87712089844924601</v>
      </c>
      <c r="T208">
        <v>0</v>
      </c>
      <c r="U208">
        <v>0</v>
      </c>
      <c r="V208">
        <v>-0.64417912582679371</v>
      </c>
      <c r="W208">
        <v>-0.37736938320876229</v>
      </c>
      <c r="X208">
        <v>-0.4468736143519178</v>
      </c>
      <c r="Y208">
        <v>-0.2617849810079016</v>
      </c>
      <c r="Z208">
        <v>-0.19730551147487579</v>
      </c>
      <c r="AA208">
        <v>-0.115584402200861</v>
      </c>
      <c r="AB208">
        <v>0</v>
      </c>
      <c r="AC208">
        <v>0</v>
      </c>
      <c r="AD208">
        <v>45.911572818750003</v>
      </c>
      <c r="AE208">
        <v>26.895658710639999</v>
      </c>
      <c r="AF208">
        <f t="shared" si="15"/>
        <v>2.3220666180258602</v>
      </c>
      <c r="AG208">
        <f>(F208/(D208+H208))</f>
        <v>0.91409757104973177</v>
      </c>
      <c r="AH208">
        <f>(F208/D208)</f>
        <v>0.65607689801238167</v>
      </c>
      <c r="AI208">
        <f>(E208/(D208+H208))</f>
        <v>0.47918052458057731</v>
      </c>
      <c r="AJ208">
        <f>(E208/(D208))</f>
        <v>0.34392310198761816</v>
      </c>
      <c r="AK208">
        <f>(H208/(D208+H208))</f>
        <v>-0.3932780956303093</v>
      </c>
      <c r="AL208">
        <f>(I208/H208)</f>
        <v>0.69371017537763624</v>
      </c>
      <c r="AM208">
        <f>J208/H208</f>
        <v>0.30628982462236259</v>
      </c>
      <c r="AN208">
        <f>(D208+H208)/AD208</f>
        <v>9.5954844015390776E-3</v>
      </c>
      <c r="AO208">
        <f>(D208+H208)/AE208</f>
        <v>1.6379735687907161E-2</v>
      </c>
    </row>
    <row r="209" spans="1:41" x14ac:dyDescent="0.35">
      <c r="A209" t="s">
        <v>45</v>
      </c>
      <c r="B209" t="s">
        <v>71</v>
      </c>
      <c r="C209">
        <f t="shared" si="12"/>
        <v>4.7477325349143564</v>
      </c>
      <c r="D209">
        <v>4.7477325349143564</v>
      </c>
      <c r="E209">
        <v>1.9972432538702221</v>
      </c>
      <c r="F209">
        <v>2.7504892810441341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f t="shared" si="13"/>
        <v>1.8637257634241735</v>
      </c>
      <c r="M209">
        <v>1.8637257634241731</v>
      </c>
      <c r="N209">
        <f t="shared" si="14"/>
        <v>1.8697578699465267</v>
      </c>
      <c r="O209">
        <v>1.869757869946526</v>
      </c>
      <c r="P209">
        <v>0.78401925144045759</v>
      </c>
      <c r="Q209">
        <v>0.78655679625154373</v>
      </c>
      <c r="R209">
        <v>1.0797065119837159</v>
      </c>
      <c r="S209">
        <v>1.0832010736949831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253.92231856471</v>
      </c>
      <c r="AE209">
        <v>254.7441596875</v>
      </c>
      <c r="AF209">
        <f t="shared" si="15"/>
        <v>1</v>
      </c>
      <c r="AG209">
        <f>(F209/(D209+H209))</f>
        <v>0.57932692307692302</v>
      </c>
      <c r="AH209">
        <f>(F209/D209)</f>
        <v>0.57932692307692302</v>
      </c>
      <c r="AI209">
        <f>(E209/(D209+H209))</f>
        <v>0.42067307692307693</v>
      </c>
      <c r="AJ209">
        <f>(E209/(D209))</f>
        <v>0.42067307692307693</v>
      </c>
      <c r="AK209">
        <f>(H209/(D209+H209))</f>
        <v>0</v>
      </c>
      <c r="AL209">
        <v>0</v>
      </c>
      <c r="AM209">
        <v>0</v>
      </c>
      <c r="AN209">
        <f>(D209+H209)/AD209</f>
        <v>1.869757869946527E-2</v>
      </c>
      <c r="AO209">
        <f>(D209+H209)/AE209</f>
        <v>1.863725763424174E-2</v>
      </c>
    </row>
    <row r="210" spans="1:41" x14ac:dyDescent="0.35">
      <c r="A210" t="s">
        <v>46</v>
      </c>
      <c r="B210" t="s">
        <v>71</v>
      </c>
      <c r="C210">
        <f t="shared" si="12"/>
        <v>14.505692432394579</v>
      </c>
      <c r="D210">
        <v>13.558428489130421</v>
      </c>
      <c r="E210">
        <v>4.56512743741763E-2</v>
      </c>
      <c r="F210">
        <v>13.512777214756239</v>
      </c>
      <c r="G210">
        <v>0.94726394326416241</v>
      </c>
      <c r="H210">
        <v>5.6949964781785178</v>
      </c>
      <c r="I210">
        <v>2.5907098207345158</v>
      </c>
      <c r="J210">
        <v>3.104286657444002</v>
      </c>
      <c r="K210">
        <v>0</v>
      </c>
      <c r="L210">
        <f t="shared" si="13"/>
        <v>7.114015904325445</v>
      </c>
      <c r="M210">
        <v>6.6494499562066292</v>
      </c>
      <c r="N210">
        <f t="shared" si="14"/>
        <v>4.8104609891885426</v>
      </c>
      <c r="O210">
        <v>4.4963238828922023</v>
      </c>
      <c r="P210">
        <v>2.2388720391268001E-2</v>
      </c>
      <c r="Q210">
        <v>1.51391376528356E-2</v>
      </c>
      <c r="R210">
        <v>6.6270612358153631</v>
      </c>
      <c r="S210">
        <v>4.4811847452393661</v>
      </c>
      <c r="T210">
        <v>0.46456594811881358</v>
      </c>
      <c r="U210">
        <v>0.31413710629634078</v>
      </c>
      <c r="V210">
        <v>2.7929928688106971</v>
      </c>
      <c r="W210">
        <v>1.888607422191253</v>
      </c>
      <c r="X210">
        <v>1.2705598822044659</v>
      </c>
      <c r="Y210">
        <v>0.85914606179842568</v>
      </c>
      <c r="Z210">
        <v>1.5224329866062321</v>
      </c>
      <c r="AA210">
        <v>1.0294613603928271</v>
      </c>
      <c r="AB210">
        <v>0</v>
      </c>
      <c r="AC210">
        <v>0</v>
      </c>
      <c r="AD210">
        <v>301.54474727050001</v>
      </c>
      <c r="AE210">
        <v>203.90300819506001</v>
      </c>
      <c r="AF210">
        <f t="shared" si="15"/>
        <v>1.7316017316017247E-2</v>
      </c>
      <c r="AG210">
        <f>(F210/(D210+H210))</f>
        <v>0.70183758150563114</v>
      </c>
      <c r="AH210">
        <f>(F210/D210)</f>
        <v>0.99663299663299632</v>
      </c>
      <c r="AI210">
        <f>(E210/(D210+H210))</f>
        <v>2.3710729104919875E-3</v>
      </c>
      <c r="AJ210">
        <f>(E210/(D210))</f>
        <v>3.3670033670033521E-3</v>
      </c>
      <c r="AK210">
        <f>(H210/(D210+H210))</f>
        <v>0.29579134558387671</v>
      </c>
      <c r="AL210">
        <f>(I210/H210)</f>
        <v>0.45490981963927851</v>
      </c>
      <c r="AM210">
        <f>J210/H210</f>
        <v>0.54509018036072154</v>
      </c>
      <c r="AN210">
        <f>(D210+H210)/AD210</f>
        <v>6.3849313050834536E-2</v>
      </c>
      <c r="AO210">
        <f>(D210+H210)/AE210</f>
        <v>9.4424428250173276E-2</v>
      </c>
    </row>
    <row r="211" spans="1:41" x14ac:dyDescent="0.35">
      <c r="A211" t="s">
        <v>47</v>
      </c>
      <c r="B211" t="s">
        <v>71</v>
      </c>
      <c r="C211">
        <f t="shared" si="12"/>
        <v>0</v>
      </c>
      <c r="D211">
        <v>0</v>
      </c>
      <c r="E211">
        <v>0</v>
      </c>
      <c r="F211">
        <v>0</v>
      </c>
      <c r="G211">
        <v>0</v>
      </c>
      <c r="H211">
        <v>-1.13737075332348E-2</v>
      </c>
      <c r="I211">
        <v>-1.13737075332348E-2</v>
      </c>
      <c r="J211">
        <v>0</v>
      </c>
      <c r="K211">
        <v>0</v>
      </c>
      <c r="L211">
        <f t="shared" si="13"/>
        <v>0</v>
      </c>
      <c r="M211">
        <v>0</v>
      </c>
      <c r="N211">
        <f t="shared" si="14"/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-5.48659316352813E-2</v>
      </c>
      <c r="W211">
        <v>-5.9644566302236197E-2</v>
      </c>
      <c r="X211">
        <v>-5.4865931635281202E-2</v>
      </c>
      <c r="Y211">
        <v>-5.9644566302236003E-2</v>
      </c>
      <c r="Z211">
        <v>0</v>
      </c>
      <c r="AA211">
        <v>0</v>
      </c>
      <c r="AB211">
        <v>0</v>
      </c>
      <c r="AC211">
        <v>0</v>
      </c>
      <c r="AD211">
        <v>19.06914282116</v>
      </c>
      <c r="AE211">
        <v>20.729999827290001</v>
      </c>
      <c r="AF211">
        <f t="shared" si="15"/>
        <v>0</v>
      </c>
      <c r="AG211">
        <f>(F211/(D211+H211))</f>
        <v>0</v>
      </c>
      <c r="AH211">
        <v>0</v>
      </c>
      <c r="AI211">
        <f>(E211/(D211+H211))</f>
        <v>0</v>
      </c>
      <c r="AJ211">
        <v>0</v>
      </c>
      <c r="AK211">
        <f>(H211/(D211+H211))</f>
        <v>1</v>
      </c>
      <c r="AL211">
        <f>(I211/H211)</f>
        <v>1</v>
      </c>
      <c r="AM211">
        <f>J211/H211</f>
        <v>0</v>
      </c>
      <c r="AN211">
        <f>(D211+H211)/AD211</f>
        <v>-5.9644566302235731E-4</v>
      </c>
      <c r="AO211">
        <f>(D211+H211)/AE211</f>
        <v>-5.4865931635280989E-4</v>
      </c>
    </row>
    <row r="212" spans="1:41" x14ac:dyDescent="0.35">
      <c r="A212" t="s">
        <v>48</v>
      </c>
      <c r="B212" t="s">
        <v>71</v>
      </c>
      <c r="C212">
        <f t="shared" si="12"/>
        <v>7.075487897565349</v>
      </c>
      <c r="D212">
        <v>6.5953424585950131</v>
      </c>
      <c r="E212">
        <v>-0.91100784237983401</v>
      </c>
      <c r="F212">
        <v>7.5063503009748516</v>
      </c>
      <c r="G212">
        <v>0.48014543897033191</v>
      </c>
      <c r="H212">
        <v>5.864286921181141</v>
      </c>
      <c r="I212">
        <v>2.5309368338247782</v>
      </c>
      <c r="J212">
        <v>3.3333500873563642</v>
      </c>
      <c r="K212">
        <v>0</v>
      </c>
      <c r="L212">
        <f t="shared" si="13"/>
        <v>1.9047440498149495</v>
      </c>
      <c r="M212">
        <v>1.7754873566843989</v>
      </c>
      <c r="N212">
        <f t="shared" si="14"/>
        <v>1.6931429452940601</v>
      </c>
      <c r="O212">
        <v>1.578245587758127</v>
      </c>
      <c r="P212">
        <v>-0.24524623492110481</v>
      </c>
      <c r="Q212">
        <v>-0.2180014330833264</v>
      </c>
      <c r="R212">
        <v>2.020733591605504</v>
      </c>
      <c r="S212">
        <v>1.7962470208414529</v>
      </c>
      <c r="T212">
        <v>0.1292566931305503</v>
      </c>
      <c r="U212">
        <v>0.11489735753593359</v>
      </c>
      <c r="V212">
        <v>1.578684859791925</v>
      </c>
      <c r="W212">
        <v>1.403306199307419</v>
      </c>
      <c r="X212">
        <v>0.68133631835396868</v>
      </c>
      <c r="Y212">
        <v>0.6056455621455934</v>
      </c>
      <c r="Z212">
        <v>0.89734854143795628</v>
      </c>
      <c r="AA212">
        <v>0.79766063716182589</v>
      </c>
      <c r="AB212">
        <v>0</v>
      </c>
      <c r="AC212">
        <v>0</v>
      </c>
      <c r="AD212">
        <v>417.89075855828003</v>
      </c>
      <c r="AE212">
        <v>371.46659669328</v>
      </c>
      <c r="AF212">
        <f t="shared" si="15"/>
        <v>-0.56237517026424311</v>
      </c>
      <c r="AG212">
        <f>(F212/(D212+H212))</f>
        <v>0.6024537385645502</v>
      </c>
      <c r="AH212">
        <f>(F212/D212)</f>
        <v>1.1381289672369657</v>
      </c>
      <c r="AI212">
        <f>(E212/(D212+H212))</f>
        <v>-7.3116768935241064E-2</v>
      </c>
      <c r="AJ212">
        <f>(E212/(D212))</f>
        <v>-0.13812896723696488</v>
      </c>
      <c r="AK212">
        <f>(H212/(D212+H212))</f>
        <v>0.47066303037069129</v>
      </c>
      <c r="AL212">
        <f>(I212/H212)</f>
        <v>0.43158475494835025</v>
      </c>
      <c r="AM212">
        <f>J212/H212</f>
        <v>0.56841524505164998</v>
      </c>
      <c r="AN212">
        <f>(D212+H212)/AD212</f>
        <v>2.9815517870655433E-2</v>
      </c>
      <c r="AO212">
        <f>(D212+H212)/AE212</f>
        <v>3.3541722164763227E-2</v>
      </c>
    </row>
    <row r="213" spans="1:41" x14ac:dyDescent="0.35">
      <c r="A213" t="s">
        <v>49</v>
      </c>
      <c r="B213" t="s">
        <v>71</v>
      </c>
      <c r="C213">
        <f t="shared" si="12"/>
        <v>1.1662351082618985</v>
      </c>
      <c r="D213">
        <v>1.166510413053409</v>
      </c>
      <c r="E213">
        <v>1.488969708484992</v>
      </c>
      <c r="F213">
        <v>-0.32245929543158519</v>
      </c>
      <c r="G213">
        <v>-2.753047915082E-4</v>
      </c>
      <c r="H213">
        <v>-1.184956304280554</v>
      </c>
      <c r="I213">
        <v>0.1559669822328637</v>
      </c>
      <c r="J213">
        <v>-1.340923286513416</v>
      </c>
      <c r="K213">
        <v>0</v>
      </c>
      <c r="L213">
        <f t="shared" si="13"/>
        <v>0.32534572504713688</v>
      </c>
      <c r="M213">
        <v>0.32542252708848268</v>
      </c>
      <c r="N213">
        <f t="shared" si="14"/>
        <v>0.34060932146269685</v>
      </c>
      <c r="O213">
        <v>0.34068972667221858</v>
      </c>
      <c r="P213">
        <v>0.4153793055520727</v>
      </c>
      <c r="Q213">
        <v>0.43486682787437791</v>
      </c>
      <c r="R213">
        <v>-8.9956778463591194E-2</v>
      </c>
      <c r="S213">
        <v>-9.4177101202159705E-2</v>
      </c>
      <c r="T213">
        <v>-7.6802041344636862E-5</v>
      </c>
      <c r="U213">
        <v>-8.0405209521350329E-5</v>
      </c>
      <c r="V213">
        <v>-0.33056839502962188</v>
      </c>
      <c r="W213">
        <v>-0.34607701303509941</v>
      </c>
      <c r="X213">
        <v>4.3510258402004599E-2</v>
      </c>
      <c r="Y213">
        <v>4.55515424056245E-2</v>
      </c>
      <c r="Z213">
        <v>-0.374078653431626</v>
      </c>
      <c r="AA213">
        <v>-0.39162855544072439</v>
      </c>
      <c r="AB213">
        <v>0</v>
      </c>
      <c r="AC213">
        <v>0</v>
      </c>
      <c r="AD213">
        <v>342.39670930134002</v>
      </c>
      <c r="AE213">
        <v>358.46025273358998</v>
      </c>
      <c r="AF213">
        <f t="shared" si="15"/>
        <v>0.90518359574993779</v>
      </c>
      <c r="AG213">
        <f>(F213/(D213+H213))</f>
        <v>17.481361646384066</v>
      </c>
      <c r="AH213">
        <f>(F213/D213)</f>
        <v>-0.27643070462399832</v>
      </c>
      <c r="AI213">
        <f>(E213/(D213+H213))</f>
        <v>-80.720941598843467</v>
      </c>
      <c r="AJ213">
        <f>(E213/(D213))</f>
        <v>1.2764307046239964</v>
      </c>
      <c r="AK213">
        <f>(H213/(D213+H213))</f>
        <v>64.239579952459522</v>
      </c>
      <c r="AL213">
        <f>(I213/H213)</f>
        <v>-0.13162255997917074</v>
      </c>
      <c r="AM213">
        <f>J213/H213</f>
        <v>1.1316225599791694</v>
      </c>
      <c r="AN213">
        <f>(D213+H213)/AD213</f>
        <v>-5.3872863628811825E-5</v>
      </c>
      <c r="AO213">
        <f>(D213+H213)/AE213</f>
        <v>-5.1458679411393831E-5</v>
      </c>
    </row>
    <row r="214" spans="1:41" x14ac:dyDescent="0.35">
      <c r="A214" t="s">
        <v>50</v>
      </c>
      <c r="B214" t="s">
        <v>71</v>
      </c>
      <c r="C214">
        <f t="shared" si="12"/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f t="shared" si="13"/>
        <v>0</v>
      </c>
      <c r="M214">
        <v>0</v>
      </c>
      <c r="N214">
        <f t="shared" si="14"/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55.422589739999999</v>
      </c>
      <c r="AE214">
        <v>30.160077523049999</v>
      </c>
      <c r="AF214" t="e">
        <f t="shared" si="15"/>
        <v>#DIV/0!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f>(D214+H214)/AD214</f>
        <v>0</v>
      </c>
      <c r="AO214">
        <f>(D214+H214)/AE214</f>
        <v>0</v>
      </c>
    </row>
    <row r="215" spans="1:41" x14ac:dyDescent="0.35">
      <c r="A215" t="s">
        <v>51</v>
      </c>
      <c r="B215" t="s">
        <v>71</v>
      </c>
      <c r="C215">
        <f t="shared" si="12"/>
        <v>0.65929308868577596</v>
      </c>
      <c r="D215">
        <v>0.55575232444005618</v>
      </c>
      <c r="E215">
        <v>0.35618561001317589</v>
      </c>
      <c r="F215">
        <v>0.19956671442688059</v>
      </c>
      <c r="G215">
        <v>0.10354076424571949</v>
      </c>
      <c r="H215">
        <v>0</v>
      </c>
      <c r="I215">
        <v>0</v>
      </c>
      <c r="J215">
        <v>0</v>
      </c>
      <c r="K215">
        <v>0</v>
      </c>
      <c r="L215">
        <f t="shared" si="13"/>
        <v>1.3673522907606188</v>
      </c>
      <c r="M215">
        <v>1.152612134056253</v>
      </c>
      <c r="N215">
        <f t="shared" si="14"/>
        <v>0.67873145985742656</v>
      </c>
      <c r="O215">
        <v>0.57213793525164292</v>
      </c>
      <c r="P215">
        <v>0.73871729909731676</v>
      </c>
      <c r="Q215">
        <v>0.36668726430358928</v>
      </c>
      <c r="R215">
        <v>0.41389483495893481</v>
      </c>
      <c r="S215">
        <v>0.205450670948053</v>
      </c>
      <c r="T215">
        <v>0.21474015670436719</v>
      </c>
      <c r="U215">
        <v>0.10659352460578431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97.136073348400004</v>
      </c>
      <c r="AE215">
        <v>48.216768505140003</v>
      </c>
      <c r="AF215">
        <f t="shared" si="15"/>
        <v>1</v>
      </c>
      <c r="AG215">
        <f>(F215/(D215+H215))</f>
        <v>0.35909290101116975</v>
      </c>
      <c r="AH215">
        <f>(F215/D215)</f>
        <v>0.35909290101116975</v>
      </c>
      <c r="AI215">
        <f>(E215/(D215+H215))</f>
        <v>0.6409070989888308</v>
      </c>
      <c r="AJ215">
        <f>(E215/(D215))</f>
        <v>0.6409070989888308</v>
      </c>
      <c r="AK215">
        <f>(H215/(D215+H215))</f>
        <v>0</v>
      </c>
      <c r="AL215">
        <v>0</v>
      </c>
      <c r="AM215">
        <v>0</v>
      </c>
      <c r="AN215">
        <f>(D215+H215)/AD215</f>
        <v>5.7213793525164192E-3</v>
      </c>
      <c r="AO215">
        <f>(D215+H215)/AE215</f>
        <v>1.1526121340562504E-2</v>
      </c>
    </row>
    <row r="216" spans="1:41" x14ac:dyDescent="0.35">
      <c r="A216" t="s">
        <v>52</v>
      </c>
      <c r="B216" t="s">
        <v>71</v>
      </c>
      <c r="C216">
        <f t="shared" si="12"/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f t="shared" si="13"/>
        <v>0</v>
      </c>
      <c r="M216">
        <v>0</v>
      </c>
      <c r="N216">
        <f t="shared" si="14"/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66.343484468840003</v>
      </c>
      <c r="AE216">
        <v>66.557495896739994</v>
      </c>
      <c r="AF216" t="e">
        <f t="shared" si="15"/>
        <v>#DIV/0!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f>(D216+H216)/AD216</f>
        <v>0</v>
      </c>
      <c r="AO216">
        <f>(D216+H216)/AE216</f>
        <v>0</v>
      </c>
    </row>
    <row r="217" spans="1:41" x14ac:dyDescent="0.35">
      <c r="A217" t="s">
        <v>53</v>
      </c>
      <c r="B217" t="s">
        <v>71</v>
      </c>
      <c r="C217">
        <f t="shared" si="12"/>
        <v>52.727221902173859</v>
      </c>
      <c r="D217">
        <v>52.727221902173874</v>
      </c>
      <c r="E217">
        <v>12.143238983530949</v>
      </c>
      <c r="F217">
        <v>40.58398291864291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f t="shared" si="13"/>
        <v>6.2751794119408792</v>
      </c>
      <c r="M217">
        <v>6.2751794119408801</v>
      </c>
      <c r="N217">
        <f t="shared" si="14"/>
        <v>5.6547549801443493</v>
      </c>
      <c r="O217">
        <v>5.6547549801443484</v>
      </c>
      <c r="P217">
        <v>1.4451928342651721</v>
      </c>
      <c r="Q217">
        <v>1.3023072075483959</v>
      </c>
      <c r="R217">
        <v>4.8299865776757072</v>
      </c>
      <c r="S217">
        <v>4.3524477725959532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932.44043441874999</v>
      </c>
      <c r="AE217">
        <v>840.25042856688003</v>
      </c>
      <c r="AF217">
        <f t="shared" si="15"/>
        <v>1</v>
      </c>
      <c r="AG217">
        <f>(F217/(D217+H217))</f>
        <v>0.76969696969696955</v>
      </c>
      <c r="AH217">
        <f>(F217/D217)</f>
        <v>0.76969696969696955</v>
      </c>
      <c r="AI217">
        <f>(E217/(D217+H217))</f>
        <v>0.23030303030303023</v>
      </c>
      <c r="AJ217">
        <f>(E217/(D217))</f>
        <v>0.23030303030303023</v>
      </c>
      <c r="AK217">
        <f>(H217/(D217+H217))</f>
        <v>0</v>
      </c>
      <c r="AL217">
        <v>0</v>
      </c>
      <c r="AM217">
        <v>0</v>
      </c>
      <c r="AN217">
        <f>(D217+H217)/AD217</f>
        <v>5.6547549801443497E-2</v>
      </c>
      <c r="AO217">
        <f>(D217+H217)/AE217</f>
        <v>6.2751794119408802E-2</v>
      </c>
    </row>
    <row r="218" spans="1:41" x14ac:dyDescent="0.35">
      <c r="A218" t="s">
        <v>54</v>
      </c>
      <c r="B218" t="s">
        <v>71</v>
      </c>
      <c r="C218">
        <f t="shared" si="12"/>
        <v>4.4408920985006262E-15</v>
      </c>
      <c r="D218">
        <v>0</v>
      </c>
      <c r="E218">
        <v>0.78002577101263615</v>
      </c>
      <c r="F218">
        <v>-0.78002577101263171</v>
      </c>
      <c r="G218">
        <v>0</v>
      </c>
      <c r="H218">
        <v>-2.3725783868301029</v>
      </c>
      <c r="I218">
        <v>6.5002147584385994E-2</v>
      </c>
      <c r="J218">
        <v>-2.4375805344144892</v>
      </c>
      <c r="K218">
        <v>0</v>
      </c>
      <c r="L218">
        <f t="shared" si="13"/>
        <v>5.3290705182007514E-15</v>
      </c>
      <c r="M218">
        <v>0</v>
      </c>
      <c r="N218">
        <f t="shared" si="14"/>
        <v>1.9984014443252818E-15</v>
      </c>
      <c r="O218">
        <v>0</v>
      </c>
      <c r="P218">
        <v>0.38436448129134071</v>
      </c>
      <c r="Q218">
        <v>0.4021294374513984</v>
      </c>
      <c r="R218">
        <v>-0.38436448129133538</v>
      </c>
      <c r="S218">
        <v>-0.4021294374513964</v>
      </c>
      <c r="T218">
        <v>0</v>
      </c>
      <c r="U218">
        <v>0</v>
      </c>
      <c r="V218">
        <v>-1.169108630594496</v>
      </c>
      <c r="W218">
        <v>-1.2231437055813379</v>
      </c>
      <c r="X218">
        <v>3.20303734409449E-2</v>
      </c>
      <c r="Y218">
        <v>3.3510786454283001E-2</v>
      </c>
      <c r="Z218">
        <v>-1.201139004035441</v>
      </c>
      <c r="AA218">
        <v>-1.2566544920356211</v>
      </c>
      <c r="AB218">
        <v>0</v>
      </c>
      <c r="AC218">
        <v>0</v>
      </c>
      <c r="AD218">
        <v>193.97380504054999</v>
      </c>
      <c r="AE218">
        <v>202.93908750153</v>
      </c>
      <c r="AF218">
        <f t="shared" si="15"/>
        <v>0.92307692307692335</v>
      </c>
      <c r="AG218">
        <f>(F218/(D218+H218))</f>
        <v>0.32876712328766916</v>
      </c>
      <c r="AH218">
        <v>0</v>
      </c>
      <c r="AI218">
        <f>(E218/(D218+H218))</f>
        <v>-0.32876712328767105</v>
      </c>
      <c r="AJ218">
        <v>0</v>
      </c>
      <c r="AK218">
        <f>(H218/(D218+H218))</f>
        <v>1</v>
      </c>
      <c r="AL218">
        <f>(I218/H218)</f>
        <v>-2.7397260273972438E-2</v>
      </c>
      <c r="AM218">
        <f>J218/H218</f>
        <v>1.0273972602739725</v>
      </c>
      <c r="AN218">
        <f>(D218+H218)/AD218</f>
        <v>-1.2231437055813378E-2</v>
      </c>
      <c r="AO218">
        <f>(D218+H218)/AE218</f>
        <v>-1.1691086305944958E-2</v>
      </c>
    </row>
    <row r="219" spans="1:41" x14ac:dyDescent="0.35">
      <c r="A219" t="s">
        <v>55</v>
      </c>
      <c r="B219" t="s">
        <v>71</v>
      </c>
      <c r="C219">
        <f t="shared" si="12"/>
        <v>10.503584387998931</v>
      </c>
      <c r="D219">
        <v>10.503584387998931</v>
      </c>
      <c r="E219">
        <v>1.4762368351181501</v>
      </c>
      <c r="F219">
        <v>9.0273475528807801</v>
      </c>
      <c r="G219">
        <v>0</v>
      </c>
      <c r="H219">
        <v>0.83901230197362509</v>
      </c>
      <c r="I219">
        <v>0.83901230197362509</v>
      </c>
      <c r="J219">
        <v>0</v>
      </c>
      <c r="K219">
        <v>0</v>
      </c>
      <c r="L219">
        <f t="shared" si="13"/>
        <v>2.5602928587666658</v>
      </c>
      <c r="M219">
        <v>2.5602928587666658</v>
      </c>
      <c r="N219">
        <f t="shared" si="14"/>
        <v>3.1785288964799565</v>
      </c>
      <c r="O219">
        <v>3.178528896479957</v>
      </c>
      <c r="P219">
        <v>0.35983893566083569</v>
      </c>
      <c r="Q219">
        <v>0.44672954156796141</v>
      </c>
      <c r="R219">
        <v>2.20045392310583</v>
      </c>
      <c r="S219">
        <v>2.731799354911995</v>
      </c>
      <c r="T219">
        <v>0</v>
      </c>
      <c r="U219">
        <v>0</v>
      </c>
      <c r="V219">
        <v>0.2045127763827769</v>
      </c>
      <c r="W219">
        <v>0.25389664592711542</v>
      </c>
      <c r="X219">
        <v>0.2045127763827769</v>
      </c>
      <c r="Y219">
        <v>0.25389664592711497</v>
      </c>
      <c r="Z219">
        <v>0</v>
      </c>
      <c r="AA219">
        <v>0</v>
      </c>
      <c r="AB219">
        <v>0</v>
      </c>
      <c r="AC219">
        <v>0</v>
      </c>
      <c r="AD219">
        <v>330.45426768437</v>
      </c>
      <c r="AE219">
        <v>410.24933347112</v>
      </c>
      <c r="AF219">
        <f t="shared" si="15"/>
        <v>0.63761467889908252</v>
      </c>
      <c r="AG219">
        <f>(F219/(D219+H219))</f>
        <v>0.79588014981273414</v>
      </c>
      <c r="AH219">
        <f>(F219/D219)</f>
        <v>0.85945399393326594</v>
      </c>
      <c r="AI219">
        <f>(E219/(D219+H219))</f>
        <v>0.13014981273408233</v>
      </c>
      <c r="AJ219">
        <f>(E219/(D219))</f>
        <v>0.14054600606673398</v>
      </c>
      <c r="AK219">
        <f>(H219/(D219+H219))</f>
        <v>7.3970037453183493E-2</v>
      </c>
      <c r="AL219">
        <f>(I219/H219)</f>
        <v>1</v>
      </c>
      <c r="AM219">
        <f>J219/H219</f>
        <v>0</v>
      </c>
      <c r="AN219">
        <f>(D219+H219)/AD219</f>
        <v>3.4324255424070721E-2</v>
      </c>
      <c r="AO219">
        <f>(D219+H219)/AE219</f>
        <v>2.7648056351494431E-2</v>
      </c>
    </row>
    <row r="220" spans="1:41" x14ac:dyDescent="0.35">
      <c r="A220" t="s">
        <v>56</v>
      </c>
      <c r="B220" t="s">
        <v>71</v>
      </c>
      <c r="C220">
        <f t="shared" si="12"/>
        <v>0.45651274374176509</v>
      </c>
      <c r="D220">
        <v>0.45651274374176509</v>
      </c>
      <c r="E220">
        <v>0</v>
      </c>
      <c r="F220">
        <v>0.45651274374176509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f t="shared" si="13"/>
        <v>0.20530124788873119</v>
      </c>
      <c r="M220">
        <v>0.20530124788873119</v>
      </c>
      <c r="N220">
        <f t="shared" si="14"/>
        <v>0.13378998732291689</v>
      </c>
      <c r="O220">
        <v>0.13378998732291689</v>
      </c>
      <c r="P220">
        <v>0</v>
      </c>
      <c r="Q220">
        <v>0</v>
      </c>
      <c r="R220">
        <v>0.20530124788873119</v>
      </c>
      <c r="S220">
        <v>0.13378998732291689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341.21592570296002</v>
      </c>
      <c r="AE220">
        <v>222.36238134761999</v>
      </c>
      <c r="AF220" t="e">
        <f t="shared" si="15"/>
        <v>#DIV/0!</v>
      </c>
      <c r="AG220">
        <f>(F220/(D220+H220))</f>
        <v>1</v>
      </c>
      <c r="AH220">
        <f>(F220/D220)</f>
        <v>1</v>
      </c>
      <c r="AI220">
        <f>(E220/(D220+H220))</f>
        <v>0</v>
      </c>
      <c r="AJ220">
        <f>(E220/(D220))</f>
        <v>0</v>
      </c>
      <c r="AK220">
        <f>(H220/(D220+H220))</f>
        <v>0</v>
      </c>
      <c r="AL220">
        <v>0</v>
      </c>
      <c r="AM220">
        <v>0</v>
      </c>
      <c r="AN220">
        <f>(D220+H220)/AD220</f>
        <v>1.3378998732291728E-3</v>
      </c>
      <c r="AO220">
        <f>(D220+H220)/AE220</f>
        <v>2.0530124788873212E-3</v>
      </c>
    </row>
    <row r="221" spans="1:41" x14ac:dyDescent="0.35">
      <c r="A221" t="s">
        <v>57</v>
      </c>
      <c r="B221" t="s">
        <v>71</v>
      </c>
      <c r="C221">
        <f t="shared" si="12"/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f t="shared" si="13"/>
        <v>0</v>
      </c>
      <c r="M221">
        <v>0</v>
      </c>
      <c r="N221">
        <f t="shared" si="14"/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181.71174374815001</v>
      </c>
      <c r="AE221">
        <v>99.489061173690004</v>
      </c>
      <c r="AF221" t="e">
        <f t="shared" si="15"/>
        <v>#DIV/0!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f>(D221+H221)/AD221</f>
        <v>0</v>
      </c>
      <c r="AO221">
        <f>(D221+H221)/AE221</f>
        <v>0</v>
      </c>
    </row>
    <row r="222" spans="1:41" x14ac:dyDescent="0.35">
      <c r="A222" t="s">
        <v>58</v>
      </c>
      <c r="B222" t="s">
        <v>71</v>
      </c>
      <c r="C222">
        <f t="shared" si="12"/>
        <v>0.72970577116271818</v>
      </c>
      <c r="D222">
        <v>0.35570577116271801</v>
      </c>
      <c r="E222">
        <v>-4.4512743741764997E-2</v>
      </c>
      <c r="F222">
        <v>0.40021851490448318</v>
      </c>
      <c r="G222">
        <v>0.374</v>
      </c>
      <c r="H222">
        <v>0</v>
      </c>
      <c r="I222">
        <v>0</v>
      </c>
      <c r="J222">
        <v>0</v>
      </c>
      <c r="K222">
        <v>0</v>
      </c>
      <c r="L222">
        <f t="shared" si="13"/>
        <v>1.4473126532241416</v>
      </c>
      <c r="M222">
        <v>0.70551376153752976</v>
      </c>
      <c r="N222">
        <f t="shared" si="14"/>
        <v>0.95966734360273587</v>
      </c>
      <c r="O222">
        <v>0.46780390947431361</v>
      </c>
      <c r="P222">
        <v>-8.8287443779602806E-2</v>
      </c>
      <c r="Q222">
        <v>-5.8540617645194998E-2</v>
      </c>
      <c r="R222">
        <v>0.79380120531713239</v>
      </c>
      <c r="S222">
        <v>0.52634452711950885</v>
      </c>
      <c r="T222">
        <v>0.74179889168661206</v>
      </c>
      <c r="U222">
        <v>0.49186343412842198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76.037366075549997</v>
      </c>
      <c r="AE222">
        <v>50.417977728389999</v>
      </c>
      <c r="AF222">
        <f t="shared" si="15"/>
        <v>1</v>
      </c>
      <c r="AG222">
        <f>(F222/(D222+H222))</f>
        <v>1.125139222780287</v>
      </c>
      <c r="AH222">
        <f>(F222/D222)</f>
        <v>1.125139222780287</v>
      </c>
      <c r="AI222">
        <f>(E222/(D222+H222))</f>
        <v>-0.12513922278028655</v>
      </c>
      <c r="AJ222">
        <f>(E222/(D222))</f>
        <v>-0.12513922278028655</v>
      </c>
      <c r="AK222">
        <f>(H222/(D222+H222))</f>
        <v>0</v>
      </c>
      <c r="AL222">
        <v>0</v>
      </c>
      <c r="AM222">
        <v>0</v>
      </c>
      <c r="AN222">
        <f>(D222+H222)/AD222</f>
        <v>4.6780390947431319E-3</v>
      </c>
      <c r="AO222">
        <f>(D222+H222)/AE222</f>
        <v>7.0551376153752919E-3</v>
      </c>
    </row>
    <row r="223" spans="1:41" x14ac:dyDescent="0.35">
      <c r="A223" t="s">
        <v>59</v>
      </c>
      <c r="B223" t="s">
        <v>71</v>
      </c>
      <c r="C223">
        <f t="shared" si="12"/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f t="shared" si="13"/>
        <v>0</v>
      </c>
      <c r="M223">
        <v>0</v>
      </c>
      <c r="N223">
        <f t="shared" si="14"/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521.00449074291998</v>
      </c>
      <c r="AE223">
        <v>549.82128194673999</v>
      </c>
      <c r="AF223" t="e">
        <f t="shared" si="15"/>
        <v>#DIV/0!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f>(D223+H223)/AD223</f>
        <v>0</v>
      </c>
      <c r="AO223">
        <f>(D223+H223)/AE223</f>
        <v>0</v>
      </c>
    </row>
    <row r="224" spans="1:41" x14ac:dyDescent="0.35">
      <c r="A224" t="s">
        <v>60</v>
      </c>
      <c r="B224" t="s">
        <v>71</v>
      </c>
      <c r="C224">
        <f t="shared" si="12"/>
        <v>3.8322799069066691</v>
      </c>
      <c r="D224">
        <v>3.83227990690667</v>
      </c>
      <c r="E224">
        <v>2.2988468883408602</v>
      </c>
      <c r="F224">
        <v>1.5334330185658089</v>
      </c>
      <c r="G224">
        <v>0</v>
      </c>
      <c r="H224">
        <v>2.6534631329298E-3</v>
      </c>
      <c r="I224">
        <v>6.061594821082928E-5</v>
      </c>
      <c r="J224">
        <v>2.5928471847223001E-3</v>
      </c>
      <c r="K224">
        <v>0</v>
      </c>
      <c r="L224">
        <f t="shared" si="13"/>
        <v>0.51294735991859164</v>
      </c>
      <c r="M224">
        <v>0.51294735991859142</v>
      </c>
      <c r="N224">
        <f t="shared" si="14"/>
        <v>0.64864381941725069</v>
      </c>
      <c r="O224">
        <v>0.64864381941725213</v>
      </c>
      <c r="P224">
        <v>0.3076986730813529</v>
      </c>
      <c r="Q224">
        <v>0.38909809881619178</v>
      </c>
      <c r="R224">
        <v>0.20524868683723871</v>
      </c>
      <c r="S224">
        <v>0.2595457206010589</v>
      </c>
      <c r="T224">
        <v>0</v>
      </c>
      <c r="U224">
        <v>0</v>
      </c>
      <c r="V224">
        <v>3.5516375153660002E-4</v>
      </c>
      <c r="W224">
        <v>4.4911971542919998E-4</v>
      </c>
      <c r="X224">
        <v>8.1133923823251131E-6</v>
      </c>
      <c r="Y224">
        <v>1.025973079216147E-5</v>
      </c>
      <c r="Z224">
        <v>3.4705035915470002E-4</v>
      </c>
      <c r="AA224">
        <v>4.3885998463630001E-4</v>
      </c>
      <c r="AB224">
        <v>0</v>
      </c>
      <c r="AC224">
        <v>0</v>
      </c>
      <c r="AD224">
        <v>590.81421763174001</v>
      </c>
      <c r="AE224">
        <v>747.10978286638999</v>
      </c>
      <c r="AF224">
        <f t="shared" si="15"/>
        <v>0.99997363271549744</v>
      </c>
      <c r="AG224">
        <f>(F224/(D224+H224))</f>
        <v>0.3998591033017021</v>
      </c>
      <c r="AH224">
        <f>(F224/D224)</f>
        <v>0.40013596496492909</v>
      </c>
      <c r="AI224">
        <f>(E224/(D224+H224))</f>
        <v>0.59944897773207517</v>
      </c>
      <c r="AJ224">
        <f>(E224/(D224))</f>
        <v>0.59986403503507069</v>
      </c>
      <c r="AK224">
        <f>(H224/(D224+H224))</f>
        <v>6.9191896622245624E-4</v>
      </c>
      <c r="AL224">
        <f>(I224/H224)</f>
        <v>2.2844089091941015E-2</v>
      </c>
      <c r="AM224">
        <f>J224/H224</f>
        <v>0.97715591090931375</v>
      </c>
      <c r="AN224">
        <f>(D224+H224)/AD224</f>
        <v>6.4909293913267829E-3</v>
      </c>
      <c r="AO224">
        <f>(D224+H224)/AE224</f>
        <v>5.1330252367012882E-3</v>
      </c>
    </row>
    <row r="225" spans="1:41" x14ac:dyDescent="0.35">
      <c r="A225" t="s">
        <v>61</v>
      </c>
      <c r="B225" t="s">
        <v>71</v>
      </c>
      <c r="C225">
        <f t="shared" si="12"/>
        <v>15.14914616994127</v>
      </c>
      <c r="D225">
        <v>14.902985591190401</v>
      </c>
      <c r="E225">
        <v>-0.69891173880890034</v>
      </c>
      <c r="F225">
        <v>15.6018973299993</v>
      </c>
      <c r="G225">
        <v>0.2461605787508705</v>
      </c>
      <c r="H225">
        <v>3.285928135838565</v>
      </c>
      <c r="I225">
        <v>3.285928135838565</v>
      </c>
      <c r="J225">
        <v>0</v>
      </c>
      <c r="K225">
        <v>-1.4672521220830279</v>
      </c>
      <c r="L225">
        <f t="shared" si="13"/>
        <v>5.7830117379298107</v>
      </c>
      <c r="M225">
        <v>5.6890427775433512</v>
      </c>
      <c r="N225">
        <f t="shared" si="14"/>
        <v>3.4329333507654383</v>
      </c>
      <c r="O225">
        <v>3.3771511402726562</v>
      </c>
      <c r="P225">
        <v>-0.26680149125028052</v>
      </c>
      <c r="Q225">
        <v>-0.1583797126572869</v>
      </c>
      <c r="R225">
        <v>5.9558442687936326</v>
      </c>
      <c r="S225">
        <v>3.5355308529299432</v>
      </c>
      <c r="T225">
        <v>9.3968960386458397E-2</v>
      </c>
      <c r="U225">
        <v>5.5782210492781897E-2</v>
      </c>
      <c r="V225">
        <v>1.254365148133092</v>
      </c>
      <c r="W225">
        <v>0.74462099442416596</v>
      </c>
      <c r="X225">
        <v>1.254365148133092</v>
      </c>
      <c r="Y225">
        <v>0.74462099442416596</v>
      </c>
      <c r="Z225">
        <v>0</v>
      </c>
      <c r="AA225">
        <v>0</v>
      </c>
      <c r="AB225">
        <v>-0.56010656635848299</v>
      </c>
      <c r="AC225">
        <v>-0.33249258323709963</v>
      </c>
      <c r="AD225">
        <v>441.28867711817003</v>
      </c>
      <c r="AE225">
        <v>261.95945739796002</v>
      </c>
      <c r="AF225">
        <f t="shared" si="15"/>
        <v>-0.27016130999840976</v>
      </c>
      <c r="AG225">
        <f>(F225/(D225+H225))</f>
        <v>0.85776960428454152</v>
      </c>
      <c r="AH225">
        <f>(F225/D225)</f>
        <v>1.046897431023623</v>
      </c>
      <c r="AI225">
        <f>(E225/(D225+H225))</f>
        <v>-3.8425150028080474E-2</v>
      </c>
      <c r="AJ225">
        <f>(E225/(D225))</f>
        <v>-4.6897431023623072E-2</v>
      </c>
      <c r="AK225">
        <f>(H225/(D225+H225))</f>
        <v>0.18065554574353898</v>
      </c>
      <c r="AL225">
        <f>(I225/H225)</f>
        <v>1</v>
      </c>
      <c r="AM225">
        <f>J225/H225</f>
        <v>0</v>
      </c>
      <c r="AN225">
        <f>(D225+H225)/AD225</f>
        <v>4.1217721346968224E-2</v>
      </c>
      <c r="AO225">
        <f>(D225+H225)/AE225</f>
        <v>6.9434079256764439E-2</v>
      </c>
    </row>
    <row r="226" spans="1:41" x14ac:dyDescent="0.35">
      <c r="A226" t="s">
        <v>62</v>
      </c>
      <c r="B226" t="s">
        <v>71</v>
      </c>
      <c r="C226">
        <f t="shared" si="12"/>
        <v>2.014715481806916</v>
      </c>
      <c r="D226">
        <v>1.641063455184661</v>
      </c>
      <c r="E226">
        <v>0.95449139438317199</v>
      </c>
      <c r="F226">
        <v>0.68657206080148825</v>
      </c>
      <c r="G226">
        <v>0.37365202662225599</v>
      </c>
      <c r="H226">
        <v>6.5253723489826498E-2</v>
      </c>
      <c r="I226">
        <v>6.3087624784770896E-2</v>
      </c>
      <c r="J226">
        <v>2.1660987050564E-3</v>
      </c>
      <c r="K226">
        <v>0</v>
      </c>
      <c r="L226">
        <f t="shared" si="13"/>
        <v>0.62684515759532411</v>
      </c>
      <c r="M226">
        <v>0.51058955444495968</v>
      </c>
      <c r="N226">
        <f t="shared" si="14"/>
        <v>0.2917893643148099</v>
      </c>
      <c r="O226">
        <v>0.2376736897654359</v>
      </c>
      <c r="P226">
        <v>0.29697409581569939</v>
      </c>
      <c r="Q226">
        <v>0.13823809849380689</v>
      </c>
      <c r="R226">
        <v>0.21361545862926021</v>
      </c>
      <c r="S226">
        <v>9.9435591271628904E-2</v>
      </c>
      <c r="T226">
        <v>0.1162556031503645</v>
      </c>
      <c r="U226">
        <v>5.4115674549374097E-2</v>
      </c>
      <c r="V226">
        <v>2.0302608955969199E-2</v>
      </c>
      <c r="W226">
        <v>9.4506359176803993E-3</v>
      </c>
      <c r="X226">
        <v>1.9628663430459801E-2</v>
      </c>
      <c r="Y226">
        <v>9.1369218623216005E-3</v>
      </c>
      <c r="Z226">
        <v>6.7394552550930004E-4</v>
      </c>
      <c r="AA226">
        <v>3.1371405535860001E-4</v>
      </c>
      <c r="AB226">
        <v>0</v>
      </c>
      <c r="AC226">
        <v>0</v>
      </c>
      <c r="AD226">
        <v>690.46912883131995</v>
      </c>
      <c r="AE226">
        <v>321.40560669490998</v>
      </c>
      <c r="AF226">
        <f t="shared" si="15"/>
        <v>0.9380022351125552</v>
      </c>
      <c r="AG226">
        <f>(F226/(D226+H226))</f>
        <v>0.40237071359431292</v>
      </c>
      <c r="AH226">
        <f>(F226/D226)</f>
        <v>0.41837020904486083</v>
      </c>
      <c r="AI226">
        <f>(E226/(D226+H226))</f>
        <v>0.55938685158444357</v>
      </c>
      <c r="AJ226">
        <f>(E226/(D226))</f>
        <v>0.58162979095513867</v>
      </c>
      <c r="AK226">
        <f>(H226/(D226+H226))</f>
        <v>3.8242434821243093E-2</v>
      </c>
      <c r="AL226">
        <f>(I226/H226)</f>
        <v>0.96680497925312547</v>
      </c>
      <c r="AM226">
        <f>J226/H226</f>
        <v>3.3195020746886718E-2</v>
      </c>
      <c r="AN226">
        <f>(D226+H226)/AD226</f>
        <v>2.4712432568311637E-3</v>
      </c>
      <c r="AO226">
        <f>(D226+H226)/AE226</f>
        <v>5.3089216340092863E-3</v>
      </c>
    </row>
    <row r="227" spans="1:41" x14ac:dyDescent="0.35">
      <c r="A227" t="s">
        <v>63</v>
      </c>
      <c r="B227" t="s">
        <v>71</v>
      </c>
      <c r="C227">
        <f t="shared" si="12"/>
        <v>-1.403090843141E-4</v>
      </c>
      <c r="D227">
        <v>-1.403090843141E-4</v>
      </c>
      <c r="E227">
        <v>0</v>
      </c>
      <c r="F227">
        <v>-1.403090843141E-4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f t="shared" si="13"/>
        <v>-2.179304888156E-4</v>
      </c>
      <c r="M227">
        <v>-2.179304888159E-4</v>
      </c>
      <c r="N227">
        <f t="shared" si="14"/>
        <v>-1.537912092703E-4</v>
      </c>
      <c r="O227">
        <v>-1.537912092703E-4</v>
      </c>
      <c r="P227">
        <v>0</v>
      </c>
      <c r="Q227">
        <v>0</v>
      </c>
      <c r="R227">
        <v>-2.179304888156E-4</v>
      </c>
      <c r="S227">
        <v>-1.537912092703E-4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91.233487908610002</v>
      </c>
      <c r="AE227">
        <v>64.38249419652</v>
      </c>
      <c r="AF227" t="e">
        <f t="shared" si="15"/>
        <v>#DIV/0!</v>
      </c>
      <c r="AG227">
        <f>(F227/(D227+H227))</f>
        <v>1</v>
      </c>
      <c r="AH227">
        <f>(F227/D227)</f>
        <v>1</v>
      </c>
      <c r="AI227">
        <f>(E227/(D227+H227))</f>
        <v>0</v>
      </c>
      <c r="AJ227">
        <f>(E227/(D227))</f>
        <v>0</v>
      </c>
      <c r="AK227">
        <f>(H227/(D227+H227))</f>
        <v>0</v>
      </c>
      <c r="AL227">
        <v>0</v>
      </c>
      <c r="AM227">
        <v>0</v>
      </c>
      <c r="AN227">
        <f>(D227+H227)/AD227</f>
        <v>-1.5379120927027341E-6</v>
      </c>
      <c r="AO227">
        <f>(D227+H227)/AE227</f>
        <v>-2.1793048881552027E-6</v>
      </c>
    </row>
    <row r="228" spans="1:41" x14ac:dyDescent="0.35">
      <c r="A228" t="s">
        <v>64</v>
      </c>
      <c r="B228" t="s">
        <v>71</v>
      </c>
      <c r="C228">
        <f t="shared" si="12"/>
        <v>-0.31086267167395487</v>
      </c>
      <c r="D228">
        <v>2.5891373283260459</v>
      </c>
      <c r="E228">
        <v>2.835790430632358</v>
      </c>
      <c r="F228">
        <v>-0.24665310230631299</v>
      </c>
      <c r="G228">
        <v>-2.9</v>
      </c>
      <c r="H228">
        <v>-6.4232296886403001E-3</v>
      </c>
      <c r="I228">
        <v>0</v>
      </c>
      <c r="J228">
        <v>-6.4232296886403001E-3</v>
      </c>
      <c r="K228">
        <v>0</v>
      </c>
      <c r="L228">
        <f t="shared" si="13"/>
        <v>-0.2109202667108887</v>
      </c>
      <c r="M228">
        <v>1.756729210686371</v>
      </c>
      <c r="N228">
        <f t="shared" si="14"/>
        <v>-0.10031447125519233</v>
      </c>
      <c r="O228">
        <v>0.83550701246794823</v>
      </c>
      <c r="P228">
        <v>1.9240832961523839</v>
      </c>
      <c r="Q228">
        <v>0.91510124424905481</v>
      </c>
      <c r="R228">
        <v>-0.1673540854660116</v>
      </c>
      <c r="S228">
        <v>-7.9594231781106403E-2</v>
      </c>
      <c r="T228">
        <v>-1.967649477397261</v>
      </c>
      <c r="U228">
        <v>-0.93582148372314078</v>
      </c>
      <c r="V228">
        <v>-4.3581601862259E-3</v>
      </c>
      <c r="W228">
        <v>-2.0727573577650001E-3</v>
      </c>
      <c r="X228">
        <v>0</v>
      </c>
      <c r="Y228">
        <v>0</v>
      </c>
      <c r="Z228">
        <v>-4.3581601862259E-3</v>
      </c>
      <c r="AA228">
        <v>-2.0727573577650001E-3</v>
      </c>
      <c r="AB228">
        <v>0</v>
      </c>
      <c r="AC228">
        <v>0</v>
      </c>
      <c r="AD228">
        <v>309.88816247970999</v>
      </c>
      <c r="AE228">
        <v>147.38397429586999</v>
      </c>
      <c r="AF228">
        <f t="shared" si="15"/>
        <v>1</v>
      </c>
      <c r="AG228">
        <f>(F228/(D228+H228))</f>
        <v>-9.5501512318550016E-2</v>
      </c>
      <c r="AH228">
        <f>(F228/D228)</f>
        <v>-9.5264588559225455E-2</v>
      </c>
      <c r="AI228">
        <f>(E228/(D228+H228))</f>
        <v>1.0979885199559918</v>
      </c>
      <c r="AJ228">
        <f>(E228/(D228))</f>
        <v>1.0952645885592251</v>
      </c>
      <c r="AK228">
        <f>(H228/(D228+H228))</f>
        <v>-2.4870076374419775E-3</v>
      </c>
      <c r="AL228">
        <f>(I228/H228)</f>
        <v>0</v>
      </c>
      <c r="AM228">
        <f>J228/H228</f>
        <v>1</v>
      </c>
      <c r="AN228">
        <f>(D228+H228)/AD228</f>
        <v>8.3343425511018324E-3</v>
      </c>
      <c r="AO228">
        <f>(D228+H228)/AE228</f>
        <v>1.7523710505001483E-2</v>
      </c>
    </row>
    <row r="229" spans="1:41" x14ac:dyDescent="0.35">
      <c r="A229" t="s">
        <v>65</v>
      </c>
      <c r="B229" t="s">
        <v>71</v>
      </c>
      <c r="C229">
        <f t="shared" si="12"/>
        <v>-7.7699446744038436</v>
      </c>
      <c r="D229">
        <v>-7.7699446744038454</v>
      </c>
      <c r="E229">
        <v>1.58988966934996</v>
      </c>
      <c r="F229">
        <v>-9.3598343437538034</v>
      </c>
      <c r="G229">
        <v>0</v>
      </c>
      <c r="H229">
        <v>-3.0772058116450829</v>
      </c>
      <c r="I229">
        <v>-3.0772058116450851</v>
      </c>
      <c r="J229">
        <v>0</v>
      </c>
      <c r="K229">
        <v>0</v>
      </c>
      <c r="L229">
        <f t="shared" si="13"/>
        <v>-1.3595629562793883</v>
      </c>
      <c r="M229">
        <v>-1.3595629562793881</v>
      </c>
      <c r="N229">
        <f t="shared" si="14"/>
        <v>-0.63927912437979018</v>
      </c>
      <c r="O229">
        <v>-0.63927912437979018</v>
      </c>
      <c r="P229">
        <v>0.27819440029479181</v>
      </c>
      <c r="Q229">
        <v>0.1308095898070856</v>
      </c>
      <c r="R229">
        <v>-1.6377573565741801</v>
      </c>
      <c r="S229">
        <v>-0.77008871418687574</v>
      </c>
      <c r="T229">
        <v>0</v>
      </c>
      <c r="U229">
        <v>0</v>
      </c>
      <c r="V229">
        <v>-0.53844077476411378</v>
      </c>
      <c r="W229">
        <v>-0.25317985123952091</v>
      </c>
      <c r="X229">
        <v>-0.53844077476411356</v>
      </c>
      <c r="Y229">
        <v>-0.25317985123952058</v>
      </c>
      <c r="Z229">
        <v>0</v>
      </c>
      <c r="AA229">
        <v>0</v>
      </c>
      <c r="AB229">
        <v>0</v>
      </c>
      <c r="AC229">
        <v>0</v>
      </c>
      <c r="AD229">
        <v>1215.4228689920101</v>
      </c>
      <c r="AE229">
        <v>571.50311712429004</v>
      </c>
      <c r="AF229">
        <f t="shared" si="15"/>
        <v>-1.0689655172413783</v>
      </c>
      <c r="AG229">
        <f>(F229/(D229+H229))</f>
        <v>0.86288416075650121</v>
      </c>
      <c r="AH229">
        <f>(F229/D229)</f>
        <v>1.2046204620462042</v>
      </c>
      <c r="AI229">
        <f>(E229/(D229+H229))</f>
        <v>-0.14657210401891244</v>
      </c>
      <c r="AJ229">
        <f>(E229/(D229))</f>
        <v>-0.2046204620462044</v>
      </c>
      <c r="AK229">
        <f>(H229/(D229+H229))</f>
        <v>0.28368794326241104</v>
      </c>
      <c r="AL229">
        <f>(I229/H229)</f>
        <v>1.0000000000000007</v>
      </c>
      <c r="AM229">
        <f>J229/H229</f>
        <v>0</v>
      </c>
      <c r="AN229">
        <f>(D229+H229)/AD229</f>
        <v>-8.9245897561931065E-3</v>
      </c>
      <c r="AO229">
        <f>(D229+H229)/AE229</f>
        <v>-1.8980037310434999E-2</v>
      </c>
    </row>
    <row r="230" spans="1:41" x14ac:dyDescent="0.35">
      <c r="A230" t="s">
        <v>28</v>
      </c>
      <c r="B230" t="s">
        <v>72</v>
      </c>
      <c r="C230">
        <f t="shared" si="12"/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f t="shared" si="13"/>
        <v>0</v>
      </c>
      <c r="M230">
        <v>0</v>
      </c>
      <c r="N230">
        <f t="shared" si="14"/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1226.51571721458</v>
      </c>
      <c r="AE230">
        <v>1494.77336635199</v>
      </c>
      <c r="AF230" t="e">
        <f t="shared" si="15"/>
        <v>#DIV/0!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f>(D230+H230)/AD230</f>
        <v>0</v>
      </c>
      <c r="AO230">
        <f>(D230+H230)/AE230</f>
        <v>0</v>
      </c>
    </row>
    <row r="231" spans="1:41" x14ac:dyDescent="0.35">
      <c r="A231" t="s">
        <v>29</v>
      </c>
      <c r="B231" t="s">
        <v>72</v>
      </c>
      <c r="C231">
        <f t="shared" si="12"/>
        <v>5.2454879528363696</v>
      </c>
      <c r="D231">
        <v>0.67106453921286402</v>
      </c>
      <c r="E231">
        <v>0.67106453921286402</v>
      </c>
      <c r="F231">
        <v>0</v>
      </c>
      <c r="G231">
        <v>4.5744234136235056</v>
      </c>
      <c r="H231">
        <v>0</v>
      </c>
      <c r="I231">
        <v>0</v>
      </c>
      <c r="J231">
        <v>0</v>
      </c>
      <c r="K231">
        <v>0</v>
      </c>
      <c r="L231">
        <f t="shared" si="13"/>
        <v>0.30917554025851141</v>
      </c>
      <c r="M231">
        <v>3.9553372979778303E-2</v>
      </c>
      <c r="N231">
        <f t="shared" si="14"/>
        <v>0.30435300324265663</v>
      </c>
      <c r="O231">
        <v>3.89364173010147E-2</v>
      </c>
      <c r="P231">
        <v>3.9553372979777401E-2</v>
      </c>
      <c r="Q231">
        <v>3.89364173010147E-2</v>
      </c>
      <c r="R231">
        <v>0</v>
      </c>
      <c r="S231">
        <v>0</v>
      </c>
      <c r="T231">
        <v>0.269622167278734</v>
      </c>
      <c r="U231">
        <v>0.26541658594164191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1723.48815255626</v>
      </c>
      <c r="AE231">
        <v>1696.60508992738</v>
      </c>
      <c r="AF231">
        <f t="shared" si="15"/>
        <v>1</v>
      </c>
      <c r="AG231">
        <f>(F231/(D231+H231))</f>
        <v>0</v>
      </c>
      <c r="AH231">
        <f>(F231/D231)</f>
        <v>0</v>
      </c>
      <c r="AI231">
        <f>(E231/(D231+H231))</f>
        <v>1</v>
      </c>
      <c r="AJ231">
        <f>(E231/(D231))</f>
        <v>1</v>
      </c>
      <c r="AK231">
        <f>(H231/(D231+H231))</f>
        <v>0</v>
      </c>
      <c r="AL231">
        <v>0</v>
      </c>
      <c r="AM231">
        <v>0</v>
      </c>
      <c r="AN231">
        <f>(D231+H231)/AD231</f>
        <v>3.8936417301015265E-4</v>
      </c>
      <c r="AO231">
        <f>(D231+H231)/AE231</f>
        <v>3.9553372979777375E-4</v>
      </c>
    </row>
    <row r="232" spans="1:41" x14ac:dyDescent="0.35">
      <c r="A232" t="s">
        <v>30</v>
      </c>
      <c r="B232" t="s">
        <v>72</v>
      </c>
      <c r="C232">
        <f t="shared" si="12"/>
        <v>0.88915929744339339</v>
      </c>
      <c r="D232">
        <v>1.003731486523151</v>
      </c>
      <c r="E232">
        <v>2.9114479823818522</v>
      </c>
      <c r="F232">
        <v>-1.907716495858693</v>
      </c>
      <c r="G232">
        <v>-0.11457218907976589</v>
      </c>
      <c r="H232">
        <v>-0.57747680337610063</v>
      </c>
      <c r="I232">
        <v>-2.60466271577008E-2</v>
      </c>
      <c r="J232">
        <v>-0.55143017621844592</v>
      </c>
      <c r="K232">
        <v>0</v>
      </c>
      <c r="L232">
        <f t="shared" si="13"/>
        <v>3.3978716560558994E-2</v>
      </c>
      <c r="M232">
        <v>3.8357027566986397E-2</v>
      </c>
      <c r="N232">
        <f t="shared" si="14"/>
        <v>3.0585885577560808E-2</v>
      </c>
      <c r="O232">
        <v>3.4527014996822203E-2</v>
      </c>
      <c r="P232">
        <v>0.1112593278376612</v>
      </c>
      <c r="Q232">
        <v>0.10014990014747061</v>
      </c>
      <c r="R232">
        <v>-7.2902300270675E-2</v>
      </c>
      <c r="S232">
        <v>-6.5622885150648097E-2</v>
      </c>
      <c r="T232">
        <v>-4.3783110064272001E-3</v>
      </c>
      <c r="U232">
        <v>-3.9411294192616998E-3</v>
      </c>
      <c r="V232">
        <v>-2.2067947418010499E-2</v>
      </c>
      <c r="W232">
        <v>-1.9864426411039901E-2</v>
      </c>
      <c r="X232">
        <v>-9.9535703455459995E-4</v>
      </c>
      <c r="Y232">
        <v>-8.9596899027819996E-4</v>
      </c>
      <c r="Z232">
        <v>-2.1072590383456099E-2</v>
      </c>
      <c r="AA232">
        <v>-1.8968457420761801E-2</v>
      </c>
      <c r="AB232">
        <v>0</v>
      </c>
      <c r="AC232">
        <v>0</v>
      </c>
      <c r="AD232">
        <v>2907.0902498102801</v>
      </c>
      <c r="AE232">
        <v>2616.8124857180101</v>
      </c>
      <c r="AF232">
        <f t="shared" si="15"/>
        <v>1.0090270378193809</v>
      </c>
      <c r="AG232">
        <f>(F232/(D232+H232))</f>
        <v>-4.4755320499330775</v>
      </c>
      <c r="AH232">
        <f>(F232/D232)</f>
        <v>-1.9006243417419102</v>
      </c>
      <c r="AI232">
        <f>(E232/(D232+H232))</f>
        <v>6.8303014547231466</v>
      </c>
      <c r="AJ232">
        <f>(E232/(D232))</f>
        <v>2.9006243417419184</v>
      </c>
      <c r="AK232">
        <f>(H232/(D232+H232))</f>
        <v>-1.3547694047900496</v>
      </c>
      <c r="AL232">
        <f>(I232/H232)</f>
        <v>4.5104196403084058E-2</v>
      </c>
      <c r="AM232">
        <f>J232/H232</f>
        <v>0.95489580359699577</v>
      </c>
      <c r="AN232">
        <f>(D232+H232)/AD232</f>
        <v>1.4662588585781546E-4</v>
      </c>
      <c r="AO232">
        <f>(D232+H232)/AE232</f>
        <v>1.6289080148977245E-4</v>
      </c>
    </row>
    <row r="233" spans="1:41" x14ac:dyDescent="0.35">
      <c r="A233" t="s">
        <v>31</v>
      </c>
      <c r="B233" t="s">
        <v>72</v>
      </c>
      <c r="C233">
        <f t="shared" si="12"/>
        <v>69.618193420619207</v>
      </c>
      <c r="D233">
        <v>69.61819342061915</v>
      </c>
      <c r="E233">
        <v>0</v>
      </c>
      <c r="F233">
        <v>69.618193420619207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f t="shared" si="13"/>
        <v>1.9352808465074891</v>
      </c>
      <c r="M233">
        <v>1.9352808465074871</v>
      </c>
      <c r="N233">
        <f t="shared" si="14"/>
        <v>1.672796604792248</v>
      </c>
      <c r="O233">
        <v>1.672796604792248</v>
      </c>
      <c r="P233">
        <v>0</v>
      </c>
      <c r="Q233">
        <v>0</v>
      </c>
      <c r="R233">
        <v>1.9352808465074891</v>
      </c>
      <c r="S233">
        <v>1.672796604792248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4161.7847155581303</v>
      </c>
      <c r="AE233">
        <v>3597.3173374942398</v>
      </c>
      <c r="AF233" t="e">
        <f t="shared" si="15"/>
        <v>#DIV/0!</v>
      </c>
      <c r="AG233">
        <f>(F233/(D233+H233))</f>
        <v>1.0000000000000009</v>
      </c>
      <c r="AH233">
        <f>(F233/D233)</f>
        <v>1.0000000000000009</v>
      </c>
      <c r="AI233">
        <f>(E233/(D233+H233))</f>
        <v>0</v>
      </c>
      <c r="AJ233">
        <f>(E233/(D233))</f>
        <v>0</v>
      </c>
      <c r="AK233">
        <f>(H233/(D233+H233))</f>
        <v>0</v>
      </c>
      <c r="AL233">
        <v>0</v>
      </c>
      <c r="AM233">
        <v>0</v>
      </c>
      <c r="AN233">
        <f>(D233+H233)/AD233</f>
        <v>1.6727966047922486E-2</v>
      </c>
      <c r="AO233">
        <f>(D233+H233)/AE233</f>
        <v>1.9352808465074881E-2</v>
      </c>
    </row>
    <row r="234" spans="1:41" x14ac:dyDescent="0.35">
      <c r="A234" t="s">
        <v>32</v>
      </c>
      <c r="B234" t="s">
        <v>72</v>
      </c>
      <c r="C234">
        <f t="shared" si="12"/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f t="shared" si="13"/>
        <v>0</v>
      </c>
      <c r="M234">
        <v>0</v>
      </c>
      <c r="N234">
        <f t="shared" si="14"/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2337.6598158571201</v>
      </c>
      <c r="AE234">
        <v>1918.15761738117</v>
      </c>
      <c r="AF234" t="e">
        <f t="shared" si="15"/>
        <v>#DIV/0!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f>(D234+H234)/AD234</f>
        <v>0</v>
      </c>
      <c r="AO234">
        <f>(D234+H234)/AE234</f>
        <v>0</v>
      </c>
    </row>
    <row r="235" spans="1:41" x14ac:dyDescent="0.35">
      <c r="A235" t="s">
        <v>33</v>
      </c>
      <c r="B235" t="s">
        <v>72</v>
      </c>
      <c r="C235">
        <f t="shared" si="12"/>
        <v>13.111734743751949</v>
      </c>
      <c r="D235">
        <v>13.111734743751979</v>
      </c>
      <c r="E235">
        <v>10.30207729866228</v>
      </c>
      <c r="F235">
        <v>2.8096574450896701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f t="shared" si="13"/>
        <v>0.2872651061211709</v>
      </c>
      <c r="M235">
        <v>0.2872651061211719</v>
      </c>
      <c r="N235">
        <f t="shared" si="14"/>
        <v>0.2462365936510936</v>
      </c>
      <c r="O235">
        <v>0.2462365936510941</v>
      </c>
      <c r="P235">
        <v>0.22570829766663439</v>
      </c>
      <c r="Q235">
        <v>0.19347160929728829</v>
      </c>
      <c r="R235">
        <v>6.1556808454536503E-2</v>
      </c>
      <c r="S235">
        <v>5.2764984353805298E-2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5324.8522282316499</v>
      </c>
      <c r="AE235">
        <v>4564.3325500944502</v>
      </c>
      <c r="AF235">
        <f t="shared" si="15"/>
        <v>1</v>
      </c>
      <c r="AG235">
        <f>(F235/(D235+H235))</f>
        <v>0.21428571428571125</v>
      </c>
      <c r="AH235">
        <f>(F235/D235)</f>
        <v>0.21428571428571125</v>
      </c>
      <c r="AI235">
        <f>(E235/(D235+H235))</f>
        <v>0.78571428571428648</v>
      </c>
      <c r="AJ235">
        <f>(E235/(D235))</f>
        <v>0.78571428571428648</v>
      </c>
      <c r="AK235">
        <f>(H235/(D235+H235))</f>
        <v>0</v>
      </c>
      <c r="AL235">
        <v>0</v>
      </c>
      <c r="AM235">
        <v>0</v>
      </c>
      <c r="AN235">
        <f>(D235+H235)/AD235</f>
        <v>2.4623659365109376E-3</v>
      </c>
      <c r="AO235">
        <f>(D235+H235)/AE235</f>
        <v>2.8726510612117114E-3</v>
      </c>
    </row>
    <row r="236" spans="1:41" x14ac:dyDescent="0.35">
      <c r="A236" t="s">
        <v>34</v>
      </c>
      <c r="B236" t="s">
        <v>72</v>
      </c>
      <c r="C236">
        <f t="shared" si="12"/>
        <v>19.74567554165753</v>
      </c>
      <c r="D236">
        <v>31.3557937785978</v>
      </c>
      <c r="E236">
        <v>3.474560932223</v>
      </c>
      <c r="F236">
        <v>27.8812328463748</v>
      </c>
      <c r="G236">
        <v>-11.61011823694027</v>
      </c>
      <c r="H236">
        <v>0</v>
      </c>
      <c r="I236">
        <v>0</v>
      </c>
      <c r="J236">
        <v>0</v>
      </c>
      <c r="K236">
        <v>0</v>
      </c>
      <c r="L236">
        <f t="shared" si="13"/>
        <v>1.2053665526630373</v>
      </c>
      <c r="M236">
        <v>1.9141013926408741</v>
      </c>
      <c r="N236">
        <f t="shared" si="14"/>
        <v>0.91561851232610469</v>
      </c>
      <c r="O236">
        <v>1.453986478801111</v>
      </c>
      <c r="P236">
        <v>0.21210312729263739</v>
      </c>
      <c r="Q236">
        <v>0.1611174206239068</v>
      </c>
      <c r="R236">
        <v>1.7019982653482371</v>
      </c>
      <c r="S236">
        <v>1.292869058177204</v>
      </c>
      <c r="T236">
        <v>-0.70873483997783726</v>
      </c>
      <c r="U236">
        <v>-0.53836796647500607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2156.5395714307001</v>
      </c>
      <c r="AE236">
        <v>1638.14696019506</v>
      </c>
      <c r="AF236">
        <f t="shared" si="15"/>
        <v>1</v>
      </c>
      <c r="AG236">
        <f>(F236/(D236+H236))</f>
        <v>0.88918918918918921</v>
      </c>
      <c r="AH236">
        <f>(F236/D236)</f>
        <v>0.88918918918918921</v>
      </c>
      <c r="AI236">
        <f>(E236/(D236+H236))</f>
        <v>0.11081081081081083</v>
      </c>
      <c r="AJ236">
        <f>(E236/(D236))</f>
        <v>0.11081081081081083</v>
      </c>
      <c r="AK236">
        <f>(H236/(D236+H236))</f>
        <v>0</v>
      </c>
      <c r="AL236">
        <v>0</v>
      </c>
      <c r="AM236">
        <v>0</v>
      </c>
      <c r="AN236">
        <f>(D236+H236)/AD236</f>
        <v>1.4539864788011107E-2</v>
      </c>
      <c r="AO236">
        <f>(D236+H236)/AE236</f>
        <v>1.9141013926408747E-2</v>
      </c>
    </row>
    <row r="237" spans="1:41" x14ac:dyDescent="0.35">
      <c r="A237" t="s">
        <v>35</v>
      </c>
      <c r="B237" t="s">
        <v>72</v>
      </c>
      <c r="C237">
        <f t="shared" si="12"/>
        <v>10.431316194499331</v>
      </c>
      <c r="D237">
        <v>10.431316194499329</v>
      </c>
      <c r="E237">
        <v>5.831950301301049</v>
      </c>
      <c r="F237">
        <v>4.5993658931982822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f t="shared" si="13"/>
        <v>0.78791226741857967</v>
      </c>
      <c r="M237">
        <v>0.78791226741857923</v>
      </c>
      <c r="N237">
        <f t="shared" si="14"/>
        <v>0.58063765008396606</v>
      </c>
      <c r="O237">
        <v>0.58063765008396651</v>
      </c>
      <c r="P237">
        <v>0.4405067490710004</v>
      </c>
      <c r="Q237">
        <v>0.32462345644738161</v>
      </c>
      <c r="R237">
        <v>0.34740551834757921</v>
      </c>
      <c r="S237">
        <v>0.25601419363658451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1796.5276955414199</v>
      </c>
      <c r="AE237">
        <v>1323.9184901480501</v>
      </c>
      <c r="AF237">
        <f t="shared" si="15"/>
        <v>1</v>
      </c>
      <c r="AG237">
        <f>(F237/(D237+H237))</f>
        <v>0.44091903719912473</v>
      </c>
      <c r="AH237">
        <f>(F237/D237)</f>
        <v>0.44091903719912473</v>
      </c>
      <c r="AI237">
        <f>(E237/(D237+H237))</f>
        <v>0.55908096280087538</v>
      </c>
      <c r="AJ237">
        <f>(E237/(D237))</f>
        <v>0.55908096280087538</v>
      </c>
      <c r="AK237">
        <f>(H237/(D237+H237))</f>
        <v>0</v>
      </c>
      <c r="AL237">
        <v>0</v>
      </c>
      <c r="AM237">
        <v>0</v>
      </c>
      <c r="AN237">
        <f>(D237+H237)/AD237</f>
        <v>5.8063765008396608E-3</v>
      </c>
      <c r="AO237">
        <f>(D237+H237)/AE237</f>
        <v>7.879122674185798E-3</v>
      </c>
    </row>
    <row r="238" spans="1:41" x14ac:dyDescent="0.35">
      <c r="A238" t="s">
        <v>36</v>
      </c>
      <c r="B238" t="s">
        <v>72</v>
      </c>
      <c r="C238">
        <f t="shared" si="12"/>
        <v>84.034402848133738</v>
      </c>
      <c r="D238">
        <v>82.109950874512379</v>
      </c>
      <c r="E238">
        <v>-73.129174997612637</v>
      </c>
      <c r="F238">
        <v>155.23912587212499</v>
      </c>
      <c r="G238">
        <v>1.9244519736213841</v>
      </c>
      <c r="H238">
        <v>3.8489039472381102E-2</v>
      </c>
      <c r="I238">
        <v>3.8489039472427697E-2</v>
      </c>
      <c r="J238">
        <v>0</v>
      </c>
      <c r="K238">
        <v>0</v>
      </c>
      <c r="L238">
        <f t="shared" si="13"/>
        <v>2.6615163699343931</v>
      </c>
      <c r="M238">
        <v>2.60056561337101</v>
      </c>
      <c r="N238">
        <f t="shared" si="14"/>
        <v>2.8563812370561146</v>
      </c>
      <c r="O238">
        <v>2.7909679262838369</v>
      </c>
      <c r="P238">
        <v>-2.316128749408557</v>
      </c>
      <c r="Q238">
        <v>-2.4857058093465452</v>
      </c>
      <c r="R238">
        <v>4.916694362779567</v>
      </c>
      <c r="S238">
        <v>5.2766737356303821</v>
      </c>
      <c r="T238">
        <v>6.0950756563383099E-2</v>
      </c>
      <c r="U238">
        <v>6.5413310772277494E-2</v>
      </c>
      <c r="V238">
        <v>1.2190151312676E-3</v>
      </c>
      <c r="W238">
        <v>1.3082662154442E-3</v>
      </c>
      <c r="X238">
        <v>1.2190151312676E-3</v>
      </c>
      <c r="Y238">
        <v>1.3082662154455E-3</v>
      </c>
      <c r="Z238">
        <v>0</v>
      </c>
      <c r="AA238">
        <v>0</v>
      </c>
      <c r="AB238">
        <v>0</v>
      </c>
      <c r="AC238">
        <v>0</v>
      </c>
      <c r="AD238">
        <v>2941.9883367789698</v>
      </c>
      <c r="AE238">
        <v>3157.38816403392</v>
      </c>
      <c r="AF238">
        <f t="shared" si="15"/>
        <v>1.0005265929436544</v>
      </c>
      <c r="AG238">
        <f>(F238/(D238+H238))</f>
        <v>1.8897391847571465</v>
      </c>
      <c r="AH238">
        <f>(F238/D238)</f>
        <v>1.8906250000000002</v>
      </c>
      <c r="AI238">
        <f>(E238/(D238+H238))</f>
        <v>-0.89020771513353225</v>
      </c>
      <c r="AJ238">
        <f>(E238/(D238))</f>
        <v>-0.89062500000000056</v>
      </c>
      <c r="AK238">
        <f>(H238/(D238+H238))</f>
        <v>4.6853037638550234E-4</v>
      </c>
      <c r="AL238">
        <f>(I238/H238)</f>
        <v>1.0000000000012106</v>
      </c>
      <c r="AM238">
        <f>J238/H238</f>
        <v>0</v>
      </c>
      <c r="AN238">
        <f>(D238+H238)/AD238</f>
        <v>2.7922761924992816E-2</v>
      </c>
      <c r="AO238">
        <f>(D238+H238)/AE238</f>
        <v>2.601784628502276E-2</v>
      </c>
    </row>
    <row r="239" spans="1:41" x14ac:dyDescent="0.35">
      <c r="A239" t="s">
        <v>37</v>
      </c>
      <c r="B239" t="s">
        <v>72</v>
      </c>
      <c r="C239">
        <f t="shared" si="12"/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f t="shared" si="13"/>
        <v>0</v>
      </c>
      <c r="M239">
        <v>0</v>
      </c>
      <c r="N239">
        <f t="shared" si="14"/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19974.2138871676</v>
      </c>
      <c r="AE239">
        <v>19928.975197</v>
      </c>
      <c r="AF239" t="e">
        <f t="shared" si="15"/>
        <v>#DIV/0!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f>(D239+H239)/AD239</f>
        <v>0</v>
      </c>
      <c r="AO239">
        <f>(D239+H239)/AE239</f>
        <v>0</v>
      </c>
    </row>
    <row r="240" spans="1:41" x14ac:dyDescent="0.35">
      <c r="A240" t="s">
        <v>38</v>
      </c>
      <c r="B240" t="s">
        <v>72</v>
      </c>
      <c r="C240">
        <f t="shared" si="12"/>
        <v>0</v>
      </c>
      <c r="D240">
        <v>0</v>
      </c>
      <c r="E240">
        <v>0</v>
      </c>
      <c r="F240">
        <v>0</v>
      </c>
      <c r="G240">
        <v>0</v>
      </c>
      <c r="H240">
        <v>0.10239412195682911</v>
      </c>
      <c r="I240">
        <v>0</v>
      </c>
      <c r="J240">
        <v>0.10239412195682911</v>
      </c>
      <c r="K240">
        <v>0.45146499226420111</v>
      </c>
      <c r="L240">
        <f t="shared" si="13"/>
        <v>0</v>
      </c>
      <c r="M240">
        <v>0</v>
      </c>
      <c r="N240">
        <f t="shared" si="14"/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8.0048482009580993E-3</v>
      </c>
      <c r="W240">
        <v>4.2992617321149004E-3</v>
      </c>
      <c r="X240">
        <v>0</v>
      </c>
      <c r="Y240">
        <v>0</v>
      </c>
      <c r="Z240">
        <v>8.0048482009580993E-3</v>
      </c>
      <c r="AA240">
        <v>4.2992617321149004E-3</v>
      </c>
      <c r="AB240">
        <v>3.5294103431497498E-2</v>
      </c>
      <c r="AC240">
        <v>1.8955835818870399E-2</v>
      </c>
      <c r="AD240">
        <v>2381.6675591522499</v>
      </c>
      <c r="AE240">
        <v>1279.1513266244399</v>
      </c>
      <c r="AF240" t="e">
        <f t="shared" si="15"/>
        <v>#DIV/0!</v>
      </c>
      <c r="AG240">
        <f>(F240/(D240+H240))</f>
        <v>0</v>
      </c>
      <c r="AH240">
        <v>0</v>
      </c>
      <c r="AI240">
        <f>(E240/(D240+H240))</f>
        <v>0</v>
      </c>
      <c r="AJ240">
        <v>0</v>
      </c>
      <c r="AK240">
        <f>(H240/(D240+H240))</f>
        <v>1</v>
      </c>
      <c r="AL240">
        <f>(I240/H240)</f>
        <v>0</v>
      </c>
      <c r="AM240">
        <f>J240/H240</f>
        <v>1</v>
      </c>
      <c r="AN240">
        <f>(D240+H240)/AD240</f>
        <v>4.29926173211496E-5</v>
      </c>
      <c r="AO240">
        <f>(D240+H240)/AE240</f>
        <v>8.0048482009581747E-5</v>
      </c>
    </row>
    <row r="241" spans="1:41" x14ac:dyDescent="0.35">
      <c r="A241" t="s">
        <v>39</v>
      </c>
      <c r="B241" t="s">
        <v>72</v>
      </c>
      <c r="C241">
        <f t="shared" si="12"/>
        <v>5.2478877966865269</v>
      </c>
      <c r="D241">
        <v>5.234121210982785</v>
      </c>
      <c r="E241">
        <v>-0.2326627954038098</v>
      </c>
      <c r="F241">
        <v>5.4667840063865967</v>
      </c>
      <c r="G241">
        <v>1.3766585703740101E-2</v>
      </c>
      <c r="H241">
        <v>-7.2337052758079695E-2</v>
      </c>
      <c r="I241">
        <v>-4.4287991484539E-3</v>
      </c>
      <c r="J241">
        <v>-6.7908253609623104E-2</v>
      </c>
      <c r="K241">
        <v>1.4269426648543519</v>
      </c>
      <c r="L241">
        <f t="shared" si="13"/>
        <v>0.52633961226431714</v>
      </c>
      <c r="M241">
        <v>0.52495888545341129</v>
      </c>
      <c r="N241">
        <f t="shared" si="14"/>
        <v>0.22486610291640788</v>
      </c>
      <c r="O241">
        <v>0.22427622016784379</v>
      </c>
      <c r="P241">
        <v>-2.3335035020850301E-2</v>
      </c>
      <c r="Q241">
        <v>-9.9693396892222008E-3</v>
      </c>
      <c r="R241">
        <v>0.54829392047426162</v>
      </c>
      <c r="S241">
        <v>0.23424555985706619</v>
      </c>
      <c r="T241">
        <v>1.3807268109058001E-3</v>
      </c>
      <c r="U241">
        <v>5.8988274856390001E-4</v>
      </c>
      <c r="V241">
        <v>-7.255082001766E-3</v>
      </c>
      <c r="W241">
        <v>-3.0995615341544002E-3</v>
      </c>
      <c r="X241">
        <v>-4.4418869398559998E-4</v>
      </c>
      <c r="Y241">
        <v>-1.897690735196E-4</v>
      </c>
      <c r="Z241">
        <v>-6.8108933077802997E-3</v>
      </c>
      <c r="AA241">
        <v>-2.9097924606344E-3</v>
      </c>
      <c r="AB241">
        <v>0.14311595027185239</v>
      </c>
      <c r="AC241">
        <v>6.1142891876146299E-2</v>
      </c>
      <c r="AD241">
        <v>2333.7834064911899</v>
      </c>
      <c r="AE241">
        <v>997.05355143423003</v>
      </c>
      <c r="AF241">
        <f t="shared" si="15"/>
        <v>0.98132030299590556</v>
      </c>
      <c r="AG241">
        <f>(F241/(D241+H241))</f>
        <v>1.0590880669963523</v>
      </c>
      <c r="AH241">
        <f>(F241/D241)</f>
        <v>1.0444511668769945</v>
      </c>
      <c r="AI241">
        <f>(E241/(D241+H241))</f>
        <v>-4.507410388965772E-2</v>
      </c>
      <c r="AJ241">
        <f>(E241/(D241))</f>
        <v>-4.4451166876994019E-2</v>
      </c>
      <c r="AK241">
        <f>(H241/(D241+H241))</f>
        <v>-1.4013963106694219E-2</v>
      </c>
      <c r="AL241">
        <f>(I241/H241)</f>
        <v>6.1224489795918935E-2</v>
      </c>
      <c r="AM241">
        <f>J241/H241</f>
        <v>0.93877551020404382</v>
      </c>
      <c r="AN241">
        <f>(D241+H241)/AD241</f>
        <v>2.2117665863368931E-3</v>
      </c>
      <c r="AO241">
        <f>(D241+H241)/AE241</f>
        <v>5.1770380345164428E-3</v>
      </c>
    </row>
    <row r="242" spans="1:41" x14ac:dyDescent="0.35">
      <c r="A242" t="s">
        <v>40</v>
      </c>
      <c r="B242" t="s">
        <v>72</v>
      </c>
      <c r="C242">
        <f t="shared" si="12"/>
        <v>15.521433287220013</v>
      </c>
      <c r="D242">
        <v>15.52143328722001</v>
      </c>
      <c r="E242">
        <v>4.7933838092885326</v>
      </c>
      <c r="F242">
        <v>10.72804947793148</v>
      </c>
      <c r="G242">
        <v>0</v>
      </c>
      <c r="H242">
        <v>1.940179160902501</v>
      </c>
      <c r="I242">
        <v>0</v>
      </c>
      <c r="J242">
        <v>1.940179160902501</v>
      </c>
      <c r="K242">
        <v>0</v>
      </c>
      <c r="L242">
        <f t="shared" si="13"/>
        <v>3.7495954896454338</v>
      </c>
      <c r="M242">
        <v>3.7495954896454329</v>
      </c>
      <c r="N242">
        <f t="shared" si="14"/>
        <v>3.3123049625002459</v>
      </c>
      <c r="O242">
        <v>3.3123049625002459</v>
      </c>
      <c r="P242">
        <v>1.1579633129787379</v>
      </c>
      <c r="Q242">
        <v>1.0229177090074291</v>
      </c>
      <c r="R242">
        <v>2.5916321766666961</v>
      </c>
      <c r="S242">
        <v>2.289387253492817</v>
      </c>
      <c r="T242">
        <v>0</v>
      </c>
      <c r="U242">
        <v>0</v>
      </c>
      <c r="V242">
        <v>0.46869943620567911</v>
      </c>
      <c r="W242">
        <v>0.41403812031253068</v>
      </c>
      <c r="X242">
        <v>0</v>
      </c>
      <c r="Y242">
        <v>0</v>
      </c>
      <c r="Z242">
        <v>0.46869943620567911</v>
      </c>
      <c r="AA242">
        <v>0.41403812031253068</v>
      </c>
      <c r="AB242">
        <v>0</v>
      </c>
      <c r="AC242">
        <v>0</v>
      </c>
      <c r="AD242">
        <v>468.59916169988998</v>
      </c>
      <c r="AE242">
        <v>413.94954015926999</v>
      </c>
      <c r="AF242">
        <f t="shared" si="15"/>
        <v>1</v>
      </c>
      <c r="AG242">
        <f>(F242/(D242+H242))</f>
        <v>0.61437908496732041</v>
      </c>
      <c r="AH242">
        <f>(F242/D242)</f>
        <v>0.6911764705882355</v>
      </c>
      <c r="AI242">
        <f>(E242/(D242+H242))</f>
        <v>0.2745098039215686</v>
      </c>
      <c r="AJ242">
        <f>(E242/(D242))</f>
        <v>0.30882352941176472</v>
      </c>
      <c r="AK242">
        <f>(H242/(D242+H242))</f>
        <v>0.11111111111111109</v>
      </c>
      <c r="AL242">
        <f>(I242/H242)</f>
        <v>0</v>
      </c>
      <c r="AM242">
        <f>J242/H242</f>
        <v>1</v>
      </c>
      <c r="AN242">
        <f>(D242+H242)/AD242</f>
        <v>3.7263430828127775E-2</v>
      </c>
      <c r="AO242">
        <f>(D242+H242)/AE242</f>
        <v>4.2182949258511154E-2</v>
      </c>
    </row>
    <row r="243" spans="1:41" x14ac:dyDescent="0.35">
      <c r="A243" t="s">
        <v>41</v>
      </c>
      <c r="B243" t="s">
        <v>72</v>
      </c>
      <c r="C243">
        <f t="shared" si="12"/>
        <v>-0.57064092967720548</v>
      </c>
      <c r="D243">
        <v>-0.22825637187087719</v>
      </c>
      <c r="E243">
        <v>0.45651274374176681</v>
      </c>
      <c r="F243">
        <v>-0.68476911561264941</v>
      </c>
      <c r="G243">
        <v>-0.34238455780632288</v>
      </c>
      <c r="H243">
        <v>0</v>
      </c>
      <c r="I243">
        <v>0</v>
      </c>
      <c r="J243">
        <v>0</v>
      </c>
      <c r="K243">
        <v>0</v>
      </c>
      <c r="L243">
        <f t="shared" si="13"/>
        <v>-0.11524432304942822</v>
      </c>
      <c r="M243">
        <v>-4.60977292197704E-2</v>
      </c>
      <c r="N243">
        <f t="shared" si="14"/>
        <v>-0.1027585729271755</v>
      </c>
      <c r="O243">
        <v>-4.1103429170870003E-2</v>
      </c>
      <c r="P243">
        <v>9.2195458439542494E-2</v>
      </c>
      <c r="Q243">
        <v>8.2206858341741004E-2</v>
      </c>
      <c r="R243">
        <v>-0.13829318765931381</v>
      </c>
      <c r="S243">
        <v>-0.123310287512611</v>
      </c>
      <c r="T243">
        <v>-6.9146593829656905E-2</v>
      </c>
      <c r="U243">
        <v>-6.16551437563055E-2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555.32196820367994</v>
      </c>
      <c r="AE243">
        <v>495.15751802582002</v>
      </c>
      <c r="AF243">
        <f t="shared" si="15"/>
        <v>1</v>
      </c>
      <c r="AG243">
        <f>(F243/(D243+H243))</f>
        <v>3.0000000000000782</v>
      </c>
      <c r="AH243">
        <f>(F243/D243)</f>
        <v>3.0000000000000782</v>
      </c>
      <c r="AI243">
        <f>(E243/(D243+H243))</f>
        <v>-2.0000000000000546</v>
      </c>
      <c r="AJ243">
        <f>(E243/(D243))</f>
        <v>-2.0000000000000546</v>
      </c>
      <c r="AK243">
        <f>(H243/(D243+H243))</f>
        <v>0</v>
      </c>
      <c r="AL243">
        <v>0</v>
      </c>
      <c r="AM243">
        <v>0</v>
      </c>
      <c r="AN243">
        <f>(D243+H243)/AD243</f>
        <v>-4.110342917086935E-4</v>
      </c>
      <c r="AO243">
        <f>(D243+H243)/AE243</f>
        <v>-4.6097729219770169E-4</v>
      </c>
    </row>
    <row r="244" spans="1:41" x14ac:dyDescent="0.35">
      <c r="A244" t="s">
        <v>42</v>
      </c>
      <c r="B244" t="s">
        <v>72</v>
      </c>
      <c r="C244">
        <f t="shared" si="12"/>
        <v>-1.7880031451621601</v>
      </c>
      <c r="D244">
        <v>-0.84014605616053473</v>
      </c>
      <c r="E244">
        <v>-0.1120194741547377</v>
      </c>
      <c r="F244">
        <v>-0.72812658200579605</v>
      </c>
      <c r="G244">
        <v>-0.94785708900162635</v>
      </c>
      <c r="H244">
        <v>0.20249674174124971</v>
      </c>
      <c r="I244">
        <v>-4.3084413136437001E-3</v>
      </c>
      <c r="J244">
        <v>0.2068051830548967</v>
      </c>
      <c r="K244">
        <v>0</v>
      </c>
      <c r="L244">
        <f t="shared" si="13"/>
        <v>-0.82915983267468385</v>
      </c>
      <c r="M244">
        <v>-0.3896052225820803</v>
      </c>
      <c r="N244">
        <f t="shared" si="14"/>
        <v>-0.4388859189796247</v>
      </c>
      <c r="O244">
        <v>-0.20622350409885909</v>
      </c>
      <c r="P244">
        <v>-5.1947363010944103E-2</v>
      </c>
      <c r="Q244">
        <v>-2.74964672131809E-2</v>
      </c>
      <c r="R244">
        <v>-0.33765785957113609</v>
      </c>
      <c r="S244">
        <v>-0.17872703688567881</v>
      </c>
      <c r="T244">
        <v>-0.43955461009260371</v>
      </c>
      <c r="U244">
        <v>-0.232662414880765</v>
      </c>
      <c r="V244">
        <v>9.3904848519784395E-2</v>
      </c>
      <c r="W244">
        <v>4.9705152269982698E-2</v>
      </c>
      <c r="X244">
        <v>-1.9979755004209E-3</v>
      </c>
      <c r="Y244">
        <v>-1.0575564312761999E-3</v>
      </c>
      <c r="Z244">
        <v>9.5902824020203697E-2</v>
      </c>
      <c r="AA244">
        <v>5.0762708701258298E-2</v>
      </c>
      <c r="AB244">
        <v>0</v>
      </c>
      <c r="AC244">
        <v>0</v>
      </c>
      <c r="AD244">
        <v>407.39587848230002</v>
      </c>
      <c r="AE244">
        <v>215.64034757863999</v>
      </c>
      <c r="AF244">
        <f t="shared" si="15"/>
        <v>0.96296296296296335</v>
      </c>
      <c r="AG244">
        <f>(F244/(D244+H244))</f>
        <v>1.1418918918918777</v>
      </c>
      <c r="AH244">
        <f>(F244/D244)</f>
        <v>0.86666666666666581</v>
      </c>
      <c r="AI244">
        <f>(E244/(D244+H244))</f>
        <v>0.17567567567567324</v>
      </c>
      <c r="AJ244">
        <f>(E244/(D244))</f>
        <v>0.13333333333333303</v>
      </c>
      <c r="AK244">
        <f>(H244/(D244+H244))</f>
        <v>-0.31756756756755233</v>
      </c>
      <c r="AL244">
        <f>(I244/H244)</f>
        <v>-2.1276595744681291E-2</v>
      </c>
      <c r="AM244">
        <f>J244/H244</f>
        <v>1.0212765957446976</v>
      </c>
      <c r="AN244">
        <f>(D244+H244)/AD244</f>
        <v>-1.5651835182888055E-3</v>
      </c>
      <c r="AO244">
        <f>(D244+H244)/AE244</f>
        <v>-2.9570037406230123E-3</v>
      </c>
    </row>
    <row r="245" spans="1:41" x14ac:dyDescent="0.35">
      <c r="A245" t="s">
        <v>43</v>
      </c>
      <c r="B245" t="s">
        <v>72</v>
      </c>
      <c r="C245">
        <f t="shared" si="12"/>
        <v>-0.1222839174378247</v>
      </c>
      <c r="D245">
        <v>-0.1222839174378247</v>
      </c>
      <c r="E245">
        <v>-0.1222839174378247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f t="shared" si="13"/>
        <v>-3.6765779429734503E-2</v>
      </c>
      <c r="M245">
        <v>-3.6765779429734399E-2</v>
      </c>
      <c r="N245">
        <f t="shared" si="14"/>
        <v>-3.9311555541792199E-2</v>
      </c>
      <c r="O245">
        <v>-3.9311555541792199E-2</v>
      </c>
      <c r="P245">
        <v>-3.6765779429734503E-2</v>
      </c>
      <c r="Q245">
        <v>-3.9311555541792199E-2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311.06354290107998</v>
      </c>
      <c r="AE245">
        <v>332.60254327404999</v>
      </c>
      <c r="AF245">
        <f t="shared" si="15"/>
        <v>1</v>
      </c>
      <c r="AG245">
        <f>(F245/(D245+H245))</f>
        <v>0</v>
      </c>
      <c r="AH245">
        <f>(F245/D245)</f>
        <v>0</v>
      </c>
      <c r="AI245">
        <f>(E245/(D245+H245))</f>
        <v>1</v>
      </c>
      <c r="AJ245">
        <f>(E245/(D245))</f>
        <v>1</v>
      </c>
      <c r="AK245">
        <f>(H245/(D245+H245))</f>
        <v>0</v>
      </c>
      <c r="AL245">
        <v>0</v>
      </c>
      <c r="AM245">
        <v>0</v>
      </c>
      <c r="AN245">
        <f>(D245+H245)/AD245</f>
        <v>-3.9311555541792208E-4</v>
      </c>
      <c r="AO245">
        <f>(D245+H245)/AE245</f>
        <v>-3.6765779429734569E-4</v>
      </c>
    </row>
    <row r="246" spans="1:41" x14ac:dyDescent="0.35">
      <c r="A246" t="s">
        <v>44</v>
      </c>
      <c r="B246" t="s">
        <v>72</v>
      </c>
      <c r="C246">
        <f t="shared" si="12"/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f t="shared" si="13"/>
        <v>0</v>
      </c>
      <c r="M246">
        <v>0</v>
      </c>
      <c r="N246">
        <f t="shared" si="14"/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45.911572818750003</v>
      </c>
      <c r="AE246">
        <v>26.895658710639999</v>
      </c>
      <c r="AF246" t="e">
        <f t="shared" si="15"/>
        <v>#DIV/0!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f>(D246+H246)/AD246</f>
        <v>0</v>
      </c>
      <c r="AO246">
        <f>(D246+H246)/AE246</f>
        <v>0</v>
      </c>
    </row>
    <row r="247" spans="1:41" x14ac:dyDescent="0.35">
      <c r="A247" t="s">
        <v>45</v>
      </c>
      <c r="B247" t="s">
        <v>72</v>
      </c>
      <c r="C247">
        <f t="shared" si="12"/>
        <v>-0.51357683670948573</v>
      </c>
      <c r="D247">
        <v>1.312474138257574</v>
      </c>
      <c r="E247">
        <v>0.57064092967720637</v>
      </c>
      <c r="F247">
        <v>0.74183320858036783</v>
      </c>
      <c r="G247">
        <v>-1.8260509749670599</v>
      </c>
      <c r="H247">
        <v>-0.45651274374176509</v>
      </c>
      <c r="I247">
        <v>-0.45651274374176509</v>
      </c>
      <c r="J247">
        <v>0</v>
      </c>
      <c r="K247">
        <v>0</v>
      </c>
      <c r="L247">
        <f t="shared" si="13"/>
        <v>-0.20160495037040405</v>
      </c>
      <c r="M247">
        <v>0.51521265094658641</v>
      </c>
      <c r="N247">
        <f t="shared" si="14"/>
        <v>-0.20225746189325433</v>
      </c>
      <c r="O247">
        <v>0.51688018039387185</v>
      </c>
      <c r="P247">
        <v>0.22400550041155931</v>
      </c>
      <c r="Q247">
        <v>0.22473051321472681</v>
      </c>
      <c r="R247">
        <v>0.2912071505350266</v>
      </c>
      <c r="S247">
        <v>0.29214966717914459</v>
      </c>
      <c r="T247">
        <v>-0.71681760131699002</v>
      </c>
      <c r="U247">
        <v>-0.71913764228712573</v>
      </c>
      <c r="V247">
        <v>-0.17920440032924739</v>
      </c>
      <c r="W247">
        <v>-0.1797844105717816</v>
      </c>
      <c r="X247">
        <v>-0.1792044003292475</v>
      </c>
      <c r="Y247">
        <v>-0.17978441057178149</v>
      </c>
      <c r="Z247">
        <v>0</v>
      </c>
      <c r="AA247">
        <v>0</v>
      </c>
      <c r="AB247">
        <v>0</v>
      </c>
      <c r="AC247">
        <v>0</v>
      </c>
      <c r="AD247">
        <v>253.92231856471</v>
      </c>
      <c r="AE247">
        <v>254.7441596875</v>
      </c>
      <c r="AF247">
        <f t="shared" si="15"/>
        <v>5</v>
      </c>
      <c r="AG247">
        <f>(F247/(D247+H247))</f>
        <v>0.86666666666666681</v>
      </c>
      <c r="AH247">
        <f>(F247/D247)</f>
        <v>0.56521739130434778</v>
      </c>
      <c r="AI247">
        <f>(E247/(D247+H247))</f>
        <v>0.66666666666666718</v>
      </c>
      <c r="AJ247">
        <f>(E247/(D247))</f>
        <v>0.43478260869565238</v>
      </c>
      <c r="AK247">
        <f>(H247/(D247+H247))</f>
        <v>-0.53333333333333377</v>
      </c>
      <c r="AL247">
        <f>(I247/H247)</f>
        <v>1</v>
      </c>
      <c r="AM247">
        <f>J247/H247</f>
        <v>0</v>
      </c>
      <c r="AN247">
        <f>(D247+H247)/AD247</f>
        <v>3.3709576982208999E-3</v>
      </c>
      <c r="AO247">
        <f>(D247+H247)/AE247</f>
        <v>3.3600825061733883E-3</v>
      </c>
    </row>
    <row r="248" spans="1:41" x14ac:dyDescent="0.35">
      <c r="A248" t="s">
        <v>46</v>
      </c>
      <c r="B248" t="s">
        <v>72</v>
      </c>
      <c r="C248">
        <f t="shared" si="12"/>
        <v>-5.6493452038043417</v>
      </c>
      <c r="D248">
        <v>-5.7977118455204177</v>
      </c>
      <c r="E248">
        <v>0.44295659642621987</v>
      </c>
      <c r="F248">
        <v>-6.2406684419466352</v>
      </c>
      <c r="G248">
        <v>0.14836664171607339</v>
      </c>
      <c r="H248">
        <v>-5.9803169430171206</v>
      </c>
      <c r="I248">
        <v>-2.704838006669958</v>
      </c>
      <c r="J248">
        <v>-3.2754789363471639</v>
      </c>
      <c r="K248">
        <v>0</v>
      </c>
      <c r="L248">
        <f t="shared" si="13"/>
        <v>-2.7706041484194297</v>
      </c>
      <c r="M248">
        <v>-2.843367489691051</v>
      </c>
      <c r="N248">
        <f t="shared" si="14"/>
        <v>-1.8734682845384167</v>
      </c>
      <c r="O248">
        <v>-1.922670481910133</v>
      </c>
      <c r="P248">
        <v>0.217238872710732</v>
      </c>
      <c r="Q248">
        <v>0.1468958091413432</v>
      </c>
      <c r="R248">
        <v>-3.0606063624017832</v>
      </c>
      <c r="S248">
        <v>-2.0695662910514758</v>
      </c>
      <c r="T248">
        <v>7.2763341271621207E-2</v>
      </c>
      <c r="U248">
        <v>4.92021973717158E-2</v>
      </c>
      <c r="V248">
        <v>-2.9329223712561232</v>
      </c>
      <c r="W248">
        <v>-1.983227032521476</v>
      </c>
      <c r="X248">
        <v>-1.3265316831826359</v>
      </c>
      <c r="Y248">
        <v>-0.89699390593051476</v>
      </c>
      <c r="Z248">
        <v>-1.6063906880734879</v>
      </c>
      <c r="AA248">
        <v>-1.0862331265909611</v>
      </c>
      <c r="AB248">
        <v>0</v>
      </c>
      <c r="AC248">
        <v>0</v>
      </c>
      <c r="AD248">
        <v>301.54474727050001</v>
      </c>
      <c r="AE248">
        <v>203.90300819506001</v>
      </c>
      <c r="AF248">
        <f t="shared" si="15"/>
        <v>-0.19583546441477109</v>
      </c>
      <c r="AG248">
        <f>(F248/(D248+H248))</f>
        <v>0.52985678282770865</v>
      </c>
      <c r="AH248">
        <f>(F248/D248)</f>
        <v>1.0764019682641639</v>
      </c>
      <c r="AI248">
        <f>(E248/(D248+H248))</f>
        <v>-3.7608720812204871E-2</v>
      </c>
      <c r="AJ248">
        <f>(E248/(D248))</f>
        <v>-7.6401968264164205E-2</v>
      </c>
      <c r="AK248">
        <f>(H248/(D248+H248))</f>
        <v>0.50775193798449603</v>
      </c>
      <c r="AL248">
        <f>(I248/H248)</f>
        <v>0.45229007633587798</v>
      </c>
      <c r="AM248">
        <f>J248/H248</f>
        <v>0.54770992366412219</v>
      </c>
      <c r="AN248">
        <f>(D248+H248)/AD248</f>
        <v>-3.9058975144316097E-2</v>
      </c>
      <c r="AO248">
        <f>(D248+H248)/AE248</f>
        <v>-5.7762898609471751E-2</v>
      </c>
    </row>
    <row r="249" spans="1:41" x14ac:dyDescent="0.35">
      <c r="A249" t="s">
        <v>47</v>
      </c>
      <c r="B249" t="s">
        <v>72</v>
      </c>
      <c r="C249">
        <f t="shared" si="12"/>
        <v>0.27042472190449318</v>
      </c>
      <c r="D249">
        <v>0.19510445104624</v>
      </c>
      <c r="E249">
        <v>1.99651988508226E-2</v>
      </c>
      <c r="F249">
        <v>0.17513925219541729</v>
      </c>
      <c r="G249">
        <v>7.5320270858253296E-2</v>
      </c>
      <c r="H249">
        <v>-8.6448289280998403E-2</v>
      </c>
      <c r="I249">
        <v>-8.8626292466765094E-2</v>
      </c>
      <c r="J249">
        <v>2.1780031857667002E-3</v>
      </c>
      <c r="K249">
        <v>0</v>
      </c>
      <c r="L249">
        <f t="shared" si="13"/>
        <v>1.3045090407984112</v>
      </c>
      <c r="M249">
        <v>0.94116957391091915</v>
      </c>
      <c r="N249">
        <f t="shared" si="14"/>
        <v>1.4181273088186099</v>
      </c>
      <c r="O249">
        <v>1.0231422192178621</v>
      </c>
      <c r="P249">
        <v>9.6310656136810294E-2</v>
      </c>
      <c r="Q249">
        <v>0.10469898431233279</v>
      </c>
      <c r="R249">
        <v>0.84485891777410949</v>
      </c>
      <c r="S249">
        <v>0.91844323490552959</v>
      </c>
      <c r="T249">
        <v>0.3633394668874913</v>
      </c>
      <c r="U249">
        <v>0.39498508960074769</v>
      </c>
      <c r="V249">
        <v>-0.41702021225872649</v>
      </c>
      <c r="W249">
        <v>-0.4533412439759556</v>
      </c>
      <c r="X249">
        <v>-0.42752674001517887</v>
      </c>
      <c r="Y249">
        <v>-0.46476285430313802</v>
      </c>
      <c r="Z249">
        <v>1.0506527756452199E-2</v>
      </c>
      <c r="AA249">
        <v>1.14216103271822E-2</v>
      </c>
      <c r="AB249">
        <v>0</v>
      </c>
      <c r="AC249">
        <v>0</v>
      </c>
      <c r="AD249">
        <v>19.06914282116</v>
      </c>
      <c r="AE249">
        <v>20.729999827290001</v>
      </c>
      <c r="AF249">
        <f t="shared" si="15"/>
        <v>-0.29077892295888014</v>
      </c>
      <c r="AG249">
        <f>(F249/(D249+H249))</f>
        <v>1.611866730336164</v>
      </c>
      <c r="AH249">
        <f>(F249/D249)</f>
        <v>0.89766917800306401</v>
      </c>
      <c r="AI249">
        <f>(E249/(D249+H249))</f>
        <v>0.18374658672334346</v>
      </c>
      <c r="AJ249">
        <f>(E249/(D249))</f>
        <v>0.10233082199693549</v>
      </c>
      <c r="AK249">
        <f>(H249/(D249+H249))</f>
        <v>-0.79561331705950844</v>
      </c>
      <c r="AL249">
        <f>(I249/H249)</f>
        <v>1.0251942890238943</v>
      </c>
      <c r="AM249">
        <f>J249/H249</f>
        <v>-2.5194289023894333E-2</v>
      </c>
      <c r="AN249">
        <f>(D249+H249)/AD249</f>
        <v>5.6980097524190606E-3</v>
      </c>
      <c r="AO249">
        <f>(D249+H249)/AE249</f>
        <v>5.2414936165219462E-3</v>
      </c>
    </row>
    <row r="250" spans="1:41" x14ac:dyDescent="0.35">
      <c r="A250" t="s">
        <v>48</v>
      </c>
      <c r="B250" t="s">
        <v>72</v>
      </c>
      <c r="C250">
        <f t="shared" si="12"/>
        <v>6.4596553239459826</v>
      </c>
      <c r="D250">
        <v>6.0031425802042193</v>
      </c>
      <c r="E250">
        <v>0.1141281859354412</v>
      </c>
      <c r="F250">
        <v>5.8890143942687772</v>
      </c>
      <c r="G250">
        <v>0.45651274374176459</v>
      </c>
      <c r="H250">
        <v>-2.2825637187088241</v>
      </c>
      <c r="I250">
        <v>-2.282563718708825</v>
      </c>
      <c r="J250">
        <v>0</v>
      </c>
      <c r="K250">
        <v>0</v>
      </c>
      <c r="L250">
        <f t="shared" si="13"/>
        <v>1.7389599445679671</v>
      </c>
      <c r="M250">
        <v>1.616065248838781</v>
      </c>
      <c r="N250">
        <f t="shared" si="14"/>
        <v>1.5457760650730215</v>
      </c>
      <c r="O250">
        <v>1.436533940332879</v>
      </c>
      <c r="P250">
        <v>3.07236739322964E-2</v>
      </c>
      <c r="Q250">
        <v>2.73105311850356E-2</v>
      </c>
      <c r="R250">
        <v>1.5853415749064861</v>
      </c>
      <c r="S250">
        <v>1.4092234091478431</v>
      </c>
      <c r="T250">
        <v>0.1228946957291846</v>
      </c>
      <c r="U250">
        <v>0.10924212474014269</v>
      </c>
      <c r="V250">
        <v>-0.6144734786459245</v>
      </c>
      <c r="W250">
        <v>-0.5462106237007136</v>
      </c>
      <c r="X250">
        <v>-0.6144734786459245</v>
      </c>
      <c r="Y250">
        <v>-0.5462106237007136</v>
      </c>
      <c r="Z250">
        <v>0</v>
      </c>
      <c r="AA250">
        <v>0</v>
      </c>
      <c r="AB250">
        <v>0</v>
      </c>
      <c r="AC250">
        <v>0</v>
      </c>
      <c r="AD250">
        <v>417.89075855828003</v>
      </c>
      <c r="AE250">
        <v>371.46659669328</v>
      </c>
      <c r="AF250">
        <f t="shared" si="15"/>
        <v>-5.2631578947368397E-2</v>
      </c>
      <c r="AG250">
        <f>(F250/(D250+H250))</f>
        <v>1.5828220858895685</v>
      </c>
      <c r="AH250">
        <f>(F250/D250)</f>
        <v>0.98098859315589337</v>
      </c>
      <c r="AI250">
        <f>(E250/(D250+H250))</f>
        <v>3.0674846625766774E-2</v>
      </c>
      <c r="AJ250">
        <f>(E250/(D250))</f>
        <v>1.9011406844106425E-2</v>
      </c>
      <c r="AK250">
        <f>(H250/(D250+H250))</f>
        <v>-0.61349693251533544</v>
      </c>
      <c r="AL250">
        <f>(I250/H250)</f>
        <v>1.0000000000000004</v>
      </c>
      <c r="AM250">
        <f>J250/H250</f>
        <v>0</v>
      </c>
      <c r="AN250">
        <f>(D250+H250)/AD250</f>
        <v>8.9032331663216578E-3</v>
      </c>
      <c r="AO250">
        <f>(D250+H250)/AE250</f>
        <v>1.0015917701928599E-2</v>
      </c>
    </row>
    <row r="251" spans="1:41" x14ac:dyDescent="0.35">
      <c r="A251" t="s">
        <v>49</v>
      </c>
      <c r="B251" t="s">
        <v>72</v>
      </c>
      <c r="C251">
        <f t="shared" si="12"/>
        <v>1.5000000000000009</v>
      </c>
      <c r="D251">
        <v>1.5</v>
      </c>
      <c r="E251">
        <v>2.9</v>
      </c>
      <c r="F251">
        <v>-1.399999999999999</v>
      </c>
      <c r="G251">
        <v>0</v>
      </c>
      <c r="H251">
        <v>-1.6999999999999991</v>
      </c>
      <c r="I251">
        <v>-1.7</v>
      </c>
      <c r="J251">
        <v>0</v>
      </c>
      <c r="K251">
        <v>0</v>
      </c>
      <c r="L251">
        <f t="shared" si="13"/>
        <v>0.41845643653965037</v>
      </c>
      <c r="M251">
        <v>0.4184564365396497</v>
      </c>
      <c r="N251">
        <f t="shared" si="14"/>
        <v>0.43808832247855189</v>
      </c>
      <c r="O251">
        <v>0.43808832247855101</v>
      </c>
      <c r="P251">
        <v>0.80901577730998819</v>
      </c>
      <c r="Q251">
        <v>0.84697075679186451</v>
      </c>
      <c r="R251">
        <v>-0.39055934077033783</v>
      </c>
      <c r="S251">
        <v>-0.40888243431331261</v>
      </c>
      <c r="T251">
        <v>0</v>
      </c>
      <c r="U251">
        <v>0</v>
      </c>
      <c r="V251">
        <v>-0.47425062807826901</v>
      </c>
      <c r="W251">
        <v>-0.49650009880902418</v>
      </c>
      <c r="X251">
        <v>-0.4742506280782689</v>
      </c>
      <c r="Y251">
        <v>-0.4965000988090239</v>
      </c>
      <c r="Z251">
        <v>0</v>
      </c>
      <c r="AA251">
        <v>0</v>
      </c>
      <c r="AB251">
        <v>0</v>
      </c>
      <c r="AC251">
        <v>0</v>
      </c>
      <c r="AD251">
        <v>342.39670930134002</v>
      </c>
      <c r="AE251">
        <v>358.46025273358998</v>
      </c>
      <c r="AF251">
        <f t="shared" si="15"/>
        <v>2.4166666666666665</v>
      </c>
      <c r="AG251">
        <f>(F251/(D251+H251))</f>
        <v>7.0000000000000275</v>
      </c>
      <c r="AH251">
        <f>(F251/D251)</f>
        <v>-0.93333333333333268</v>
      </c>
      <c r="AI251">
        <f>(E251/(D251+H251))</f>
        <v>-14.500000000000068</v>
      </c>
      <c r="AJ251">
        <f>(E251/(D251))</f>
        <v>1.9333333333333333</v>
      </c>
      <c r="AK251">
        <f>(H251/(D251+H251))</f>
        <v>8.5000000000000355</v>
      </c>
      <c r="AL251">
        <f>(I251/H251)</f>
        <v>1.0000000000000004</v>
      </c>
      <c r="AM251">
        <f>J251/H251</f>
        <v>0</v>
      </c>
      <c r="AN251">
        <f>(D251+H251)/AD251</f>
        <v>-5.8411776330473148E-4</v>
      </c>
      <c r="AO251">
        <f>(D251+H251)/AE251</f>
        <v>-5.5794191538619594E-4</v>
      </c>
    </row>
    <row r="252" spans="1:41" x14ac:dyDescent="0.35">
      <c r="A252" t="s">
        <v>50</v>
      </c>
      <c r="B252" t="s">
        <v>72</v>
      </c>
      <c r="C252">
        <f t="shared" si="12"/>
        <v>0.63608896592116526</v>
      </c>
      <c r="D252">
        <v>0.63608896592116526</v>
      </c>
      <c r="E252">
        <v>0</v>
      </c>
      <c r="F252">
        <v>0.63608896592116526</v>
      </c>
      <c r="G252">
        <v>0</v>
      </c>
      <c r="H252">
        <v>-0.37597881601197791</v>
      </c>
      <c r="I252">
        <v>-2.17980388809976E-2</v>
      </c>
      <c r="J252">
        <v>-0.3541807771309804</v>
      </c>
      <c r="K252">
        <v>0</v>
      </c>
      <c r="L252">
        <f t="shared" si="13"/>
        <v>2.1090428744257399</v>
      </c>
      <c r="M252">
        <v>2.1090428744257408</v>
      </c>
      <c r="N252">
        <f t="shared" si="14"/>
        <v>1.1477070431122109</v>
      </c>
      <c r="O252">
        <v>1.1477070431122109</v>
      </c>
      <c r="P252">
        <v>0</v>
      </c>
      <c r="Q252">
        <v>0</v>
      </c>
      <c r="R252">
        <v>2.1090428744257399</v>
      </c>
      <c r="S252">
        <v>1.1477070431122109</v>
      </c>
      <c r="T252">
        <v>0</v>
      </c>
      <c r="U252">
        <v>0</v>
      </c>
      <c r="V252">
        <v>-1.2466109071657201</v>
      </c>
      <c r="W252">
        <v>-0.6783855062994717</v>
      </c>
      <c r="X252">
        <v>-7.2274478950985405E-2</v>
      </c>
      <c r="Y252">
        <v>-3.9330603249067203E-2</v>
      </c>
      <c r="Z252">
        <v>-1.1743364282147351</v>
      </c>
      <c r="AA252">
        <v>-0.63905490305040458</v>
      </c>
      <c r="AB252">
        <v>0</v>
      </c>
      <c r="AC252">
        <v>0</v>
      </c>
      <c r="AD252">
        <v>55.422589739999999</v>
      </c>
      <c r="AE252">
        <v>30.160077523049999</v>
      </c>
      <c r="AF252">
        <f t="shared" si="15"/>
        <v>0</v>
      </c>
      <c r="AG252">
        <f>(F252/(D252+H252))</f>
        <v>2.445459995095324</v>
      </c>
      <c r="AH252">
        <f>(F252/D252)</f>
        <v>1</v>
      </c>
      <c r="AI252">
        <f>(E252/(D252+H252))</f>
        <v>0</v>
      </c>
      <c r="AJ252">
        <f>(E252/(D252))</f>
        <v>0</v>
      </c>
      <c r="AK252">
        <f>(H252/(D252+H252))</f>
        <v>-1.445459995095324</v>
      </c>
      <c r="AL252">
        <f>(I252/H252)</f>
        <v>5.7976774096504306E-2</v>
      </c>
      <c r="AM252">
        <f>J252/H252</f>
        <v>0.94202322590349596</v>
      </c>
      <c r="AN252">
        <f>(D252+H252)/AD252</f>
        <v>4.6932153681273894E-3</v>
      </c>
      <c r="AO252">
        <f>(D252+H252)/AE252</f>
        <v>8.6243196726002048E-3</v>
      </c>
    </row>
    <row r="253" spans="1:41" x14ac:dyDescent="0.35">
      <c r="A253" t="s">
        <v>51</v>
      </c>
      <c r="B253" t="s">
        <v>72</v>
      </c>
      <c r="C253">
        <f t="shared" si="12"/>
        <v>0.23917700000000031</v>
      </c>
      <c r="D253">
        <v>0.2377970000000004</v>
      </c>
      <c r="E253">
        <v>1.33940000000001E-2</v>
      </c>
      <c r="F253">
        <v>0.2244030000000001</v>
      </c>
      <c r="G253">
        <v>1.3800000000000999E-3</v>
      </c>
      <c r="H253">
        <v>1.1412818593544E-2</v>
      </c>
      <c r="I253">
        <v>1.1412818593544E-2</v>
      </c>
      <c r="J253">
        <v>0</v>
      </c>
      <c r="K253">
        <v>0</v>
      </c>
      <c r="L253">
        <f t="shared" si="13"/>
        <v>0.49604527100256468</v>
      </c>
      <c r="M253">
        <v>0.4931831961626596</v>
      </c>
      <c r="N253">
        <f t="shared" si="14"/>
        <v>0.2462288125876145</v>
      </c>
      <c r="O253">
        <v>0.2448081251412004</v>
      </c>
      <c r="P253">
        <v>2.77787176852641E-2</v>
      </c>
      <c r="Q253">
        <v>1.3788904099468299E-2</v>
      </c>
      <c r="R253">
        <v>0.46540447847739669</v>
      </c>
      <c r="S253">
        <v>0.23101922104173231</v>
      </c>
      <c r="T253">
        <v>2.8620748399038999E-3</v>
      </c>
      <c r="U253">
        <v>1.4206874464139001E-3</v>
      </c>
      <c r="V253">
        <v>2.36698122818568E-2</v>
      </c>
      <c r="W253">
        <v>1.1749310220322899E-2</v>
      </c>
      <c r="X253">
        <v>2.36698122818568E-2</v>
      </c>
      <c r="Y253">
        <v>1.1749310220323101E-2</v>
      </c>
      <c r="Z253">
        <v>0</v>
      </c>
      <c r="AA253">
        <v>0</v>
      </c>
      <c r="AB253">
        <v>0</v>
      </c>
      <c r="AC253">
        <v>0</v>
      </c>
      <c r="AD253">
        <v>97.136073348400004</v>
      </c>
      <c r="AE253">
        <v>48.216768505140003</v>
      </c>
      <c r="AF253">
        <f t="shared" si="15"/>
        <v>0.53993219442842411</v>
      </c>
      <c r="AG253">
        <f>(F253/(D253+H253))</f>
        <v>0.90045810099479395</v>
      </c>
      <c r="AH253">
        <f>(F253/D253)</f>
        <v>0.94367464686265901</v>
      </c>
      <c r="AI253">
        <f>(E253/(D253+H253))</f>
        <v>5.3745875967452998E-2</v>
      </c>
      <c r="AJ253">
        <f>(E253/(D253))</f>
        <v>5.6325353137340162E-2</v>
      </c>
      <c r="AK253">
        <f>(H253/(D253+H253))</f>
        <v>4.5796023037752175E-2</v>
      </c>
      <c r="AL253">
        <f>(I253/H253)</f>
        <v>1</v>
      </c>
      <c r="AM253">
        <f>J253/H253</f>
        <v>0</v>
      </c>
      <c r="AN253">
        <f>(D253+H253)/AD253</f>
        <v>2.5655743536152453E-3</v>
      </c>
      <c r="AO253">
        <f>(D253+H253)/AE253</f>
        <v>5.1685300844451689E-3</v>
      </c>
    </row>
    <row r="254" spans="1:41" x14ac:dyDescent="0.35">
      <c r="A254" t="s">
        <v>52</v>
      </c>
      <c r="B254" t="s">
        <v>72</v>
      </c>
      <c r="C254">
        <f t="shared" si="12"/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f t="shared" si="13"/>
        <v>0</v>
      </c>
      <c r="M254">
        <v>0</v>
      </c>
      <c r="N254">
        <f t="shared" si="14"/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66.343484468840003</v>
      </c>
      <c r="AE254">
        <v>66.557495896739994</v>
      </c>
      <c r="AF254" t="e">
        <f t="shared" si="15"/>
        <v>#DIV/0!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f>(D254+H254)/AD254</f>
        <v>0</v>
      </c>
      <c r="AO254">
        <f>(D254+H254)/AE254</f>
        <v>0</v>
      </c>
    </row>
    <row r="255" spans="1:41" x14ac:dyDescent="0.35">
      <c r="A255" t="s">
        <v>53</v>
      </c>
      <c r="B255" t="s">
        <v>72</v>
      </c>
      <c r="C255">
        <f t="shared" si="12"/>
        <v>-1.2554100452898529</v>
      </c>
      <c r="D255">
        <v>0</v>
      </c>
      <c r="E255">
        <v>0</v>
      </c>
      <c r="F255">
        <v>0</v>
      </c>
      <c r="G255">
        <v>-1.2554100452898529</v>
      </c>
      <c r="H255">
        <v>-34.466712152503263</v>
      </c>
      <c r="I255">
        <v>0</v>
      </c>
      <c r="J255">
        <v>-34.466712152503263</v>
      </c>
      <c r="K255">
        <v>0</v>
      </c>
      <c r="L255">
        <f t="shared" si="13"/>
        <v>-0.14940903361763991</v>
      </c>
      <c r="M255">
        <v>0</v>
      </c>
      <c r="N255">
        <f t="shared" si="14"/>
        <v>-0.13463702333676991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-0.14940903361763991</v>
      </c>
      <c r="U255">
        <v>-0.13463702333676991</v>
      </c>
      <c r="V255">
        <v>-4.1019571047752059</v>
      </c>
      <c r="W255">
        <v>-3.6963982770640551</v>
      </c>
      <c r="X255">
        <v>0</v>
      </c>
      <c r="Y255">
        <v>0</v>
      </c>
      <c r="Z255">
        <v>-4.1019571047752059</v>
      </c>
      <c r="AA255">
        <v>-3.6963982770640551</v>
      </c>
      <c r="AB255">
        <v>0</v>
      </c>
      <c r="AC255">
        <v>0</v>
      </c>
      <c r="AD255">
        <v>932.44043441874999</v>
      </c>
      <c r="AE255">
        <v>840.25042856688003</v>
      </c>
      <c r="AF255" t="e">
        <f t="shared" si="15"/>
        <v>#DIV/0!</v>
      </c>
      <c r="AG255">
        <f>(F255/(D255+H255))</f>
        <v>0</v>
      </c>
      <c r="AH255">
        <v>0</v>
      </c>
      <c r="AI255">
        <f>(E255/(D255+H255))</f>
        <v>0</v>
      </c>
      <c r="AJ255">
        <v>0</v>
      </c>
      <c r="AK255">
        <f>(H255/(D255+H255))</f>
        <v>1</v>
      </c>
      <c r="AL255">
        <f>(I255/H255)</f>
        <v>0</v>
      </c>
      <c r="AM255">
        <f>J255/H255</f>
        <v>1</v>
      </c>
      <c r="AN255">
        <f>(D255+H255)/AD255</f>
        <v>-3.6963982770640551E-2</v>
      </c>
      <c r="AO255">
        <f>(D255+H255)/AE255</f>
        <v>-4.1019571047752071E-2</v>
      </c>
    </row>
    <row r="256" spans="1:41" x14ac:dyDescent="0.35">
      <c r="A256" t="s">
        <v>54</v>
      </c>
      <c r="B256" t="s">
        <v>72</v>
      </c>
      <c r="C256">
        <f t="shared" si="12"/>
        <v>0</v>
      </c>
      <c r="D256">
        <v>0</v>
      </c>
      <c r="E256">
        <v>0</v>
      </c>
      <c r="F256">
        <v>0</v>
      </c>
      <c r="G256">
        <v>0</v>
      </c>
      <c r="H256">
        <v>0.65002147584386361</v>
      </c>
      <c r="I256">
        <v>0.39001288550631807</v>
      </c>
      <c r="J256">
        <v>0.26000859033754531</v>
      </c>
      <c r="K256">
        <v>0</v>
      </c>
      <c r="L256">
        <f t="shared" si="13"/>
        <v>0</v>
      </c>
      <c r="M256">
        <v>0</v>
      </c>
      <c r="N256">
        <f t="shared" si="14"/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0.32030373440945098</v>
      </c>
      <c r="W256">
        <v>0.3351078645428322</v>
      </c>
      <c r="X256">
        <v>0.19218224064567049</v>
      </c>
      <c r="Y256">
        <v>0.20106471872569931</v>
      </c>
      <c r="Z256">
        <v>0.1281214937637801</v>
      </c>
      <c r="AA256">
        <v>0.13404314581713281</v>
      </c>
      <c r="AB256">
        <v>0</v>
      </c>
      <c r="AC256">
        <v>0</v>
      </c>
      <c r="AD256">
        <v>193.97380504054999</v>
      </c>
      <c r="AE256">
        <v>202.93908750153</v>
      </c>
      <c r="AF256">
        <f t="shared" si="15"/>
        <v>0</v>
      </c>
      <c r="AG256">
        <f>(F256/(D256+H256))</f>
        <v>0</v>
      </c>
      <c r="AH256">
        <v>0</v>
      </c>
      <c r="AI256">
        <f>(E256/(D256+H256))</f>
        <v>0</v>
      </c>
      <c r="AJ256">
        <v>0</v>
      </c>
      <c r="AK256">
        <f>(H256/(D256+H256))</f>
        <v>1</v>
      </c>
      <c r="AL256">
        <f>(I256/H256)</f>
        <v>0.59999999999999987</v>
      </c>
      <c r="AM256">
        <f>J256/H256</f>
        <v>0.3999999999999998</v>
      </c>
      <c r="AN256">
        <f>(D256+H256)/AD256</f>
        <v>3.3510786454283214E-3</v>
      </c>
      <c r="AO256">
        <f>(D256+H256)/AE256</f>
        <v>3.2030373440945078E-3</v>
      </c>
    </row>
    <row r="257" spans="1:41" x14ac:dyDescent="0.35">
      <c r="A257" t="s">
        <v>55</v>
      </c>
      <c r="B257" t="s">
        <v>72</v>
      </c>
      <c r="C257">
        <f t="shared" si="12"/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f t="shared" si="13"/>
        <v>0</v>
      </c>
      <c r="M257">
        <v>0</v>
      </c>
      <c r="N257">
        <f t="shared" si="14"/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330.45426768437</v>
      </c>
      <c r="AE257">
        <v>410.24933347112</v>
      </c>
      <c r="AF257" t="e">
        <f t="shared" si="15"/>
        <v>#DIV/0!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f>(D257+H257)/AD257</f>
        <v>0</v>
      </c>
      <c r="AO257">
        <f>(D257+H257)/AE257</f>
        <v>0</v>
      </c>
    </row>
    <row r="258" spans="1:41" x14ac:dyDescent="0.35">
      <c r="A258" t="s">
        <v>56</v>
      </c>
      <c r="B258" t="s">
        <v>72</v>
      </c>
      <c r="C258">
        <f t="shared" si="12"/>
        <v>0.79889730154809069</v>
      </c>
      <c r="D258">
        <v>0.79889730154809158</v>
      </c>
      <c r="E258">
        <v>0.34238455780632382</v>
      </c>
      <c r="F258">
        <v>0.45651274374176681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f t="shared" si="13"/>
        <v>0.35927718380528201</v>
      </c>
      <c r="M258">
        <v>0.35927718380528167</v>
      </c>
      <c r="N258">
        <f t="shared" si="14"/>
        <v>0.23413247781510621</v>
      </c>
      <c r="O258">
        <v>0.23413247781510629</v>
      </c>
      <c r="P258">
        <v>0.15397593591654901</v>
      </c>
      <c r="Q258">
        <v>0.10034249049218801</v>
      </c>
      <c r="R258">
        <v>0.205301247888733</v>
      </c>
      <c r="S258">
        <v>0.13378998732291819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341.21592570296002</v>
      </c>
      <c r="AE258">
        <v>222.36238134761999</v>
      </c>
      <c r="AF258">
        <f t="shared" si="15"/>
        <v>1</v>
      </c>
      <c r="AG258">
        <f>(F258/(D258+H258))</f>
        <v>0.57142857142857173</v>
      </c>
      <c r="AH258">
        <f>(F258/D258)</f>
        <v>0.57142857142857173</v>
      </c>
      <c r="AI258">
        <f>(E258/(D258+H258))</f>
        <v>0.42857142857142716</v>
      </c>
      <c r="AJ258">
        <f>(E258/(D258))</f>
        <v>0.42857142857142716</v>
      </c>
      <c r="AK258">
        <f>(H258/(D258+H258))</f>
        <v>0</v>
      </c>
      <c r="AL258">
        <v>0</v>
      </c>
      <c r="AM258">
        <v>0</v>
      </c>
      <c r="AN258">
        <f>(D258+H258)/AD258</f>
        <v>2.3413247781510602E-3</v>
      </c>
      <c r="AO258">
        <f>(D258+H258)/AE258</f>
        <v>3.5927718380528236E-3</v>
      </c>
    </row>
    <row r="259" spans="1:41" x14ac:dyDescent="0.35">
      <c r="A259" t="s">
        <v>57</v>
      </c>
      <c r="B259" t="s">
        <v>72</v>
      </c>
      <c r="C259">
        <f t="shared" ref="C259:C267" si="16">E259+F259+G259</f>
        <v>1.6802751266758575</v>
      </c>
      <c r="D259">
        <v>1.6802751266758571</v>
      </c>
      <c r="E259">
        <v>1.0192067280989019</v>
      </c>
      <c r="F259">
        <v>0.66106839857695565</v>
      </c>
      <c r="G259">
        <v>0</v>
      </c>
      <c r="H259">
        <v>-2.782368016327577</v>
      </c>
      <c r="I259">
        <v>0</v>
      </c>
      <c r="J259">
        <v>-2.782368016327577</v>
      </c>
      <c r="K259">
        <v>0</v>
      </c>
      <c r="L259">
        <f t="shared" ref="L259:L267" si="17">P259+R259+T259</f>
        <v>1.688904394969011</v>
      </c>
      <c r="M259">
        <v>1.688904394969011</v>
      </c>
      <c r="N259">
        <f t="shared" ref="N259:N267" si="18">Q259+S259+U259</f>
        <v>0.92469264342358382</v>
      </c>
      <c r="O259">
        <v>0.92469264342358404</v>
      </c>
      <c r="P259">
        <v>1.0244409948944539</v>
      </c>
      <c r="Q259">
        <v>0.56089205192566349</v>
      </c>
      <c r="R259">
        <v>0.66446340007455706</v>
      </c>
      <c r="S259">
        <v>0.36380059149792032</v>
      </c>
      <c r="T259">
        <v>0</v>
      </c>
      <c r="U259">
        <v>0</v>
      </c>
      <c r="V259">
        <v>-2.796657223923404</v>
      </c>
      <c r="W259">
        <v>-1.531198787120716</v>
      </c>
      <c r="X259">
        <v>0</v>
      </c>
      <c r="Y259">
        <v>0</v>
      </c>
      <c r="Z259">
        <v>-2.796657223923404</v>
      </c>
      <c r="AA259">
        <v>-1.531198787120716</v>
      </c>
      <c r="AB259">
        <v>0</v>
      </c>
      <c r="AC259">
        <v>0</v>
      </c>
      <c r="AD259">
        <v>181.71174374815001</v>
      </c>
      <c r="AE259">
        <v>99.489061173690004</v>
      </c>
      <c r="AF259">
        <f t="shared" ref="AF259:AF267" si="19">E259/(E259+I259)</f>
        <v>1</v>
      </c>
      <c r="AG259">
        <f>(F259/(D259+H259))</f>
        <v>-0.59983001867098928</v>
      </c>
      <c r="AH259">
        <f>(F259/D259)</f>
        <v>0.39342866420023054</v>
      </c>
      <c r="AI259">
        <f>(E259/(D259+H259))</f>
        <v>-0.92479203674110311</v>
      </c>
      <c r="AJ259">
        <f>(E259/(D259))</f>
        <v>0.60657133579976974</v>
      </c>
      <c r="AK259">
        <f>(H259/(D259+H259))</f>
        <v>2.5246220554120922</v>
      </c>
      <c r="AL259">
        <f>(I259/H259)</f>
        <v>0</v>
      </c>
      <c r="AM259">
        <f>J259/H259</f>
        <v>1</v>
      </c>
      <c r="AN259">
        <f>(D259+H259)/AD259</f>
        <v>-6.0650614369713255E-3</v>
      </c>
      <c r="AO259">
        <f>(D259+H259)/AE259</f>
        <v>-1.1077528289543953E-2</v>
      </c>
    </row>
    <row r="260" spans="1:41" x14ac:dyDescent="0.35">
      <c r="A260" t="s">
        <v>58</v>
      </c>
      <c r="B260" t="s">
        <v>72</v>
      </c>
      <c r="C260">
        <f t="shared" si="16"/>
        <v>1.0209999999999999</v>
      </c>
      <c r="D260">
        <v>1.0209999999999999</v>
      </c>
      <c r="E260">
        <v>-1.19999999999999E-2</v>
      </c>
      <c r="F260">
        <v>1.0329999999999999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f t="shared" si="17"/>
        <v>2.0250713059145209</v>
      </c>
      <c r="M260">
        <v>2.0250713059145209</v>
      </c>
      <c r="N260">
        <f t="shared" si="18"/>
        <v>1.3427608723131514</v>
      </c>
      <c r="O260">
        <v>1.3427608723131521</v>
      </c>
      <c r="P260">
        <v>-2.38010339578591E-2</v>
      </c>
      <c r="Q260">
        <v>-1.57817144640135E-2</v>
      </c>
      <c r="R260">
        <v>2.0488723398723798</v>
      </c>
      <c r="S260">
        <v>1.358542586777165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76.037366075549997</v>
      </c>
      <c r="AE260">
        <v>50.417977728389999</v>
      </c>
      <c r="AF260">
        <f t="shared" si="19"/>
        <v>1</v>
      </c>
      <c r="AG260">
        <f>(F260/(D260+H260))</f>
        <v>1.0117531831537707</v>
      </c>
      <c r="AH260">
        <f>(F260/D260)</f>
        <v>1.0117531831537707</v>
      </c>
      <c r="AI260">
        <f>(E260/(D260+H260))</f>
        <v>-1.1753183153770715E-2</v>
      </c>
      <c r="AJ260">
        <f>(E260/(D260))</f>
        <v>-1.1753183153770715E-2</v>
      </c>
      <c r="AK260">
        <f>(H260/(D260+H260))</f>
        <v>0</v>
      </c>
      <c r="AL260">
        <v>0</v>
      </c>
      <c r="AM260">
        <v>0</v>
      </c>
      <c r="AN260">
        <f>(D260+H260)/AD260</f>
        <v>1.3427608723131521E-2</v>
      </c>
      <c r="AO260">
        <f>(D260+H260)/AE260</f>
        <v>2.0250713059145213E-2</v>
      </c>
    </row>
    <row r="261" spans="1:41" x14ac:dyDescent="0.35">
      <c r="A261" t="s">
        <v>59</v>
      </c>
      <c r="B261" t="s">
        <v>72</v>
      </c>
      <c r="C261">
        <f t="shared" si="16"/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f t="shared" si="17"/>
        <v>0</v>
      </c>
      <c r="M261">
        <v>0</v>
      </c>
      <c r="N261">
        <f t="shared" si="18"/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521.00449074291998</v>
      </c>
      <c r="AE261">
        <v>549.82128194673999</v>
      </c>
      <c r="AF261" t="e">
        <f t="shared" si="19"/>
        <v>#DIV/0!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f>(D261+H261)/AD261</f>
        <v>0</v>
      </c>
      <c r="AO261">
        <f>(D261+H261)/AE261</f>
        <v>0</v>
      </c>
    </row>
    <row r="262" spans="1:41" x14ac:dyDescent="0.35">
      <c r="A262" t="s">
        <v>60</v>
      </c>
      <c r="B262" t="s">
        <v>72</v>
      </c>
      <c r="C262">
        <f t="shared" si="16"/>
        <v>1.2984084998357872</v>
      </c>
      <c r="D262">
        <v>1.298408499835787</v>
      </c>
      <c r="E262">
        <v>0.65080196341236274</v>
      </c>
      <c r="F262">
        <v>0.64760653642342447</v>
      </c>
      <c r="G262">
        <v>0</v>
      </c>
      <c r="H262">
        <v>0.1065142329643791</v>
      </c>
      <c r="I262">
        <v>0.1065142329643802</v>
      </c>
      <c r="J262">
        <v>0</v>
      </c>
      <c r="K262">
        <v>0</v>
      </c>
      <c r="L262">
        <f t="shared" si="17"/>
        <v>0.1737908577310105</v>
      </c>
      <c r="M262">
        <v>0.17379085773101099</v>
      </c>
      <c r="N262">
        <f t="shared" si="18"/>
        <v>0.21976595367667562</v>
      </c>
      <c r="O262">
        <v>0.2197659536766742</v>
      </c>
      <c r="P262">
        <v>8.7109281438595407E-2</v>
      </c>
      <c r="Q262">
        <v>0.11015340254015581</v>
      </c>
      <c r="R262">
        <v>8.6681576292415102E-2</v>
      </c>
      <c r="S262">
        <v>0.1096125511365198</v>
      </c>
      <c r="T262">
        <v>0</v>
      </c>
      <c r="U262">
        <v>0</v>
      </c>
      <c r="V262">
        <v>1.4256838205989501E-2</v>
      </c>
      <c r="W262">
        <v>1.80283801211382E-2</v>
      </c>
      <c r="X262">
        <v>1.42568382059894E-2</v>
      </c>
      <c r="Y262">
        <v>1.8028380121138401E-2</v>
      </c>
      <c r="Z262">
        <v>0</v>
      </c>
      <c r="AA262">
        <v>0</v>
      </c>
      <c r="AB262">
        <v>0</v>
      </c>
      <c r="AC262">
        <v>0</v>
      </c>
      <c r="AD262">
        <v>590.81421763174001</v>
      </c>
      <c r="AE262">
        <v>747.10978286638999</v>
      </c>
      <c r="AF262">
        <f t="shared" si="19"/>
        <v>0.8593530239099858</v>
      </c>
      <c r="AG262">
        <f>(F262/(D262+H262))</f>
        <v>0.46095526914328816</v>
      </c>
      <c r="AH262">
        <f>(F262/D262)</f>
        <v>0.49876948318293429</v>
      </c>
      <c r="AI262">
        <f>(E262/(D262+H262))</f>
        <v>0.46322971948446062</v>
      </c>
      <c r="AJ262">
        <f>(E262/(D262))</f>
        <v>0.50123051681706587</v>
      </c>
      <c r="AK262">
        <f>(H262/(D262+H262))</f>
        <v>7.5815011372251398E-2</v>
      </c>
      <c r="AL262">
        <f>(I262/H262)</f>
        <v>1.0000000000000102</v>
      </c>
      <c r="AM262">
        <f>J262/H262</f>
        <v>0</v>
      </c>
      <c r="AN262">
        <f>(D262+H262)/AD262</f>
        <v>2.377943337978145E-3</v>
      </c>
      <c r="AO262">
        <f>(D262+H262)/AE262</f>
        <v>1.8804769593699948E-3</v>
      </c>
    </row>
    <row r="263" spans="1:41" x14ac:dyDescent="0.35">
      <c r="A263" t="s">
        <v>61</v>
      </c>
      <c r="B263" t="s">
        <v>72</v>
      </c>
      <c r="C263">
        <f t="shared" si="16"/>
        <v>-2.8158699935514391</v>
      </c>
      <c r="D263">
        <v>-3.57454952088105</v>
      </c>
      <c r="E263">
        <v>0</v>
      </c>
      <c r="F263">
        <v>-3.57454952088105</v>
      </c>
      <c r="G263">
        <v>0.75867952732961097</v>
      </c>
      <c r="H263">
        <v>0</v>
      </c>
      <c r="I263">
        <v>0</v>
      </c>
      <c r="J263">
        <v>0</v>
      </c>
      <c r="K263">
        <v>0</v>
      </c>
      <c r="L263">
        <f t="shared" si="17"/>
        <v>-1.0749258765159457</v>
      </c>
      <c r="M263">
        <v>-1.364543031348058</v>
      </c>
      <c r="N263">
        <f t="shared" si="18"/>
        <v>-0.6381015737680924</v>
      </c>
      <c r="O263">
        <v>-0.81002520713302584</v>
      </c>
      <c r="P263">
        <v>0</v>
      </c>
      <c r="Q263">
        <v>0</v>
      </c>
      <c r="R263">
        <v>-1.364543031348058</v>
      </c>
      <c r="S263">
        <v>-0.81002520713302673</v>
      </c>
      <c r="T263">
        <v>0.2896171548321122</v>
      </c>
      <c r="U263">
        <v>0.1719236333649343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441.28867711817003</v>
      </c>
      <c r="AE263">
        <v>261.95945739796002</v>
      </c>
      <c r="AF263" t="e">
        <f t="shared" si="19"/>
        <v>#DIV/0!</v>
      </c>
      <c r="AG263">
        <f>(F263/(D263+H263))</f>
        <v>1</v>
      </c>
      <c r="AH263">
        <f>(F263/D263)</f>
        <v>1</v>
      </c>
      <c r="AI263">
        <f>(E263/(D263+H263))</f>
        <v>0</v>
      </c>
      <c r="AJ263">
        <f>(E263/(D263))</f>
        <v>0</v>
      </c>
      <c r="AK263">
        <f>(H263/(D263+H263))</f>
        <v>0</v>
      </c>
      <c r="AL263">
        <v>0</v>
      </c>
      <c r="AM263">
        <v>0</v>
      </c>
      <c r="AN263">
        <f>(D263+H263)/AD263</f>
        <v>-8.1002520713302668E-3</v>
      </c>
      <c r="AO263">
        <f>(D263+H263)/AE263</f>
        <v>-1.3645430313480587E-2</v>
      </c>
    </row>
    <row r="264" spans="1:41" x14ac:dyDescent="0.35">
      <c r="A264" t="s">
        <v>62</v>
      </c>
      <c r="B264" t="s">
        <v>72</v>
      </c>
      <c r="C264">
        <f t="shared" si="16"/>
        <v>-0.24016619392314489</v>
      </c>
      <c r="D264">
        <v>-0.24016619392314451</v>
      </c>
      <c r="E264">
        <v>-1.29965922303392E-2</v>
      </c>
      <c r="F264">
        <v>-0.2271696016928057</v>
      </c>
      <c r="G264">
        <v>0</v>
      </c>
      <c r="H264">
        <v>-0.96472621076456377</v>
      </c>
      <c r="I264">
        <v>-0.96472621076456377</v>
      </c>
      <c r="J264">
        <v>0</v>
      </c>
      <c r="K264">
        <v>0</v>
      </c>
      <c r="L264">
        <f t="shared" si="17"/>
        <v>-7.4723710140849706E-2</v>
      </c>
      <c r="M264">
        <v>-7.4723710140849706E-2</v>
      </c>
      <c r="N264">
        <f t="shared" si="18"/>
        <v>-3.4783045887894597E-2</v>
      </c>
      <c r="O264">
        <v>-3.4783045887894798E-2</v>
      </c>
      <c r="P264">
        <v>-4.0436731530561999E-3</v>
      </c>
      <c r="Q264">
        <v>-1.882284332152E-3</v>
      </c>
      <c r="R264">
        <v>-7.0680036987793501E-2</v>
      </c>
      <c r="S264">
        <v>-3.2900761555742598E-2</v>
      </c>
      <c r="T264">
        <v>0</v>
      </c>
      <c r="U264">
        <v>0</v>
      </c>
      <c r="V264">
        <v>-0.3001584884237305</v>
      </c>
      <c r="W264">
        <v>-0.13972039740537659</v>
      </c>
      <c r="X264">
        <v>-0.30015848842373088</v>
      </c>
      <c r="Y264">
        <v>-0.13972039740537659</v>
      </c>
      <c r="Z264">
        <v>0</v>
      </c>
      <c r="AA264">
        <v>0</v>
      </c>
      <c r="AB264">
        <v>0</v>
      </c>
      <c r="AC264">
        <v>0</v>
      </c>
      <c r="AD264">
        <v>690.46912883131995</v>
      </c>
      <c r="AE264">
        <v>321.40560669490998</v>
      </c>
      <c r="AF264">
        <f t="shared" si="19"/>
        <v>1.3292716698975214E-2</v>
      </c>
      <c r="AG264">
        <f>(F264/(D264+H264))</f>
        <v>0.18853932584269628</v>
      </c>
      <c r="AH264">
        <f>(F264/D264)</f>
        <v>0.94588500563698052</v>
      </c>
      <c r="AI264">
        <f>(E264/(D264+H264))</f>
        <v>1.078651685393248E-2</v>
      </c>
      <c r="AJ264">
        <f>(E264/(D264))</f>
        <v>5.4114994363021113E-2</v>
      </c>
      <c r="AK264">
        <f>(H264/(D264+H264))</f>
        <v>0.80067415730337155</v>
      </c>
      <c r="AL264">
        <f>(I264/H264)</f>
        <v>1</v>
      </c>
      <c r="AM264">
        <f>J264/H264</f>
        <v>0</v>
      </c>
      <c r="AN264">
        <f>(D264+H264)/AD264</f>
        <v>-1.7450344329327152E-3</v>
      </c>
      <c r="AO264">
        <f>(D264+H264)/AE264</f>
        <v>-3.7488219856458087E-3</v>
      </c>
    </row>
    <row r="265" spans="1:41" x14ac:dyDescent="0.35">
      <c r="A265" t="s">
        <v>63</v>
      </c>
      <c r="B265" t="s">
        <v>72</v>
      </c>
      <c r="C265">
        <f t="shared" si="16"/>
        <v>0.14534662604214299</v>
      </c>
      <c r="D265">
        <v>0.14534662604214299</v>
      </c>
      <c r="E265">
        <v>0</v>
      </c>
      <c r="F265">
        <v>0.14534662604214299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f t="shared" si="17"/>
        <v>0.22575488547941239</v>
      </c>
      <c r="M265">
        <v>0.22575488547941269</v>
      </c>
      <c r="N265">
        <f t="shared" si="18"/>
        <v>0.15931280210150359</v>
      </c>
      <c r="O265">
        <v>0.1593128021015037</v>
      </c>
      <c r="P265">
        <v>0</v>
      </c>
      <c r="Q265">
        <v>0</v>
      </c>
      <c r="R265">
        <v>0.22575488547941239</v>
      </c>
      <c r="S265">
        <v>0.15931280210150359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91.233487908610002</v>
      </c>
      <c r="AE265">
        <v>64.38249419652</v>
      </c>
      <c r="AF265" t="e">
        <f t="shared" si="19"/>
        <v>#DIV/0!</v>
      </c>
      <c r="AG265">
        <f>(F265/(D265+H265))</f>
        <v>1</v>
      </c>
      <c r="AH265">
        <f>(F265/D265)</f>
        <v>1</v>
      </c>
      <c r="AI265">
        <f>(E265/(D265+H265))</f>
        <v>0</v>
      </c>
      <c r="AJ265">
        <f>(E265/(D265))</f>
        <v>0</v>
      </c>
      <c r="AK265">
        <f>(H265/(D265+H265))</f>
        <v>0</v>
      </c>
      <c r="AL265">
        <v>0</v>
      </c>
      <c r="AM265">
        <v>0</v>
      </c>
      <c r="AN265">
        <f>(D265+H265)/AD265</f>
        <v>1.5931280210150351E-3</v>
      </c>
      <c r="AO265">
        <f>(D265+H265)/AE265</f>
        <v>2.2575488547941229E-3</v>
      </c>
    </row>
    <row r="266" spans="1:41" x14ac:dyDescent="0.35">
      <c r="A266" t="s">
        <v>64</v>
      </c>
      <c r="B266" t="s">
        <v>72</v>
      </c>
      <c r="C266">
        <f t="shared" si="16"/>
        <v>1.5108626716739559</v>
      </c>
      <c r="D266">
        <v>1.510862671673955</v>
      </c>
      <c r="E266">
        <v>0.66420956936764153</v>
      </c>
      <c r="F266">
        <v>0.84665310230631441</v>
      </c>
      <c r="G266">
        <v>0</v>
      </c>
      <c r="H266">
        <v>6.4232296886403001E-3</v>
      </c>
      <c r="I266">
        <v>0</v>
      </c>
      <c r="J266">
        <v>6.4232296886403001E-3</v>
      </c>
      <c r="K266">
        <v>0</v>
      </c>
      <c r="L266">
        <f t="shared" si="17"/>
        <v>1.0251200504614806</v>
      </c>
      <c r="M266">
        <v>1.0251200504614819</v>
      </c>
      <c r="N266">
        <f t="shared" si="18"/>
        <v>0.48755094727856185</v>
      </c>
      <c r="O266">
        <v>0.48755094727856191</v>
      </c>
      <c r="P266">
        <v>0.45066607312017209</v>
      </c>
      <c r="Q266">
        <v>0.21433847748577059</v>
      </c>
      <c r="R266">
        <v>0.57445397734130843</v>
      </c>
      <c r="S266">
        <v>0.27321246979279129</v>
      </c>
      <c r="T266">
        <v>0</v>
      </c>
      <c r="U266">
        <v>0</v>
      </c>
      <c r="V266">
        <v>4.3581601862259E-3</v>
      </c>
      <c r="W266">
        <v>2.0727573577650001E-3</v>
      </c>
      <c r="X266">
        <v>0</v>
      </c>
      <c r="Y266">
        <v>0</v>
      </c>
      <c r="Z266">
        <v>4.3581601862259E-3</v>
      </c>
      <c r="AA266">
        <v>2.0727573577650001E-3</v>
      </c>
      <c r="AB266">
        <v>0</v>
      </c>
      <c r="AC266">
        <v>0</v>
      </c>
      <c r="AD266">
        <v>309.88816247970999</v>
      </c>
      <c r="AE266">
        <v>147.38397429586999</v>
      </c>
      <c r="AF266">
        <f t="shared" si="19"/>
        <v>1</v>
      </c>
      <c r="AG266">
        <f>(F266/(D266+H266))</f>
        <v>0.55800498874073723</v>
      </c>
      <c r="AH266">
        <f>(F266/D266)</f>
        <v>0.56037727199141674</v>
      </c>
      <c r="AI266">
        <f>(E266/(D266+H266))</f>
        <v>0.43776164318876853</v>
      </c>
      <c r="AJ266">
        <f>(E266/(D266))</f>
        <v>0.43962272800858387</v>
      </c>
      <c r="AK266">
        <f>(H266/(D266+H266))</f>
        <v>4.2333680704947779E-3</v>
      </c>
      <c r="AL266">
        <f>(I266/H266)</f>
        <v>0</v>
      </c>
      <c r="AM266">
        <f>J266/H266</f>
        <v>1</v>
      </c>
      <c r="AN266">
        <f>(D266+H266)/AD266</f>
        <v>4.8962370463632669E-3</v>
      </c>
      <c r="AO266">
        <f>(D266+H266)/AE266</f>
        <v>1.0294782106477047E-2</v>
      </c>
    </row>
    <row r="267" spans="1:41" x14ac:dyDescent="0.35">
      <c r="A267" t="s">
        <v>65</v>
      </c>
      <c r="B267" t="s">
        <v>72</v>
      </c>
      <c r="C267">
        <f t="shared" si="16"/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f t="shared" si="17"/>
        <v>0</v>
      </c>
      <c r="M267">
        <v>0</v>
      </c>
      <c r="N267">
        <f t="shared" si="18"/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1215.4228689920101</v>
      </c>
      <c r="AE267">
        <v>571.50311712429004</v>
      </c>
      <c r="AF267" t="e">
        <f t="shared" si="19"/>
        <v>#DIV/0!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f>(D267+H267)/AD267</f>
        <v>0</v>
      </c>
      <c r="AO267">
        <f>(D267+H267)/AE267</f>
        <v>0</v>
      </c>
    </row>
  </sheetData>
  <conditionalFormatting sqref="C1:G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2024-05-06T15:35:04Z</dcterms:created>
  <dcterms:modified xsi:type="dcterms:W3CDTF">2024-05-09T16:06:04Z</dcterms:modified>
</cp:coreProperties>
</file>