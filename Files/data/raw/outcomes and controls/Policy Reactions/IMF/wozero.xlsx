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349" documentId="8_{BCB84A23-4B06-4974-9719-51B2FCF4C5B3}" xr6:coauthVersionLast="47" xr6:coauthVersionMax="47" xr10:uidLastSave="{D886761F-2E1D-4856-A5FA-7211FDC6FBA6}"/>
  <bookViews>
    <workbookView xWindow="-30480" yWindow="-21720" windowWidth="51840" windowHeight="21120" xr2:uid="{025B1AFE-A1CE-45C1-B221-3D763FD5E6CE}"/>
  </bookViews>
  <sheets>
    <sheet name="diff" sheetId="2" r:id="rId1"/>
    <sheet name="Tabelle1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D3" i="2"/>
  <c r="AE3" i="2"/>
  <c r="AF3" i="2"/>
  <c r="AG3" i="2"/>
  <c r="AH3" i="2"/>
  <c r="AI3" i="2"/>
  <c r="AJ3" i="2"/>
  <c r="AK3" i="2"/>
  <c r="AL3" i="2"/>
  <c r="AC4" i="2"/>
  <c r="AD4" i="2"/>
  <c r="AE4" i="2"/>
  <c r="AF4" i="2"/>
  <c r="AG4" i="2"/>
  <c r="AH4" i="2"/>
  <c r="AI4" i="2"/>
  <c r="AJ4" i="2"/>
  <c r="AK4" i="2"/>
  <c r="AL4" i="2"/>
  <c r="AC5" i="2"/>
  <c r="AD5" i="2"/>
  <c r="AE5" i="2"/>
  <c r="AF5" i="2"/>
  <c r="AG5" i="2"/>
  <c r="AH5" i="2"/>
  <c r="AI5" i="2"/>
  <c r="AJ5" i="2"/>
  <c r="AK5" i="2"/>
  <c r="AL5" i="2"/>
  <c r="AC6" i="2"/>
  <c r="AD6" i="2"/>
  <c r="AE6" i="2"/>
  <c r="AF6" i="2"/>
  <c r="AG6" i="2"/>
  <c r="AH6" i="2"/>
  <c r="AI6" i="2"/>
  <c r="AJ6" i="2"/>
  <c r="AK6" i="2"/>
  <c r="AL6" i="2"/>
  <c r="AC7" i="2"/>
  <c r="AD7" i="2"/>
  <c r="AE7" i="2"/>
  <c r="AF7" i="2"/>
  <c r="AG7" i="2"/>
  <c r="AH7" i="2"/>
  <c r="AI7" i="2"/>
  <c r="AJ7" i="2"/>
  <c r="AK7" i="2"/>
  <c r="AL7" i="2"/>
  <c r="AC8" i="2"/>
  <c r="AD8" i="2"/>
  <c r="AE8" i="2"/>
  <c r="AF8" i="2"/>
  <c r="AG8" i="2"/>
  <c r="AH8" i="2"/>
  <c r="AI8" i="2"/>
  <c r="AJ8" i="2"/>
  <c r="AK8" i="2"/>
  <c r="AL8" i="2"/>
  <c r="AC9" i="2"/>
  <c r="AD9" i="2"/>
  <c r="AE9" i="2"/>
  <c r="AF9" i="2"/>
  <c r="AG9" i="2"/>
  <c r="AH9" i="2"/>
  <c r="AI9" i="2"/>
  <c r="AJ9" i="2"/>
  <c r="AK9" i="2"/>
  <c r="AL9" i="2"/>
  <c r="AC10" i="2"/>
  <c r="AD10" i="2"/>
  <c r="AE10" i="2"/>
  <c r="AF10" i="2"/>
  <c r="AG10" i="2"/>
  <c r="AH10" i="2"/>
  <c r="AI10" i="2"/>
  <c r="AJ10" i="2"/>
  <c r="AK10" i="2"/>
  <c r="AL10" i="2"/>
  <c r="AC11" i="2"/>
  <c r="AD11" i="2"/>
  <c r="AE11" i="2"/>
  <c r="AF11" i="2"/>
  <c r="AG11" i="2"/>
  <c r="AH11" i="2"/>
  <c r="AI11" i="2"/>
  <c r="AJ11" i="2"/>
  <c r="AK11" i="2"/>
  <c r="AL11" i="2"/>
  <c r="AC12" i="2"/>
  <c r="AD12" i="2"/>
  <c r="AE12" i="2"/>
  <c r="AF12" i="2"/>
  <c r="AG12" i="2"/>
  <c r="AH12" i="2"/>
  <c r="AI12" i="2"/>
  <c r="AJ12" i="2"/>
  <c r="AK12" i="2"/>
  <c r="AL12" i="2"/>
  <c r="AC13" i="2"/>
  <c r="AD13" i="2"/>
  <c r="AE13" i="2"/>
  <c r="AF13" i="2"/>
  <c r="AG13" i="2"/>
  <c r="AH13" i="2"/>
  <c r="AI13" i="2"/>
  <c r="AJ13" i="2"/>
  <c r="AK13" i="2"/>
  <c r="AL13" i="2"/>
  <c r="AC14" i="2"/>
  <c r="AD14" i="2"/>
  <c r="AE14" i="2"/>
  <c r="AF14" i="2"/>
  <c r="AG14" i="2"/>
  <c r="AH14" i="2"/>
  <c r="AI14" i="2"/>
  <c r="AJ14" i="2"/>
  <c r="AK14" i="2"/>
  <c r="AL14" i="2"/>
  <c r="AC15" i="2"/>
  <c r="AD15" i="2"/>
  <c r="AE15" i="2"/>
  <c r="AF15" i="2"/>
  <c r="AG15" i="2"/>
  <c r="AH15" i="2"/>
  <c r="AI15" i="2"/>
  <c r="AJ15" i="2"/>
  <c r="AK15" i="2"/>
  <c r="AL15" i="2"/>
  <c r="AC16" i="2"/>
  <c r="AD16" i="2"/>
  <c r="AE16" i="2"/>
  <c r="AF16" i="2"/>
  <c r="AG16" i="2"/>
  <c r="AH16" i="2"/>
  <c r="AI16" i="2"/>
  <c r="AJ16" i="2"/>
  <c r="AK16" i="2"/>
  <c r="AL16" i="2"/>
  <c r="AC17" i="2"/>
  <c r="AD17" i="2"/>
  <c r="AE17" i="2"/>
  <c r="AF17" i="2"/>
  <c r="AG17" i="2"/>
  <c r="AH17" i="2"/>
  <c r="AI17" i="2"/>
  <c r="AJ17" i="2"/>
  <c r="AK17" i="2"/>
  <c r="AL17" i="2"/>
  <c r="AC18" i="2"/>
  <c r="AD18" i="2"/>
  <c r="AE18" i="2"/>
  <c r="AF18" i="2"/>
  <c r="AG18" i="2"/>
  <c r="AH18" i="2"/>
  <c r="AI18" i="2"/>
  <c r="AJ18" i="2"/>
  <c r="AK18" i="2"/>
  <c r="AL18" i="2"/>
  <c r="AC19" i="2"/>
  <c r="AD19" i="2"/>
  <c r="AE19" i="2"/>
  <c r="AF19" i="2"/>
  <c r="AG19" i="2"/>
  <c r="AH19" i="2"/>
  <c r="AI19" i="2"/>
  <c r="AJ19" i="2"/>
  <c r="AK19" i="2"/>
  <c r="AL19" i="2"/>
  <c r="AC20" i="2"/>
  <c r="AD20" i="2"/>
  <c r="AE20" i="2"/>
  <c r="AF20" i="2"/>
  <c r="AG20" i="2"/>
  <c r="AH20" i="2"/>
  <c r="AI20" i="2"/>
  <c r="AJ20" i="2"/>
  <c r="AK20" i="2"/>
  <c r="AL20" i="2"/>
  <c r="AC21" i="2"/>
  <c r="AD21" i="2"/>
  <c r="AE21" i="2"/>
  <c r="AF21" i="2"/>
  <c r="AG21" i="2"/>
  <c r="AH21" i="2"/>
  <c r="AI21" i="2"/>
  <c r="AJ21" i="2"/>
  <c r="AK21" i="2"/>
  <c r="AL21" i="2"/>
  <c r="AC22" i="2"/>
  <c r="AD22" i="2"/>
  <c r="AE22" i="2"/>
  <c r="AF22" i="2"/>
  <c r="AG22" i="2"/>
  <c r="AH22" i="2"/>
  <c r="AI22" i="2"/>
  <c r="AJ22" i="2"/>
  <c r="AK22" i="2"/>
  <c r="AL22" i="2"/>
  <c r="AC23" i="2"/>
  <c r="AD23" i="2"/>
  <c r="AE23" i="2"/>
  <c r="AF23" i="2"/>
  <c r="AG23" i="2"/>
  <c r="AH23" i="2"/>
  <c r="AI23" i="2"/>
  <c r="AJ23" i="2"/>
  <c r="AK23" i="2"/>
  <c r="AL23" i="2"/>
  <c r="AC24" i="2"/>
  <c r="AD24" i="2"/>
  <c r="AE24" i="2"/>
  <c r="AF24" i="2"/>
  <c r="AG24" i="2"/>
  <c r="AH24" i="2"/>
  <c r="AI24" i="2"/>
  <c r="AJ24" i="2"/>
  <c r="AK24" i="2"/>
  <c r="AL24" i="2"/>
  <c r="AC25" i="2"/>
  <c r="AD25" i="2"/>
  <c r="AE25" i="2"/>
  <c r="AF25" i="2"/>
  <c r="AG25" i="2"/>
  <c r="AH25" i="2"/>
  <c r="AI25" i="2"/>
  <c r="AJ25" i="2"/>
  <c r="AK25" i="2"/>
  <c r="AL25" i="2"/>
  <c r="AC26" i="2"/>
  <c r="AD26" i="2"/>
  <c r="AE26" i="2"/>
  <c r="AF26" i="2"/>
  <c r="AG26" i="2"/>
  <c r="AH26" i="2"/>
  <c r="AI26" i="2"/>
  <c r="AJ26" i="2"/>
  <c r="AK26" i="2"/>
  <c r="AL26" i="2"/>
  <c r="AC27" i="2"/>
  <c r="AD27" i="2"/>
  <c r="AE27" i="2"/>
  <c r="AF27" i="2"/>
  <c r="AG27" i="2"/>
  <c r="AH27" i="2"/>
  <c r="AI27" i="2"/>
  <c r="AJ27" i="2"/>
  <c r="AK27" i="2"/>
  <c r="AL27" i="2"/>
  <c r="AC28" i="2"/>
  <c r="AD28" i="2"/>
  <c r="AE28" i="2"/>
  <c r="AF28" i="2"/>
  <c r="AG28" i="2"/>
  <c r="AH28" i="2"/>
  <c r="AI28" i="2"/>
  <c r="AJ28" i="2"/>
  <c r="AK28" i="2"/>
  <c r="AL28" i="2"/>
  <c r="AC29" i="2"/>
  <c r="AD29" i="2"/>
  <c r="AE29" i="2"/>
  <c r="AF29" i="2"/>
  <c r="AG29" i="2"/>
  <c r="AH29" i="2"/>
  <c r="AI29" i="2"/>
  <c r="AJ29" i="2"/>
  <c r="AK29" i="2"/>
  <c r="AL29" i="2"/>
  <c r="AC30" i="2"/>
  <c r="AD30" i="2"/>
  <c r="AE30" i="2"/>
  <c r="AF30" i="2"/>
  <c r="AG30" i="2"/>
  <c r="AH30" i="2"/>
  <c r="AI30" i="2"/>
  <c r="AJ30" i="2"/>
  <c r="AK30" i="2"/>
  <c r="AL30" i="2"/>
  <c r="AC31" i="2"/>
  <c r="AD31" i="2"/>
  <c r="AE31" i="2"/>
  <c r="AF31" i="2"/>
  <c r="AG31" i="2"/>
  <c r="AH31" i="2"/>
  <c r="AI31" i="2"/>
  <c r="AJ31" i="2"/>
  <c r="AK31" i="2"/>
  <c r="AL31" i="2"/>
  <c r="AC32" i="2"/>
  <c r="AD32" i="2"/>
  <c r="AE32" i="2"/>
  <c r="AF32" i="2"/>
  <c r="AG32" i="2"/>
  <c r="AH32" i="2"/>
  <c r="AI32" i="2"/>
  <c r="AJ32" i="2"/>
  <c r="AK32" i="2"/>
  <c r="AL32" i="2"/>
  <c r="AC33" i="2"/>
  <c r="AD33" i="2"/>
  <c r="AE33" i="2"/>
  <c r="AF33" i="2"/>
  <c r="AG33" i="2"/>
  <c r="AH33" i="2"/>
  <c r="AI33" i="2"/>
  <c r="AJ33" i="2"/>
  <c r="AK33" i="2"/>
  <c r="AL33" i="2"/>
  <c r="AC34" i="2"/>
  <c r="AD34" i="2"/>
  <c r="AE34" i="2"/>
  <c r="AF34" i="2"/>
  <c r="AG34" i="2"/>
  <c r="AH34" i="2"/>
  <c r="AI34" i="2"/>
  <c r="AJ34" i="2"/>
  <c r="AK34" i="2"/>
  <c r="AL34" i="2"/>
  <c r="AC35" i="2"/>
  <c r="AD35" i="2"/>
  <c r="AE35" i="2"/>
  <c r="AF35" i="2"/>
  <c r="AG35" i="2"/>
  <c r="AH35" i="2"/>
  <c r="AI35" i="2"/>
  <c r="AJ35" i="2"/>
  <c r="AK35" i="2"/>
  <c r="AL35" i="2"/>
  <c r="AC36" i="2"/>
  <c r="AD36" i="2"/>
  <c r="AE36" i="2"/>
  <c r="AF36" i="2"/>
  <c r="AG36" i="2"/>
  <c r="AH36" i="2"/>
  <c r="AI36" i="2"/>
  <c r="AJ36" i="2"/>
  <c r="AK36" i="2"/>
  <c r="AL36" i="2"/>
  <c r="AC37" i="2"/>
  <c r="AD37" i="2"/>
  <c r="AE37" i="2"/>
  <c r="AF37" i="2"/>
  <c r="AG37" i="2"/>
  <c r="AH37" i="2"/>
  <c r="AI37" i="2"/>
  <c r="AJ37" i="2"/>
  <c r="AK37" i="2"/>
  <c r="AL37" i="2"/>
  <c r="AC38" i="2"/>
  <c r="AD38" i="2"/>
  <c r="AE38" i="2"/>
  <c r="AF38" i="2"/>
  <c r="AG38" i="2"/>
  <c r="AH38" i="2"/>
  <c r="AI38" i="2"/>
  <c r="AJ38" i="2"/>
  <c r="AK38" i="2"/>
  <c r="AL38" i="2"/>
  <c r="AC39" i="2"/>
  <c r="AD39" i="2"/>
  <c r="AE39" i="2"/>
  <c r="AF39" i="2"/>
  <c r="AG39" i="2"/>
  <c r="AH39" i="2"/>
  <c r="AI39" i="2"/>
  <c r="AJ39" i="2"/>
  <c r="AK39" i="2"/>
  <c r="AL39" i="2"/>
  <c r="AC40" i="2"/>
  <c r="AD40" i="2"/>
  <c r="AE40" i="2"/>
  <c r="AF40" i="2"/>
  <c r="AG40" i="2"/>
  <c r="AH40" i="2"/>
  <c r="AI40" i="2"/>
  <c r="AJ40" i="2"/>
  <c r="AK40" i="2"/>
  <c r="AL40" i="2"/>
  <c r="AC41" i="2"/>
  <c r="AD41" i="2"/>
  <c r="AE41" i="2"/>
  <c r="AF41" i="2"/>
  <c r="AG41" i="2"/>
  <c r="AH41" i="2"/>
  <c r="AI41" i="2"/>
  <c r="AJ41" i="2"/>
  <c r="AK41" i="2"/>
  <c r="AL41" i="2"/>
  <c r="AC42" i="2"/>
  <c r="AD42" i="2"/>
  <c r="AE42" i="2"/>
  <c r="AF42" i="2"/>
  <c r="AG42" i="2"/>
  <c r="AH42" i="2"/>
  <c r="AI42" i="2"/>
  <c r="AJ42" i="2"/>
  <c r="AK42" i="2"/>
  <c r="AL42" i="2"/>
  <c r="AC43" i="2"/>
  <c r="AD43" i="2"/>
  <c r="AE43" i="2"/>
  <c r="AF43" i="2"/>
  <c r="AG43" i="2"/>
  <c r="AH43" i="2"/>
  <c r="AI43" i="2"/>
  <c r="AJ43" i="2"/>
  <c r="AK43" i="2"/>
  <c r="AL43" i="2"/>
  <c r="AC44" i="2"/>
  <c r="AD44" i="2"/>
  <c r="AE44" i="2"/>
  <c r="AF44" i="2"/>
  <c r="AG44" i="2"/>
  <c r="AH44" i="2"/>
  <c r="AI44" i="2"/>
  <c r="AJ44" i="2"/>
  <c r="AK44" i="2"/>
  <c r="AL44" i="2"/>
  <c r="AC45" i="2"/>
  <c r="AD45" i="2"/>
  <c r="AE45" i="2"/>
  <c r="AF45" i="2"/>
  <c r="AG45" i="2"/>
  <c r="AH45" i="2"/>
  <c r="AI45" i="2"/>
  <c r="AJ45" i="2"/>
  <c r="AK45" i="2"/>
  <c r="AL45" i="2"/>
  <c r="AC46" i="2"/>
  <c r="AD46" i="2"/>
  <c r="AE46" i="2"/>
  <c r="AF46" i="2"/>
  <c r="AG46" i="2"/>
  <c r="AH46" i="2"/>
  <c r="AI46" i="2"/>
  <c r="AJ46" i="2"/>
  <c r="AK46" i="2"/>
  <c r="AL46" i="2"/>
  <c r="AC47" i="2"/>
  <c r="AD47" i="2"/>
  <c r="AE47" i="2"/>
  <c r="AF47" i="2"/>
  <c r="AG47" i="2"/>
  <c r="AH47" i="2"/>
  <c r="AI47" i="2"/>
  <c r="AJ47" i="2"/>
  <c r="AK47" i="2"/>
  <c r="AL47" i="2"/>
  <c r="AC48" i="2"/>
  <c r="AD48" i="2"/>
  <c r="AE48" i="2"/>
  <c r="AF48" i="2"/>
  <c r="AG48" i="2"/>
  <c r="AH48" i="2"/>
  <c r="AI48" i="2"/>
  <c r="AJ48" i="2"/>
  <c r="AK48" i="2"/>
  <c r="AL48" i="2"/>
  <c r="AC49" i="2"/>
  <c r="AD49" i="2"/>
  <c r="AE49" i="2"/>
  <c r="AF49" i="2"/>
  <c r="AG49" i="2"/>
  <c r="AH49" i="2"/>
  <c r="AI49" i="2"/>
  <c r="AJ49" i="2"/>
  <c r="AK49" i="2"/>
  <c r="AL49" i="2"/>
  <c r="AC50" i="2"/>
  <c r="AD50" i="2"/>
  <c r="AE50" i="2"/>
  <c r="AF50" i="2"/>
  <c r="AG50" i="2"/>
  <c r="AH50" i="2"/>
  <c r="AI50" i="2"/>
  <c r="AJ50" i="2"/>
  <c r="AK50" i="2"/>
  <c r="AL50" i="2"/>
  <c r="AC51" i="2"/>
  <c r="AD51" i="2"/>
  <c r="AE51" i="2"/>
  <c r="AF51" i="2"/>
  <c r="AG51" i="2"/>
  <c r="AH51" i="2"/>
  <c r="AI51" i="2"/>
  <c r="AJ51" i="2"/>
  <c r="AK51" i="2"/>
  <c r="AL51" i="2"/>
  <c r="AC52" i="2"/>
  <c r="AD52" i="2"/>
  <c r="AE52" i="2"/>
  <c r="AF52" i="2"/>
  <c r="AG52" i="2"/>
  <c r="AH52" i="2"/>
  <c r="AI52" i="2"/>
  <c r="AJ52" i="2"/>
  <c r="AK52" i="2"/>
  <c r="AL52" i="2"/>
  <c r="AC53" i="2"/>
  <c r="AD53" i="2"/>
  <c r="AE53" i="2"/>
  <c r="AF53" i="2"/>
  <c r="AG53" i="2"/>
  <c r="AH53" i="2"/>
  <c r="AI53" i="2"/>
  <c r="AJ53" i="2"/>
  <c r="AK53" i="2"/>
  <c r="AL53" i="2"/>
  <c r="AC54" i="2"/>
  <c r="AD54" i="2"/>
  <c r="AE54" i="2"/>
  <c r="AF54" i="2"/>
  <c r="AG54" i="2"/>
  <c r="AH54" i="2"/>
  <c r="AI54" i="2"/>
  <c r="AJ54" i="2"/>
  <c r="AK54" i="2"/>
  <c r="AL54" i="2"/>
  <c r="AC55" i="2"/>
  <c r="AD55" i="2"/>
  <c r="AE55" i="2"/>
  <c r="AF55" i="2"/>
  <c r="AG55" i="2"/>
  <c r="AH55" i="2"/>
  <c r="AI55" i="2"/>
  <c r="AJ55" i="2"/>
  <c r="AK55" i="2"/>
  <c r="AL55" i="2"/>
  <c r="AC56" i="2"/>
  <c r="AD56" i="2"/>
  <c r="AE56" i="2"/>
  <c r="AF56" i="2"/>
  <c r="AG56" i="2"/>
  <c r="AH56" i="2"/>
  <c r="AI56" i="2"/>
  <c r="AJ56" i="2"/>
  <c r="AK56" i="2"/>
  <c r="AL56" i="2"/>
  <c r="AC57" i="2"/>
  <c r="AD57" i="2"/>
  <c r="AE57" i="2"/>
  <c r="AF57" i="2"/>
  <c r="AG57" i="2"/>
  <c r="AH57" i="2"/>
  <c r="AI57" i="2"/>
  <c r="AJ57" i="2"/>
  <c r="AK57" i="2"/>
  <c r="AL57" i="2"/>
  <c r="AC58" i="2"/>
  <c r="AD58" i="2"/>
  <c r="AE58" i="2"/>
  <c r="AF58" i="2"/>
  <c r="AG58" i="2"/>
  <c r="AH58" i="2"/>
  <c r="AI58" i="2"/>
  <c r="AJ58" i="2"/>
  <c r="AK58" i="2"/>
  <c r="AL58" i="2"/>
  <c r="AC59" i="2"/>
  <c r="AD59" i="2"/>
  <c r="AE59" i="2"/>
  <c r="AF59" i="2"/>
  <c r="AG59" i="2"/>
  <c r="AH59" i="2"/>
  <c r="AI59" i="2"/>
  <c r="AJ59" i="2"/>
  <c r="AK59" i="2"/>
  <c r="AL59" i="2"/>
  <c r="AC60" i="2"/>
  <c r="AD60" i="2"/>
  <c r="AE60" i="2"/>
  <c r="AF60" i="2"/>
  <c r="AG60" i="2"/>
  <c r="AH60" i="2"/>
  <c r="AI60" i="2"/>
  <c r="AJ60" i="2"/>
  <c r="AK60" i="2"/>
  <c r="AL60" i="2"/>
  <c r="AC61" i="2"/>
  <c r="AD61" i="2"/>
  <c r="AE61" i="2"/>
  <c r="AF61" i="2"/>
  <c r="AG61" i="2"/>
  <c r="AH61" i="2"/>
  <c r="AI61" i="2"/>
  <c r="AJ61" i="2"/>
  <c r="AK61" i="2"/>
  <c r="AL61" i="2"/>
  <c r="AC62" i="2"/>
  <c r="AD62" i="2"/>
  <c r="AE62" i="2"/>
  <c r="AF62" i="2"/>
  <c r="AG62" i="2"/>
  <c r="AH62" i="2"/>
  <c r="AI62" i="2"/>
  <c r="AJ62" i="2"/>
  <c r="AK62" i="2"/>
  <c r="AL62" i="2"/>
  <c r="AC63" i="2"/>
  <c r="AD63" i="2"/>
  <c r="AE63" i="2"/>
  <c r="AF63" i="2"/>
  <c r="AG63" i="2"/>
  <c r="AH63" i="2"/>
  <c r="AI63" i="2"/>
  <c r="AJ63" i="2"/>
  <c r="AK63" i="2"/>
  <c r="AL63" i="2"/>
  <c r="AC64" i="2"/>
  <c r="AD64" i="2"/>
  <c r="AE64" i="2"/>
  <c r="AF64" i="2"/>
  <c r="AG64" i="2"/>
  <c r="AH64" i="2"/>
  <c r="AI64" i="2"/>
  <c r="AJ64" i="2"/>
  <c r="AK64" i="2"/>
  <c r="AL64" i="2"/>
  <c r="AC65" i="2"/>
  <c r="AD65" i="2"/>
  <c r="AE65" i="2"/>
  <c r="AF65" i="2"/>
  <c r="AG65" i="2"/>
  <c r="AH65" i="2"/>
  <c r="AI65" i="2"/>
  <c r="AJ65" i="2"/>
  <c r="AK65" i="2"/>
  <c r="AL65" i="2"/>
  <c r="AC66" i="2"/>
  <c r="AD66" i="2"/>
  <c r="AE66" i="2"/>
  <c r="AF66" i="2"/>
  <c r="AG66" i="2"/>
  <c r="AH66" i="2"/>
  <c r="AI66" i="2"/>
  <c r="AJ66" i="2"/>
  <c r="AK66" i="2"/>
  <c r="AL66" i="2"/>
  <c r="AC67" i="2"/>
  <c r="AD67" i="2"/>
  <c r="AE67" i="2"/>
  <c r="AF67" i="2"/>
  <c r="AG67" i="2"/>
  <c r="AH67" i="2"/>
  <c r="AI67" i="2"/>
  <c r="AJ67" i="2"/>
  <c r="AK67" i="2"/>
  <c r="AL67" i="2"/>
  <c r="AC68" i="2"/>
  <c r="AD68" i="2"/>
  <c r="AE68" i="2"/>
  <c r="AF68" i="2"/>
  <c r="AG68" i="2"/>
  <c r="AH68" i="2"/>
  <c r="AI68" i="2"/>
  <c r="AJ68" i="2"/>
  <c r="AK68" i="2"/>
  <c r="AL68" i="2"/>
  <c r="AC69" i="2"/>
  <c r="AD69" i="2"/>
  <c r="AE69" i="2"/>
  <c r="AF69" i="2"/>
  <c r="AG69" i="2"/>
  <c r="AH69" i="2"/>
  <c r="AI69" i="2"/>
  <c r="AJ69" i="2"/>
  <c r="AK69" i="2"/>
  <c r="AL69" i="2"/>
  <c r="AC70" i="2"/>
  <c r="AD70" i="2"/>
  <c r="AE70" i="2"/>
  <c r="AF70" i="2"/>
  <c r="AG70" i="2"/>
  <c r="AH70" i="2"/>
  <c r="AI70" i="2"/>
  <c r="AJ70" i="2"/>
  <c r="AK70" i="2"/>
  <c r="AL70" i="2"/>
  <c r="AC71" i="2"/>
  <c r="AD71" i="2"/>
  <c r="AE71" i="2"/>
  <c r="AF71" i="2"/>
  <c r="AG71" i="2"/>
  <c r="AH71" i="2"/>
  <c r="AI71" i="2"/>
  <c r="AJ71" i="2"/>
  <c r="AK71" i="2"/>
  <c r="AL71" i="2"/>
  <c r="AC72" i="2"/>
  <c r="AD72" i="2"/>
  <c r="AE72" i="2"/>
  <c r="AF72" i="2"/>
  <c r="AG72" i="2"/>
  <c r="AH72" i="2"/>
  <c r="AI72" i="2"/>
  <c r="AJ72" i="2"/>
  <c r="AK72" i="2"/>
  <c r="AL72" i="2"/>
  <c r="AC73" i="2"/>
  <c r="AD73" i="2"/>
  <c r="AE73" i="2"/>
  <c r="AF73" i="2"/>
  <c r="AG73" i="2"/>
  <c r="AH73" i="2"/>
  <c r="AI73" i="2"/>
  <c r="AJ73" i="2"/>
  <c r="AK73" i="2"/>
  <c r="AL73" i="2"/>
  <c r="AC74" i="2"/>
  <c r="AD74" i="2"/>
  <c r="AE74" i="2"/>
  <c r="AF74" i="2"/>
  <c r="AG74" i="2"/>
  <c r="AH74" i="2"/>
  <c r="AI74" i="2"/>
  <c r="AJ74" i="2"/>
  <c r="AK74" i="2"/>
  <c r="AL74" i="2"/>
  <c r="AC75" i="2"/>
  <c r="AD75" i="2"/>
  <c r="AE75" i="2"/>
  <c r="AF75" i="2"/>
  <c r="AG75" i="2"/>
  <c r="AH75" i="2"/>
  <c r="AI75" i="2"/>
  <c r="AJ75" i="2"/>
  <c r="AK75" i="2"/>
  <c r="AL75" i="2"/>
  <c r="AC76" i="2"/>
  <c r="AD76" i="2"/>
  <c r="AE76" i="2"/>
  <c r="AF76" i="2"/>
  <c r="AG76" i="2"/>
  <c r="AH76" i="2"/>
  <c r="AI76" i="2"/>
  <c r="AJ76" i="2"/>
  <c r="AK76" i="2"/>
  <c r="AL76" i="2"/>
  <c r="AC77" i="2"/>
  <c r="AD77" i="2"/>
  <c r="AE77" i="2"/>
  <c r="AF77" i="2"/>
  <c r="AG77" i="2"/>
  <c r="AH77" i="2"/>
  <c r="AI77" i="2"/>
  <c r="AJ77" i="2"/>
  <c r="AK77" i="2"/>
  <c r="AL77" i="2"/>
  <c r="AC78" i="2"/>
  <c r="AD78" i="2"/>
  <c r="AE78" i="2"/>
  <c r="AF78" i="2"/>
  <c r="AG78" i="2"/>
  <c r="AH78" i="2"/>
  <c r="AI78" i="2"/>
  <c r="AJ78" i="2"/>
  <c r="AK78" i="2"/>
  <c r="AL78" i="2"/>
  <c r="AC79" i="2"/>
  <c r="AD79" i="2"/>
  <c r="AE79" i="2"/>
  <c r="AF79" i="2"/>
  <c r="AG79" i="2"/>
  <c r="AH79" i="2"/>
  <c r="AI79" i="2"/>
  <c r="AJ79" i="2"/>
  <c r="AK79" i="2"/>
  <c r="AL79" i="2"/>
  <c r="AC80" i="2"/>
  <c r="AD80" i="2"/>
  <c r="AE80" i="2"/>
  <c r="AF80" i="2"/>
  <c r="AG80" i="2"/>
  <c r="AH80" i="2"/>
  <c r="AI80" i="2"/>
  <c r="AJ80" i="2"/>
  <c r="AK80" i="2"/>
  <c r="AL80" i="2"/>
  <c r="AC81" i="2"/>
  <c r="AD81" i="2"/>
  <c r="AE81" i="2"/>
  <c r="AF81" i="2"/>
  <c r="AG81" i="2"/>
  <c r="AH81" i="2"/>
  <c r="AI81" i="2"/>
  <c r="AJ81" i="2"/>
  <c r="AK81" i="2"/>
  <c r="AL81" i="2"/>
  <c r="AC82" i="2"/>
  <c r="AD82" i="2"/>
  <c r="AE82" i="2"/>
  <c r="AF82" i="2"/>
  <c r="AG82" i="2"/>
  <c r="AH82" i="2"/>
  <c r="AI82" i="2"/>
  <c r="AJ82" i="2"/>
  <c r="AK82" i="2"/>
  <c r="AL82" i="2"/>
  <c r="AC83" i="2"/>
  <c r="AD83" i="2"/>
  <c r="AE83" i="2"/>
  <c r="AF83" i="2"/>
  <c r="AG83" i="2"/>
  <c r="AH83" i="2"/>
  <c r="AI83" i="2"/>
  <c r="AJ83" i="2"/>
  <c r="AK83" i="2"/>
  <c r="AL83" i="2"/>
  <c r="AC84" i="2"/>
  <c r="AD84" i="2"/>
  <c r="AE84" i="2"/>
  <c r="AF84" i="2"/>
  <c r="AG84" i="2"/>
  <c r="AH84" i="2"/>
  <c r="AI84" i="2"/>
  <c r="AJ84" i="2"/>
  <c r="AK84" i="2"/>
  <c r="AL84" i="2"/>
  <c r="AC85" i="2"/>
  <c r="AD85" i="2"/>
  <c r="AE85" i="2"/>
  <c r="AF85" i="2"/>
  <c r="AG85" i="2"/>
  <c r="AH85" i="2"/>
  <c r="AI85" i="2"/>
  <c r="AJ85" i="2"/>
  <c r="AK85" i="2"/>
  <c r="AL85" i="2"/>
  <c r="AC86" i="2"/>
  <c r="AD86" i="2"/>
  <c r="AE86" i="2"/>
  <c r="AF86" i="2"/>
  <c r="AG86" i="2"/>
  <c r="AH86" i="2"/>
  <c r="AI86" i="2"/>
  <c r="AJ86" i="2"/>
  <c r="AK86" i="2"/>
  <c r="AL86" i="2"/>
  <c r="AC87" i="2"/>
  <c r="AD87" i="2"/>
  <c r="AE87" i="2"/>
  <c r="AF87" i="2"/>
  <c r="AG87" i="2"/>
  <c r="AH87" i="2"/>
  <c r="AI87" i="2"/>
  <c r="AJ87" i="2"/>
  <c r="AK87" i="2"/>
  <c r="AL87" i="2"/>
  <c r="AC88" i="2"/>
  <c r="AD88" i="2"/>
  <c r="AE88" i="2"/>
  <c r="AF88" i="2"/>
  <c r="AG88" i="2"/>
  <c r="AH88" i="2"/>
  <c r="AI88" i="2"/>
  <c r="AJ88" i="2"/>
  <c r="AK88" i="2"/>
  <c r="AL88" i="2"/>
  <c r="AC89" i="2"/>
  <c r="AD89" i="2"/>
  <c r="AE89" i="2"/>
  <c r="AF89" i="2"/>
  <c r="AG89" i="2"/>
  <c r="AH89" i="2"/>
  <c r="AI89" i="2"/>
  <c r="AJ89" i="2"/>
  <c r="AK89" i="2"/>
  <c r="AL89" i="2"/>
  <c r="AC90" i="2"/>
  <c r="AD90" i="2"/>
  <c r="AE90" i="2"/>
  <c r="AF90" i="2"/>
  <c r="AG90" i="2"/>
  <c r="AH90" i="2"/>
  <c r="AI90" i="2"/>
  <c r="AJ90" i="2"/>
  <c r="AK90" i="2"/>
  <c r="AL90" i="2"/>
  <c r="AC91" i="2"/>
  <c r="AD91" i="2"/>
  <c r="AE91" i="2"/>
  <c r="AF91" i="2"/>
  <c r="AG91" i="2"/>
  <c r="AH91" i="2"/>
  <c r="AI91" i="2"/>
  <c r="AJ91" i="2"/>
  <c r="AK91" i="2"/>
  <c r="AL91" i="2"/>
  <c r="AC92" i="2"/>
  <c r="AD92" i="2"/>
  <c r="AE92" i="2"/>
  <c r="AF92" i="2"/>
  <c r="AG92" i="2"/>
  <c r="AH92" i="2"/>
  <c r="AI92" i="2"/>
  <c r="AJ92" i="2"/>
  <c r="AK92" i="2"/>
  <c r="AL92" i="2"/>
  <c r="AC93" i="2"/>
  <c r="AD93" i="2"/>
  <c r="AE93" i="2"/>
  <c r="AF93" i="2"/>
  <c r="AG93" i="2"/>
  <c r="AH93" i="2"/>
  <c r="AI93" i="2"/>
  <c r="AJ93" i="2"/>
  <c r="AK93" i="2"/>
  <c r="AL93" i="2"/>
  <c r="AC94" i="2"/>
  <c r="AD94" i="2"/>
  <c r="AE94" i="2"/>
  <c r="AF94" i="2"/>
  <c r="AG94" i="2"/>
  <c r="AH94" i="2"/>
  <c r="AI94" i="2"/>
  <c r="AJ94" i="2"/>
  <c r="AK94" i="2"/>
  <c r="AL94" i="2"/>
  <c r="AC95" i="2"/>
  <c r="AD95" i="2"/>
  <c r="AE95" i="2"/>
  <c r="AF95" i="2"/>
  <c r="AG95" i="2"/>
  <c r="AH95" i="2"/>
  <c r="AI95" i="2"/>
  <c r="AJ95" i="2"/>
  <c r="AK95" i="2"/>
  <c r="AL95" i="2"/>
  <c r="AC96" i="2"/>
  <c r="AD96" i="2"/>
  <c r="AE96" i="2"/>
  <c r="AF96" i="2"/>
  <c r="AG96" i="2"/>
  <c r="AH96" i="2"/>
  <c r="AI96" i="2"/>
  <c r="AJ96" i="2"/>
  <c r="AK96" i="2"/>
  <c r="AL96" i="2"/>
  <c r="AC97" i="2"/>
  <c r="AD97" i="2"/>
  <c r="AE97" i="2"/>
  <c r="AF97" i="2"/>
  <c r="AG97" i="2"/>
  <c r="AH97" i="2"/>
  <c r="AI97" i="2"/>
  <c r="AJ97" i="2"/>
  <c r="AK97" i="2"/>
  <c r="AL97" i="2"/>
  <c r="AC98" i="2"/>
  <c r="AD98" i="2"/>
  <c r="AE98" i="2"/>
  <c r="AF98" i="2"/>
  <c r="AG98" i="2"/>
  <c r="AH98" i="2"/>
  <c r="AI98" i="2"/>
  <c r="AJ98" i="2"/>
  <c r="AK98" i="2"/>
  <c r="AL98" i="2"/>
  <c r="AC99" i="2"/>
  <c r="AD99" i="2"/>
  <c r="AE99" i="2"/>
  <c r="AF99" i="2"/>
  <c r="AG99" i="2"/>
  <c r="AH99" i="2"/>
  <c r="AI99" i="2"/>
  <c r="AJ99" i="2"/>
  <c r="AK99" i="2"/>
  <c r="AL99" i="2"/>
  <c r="AC100" i="2"/>
  <c r="AD100" i="2"/>
  <c r="AE100" i="2"/>
  <c r="AF100" i="2"/>
  <c r="AG100" i="2"/>
  <c r="AH100" i="2"/>
  <c r="AI100" i="2"/>
  <c r="AJ100" i="2"/>
  <c r="AK100" i="2"/>
  <c r="AL100" i="2"/>
  <c r="AC101" i="2"/>
  <c r="AD101" i="2"/>
  <c r="AE101" i="2"/>
  <c r="AF101" i="2"/>
  <c r="AG101" i="2"/>
  <c r="AH101" i="2"/>
  <c r="AI101" i="2"/>
  <c r="AJ101" i="2"/>
  <c r="AK101" i="2"/>
  <c r="AL101" i="2"/>
  <c r="AC102" i="2"/>
  <c r="AD102" i="2"/>
  <c r="AE102" i="2"/>
  <c r="AF102" i="2"/>
  <c r="AG102" i="2"/>
  <c r="AH102" i="2"/>
  <c r="AI102" i="2"/>
  <c r="AJ102" i="2"/>
  <c r="AK102" i="2"/>
  <c r="AL102" i="2"/>
  <c r="AC103" i="2"/>
  <c r="AD103" i="2"/>
  <c r="AE103" i="2"/>
  <c r="AF103" i="2"/>
  <c r="AG103" i="2"/>
  <c r="AH103" i="2"/>
  <c r="AI103" i="2"/>
  <c r="AJ103" i="2"/>
  <c r="AK103" i="2"/>
  <c r="AL103" i="2"/>
  <c r="AC104" i="2"/>
  <c r="AD104" i="2"/>
  <c r="AE104" i="2"/>
  <c r="AF104" i="2"/>
  <c r="AG104" i="2"/>
  <c r="AH104" i="2"/>
  <c r="AI104" i="2"/>
  <c r="AJ104" i="2"/>
  <c r="AK104" i="2"/>
  <c r="AL104" i="2"/>
  <c r="AC105" i="2"/>
  <c r="AD105" i="2"/>
  <c r="AE105" i="2"/>
  <c r="AF105" i="2"/>
  <c r="AG105" i="2"/>
  <c r="AH105" i="2"/>
  <c r="AI105" i="2"/>
  <c r="AJ105" i="2"/>
  <c r="AK105" i="2"/>
  <c r="AL105" i="2"/>
  <c r="AC106" i="2"/>
  <c r="AD106" i="2"/>
  <c r="AE106" i="2"/>
  <c r="AF106" i="2"/>
  <c r="AG106" i="2"/>
  <c r="AH106" i="2"/>
  <c r="AI106" i="2"/>
  <c r="AJ106" i="2"/>
  <c r="AK106" i="2"/>
  <c r="AL106" i="2"/>
  <c r="AC107" i="2"/>
  <c r="AD107" i="2"/>
  <c r="AE107" i="2"/>
  <c r="AF107" i="2"/>
  <c r="AG107" i="2"/>
  <c r="AH107" i="2"/>
  <c r="AI107" i="2"/>
  <c r="AJ107" i="2"/>
  <c r="AK107" i="2"/>
  <c r="AL107" i="2"/>
  <c r="AC108" i="2"/>
  <c r="AD108" i="2"/>
  <c r="AE108" i="2"/>
  <c r="AF108" i="2"/>
  <c r="AG108" i="2"/>
  <c r="AH108" i="2"/>
  <c r="AI108" i="2"/>
  <c r="AJ108" i="2"/>
  <c r="AK108" i="2"/>
  <c r="AL108" i="2"/>
  <c r="AC109" i="2"/>
  <c r="AD109" i="2"/>
  <c r="AE109" i="2"/>
  <c r="AF109" i="2"/>
  <c r="AG109" i="2"/>
  <c r="AH109" i="2"/>
  <c r="AI109" i="2"/>
  <c r="AJ109" i="2"/>
  <c r="AK109" i="2"/>
  <c r="AL109" i="2"/>
  <c r="AC110" i="2"/>
  <c r="AD110" i="2"/>
  <c r="AE110" i="2"/>
  <c r="AF110" i="2"/>
  <c r="AG110" i="2"/>
  <c r="AH110" i="2"/>
  <c r="AI110" i="2"/>
  <c r="AJ110" i="2"/>
  <c r="AK110" i="2"/>
  <c r="AL110" i="2"/>
  <c r="AC111" i="2"/>
  <c r="AD111" i="2"/>
  <c r="AE111" i="2"/>
  <c r="AF111" i="2"/>
  <c r="AG111" i="2"/>
  <c r="AH111" i="2"/>
  <c r="AI111" i="2"/>
  <c r="AJ111" i="2"/>
  <c r="AK111" i="2"/>
  <c r="AL111" i="2"/>
  <c r="AC112" i="2"/>
  <c r="AD112" i="2"/>
  <c r="AE112" i="2"/>
  <c r="AF112" i="2"/>
  <c r="AG112" i="2"/>
  <c r="AH112" i="2"/>
  <c r="AI112" i="2"/>
  <c r="AJ112" i="2"/>
  <c r="AK112" i="2"/>
  <c r="AL112" i="2"/>
  <c r="AC113" i="2"/>
  <c r="AD113" i="2"/>
  <c r="AE113" i="2"/>
  <c r="AF113" i="2"/>
  <c r="AG113" i="2"/>
  <c r="AH113" i="2"/>
  <c r="AI113" i="2"/>
  <c r="AJ113" i="2"/>
  <c r="AK113" i="2"/>
  <c r="AL113" i="2"/>
  <c r="AC114" i="2"/>
  <c r="AD114" i="2"/>
  <c r="AE114" i="2"/>
  <c r="AF114" i="2"/>
  <c r="AG114" i="2"/>
  <c r="AH114" i="2"/>
  <c r="AI114" i="2"/>
  <c r="AJ114" i="2"/>
  <c r="AK114" i="2"/>
  <c r="AL114" i="2"/>
  <c r="AC115" i="2"/>
  <c r="AD115" i="2"/>
  <c r="AE115" i="2"/>
  <c r="AF115" i="2"/>
  <c r="AG115" i="2"/>
  <c r="AH115" i="2"/>
  <c r="AI115" i="2"/>
  <c r="AJ115" i="2"/>
  <c r="AK115" i="2"/>
  <c r="AL115" i="2"/>
  <c r="AC116" i="2"/>
  <c r="AD116" i="2"/>
  <c r="AE116" i="2"/>
  <c r="AF116" i="2"/>
  <c r="AG116" i="2"/>
  <c r="AH116" i="2"/>
  <c r="AI116" i="2"/>
  <c r="AJ116" i="2"/>
  <c r="AK116" i="2"/>
  <c r="AL116" i="2"/>
  <c r="AC117" i="2"/>
  <c r="AD117" i="2"/>
  <c r="AE117" i="2"/>
  <c r="AF117" i="2"/>
  <c r="AG117" i="2"/>
  <c r="AH117" i="2"/>
  <c r="AI117" i="2"/>
  <c r="AJ117" i="2"/>
  <c r="AK117" i="2"/>
  <c r="AL117" i="2"/>
  <c r="AC118" i="2"/>
  <c r="AD118" i="2"/>
  <c r="AE118" i="2"/>
  <c r="AF118" i="2"/>
  <c r="AG118" i="2"/>
  <c r="AH118" i="2"/>
  <c r="AI118" i="2"/>
  <c r="AJ118" i="2"/>
  <c r="AK118" i="2"/>
  <c r="AL118" i="2"/>
  <c r="AC119" i="2"/>
  <c r="AD119" i="2"/>
  <c r="AE119" i="2"/>
  <c r="AF119" i="2"/>
  <c r="AG119" i="2"/>
  <c r="AH119" i="2"/>
  <c r="AI119" i="2"/>
  <c r="AJ119" i="2"/>
  <c r="AK119" i="2"/>
  <c r="AL119" i="2"/>
  <c r="AC120" i="2"/>
  <c r="AD120" i="2"/>
  <c r="AE120" i="2"/>
  <c r="AF120" i="2"/>
  <c r="AG120" i="2"/>
  <c r="AH120" i="2"/>
  <c r="AI120" i="2"/>
  <c r="AJ120" i="2"/>
  <c r="AK120" i="2"/>
  <c r="AL120" i="2"/>
  <c r="AC121" i="2"/>
  <c r="AD121" i="2"/>
  <c r="AE121" i="2"/>
  <c r="AF121" i="2"/>
  <c r="AG121" i="2"/>
  <c r="AH121" i="2"/>
  <c r="AI121" i="2"/>
  <c r="AJ121" i="2"/>
  <c r="AK121" i="2"/>
  <c r="AL121" i="2"/>
  <c r="AC122" i="2"/>
  <c r="AD122" i="2"/>
  <c r="AE122" i="2"/>
  <c r="AF122" i="2"/>
  <c r="AG122" i="2"/>
  <c r="AH122" i="2"/>
  <c r="AI122" i="2"/>
  <c r="AJ122" i="2"/>
  <c r="AK122" i="2"/>
  <c r="AL122" i="2"/>
  <c r="AC123" i="2"/>
  <c r="AD123" i="2"/>
  <c r="AE123" i="2"/>
  <c r="AF123" i="2"/>
  <c r="AG123" i="2"/>
  <c r="AH123" i="2"/>
  <c r="AI123" i="2"/>
  <c r="AJ123" i="2"/>
  <c r="AK123" i="2"/>
  <c r="AL123" i="2"/>
  <c r="AC124" i="2"/>
  <c r="AD124" i="2"/>
  <c r="AE124" i="2"/>
  <c r="AF124" i="2"/>
  <c r="AG124" i="2"/>
  <c r="AH124" i="2"/>
  <c r="AI124" i="2"/>
  <c r="AJ124" i="2"/>
  <c r="AK124" i="2"/>
  <c r="AL124" i="2"/>
  <c r="AC125" i="2"/>
  <c r="AD125" i="2"/>
  <c r="AE125" i="2"/>
  <c r="AF125" i="2"/>
  <c r="AG125" i="2"/>
  <c r="AH125" i="2"/>
  <c r="AI125" i="2"/>
  <c r="AJ125" i="2"/>
  <c r="AK125" i="2"/>
  <c r="AL125" i="2"/>
  <c r="AC126" i="2"/>
  <c r="AD126" i="2"/>
  <c r="AE126" i="2"/>
  <c r="AF126" i="2"/>
  <c r="AG126" i="2"/>
  <c r="AH126" i="2"/>
  <c r="AI126" i="2"/>
  <c r="AJ126" i="2"/>
  <c r="AK126" i="2"/>
  <c r="AL126" i="2"/>
  <c r="AC127" i="2"/>
  <c r="AD127" i="2"/>
  <c r="AE127" i="2"/>
  <c r="AF127" i="2"/>
  <c r="AG127" i="2"/>
  <c r="AH127" i="2"/>
  <c r="AI127" i="2"/>
  <c r="AJ127" i="2"/>
  <c r="AK127" i="2"/>
  <c r="AL127" i="2"/>
  <c r="AC128" i="2"/>
  <c r="AD128" i="2"/>
  <c r="AE128" i="2"/>
  <c r="AF128" i="2"/>
  <c r="AG128" i="2"/>
  <c r="AH128" i="2"/>
  <c r="AI128" i="2"/>
  <c r="AJ128" i="2"/>
  <c r="AK128" i="2"/>
  <c r="AL128" i="2"/>
  <c r="AC129" i="2"/>
  <c r="AD129" i="2"/>
  <c r="AE129" i="2"/>
  <c r="AF129" i="2"/>
  <c r="AG129" i="2"/>
  <c r="AH129" i="2"/>
  <c r="AI129" i="2"/>
  <c r="AJ129" i="2"/>
  <c r="AK129" i="2"/>
  <c r="AL129" i="2"/>
  <c r="AC130" i="2"/>
  <c r="AD130" i="2"/>
  <c r="AE130" i="2"/>
  <c r="AF130" i="2"/>
  <c r="AG130" i="2"/>
  <c r="AH130" i="2"/>
  <c r="AI130" i="2"/>
  <c r="AJ130" i="2"/>
  <c r="AK130" i="2"/>
  <c r="AL130" i="2"/>
  <c r="AC131" i="2"/>
  <c r="AD131" i="2"/>
  <c r="AE131" i="2"/>
  <c r="AF131" i="2"/>
  <c r="AG131" i="2"/>
  <c r="AH131" i="2"/>
  <c r="AI131" i="2"/>
  <c r="AJ131" i="2"/>
  <c r="AK131" i="2"/>
  <c r="AL131" i="2"/>
  <c r="AC132" i="2"/>
  <c r="AD132" i="2"/>
  <c r="AE132" i="2"/>
  <c r="AF132" i="2"/>
  <c r="AG132" i="2"/>
  <c r="AH132" i="2"/>
  <c r="AI132" i="2"/>
  <c r="AJ132" i="2"/>
  <c r="AK132" i="2"/>
  <c r="AL132" i="2"/>
  <c r="AC133" i="2"/>
  <c r="AD133" i="2"/>
  <c r="AE133" i="2"/>
  <c r="AF133" i="2"/>
  <c r="AG133" i="2"/>
  <c r="AH133" i="2"/>
  <c r="AI133" i="2"/>
  <c r="AJ133" i="2"/>
  <c r="AK133" i="2"/>
  <c r="AL133" i="2"/>
  <c r="AC134" i="2"/>
  <c r="AD134" i="2"/>
  <c r="AE134" i="2"/>
  <c r="AF134" i="2"/>
  <c r="AG134" i="2"/>
  <c r="AH134" i="2"/>
  <c r="AI134" i="2"/>
  <c r="AJ134" i="2"/>
  <c r="AK134" i="2"/>
  <c r="AL134" i="2"/>
  <c r="AC135" i="2"/>
  <c r="AD135" i="2"/>
  <c r="AE135" i="2"/>
  <c r="AF135" i="2"/>
  <c r="AG135" i="2"/>
  <c r="AH135" i="2"/>
  <c r="AI135" i="2"/>
  <c r="AJ135" i="2"/>
  <c r="AK135" i="2"/>
  <c r="AL135" i="2"/>
  <c r="AC136" i="2"/>
  <c r="AD136" i="2"/>
  <c r="AE136" i="2"/>
  <c r="AF136" i="2"/>
  <c r="AG136" i="2"/>
  <c r="AH136" i="2"/>
  <c r="AI136" i="2"/>
  <c r="AJ136" i="2"/>
  <c r="AK136" i="2"/>
  <c r="AL136" i="2"/>
  <c r="AC137" i="2"/>
  <c r="AD137" i="2"/>
  <c r="AE137" i="2"/>
  <c r="AF137" i="2"/>
  <c r="AG137" i="2"/>
  <c r="AH137" i="2"/>
  <c r="AI137" i="2"/>
  <c r="AJ137" i="2"/>
  <c r="AK137" i="2"/>
  <c r="AL137" i="2"/>
  <c r="AC138" i="2"/>
  <c r="AD138" i="2"/>
  <c r="AE138" i="2"/>
  <c r="AF138" i="2"/>
  <c r="AG138" i="2"/>
  <c r="AH138" i="2"/>
  <c r="AI138" i="2"/>
  <c r="AJ138" i="2"/>
  <c r="AK138" i="2"/>
  <c r="AL138" i="2"/>
  <c r="AC139" i="2"/>
  <c r="AD139" i="2"/>
  <c r="AE139" i="2"/>
  <c r="AF139" i="2"/>
  <c r="AG139" i="2"/>
  <c r="AH139" i="2"/>
  <c r="AI139" i="2"/>
  <c r="AJ139" i="2"/>
  <c r="AK139" i="2"/>
  <c r="AL139" i="2"/>
  <c r="AC140" i="2"/>
  <c r="AD140" i="2"/>
  <c r="AE140" i="2"/>
  <c r="AF140" i="2"/>
  <c r="AG140" i="2"/>
  <c r="AH140" i="2"/>
  <c r="AI140" i="2"/>
  <c r="AJ140" i="2"/>
  <c r="AK140" i="2"/>
  <c r="AL140" i="2"/>
  <c r="AC141" i="2"/>
  <c r="AD141" i="2"/>
  <c r="AE141" i="2"/>
  <c r="AF141" i="2"/>
  <c r="AG141" i="2"/>
  <c r="AH141" i="2"/>
  <c r="AI141" i="2"/>
  <c r="AJ141" i="2"/>
  <c r="AK141" i="2"/>
  <c r="AL141" i="2"/>
  <c r="AC142" i="2"/>
  <c r="AD142" i="2"/>
  <c r="AE142" i="2"/>
  <c r="AF142" i="2"/>
  <c r="AG142" i="2"/>
  <c r="AH142" i="2"/>
  <c r="AI142" i="2"/>
  <c r="AJ142" i="2"/>
  <c r="AK142" i="2"/>
  <c r="AL142" i="2"/>
  <c r="AC143" i="2"/>
  <c r="AD143" i="2"/>
  <c r="AE143" i="2"/>
  <c r="AF143" i="2"/>
  <c r="AG143" i="2"/>
  <c r="AH143" i="2"/>
  <c r="AI143" i="2"/>
  <c r="AJ143" i="2"/>
  <c r="AK143" i="2"/>
  <c r="AL143" i="2"/>
  <c r="AC144" i="2"/>
  <c r="AD144" i="2"/>
  <c r="AE144" i="2"/>
  <c r="AF144" i="2"/>
  <c r="AG144" i="2"/>
  <c r="AH144" i="2"/>
  <c r="AI144" i="2"/>
  <c r="AJ144" i="2"/>
  <c r="AK144" i="2"/>
  <c r="AL144" i="2"/>
  <c r="AC145" i="2"/>
  <c r="AD145" i="2"/>
  <c r="AE145" i="2"/>
  <c r="AF145" i="2"/>
  <c r="AG145" i="2"/>
  <c r="AH145" i="2"/>
  <c r="AI145" i="2"/>
  <c r="AJ145" i="2"/>
  <c r="AK145" i="2"/>
  <c r="AL145" i="2"/>
  <c r="AC146" i="2"/>
  <c r="AD146" i="2"/>
  <c r="AE146" i="2"/>
  <c r="AF146" i="2"/>
  <c r="AG146" i="2"/>
  <c r="AH146" i="2"/>
  <c r="AI146" i="2"/>
  <c r="AJ146" i="2"/>
  <c r="AK146" i="2"/>
  <c r="AL146" i="2"/>
  <c r="AC147" i="2"/>
  <c r="AD147" i="2"/>
  <c r="AE147" i="2"/>
  <c r="AF147" i="2"/>
  <c r="AG147" i="2"/>
  <c r="AH147" i="2"/>
  <c r="AI147" i="2"/>
  <c r="AJ147" i="2"/>
  <c r="AK147" i="2"/>
  <c r="AL147" i="2"/>
  <c r="AC148" i="2"/>
  <c r="AD148" i="2"/>
  <c r="AE148" i="2"/>
  <c r="AF148" i="2"/>
  <c r="AG148" i="2"/>
  <c r="AH148" i="2"/>
  <c r="AI148" i="2"/>
  <c r="AJ148" i="2"/>
  <c r="AK148" i="2"/>
  <c r="AL148" i="2"/>
  <c r="AC149" i="2"/>
  <c r="AD149" i="2"/>
  <c r="AE149" i="2"/>
  <c r="AF149" i="2"/>
  <c r="AG149" i="2"/>
  <c r="AH149" i="2"/>
  <c r="AI149" i="2"/>
  <c r="AJ149" i="2"/>
  <c r="AK149" i="2"/>
  <c r="AL149" i="2"/>
  <c r="AC150" i="2"/>
  <c r="AD150" i="2"/>
  <c r="AE150" i="2"/>
  <c r="AF150" i="2"/>
  <c r="AG150" i="2"/>
  <c r="AH150" i="2"/>
  <c r="AI150" i="2"/>
  <c r="AJ150" i="2"/>
  <c r="AK150" i="2"/>
  <c r="AL150" i="2"/>
  <c r="AC151" i="2"/>
  <c r="AD151" i="2"/>
  <c r="AE151" i="2"/>
  <c r="AF151" i="2"/>
  <c r="AG151" i="2"/>
  <c r="AH151" i="2"/>
  <c r="AI151" i="2"/>
  <c r="AJ151" i="2"/>
  <c r="AK151" i="2"/>
  <c r="AL151" i="2"/>
  <c r="AC152" i="2"/>
  <c r="AD152" i="2"/>
  <c r="AE152" i="2"/>
  <c r="AF152" i="2"/>
  <c r="AG152" i="2"/>
  <c r="AH152" i="2"/>
  <c r="AI152" i="2"/>
  <c r="AJ152" i="2"/>
  <c r="AK152" i="2"/>
  <c r="AL152" i="2"/>
  <c r="AC153" i="2"/>
  <c r="AD153" i="2"/>
  <c r="AE153" i="2"/>
  <c r="AF153" i="2"/>
  <c r="AG153" i="2"/>
  <c r="AH153" i="2"/>
  <c r="AI153" i="2"/>
  <c r="AJ153" i="2"/>
  <c r="AK153" i="2"/>
  <c r="AL153" i="2"/>
  <c r="AC154" i="2"/>
  <c r="AD154" i="2"/>
  <c r="AE154" i="2"/>
  <c r="AF154" i="2"/>
  <c r="AG154" i="2"/>
  <c r="AH154" i="2"/>
  <c r="AI154" i="2"/>
  <c r="AJ154" i="2"/>
  <c r="AK154" i="2"/>
  <c r="AL154" i="2"/>
  <c r="AC155" i="2"/>
  <c r="AD155" i="2"/>
  <c r="AE155" i="2"/>
  <c r="AF155" i="2"/>
  <c r="AG155" i="2"/>
  <c r="AH155" i="2"/>
  <c r="AI155" i="2"/>
  <c r="AJ155" i="2"/>
  <c r="AK155" i="2"/>
  <c r="AL155" i="2"/>
  <c r="AC156" i="2"/>
  <c r="AD156" i="2"/>
  <c r="AE156" i="2"/>
  <c r="AF156" i="2"/>
  <c r="AG156" i="2"/>
  <c r="AH156" i="2"/>
  <c r="AI156" i="2"/>
  <c r="AJ156" i="2"/>
  <c r="AK156" i="2"/>
  <c r="AL156" i="2"/>
  <c r="AC157" i="2"/>
  <c r="AD157" i="2"/>
  <c r="AE157" i="2"/>
  <c r="AF157" i="2"/>
  <c r="AG157" i="2"/>
  <c r="AH157" i="2"/>
  <c r="AI157" i="2"/>
  <c r="AJ157" i="2"/>
  <c r="AK157" i="2"/>
  <c r="AL157" i="2"/>
  <c r="AC158" i="2"/>
  <c r="AD158" i="2"/>
  <c r="AE158" i="2"/>
  <c r="AF158" i="2"/>
  <c r="AG158" i="2"/>
  <c r="AH158" i="2"/>
  <c r="AI158" i="2"/>
  <c r="AJ158" i="2"/>
  <c r="AK158" i="2"/>
  <c r="AL158" i="2"/>
  <c r="AC159" i="2"/>
  <c r="AD159" i="2"/>
  <c r="AE159" i="2"/>
  <c r="AF159" i="2"/>
  <c r="AG159" i="2"/>
  <c r="AH159" i="2"/>
  <c r="AI159" i="2"/>
  <c r="AJ159" i="2"/>
  <c r="AK159" i="2"/>
  <c r="AL159" i="2"/>
  <c r="AC160" i="2"/>
  <c r="AD160" i="2"/>
  <c r="AE160" i="2"/>
  <c r="AF160" i="2"/>
  <c r="AG160" i="2"/>
  <c r="AH160" i="2"/>
  <c r="AI160" i="2"/>
  <c r="AJ160" i="2"/>
  <c r="AK160" i="2"/>
  <c r="AL160" i="2"/>
  <c r="AC161" i="2"/>
  <c r="AD161" i="2"/>
  <c r="AE161" i="2"/>
  <c r="AF161" i="2"/>
  <c r="AG161" i="2"/>
  <c r="AH161" i="2"/>
  <c r="AI161" i="2"/>
  <c r="AJ161" i="2"/>
  <c r="AK161" i="2"/>
  <c r="AL161" i="2"/>
  <c r="AC162" i="2"/>
  <c r="AD162" i="2"/>
  <c r="AE162" i="2"/>
  <c r="AF162" i="2"/>
  <c r="AG162" i="2"/>
  <c r="AH162" i="2"/>
  <c r="AI162" i="2"/>
  <c r="AJ162" i="2"/>
  <c r="AK162" i="2"/>
  <c r="AL162" i="2"/>
  <c r="AC163" i="2"/>
  <c r="AD163" i="2"/>
  <c r="AE163" i="2"/>
  <c r="AF163" i="2"/>
  <c r="AG163" i="2"/>
  <c r="AH163" i="2"/>
  <c r="AI163" i="2"/>
  <c r="AJ163" i="2"/>
  <c r="AK163" i="2"/>
  <c r="AL163" i="2"/>
  <c r="AC164" i="2"/>
  <c r="AD164" i="2"/>
  <c r="AE164" i="2"/>
  <c r="AF164" i="2"/>
  <c r="AG164" i="2"/>
  <c r="AH164" i="2"/>
  <c r="AI164" i="2"/>
  <c r="AJ164" i="2"/>
  <c r="AK164" i="2"/>
  <c r="AL164" i="2"/>
  <c r="AC165" i="2"/>
  <c r="AD165" i="2"/>
  <c r="AE165" i="2"/>
  <c r="AF165" i="2"/>
  <c r="AG165" i="2"/>
  <c r="AH165" i="2"/>
  <c r="AI165" i="2"/>
  <c r="AJ165" i="2"/>
  <c r="AK165" i="2"/>
  <c r="AL165" i="2"/>
  <c r="AC166" i="2"/>
  <c r="AD166" i="2"/>
  <c r="AE166" i="2"/>
  <c r="AF166" i="2"/>
  <c r="AG166" i="2"/>
  <c r="AH166" i="2"/>
  <c r="AI166" i="2"/>
  <c r="AJ166" i="2"/>
  <c r="AK166" i="2"/>
  <c r="AL166" i="2"/>
  <c r="AC167" i="2"/>
  <c r="AD167" i="2"/>
  <c r="AE167" i="2"/>
  <c r="AF167" i="2"/>
  <c r="AG167" i="2"/>
  <c r="AH167" i="2"/>
  <c r="AI167" i="2"/>
  <c r="AJ167" i="2"/>
  <c r="AK167" i="2"/>
  <c r="AL167" i="2"/>
  <c r="AC168" i="2"/>
  <c r="AD168" i="2"/>
  <c r="AE168" i="2"/>
  <c r="AF168" i="2"/>
  <c r="AG168" i="2"/>
  <c r="AH168" i="2"/>
  <c r="AI168" i="2"/>
  <c r="AJ168" i="2"/>
  <c r="AK168" i="2"/>
  <c r="AL168" i="2"/>
  <c r="AC169" i="2"/>
  <c r="AD169" i="2"/>
  <c r="AE169" i="2"/>
  <c r="AF169" i="2"/>
  <c r="AG169" i="2"/>
  <c r="AH169" i="2"/>
  <c r="AI169" i="2"/>
  <c r="AJ169" i="2"/>
  <c r="AK169" i="2"/>
  <c r="AL169" i="2"/>
  <c r="AC170" i="2"/>
  <c r="AD170" i="2"/>
  <c r="AE170" i="2"/>
  <c r="AF170" i="2"/>
  <c r="AG170" i="2"/>
  <c r="AH170" i="2"/>
  <c r="AI170" i="2"/>
  <c r="AJ170" i="2"/>
  <c r="AK170" i="2"/>
  <c r="AL170" i="2"/>
  <c r="AC171" i="2"/>
  <c r="AD171" i="2"/>
  <c r="AE171" i="2"/>
  <c r="AF171" i="2"/>
  <c r="AG171" i="2"/>
  <c r="AH171" i="2"/>
  <c r="AI171" i="2"/>
  <c r="AJ171" i="2"/>
  <c r="AK171" i="2"/>
  <c r="AL171" i="2"/>
  <c r="AC172" i="2"/>
  <c r="AD172" i="2"/>
  <c r="AE172" i="2"/>
  <c r="AF172" i="2"/>
  <c r="AG172" i="2"/>
  <c r="AH172" i="2"/>
  <c r="AI172" i="2"/>
  <c r="AJ172" i="2"/>
  <c r="AK172" i="2"/>
  <c r="AL172" i="2"/>
  <c r="AC173" i="2"/>
  <c r="AD173" i="2"/>
  <c r="AE173" i="2"/>
  <c r="AF173" i="2"/>
  <c r="AG173" i="2"/>
  <c r="AH173" i="2"/>
  <c r="AI173" i="2"/>
  <c r="AJ173" i="2"/>
  <c r="AK173" i="2"/>
  <c r="AL173" i="2"/>
  <c r="AC174" i="2"/>
  <c r="AD174" i="2"/>
  <c r="AE174" i="2"/>
  <c r="AF174" i="2"/>
  <c r="AG174" i="2"/>
  <c r="AH174" i="2"/>
  <c r="AI174" i="2"/>
  <c r="AJ174" i="2"/>
  <c r="AK174" i="2"/>
  <c r="AL174" i="2"/>
  <c r="AC175" i="2"/>
  <c r="AD175" i="2"/>
  <c r="AE175" i="2"/>
  <c r="AF175" i="2"/>
  <c r="AG175" i="2"/>
  <c r="AH175" i="2"/>
  <c r="AI175" i="2"/>
  <c r="AJ175" i="2"/>
  <c r="AK175" i="2"/>
  <c r="AL175" i="2"/>
  <c r="AC176" i="2"/>
  <c r="AD176" i="2"/>
  <c r="AE176" i="2"/>
  <c r="AF176" i="2"/>
  <c r="AG176" i="2"/>
  <c r="AH176" i="2"/>
  <c r="AI176" i="2"/>
  <c r="AJ176" i="2"/>
  <c r="AK176" i="2"/>
  <c r="AL176" i="2"/>
  <c r="AC177" i="2"/>
  <c r="AD177" i="2"/>
  <c r="AE177" i="2"/>
  <c r="AF177" i="2"/>
  <c r="AG177" i="2"/>
  <c r="AH177" i="2"/>
  <c r="AI177" i="2"/>
  <c r="AJ177" i="2"/>
  <c r="AK177" i="2"/>
  <c r="AL177" i="2"/>
  <c r="AC178" i="2"/>
  <c r="AD178" i="2"/>
  <c r="AE178" i="2"/>
  <c r="AF178" i="2"/>
  <c r="AG178" i="2"/>
  <c r="AH178" i="2"/>
  <c r="AI178" i="2"/>
  <c r="AJ178" i="2"/>
  <c r="AK178" i="2"/>
  <c r="AL178" i="2"/>
  <c r="AC179" i="2"/>
  <c r="AD179" i="2"/>
  <c r="AE179" i="2"/>
  <c r="AF179" i="2"/>
  <c r="AG179" i="2"/>
  <c r="AH179" i="2"/>
  <c r="AI179" i="2"/>
  <c r="AJ179" i="2"/>
  <c r="AK179" i="2"/>
  <c r="AL179" i="2"/>
  <c r="AC180" i="2"/>
  <c r="AD180" i="2"/>
  <c r="AE180" i="2"/>
  <c r="AF180" i="2"/>
  <c r="AG180" i="2"/>
  <c r="AH180" i="2"/>
  <c r="AI180" i="2"/>
  <c r="AJ180" i="2"/>
  <c r="AK180" i="2"/>
  <c r="AL180" i="2"/>
  <c r="AC181" i="2"/>
  <c r="AD181" i="2"/>
  <c r="AE181" i="2"/>
  <c r="AF181" i="2"/>
  <c r="AG181" i="2"/>
  <c r="AH181" i="2"/>
  <c r="AI181" i="2"/>
  <c r="AJ181" i="2"/>
  <c r="AK181" i="2"/>
  <c r="AL181" i="2"/>
  <c r="AC182" i="2"/>
  <c r="AD182" i="2"/>
  <c r="AE182" i="2"/>
  <c r="AF182" i="2"/>
  <c r="AG182" i="2"/>
  <c r="AH182" i="2"/>
  <c r="AI182" i="2"/>
  <c r="AJ182" i="2"/>
  <c r="AK182" i="2"/>
  <c r="AL182" i="2"/>
  <c r="AC183" i="2"/>
  <c r="AD183" i="2"/>
  <c r="AE183" i="2"/>
  <c r="AF183" i="2"/>
  <c r="AG183" i="2"/>
  <c r="AH183" i="2"/>
  <c r="AI183" i="2"/>
  <c r="AJ183" i="2"/>
  <c r="AK183" i="2"/>
  <c r="AL183" i="2"/>
  <c r="AC184" i="2"/>
  <c r="AD184" i="2"/>
  <c r="AE184" i="2"/>
  <c r="AF184" i="2"/>
  <c r="AG184" i="2"/>
  <c r="AH184" i="2"/>
  <c r="AI184" i="2"/>
  <c r="AJ184" i="2"/>
  <c r="AK184" i="2"/>
  <c r="AL184" i="2"/>
  <c r="AC185" i="2"/>
  <c r="AD185" i="2"/>
  <c r="AE185" i="2"/>
  <c r="AF185" i="2"/>
  <c r="AG185" i="2"/>
  <c r="AH185" i="2"/>
  <c r="AI185" i="2"/>
  <c r="AJ185" i="2"/>
  <c r="AK185" i="2"/>
  <c r="AL185" i="2"/>
  <c r="AC186" i="2"/>
  <c r="AD186" i="2"/>
  <c r="AE186" i="2"/>
  <c r="AF186" i="2"/>
  <c r="AG186" i="2"/>
  <c r="AH186" i="2"/>
  <c r="AI186" i="2"/>
  <c r="AJ186" i="2"/>
  <c r="AK186" i="2"/>
  <c r="AL186" i="2"/>
  <c r="AC187" i="2"/>
  <c r="AD187" i="2"/>
  <c r="AE187" i="2"/>
  <c r="AF187" i="2"/>
  <c r="AG187" i="2"/>
  <c r="AH187" i="2"/>
  <c r="AI187" i="2"/>
  <c r="AJ187" i="2"/>
  <c r="AK187" i="2"/>
  <c r="AL187" i="2"/>
  <c r="AC188" i="2"/>
  <c r="AD188" i="2"/>
  <c r="AE188" i="2"/>
  <c r="AF188" i="2"/>
  <c r="AG188" i="2"/>
  <c r="AH188" i="2"/>
  <c r="AI188" i="2"/>
  <c r="AJ188" i="2"/>
  <c r="AK188" i="2"/>
  <c r="AL188" i="2"/>
  <c r="AC189" i="2"/>
  <c r="AD189" i="2"/>
  <c r="AE189" i="2"/>
  <c r="AF189" i="2"/>
  <c r="AG189" i="2"/>
  <c r="AH189" i="2"/>
  <c r="AI189" i="2"/>
  <c r="AJ189" i="2"/>
  <c r="AK189" i="2"/>
  <c r="AL189" i="2"/>
  <c r="AC190" i="2"/>
  <c r="AD190" i="2"/>
  <c r="AE190" i="2"/>
  <c r="AF190" i="2"/>
  <c r="AG190" i="2"/>
  <c r="AH190" i="2"/>
  <c r="AI190" i="2"/>
  <c r="AJ190" i="2"/>
  <c r="AK190" i="2"/>
  <c r="AL190" i="2"/>
  <c r="AC191" i="2"/>
  <c r="AD191" i="2"/>
  <c r="AE191" i="2"/>
  <c r="AF191" i="2"/>
  <c r="AG191" i="2"/>
  <c r="AH191" i="2"/>
  <c r="AI191" i="2"/>
  <c r="AJ191" i="2"/>
  <c r="AK191" i="2"/>
  <c r="AL191" i="2"/>
  <c r="AC192" i="2"/>
  <c r="AD192" i="2"/>
  <c r="AE192" i="2"/>
  <c r="AF192" i="2"/>
  <c r="AG192" i="2"/>
  <c r="AH192" i="2"/>
  <c r="AI192" i="2"/>
  <c r="AJ192" i="2"/>
  <c r="AK192" i="2"/>
  <c r="AL192" i="2"/>
  <c r="AC193" i="2"/>
  <c r="AD193" i="2"/>
  <c r="AE193" i="2"/>
  <c r="AF193" i="2"/>
  <c r="AG193" i="2"/>
  <c r="AH193" i="2"/>
  <c r="AI193" i="2"/>
  <c r="AJ193" i="2"/>
  <c r="AK193" i="2"/>
  <c r="AL193" i="2"/>
  <c r="AC194" i="2"/>
  <c r="AD194" i="2"/>
  <c r="AE194" i="2"/>
  <c r="AF194" i="2"/>
  <c r="AG194" i="2"/>
  <c r="AH194" i="2"/>
  <c r="AI194" i="2"/>
  <c r="AJ194" i="2"/>
  <c r="AK194" i="2"/>
  <c r="AL194" i="2"/>
  <c r="AC195" i="2"/>
  <c r="AD195" i="2"/>
  <c r="AE195" i="2"/>
  <c r="AF195" i="2"/>
  <c r="AG195" i="2"/>
  <c r="AH195" i="2"/>
  <c r="AI195" i="2"/>
  <c r="AJ195" i="2"/>
  <c r="AK195" i="2"/>
  <c r="AL195" i="2"/>
  <c r="AC196" i="2"/>
  <c r="AD196" i="2"/>
  <c r="AE196" i="2"/>
  <c r="AF196" i="2"/>
  <c r="AG196" i="2"/>
  <c r="AH196" i="2"/>
  <c r="AI196" i="2"/>
  <c r="AJ196" i="2"/>
  <c r="AK196" i="2"/>
  <c r="AL196" i="2"/>
  <c r="AC197" i="2"/>
  <c r="AD197" i="2"/>
  <c r="AE197" i="2"/>
  <c r="AF197" i="2"/>
  <c r="AG197" i="2"/>
  <c r="AH197" i="2"/>
  <c r="AI197" i="2"/>
  <c r="AJ197" i="2"/>
  <c r="AK197" i="2"/>
  <c r="AL197" i="2"/>
  <c r="AC198" i="2"/>
  <c r="AD198" i="2"/>
  <c r="AE198" i="2"/>
  <c r="AF198" i="2"/>
  <c r="AG198" i="2"/>
  <c r="AH198" i="2"/>
  <c r="AI198" i="2"/>
  <c r="AJ198" i="2"/>
  <c r="AK198" i="2"/>
  <c r="AL198" i="2"/>
  <c r="AC199" i="2"/>
  <c r="AD199" i="2"/>
  <c r="AE199" i="2"/>
  <c r="AF199" i="2"/>
  <c r="AG199" i="2"/>
  <c r="AH199" i="2"/>
  <c r="AI199" i="2"/>
  <c r="AJ199" i="2"/>
  <c r="AK199" i="2"/>
  <c r="AL199" i="2"/>
  <c r="AC200" i="2"/>
  <c r="AD200" i="2"/>
  <c r="AE200" i="2"/>
  <c r="AF200" i="2"/>
  <c r="AG200" i="2"/>
  <c r="AH200" i="2"/>
  <c r="AI200" i="2"/>
  <c r="AJ200" i="2"/>
  <c r="AK200" i="2"/>
  <c r="AL200" i="2"/>
  <c r="AC201" i="2"/>
  <c r="AD201" i="2"/>
  <c r="AE201" i="2"/>
  <c r="AF201" i="2"/>
  <c r="AG201" i="2"/>
  <c r="AH201" i="2"/>
  <c r="AI201" i="2"/>
  <c r="AJ201" i="2"/>
  <c r="AK201" i="2"/>
  <c r="AL201" i="2"/>
  <c r="AC202" i="2"/>
  <c r="AD202" i="2"/>
  <c r="AE202" i="2"/>
  <c r="AF202" i="2"/>
  <c r="AG202" i="2"/>
  <c r="AH202" i="2"/>
  <c r="AI202" i="2"/>
  <c r="AJ202" i="2"/>
  <c r="AK202" i="2"/>
  <c r="AL202" i="2"/>
  <c r="AC203" i="2"/>
  <c r="AD203" i="2"/>
  <c r="AE203" i="2"/>
  <c r="AF203" i="2"/>
  <c r="AG203" i="2"/>
  <c r="AH203" i="2"/>
  <c r="AI203" i="2"/>
  <c r="AJ203" i="2"/>
  <c r="AK203" i="2"/>
  <c r="AL203" i="2"/>
  <c r="AC204" i="2"/>
  <c r="AD204" i="2"/>
  <c r="AE204" i="2"/>
  <c r="AF204" i="2"/>
  <c r="AG204" i="2"/>
  <c r="AH204" i="2"/>
  <c r="AI204" i="2"/>
  <c r="AJ204" i="2"/>
  <c r="AK204" i="2"/>
  <c r="AL204" i="2"/>
  <c r="AC205" i="2"/>
  <c r="AD205" i="2"/>
  <c r="AE205" i="2"/>
  <c r="AF205" i="2"/>
  <c r="AG205" i="2"/>
  <c r="AH205" i="2"/>
  <c r="AI205" i="2"/>
  <c r="AJ205" i="2"/>
  <c r="AK205" i="2"/>
  <c r="AL205" i="2"/>
  <c r="AC206" i="2"/>
  <c r="AD206" i="2"/>
  <c r="AE206" i="2"/>
  <c r="AF206" i="2"/>
  <c r="AG206" i="2"/>
  <c r="AH206" i="2"/>
  <c r="AI206" i="2"/>
  <c r="AJ206" i="2"/>
  <c r="AK206" i="2"/>
  <c r="AL206" i="2"/>
  <c r="AC207" i="2"/>
  <c r="AD207" i="2"/>
  <c r="AE207" i="2"/>
  <c r="AF207" i="2"/>
  <c r="AG207" i="2"/>
  <c r="AH207" i="2"/>
  <c r="AI207" i="2"/>
  <c r="AJ207" i="2"/>
  <c r="AK207" i="2"/>
  <c r="AL207" i="2"/>
  <c r="AC208" i="2"/>
  <c r="AD208" i="2"/>
  <c r="AE208" i="2"/>
  <c r="AF208" i="2"/>
  <c r="AG208" i="2"/>
  <c r="AH208" i="2"/>
  <c r="AI208" i="2"/>
  <c r="AJ208" i="2"/>
  <c r="AK208" i="2"/>
  <c r="AL208" i="2"/>
  <c r="AC209" i="2"/>
  <c r="AD209" i="2"/>
  <c r="AE209" i="2"/>
  <c r="AF209" i="2"/>
  <c r="AG209" i="2"/>
  <c r="AH209" i="2"/>
  <c r="AI209" i="2"/>
  <c r="AJ209" i="2"/>
  <c r="AK209" i="2"/>
  <c r="AL209" i="2"/>
  <c r="AC210" i="2"/>
  <c r="AD210" i="2"/>
  <c r="AE210" i="2"/>
  <c r="AF210" i="2"/>
  <c r="AG210" i="2"/>
  <c r="AH210" i="2"/>
  <c r="AI210" i="2"/>
  <c r="AJ210" i="2"/>
  <c r="AK210" i="2"/>
  <c r="AL210" i="2"/>
  <c r="AC211" i="2"/>
  <c r="AD211" i="2"/>
  <c r="AE211" i="2"/>
  <c r="AF211" i="2"/>
  <c r="AG211" i="2"/>
  <c r="AH211" i="2"/>
  <c r="AI211" i="2"/>
  <c r="AJ211" i="2"/>
  <c r="AK211" i="2"/>
  <c r="AL211" i="2"/>
  <c r="AC212" i="2"/>
  <c r="AD212" i="2"/>
  <c r="AE212" i="2"/>
  <c r="AF212" i="2"/>
  <c r="AG212" i="2"/>
  <c r="AH212" i="2"/>
  <c r="AI212" i="2"/>
  <c r="AJ212" i="2"/>
  <c r="AK212" i="2"/>
  <c r="AL212" i="2"/>
  <c r="AC213" i="2"/>
  <c r="AD213" i="2"/>
  <c r="AE213" i="2"/>
  <c r="AF213" i="2"/>
  <c r="AG213" i="2"/>
  <c r="AH213" i="2"/>
  <c r="AI213" i="2"/>
  <c r="AJ213" i="2"/>
  <c r="AK213" i="2"/>
  <c r="AL213" i="2"/>
  <c r="AC214" i="2"/>
  <c r="AD214" i="2"/>
  <c r="AE214" i="2"/>
  <c r="AF214" i="2"/>
  <c r="AG214" i="2"/>
  <c r="AH214" i="2"/>
  <c r="AI214" i="2"/>
  <c r="AJ214" i="2"/>
  <c r="AK214" i="2"/>
  <c r="AL214" i="2"/>
  <c r="AC215" i="2"/>
  <c r="AD215" i="2"/>
  <c r="AE215" i="2"/>
  <c r="AF215" i="2"/>
  <c r="AG215" i="2"/>
  <c r="AH215" i="2"/>
  <c r="AI215" i="2"/>
  <c r="AJ215" i="2"/>
  <c r="AK215" i="2"/>
  <c r="AL215" i="2"/>
  <c r="AC216" i="2"/>
  <c r="AD216" i="2"/>
  <c r="AE216" i="2"/>
  <c r="AF216" i="2"/>
  <c r="AG216" i="2"/>
  <c r="AH216" i="2"/>
  <c r="AI216" i="2"/>
  <c r="AJ216" i="2"/>
  <c r="AK216" i="2"/>
  <c r="AL216" i="2"/>
  <c r="AC217" i="2"/>
  <c r="AD217" i="2"/>
  <c r="AE217" i="2"/>
  <c r="AF217" i="2"/>
  <c r="AG217" i="2"/>
  <c r="AH217" i="2"/>
  <c r="AI217" i="2"/>
  <c r="AJ217" i="2"/>
  <c r="AK217" i="2"/>
  <c r="AL217" i="2"/>
  <c r="AC218" i="2"/>
  <c r="AD218" i="2"/>
  <c r="AE218" i="2"/>
  <c r="AF218" i="2"/>
  <c r="AG218" i="2"/>
  <c r="AH218" i="2"/>
  <c r="AI218" i="2"/>
  <c r="AJ218" i="2"/>
  <c r="AK218" i="2"/>
  <c r="AL218" i="2"/>
  <c r="AC219" i="2"/>
  <c r="AD219" i="2"/>
  <c r="AE219" i="2"/>
  <c r="AF219" i="2"/>
  <c r="AG219" i="2"/>
  <c r="AH219" i="2"/>
  <c r="AI219" i="2"/>
  <c r="AJ219" i="2"/>
  <c r="AK219" i="2"/>
  <c r="AL219" i="2"/>
  <c r="AC220" i="2"/>
  <c r="AD220" i="2"/>
  <c r="AE220" i="2"/>
  <c r="AF220" i="2"/>
  <c r="AG220" i="2"/>
  <c r="AH220" i="2"/>
  <c r="AI220" i="2"/>
  <c r="AJ220" i="2"/>
  <c r="AK220" i="2"/>
  <c r="AL220" i="2"/>
  <c r="AC221" i="2"/>
  <c r="AD221" i="2"/>
  <c r="AE221" i="2"/>
  <c r="AF221" i="2"/>
  <c r="AG221" i="2"/>
  <c r="AH221" i="2"/>
  <c r="AI221" i="2"/>
  <c r="AJ221" i="2"/>
  <c r="AK221" i="2"/>
  <c r="AL221" i="2"/>
  <c r="AC222" i="2"/>
  <c r="AD222" i="2"/>
  <c r="AE222" i="2"/>
  <c r="AF222" i="2"/>
  <c r="AG222" i="2"/>
  <c r="AH222" i="2"/>
  <c r="AI222" i="2"/>
  <c r="AJ222" i="2"/>
  <c r="AK222" i="2"/>
  <c r="AL222" i="2"/>
  <c r="AC223" i="2"/>
  <c r="AD223" i="2"/>
  <c r="AE223" i="2"/>
  <c r="AF223" i="2"/>
  <c r="AG223" i="2"/>
  <c r="AH223" i="2"/>
  <c r="AI223" i="2"/>
  <c r="AJ223" i="2"/>
  <c r="AK223" i="2"/>
  <c r="AL223" i="2"/>
  <c r="AC224" i="2"/>
  <c r="AD224" i="2"/>
  <c r="AE224" i="2"/>
  <c r="AF224" i="2"/>
  <c r="AG224" i="2"/>
  <c r="AH224" i="2"/>
  <c r="AI224" i="2"/>
  <c r="AJ224" i="2"/>
  <c r="AK224" i="2"/>
  <c r="AL224" i="2"/>
  <c r="AC225" i="2"/>
  <c r="AD225" i="2"/>
  <c r="AE225" i="2"/>
  <c r="AF225" i="2"/>
  <c r="AG225" i="2"/>
  <c r="AH225" i="2"/>
  <c r="AI225" i="2"/>
  <c r="AJ225" i="2"/>
  <c r="AK225" i="2"/>
  <c r="AL225" i="2"/>
  <c r="AC226" i="2"/>
  <c r="AD226" i="2"/>
  <c r="AE226" i="2"/>
  <c r="AF226" i="2"/>
  <c r="AG226" i="2"/>
  <c r="AH226" i="2"/>
  <c r="AI226" i="2"/>
  <c r="AJ226" i="2"/>
  <c r="AK226" i="2"/>
  <c r="AL226" i="2"/>
  <c r="AC227" i="2"/>
  <c r="AD227" i="2"/>
  <c r="AE227" i="2"/>
  <c r="AF227" i="2"/>
  <c r="AG227" i="2"/>
  <c r="AH227" i="2"/>
  <c r="AI227" i="2"/>
  <c r="AJ227" i="2"/>
  <c r="AK227" i="2"/>
  <c r="AL227" i="2"/>
  <c r="AC228" i="2"/>
  <c r="AD228" i="2"/>
  <c r="AE228" i="2"/>
  <c r="AF228" i="2"/>
  <c r="AG228" i="2"/>
  <c r="AH228" i="2"/>
  <c r="AI228" i="2"/>
  <c r="AJ228" i="2"/>
  <c r="AK228" i="2"/>
  <c r="AL228" i="2"/>
  <c r="AC229" i="2"/>
  <c r="AD229" i="2"/>
  <c r="AE229" i="2"/>
  <c r="AF229" i="2"/>
  <c r="AG229" i="2"/>
  <c r="AH229" i="2"/>
  <c r="AI229" i="2"/>
  <c r="AJ229" i="2"/>
  <c r="AK229" i="2"/>
  <c r="AL229" i="2"/>
  <c r="AC230" i="2"/>
  <c r="AD230" i="2"/>
  <c r="AE230" i="2"/>
  <c r="AF230" i="2"/>
  <c r="AG230" i="2"/>
  <c r="AH230" i="2"/>
  <c r="AI230" i="2"/>
  <c r="AJ230" i="2"/>
  <c r="AK230" i="2"/>
  <c r="AL230" i="2"/>
  <c r="AC231" i="2"/>
  <c r="AD231" i="2"/>
  <c r="AE231" i="2"/>
  <c r="AF231" i="2"/>
  <c r="AG231" i="2"/>
  <c r="AH231" i="2"/>
  <c r="AI231" i="2"/>
  <c r="AJ231" i="2"/>
  <c r="AK231" i="2"/>
  <c r="AL231" i="2"/>
  <c r="AC232" i="2"/>
  <c r="AD232" i="2"/>
  <c r="AE232" i="2"/>
  <c r="AF232" i="2"/>
  <c r="AG232" i="2"/>
  <c r="AH232" i="2"/>
  <c r="AI232" i="2"/>
  <c r="AJ232" i="2"/>
  <c r="AK232" i="2"/>
  <c r="AL232" i="2"/>
  <c r="AC233" i="2"/>
  <c r="AD233" i="2"/>
  <c r="AE233" i="2"/>
  <c r="AF233" i="2"/>
  <c r="AG233" i="2"/>
  <c r="AH233" i="2"/>
  <c r="AI233" i="2"/>
  <c r="AJ233" i="2"/>
  <c r="AK233" i="2"/>
  <c r="AL233" i="2"/>
  <c r="AC234" i="2"/>
  <c r="AD234" i="2"/>
  <c r="AE234" i="2"/>
  <c r="AF234" i="2"/>
  <c r="AG234" i="2"/>
  <c r="AH234" i="2"/>
  <c r="AI234" i="2"/>
  <c r="AJ234" i="2"/>
  <c r="AK234" i="2"/>
  <c r="AL234" i="2"/>
  <c r="AC235" i="2"/>
  <c r="AD235" i="2"/>
  <c r="AE235" i="2"/>
  <c r="AF235" i="2"/>
  <c r="AG235" i="2"/>
  <c r="AH235" i="2"/>
  <c r="AI235" i="2"/>
  <c r="AJ235" i="2"/>
  <c r="AK235" i="2"/>
  <c r="AL235" i="2"/>
  <c r="AC236" i="2"/>
  <c r="AD236" i="2"/>
  <c r="AE236" i="2"/>
  <c r="AF236" i="2"/>
  <c r="AG236" i="2"/>
  <c r="AH236" i="2"/>
  <c r="AI236" i="2"/>
  <c r="AJ236" i="2"/>
  <c r="AK236" i="2"/>
  <c r="AL236" i="2"/>
  <c r="AC237" i="2"/>
  <c r="AD237" i="2"/>
  <c r="AE237" i="2"/>
  <c r="AF237" i="2"/>
  <c r="AG237" i="2"/>
  <c r="AH237" i="2"/>
  <c r="AI237" i="2"/>
  <c r="AJ237" i="2"/>
  <c r="AK237" i="2"/>
  <c r="AL237" i="2"/>
  <c r="AC238" i="2"/>
  <c r="AD238" i="2"/>
  <c r="AE238" i="2"/>
  <c r="AF238" i="2"/>
  <c r="AG238" i="2"/>
  <c r="AH238" i="2"/>
  <c r="AI238" i="2"/>
  <c r="AJ238" i="2"/>
  <c r="AK238" i="2"/>
  <c r="AL238" i="2"/>
  <c r="AC239" i="2"/>
  <c r="AD239" i="2"/>
  <c r="AE239" i="2"/>
  <c r="AF239" i="2"/>
  <c r="AG239" i="2"/>
  <c r="AH239" i="2"/>
  <c r="AI239" i="2"/>
  <c r="AJ239" i="2"/>
  <c r="AK239" i="2"/>
  <c r="AL239" i="2"/>
  <c r="AC240" i="2"/>
  <c r="AD240" i="2"/>
  <c r="AE240" i="2"/>
  <c r="AF240" i="2"/>
  <c r="AG240" i="2"/>
  <c r="AH240" i="2"/>
  <c r="AI240" i="2"/>
  <c r="AJ240" i="2"/>
  <c r="AK240" i="2"/>
  <c r="AL240" i="2"/>
  <c r="AC241" i="2"/>
  <c r="AD241" i="2"/>
  <c r="AE241" i="2"/>
  <c r="AF241" i="2"/>
  <c r="AG241" i="2"/>
  <c r="AH241" i="2"/>
  <c r="AI241" i="2"/>
  <c r="AJ241" i="2"/>
  <c r="AK241" i="2"/>
  <c r="AL241" i="2"/>
  <c r="AC242" i="2"/>
  <c r="AD242" i="2"/>
  <c r="AE242" i="2"/>
  <c r="AF242" i="2"/>
  <c r="AG242" i="2"/>
  <c r="AH242" i="2"/>
  <c r="AI242" i="2"/>
  <c r="AJ242" i="2"/>
  <c r="AK242" i="2"/>
  <c r="AL242" i="2"/>
  <c r="AC243" i="2"/>
  <c r="AD243" i="2"/>
  <c r="AE243" i="2"/>
  <c r="AF243" i="2"/>
  <c r="AG243" i="2"/>
  <c r="AH243" i="2"/>
  <c r="AI243" i="2"/>
  <c r="AJ243" i="2"/>
  <c r="AK243" i="2"/>
  <c r="AL243" i="2"/>
  <c r="AC244" i="2"/>
  <c r="AD244" i="2"/>
  <c r="AE244" i="2"/>
  <c r="AF244" i="2"/>
  <c r="AG244" i="2"/>
  <c r="AH244" i="2"/>
  <c r="AI244" i="2"/>
  <c r="AJ244" i="2"/>
  <c r="AK244" i="2"/>
  <c r="AL244" i="2"/>
  <c r="AC245" i="2"/>
  <c r="AD245" i="2"/>
  <c r="AE245" i="2"/>
  <c r="AF245" i="2"/>
  <c r="AG245" i="2"/>
  <c r="AH245" i="2"/>
  <c r="AI245" i="2"/>
  <c r="AJ245" i="2"/>
  <c r="AK245" i="2"/>
  <c r="AL245" i="2"/>
  <c r="AC246" i="2"/>
  <c r="AD246" i="2"/>
  <c r="AE246" i="2"/>
  <c r="AF246" i="2"/>
  <c r="AG246" i="2"/>
  <c r="AH246" i="2"/>
  <c r="AI246" i="2"/>
  <c r="AJ246" i="2"/>
  <c r="AK246" i="2"/>
  <c r="AL246" i="2"/>
  <c r="AC247" i="2"/>
  <c r="AD247" i="2"/>
  <c r="AE247" i="2"/>
  <c r="AF247" i="2"/>
  <c r="AG247" i="2"/>
  <c r="AH247" i="2"/>
  <c r="AI247" i="2"/>
  <c r="AJ247" i="2"/>
  <c r="AK247" i="2"/>
  <c r="AL247" i="2"/>
  <c r="AC248" i="2"/>
  <c r="AD248" i="2"/>
  <c r="AE248" i="2"/>
  <c r="AF248" i="2"/>
  <c r="AG248" i="2"/>
  <c r="AH248" i="2"/>
  <c r="AI248" i="2"/>
  <c r="AJ248" i="2"/>
  <c r="AK248" i="2"/>
  <c r="AL248" i="2"/>
  <c r="AC249" i="2"/>
  <c r="AD249" i="2"/>
  <c r="AE249" i="2"/>
  <c r="AF249" i="2"/>
  <c r="AG249" i="2"/>
  <c r="AH249" i="2"/>
  <c r="AI249" i="2"/>
  <c r="AJ249" i="2"/>
  <c r="AK249" i="2"/>
  <c r="AL249" i="2"/>
  <c r="AC250" i="2"/>
  <c r="AD250" i="2"/>
  <c r="AE250" i="2"/>
  <c r="AF250" i="2"/>
  <c r="AG250" i="2"/>
  <c r="AH250" i="2"/>
  <c r="AI250" i="2"/>
  <c r="AJ250" i="2"/>
  <c r="AK250" i="2"/>
  <c r="AL250" i="2"/>
  <c r="AC251" i="2"/>
  <c r="AD251" i="2"/>
  <c r="AE251" i="2"/>
  <c r="AF251" i="2"/>
  <c r="AG251" i="2"/>
  <c r="AH251" i="2"/>
  <c r="AI251" i="2"/>
  <c r="AJ251" i="2"/>
  <c r="AK251" i="2"/>
  <c r="AL251" i="2"/>
  <c r="AC252" i="2"/>
  <c r="AD252" i="2"/>
  <c r="AE252" i="2"/>
  <c r="AF252" i="2"/>
  <c r="AG252" i="2"/>
  <c r="AH252" i="2"/>
  <c r="AI252" i="2"/>
  <c r="AJ252" i="2"/>
  <c r="AK252" i="2"/>
  <c r="AL252" i="2"/>
  <c r="AC253" i="2"/>
  <c r="AD253" i="2"/>
  <c r="AE253" i="2"/>
  <c r="AF253" i="2"/>
  <c r="AG253" i="2"/>
  <c r="AH253" i="2"/>
  <c r="AI253" i="2"/>
  <c r="AJ253" i="2"/>
  <c r="AK253" i="2"/>
  <c r="AL253" i="2"/>
  <c r="AC254" i="2"/>
  <c r="AD254" i="2"/>
  <c r="AE254" i="2"/>
  <c r="AF254" i="2"/>
  <c r="AG254" i="2"/>
  <c r="AH254" i="2"/>
  <c r="AI254" i="2"/>
  <c r="AJ254" i="2"/>
  <c r="AK254" i="2"/>
  <c r="AL254" i="2"/>
  <c r="AC255" i="2"/>
  <c r="AD255" i="2"/>
  <c r="AE255" i="2"/>
  <c r="AF255" i="2"/>
  <c r="AG255" i="2"/>
  <c r="AH255" i="2"/>
  <c r="AI255" i="2"/>
  <c r="AJ255" i="2"/>
  <c r="AK255" i="2"/>
  <c r="AL255" i="2"/>
  <c r="AC256" i="2"/>
  <c r="AD256" i="2"/>
  <c r="AE256" i="2"/>
  <c r="AF256" i="2"/>
  <c r="AG256" i="2"/>
  <c r="AH256" i="2"/>
  <c r="AI256" i="2"/>
  <c r="AJ256" i="2"/>
  <c r="AK256" i="2"/>
  <c r="AL256" i="2"/>
  <c r="AC257" i="2"/>
  <c r="AD257" i="2"/>
  <c r="AE257" i="2"/>
  <c r="AF257" i="2"/>
  <c r="AG257" i="2"/>
  <c r="AH257" i="2"/>
  <c r="AI257" i="2"/>
  <c r="AJ257" i="2"/>
  <c r="AK257" i="2"/>
  <c r="AL257" i="2"/>
  <c r="AC258" i="2"/>
  <c r="AD258" i="2"/>
  <c r="AE258" i="2"/>
  <c r="AF258" i="2"/>
  <c r="AG258" i="2"/>
  <c r="AH258" i="2"/>
  <c r="AI258" i="2"/>
  <c r="AJ258" i="2"/>
  <c r="AK258" i="2"/>
  <c r="AL258" i="2"/>
  <c r="AC259" i="2"/>
  <c r="AD259" i="2"/>
  <c r="AE259" i="2"/>
  <c r="AF259" i="2"/>
  <c r="AG259" i="2"/>
  <c r="AH259" i="2"/>
  <c r="AI259" i="2"/>
  <c r="AJ259" i="2"/>
  <c r="AK259" i="2"/>
  <c r="AL259" i="2"/>
  <c r="AC260" i="2"/>
  <c r="AD260" i="2"/>
  <c r="AE260" i="2"/>
  <c r="AF260" i="2"/>
  <c r="AG260" i="2"/>
  <c r="AH260" i="2"/>
  <c r="AI260" i="2"/>
  <c r="AJ260" i="2"/>
  <c r="AK260" i="2"/>
  <c r="AL260" i="2"/>
  <c r="AC261" i="2"/>
  <c r="AD261" i="2"/>
  <c r="AE261" i="2"/>
  <c r="AF261" i="2"/>
  <c r="AG261" i="2"/>
  <c r="AH261" i="2"/>
  <c r="AI261" i="2"/>
  <c r="AJ261" i="2"/>
  <c r="AK261" i="2"/>
  <c r="AL261" i="2"/>
  <c r="AC262" i="2"/>
  <c r="AD262" i="2"/>
  <c r="AE262" i="2"/>
  <c r="AF262" i="2"/>
  <c r="AG262" i="2"/>
  <c r="AH262" i="2"/>
  <c r="AI262" i="2"/>
  <c r="AJ262" i="2"/>
  <c r="AK262" i="2"/>
  <c r="AL262" i="2"/>
  <c r="AC263" i="2"/>
  <c r="AD263" i="2"/>
  <c r="AE263" i="2"/>
  <c r="AF263" i="2"/>
  <c r="AG263" i="2"/>
  <c r="AH263" i="2"/>
  <c r="AI263" i="2"/>
  <c r="AJ263" i="2"/>
  <c r="AK263" i="2"/>
  <c r="AL263" i="2"/>
  <c r="AC264" i="2"/>
  <c r="AD264" i="2"/>
  <c r="AE264" i="2"/>
  <c r="AF264" i="2"/>
  <c r="AG264" i="2"/>
  <c r="AH264" i="2"/>
  <c r="AI264" i="2"/>
  <c r="AJ264" i="2"/>
  <c r="AK264" i="2"/>
  <c r="AL264" i="2"/>
  <c r="AC265" i="2"/>
  <c r="AD265" i="2"/>
  <c r="AE265" i="2"/>
  <c r="AF265" i="2"/>
  <c r="AG265" i="2"/>
  <c r="AH265" i="2"/>
  <c r="AI265" i="2"/>
  <c r="AJ265" i="2"/>
  <c r="AK265" i="2"/>
  <c r="AL265" i="2"/>
  <c r="AC266" i="2"/>
  <c r="AD266" i="2"/>
  <c r="AE266" i="2"/>
  <c r="AF266" i="2"/>
  <c r="AG266" i="2"/>
  <c r="AH266" i="2"/>
  <c r="AI266" i="2"/>
  <c r="AJ266" i="2"/>
  <c r="AK266" i="2"/>
  <c r="AL266" i="2"/>
  <c r="AC267" i="2"/>
  <c r="AD267" i="2"/>
  <c r="AE267" i="2"/>
  <c r="AF267" i="2"/>
  <c r="AG267" i="2"/>
  <c r="AH267" i="2"/>
  <c r="AI267" i="2"/>
  <c r="AJ267" i="2"/>
  <c r="AK267" i="2"/>
  <c r="AL267" i="2"/>
  <c r="AL2" i="2"/>
  <c r="AK2" i="2"/>
  <c r="AJ2" i="2"/>
  <c r="AI2" i="2"/>
  <c r="AH2" i="2"/>
  <c r="AG2" i="2"/>
  <c r="AF2" i="2"/>
  <c r="AE2" i="2"/>
  <c r="AD2" i="2"/>
  <c r="AC2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F264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D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C260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H259" i="2"/>
  <c r="F259" i="2"/>
  <c r="E259" i="2"/>
  <c r="D259" i="2"/>
  <c r="C259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H255" i="2"/>
  <c r="E255" i="2"/>
  <c r="D255" i="2"/>
  <c r="C255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F252" i="2"/>
  <c r="E252" i="2"/>
  <c r="D252" i="2"/>
  <c r="C252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F251" i="2"/>
  <c r="D251" i="2"/>
  <c r="C251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F250" i="2"/>
  <c r="E250" i="2"/>
  <c r="D250" i="2"/>
  <c r="C250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F249" i="2"/>
  <c r="E249" i="2"/>
  <c r="D249" i="2"/>
  <c r="C249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F248" i="2"/>
  <c r="D248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E247" i="2"/>
  <c r="D247" i="2"/>
  <c r="C247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G244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D243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F241" i="2"/>
  <c r="E241" i="2"/>
  <c r="C241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C238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E236" i="2"/>
  <c r="D236" i="2"/>
  <c r="C236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D232" i="2"/>
  <c r="C232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F229" i="2"/>
  <c r="D229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H228" i="2"/>
  <c r="D228" i="2"/>
  <c r="C228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D227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I225" i="2"/>
  <c r="H225" i="2"/>
  <c r="G225" i="2"/>
  <c r="F225" i="2"/>
  <c r="E225" i="2"/>
  <c r="C225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C222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H218" i="2"/>
  <c r="F218" i="2"/>
  <c r="D218" i="2"/>
  <c r="C218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H213" i="2"/>
  <c r="D213" i="2"/>
  <c r="C213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C212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F211" i="2"/>
  <c r="E211" i="2"/>
  <c r="D211" i="2"/>
  <c r="C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F208" i="2"/>
  <c r="E208" i="2"/>
  <c r="D208" i="2"/>
  <c r="C208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H207" i="2"/>
  <c r="G207" i="2"/>
  <c r="F207" i="2"/>
  <c r="D207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E205" i="2"/>
  <c r="D205" i="2"/>
  <c r="C205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E203" i="2"/>
  <c r="D203" i="2"/>
  <c r="C203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C201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E197" i="2"/>
  <c r="D197" i="2"/>
  <c r="C197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F194" i="2"/>
  <c r="E194" i="2"/>
  <c r="D194" i="2"/>
  <c r="C194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H193" i="2"/>
  <c r="F193" i="2"/>
  <c r="E193" i="2"/>
  <c r="D193" i="2"/>
  <c r="C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H190" i="2"/>
  <c r="F190" i="2"/>
  <c r="E190" i="2"/>
  <c r="D190" i="2"/>
  <c r="C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E189" i="2"/>
  <c r="D189" i="2"/>
  <c r="C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E188" i="2"/>
  <c r="D188" i="2"/>
  <c r="C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E187" i="2"/>
  <c r="D187" i="2"/>
  <c r="C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H182" i="2"/>
  <c r="E182" i="2"/>
  <c r="C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G181" i="2"/>
  <c r="F181" i="2"/>
  <c r="E181" i="2"/>
  <c r="D181" i="2"/>
  <c r="C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I178" i="2"/>
  <c r="H178" i="2"/>
  <c r="G178" i="2"/>
  <c r="F178" i="2"/>
  <c r="E178" i="2"/>
  <c r="D178" i="2"/>
  <c r="C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H177" i="2"/>
  <c r="E177" i="2"/>
  <c r="D177" i="2"/>
  <c r="C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D176" i="2"/>
  <c r="C176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H174" i="2"/>
  <c r="G174" i="2"/>
  <c r="E174" i="2"/>
  <c r="D174" i="2"/>
  <c r="C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H173" i="2"/>
  <c r="F173" i="2"/>
  <c r="E173" i="2"/>
  <c r="D173" i="2"/>
  <c r="C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E172" i="2"/>
  <c r="D172" i="2"/>
  <c r="C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D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E167" i="2"/>
  <c r="D167" i="2"/>
  <c r="C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D164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E163" i="2"/>
  <c r="D163" i="2"/>
  <c r="C163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D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E161" i="2"/>
  <c r="D161" i="2"/>
  <c r="C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D156" i="2"/>
  <c r="C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H153" i="2"/>
  <c r="G153" i="2"/>
  <c r="F153" i="2"/>
  <c r="E153" i="2"/>
  <c r="C153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D152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I149" i="2"/>
  <c r="H149" i="2"/>
  <c r="G149" i="2"/>
  <c r="D149" i="2"/>
  <c r="C149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F148" i="2"/>
  <c r="E148" i="2"/>
  <c r="D148" i="2"/>
  <c r="C148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F147" i="2"/>
  <c r="D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H146" i="2"/>
  <c r="G146" i="2"/>
  <c r="F146" i="2"/>
  <c r="D146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H145" i="2"/>
  <c r="E145" i="2"/>
  <c r="C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H144" i="2"/>
  <c r="E144" i="2"/>
  <c r="D144" i="2"/>
  <c r="C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H143" i="2"/>
  <c r="F143" i="2"/>
  <c r="E143" i="2"/>
  <c r="D143" i="2"/>
  <c r="C143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F142" i="2"/>
  <c r="E142" i="2"/>
  <c r="D142" i="2"/>
  <c r="C142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D141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H140" i="2"/>
  <c r="G140" i="2"/>
  <c r="F140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F138" i="2"/>
  <c r="D138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F137" i="2"/>
  <c r="E137" i="2"/>
  <c r="D137" i="2"/>
  <c r="C137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D136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H135" i="2"/>
  <c r="F135" i="2"/>
  <c r="D135" i="2"/>
  <c r="C135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H134" i="2"/>
  <c r="G134" i="2"/>
  <c r="F134" i="2"/>
  <c r="E134" i="2"/>
  <c r="D134" i="2"/>
  <c r="C134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E133" i="2"/>
  <c r="D133" i="2"/>
  <c r="C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F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E130" i="2"/>
  <c r="D130" i="2"/>
  <c r="C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E129" i="2"/>
  <c r="D129" i="2"/>
  <c r="C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H128" i="2"/>
  <c r="F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H127" i="2"/>
  <c r="F127" i="2"/>
  <c r="E127" i="2"/>
  <c r="D127" i="2"/>
  <c r="C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D126" i="2"/>
  <c r="C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F124" i="2"/>
  <c r="E124" i="2"/>
  <c r="D124" i="2"/>
  <c r="C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I123" i="2"/>
  <c r="H123" i="2"/>
  <c r="G123" i="2"/>
  <c r="F123" i="2"/>
  <c r="E123" i="2"/>
  <c r="C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G120" i="2"/>
  <c r="E120" i="2"/>
  <c r="D120" i="2"/>
  <c r="C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F119" i="2"/>
  <c r="E119" i="2"/>
  <c r="D119" i="2"/>
  <c r="C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G118" i="2"/>
  <c r="E118" i="2"/>
  <c r="D118" i="2"/>
  <c r="C118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H117" i="2"/>
  <c r="F117" i="2"/>
  <c r="E117" i="2"/>
  <c r="D117" i="2"/>
  <c r="C117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H115" i="2"/>
  <c r="G115" i="2"/>
  <c r="F115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G112" i="2"/>
  <c r="F112" i="2"/>
  <c r="E112" i="2"/>
  <c r="D112" i="2"/>
  <c r="C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F111" i="2"/>
  <c r="E111" i="2"/>
  <c r="D111" i="2"/>
  <c r="C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104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E103" i="2"/>
  <c r="D103" i="2"/>
  <c r="C103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F96" i="2"/>
  <c r="E96" i="2"/>
  <c r="C96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H93" i="2"/>
  <c r="F93" i="2"/>
  <c r="E93" i="2"/>
  <c r="D93" i="2"/>
  <c r="C93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92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90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I89" i="2"/>
  <c r="G89" i="2"/>
  <c r="E89" i="2"/>
  <c r="D89" i="2"/>
  <c r="C89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I88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I84" i="2"/>
  <c r="H84" i="2"/>
  <c r="G84" i="2"/>
  <c r="F84" i="2"/>
  <c r="E84" i="2"/>
  <c r="D84" i="2"/>
  <c r="C84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D83" i="2"/>
  <c r="C83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81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C77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73" i="2"/>
  <c r="D73" i="2"/>
  <c r="C73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G72" i="2"/>
  <c r="F72" i="2"/>
  <c r="E72" i="2"/>
  <c r="D72" i="2"/>
  <c r="C72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H71" i="2"/>
  <c r="F71" i="2"/>
  <c r="E71" i="2"/>
  <c r="D71" i="2"/>
  <c r="C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G67" i="2"/>
  <c r="F67" i="2"/>
  <c r="D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E65" i="2"/>
  <c r="D65" i="2"/>
  <c r="C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F54" i="2"/>
  <c r="E54" i="2"/>
  <c r="D54" i="2"/>
  <c r="C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F50" i="2"/>
  <c r="E50" i="2"/>
  <c r="D50" i="2"/>
  <c r="C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G48" i="2"/>
  <c r="F48" i="2"/>
  <c r="E48" i="2"/>
  <c r="D48" i="2"/>
  <c r="C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F47" i="2"/>
  <c r="E47" i="2"/>
  <c r="D47" i="2"/>
  <c r="C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F46" i="2"/>
  <c r="E46" i="2"/>
  <c r="D46" i="2"/>
  <c r="C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H44" i="2"/>
  <c r="F44" i="2"/>
  <c r="E44" i="2"/>
  <c r="D44" i="2"/>
  <c r="C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G43" i="2"/>
  <c r="F43" i="2"/>
  <c r="E43" i="2"/>
  <c r="D43" i="2"/>
  <c r="C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Z41" i="2"/>
  <c r="Y41" i="2"/>
  <c r="X41" i="2"/>
  <c r="W41" i="2"/>
  <c r="V41" i="2"/>
  <c r="U41" i="2"/>
  <c r="T41" i="2"/>
  <c r="S41" i="2"/>
  <c r="R41" i="2"/>
  <c r="P41" i="2"/>
  <c r="O41" i="2"/>
  <c r="N41" i="2"/>
  <c r="M41" i="2"/>
  <c r="L41" i="2"/>
  <c r="K41" i="2"/>
  <c r="J41" i="2"/>
  <c r="E41" i="2"/>
  <c r="D41" i="2"/>
  <c r="C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F40" i="2"/>
  <c r="D40" i="2"/>
  <c r="C40" i="2"/>
  <c r="Z39" i="2"/>
  <c r="Y39" i="2"/>
  <c r="X39" i="2"/>
  <c r="W39" i="2"/>
  <c r="V39" i="2"/>
  <c r="U39" i="2"/>
  <c r="S39" i="2" s="1"/>
  <c r="T39" i="2"/>
  <c r="R39" i="2"/>
  <c r="Q39" i="2"/>
  <c r="P39" i="2"/>
  <c r="O39" i="2"/>
  <c r="K39" i="2" s="1"/>
  <c r="N39" i="2"/>
  <c r="M39" i="2"/>
  <c r="L39" i="2"/>
  <c r="G39" i="2"/>
  <c r="C39" i="2"/>
  <c r="Z38" i="2"/>
  <c r="Y38" i="2"/>
  <c r="X38" i="2"/>
  <c r="W38" i="2"/>
  <c r="V38" i="2"/>
  <c r="T38" i="2" s="1"/>
  <c r="U38" i="2"/>
  <c r="S38" i="2" s="1"/>
  <c r="R38" i="2"/>
  <c r="Q38" i="2"/>
  <c r="P38" i="2"/>
  <c r="O38" i="2"/>
  <c r="N38" i="2"/>
  <c r="L38" i="2" s="1"/>
  <c r="M38" i="2"/>
  <c r="K38" i="2" s="1"/>
  <c r="G38" i="2"/>
  <c r="C38" i="2"/>
  <c r="Z37" i="2"/>
  <c r="Y37" i="2"/>
  <c r="X37" i="2"/>
  <c r="W37" i="2"/>
  <c r="V37" i="2"/>
  <c r="T37" i="2" s="1"/>
  <c r="U37" i="2"/>
  <c r="S37" i="2"/>
  <c r="R37" i="2"/>
  <c r="Q37" i="2"/>
  <c r="P37" i="2"/>
  <c r="O37" i="2"/>
  <c r="N37" i="2"/>
  <c r="L37" i="2" s="1"/>
  <c r="M37" i="2"/>
  <c r="K37" i="2"/>
  <c r="G37" i="2"/>
  <c r="C37" i="2"/>
  <c r="Z36" i="2"/>
  <c r="Y36" i="2"/>
  <c r="X36" i="2"/>
  <c r="W36" i="2"/>
  <c r="V36" i="2"/>
  <c r="T36" i="2" s="1"/>
  <c r="U36" i="2"/>
  <c r="S36" i="2" s="1"/>
  <c r="R36" i="2"/>
  <c r="Q36" i="2"/>
  <c r="P36" i="2"/>
  <c r="O36" i="2"/>
  <c r="N36" i="2"/>
  <c r="L36" i="2" s="1"/>
  <c r="M36" i="2"/>
  <c r="K36" i="2" s="1"/>
  <c r="G36" i="2"/>
  <c r="C36" i="2"/>
  <c r="Z35" i="2"/>
  <c r="Y35" i="2"/>
  <c r="X35" i="2"/>
  <c r="W35" i="2"/>
  <c r="S35" i="2" s="1"/>
  <c r="V35" i="2"/>
  <c r="U35" i="2"/>
  <c r="T35" i="2"/>
  <c r="R35" i="2"/>
  <c r="Q35" i="2"/>
  <c r="P35" i="2"/>
  <c r="O35" i="2"/>
  <c r="K35" i="2" s="1"/>
  <c r="N35" i="2"/>
  <c r="M35" i="2"/>
  <c r="L35" i="2"/>
  <c r="G35" i="2"/>
  <c r="C35" i="2"/>
  <c r="Z34" i="2"/>
  <c r="Y34" i="2"/>
  <c r="V34" i="2"/>
  <c r="T34" i="2" s="1"/>
  <c r="R34" i="2"/>
  <c r="Q34" i="2"/>
  <c r="P34" i="2"/>
  <c r="O34" i="2"/>
  <c r="N34" i="2"/>
  <c r="L34" i="2" s="1"/>
  <c r="M34" i="2"/>
  <c r="K34" i="2" s="1"/>
  <c r="I34" i="2"/>
  <c r="X34" i="2" s="1"/>
  <c r="H34" i="2"/>
  <c r="G34" i="2" s="1"/>
  <c r="C34" i="2"/>
  <c r="Z33" i="2"/>
  <c r="Y33" i="2"/>
  <c r="X33" i="2"/>
  <c r="W33" i="2"/>
  <c r="V33" i="2"/>
  <c r="T33" i="2" s="1"/>
  <c r="U33" i="2"/>
  <c r="S33" i="2" s="1"/>
  <c r="R33" i="2"/>
  <c r="Q33" i="2"/>
  <c r="P33" i="2"/>
  <c r="O33" i="2"/>
  <c r="N33" i="2"/>
  <c r="L33" i="2" s="1"/>
  <c r="M33" i="2"/>
  <c r="K33" i="2" s="1"/>
  <c r="G33" i="2"/>
  <c r="C33" i="2"/>
  <c r="Z32" i="2"/>
  <c r="Y32" i="2"/>
  <c r="X32" i="2"/>
  <c r="W32" i="2"/>
  <c r="S32" i="2" s="1"/>
  <c r="V32" i="2"/>
  <c r="U32" i="2"/>
  <c r="T32" i="2"/>
  <c r="R32" i="2"/>
  <c r="Q32" i="2"/>
  <c r="P32" i="2"/>
  <c r="O32" i="2"/>
  <c r="K32" i="2" s="1"/>
  <c r="N32" i="2"/>
  <c r="M32" i="2"/>
  <c r="L32" i="2"/>
  <c r="G32" i="2"/>
  <c r="C32" i="2"/>
  <c r="Z31" i="2"/>
  <c r="Y31" i="2"/>
  <c r="X31" i="2"/>
  <c r="W31" i="2"/>
  <c r="V31" i="2"/>
  <c r="T31" i="2" s="1"/>
  <c r="U31" i="2"/>
  <c r="S31" i="2" s="1"/>
  <c r="R31" i="2"/>
  <c r="Q31" i="2"/>
  <c r="P31" i="2"/>
  <c r="O31" i="2"/>
  <c r="N31" i="2"/>
  <c r="L31" i="2" s="1"/>
  <c r="M31" i="2"/>
  <c r="K31" i="2" s="1"/>
  <c r="G31" i="2"/>
  <c r="C31" i="2"/>
  <c r="Z30" i="2"/>
  <c r="Y30" i="2"/>
  <c r="X30" i="2"/>
  <c r="W30" i="2"/>
  <c r="V30" i="2"/>
  <c r="T30" i="2" s="1"/>
  <c r="U30" i="2"/>
  <c r="S30" i="2"/>
  <c r="R30" i="2"/>
  <c r="Q30" i="2"/>
  <c r="P30" i="2"/>
  <c r="O30" i="2"/>
  <c r="N30" i="2"/>
  <c r="L30" i="2" s="1"/>
  <c r="M30" i="2"/>
  <c r="K30" i="2"/>
  <c r="G30" i="2"/>
  <c r="C30" i="2"/>
  <c r="Z29" i="2"/>
  <c r="Y29" i="2"/>
  <c r="X29" i="2"/>
  <c r="W29" i="2"/>
  <c r="V29" i="2"/>
  <c r="T29" i="2" s="1"/>
  <c r="U29" i="2"/>
  <c r="S29" i="2" s="1"/>
  <c r="R29" i="2"/>
  <c r="Q29" i="2"/>
  <c r="P29" i="2"/>
  <c r="O29" i="2"/>
  <c r="N29" i="2"/>
  <c r="L29" i="2" s="1"/>
  <c r="M29" i="2"/>
  <c r="K29" i="2" s="1"/>
  <c r="G29" i="2"/>
  <c r="C29" i="2"/>
  <c r="Z28" i="2"/>
  <c r="Y28" i="2"/>
  <c r="X28" i="2"/>
  <c r="W28" i="2"/>
  <c r="S28" i="2" s="1"/>
  <c r="V28" i="2"/>
  <c r="U28" i="2"/>
  <c r="T28" i="2"/>
  <c r="R28" i="2"/>
  <c r="Q28" i="2"/>
  <c r="P28" i="2"/>
  <c r="O28" i="2"/>
  <c r="K28" i="2" s="1"/>
  <c r="N28" i="2"/>
  <c r="M28" i="2"/>
  <c r="L28" i="2"/>
  <c r="G28" i="2"/>
  <c r="C28" i="2"/>
  <c r="Z27" i="2"/>
  <c r="Y27" i="2"/>
  <c r="X27" i="2"/>
  <c r="W27" i="2"/>
  <c r="V27" i="2"/>
  <c r="T27" i="2" s="1"/>
  <c r="U27" i="2"/>
  <c r="S27" i="2"/>
  <c r="R27" i="2"/>
  <c r="Q27" i="2"/>
  <c r="P27" i="2"/>
  <c r="O27" i="2"/>
  <c r="N27" i="2"/>
  <c r="L27" i="2" s="1"/>
  <c r="M27" i="2"/>
  <c r="K27" i="2"/>
  <c r="G27" i="2"/>
  <c r="C27" i="2"/>
  <c r="Z26" i="2"/>
  <c r="Y26" i="2"/>
  <c r="X26" i="2"/>
  <c r="W26" i="2"/>
  <c r="V26" i="2"/>
  <c r="T26" i="2" s="1"/>
  <c r="U26" i="2"/>
  <c r="S26" i="2"/>
  <c r="R26" i="2"/>
  <c r="Q26" i="2"/>
  <c r="P26" i="2"/>
  <c r="O26" i="2"/>
  <c r="N26" i="2"/>
  <c r="L26" i="2" s="1"/>
  <c r="M26" i="2"/>
  <c r="K26" i="2"/>
  <c r="G26" i="2"/>
  <c r="C26" i="2"/>
  <c r="Z25" i="2"/>
  <c r="Y25" i="2"/>
  <c r="X25" i="2"/>
  <c r="W25" i="2"/>
  <c r="V25" i="2"/>
  <c r="T25" i="2" s="1"/>
  <c r="U25" i="2"/>
  <c r="S25" i="2" s="1"/>
  <c r="R25" i="2"/>
  <c r="Q25" i="2"/>
  <c r="P25" i="2"/>
  <c r="O25" i="2"/>
  <c r="N25" i="2"/>
  <c r="L25" i="2" s="1"/>
  <c r="M25" i="2"/>
  <c r="K25" i="2" s="1"/>
  <c r="G25" i="2"/>
  <c r="C25" i="2"/>
  <c r="Z24" i="2"/>
  <c r="Y24" i="2"/>
  <c r="X24" i="2"/>
  <c r="W24" i="2"/>
  <c r="S24" i="2" s="1"/>
  <c r="V24" i="2"/>
  <c r="U24" i="2"/>
  <c r="T24" i="2"/>
  <c r="R24" i="2"/>
  <c r="Q24" i="2"/>
  <c r="P24" i="2"/>
  <c r="O24" i="2"/>
  <c r="K24" i="2" s="1"/>
  <c r="N24" i="2"/>
  <c r="M24" i="2"/>
  <c r="L24" i="2"/>
  <c r="G24" i="2"/>
  <c r="C24" i="2"/>
  <c r="Z23" i="2"/>
  <c r="Y23" i="2"/>
  <c r="X23" i="2"/>
  <c r="W23" i="2"/>
  <c r="S23" i="2" s="1"/>
  <c r="V23" i="2"/>
  <c r="T23" i="2" s="1"/>
  <c r="U23" i="2"/>
  <c r="R23" i="2"/>
  <c r="Q23" i="2"/>
  <c r="P23" i="2"/>
  <c r="O23" i="2"/>
  <c r="K23" i="2" s="1"/>
  <c r="N23" i="2"/>
  <c r="L23" i="2" s="1"/>
  <c r="M23" i="2"/>
  <c r="G23" i="2"/>
  <c r="C23" i="2"/>
  <c r="Z22" i="2"/>
  <c r="Y22" i="2"/>
  <c r="X22" i="2"/>
  <c r="W22" i="2"/>
  <c r="V22" i="2"/>
  <c r="T22" i="2" s="1"/>
  <c r="U22" i="2"/>
  <c r="S22" i="2"/>
  <c r="R22" i="2"/>
  <c r="Q22" i="2"/>
  <c r="P22" i="2"/>
  <c r="O22" i="2"/>
  <c r="N22" i="2"/>
  <c r="L22" i="2" s="1"/>
  <c r="M22" i="2"/>
  <c r="K22" i="2"/>
  <c r="G22" i="2"/>
  <c r="C22" i="2"/>
  <c r="Z21" i="2"/>
  <c r="Y21" i="2"/>
  <c r="X21" i="2"/>
  <c r="W21" i="2"/>
  <c r="V21" i="2"/>
  <c r="T21" i="2" s="1"/>
  <c r="U21" i="2"/>
  <c r="S21" i="2" s="1"/>
  <c r="R21" i="2"/>
  <c r="Q21" i="2"/>
  <c r="P21" i="2"/>
  <c r="O21" i="2"/>
  <c r="N21" i="2"/>
  <c r="L21" i="2" s="1"/>
  <c r="M21" i="2"/>
  <c r="K21" i="2" s="1"/>
  <c r="G21" i="2"/>
  <c r="C21" i="2"/>
  <c r="Z20" i="2"/>
  <c r="Y20" i="2"/>
  <c r="X20" i="2"/>
  <c r="W20" i="2"/>
  <c r="V20" i="2"/>
  <c r="U20" i="2"/>
  <c r="S20" i="2" s="1"/>
  <c r="T20" i="2"/>
  <c r="R20" i="2"/>
  <c r="Q20" i="2"/>
  <c r="P20" i="2"/>
  <c r="O20" i="2"/>
  <c r="N20" i="2"/>
  <c r="M20" i="2"/>
  <c r="K20" i="2" s="1"/>
  <c r="L20" i="2"/>
  <c r="G20" i="2"/>
  <c r="C20" i="2"/>
  <c r="Z19" i="2"/>
  <c r="Y19" i="2"/>
  <c r="X19" i="2"/>
  <c r="W19" i="2"/>
  <c r="S19" i="2" s="1"/>
  <c r="V19" i="2"/>
  <c r="T19" i="2" s="1"/>
  <c r="U19" i="2"/>
  <c r="R19" i="2"/>
  <c r="Q19" i="2"/>
  <c r="P19" i="2"/>
  <c r="O19" i="2"/>
  <c r="K19" i="2" s="1"/>
  <c r="N19" i="2"/>
  <c r="L19" i="2" s="1"/>
  <c r="M19" i="2"/>
  <c r="G19" i="2"/>
  <c r="C19" i="2"/>
  <c r="Z18" i="2"/>
  <c r="Y18" i="2"/>
  <c r="X18" i="2"/>
  <c r="W18" i="2"/>
  <c r="V18" i="2"/>
  <c r="T18" i="2" s="1"/>
  <c r="U18" i="2"/>
  <c r="S18" i="2"/>
  <c r="R18" i="2"/>
  <c r="Q18" i="2"/>
  <c r="P18" i="2"/>
  <c r="O18" i="2"/>
  <c r="N18" i="2"/>
  <c r="L18" i="2" s="1"/>
  <c r="M18" i="2"/>
  <c r="K18" i="2"/>
  <c r="G18" i="2"/>
  <c r="C18" i="2"/>
  <c r="Z17" i="2"/>
  <c r="Y17" i="2"/>
  <c r="X17" i="2"/>
  <c r="W17" i="2"/>
  <c r="V17" i="2"/>
  <c r="T17" i="2" s="1"/>
  <c r="U17" i="2"/>
  <c r="S17" i="2" s="1"/>
  <c r="R17" i="2"/>
  <c r="Q17" i="2"/>
  <c r="P17" i="2"/>
  <c r="O17" i="2"/>
  <c r="N17" i="2"/>
  <c r="L17" i="2" s="1"/>
  <c r="M17" i="2"/>
  <c r="K17" i="2" s="1"/>
  <c r="G17" i="2"/>
  <c r="C17" i="2"/>
  <c r="Z16" i="2"/>
  <c r="Y16" i="2"/>
  <c r="X16" i="2"/>
  <c r="W16" i="2"/>
  <c r="V16" i="2"/>
  <c r="U16" i="2"/>
  <c r="S16" i="2" s="1"/>
  <c r="T16" i="2"/>
  <c r="R16" i="2"/>
  <c r="Q16" i="2"/>
  <c r="P16" i="2"/>
  <c r="O16" i="2"/>
  <c r="N16" i="2"/>
  <c r="M16" i="2"/>
  <c r="K16" i="2" s="1"/>
  <c r="L16" i="2"/>
  <c r="G16" i="2"/>
  <c r="C16" i="2"/>
  <c r="Z15" i="2"/>
  <c r="Y15" i="2"/>
  <c r="X15" i="2"/>
  <c r="W15" i="2"/>
  <c r="S15" i="2" s="1"/>
  <c r="V15" i="2"/>
  <c r="T15" i="2" s="1"/>
  <c r="U15" i="2"/>
  <c r="R15" i="2"/>
  <c r="Q15" i="2"/>
  <c r="P15" i="2"/>
  <c r="O15" i="2"/>
  <c r="K15" i="2" s="1"/>
  <c r="N15" i="2"/>
  <c r="L15" i="2" s="1"/>
  <c r="M15" i="2"/>
  <c r="G15" i="2"/>
  <c r="C15" i="2"/>
  <c r="Z14" i="2"/>
  <c r="Y14" i="2"/>
  <c r="X14" i="2"/>
  <c r="W14" i="2"/>
  <c r="V14" i="2"/>
  <c r="T14" i="2" s="1"/>
  <c r="U14" i="2"/>
  <c r="S14" i="2"/>
  <c r="R14" i="2"/>
  <c r="Q14" i="2"/>
  <c r="P14" i="2"/>
  <c r="O14" i="2"/>
  <c r="N14" i="2"/>
  <c r="L14" i="2" s="1"/>
  <c r="M14" i="2"/>
  <c r="K14" i="2"/>
  <c r="G14" i="2"/>
  <c r="C14" i="2"/>
  <c r="Z13" i="2"/>
  <c r="Y13" i="2"/>
  <c r="X13" i="2"/>
  <c r="W13" i="2"/>
  <c r="V13" i="2"/>
  <c r="T13" i="2" s="1"/>
  <c r="U13" i="2"/>
  <c r="S13" i="2" s="1"/>
  <c r="R13" i="2"/>
  <c r="Q13" i="2"/>
  <c r="P13" i="2"/>
  <c r="O13" i="2"/>
  <c r="N13" i="2"/>
  <c r="L13" i="2" s="1"/>
  <c r="M13" i="2"/>
  <c r="K13" i="2" s="1"/>
  <c r="G13" i="2"/>
  <c r="C13" i="2"/>
  <c r="Z12" i="2"/>
  <c r="Y12" i="2"/>
  <c r="X12" i="2"/>
  <c r="W12" i="2"/>
  <c r="V12" i="2"/>
  <c r="U12" i="2"/>
  <c r="S12" i="2" s="1"/>
  <c r="T12" i="2"/>
  <c r="R12" i="2"/>
  <c r="Q12" i="2"/>
  <c r="P12" i="2"/>
  <c r="O12" i="2"/>
  <c r="N12" i="2"/>
  <c r="M12" i="2"/>
  <c r="K12" i="2" s="1"/>
  <c r="L12" i="2"/>
  <c r="G12" i="2"/>
  <c r="C12" i="2"/>
  <c r="Z11" i="2"/>
  <c r="Y11" i="2"/>
  <c r="X11" i="2"/>
  <c r="W11" i="2"/>
  <c r="S11" i="2" s="1"/>
  <c r="V11" i="2"/>
  <c r="T11" i="2" s="1"/>
  <c r="U11" i="2"/>
  <c r="R11" i="2"/>
  <c r="Q11" i="2"/>
  <c r="P11" i="2"/>
  <c r="O11" i="2"/>
  <c r="K11" i="2" s="1"/>
  <c r="N11" i="2"/>
  <c r="L11" i="2" s="1"/>
  <c r="M11" i="2"/>
  <c r="G11" i="2"/>
  <c r="C11" i="2"/>
  <c r="Z10" i="2"/>
  <c r="Y10" i="2"/>
  <c r="X10" i="2"/>
  <c r="W10" i="2"/>
  <c r="V10" i="2"/>
  <c r="T10" i="2" s="1"/>
  <c r="U10" i="2"/>
  <c r="S10" i="2"/>
  <c r="R10" i="2"/>
  <c r="Q10" i="2"/>
  <c r="P10" i="2"/>
  <c r="O10" i="2"/>
  <c r="N10" i="2"/>
  <c r="L10" i="2" s="1"/>
  <c r="M10" i="2"/>
  <c r="K10" i="2"/>
  <c r="G10" i="2"/>
  <c r="C10" i="2"/>
  <c r="Z9" i="2"/>
  <c r="Y9" i="2"/>
  <c r="X9" i="2"/>
  <c r="W9" i="2"/>
  <c r="V9" i="2"/>
  <c r="T9" i="2" s="1"/>
  <c r="U9" i="2"/>
  <c r="S9" i="2" s="1"/>
  <c r="R9" i="2"/>
  <c r="Q9" i="2"/>
  <c r="P9" i="2"/>
  <c r="O9" i="2"/>
  <c r="N9" i="2"/>
  <c r="L9" i="2" s="1"/>
  <c r="M9" i="2"/>
  <c r="K9" i="2" s="1"/>
  <c r="G9" i="2"/>
  <c r="C9" i="2"/>
  <c r="Z8" i="2"/>
  <c r="Y8" i="2"/>
  <c r="X8" i="2"/>
  <c r="W8" i="2"/>
  <c r="V8" i="2"/>
  <c r="U8" i="2"/>
  <c r="S8" i="2" s="1"/>
  <c r="T8" i="2"/>
  <c r="R8" i="2"/>
  <c r="Q8" i="2"/>
  <c r="P8" i="2"/>
  <c r="O8" i="2"/>
  <c r="N8" i="2"/>
  <c r="M8" i="2"/>
  <c r="K8" i="2" s="1"/>
  <c r="L8" i="2"/>
  <c r="G8" i="2"/>
  <c r="C8" i="2"/>
  <c r="Z7" i="2"/>
  <c r="Y7" i="2"/>
  <c r="X7" i="2"/>
  <c r="W7" i="2"/>
  <c r="S7" i="2" s="1"/>
  <c r="V7" i="2"/>
  <c r="T7" i="2" s="1"/>
  <c r="U7" i="2"/>
  <c r="R7" i="2"/>
  <c r="Q7" i="2"/>
  <c r="P7" i="2"/>
  <c r="O7" i="2"/>
  <c r="K7" i="2" s="1"/>
  <c r="N7" i="2"/>
  <c r="L7" i="2" s="1"/>
  <c r="M7" i="2"/>
  <c r="G7" i="2"/>
  <c r="C7" i="2"/>
  <c r="Z6" i="2"/>
  <c r="Y6" i="2"/>
  <c r="X6" i="2"/>
  <c r="W6" i="2"/>
  <c r="V6" i="2"/>
  <c r="T6" i="2" s="1"/>
  <c r="U6" i="2"/>
  <c r="S6" i="2"/>
  <c r="R6" i="2"/>
  <c r="Q6" i="2"/>
  <c r="P6" i="2"/>
  <c r="O6" i="2"/>
  <c r="N6" i="2"/>
  <c r="L6" i="2" s="1"/>
  <c r="M6" i="2"/>
  <c r="K6" i="2"/>
  <c r="G6" i="2"/>
  <c r="C6" i="2"/>
  <c r="Z5" i="2"/>
  <c r="Y5" i="2"/>
  <c r="X5" i="2"/>
  <c r="W5" i="2"/>
  <c r="V5" i="2"/>
  <c r="T5" i="2" s="1"/>
  <c r="U5" i="2"/>
  <c r="S5" i="2" s="1"/>
  <c r="R5" i="2"/>
  <c r="Q5" i="2"/>
  <c r="P5" i="2"/>
  <c r="O5" i="2"/>
  <c r="N5" i="2"/>
  <c r="L5" i="2" s="1"/>
  <c r="M5" i="2"/>
  <c r="K5" i="2" s="1"/>
  <c r="G5" i="2"/>
  <c r="C5" i="2"/>
  <c r="Z4" i="2"/>
  <c r="Y4" i="2"/>
  <c r="X4" i="2"/>
  <c r="W4" i="2"/>
  <c r="V4" i="2"/>
  <c r="U4" i="2"/>
  <c r="S4" i="2" s="1"/>
  <c r="T4" i="2"/>
  <c r="R4" i="2"/>
  <c r="Q4" i="2"/>
  <c r="P4" i="2"/>
  <c r="O4" i="2"/>
  <c r="N4" i="2"/>
  <c r="M4" i="2"/>
  <c r="K4" i="2" s="1"/>
  <c r="L4" i="2"/>
  <c r="G4" i="2"/>
  <c r="C4" i="2"/>
  <c r="Z3" i="2"/>
  <c r="Y3" i="2"/>
  <c r="X3" i="2"/>
  <c r="W3" i="2"/>
  <c r="S3" i="2" s="1"/>
  <c r="V3" i="2"/>
  <c r="T3" i="2" s="1"/>
  <c r="U3" i="2"/>
  <c r="R3" i="2"/>
  <c r="Q3" i="2"/>
  <c r="P3" i="2"/>
  <c r="O3" i="2"/>
  <c r="K3" i="2" s="1"/>
  <c r="N3" i="2"/>
  <c r="L3" i="2" s="1"/>
  <c r="M3" i="2"/>
  <c r="G3" i="2"/>
  <c r="C3" i="2"/>
  <c r="Z2" i="2"/>
  <c r="Y2" i="2"/>
  <c r="X2" i="2"/>
  <c r="W2" i="2"/>
  <c r="V2" i="2"/>
  <c r="T2" i="2" s="1"/>
  <c r="U2" i="2"/>
  <c r="S2" i="2"/>
  <c r="R2" i="2"/>
  <c r="Q2" i="2"/>
  <c r="P2" i="2"/>
  <c r="O2" i="2"/>
  <c r="N2" i="2"/>
  <c r="L2" i="2" s="1"/>
  <c r="M2" i="2"/>
  <c r="K2" i="2"/>
  <c r="G2" i="2"/>
  <c r="C2" i="2"/>
  <c r="U34" i="2" l="1"/>
  <c r="S34" i="2" s="1"/>
  <c r="W34" i="2"/>
</calcChain>
</file>

<file path=xl/sharedStrings.xml><?xml version="1.0" encoding="utf-8"?>
<sst xmlns="http://schemas.openxmlformats.org/spreadsheetml/2006/main" count="570" uniqueCount="83">
  <si>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</si>
  <si>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</si>
  <si>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</si>
  <si>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</si>
  <si>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</si>
  <si>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</si>
  <si>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</si>
  <si>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</si>
  <si>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</si>
  <si>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</si>
  <si>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</si>
  <si>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</si>
  <si>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</si>
  <si>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</si>
  <si>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</si>
  <si>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</si>
  <si>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</si>
  <si>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</si>
  <si>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</si>
  <si>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</si>
  <si>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</si>
  <si>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</si>
  <si>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</si>
  <si>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</si>
  <si>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</si>
  <si>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</si>
  <si>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</si>
  <si>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</si>
  <si>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</si>
  <si>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Q1.2020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</si>
  <si>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</si>
  <si>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</si>
  <si>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</si>
  <si>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</si>
  <si>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</si>
  <si>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</si>
  <si>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</si>
  <si>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</si>
  <si>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</si>
  <si>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</si>
  <si>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</si>
  <si>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</si>
  <si>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</si>
  <si>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</si>
  <si>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</si>
  <si>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</si>
  <si>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</si>
  <si>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</si>
  <si>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</si>
  <si>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</si>
  <si>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</si>
  <si>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</si>
  <si>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</si>
  <si>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</si>
  <si>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</si>
  <si>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</si>
  <si>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</si>
  <si>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</si>
  <si>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</si>
  <si>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</si>
  <si>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</si>
  <si>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</si>
  <si>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</si>
  <si>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</si>
  <si>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</si>
  <si>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</si>
  <si>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</si>
  <si>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</si>
  <si>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</si>
  <si>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</si>
  <si>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</si>
  <si>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</si>
  <si>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Q3.2021</t>
  </si>
  <si>
    <t>share_ab_t</t>
  </si>
  <si>
    <t>share_nhealth_t</t>
  </si>
  <si>
    <t>share_nhealth_ab</t>
  </si>
  <si>
    <t>share_health_t</t>
  </si>
  <si>
    <t>share_health_ab</t>
  </si>
  <si>
    <t>share_of_t</t>
  </si>
  <si>
    <t>share_be_of</t>
  </si>
  <si>
    <t>share_gu_of</t>
  </si>
  <si>
    <t>total_spending_per</t>
  </si>
  <si>
    <t>total_spending_ppp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</si>
</sst>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2" fillId="0" borderId="0" xfId="1" applyFont="1"/>
    <xf numFmtId="0" fontId="6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6" fillId="0" borderId="1" xfId="3" applyNumberFormat="1" applyFont="1" applyFill="1" applyBorder="1" applyAlignment="1"/>
    <xf numFmtId="167" fontId="7" fillId="0" borderId="0" xfId="2" applyNumberFormat="1" applyFont="1" applyAlignment="1">
      <alignment horizontal="center" vertical="center"/>
    </xf>
    <xf numFmtId="0" fontId="1" fillId="0" borderId="0" xfId="1"/>
    <xf numFmtId="168" fontId="6" fillId="0" borderId="1" xfId="3" applyNumberFormat="1" applyFont="1" applyFill="1" applyBorder="1" applyAlignment="1"/>
    <xf numFmtId="0" fontId="5" fillId="2" borderId="1" xfId="2" applyFill="1" applyBorder="1" applyAlignment="1">
      <alignment horizontal="left" indent="1"/>
    </xf>
    <xf numFmtId="169" fontId="6" fillId="0" borderId="1" xfId="3" applyNumberFormat="1" applyFont="1" applyFill="1" applyBorder="1"/>
    <xf numFmtId="170" fontId="6" fillId="0" borderId="1" xfId="3" applyNumberFormat="1" applyFont="1" applyFill="1" applyBorder="1" applyAlignment="1"/>
    <xf numFmtId="170" fontId="6" fillId="0" borderId="0" xfId="3" applyNumberFormat="1" applyFont="1" applyFill="1" applyAlignment="1"/>
    <xf numFmtId="0" fontId="5" fillId="0" borderId="1" xfId="2" applyBorder="1" applyAlignment="1">
      <alignment horizontal="left" indent="1"/>
    </xf>
    <xf numFmtId="167" fontId="5" fillId="0" borderId="0" xfId="2" applyNumberFormat="1" applyAlignment="1">
      <alignment horizontal="center"/>
    </xf>
    <xf numFmtId="0" fontId="6" fillId="0" borderId="0" xfId="2" applyFont="1"/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171" fontId="6" fillId="0" borderId="1" xfId="3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">
    <cellStyle name="Komma 2" xfId="3" xr:uid="{207EE57A-7796-47D6-84C7-A0E933FE7BC9}"/>
    <cellStyle name="Standard" xfId="0" builtinId="0"/>
    <cellStyle name="Standard 2" xfId="1" xr:uid="{8247BE2A-96CD-41B7-AA60-C32B35B96791}"/>
    <cellStyle name="Standard 3" xfId="2" xr:uid="{459E9B88-0E19-4ED0-BB9B-FD7CF97BF76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4EDE-516E-4233-95CF-32FB33BEEF05}">
  <dimension ref="A1:AL267"/>
  <sheetViews>
    <sheetView tabSelected="1" zoomScale="190" zoomScaleNormal="100" workbookViewId="0">
      <pane xSplit="1" topLeftCell="AA1" activePane="topRight" state="frozen"/>
      <selection pane="topRight" activeCell="AC2" sqref="AC2:AL267"/>
    </sheetView>
  </sheetViews>
  <sheetFormatPr baseColWidth="10" defaultRowHeight="14.5" x14ac:dyDescent="0.35"/>
  <cols>
    <col min="1" max="1" width="15.26953125" style="13" customWidth="1"/>
    <col min="2" max="2" width="10.90625" style="13"/>
    <col min="3" max="3" width="16" style="13" customWidth="1"/>
    <col min="4" max="4" width="14.6328125" style="13" customWidth="1"/>
    <col min="5" max="5" width="12" style="13" customWidth="1"/>
    <col min="6" max="6" width="11.6328125" style="13" customWidth="1"/>
    <col min="7" max="7" width="13.6328125" style="13" bestFit="1" customWidth="1"/>
    <col min="8" max="9" width="11" style="13" bestFit="1" customWidth="1"/>
    <col min="10" max="10" width="11.26953125" style="13" customWidth="1"/>
    <col min="11" max="14" width="10.90625" style="13"/>
    <col min="15" max="15" width="11.6328125" style="13" customWidth="1"/>
    <col min="16" max="18" width="14.1796875" style="13" customWidth="1"/>
    <col min="19" max="26" width="10.90625" style="13"/>
    <col min="27" max="27" width="39.6328125" style="13" customWidth="1"/>
    <col min="28" max="28" width="30.1796875" style="13" customWidth="1"/>
    <col min="29" max="29" width="32.6328125" style="13" customWidth="1"/>
    <col min="30" max="16384" width="10.90625" style="13"/>
  </cols>
  <sheetData>
    <row r="1" spans="1:38" s="8" customFormat="1" ht="61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7" t="s">
        <v>27</v>
      </c>
      <c r="AC1" s="26" t="s">
        <v>73</v>
      </c>
      <c r="AD1" s="26" t="s">
        <v>74</v>
      </c>
      <c r="AE1" s="26" t="s">
        <v>75</v>
      </c>
      <c r="AF1" s="27" t="s">
        <v>76</v>
      </c>
      <c r="AG1" s="27" t="s">
        <v>77</v>
      </c>
      <c r="AH1" s="27" t="s">
        <v>78</v>
      </c>
      <c r="AI1" s="27" t="s">
        <v>79</v>
      </c>
      <c r="AJ1" s="27" t="s">
        <v>80</v>
      </c>
      <c r="AK1" s="27" t="s">
        <v>81</v>
      </c>
      <c r="AL1" s="27" t="s">
        <v>82</v>
      </c>
    </row>
    <row r="2" spans="1:38" x14ac:dyDescent="0.35">
      <c r="A2" s="9" t="s">
        <v>28</v>
      </c>
      <c r="B2" s="9" t="s">
        <v>29</v>
      </c>
      <c r="C2" s="10">
        <f>D2+E2</f>
        <v>110.0051</v>
      </c>
      <c r="D2" s="11">
        <v>2.1168</v>
      </c>
      <c r="E2" s="11">
        <v>107.8883</v>
      </c>
      <c r="F2" s="11">
        <v>0</v>
      </c>
      <c r="G2" s="11">
        <f>H2+I2</f>
        <v>24.0029</v>
      </c>
      <c r="H2" s="11">
        <v>10.3255</v>
      </c>
      <c r="I2" s="11">
        <v>13.6774</v>
      </c>
      <c r="J2" s="11">
        <v>0</v>
      </c>
      <c r="K2" s="11">
        <f>M2+O2</f>
        <v>7.3593163001337505</v>
      </c>
      <c r="L2" s="11">
        <f>N2+P2</f>
        <v>8.9689107490462359</v>
      </c>
      <c r="M2" s="11">
        <f t="shared" ref="M2:M39" si="0">($D2/$AB2)*100</f>
        <v>0.14161344105067059</v>
      </c>
      <c r="N2" s="11">
        <f t="shared" ref="N2:N39" si="1">($D2/$AA2)*100</f>
        <v>0.1725864552969005</v>
      </c>
      <c r="O2" s="11">
        <f t="shared" ref="O2:O39" si="2">($E2/$AB2)*100</f>
        <v>7.2177028590830803</v>
      </c>
      <c r="P2" s="11">
        <f t="shared" ref="P2:P39" si="3">($E2/$AA2)*100</f>
        <v>8.7963242937493362</v>
      </c>
      <c r="Q2" s="11">
        <f t="shared" ref="Q2:Q39" si="4">($F2/$AB2)*100</f>
        <v>0</v>
      </c>
      <c r="R2" s="11">
        <f t="shared" ref="R2:R39" si="5">($F2/$AA2)*100</f>
        <v>0</v>
      </c>
      <c r="S2" s="11">
        <f>U2+W2</f>
        <v>1.6057885790793376</v>
      </c>
      <c r="T2" s="11">
        <f>V2+X2</f>
        <v>1.9569989738501388</v>
      </c>
      <c r="U2" s="11">
        <f t="shared" ref="U2:U39" si="6">($H2/$AB2)*100</f>
        <v>0.690773613741827</v>
      </c>
      <c r="V2" s="11">
        <f t="shared" ref="V2:V39" si="7">($H2/AA2)*100</f>
        <v>0.84185631338253319</v>
      </c>
      <c r="W2" s="11">
        <f t="shared" ref="W2:W39" si="8">($I2/$AB2)*100</f>
        <v>0.91501496533751059</v>
      </c>
      <c r="X2" s="11">
        <f t="shared" ref="X2:X39" si="9">($I2/$AA2)*100</f>
        <v>1.1151426604676056</v>
      </c>
      <c r="Y2" s="11">
        <f t="shared" ref="Y2:Y39" si="10">($J2/$AB2)*100</f>
        <v>0</v>
      </c>
      <c r="Z2" s="11">
        <f t="shared" ref="Z2:Z39" si="11">($J2/$AA2)*100</f>
        <v>0</v>
      </c>
      <c r="AA2" s="12">
        <v>1226.51571721458</v>
      </c>
      <c r="AB2" s="13">
        <v>1494.77336635199</v>
      </c>
      <c r="AC2">
        <f>C2/(C2+G2)</f>
        <v>0.82088457405528026</v>
      </c>
      <c r="AD2">
        <f>(E2/(C2+G2))</f>
        <v>0.80508850217897432</v>
      </c>
      <c r="AE2">
        <f>(E2/C2)</f>
        <v>0.98075725579995843</v>
      </c>
      <c r="AF2">
        <f>(D2/(C2+G2))</f>
        <v>1.5796071876305891E-2</v>
      </c>
      <c r="AG2">
        <f>(D2/(C2))</f>
        <v>1.9242744200041635E-2</v>
      </c>
      <c r="AH2">
        <f>(G2/(C2+G2))</f>
        <v>0.17911542594471971</v>
      </c>
      <c r="AI2">
        <f>(H2/G2)</f>
        <v>0.43017718692324675</v>
      </c>
      <c r="AJ2">
        <f>I2/G2</f>
        <v>0.5698228130767532</v>
      </c>
      <c r="AK2">
        <f>(C2+G2)/AA2</f>
        <v>0.10925909722896375</v>
      </c>
      <c r="AL2">
        <f>(C2+G2)/AB2</f>
        <v>8.96510487921309E-2</v>
      </c>
    </row>
    <row r="3" spans="1:38" x14ac:dyDescent="0.35">
      <c r="A3" s="9" t="s">
        <v>30</v>
      </c>
      <c r="B3" s="9" t="s">
        <v>29</v>
      </c>
      <c r="C3" s="10">
        <f t="shared" ref="C3:C39" si="12">D3+E3</f>
        <v>81</v>
      </c>
      <c r="D3" s="11">
        <v>2.4</v>
      </c>
      <c r="E3" s="11">
        <v>78.599999999999994</v>
      </c>
      <c r="F3" s="11">
        <v>63.75</v>
      </c>
      <c r="G3" s="11">
        <f t="shared" ref="G3:G39" si="13">H3+I3</f>
        <v>51.7</v>
      </c>
      <c r="H3" s="11">
        <v>3.7</v>
      </c>
      <c r="I3" s="11">
        <v>48</v>
      </c>
      <c r="J3" s="11">
        <v>0</v>
      </c>
      <c r="K3" s="11">
        <f t="shared" ref="K3:L39" si="14">M3+O3</f>
        <v>4.7742400680565593</v>
      </c>
      <c r="L3" s="11">
        <f t="shared" si="14"/>
        <v>4.6997712099071647</v>
      </c>
      <c r="M3" s="11">
        <f t="shared" si="0"/>
        <v>0.14145896497945359</v>
      </c>
      <c r="N3" s="11">
        <f t="shared" si="1"/>
        <v>0.13925248029354564</v>
      </c>
      <c r="O3" s="11">
        <f t="shared" si="2"/>
        <v>4.6327811030771056</v>
      </c>
      <c r="P3" s="11">
        <f t="shared" si="3"/>
        <v>4.5605187296136194</v>
      </c>
      <c r="Q3" s="11">
        <f t="shared" si="4"/>
        <v>3.7575037572667362</v>
      </c>
      <c r="R3" s="11">
        <f t="shared" si="5"/>
        <v>3.6988940077973065</v>
      </c>
      <c r="S3" s="11">
        <f t="shared" ref="S3:T39" si="15">U3+W3</f>
        <v>3.0472618705990637</v>
      </c>
      <c r="T3" s="11">
        <f t="shared" si="15"/>
        <v>2.999730512990129</v>
      </c>
      <c r="U3" s="11">
        <f t="shared" si="6"/>
        <v>0.21808257100999098</v>
      </c>
      <c r="V3" s="11">
        <f t="shared" si="7"/>
        <v>0.21468090711921622</v>
      </c>
      <c r="W3" s="11">
        <f t="shared" si="8"/>
        <v>2.8291792995890725</v>
      </c>
      <c r="X3" s="11">
        <f t="shared" si="9"/>
        <v>2.7850496058709129</v>
      </c>
      <c r="Y3" s="11">
        <f t="shared" si="10"/>
        <v>0</v>
      </c>
      <c r="Z3" s="11">
        <f t="shared" si="11"/>
        <v>0</v>
      </c>
      <c r="AA3" s="12">
        <v>1723.48815255626</v>
      </c>
      <c r="AB3" s="13">
        <v>1696.60508992738</v>
      </c>
      <c r="AC3">
        <f t="shared" ref="AC3:AC66" si="16">C3/(C3+G3)</f>
        <v>0.6103993971363979</v>
      </c>
      <c r="AD3">
        <f t="shared" ref="AD3:AD66" si="17">(E3/(C3+G3))</f>
        <v>0.59231348907309722</v>
      </c>
      <c r="AE3">
        <f t="shared" ref="AE3:AE66" si="18">(E3/C3)</f>
        <v>0.97037037037037033</v>
      </c>
      <c r="AF3">
        <f t="shared" ref="AF3:AF66" si="19">(D3/(C3+G3))</f>
        <v>1.8085908063300678E-2</v>
      </c>
      <c r="AG3">
        <f t="shared" ref="AG3:AG66" si="20">(D3/(C3))</f>
        <v>2.9629629629629627E-2</v>
      </c>
      <c r="AH3">
        <f t="shared" ref="AH3:AH66" si="21">(G3/(C3+G3))</f>
        <v>0.38960060286360215</v>
      </c>
      <c r="AI3">
        <f t="shared" ref="AI3:AI66" si="22">(H3/G3)</f>
        <v>7.1566731141199227E-2</v>
      </c>
      <c r="AJ3">
        <f t="shared" ref="AJ3:AJ66" si="23">I3/G3</f>
        <v>0.92843326885880073</v>
      </c>
      <c r="AK3">
        <f t="shared" ref="AK3:AK66" si="24">(C3+G3)/AA3</f>
        <v>7.6995017228972937E-2</v>
      </c>
      <c r="AL3">
        <f t="shared" ref="AL3:AL66" si="25">(C3+G3)/AB3</f>
        <v>7.8215019386556214E-2</v>
      </c>
    </row>
    <row r="4" spans="1:38" x14ac:dyDescent="0.35">
      <c r="A4" s="9" t="s">
        <v>31</v>
      </c>
      <c r="B4" s="9" t="s">
        <v>29</v>
      </c>
      <c r="C4" s="10">
        <f t="shared" si="12"/>
        <v>16.5</v>
      </c>
      <c r="D4" s="14">
        <v>5.5</v>
      </c>
      <c r="E4" s="14">
        <v>11</v>
      </c>
      <c r="F4" s="14">
        <v>48.5</v>
      </c>
      <c r="G4" s="11">
        <f t="shared" si="13"/>
        <v>348</v>
      </c>
      <c r="H4" s="14">
        <v>0</v>
      </c>
      <c r="I4" s="14">
        <v>348</v>
      </c>
      <c r="J4" s="11">
        <v>0</v>
      </c>
      <c r="K4" s="11">
        <f t="shared" si="14"/>
        <v>0.630538110393977</v>
      </c>
      <c r="L4" s="11">
        <f t="shared" si="14"/>
        <v>0.56757783839276432</v>
      </c>
      <c r="M4" s="11">
        <f t="shared" si="0"/>
        <v>0.21017937013132568</v>
      </c>
      <c r="N4" s="11">
        <f t="shared" si="1"/>
        <v>0.18919261279758812</v>
      </c>
      <c r="O4" s="11">
        <f t="shared" si="2"/>
        <v>0.42035874026265135</v>
      </c>
      <c r="P4" s="11">
        <f t="shared" si="3"/>
        <v>0.37838522559517623</v>
      </c>
      <c r="Q4" s="11">
        <f t="shared" si="4"/>
        <v>1.8533999002489625</v>
      </c>
      <c r="R4" s="11">
        <f t="shared" si="5"/>
        <v>1.6683348583060043</v>
      </c>
      <c r="S4" s="11">
        <f t="shared" si="15"/>
        <v>13.298621964672968</v>
      </c>
      <c r="T4" s="11">
        <f t="shared" si="15"/>
        <v>11.970732591556484</v>
      </c>
      <c r="U4" s="11">
        <f t="shared" si="6"/>
        <v>0</v>
      </c>
      <c r="V4" s="11">
        <f t="shared" si="7"/>
        <v>0</v>
      </c>
      <c r="W4" s="11">
        <f t="shared" si="8"/>
        <v>13.298621964672968</v>
      </c>
      <c r="X4" s="11">
        <f t="shared" si="9"/>
        <v>11.970732591556484</v>
      </c>
      <c r="Y4" s="11">
        <f t="shared" si="10"/>
        <v>0</v>
      </c>
      <c r="Z4" s="11">
        <f t="shared" si="11"/>
        <v>0</v>
      </c>
      <c r="AA4" s="12">
        <v>2907.0902498102801</v>
      </c>
      <c r="AB4" s="13">
        <v>2616.8124857180101</v>
      </c>
      <c r="AC4">
        <f t="shared" si="16"/>
        <v>4.5267489711934158E-2</v>
      </c>
      <c r="AD4">
        <f t="shared" si="17"/>
        <v>3.017832647462277E-2</v>
      </c>
      <c r="AE4">
        <f t="shared" si="18"/>
        <v>0.66666666666666663</v>
      </c>
      <c r="AF4">
        <f t="shared" si="19"/>
        <v>1.5089163237311385E-2</v>
      </c>
      <c r="AG4">
        <f t="shared" si="20"/>
        <v>0.33333333333333331</v>
      </c>
      <c r="AH4">
        <f t="shared" si="21"/>
        <v>0.95473251028806583</v>
      </c>
      <c r="AI4">
        <f t="shared" si="22"/>
        <v>0</v>
      </c>
      <c r="AJ4">
        <f t="shared" si="23"/>
        <v>1</v>
      </c>
      <c r="AK4">
        <f t="shared" si="24"/>
        <v>0.12538310429949248</v>
      </c>
      <c r="AL4">
        <f t="shared" si="25"/>
        <v>0.13929160075066946</v>
      </c>
    </row>
    <row r="5" spans="1:38" x14ac:dyDescent="0.35">
      <c r="A5" s="9" t="s">
        <v>32</v>
      </c>
      <c r="B5" s="9" t="s">
        <v>29</v>
      </c>
      <c r="C5" s="10">
        <f t="shared" si="12"/>
        <v>143</v>
      </c>
      <c r="D5" s="11">
        <v>11.2</v>
      </c>
      <c r="E5" s="11">
        <v>131.80000000000001</v>
      </c>
      <c r="F5" s="11">
        <v>0</v>
      </c>
      <c r="G5" s="11">
        <f t="shared" si="13"/>
        <v>1072</v>
      </c>
      <c r="H5" s="11">
        <v>223</v>
      </c>
      <c r="I5" s="11">
        <v>849</v>
      </c>
      <c r="J5" s="11">
        <v>0</v>
      </c>
      <c r="K5" s="11">
        <f t="shared" si="14"/>
        <v>3.9751844662002656</v>
      </c>
      <c r="L5" s="11">
        <f t="shared" si="14"/>
        <v>3.4360258824878329</v>
      </c>
      <c r="M5" s="11">
        <f t="shared" si="0"/>
        <v>0.3113431190310697</v>
      </c>
      <c r="N5" s="11">
        <f t="shared" si="1"/>
        <v>0.26911531387317289</v>
      </c>
      <c r="O5" s="11">
        <f t="shared" si="2"/>
        <v>3.6638413471691957</v>
      </c>
      <c r="P5" s="11">
        <f t="shared" si="3"/>
        <v>3.1669105686146599</v>
      </c>
      <c r="Q5" s="11">
        <f t="shared" si="4"/>
        <v>0</v>
      </c>
      <c r="R5" s="11">
        <f t="shared" si="5"/>
        <v>0</v>
      </c>
      <c r="S5" s="11">
        <f t="shared" si="15"/>
        <v>29.799984250116676</v>
      </c>
      <c r="T5" s="11">
        <f t="shared" si="15"/>
        <v>25.758180042146549</v>
      </c>
      <c r="U5" s="11">
        <f t="shared" si="6"/>
        <v>6.1990638878507633</v>
      </c>
      <c r="V5" s="11">
        <f t="shared" si="7"/>
        <v>5.3582781244390683</v>
      </c>
      <c r="W5" s="11">
        <f t="shared" si="8"/>
        <v>23.600920362265914</v>
      </c>
      <c r="X5" s="11">
        <f t="shared" si="9"/>
        <v>20.399901917707481</v>
      </c>
      <c r="Y5" s="11">
        <f t="shared" si="10"/>
        <v>0</v>
      </c>
      <c r="Z5" s="11">
        <f t="shared" si="11"/>
        <v>0</v>
      </c>
      <c r="AA5" s="12">
        <v>4161.7847155581303</v>
      </c>
      <c r="AB5" s="13">
        <v>3597.3173374942398</v>
      </c>
      <c r="AC5">
        <f t="shared" si="16"/>
        <v>0.1176954732510288</v>
      </c>
      <c r="AD5">
        <f t="shared" si="17"/>
        <v>0.10847736625514404</v>
      </c>
      <c r="AE5">
        <f t="shared" si="18"/>
        <v>0.92167832167832175</v>
      </c>
      <c r="AF5">
        <f t="shared" si="19"/>
        <v>9.2181069958847724E-3</v>
      </c>
      <c r="AG5">
        <f t="shared" si="20"/>
        <v>7.8321678321678315E-2</v>
      </c>
      <c r="AH5">
        <f t="shared" si="21"/>
        <v>0.8823045267489712</v>
      </c>
      <c r="AI5">
        <f t="shared" si="22"/>
        <v>0.2080223880597015</v>
      </c>
      <c r="AJ5">
        <f t="shared" si="23"/>
        <v>0.79197761194029848</v>
      </c>
      <c r="AK5">
        <f t="shared" si="24"/>
        <v>0.29194205924634387</v>
      </c>
      <c r="AL5">
        <f t="shared" si="25"/>
        <v>0.33775168716316939</v>
      </c>
    </row>
    <row r="6" spans="1:38" x14ac:dyDescent="0.35">
      <c r="A6" s="9" t="s">
        <v>33</v>
      </c>
      <c r="B6" s="9" t="s">
        <v>29</v>
      </c>
      <c r="C6" s="10">
        <f t="shared" si="12"/>
        <v>22</v>
      </c>
      <c r="D6" s="11">
        <v>3.63</v>
      </c>
      <c r="E6" s="11">
        <v>18.37</v>
      </c>
      <c r="F6" s="11">
        <v>0</v>
      </c>
      <c r="G6" s="11">
        <f t="shared" si="13"/>
        <v>591</v>
      </c>
      <c r="H6" s="11">
        <v>0</v>
      </c>
      <c r="I6" s="11">
        <v>591</v>
      </c>
      <c r="J6" s="11">
        <v>0</v>
      </c>
      <c r="K6" s="11">
        <f t="shared" si="14"/>
        <v>1.1469339016069102</v>
      </c>
      <c r="L6" s="11">
        <f t="shared" si="14"/>
        <v>0.94111212635674024</v>
      </c>
      <c r="M6" s="11">
        <f t="shared" si="0"/>
        <v>0.18924409376514018</v>
      </c>
      <c r="N6" s="11">
        <f t="shared" si="1"/>
        <v>0.15528350084886214</v>
      </c>
      <c r="O6" s="11">
        <f t="shared" si="2"/>
        <v>0.95768980784176994</v>
      </c>
      <c r="P6" s="11">
        <f t="shared" si="3"/>
        <v>0.78582862550787813</v>
      </c>
      <c r="Q6" s="11">
        <f t="shared" si="4"/>
        <v>0</v>
      </c>
      <c r="R6" s="11">
        <f t="shared" si="5"/>
        <v>0</v>
      </c>
      <c r="S6" s="11">
        <f t="shared" si="15"/>
        <v>30.810815265894721</v>
      </c>
      <c r="T6" s="11">
        <f t="shared" si="15"/>
        <v>25.281693939856066</v>
      </c>
      <c r="U6" s="11">
        <f t="shared" si="6"/>
        <v>0</v>
      </c>
      <c r="V6" s="11">
        <f t="shared" si="7"/>
        <v>0</v>
      </c>
      <c r="W6" s="11">
        <f t="shared" si="8"/>
        <v>30.810815265894721</v>
      </c>
      <c r="X6" s="11">
        <f t="shared" si="9"/>
        <v>25.281693939856066</v>
      </c>
      <c r="Y6" s="11">
        <f t="shared" si="10"/>
        <v>0</v>
      </c>
      <c r="Z6" s="11">
        <f t="shared" si="11"/>
        <v>0</v>
      </c>
      <c r="AA6" s="12">
        <v>2337.6598158571201</v>
      </c>
      <c r="AB6" s="13">
        <v>1918.15761738117</v>
      </c>
      <c r="AC6">
        <f t="shared" si="16"/>
        <v>3.588907014681892E-2</v>
      </c>
      <c r="AD6">
        <f t="shared" si="17"/>
        <v>2.9967373572593804E-2</v>
      </c>
      <c r="AE6">
        <f t="shared" si="18"/>
        <v>0.83500000000000008</v>
      </c>
      <c r="AF6">
        <f t="shared" si="19"/>
        <v>5.921696574225122E-3</v>
      </c>
      <c r="AG6">
        <f t="shared" si="20"/>
        <v>0.16500000000000001</v>
      </c>
      <c r="AH6">
        <f t="shared" si="21"/>
        <v>0.96411092985318103</v>
      </c>
      <c r="AI6">
        <f t="shared" si="22"/>
        <v>0</v>
      </c>
      <c r="AJ6">
        <f t="shared" si="23"/>
        <v>1</v>
      </c>
      <c r="AK6">
        <f t="shared" si="24"/>
        <v>0.26222806066212806</v>
      </c>
      <c r="AL6">
        <f t="shared" si="25"/>
        <v>0.31957749167501631</v>
      </c>
    </row>
    <row r="7" spans="1:38" x14ac:dyDescent="0.35">
      <c r="A7" s="9" t="s">
        <v>34</v>
      </c>
      <c r="B7" s="9" t="s">
        <v>29</v>
      </c>
      <c r="C7" s="10">
        <f t="shared" si="12"/>
        <v>497</v>
      </c>
      <c r="D7" s="11">
        <v>12.1906</v>
      </c>
      <c r="E7" s="11">
        <v>484.80939999999998</v>
      </c>
      <c r="F7" s="11">
        <v>0</v>
      </c>
      <c r="G7" s="11">
        <f t="shared" si="13"/>
        <v>19</v>
      </c>
      <c r="H7" s="11">
        <v>0</v>
      </c>
      <c r="I7" s="11">
        <v>19</v>
      </c>
      <c r="J7" s="11">
        <v>0</v>
      </c>
      <c r="K7" s="11">
        <f t="shared" si="14"/>
        <v>10.88877715515526</v>
      </c>
      <c r="L7" s="11">
        <f t="shared" si="14"/>
        <v>9.3335923458114554</v>
      </c>
      <c r="M7" s="11">
        <f t="shared" si="0"/>
        <v>0.26708395731918655</v>
      </c>
      <c r="N7" s="11">
        <f t="shared" si="1"/>
        <v>0.22893780855301635</v>
      </c>
      <c r="O7" s="11">
        <f t="shared" si="2"/>
        <v>10.621693197836073</v>
      </c>
      <c r="P7" s="11">
        <f t="shared" si="3"/>
        <v>9.1046545372584387</v>
      </c>
      <c r="Q7" s="11">
        <f t="shared" si="4"/>
        <v>0</v>
      </c>
      <c r="R7" s="11">
        <f t="shared" si="5"/>
        <v>0</v>
      </c>
      <c r="S7" s="11">
        <f t="shared" si="15"/>
        <v>0.41627115884899385</v>
      </c>
      <c r="T7" s="11">
        <f t="shared" si="15"/>
        <v>0.35681741362257074</v>
      </c>
      <c r="U7" s="11">
        <f t="shared" si="6"/>
        <v>0</v>
      </c>
      <c r="V7" s="11">
        <f t="shared" si="7"/>
        <v>0</v>
      </c>
      <c r="W7" s="11">
        <f t="shared" si="8"/>
        <v>0.41627115884899385</v>
      </c>
      <c r="X7" s="11">
        <f t="shared" si="9"/>
        <v>0.35681741362257074</v>
      </c>
      <c r="Y7" s="11">
        <f t="shared" si="10"/>
        <v>0</v>
      </c>
      <c r="Z7" s="11">
        <f t="shared" si="11"/>
        <v>0</v>
      </c>
      <c r="AA7" s="12">
        <v>5324.8522282316499</v>
      </c>
      <c r="AB7" s="13">
        <v>4564.3325500944502</v>
      </c>
      <c r="AC7">
        <f t="shared" si="16"/>
        <v>0.96317829457364346</v>
      </c>
      <c r="AD7">
        <f t="shared" si="17"/>
        <v>0.93955310077519372</v>
      </c>
      <c r="AE7">
        <f t="shared" si="18"/>
        <v>0.97547162977867197</v>
      </c>
      <c r="AF7">
        <f t="shared" si="19"/>
        <v>2.3625193798449611E-2</v>
      </c>
      <c r="AG7">
        <f t="shared" si="20"/>
        <v>2.4528370221327967E-2</v>
      </c>
      <c r="AH7">
        <f t="shared" si="21"/>
        <v>3.6821705426356592E-2</v>
      </c>
      <c r="AI7">
        <f t="shared" si="22"/>
        <v>0</v>
      </c>
      <c r="AJ7">
        <f t="shared" si="23"/>
        <v>1</v>
      </c>
      <c r="AK7">
        <f t="shared" si="24"/>
        <v>9.6904097594340266E-2</v>
      </c>
      <c r="AL7">
        <f t="shared" si="25"/>
        <v>0.11305048314004254</v>
      </c>
    </row>
    <row r="8" spans="1:38" x14ac:dyDescent="0.35">
      <c r="A8" s="9" t="s">
        <v>35</v>
      </c>
      <c r="B8" s="9" t="s">
        <v>29</v>
      </c>
      <c r="C8" s="10">
        <f t="shared" si="12"/>
        <v>24</v>
      </c>
      <c r="D8" s="11">
        <v>2.5</v>
      </c>
      <c r="E8" s="11">
        <v>21.5</v>
      </c>
      <c r="F8" s="11">
        <v>14</v>
      </c>
      <c r="G8" s="11">
        <f t="shared" si="13"/>
        <v>215</v>
      </c>
      <c r="H8" s="11">
        <v>101</v>
      </c>
      <c r="I8" s="11">
        <v>114</v>
      </c>
      <c r="J8" s="11">
        <v>0</v>
      </c>
      <c r="K8" s="11">
        <f t="shared" si="14"/>
        <v>1.465070020161209</v>
      </c>
      <c r="L8" s="11">
        <f t="shared" si="14"/>
        <v>1.1128940232744176</v>
      </c>
      <c r="M8" s="11">
        <f t="shared" si="0"/>
        <v>0.15261146043345927</v>
      </c>
      <c r="N8" s="11">
        <f t="shared" si="1"/>
        <v>0.11592646075775184</v>
      </c>
      <c r="O8" s="11">
        <f t="shared" si="2"/>
        <v>1.3124585597277498</v>
      </c>
      <c r="P8" s="11">
        <f t="shared" si="3"/>
        <v>0.99696756251666574</v>
      </c>
      <c r="Q8" s="11">
        <f t="shared" si="4"/>
        <v>0.85462417842737204</v>
      </c>
      <c r="R8" s="11">
        <f t="shared" si="5"/>
        <v>0.64918818024341018</v>
      </c>
      <c r="S8" s="11">
        <f t="shared" si="15"/>
        <v>13.124585597277498</v>
      </c>
      <c r="T8" s="11">
        <f t="shared" si="15"/>
        <v>9.9696756251666585</v>
      </c>
      <c r="U8" s="11">
        <f t="shared" si="6"/>
        <v>6.1655030015117545</v>
      </c>
      <c r="V8" s="11">
        <f t="shared" si="7"/>
        <v>4.6834290146131741</v>
      </c>
      <c r="W8" s="11">
        <f t="shared" si="8"/>
        <v>6.9590825957657438</v>
      </c>
      <c r="X8" s="11">
        <f t="shared" si="9"/>
        <v>5.2862466105534835</v>
      </c>
      <c r="Y8" s="11">
        <f t="shared" si="10"/>
        <v>0</v>
      </c>
      <c r="Z8" s="11">
        <f t="shared" si="11"/>
        <v>0</v>
      </c>
      <c r="AA8" s="12">
        <v>2156.5395714307001</v>
      </c>
      <c r="AB8" s="13">
        <v>1638.14696019506</v>
      </c>
      <c r="AC8">
        <f t="shared" si="16"/>
        <v>0.100418410041841</v>
      </c>
      <c r="AD8">
        <f t="shared" si="17"/>
        <v>8.9958158995815898E-2</v>
      </c>
      <c r="AE8">
        <f t="shared" si="18"/>
        <v>0.89583333333333337</v>
      </c>
      <c r="AF8">
        <f t="shared" si="19"/>
        <v>1.0460251046025104E-2</v>
      </c>
      <c r="AG8">
        <f t="shared" si="20"/>
        <v>0.10416666666666667</v>
      </c>
      <c r="AH8">
        <f t="shared" si="21"/>
        <v>0.89958158995815896</v>
      </c>
      <c r="AI8">
        <f t="shared" si="22"/>
        <v>0.4697674418604651</v>
      </c>
      <c r="AJ8">
        <f t="shared" si="23"/>
        <v>0.53023255813953485</v>
      </c>
      <c r="AK8">
        <f t="shared" si="24"/>
        <v>0.11082569648441075</v>
      </c>
      <c r="AL8">
        <f t="shared" si="25"/>
        <v>0.14589655617438707</v>
      </c>
    </row>
    <row r="9" spans="1:38" x14ac:dyDescent="0.35">
      <c r="A9" s="9" t="s">
        <v>36</v>
      </c>
      <c r="B9" s="9" t="s">
        <v>29</v>
      </c>
      <c r="C9" s="10">
        <f t="shared" si="12"/>
        <v>14.892900000000001</v>
      </c>
      <c r="D9" s="11">
        <v>4.1786000000000003</v>
      </c>
      <c r="E9" s="11">
        <v>10.7143</v>
      </c>
      <c r="F9" s="11">
        <v>0</v>
      </c>
      <c r="G9" s="11">
        <f t="shared" si="13"/>
        <v>175.61519999999999</v>
      </c>
      <c r="H9" s="11">
        <v>11</v>
      </c>
      <c r="I9" s="11">
        <v>164.61519999999999</v>
      </c>
      <c r="J9" s="11">
        <v>11.4316</v>
      </c>
      <c r="K9" s="11">
        <f t="shared" si="14"/>
        <v>1.1249106429758049</v>
      </c>
      <c r="L9" s="11">
        <f t="shared" si="14"/>
        <v>0.82898248866192525</v>
      </c>
      <c r="M9" s="11">
        <f t="shared" si="0"/>
        <v>0.31562366045153722</v>
      </c>
      <c r="N9" s="11">
        <f t="shared" si="1"/>
        <v>0.23259313009035992</v>
      </c>
      <c r="O9" s="11">
        <f t="shared" si="2"/>
        <v>0.80928698252426767</v>
      </c>
      <c r="P9" s="11">
        <f t="shared" si="3"/>
        <v>0.59638935857156539</v>
      </c>
      <c r="Q9" s="11">
        <f t="shared" si="4"/>
        <v>0</v>
      </c>
      <c r="R9" s="11">
        <f t="shared" si="5"/>
        <v>0</v>
      </c>
      <c r="S9" s="11">
        <f t="shared" si="15"/>
        <v>13.264804540977552</v>
      </c>
      <c r="T9" s="11">
        <f t="shared" si="15"/>
        <v>9.7752570381095509</v>
      </c>
      <c r="U9" s="11">
        <f t="shared" si="6"/>
        <v>0.83086686090243378</v>
      </c>
      <c r="V9" s="11">
        <f t="shared" si="7"/>
        <v>0.61229225841046264</v>
      </c>
      <c r="W9" s="11">
        <f t="shared" si="8"/>
        <v>12.433937680075118</v>
      </c>
      <c r="X9" s="11">
        <f t="shared" si="9"/>
        <v>9.1629647796990881</v>
      </c>
      <c r="Y9" s="11">
        <f t="shared" si="10"/>
        <v>0.86346705519020561</v>
      </c>
      <c r="Z9" s="11">
        <f t="shared" si="11"/>
        <v>0.63631638011318581</v>
      </c>
      <c r="AA9" s="12">
        <v>1796.5276955414199</v>
      </c>
      <c r="AB9" s="13">
        <v>1323.9184901480501</v>
      </c>
      <c r="AC9">
        <f t="shared" si="16"/>
        <v>7.8174628795311077E-2</v>
      </c>
      <c r="AD9">
        <f t="shared" si="17"/>
        <v>5.624065328455851E-2</v>
      </c>
      <c r="AE9">
        <f t="shared" si="18"/>
        <v>0.71942334938124874</v>
      </c>
      <c r="AF9">
        <f t="shared" si="19"/>
        <v>2.1933975510752563E-2</v>
      </c>
      <c r="AG9">
        <f t="shared" si="20"/>
        <v>0.2805766506187512</v>
      </c>
      <c r="AH9">
        <f t="shared" si="21"/>
        <v>0.92182537120468899</v>
      </c>
      <c r="AI9">
        <f t="shared" si="22"/>
        <v>6.2636947143527438E-2</v>
      </c>
      <c r="AJ9">
        <f t="shared" si="23"/>
        <v>0.93736305285647259</v>
      </c>
      <c r="AK9">
        <f t="shared" si="24"/>
        <v>0.10604239526771476</v>
      </c>
      <c r="AL9">
        <f t="shared" si="25"/>
        <v>0.14389715183953355</v>
      </c>
    </row>
    <row r="10" spans="1:38" x14ac:dyDescent="0.35">
      <c r="A10" s="9" t="s">
        <v>37</v>
      </c>
      <c r="B10" s="9" t="s">
        <v>29</v>
      </c>
      <c r="C10" s="10">
        <f t="shared" si="12"/>
        <v>83.000000005000004</v>
      </c>
      <c r="D10" s="11">
        <v>6.384615385</v>
      </c>
      <c r="E10" s="11">
        <v>76.61538462</v>
      </c>
      <c r="F10" s="11">
        <v>0</v>
      </c>
      <c r="G10" s="11">
        <f t="shared" si="13"/>
        <v>423</v>
      </c>
      <c r="H10" s="11">
        <v>423</v>
      </c>
      <c r="I10" s="11">
        <v>0</v>
      </c>
      <c r="J10" s="11">
        <v>0</v>
      </c>
      <c r="K10" s="11">
        <f t="shared" si="14"/>
        <v>2.628755024499684</v>
      </c>
      <c r="L10" s="11">
        <f t="shared" si="14"/>
        <v>2.8212212457603547</v>
      </c>
      <c r="M10" s="11">
        <f t="shared" si="0"/>
        <v>0.20221192496151416</v>
      </c>
      <c r="N10" s="11">
        <f t="shared" si="1"/>
        <v>0.2170170189046427</v>
      </c>
      <c r="O10" s="11">
        <f t="shared" si="2"/>
        <v>2.4265430995381698</v>
      </c>
      <c r="P10" s="11">
        <f t="shared" si="3"/>
        <v>2.6042042268557122</v>
      </c>
      <c r="Q10" s="11">
        <f t="shared" si="4"/>
        <v>0</v>
      </c>
      <c r="R10" s="11">
        <f t="shared" si="5"/>
        <v>0</v>
      </c>
      <c r="S10" s="11">
        <f t="shared" si="15"/>
        <v>13.397149099956392</v>
      </c>
      <c r="T10" s="11">
        <f t="shared" si="15"/>
        <v>14.378031167286023</v>
      </c>
      <c r="U10" s="11">
        <f t="shared" si="6"/>
        <v>13.397149099956392</v>
      </c>
      <c r="V10" s="11">
        <f t="shared" si="7"/>
        <v>14.378031167286023</v>
      </c>
      <c r="W10" s="11">
        <f t="shared" si="8"/>
        <v>0</v>
      </c>
      <c r="X10" s="11">
        <f t="shared" si="9"/>
        <v>0</v>
      </c>
      <c r="Y10" s="11">
        <f t="shared" si="10"/>
        <v>0</v>
      </c>
      <c r="Z10" s="11">
        <f t="shared" si="11"/>
        <v>0</v>
      </c>
      <c r="AA10" s="12">
        <v>2941.9883367789698</v>
      </c>
      <c r="AB10" s="13">
        <v>3157.38816403392</v>
      </c>
      <c r="AC10">
        <f t="shared" si="16"/>
        <v>0.16403162056162024</v>
      </c>
      <c r="AD10">
        <f t="shared" si="17"/>
        <v>0.15141380359534176</v>
      </c>
      <c r="AE10">
        <f t="shared" si="18"/>
        <v>0.92307692307692302</v>
      </c>
      <c r="AF10">
        <f t="shared" si="19"/>
        <v>1.261781696627848E-2</v>
      </c>
      <c r="AG10">
        <f t="shared" si="20"/>
        <v>7.6923076923076913E-2</v>
      </c>
      <c r="AH10">
        <f t="shared" si="21"/>
        <v>0.83596837943837976</v>
      </c>
      <c r="AI10">
        <f t="shared" si="22"/>
        <v>1</v>
      </c>
      <c r="AJ10">
        <f t="shared" si="23"/>
        <v>0</v>
      </c>
      <c r="AK10">
        <f t="shared" si="24"/>
        <v>0.17199252413046379</v>
      </c>
      <c r="AL10">
        <f t="shared" si="25"/>
        <v>0.16025904124456078</v>
      </c>
    </row>
    <row r="11" spans="1:38" x14ac:dyDescent="0.35">
      <c r="A11" s="9" t="s">
        <v>38</v>
      </c>
      <c r="B11" s="9" t="s">
        <v>29</v>
      </c>
      <c r="C11" s="10">
        <f t="shared" si="12"/>
        <v>1395</v>
      </c>
      <c r="D11" s="11">
        <v>9.4499999999999993</v>
      </c>
      <c r="E11" s="11">
        <v>1385.55</v>
      </c>
      <c r="F11" s="11">
        <v>0</v>
      </c>
      <c r="G11" s="11">
        <f t="shared" si="13"/>
        <v>510</v>
      </c>
      <c r="H11" s="11">
        <v>56</v>
      </c>
      <c r="I11" s="11">
        <v>454</v>
      </c>
      <c r="J11" s="11">
        <v>0</v>
      </c>
      <c r="K11" s="11">
        <f t="shared" si="14"/>
        <v>6.9998581774039028</v>
      </c>
      <c r="L11" s="11">
        <f t="shared" si="14"/>
        <v>6.9840045164241253</v>
      </c>
      <c r="M11" s="11">
        <f t="shared" si="0"/>
        <v>4.7418394104994176E-2</v>
      </c>
      <c r="N11" s="11">
        <f t="shared" si="1"/>
        <v>4.7310998337066652E-2</v>
      </c>
      <c r="O11" s="11">
        <f t="shared" si="2"/>
        <v>6.9524397832989084</v>
      </c>
      <c r="P11" s="11">
        <f t="shared" si="3"/>
        <v>6.9366935180870586</v>
      </c>
      <c r="Q11" s="11">
        <f t="shared" si="4"/>
        <v>0</v>
      </c>
      <c r="R11" s="11">
        <f t="shared" si="5"/>
        <v>0</v>
      </c>
      <c r="S11" s="11">
        <f t="shared" si="15"/>
        <v>2.5590879358250826</v>
      </c>
      <c r="T11" s="11">
        <f t="shared" si="15"/>
        <v>2.5532919737464543</v>
      </c>
      <c r="U11" s="11">
        <f t="shared" si="6"/>
        <v>0.28099789099255812</v>
      </c>
      <c r="V11" s="11">
        <f t="shared" si="7"/>
        <v>0.28036147162706165</v>
      </c>
      <c r="W11" s="11">
        <f t="shared" si="8"/>
        <v>2.2780900448325245</v>
      </c>
      <c r="X11" s="11">
        <f t="shared" si="9"/>
        <v>2.2729305021193928</v>
      </c>
      <c r="Y11" s="11">
        <f t="shared" si="10"/>
        <v>0</v>
      </c>
      <c r="Z11" s="11">
        <f t="shared" si="11"/>
        <v>0</v>
      </c>
      <c r="AA11" s="12">
        <v>19974.2138871676</v>
      </c>
      <c r="AB11" s="13">
        <v>19928.975197</v>
      </c>
      <c r="AC11">
        <f t="shared" si="16"/>
        <v>0.73228346456692917</v>
      </c>
      <c r="AD11">
        <f t="shared" si="17"/>
        <v>0.72732283464566927</v>
      </c>
      <c r="AE11">
        <f t="shared" si="18"/>
        <v>0.99322580645161285</v>
      </c>
      <c r="AF11">
        <f t="shared" si="19"/>
        <v>4.9606299212598421E-3</v>
      </c>
      <c r="AG11">
        <f t="shared" si="20"/>
        <v>6.7741935483870966E-3</v>
      </c>
      <c r="AH11">
        <f t="shared" si="21"/>
        <v>0.26771653543307089</v>
      </c>
      <c r="AI11">
        <f t="shared" si="22"/>
        <v>0.10980392156862745</v>
      </c>
      <c r="AJ11">
        <f t="shared" si="23"/>
        <v>0.8901960784313725</v>
      </c>
      <c r="AK11">
        <f t="shared" si="24"/>
        <v>9.5372964901705798E-2</v>
      </c>
      <c r="AL11">
        <f t="shared" si="25"/>
        <v>9.558946113228986E-2</v>
      </c>
    </row>
    <row r="12" spans="1:38" x14ac:dyDescent="0.35">
      <c r="A12" s="9" t="s">
        <v>39</v>
      </c>
      <c r="B12" s="9" t="s">
        <v>29</v>
      </c>
      <c r="C12" s="10">
        <f t="shared" si="12"/>
        <v>1.8620000000000001</v>
      </c>
      <c r="D12" s="11">
        <v>1.8620000000000001</v>
      </c>
      <c r="E12" s="11">
        <v>0</v>
      </c>
      <c r="F12" s="11">
        <v>0</v>
      </c>
      <c r="G12" s="11">
        <f t="shared" si="13"/>
        <v>3.3</v>
      </c>
      <c r="H12" s="11">
        <v>3.3</v>
      </c>
      <c r="I12" s="11">
        <v>0</v>
      </c>
      <c r="J12" s="11">
        <v>0</v>
      </c>
      <c r="K12" s="11">
        <f t="shared" si="14"/>
        <v>0.14556526356530802</v>
      </c>
      <c r="L12" s="11">
        <f t="shared" si="14"/>
        <v>7.8180516539544914E-2</v>
      </c>
      <c r="M12" s="11">
        <f t="shared" si="0"/>
        <v>0.14556526356530802</v>
      </c>
      <c r="N12" s="11">
        <f t="shared" si="1"/>
        <v>7.8180516539544914E-2</v>
      </c>
      <c r="O12" s="11">
        <f t="shared" si="2"/>
        <v>0</v>
      </c>
      <c r="P12" s="11">
        <f t="shared" si="3"/>
        <v>0</v>
      </c>
      <c r="Q12" s="11">
        <f t="shared" si="4"/>
        <v>0</v>
      </c>
      <c r="R12" s="11">
        <f t="shared" si="5"/>
        <v>0</v>
      </c>
      <c r="S12" s="11">
        <f t="shared" si="15"/>
        <v>0.25798354982036326</v>
      </c>
      <c r="T12" s="11">
        <f t="shared" si="15"/>
        <v>0.1385583805480656</v>
      </c>
      <c r="U12" s="11">
        <f t="shared" si="6"/>
        <v>0.25798354982036326</v>
      </c>
      <c r="V12" s="11">
        <f t="shared" si="7"/>
        <v>0.1385583805480656</v>
      </c>
      <c r="W12" s="11">
        <f t="shared" si="8"/>
        <v>0</v>
      </c>
      <c r="X12" s="11">
        <f t="shared" si="9"/>
        <v>0</v>
      </c>
      <c r="Y12" s="11">
        <f t="shared" si="10"/>
        <v>0</v>
      </c>
      <c r="Z12" s="11">
        <f t="shared" si="11"/>
        <v>0</v>
      </c>
      <c r="AA12" s="12">
        <v>2381.6675591522499</v>
      </c>
      <c r="AB12" s="13">
        <v>1279.1513266244399</v>
      </c>
      <c r="AC12">
        <f t="shared" si="16"/>
        <v>0.36071290197597833</v>
      </c>
      <c r="AD12">
        <f t="shared" si="17"/>
        <v>0</v>
      </c>
      <c r="AE12">
        <f t="shared" si="18"/>
        <v>0</v>
      </c>
      <c r="AF12">
        <f t="shared" si="19"/>
        <v>0.36071290197597833</v>
      </c>
      <c r="AG12">
        <f t="shared" si="20"/>
        <v>1</v>
      </c>
      <c r="AH12">
        <f t="shared" si="21"/>
        <v>0.63928709802402173</v>
      </c>
      <c r="AI12">
        <f t="shared" si="22"/>
        <v>1</v>
      </c>
      <c r="AJ12">
        <f t="shared" si="23"/>
        <v>0</v>
      </c>
      <c r="AK12">
        <f t="shared" si="24"/>
        <v>2.1673889708761049E-3</v>
      </c>
      <c r="AL12">
        <f t="shared" si="25"/>
        <v>4.0354881338567133E-3</v>
      </c>
    </row>
    <row r="13" spans="1:38" x14ac:dyDescent="0.35">
      <c r="A13" s="9" t="s">
        <v>40</v>
      </c>
      <c r="B13" s="9" t="s">
        <v>29</v>
      </c>
      <c r="C13" s="10">
        <f t="shared" si="12"/>
        <v>0</v>
      </c>
      <c r="D13" s="11">
        <v>0</v>
      </c>
      <c r="E13" s="11">
        <v>0</v>
      </c>
      <c r="F13" s="11">
        <v>0</v>
      </c>
      <c r="G13" s="11">
        <f t="shared" si="13"/>
        <v>3.8</v>
      </c>
      <c r="H13" s="11">
        <v>0</v>
      </c>
      <c r="I13" s="11">
        <v>3.8</v>
      </c>
      <c r="J13" s="11">
        <v>0</v>
      </c>
      <c r="K13" s="11">
        <f t="shared" si="14"/>
        <v>0</v>
      </c>
      <c r="L13" s="11">
        <f t="shared" si="14"/>
        <v>0</v>
      </c>
      <c r="M13" s="11">
        <f t="shared" si="0"/>
        <v>0</v>
      </c>
      <c r="N13" s="11">
        <f t="shared" si="1"/>
        <v>0</v>
      </c>
      <c r="O13" s="11">
        <f t="shared" si="2"/>
        <v>0</v>
      </c>
      <c r="P13" s="11">
        <f t="shared" si="3"/>
        <v>0</v>
      </c>
      <c r="Q13" s="11">
        <f t="shared" si="4"/>
        <v>0</v>
      </c>
      <c r="R13" s="11">
        <f t="shared" si="5"/>
        <v>0</v>
      </c>
      <c r="S13" s="11">
        <f t="shared" si="15"/>
        <v>0.38112295919650652</v>
      </c>
      <c r="T13" s="11">
        <f t="shared" si="15"/>
        <v>0.16282573564584751</v>
      </c>
      <c r="U13" s="11">
        <f t="shared" si="6"/>
        <v>0</v>
      </c>
      <c r="V13" s="11">
        <f t="shared" si="7"/>
        <v>0</v>
      </c>
      <c r="W13" s="11">
        <f t="shared" si="8"/>
        <v>0.38112295919650652</v>
      </c>
      <c r="X13" s="11">
        <f t="shared" si="9"/>
        <v>0.16282573564584751</v>
      </c>
      <c r="Y13" s="11">
        <f t="shared" si="10"/>
        <v>0</v>
      </c>
      <c r="Z13" s="11">
        <f t="shared" si="11"/>
        <v>0</v>
      </c>
      <c r="AA13" s="12">
        <v>2333.7834064911899</v>
      </c>
      <c r="AB13" s="13">
        <v>997.05355143423003</v>
      </c>
      <c r="AC13">
        <f t="shared" si="16"/>
        <v>0</v>
      </c>
      <c r="AD13">
        <f t="shared" si="17"/>
        <v>0</v>
      </c>
      <c r="AE13" t="e">
        <f t="shared" si="18"/>
        <v>#DIV/0!</v>
      </c>
      <c r="AF13">
        <f t="shared" si="19"/>
        <v>0</v>
      </c>
      <c r="AG13" t="e">
        <f t="shared" si="20"/>
        <v>#DIV/0!</v>
      </c>
      <c r="AH13">
        <f t="shared" si="21"/>
        <v>1</v>
      </c>
      <c r="AI13">
        <f t="shared" si="22"/>
        <v>0</v>
      </c>
      <c r="AJ13">
        <f t="shared" si="23"/>
        <v>1</v>
      </c>
      <c r="AK13">
        <f t="shared" si="24"/>
        <v>1.6282573564584751E-3</v>
      </c>
      <c r="AL13">
        <f t="shared" si="25"/>
        <v>3.8112295919650653E-3</v>
      </c>
    </row>
    <row r="14" spans="1:38" x14ac:dyDescent="0.35">
      <c r="A14" s="15" t="s">
        <v>41</v>
      </c>
      <c r="B14" s="9" t="s">
        <v>29</v>
      </c>
      <c r="C14" s="10">
        <f t="shared" si="12"/>
        <v>31.764700000000001</v>
      </c>
      <c r="D14" s="11">
        <v>0</v>
      </c>
      <c r="E14" s="11">
        <v>31.764700000000001</v>
      </c>
      <c r="F14" s="11">
        <v>0</v>
      </c>
      <c r="G14" s="11">
        <f t="shared" si="13"/>
        <v>0</v>
      </c>
      <c r="H14" s="11">
        <v>0</v>
      </c>
      <c r="I14" s="11">
        <v>0</v>
      </c>
      <c r="J14" s="11">
        <v>0</v>
      </c>
      <c r="K14" s="11">
        <f t="shared" si="14"/>
        <v>7.6735681329126031</v>
      </c>
      <c r="L14" s="11">
        <f t="shared" si="14"/>
        <v>6.7786506242927107</v>
      </c>
      <c r="M14" s="11">
        <f t="shared" si="0"/>
        <v>0</v>
      </c>
      <c r="N14" s="11">
        <f t="shared" si="1"/>
        <v>0</v>
      </c>
      <c r="O14" s="11">
        <f t="shared" si="2"/>
        <v>7.6735681329126031</v>
      </c>
      <c r="P14" s="11">
        <f t="shared" si="3"/>
        <v>6.7786506242927107</v>
      </c>
      <c r="Q14" s="11">
        <f t="shared" si="4"/>
        <v>0</v>
      </c>
      <c r="R14" s="11">
        <f t="shared" si="5"/>
        <v>0</v>
      </c>
      <c r="S14" s="11">
        <f t="shared" si="15"/>
        <v>0</v>
      </c>
      <c r="T14" s="11">
        <f t="shared" si="15"/>
        <v>0</v>
      </c>
      <c r="U14" s="11">
        <f t="shared" si="6"/>
        <v>0</v>
      </c>
      <c r="V14" s="11">
        <f t="shared" si="7"/>
        <v>0</v>
      </c>
      <c r="W14" s="11">
        <f t="shared" si="8"/>
        <v>0</v>
      </c>
      <c r="X14" s="11">
        <f t="shared" si="9"/>
        <v>0</v>
      </c>
      <c r="Y14" s="11">
        <f t="shared" si="10"/>
        <v>0</v>
      </c>
      <c r="Z14" s="11">
        <f t="shared" si="11"/>
        <v>0</v>
      </c>
      <c r="AA14" s="12">
        <v>468.59916169988998</v>
      </c>
      <c r="AB14" s="13">
        <v>413.94954015926999</v>
      </c>
      <c r="AC14">
        <f t="shared" si="16"/>
        <v>1</v>
      </c>
      <c r="AD14">
        <f t="shared" si="17"/>
        <v>1</v>
      </c>
      <c r="AE14">
        <f t="shared" si="18"/>
        <v>1</v>
      </c>
      <c r="AF14">
        <f t="shared" si="19"/>
        <v>0</v>
      </c>
      <c r="AG14">
        <f t="shared" si="20"/>
        <v>0</v>
      </c>
      <c r="AH14">
        <f t="shared" si="21"/>
        <v>0</v>
      </c>
      <c r="AI14" t="e">
        <f t="shared" si="22"/>
        <v>#DIV/0!</v>
      </c>
      <c r="AJ14" t="e">
        <f t="shared" si="23"/>
        <v>#DIV/0!</v>
      </c>
      <c r="AK14">
        <f t="shared" si="24"/>
        <v>6.7786506242927105E-2</v>
      </c>
      <c r="AL14">
        <f t="shared" si="25"/>
        <v>7.6735681329126032E-2</v>
      </c>
    </row>
    <row r="15" spans="1:38" x14ac:dyDescent="0.35">
      <c r="A15" s="9" t="s">
        <v>42</v>
      </c>
      <c r="B15" s="9" t="s">
        <v>29</v>
      </c>
      <c r="C15" s="10">
        <f t="shared" si="12"/>
        <v>0</v>
      </c>
      <c r="D15" s="11">
        <v>0</v>
      </c>
      <c r="E15" s="11">
        <v>0</v>
      </c>
      <c r="F15" s="11">
        <v>0</v>
      </c>
      <c r="G15" s="11">
        <f t="shared" si="13"/>
        <v>54</v>
      </c>
      <c r="H15" s="11">
        <v>0</v>
      </c>
      <c r="I15" s="11">
        <v>54</v>
      </c>
      <c r="J15" s="11">
        <v>0</v>
      </c>
      <c r="K15" s="11">
        <f t="shared" si="14"/>
        <v>0</v>
      </c>
      <c r="L15" s="11">
        <f t="shared" si="14"/>
        <v>0</v>
      </c>
      <c r="M15" s="11">
        <f t="shared" si="0"/>
        <v>0</v>
      </c>
      <c r="N15" s="11">
        <f t="shared" si="1"/>
        <v>0</v>
      </c>
      <c r="O15" s="11">
        <f t="shared" si="2"/>
        <v>0</v>
      </c>
      <c r="P15" s="11">
        <f t="shared" si="3"/>
        <v>0</v>
      </c>
      <c r="Q15" s="11">
        <f t="shared" si="4"/>
        <v>0</v>
      </c>
      <c r="R15" s="11">
        <f t="shared" si="5"/>
        <v>0</v>
      </c>
      <c r="S15" s="11">
        <f t="shared" si="15"/>
        <v>10.90562054178165</v>
      </c>
      <c r="T15" s="11">
        <f t="shared" si="15"/>
        <v>9.7240885633744618</v>
      </c>
      <c r="U15" s="11">
        <f t="shared" si="6"/>
        <v>0</v>
      </c>
      <c r="V15" s="11">
        <f t="shared" si="7"/>
        <v>0</v>
      </c>
      <c r="W15" s="11">
        <f t="shared" si="8"/>
        <v>10.90562054178165</v>
      </c>
      <c r="X15" s="11">
        <f t="shared" si="9"/>
        <v>9.7240885633744618</v>
      </c>
      <c r="Y15" s="11">
        <f t="shared" si="10"/>
        <v>0</v>
      </c>
      <c r="Z15" s="11">
        <f t="shared" si="11"/>
        <v>0</v>
      </c>
      <c r="AA15" s="12">
        <v>555.32196820367994</v>
      </c>
      <c r="AB15" s="13">
        <v>495.15751802582002</v>
      </c>
      <c r="AC15">
        <f t="shared" si="16"/>
        <v>0</v>
      </c>
      <c r="AD15">
        <f t="shared" si="17"/>
        <v>0</v>
      </c>
      <c r="AE15" t="e">
        <f t="shared" si="18"/>
        <v>#DIV/0!</v>
      </c>
      <c r="AF15">
        <f t="shared" si="19"/>
        <v>0</v>
      </c>
      <c r="AG15" t="e">
        <f t="shared" si="20"/>
        <v>#DIV/0!</v>
      </c>
      <c r="AH15">
        <f t="shared" si="21"/>
        <v>1</v>
      </c>
      <c r="AI15">
        <f t="shared" si="22"/>
        <v>0</v>
      </c>
      <c r="AJ15">
        <f t="shared" si="23"/>
        <v>1</v>
      </c>
      <c r="AK15">
        <f t="shared" si="24"/>
        <v>9.7240885633744611E-2</v>
      </c>
      <c r="AL15">
        <f t="shared" si="25"/>
        <v>0.10905620541781649</v>
      </c>
    </row>
    <row r="16" spans="1:38" x14ac:dyDescent="0.35">
      <c r="A16" s="15" t="s">
        <v>43</v>
      </c>
      <c r="B16" s="9" t="s">
        <v>29</v>
      </c>
      <c r="C16" s="10">
        <f t="shared" si="12"/>
        <v>9.0751215444483115</v>
      </c>
      <c r="D16" s="11">
        <v>2.2540984E-2</v>
      </c>
      <c r="E16" s="16">
        <v>9.0525805604483107</v>
      </c>
      <c r="F16" s="11">
        <v>0</v>
      </c>
      <c r="G16" s="11">
        <f t="shared" si="13"/>
        <v>21.104230256601589</v>
      </c>
      <c r="H16" s="11">
        <v>0.80696442599999996</v>
      </c>
      <c r="I16" s="16">
        <v>20.297265830601589</v>
      </c>
      <c r="J16" s="11">
        <v>0</v>
      </c>
      <c r="K16" s="11">
        <f t="shared" si="14"/>
        <v>4.2084524748499499</v>
      </c>
      <c r="L16" s="11">
        <f t="shared" si="14"/>
        <v>2.2275928706634165</v>
      </c>
      <c r="M16" s="11">
        <f t="shared" si="0"/>
        <v>1.0453045662885387E-2</v>
      </c>
      <c r="N16" s="11">
        <f t="shared" si="1"/>
        <v>5.5329435545527564E-3</v>
      </c>
      <c r="O16" s="11">
        <f t="shared" si="2"/>
        <v>4.1979994291870648</v>
      </c>
      <c r="P16" s="11">
        <f t="shared" si="3"/>
        <v>2.2220599271088637</v>
      </c>
      <c r="Q16" s="11">
        <f t="shared" si="4"/>
        <v>0</v>
      </c>
      <c r="R16" s="11">
        <f t="shared" si="5"/>
        <v>0</v>
      </c>
      <c r="S16" s="11">
        <f t="shared" si="15"/>
        <v>9.7867725096785385</v>
      </c>
      <c r="T16" s="11">
        <f t="shared" si="15"/>
        <v>5.1802758376502558</v>
      </c>
      <c r="U16" s="11">
        <f t="shared" si="6"/>
        <v>0.37421773571651062</v>
      </c>
      <c r="V16" s="11">
        <f t="shared" si="7"/>
        <v>0.19807869166625844</v>
      </c>
      <c r="W16" s="11">
        <f t="shared" si="8"/>
        <v>9.4125547739620288</v>
      </c>
      <c r="X16" s="11">
        <f t="shared" si="9"/>
        <v>4.9821971459839975</v>
      </c>
      <c r="Y16" s="11">
        <f t="shared" si="10"/>
        <v>0</v>
      </c>
      <c r="Z16" s="11">
        <f t="shared" si="11"/>
        <v>0</v>
      </c>
      <c r="AA16" s="12">
        <v>407.39587848230002</v>
      </c>
      <c r="AB16" s="13">
        <v>215.64034757863999</v>
      </c>
      <c r="AC16">
        <f t="shared" si="16"/>
        <v>0.30070631086690869</v>
      </c>
      <c r="AD16">
        <f t="shared" si="17"/>
        <v>0.29995941000076032</v>
      </c>
      <c r="AE16">
        <f t="shared" si="18"/>
        <v>0.99751617828041206</v>
      </c>
      <c r="AF16">
        <f t="shared" si="19"/>
        <v>7.4690086614835204E-4</v>
      </c>
      <c r="AG16">
        <f t="shared" si="20"/>
        <v>2.4838217195878114E-3</v>
      </c>
      <c r="AH16">
        <f t="shared" si="21"/>
        <v>0.69929368913309131</v>
      </c>
      <c r="AI16">
        <f t="shared" si="22"/>
        <v>3.8237093520507547E-2</v>
      </c>
      <c r="AJ16">
        <f t="shared" si="23"/>
        <v>0.96176290647949247</v>
      </c>
      <c r="AK16">
        <f t="shared" si="24"/>
        <v>7.4078687083136738E-2</v>
      </c>
      <c r="AL16">
        <f t="shared" si="25"/>
        <v>0.1399522498452849</v>
      </c>
    </row>
    <row r="17" spans="1:38" x14ac:dyDescent="0.35">
      <c r="A17" s="15" t="s">
        <v>44</v>
      </c>
      <c r="B17" s="9" t="s">
        <v>29</v>
      </c>
      <c r="C17" s="10">
        <f t="shared" si="12"/>
        <v>9</v>
      </c>
      <c r="D17" s="11">
        <v>0</v>
      </c>
      <c r="E17" s="11">
        <v>9</v>
      </c>
      <c r="F17" s="11">
        <v>0</v>
      </c>
      <c r="G17" s="11">
        <f t="shared" si="13"/>
        <v>9.6999999999999993</v>
      </c>
      <c r="H17" s="11">
        <v>0</v>
      </c>
      <c r="I17" s="11">
        <v>9.6999999999999993</v>
      </c>
      <c r="J17" s="11">
        <v>0</v>
      </c>
      <c r="K17" s="11">
        <f t="shared" si="14"/>
        <v>2.7059324055091158</v>
      </c>
      <c r="L17" s="11">
        <f t="shared" si="14"/>
        <v>2.8932995220407594</v>
      </c>
      <c r="M17" s="11">
        <f t="shared" si="0"/>
        <v>0</v>
      </c>
      <c r="N17" s="11">
        <f t="shared" si="1"/>
        <v>0</v>
      </c>
      <c r="O17" s="11">
        <f t="shared" si="2"/>
        <v>2.7059324055091158</v>
      </c>
      <c r="P17" s="11">
        <f t="shared" si="3"/>
        <v>2.8932995220407594</v>
      </c>
      <c r="Q17" s="11">
        <f t="shared" si="4"/>
        <v>0</v>
      </c>
      <c r="R17" s="11">
        <f t="shared" si="5"/>
        <v>0</v>
      </c>
      <c r="S17" s="11">
        <f t="shared" si="15"/>
        <v>2.9163938148264918</v>
      </c>
      <c r="T17" s="11">
        <f t="shared" si="15"/>
        <v>3.1183339293105963</v>
      </c>
      <c r="U17" s="11">
        <f t="shared" si="6"/>
        <v>0</v>
      </c>
      <c r="V17" s="11">
        <f t="shared" si="7"/>
        <v>0</v>
      </c>
      <c r="W17" s="11">
        <f t="shared" si="8"/>
        <v>2.9163938148264918</v>
      </c>
      <c r="X17" s="11">
        <f t="shared" si="9"/>
        <v>3.1183339293105963</v>
      </c>
      <c r="Y17" s="11">
        <f t="shared" si="10"/>
        <v>0</v>
      </c>
      <c r="Z17" s="11">
        <f t="shared" si="11"/>
        <v>0</v>
      </c>
      <c r="AA17" s="12">
        <v>311.06354290107998</v>
      </c>
      <c r="AB17" s="13">
        <v>332.60254327404999</v>
      </c>
      <c r="AC17">
        <f t="shared" si="16"/>
        <v>0.48128342245989308</v>
      </c>
      <c r="AD17">
        <f t="shared" si="17"/>
        <v>0.48128342245989308</v>
      </c>
      <c r="AE17">
        <f t="shared" si="18"/>
        <v>1</v>
      </c>
      <c r="AF17">
        <f t="shared" si="19"/>
        <v>0</v>
      </c>
      <c r="AG17">
        <f t="shared" si="20"/>
        <v>0</v>
      </c>
      <c r="AH17">
        <f t="shared" si="21"/>
        <v>0.51871657754010692</v>
      </c>
      <c r="AI17">
        <f t="shared" si="22"/>
        <v>0</v>
      </c>
      <c r="AJ17">
        <f t="shared" si="23"/>
        <v>1</v>
      </c>
      <c r="AK17">
        <f t="shared" si="24"/>
        <v>6.0116334513513559E-2</v>
      </c>
      <c r="AL17">
        <f t="shared" si="25"/>
        <v>5.6223262203356078E-2</v>
      </c>
    </row>
    <row r="18" spans="1:38" x14ac:dyDescent="0.35">
      <c r="A18" s="15" t="s">
        <v>45</v>
      </c>
      <c r="B18" s="9" t="s">
        <v>29</v>
      </c>
      <c r="C18" s="10">
        <f t="shared" si="12"/>
        <v>0</v>
      </c>
      <c r="D18" s="11">
        <v>0</v>
      </c>
      <c r="E18" s="11">
        <v>0</v>
      </c>
      <c r="F18" s="11">
        <v>0</v>
      </c>
      <c r="G18" s="11">
        <f t="shared" si="13"/>
        <v>0.34351350790000001</v>
      </c>
      <c r="H18" s="11">
        <v>0.166216216</v>
      </c>
      <c r="I18" s="11">
        <v>0.17729729189999999</v>
      </c>
      <c r="J18" s="11">
        <v>0</v>
      </c>
      <c r="K18" s="11">
        <f t="shared" si="14"/>
        <v>0</v>
      </c>
      <c r="L18" s="11">
        <f t="shared" si="14"/>
        <v>0</v>
      </c>
      <c r="M18" s="11">
        <f t="shared" si="0"/>
        <v>0</v>
      </c>
      <c r="N18" s="11">
        <f t="shared" si="1"/>
        <v>0</v>
      </c>
      <c r="O18" s="11">
        <f t="shared" si="2"/>
        <v>0</v>
      </c>
      <c r="P18" s="11">
        <f t="shared" si="3"/>
        <v>0</v>
      </c>
      <c r="Q18" s="11">
        <f t="shared" si="4"/>
        <v>0</v>
      </c>
      <c r="R18" s="11">
        <f t="shared" si="5"/>
        <v>0</v>
      </c>
      <c r="S18" s="11">
        <f t="shared" si="15"/>
        <v>1.2772080118792744</v>
      </c>
      <c r="T18" s="11">
        <f t="shared" si="15"/>
        <v>0.74820679582493232</v>
      </c>
      <c r="U18" s="11">
        <f t="shared" si="6"/>
        <v>0.61800388601095835</v>
      </c>
      <c r="V18" s="11">
        <f t="shared" si="7"/>
        <v>0.36203555181215297</v>
      </c>
      <c r="W18" s="11">
        <f t="shared" si="8"/>
        <v>0.659204125868316</v>
      </c>
      <c r="X18" s="11">
        <f t="shared" si="9"/>
        <v>0.38617124401277941</v>
      </c>
      <c r="Y18" s="11">
        <f t="shared" si="10"/>
        <v>0</v>
      </c>
      <c r="Z18" s="11">
        <f t="shared" si="11"/>
        <v>0</v>
      </c>
      <c r="AA18" s="12">
        <v>45.911572818750003</v>
      </c>
      <c r="AB18" s="13">
        <v>26.895658710639999</v>
      </c>
      <c r="AC18">
        <f t="shared" si="16"/>
        <v>0</v>
      </c>
      <c r="AD18">
        <f t="shared" si="17"/>
        <v>0</v>
      </c>
      <c r="AE18" t="e">
        <f t="shared" si="18"/>
        <v>#DIV/0!</v>
      </c>
      <c r="AF18">
        <f t="shared" si="19"/>
        <v>0</v>
      </c>
      <c r="AG18" t="e">
        <f t="shared" si="20"/>
        <v>#DIV/0!</v>
      </c>
      <c r="AH18">
        <f t="shared" si="21"/>
        <v>1</v>
      </c>
      <c r="AI18">
        <f t="shared" si="22"/>
        <v>0.48387097501966964</v>
      </c>
      <c r="AJ18">
        <f t="shared" si="23"/>
        <v>0.51612902498033031</v>
      </c>
      <c r="AK18">
        <f t="shared" si="24"/>
        <v>7.4820679582493247E-3</v>
      </c>
      <c r="AL18">
        <f t="shared" si="25"/>
        <v>1.2772080118792743E-2</v>
      </c>
    </row>
    <row r="19" spans="1:38" x14ac:dyDescent="0.35">
      <c r="A19" s="15" t="s">
        <v>46</v>
      </c>
      <c r="B19" s="9" t="s">
        <v>29</v>
      </c>
      <c r="C19" s="10">
        <f t="shared" si="12"/>
        <v>4.352352529</v>
      </c>
      <c r="D19" s="11">
        <v>2.8823529000000001E-2</v>
      </c>
      <c r="E19" s="11">
        <v>4.3235289999999997</v>
      </c>
      <c r="F19" s="11">
        <v>4.5</v>
      </c>
      <c r="G19" s="11">
        <f t="shared" si="13"/>
        <v>13.1</v>
      </c>
      <c r="H19" s="11">
        <v>1.1000000000000001</v>
      </c>
      <c r="I19" s="11">
        <v>12</v>
      </c>
      <c r="J19" s="11">
        <v>0</v>
      </c>
      <c r="K19" s="11">
        <f t="shared" si="14"/>
        <v>1.7085190625524533</v>
      </c>
      <c r="L19" s="11">
        <f t="shared" si="14"/>
        <v>1.7140488294221521</v>
      </c>
      <c r="M19" s="11">
        <f t="shared" si="0"/>
        <v>1.1314696688378813E-2</v>
      </c>
      <c r="N19" s="11">
        <f t="shared" si="1"/>
        <v>1.1351317663970748E-2</v>
      </c>
      <c r="O19" s="11">
        <f t="shared" si="2"/>
        <v>1.6972043658640745</v>
      </c>
      <c r="P19" s="11">
        <f t="shared" si="3"/>
        <v>1.7026975117581813</v>
      </c>
      <c r="Q19" s="11">
        <f t="shared" si="4"/>
        <v>1.7664781816863806</v>
      </c>
      <c r="R19" s="11">
        <f t="shared" si="5"/>
        <v>1.7721955381614918</v>
      </c>
      <c r="S19" s="11">
        <f t="shared" si="15"/>
        <v>5.1424142622425748</v>
      </c>
      <c r="T19" s="11">
        <f t="shared" si="15"/>
        <v>5.1590581222034544</v>
      </c>
      <c r="U19" s="11">
        <f t="shared" si="6"/>
        <v>0.43180577774555973</v>
      </c>
      <c r="V19" s="11">
        <f t="shared" si="7"/>
        <v>0.43320335377280911</v>
      </c>
      <c r="W19" s="11">
        <f t="shared" si="8"/>
        <v>4.7106084844970146</v>
      </c>
      <c r="X19" s="11">
        <f t="shared" si="9"/>
        <v>4.7258547684306453</v>
      </c>
      <c r="Y19" s="11">
        <f t="shared" si="10"/>
        <v>0</v>
      </c>
      <c r="Z19" s="11">
        <f t="shared" si="11"/>
        <v>0</v>
      </c>
      <c r="AA19" s="12">
        <v>253.92231856471</v>
      </c>
      <c r="AB19" s="13">
        <v>254.7441596875</v>
      </c>
      <c r="AC19">
        <f t="shared" si="16"/>
        <v>0.24938486211345084</v>
      </c>
      <c r="AD19">
        <f t="shared" si="17"/>
        <v>0.24773330660240411</v>
      </c>
      <c r="AE19">
        <f t="shared" si="18"/>
        <v>0.99337748291115036</v>
      </c>
      <c r="AF19">
        <f t="shared" si="19"/>
        <v>1.6515555110467137E-3</v>
      </c>
      <c r="AG19">
        <f t="shared" si="20"/>
        <v>6.6225170888495367E-3</v>
      </c>
      <c r="AH19">
        <f t="shared" si="21"/>
        <v>0.75061513788654921</v>
      </c>
      <c r="AI19">
        <f t="shared" si="22"/>
        <v>8.3969465648854977E-2</v>
      </c>
      <c r="AJ19">
        <f t="shared" si="23"/>
        <v>0.91603053435114501</v>
      </c>
      <c r="AK19">
        <f t="shared" si="24"/>
        <v>6.8731069516256058E-2</v>
      </c>
      <c r="AL19">
        <f t="shared" si="25"/>
        <v>6.8509333247950277E-2</v>
      </c>
    </row>
    <row r="20" spans="1:38" x14ac:dyDescent="0.35">
      <c r="A20" s="15" t="s">
        <v>47</v>
      </c>
      <c r="B20" s="9" t="s">
        <v>29</v>
      </c>
      <c r="C20" s="10">
        <f>D20+E20</f>
        <v>6.3664610000000001</v>
      </c>
      <c r="D20" s="11">
        <v>5.4100000000000003E-4</v>
      </c>
      <c r="E20" s="11">
        <v>6.36592</v>
      </c>
      <c r="F20" s="11">
        <v>0</v>
      </c>
      <c r="G20" s="11">
        <f>H20+I20</f>
        <v>2.2164000000000001</v>
      </c>
      <c r="H20" s="11">
        <v>1.1082000000000001</v>
      </c>
      <c r="I20" s="11">
        <v>1.1082000000000001</v>
      </c>
      <c r="J20" s="11">
        <v>0</v>
      </c>
      <c r="K20" s="11">
        <f t="shared" si="14"/>
        <v>3.1222987126848292</v>
      </c>
      <c r="L20" s="11">
        <f t="shared" si="14"/>
        <v>2.1112823412204826</v>
      </c>
      <c r="M20" s="11">
        <f t="shared" si="0"/>
        <v>2.6532222589009696E-4</v>
      </c>
      <c r="N20" s="11">
        <f t="shared" si="1"/>
        <v>1.7940952541769769E-4</v>
      </c>
      <c r="O20" s="11">
        <f t="shared" si="2"/>
        <v>3.122033390458939</v>
      </c>
      <c r="P20" s="11">
        <f t="shared" si="3"/>
        <v>2.1111029316950649</v>
      </c>
      <c r="Q20" s="11">
        <f t="shared" si="4"/>
        <v>0</v>
      </c>
      <c r="R20" s="11">
        <f t="shared" si="5"/>
        <v>0</v>
      </c>
      <c r="S20" s="11">
        <f t="shared" si="15"/>
        <v>1.0869873964192438</v>
      </c>
      <c r="T20" s="11">
        <f t="shared" si="15"/>
        <v>0.73501529045431646</v>
      </c>
      <c r="U20" s="11">
        <f t="shared" si="6"/>
        <v>0.5434936982096219</v>
      </c>
      <c r="V20" s="11">
        <f t="shared" si="7"/>
        <v>0.36750764522715823</v>
      </c>
      <c r="W20" s="11">
        <f t="shared" si="8"/>
        <v>0.5434936982096219</v>
      </c>
      <c r="X20" s="11">
        <f t="shared" si="9"/>
        <v>0.36750764522715823</v>
      </c>
      <c r="Y20" s="11">
        <f t="shared" si="10"/>
        <v>0</v>
      </c>
      <c r="Z20" s="11">
        <f t="shared" si="11"/>
        <v>0</v>
      </c>
      <c r="AA20" s="12">
        <v>301.54474727050001</v>
      </c>
      <c r="AB20" s="13">
        <v>203.90300819506001</v>
      </c>
      <c r="AC20">
        <f t="shared" si="16"/>
        <v>0.74176443029894101</v>
      </c>
      <c r="AD20">
        <f t="shared" si="17"/>
        <v>0.74170139770409882</v>
      </c>
      <c r="AE20">
        <f t="shared" si="18"/>
        <v>0.99991502343295591</v>
      </c>
      <c r="AF20">
        <f t="shared" si="19"/>
        <v>6.3032594842209373E-5</v>
      </c>
      <c r="AG20">
        <f t="shared" si="20"/>
        <v>8.4976567044076767E-5</v>
      </c>
      <c r="AH20">
        <f t="shared" si="21"/>
        <v>0.25823556970105888</v>
      </c>
      <c r="AI20">
        <f t="shared" si="22"/>
        <v>0.5</v>
      </c>
      <c r="AJ20">
        <f t="shared" si="23"/>
        <v>0.5</v>
      </c>
      <c r="AK20">
        <f t="shared" si="24"/>
        <v>2.8462976316747993E-2</v>
      </c>
      <c r="AL20">
        <f t="shared" si="25"/>
        <v>4.2092861091040733E-2</v>
      </c>
    </row>
    <row r="21" spans="1:38" x14ac:dyDescent="0.35">
      <c r="A21" s="15" t="s">
        <v>48</v>
      </c>
      <c r="B21" s="9" t="s">
        <v>29</v>
      </c>
      <c r="C21" s="10">
        <f t="shared" si="12"/>
        <v>0.88253820443329634</v>
      </c>
      <c r="D21" s="17">
        <v>2.1328006607137996E-2</v>
      </c>
      <c r="E21" s="17">
        <v>0.86121019782615837</v>
      </c>
      <c r="F21" s="11">
        <v>0</v>
      </c>
      <c r="G21" s="11">
        <f t="shared" si="13"/>
        <v>0.91931062961801713</v>
      </c>
      <c r="H21" s="11">
        <v>0</v>
      </c>
      <c r="I21" s="18">
        <v>0.91931062961801713</v>
      </c>
      <c r="J21" s="11">
        <v>0</v>
      </c>
      <c r="K21" s="11">
        <f t="shared" si="14"/>
        <v>4.2572996227017779</v>
      </c>
      <c r="L21" s="11">
        <f t="shared" si="14"/>
        <v>4.6280958337256317</v>
      </c>
      <c r="M21" s="11">
        <f t="shared" si="0"/>
        <v>0.10288474088195963</v>
      </c>
      <c r="N21" s="11">
        <f t="shared" si="1"/>
        <v>0.11184564931503611</v>
      </c>
      <c r="O21" s="11">
        <f t="shared" si="2"/>
        <v>4.1544148818198181</v>
      </c>
      <c r="P21" s="11">
        <f t="shared" si="3"/>
        <v>4.5162501844105956</v>
      </c>
      <c r="Q21" s="11">
        <f t="shared" si="4"/>
        <v>0</v>
      </c>
      <c r="R21" s="11">
        <f t="shared" si="5"/>
        <v>0</v>
      </c>
      <c r="S21" s="11">
        <f t="shared" si="15"/>
        <v>4.434687106981019</v>
      </c>
      <c r="T21" s="11">
        <f t="shared" si="15"/>
        <v>4.8209331601308669</v>
      </c>
      <c r="U21" s="11">
        <f t="shared" si="6"/>
        <v>0</v>
      </c>
      <c r="V21" s="11">
        <f t="shared" si="7"/>
        <v>0</v>
      </c>
      <c r="W21" s="11">
        <f t="shared" si="8"/>
        <v>4.434687106981019</v>
      </c>
      <c r="X21" s="11">
        <f t="shared" si="9"/>
        <v>4.8209331601308669</v>
      </c>
      <c r="Y21" s="11">
        <f t="shared" si="10"/>
        <v>0</v>
      </c>
      <c r="Z21" s="11">
        <f t="shared" si="11"/>
        <v>0</v>
      </c>
      <c r="AA21" s="12">
        <v>19.06914282116</v>
      </c>
      <c r="AB21" s="13">
        <v>20.729999827290001</v>
      </c>
      <c r="AC21">
        <f t="shared" si="16"/>
        <v>0.48979591836734693</v>
      </c>
      <c r="AD21">
        <f t="shared" si="17"/>
        <v>0.4779591836734694</v>
      </c>
      <c r="AE21">
        <f t="shared" si="18"/>
        <v>0.97583333333333333</v>
      </c>
      <c r="AF21">
        <f t="shared" si="19"/>
        <v>1.1836734693877551E-2</v>
      </c>
      <c r="AG21">
        <f t="shared" si="20"/>
        <v>2.416666666666667E-2</v>
      </c>
      <c r="AH21">
        <f t="shared" si="21"/>
        <v>0.51020408163265307</v>
      </c>
      <c r="AI21">
        <f t="shared" si="22"/>
        <v>0</v>
      </c>
      <c r="AJ21">
        <f t="shared" si="23"/>
        <v>1</v>
      </c>
      <c r="AK21">
        <f t="shared" si="24"/>
        <v>9.4490289938564981E-2</v>
      </c>
      <c r="AL21">
        <f t="shared" si="25"/>
        <v>8.6919867296827963E-2</v>
      </c>
    </row>
    <row r="22" spans="1:38" x14ac:dyDescent="0.35">
      <c r="A22" s="15" t="s">
        <v>49</v>
      </c>
      <c r="B22" s="9" t="s">
        <v>29</v>
      </c>
      <c r="C22" s="10">
        <f t="shared" si="12"/>
        <v>23.434808652685703</v>
      </c>
      <c r="D22" s="17">
        <v>2.2863227953839709</v>
      </c>
      <c r="E22" s="17">
        <v>21.148485857301733</v>
      </c>
      <c r="F22" s="17">
        <v>2.8579034942299635</v>
      </c>
      <c r="G22" s="11">
        <f t="shared" si="13"/>
        <v>6.8589683861519131</v>
      </c>
      <c r="H22" s="18">
        <v>4.5726455907679417</v>
      </c>
      <c r="I22" s="18">
        <v>2.2863227953839709</v>
      </c>
      <c r="J22" s="11">
        <v>0</v>
      </c>
      <c r="K22" s="11">
        <f t="shared" si="14"/>
        <v>6.308725700048833</v>
      </c>
      <c r="L22" s="11">
        <f t="shared" si="14"/>
        <v>5.6078791341391749</v>
      </c>
      <c r="M22" s="11">
        <f t="shared" si="0"/>
        <v>0.61548543415110557</v>
      </c>
      <c r="N22" s="11">
        <f t="shared" si="1"/>
        <v>0.54711015942821217</v>
      </c>
      <c r="O22" s="11">
        <f t="shared" si="2"/>
        <v>5.6932402658977272</v>
      </c>
      <c r="P22" s="11">
        <f t="shared" si="3"/>
        <v>5.060768974710963</v>
      </c>
      <c r="Q22" s="11">
        <f t="shared" si="4"/>
        <v>0.76935679268888202</v>
      </c>
      <c r="R22" s="11">
        <f t="shared" si="5"/>
        <v>0.68388769928526516</v>
      </c>
      <c r="S22" s="11">
        <f t="shared" si="15"/>
        <v>1.8464563024533167</v>
      </c>
      <c r="T22" s="11">
        <f t="shared" si="15"/>
        <v>1.6413304782846365</v>
      </c>
      <c r="U22" s="11">
        <f t="shared" si="6"/>
        <v>1.2309708683022111</v>
      </c>
      <c r="V22" s="11">
        <f t="shared" si="7"/>
        <v>1.0942203188564243</v>
      </c>
      <c r="W22" s="11">
        <f t="shared" si="8"/>
        <v>0.61548543415110557</v>
      </c>
      <c r="X22" s="11">
        <f t="shared" si="9"/>
        <v>0.54711015942821217</v>
      </c>
      <c r="Y22" s="11">
        <f t="shared" si="10"/>
        <v>0</v>
      </c>
      <c r="Z22" s="11">
        <f t="shared" si="11"/>
        <v>0</v>
      </c>
      <c r="AA22" s="12">
        <v>417.89075855828003</v>
      </c>
      <c r="AB22" s="13">
        <v>371.46659669328</v>
      </c>
      <c r="AC22">
        <f t="shared" si="16"/>
        <v>0.7735849056603773</v>
      </c>
      <c r="AD22">
        <f t="shared" si="17"/>
        <v>0.69811320754716977</v>
      </c>
      <c r="AE22">
        <f t="shared" si="18"/>
        <v>0.90243902439024393</v>
      </c>
      <c r="AF22">
        <f t="shared" si="19"/>
        <v>7.5471698113207544E-2</v>
      </c>
      <c r="AG22">
        <f t="shared" si="20"/>
        <v>9.7560975609756087E-2</v>
      </c>
      <c r="AH22">
        <f t="shared" si="21"/>
        <v>0.22641509433962262</v>
      </c>
      <c r="AI22">
        <f t="shared" si="22"/>
        <v>0.66666666666666663</v>
      </c>
      <c r="AJ22">
        <f t="shared" si="23"/>
        <v>0.33333333333333331</v>
      </c>
      <c r="AK22">
        <f t="shared" si="24"/>
        <v>7.2492096124238112E-2</v>
      </c>
      <c r="AL22">
        <f t="shared" si="25"/>
        <v>8.155182002502151E-2</v>
      </c>
    </row>
    <row r="23" spans="1:38" x14ac:dyDescent="0.35">
      <c r="A23" s="15" t="s">
        <v>50</v>
      </c>
      <c r="B23" s="9" t="s">
        <v>29</v>
      </c>
      <c r="C23" s="10">
        <f t="shared" si="12"/>
        <v>25.918306382883841</v>
      </c>
      <c r="D23" s="17">
        <v>4.0163261841927023</v>
      </c>
      <c r="E23" s="17">
        <v>21.901980198691138</v>
      </c>
      <c r="F23" s="17">
        <v>2.0803991745458603</v>
      </c>
      <c r="G23" s="11">
        <f t="shared" si="13"/>
        <v>11.153251130204193</v>
      </c>
      <c r="H23" s="18">
        <v>0.9535162883335192</v>
      </c>
      <c r="I23" s="18">
        <v>10.199734841870674</v>
      </c>
      <c r="J23" s="11">
        <v>0</v>
      </c>
      <c r="K23" s="11">
        <f t="shared" si="14"/>
        <v>7.2304547534162724</v>
      </c>
      <c r="L23" s="11">
        <f t="shared" si="14"/>
        <v>7.5696715765084619</v>
      </c>
      <c r="M23" s="11">
        <f t="shared" si="0"/>
        <v>1.1204383620121092</v>
      </c>
      <c r="N23" s="11">
        <f t="shared" si="1"/>
        <v>1.1730037337064394</v>
      </c>
      <c r="O23" s="11">
        <f t="shared" si="2"/>
        <v>6.1100163914041632</v>
      </c>
      <c r="P23" s="11">
        <f t="shared" si="3"/>
        <v>6.3966678428020227</v>
      </c>
      <c r="Q23" s="11">
        <f t="shared" si="4"/>
        <v>0.5803709501069918</v>
      </c>
      <c r="R23" s="11">
        <f t="shared" si="5"/>
        <v>0.60759905630837163</v>
      </c>
      <c r="S23" s="11">
        <f t="shared" si="15"/>
        <v>3.1114331491847054</v>
      </c>
      <c r="T23" s="11">
        <f t="shared" si="15"/>
        <v>3.257406051875436</v>
      </c>
      <c r="U23" s="11">
        <f t="shared" si="6"/>
        <v>0.2660033521323712</v>
      </c>
      <c r="V23" s="11">
        <f t="shared" si="7"/>
        <v>0.27848290080800364</v>
      </c>
      <c r="W23" s="11">
        <f t="shared" si="8"/>
        <v>2.8454297970523341</v>
      </c>
      <c r="X23" s="11">
        <f t="shared" si="9"/>
        <v>2.9789231510674323</v>
      </c>
      <c r="Y23" s="11">
        <f t="shared" si="10"/>
        <v>0</v>
      </c>
      <c r="Z23" s="11">
        <f t="shared" si="11"/>
        <v>0</v>
      </c>
      <c r="AA23" s="12">
        <v>342.39670930134002</v>
      </c>
      <c r="AB23" s="13">
        <v>358.46025273358998</v>
      </c>
      <c r="AC23">
        <f t="shared" si="16"/>
        <v>0.69914263445050662</v>
      </c>
      <c r="AD23">
        <f t="shared" si="17"/>
        <v>0.59080280592361645</v>
      </c>
      <c r="AE23">
        <f t="shared" si="18"/>
        <v>0.84503901895206235</v>
      </c>
      <c r="AF23">
        <f t="shared" si="19"/>
        <v>0.1083398285268901</v>
      </c>
      <c r="AG23">
        <f t="shared" si="20"/>
        <v>0.15496098104793757</v>
      </c>
      <c r="AH23">
        <f t="shared" si="21"/>
        <v>0.30085736554949333</v>
      </c>
      <c r="AI23">
        <f t="shared" si="22"/>
        <v>8.5492227979274624E-2</v>
      </c>
      <c r="AJ23">
        <f t="shared" si="23"/>
        <v>0.91450777202072542</v>
      </c>
      <c r="AK23">
        <f t="shared" si="24"/>
        <v>0.10827077628383899</v>
      </c>
      <c r="AL23">
        <f t="shared" si="25"/>
        <v>0.1034188790260098</v>
      </c>
    </row>
    <row r="24" spans="1:38" x14ac:dyDescent="0.35">
      <c r="A24" s="19" t="s">
        <v>51</v>
      </c>
      <c r="B24" s="9" t="s">
        <v>29</v>
      </c>
      <c r="C24" s="10">
        <f t="shared" si="12"/>
        <v>2.6412118346100706</v>
      </c>
      <c r="D24" s="17">
        <v>0.2311060355223796</v>
      </c>
      <c r="E24" s="17">
        <v>2.4101057990876908</v>
      </c>
      <c r="F24" s="11">
        <v>0</v>
      </c>
      <c r="G24" s="11">
        <f t="shared" si="13"/>
        <v>1.0485610983298868</v>
      </c>
      <c r="H24" s="18">
        <v>0.2311060355223796</v>
      </c>
      <c r="I24" s="18">
        <v>0.81745506280750724</v>
      </c>
      <c r="J24" s="11">
        <v>0</v>
      </c>
      <c r="K24" s="11">
        <f t="shared" si="14"/>
        <v>8.7573111594010662</v>
      </c>
      <c r="L24" s="11">
        <f t="shared" si="14"/>
        <v>4.7655871856594887</v>
      </c>
      <c r="M24" s="11">
        <f t="shared" si="0"/>
        <v>0.76626472642769428</v>
      </c>
      <c r="N24" s="11">
        <f t="shared" si="1"/>
        <v>0.41698887873437651</v>
      </c>
      <c r="O24" s="11">
        <f t="shared" si="2"/>
        <v>7.9910464329733726</v>
      </c>
      <c r="P24" s="11">
        <f t="shared" si="3"/>
        <v>4.348598306925112</v>
      </c>
      <c r="Q24" s="11">
        <f t="shared" si="4"/>
        <v>0</v>
      </c>
      <c r="R24" s="11">
        <f t="shared" si="5"/>
        <v>0</v>
      </c>
      <c r="S24" s="11">
        <f t="shared" si="15"/>
        <v>3.4766525302480353</v>
      </c>
      <c r="T24" s="11">
        <f t="shared" si="15"/>
        <v>1.8919381126882124</v>
      </c>
      <c r="U24" s="11">
        <f t="shared" si="6"/>
        <v>0.76626472642769428</v>
      </c>
      <c r="V24" s="11">
        <f t="shared" si="7"/>
        <v>0.41698887873437651</v>
      </c>
      <c r="W24" s="11">
        <f t="shared" si="8"/>
        <v>2.7103878038203408</v>
      </c>
      <c r="X24" s="11">
        <f t="shared" si="9"/>
        <v>1.4749492339538359</v>
      </c>
      <c r="Y24" s="11">
        <f t="shared" si="10"/>
        <v>0</v>
      </c>
      <c r="Z24" s="11">
        <f t="shared" si="11"/>
        <v>0</v>
      </c>
      <c r="AA24" s="20">
        <v>55.422589739999999</v>
      </c>
      <c r="AB24" s="13">
        <v>30.160077523049999</v>
      </c>
      <c r="AC24">
        <f t="shared" si="16"/>
        <v>0.71581961345940914</v>
      </c>
      <c r="AD24">
        <f t="shared" si="17"/>
        <v>0.65318539728333735</v>
      </c>
      <c r="AE24">
        <f t="shared" si="18"/>
        <v>0.91250000000227227</v>
      </c>
      <c r="AF24">
        <f t="shared" si="19"/>
        <v>6.2634216176071761E-2</v>
      </c>
      <c r="AG24">
        <f t="shared" si="20"/>
        <v>8.7499999997727715E-2</v>
      </c>
      <c r="AH24">
        <f t="shared" si="21"/>
        <v>0.28418038654059086</v>
      </c>
      <c r="AI24">
        <f t="shared" si="22"/>
        <v>0.22040302266646894</v>
      </c>
      <c r="AJ24">
        <f t="shared" si="23"/>
        <v>0.77959697733353117</v>
      </c>
      <c r="AK24">
        <f t="shared" si="24"/>
        <v>6.657525298347701E-2</v>
      </c>
      <c r="AL24">
        <f t="shared" si="25"/>
        <v>0.12233963689649102</v>
      </c>
    </row>
    <row r="25" spans="1:38" x14ac:dyDescent="0.35">
      <c r="A25" s="15" t="s">
        <v>52</v>
      </c>
      <c r="B25" s="9" t="s">
        <v>29</v>
      </c>
      <c r="C25" s="10">
        <f t="shared" si="12"/>
        <v>2.5949763727608071</v>
      </c>
      <c r="D25" s="17">
        <v>0.57158069884599272</v>
      </c>
      <c r="E25" s="17">
        <v>2.0233956739148145</v>
      </c>
      <c r="F25" s="17">
        <v>2.503523460945448</v>
      </c>
      <c r="G25" s="11">
        <f t="shared" si="13"/>
        <v>1.9662376040302147</v>
      </c>
      <c r="H25" s="18">
        <v>0.36581164726143534</v>
      </c>
      <c r="I25" s="18">
        <v>1.6004259567687795</v>
      </c>
      <c r="J25" s="11">
        <v>0</v>
      </c>
      <c r="K25" s="11">
        <f t="shared" si="14"/>
        <v>5.3818960772623692</v>
      </c>
      <c r="L25" s="11">
        <f t="shared" si="14"/>
        <v>2.6714857655953939</v>
      </c>
      <c r="M25" s="11">
        <f t="shared" si="0"/>
        <v>1.1854396645952354</v>
      </c>
      <c r="N25" s="11">
        <f t="shared" si="1"/>
        <v>0.5884329880166066</v>
      </c>
      <c r="O25" s="11">
        <f t="shared" si="2"/>
        <v>4.1964564126671338</v>
      </c>
      <c r="P25" s="11">
        <f t="shared" si="3"/>
        <v>2.0830527775787875</v>
      </c>
      <c r="Q25" s="11">
        <f t="shared" si="4"/>
        <v>5.19222573092713</v>
      </c>
      <c r="R25" s="11">
        <f t="shared" si="5"/>
        <v>2.5773364875127363</v>
      </c>
      <c r="S25" s="11">
        <f t="shared" si="15"/>
        <v>4.0779124462076091</v>
      </c>
      <c r="T25" s="11">
        <f t="shared" si="15"/>
        <v>2.0242094787771263</v>
      </c>
      <c r="U25" s="11">
        <f t="shared" si="6"/>
        <v>0.75868138534095053</v>
      </c>
      <c r="V25" s="11">
        <f t="shared" si="7"/>
        <v>0.3765971123306282</v>
      </c>
      <c r="W25" s="11">
        <f t="shared" si="8"/>
        <v>3.3192310608666586</v>
      </c>
      <c r="X25" s="11">
        <f t="shared" si="9"/>
        <v>1.6476123664464981</v>
      </c>
      <c r="Y25" s="11">
        <f t="shared" si="10"/>
        <v>0</v>
      </c>
      <c r="Z25" s="11">
        <f t="shared" si="11"/>
        <v>0</v>
      </c>
      <c r="AA25" s="12">
        <v>97.136073348400004</v>
      </c>
      <c r="AB25" s="13">
        <v>48.216768505140003</v>
      </c>
      <c r="AC25">
        <f t="shared" si="16"/>
        <v>0.56892230576441105</v>
      </c>
      <c r="AD25">
        <f t="shared" si="17"/>
        <v>0.44360902255639101</v>
      </c>
      <c r="AE25">
        <f t="shared" si="18"/>
        <v>0.77973568281938332</v>
      </c>
      <c r="AF25">
        <f t="shared" si="19"/>
        <v>0.12531328320802004</v>
      </c>
      <c r="AG25">
        <f t="shared" si="20"/>
        <v>0.22026431718061673</v>
      </c>
      <c r="AH25">
        <f t="shared" si="21"/>
        <v>0.43107769423558895</v>
      </c>
      <c r="AI25">
        <f t="shared" si="22"/>
        <v>0.186046511627907</v>
      </c>
      <c r="AJ25">
        <f t="shared" si="23"/>
        <v>0.81395348837209303</v>
      </c>
      <c r="AK25">
        <f t="shared" si="24"/>
        <v>4.6956952443725199E-2</v>
      </c>
      <c r="AL25">
        <f t="shared" si="25"/>
        <v>9.4598085234699772E-2</v>
      </c>
    </row>
    <row r="26" spans="1:38" x14ac:dyDescent="0.35">
      <c r="A26" s="15" t="s">
        <v>53</v>
      </c>
      <c r="B26" s="9" t="s">
        <v>29</v>
      </c>
      <c r="C26" s="10">
        <f t="shared" si="12"/>
        <v>3.5438003328451551</v>
      </c>
      <c r="D26" s="17">
        <v>0.2286322795383971</v>
      </c>
      <c r="E26" s="17">
        <v>3.315168053306758</v>
      </c>
      <c r="F26" s="17">
        <v>5.2145883075488326</v>
      </c>
      <c r="G26" s="11">
        <f t="shared" si="13"/>
        <v>2.8579034942299635</v>
      </c>
      <c r="H26" s="18">
        <v>0</v>
      </c>
      <c r="I26" s="18">
        <v>2.8579034942299635</v>
      </c>
      <c r="J26" s="18">
        <v>1.2574775374611842</v>
      </c>
      <c r="K26" s="11">
        <f t="shared" si="14"/>
        <v>5.3244195640159759</v>
      </c>
      <c r="L26" s="11">
        <f t="shared" si="14"/>
        <v>5.3415951260588308</v>
      </c>
      <c r="M26" s="11">
        <f t="shared" si="0"/>
        <v>0.34351093961393397</v>
      </c>
      <c r="N26" s="11">
        <f t="shared" si="1"/>
        <v>0.34461904039089231</v>
      </c>
      <c r="O26" s="11">
        <f t="shared" si="2"/>
        <v>4.9809086244020424</v>
      </c>
      <c r="P26" s="11">
        <f t="shared" si="3"/>
        <v>4.9969760856679386</v>
      </c>
      <c r="Q26" s="11">
        <f t="shared" si="4"/>
        <v>7.8347122849077095</v>
      </c>
      <c r="R26" s="11">
        <f t="shared" si="5"/>
        <v>7.8599855725063756</v>
      </c>
      <c r="S26" s="11">
        <f t="shared" si="15"/>
        <v>4.2938867451741736</v>
      </c>
      <c r="T26" s="11">
        <f t="shared" si="15"/>
        <v>4.3077380048861542</v>
      </c>
      <c r="U26" s="11">
        <f t="shared" si="6"/>
        <v>0</v>
      </c>
      <c r="V26" s="11">
        <f t="shared" si="7"/>
        <v>0</v>
      </c>
      <c r="W26" s="11">
        <f t="shared" si="8"/>
        <v>4.2938867451741736</v>
      </c>
      <c r="X26" s="11">
        <f t="shared" si="9"/>
        <v>4.3077380048861542</v>
      </c>
      <c r="Y26" s="11">
        <f t="shared" si="10"/>
        <v>1.8893101678766371</v>
      </c>
      <c r="Z26" s="11">
        <f t="shared" si="11"/>
        <v>1.8954047221499077</v>
      </c>
      <c r="AA26" s="12">
        <v>66.343484468840003</v>
      </c>
      <c r="AB26" s="13">
        <v>66.557495896739994</v>
      </c>
      <c r="AC26">
        <f t="shared" si="16"/>
        <v>0.5535714285714286</v>
      </c>
      <c r="AD26">
        <f t="shared" si="17"/>
        <v>0.5178571428571429</v>
      </c>
      <c r="AE26">
        <f t="shared" si="18"/>
        <v>0.93548387096774199</v>
      </c>
      <c r="AF26">
        <f t="shared" si="19"/>
        <v>3.5714285714285712E-2</v>
      </c>
      <c r="AG26">
        <f t="shared" si="20"/>
        <v>6.4516129032258063E-2</v>
      </c>
      <c r="AH26">
        <f t="shared" si="21"/>
        <v>0.4464285714285714</v>
      </c>
      <c r="AI26">
        <f t="shared" si="22"/>
        <v>0</v>
      </c>
      <c r="AJ26">
        <f t="shared" si="23"/>
        <v>1</v>
      </c>
      <c r="AK26">
        <f t="shared" si="24"/>
        <v>9.6493331309449856E-2</v>
      </c>
      <c r="AL26">
        <f t="shared" si="25"/>
        <v>9.6183063091901513E-2</v>
      </c>
    </row>
    <row r="27" spans="1:38" x14ac:dyDescent="0.35">
      <c r="A27" s="15" t="s">
        <v>54</v>
      </c>
      <c r="B27" s="9" t="s">
        <v>29</v>
      </c>
      <c r="C27" s="10">
        <f t="shared" si="12"/>
        <v>22</v>
      </c>
      <c r="D27" s="11">
        <v>0</v>
      </c>
      <c r="E27" s="11">
        <v>22</v>
      </c>
      <c r="F27" s="11">
        <v>45</v>
      </c>
      <c r="G27" s="11">
        <f t="shared" si="13"/>
        <v>0</v>
      </c>
      <c r="H27" s="11">
        <v>0</v>
      </c>
      <c r="I27" s="11">
        <v>0</v>
      </c>
      <c r="J27" s="11">
        <v>0</v>
      </c>
      <c r="K27" s="11">
        <f t="shared" si="14"/>
        <v>2.6182670370692831</v>
      </c>
      <c r="L27" s="11">
        <f t="shared" si="14"/>
        <v>2.3594000418604768</v>
      </c>
      <c r="M27" s="11">
        <f t="shared" si="0"/>
        <v>0</v>
      </c>
      <c r="N27" s="11">
        <f t="shared" si="1"/>
        <v>0</v>
      </c>
      <c r="O27" s="11">
        <f t="shared" si="2"/>
        <v>2.6182670370692831</v>
      </c>
      <c r="P27" s="11">
        <f t="shared" si="3"/>
        <v>2.3594000418604768</v>
      </c>
      <c r="Q27" s="11">
        <f t="shared" si="4"/>
        <v>5.3555462121871695</v>
      </c>
      <c r="R27" s="11">
        <f t="shared" si="5"/>
        <v>4.826045540169158</v>
      </c>
      <c r="S27" s="11">
        <f t="shared" si="15"/>
        <v>0</v>
      </c>
      <c r="T27" s="11">
        <f t="shared" si="15"/>
        <v>0</v>
      </c>
      <c r="U27" s="11">
        <f t="shared" si="6"/>
        <v>0</v>
      </c>
      <c r="V27" s="11">
        <f t="shared" si="7"/>
        <v>0</v>
      </c>
      <c r="W27" s="11">
        <f t="shared" si="8"/>
        <v>0</v>
      </c>
      <c r="X27" s="11">
        <f t="shared" si="9"/>
        <v>0</v>
      </c>
      <c r="Y27" s="11">
        <f t="shared" si="10"/>
        <v>0</v>
      </c>
      <c r="Z27" s="11">
        <f t="shared" si="11"/>
        <v>0</v>
      </c>
      <c r="AA27" s="12">
        <v>932.44043441874999</v>
      </c>
      <c r="AB27" s="13">
        <v>840.25042856688003</v>
      </c>
      <c r="AC27">
        <f t="shared" si="16"/>
        <v>1</v>
      </c>
      <c r="AD27">
        <f t="shared" si="17"/>
        <v>1</v>
      </c>
      <c r="AE27">
        <f t="shared" si="18"/>
        <v>1</v>
      </c>
      <c r="AF27">
        <f t="shared" si="19"/>
        <v>0</v>
      </c>
      <c r="AG27">
        <f t="shared" si="20"/>
        <v>0</v>
      </c>
      <c r="AH27">
        <f t="shared" si="21"/>
        <v>0</v>
      </c>
      <c r="AI27" t="e">
        <f t="shared" si="22"/>
        <v>#DIV/0!</v>
      </c>
      <c r="AJ27" t="e">
        <f t="shared" si="23"/>
        <v>#DIV/0!</v>
      </c>
      <c r="AK27">
        <f t="shared" si="24"/>
        <v>2.3594000418604769E-2</v>
      </c>
      <c r="AL27">
        <f t="shared" si="25"/>
        <v>2.6182670370692829E-2</v>
      </c>
    </row>
    <row r="28" spans="1:38" x14ac:dyDescent="0.35">
      <c r="A28" s="15" t="s">
        <v>55</v>
      </c>
      <c r="B28" s="9" t="s">
        <v>29</v>
      </c>
      <c r="C28" s="10">
        <f t="shared" si="12"/>
        <v>11.088515533797038</v>
      </c>
      <c r="D28" s="16">
        <v>0.31570903379703813</v>
      </c>
      <c r="E28" s="11">
        <v>10.7728065</v>
      </c>
      <c r="F28" s="11">
        <v>0</v>
      </c>
      <c r="G28" s="11">
        <f t="shared" si="13"/>
        <v>6.6522016324629796</v>
      </c>
      <c r="H28" s="21">
        <v>2.7058387100000001</v>
      </c>
      <c r="I28" s="11">
        <v>3.9463629224629799</v>
      </c>
      <c r="J28" s="11">
        <v>0</v>
      </c>
      <c r="K28" s="11">
        <f t="shared" si="14"/>
        <v>5.4639624481968951</v>
      </c>
      <c r="L28" s="11">
        <f t="shared" si="14"/>
        <v>5.7165015304406683</v>
      </c>
      <c r="M28" s="11">
        <f t="shared" si="0"/>
        <v>0.15556837161527984</v>
      </c>
      <c r="N28" s="11">
        <f t="shared" si="1"/>
        <v>0.16275859192999773</v>
      </c>
      <c r="O28" s="11">
        <f t="shared" si="2"/>
        <v>5.3083940765816156</v>
      </c>
      <c r="P28" s="11">
        <f t="shared" si="3"/>
        <v>5.5537429385106707</v>
      </c>
      <c r="Q28" s="11">
        <f t="shared" si="4"/>
        <v>0</v>
      </c>
      <c r="R28" s="11">
        <f t="shared" si="5"/>
        <v>0</v>
      </c>
      <c r="S28" s="11">
        <f t="shared" si="15"/>
        <v>3.2779301978544808</v>
      </c>
      <c r="T28" s="11">
        <f t="shared" si="15"/>
        <v>3.4294329747629302</v>
      </c>
      <c r="U28" s="11">
        <f t="shared" si="6"/>
        <v>1.3333255526634809</v>
      </c>
      <c r="V28" s="11">
        <f t="shared" si="7"/>
        <v>1.3949505756379568</v>
      </c>
      <c r="W28" s="11">
        <f t="shared" si="8"/>
        <v>1.9446046451909997</v>
      </c>
      <c r="X28" s="11">
        <f t="shared" si="9"/>
        <v>2.0344823991249732</v>
      </c>
      <c r="Y28" s="11">
        <f t="shared" si="10"/>
        <v>0</v>
      </c>
      <c r="Z28" s="11">
        <f t="shared" si="11"/>
        <v>0</v>
      </c>
      <c r="AA28" s="12">
        <v>193.97380504054999</v>
      </c>
      <c r="AB28" s="13">
        <v>202.93908750153</v>
      </c>
      <c r="AC28">
        <f t="shared" si="16"/>
        <v>0.62503197756207984</v>
      </c>
      <c r="AD28">
        <f t="shared" si="17"/>
        <v>0.60723624637273055</v>
      </c>
      <c r="AE28">
        <f t="shared" si="18"/>
        <v>0.97152828682660197</v>
      </c>
      <c r="AF28">
        <f t="shared" si="19"/>
        <v>1.7795731189349309E-2</v>
      </c>
      <c r="AG28">
        <f t="shared" si="20"/>
        <v>2.8471713173398059E-2</v>
      </c>
      <c r="AH28">
        <f t="shared" si="21"/>
        <v>0.37496802243791999</v>
      </c>
      <c r="AI28">
        <f t="shared" si="22"/>
        <v>0.40675837256577002</v>
      </c>
      <c r="AJ28">
        <f t="shared" si="23"/>
        <v>0.59324162743423003</v>
      </c>
      <c r="AK28">
        <f t="shared" si="24"/>
        <v>9.1459345052035984E-2</v>
      </c>
      <c r="AL28">
        <f t="shared" si="25"/>
        <v>8.741892646051376E-2</v>
      </c>
    </row>
    <row r="29" spans="1:38" x14ac:dyDescent="0.35">
      <c r="A29" s="15" t="s">
        <v>56</v>
      </c>
      <c r="B29" s="9" t="s">
        <v>29</v>
      </c>
      <c r="C29" s="10">
        <f t="shared" si="12"/>
        <v>8.1</v>
      </c>
      <c r="D29" s="11">
        <v>0</v>
      </c>
      <c r="E29" s="11">
        <v>8.1</v>
      </c>
      <c r="F29" s="11">
        <v>0</v>
      </c>
      <c r="G29" s="11">
        <f t="shared" si="13"/>
        <v>10.6</v>
      </c>
      <c r="H29" s="11">
        <v>5.3</v>
      </c>
      <c r="I29" s="11">
        <v>5.3</v>
      </c>
      <c r="J29" s="11">
        <v>0</v>
      </c>
      <c r="K29" s="11">
        <f t="shared" si="14"/>
        <v>1.9744090578931335</v>
      </c>
      <c r="L29" s="11">
        <f t="shared" si="14"/>
        <v>2.4511712488266704</v>
      </c>
      <c r="M29" s="11">
        <f t="shared" si="0"/>
        <v>0</v>
      </c>
      <c r="N29" s="11">
        <f t="shared" si="1"/>
        <v>0</v>
      </c>
      <c r="O29" s="11">
        <f t="shared" si="2"/>
        <v>1.9744090578931335</v>
      </c>
      <c r="P29" s="11">
        <f t="shared" si="3"/>
        <v>2.4511712488266704</v>
      </c>
      <c r="Q29" s="11">
        <f t="shared" si="4"/>
        <v>0</v>
      </c>
      <c r="R29" s="11">
        <f t="shared" si="5"/>
        <v>0</v>
      </c>
      <c r="S29" s="11">
        <f t="shared" si="15"/>
        <v>2.5837945695885449</v>
      </c>
      <c r="T29" s="11">
        <f t="shared" si="15"/>
        <v>3.2077055848842844</v>
      </c>
      <c r="U29" s="11">
        <f t="shared" si="6"/>
        <v>1.2918972847942725</v>
      </c>
      <c r="V29" s="11">
        <f t="shared" si="7"/>
        <v>1.6038527924421422</v>
      </c>
      <c r="W29" s="11">
        <f t="shared" si="8"/>
        <v>1.2918972847942725</v>
      </c>
      <c r="X29" s="11">
        <f t="shared" si="9"/>
        <v>1.6038527924421422</v>
      </c>
      <c r="Y29" s="11">
        <f t="shared" si="10"/>
        <v>0</v>
      </c>
      <c r="Z29" s="11">
        <f t="shared" si="11"/>
        <v>0</v>
      </c>
      <c r="AA29" s="12">
        <v>330.45426768437</v>
      </c>
      <c r="AB29" s="13">
        <v>410.24933347112</v>
      </c>
      <c r="AC29">
        <f t="shared" si="16"/>
        <v>0.43315508021390375</v>
      </c>
      <c r="AD29">
        <f t="shared" si="17"/>
        <v>0.43315508021390375</v>
      </c>
      <c r="AE29">
        <f t="shared" si="18"/>
        <v>1</v>
      </c>
      <c r="AF29">
        <f t="shared" si="19"/>
        <v>0</v>
      </c>
      <c r="AG29">
        <f t="shared" si="20"/>
        <v>0</v>
      </c>
      <c r="AH29">
        <f t="shared" si="21"/>
        <v>0.5668449197860963</v>
      </c>
      <c r="AI29">
        <f t="shared" si="22"/>
        <v>0.5</v>
      </c>
      <c r="AJ29">
        <f t="shared" si="23"/>
        <v>0.5</v>
      </c>
      <c r="AK29">
        <f t="shared" si="24"/>
        <v>5.6588768337109546E-2</v>
      </c>
      <c r="AL29">
        <f t="shared" si="25"/>
        <v>4.5582036274816787E-2</v>
      </c>
    </row>
    <row r="30" spans="1:38" x14ac:dyDescent="0.35">
      <c r="A30" s="15" t="s">
        <v>57</v>
      </c>
      <c r="B30" s="9" t="s">
        <v>29</v>
      </c>
      <c r="C30" s="10">
        <f t="shared" si="12"/>
        <v>7.2019168054595077</v>
      </c>
      <c r="D30" s="17">
        <v>1.8290582363071768</v>
      </c>
      <c r="E30" s="17">
        <v>5.3728585691523305</v>
      </c>
      <c r="F30" s="17">
        <v>9.0309750417666859</v>
      </c>
      <c r="G30" s="11">
        <f t="shared" si="13"/>
        <v>14.861098169995811</v>
      </c>
      <c r="H30" s="17">
        <v>0</v>
      </c>
      <c r="I30" s="17">
        <v>14.861098169995811</v>
      </c>
      <c r="J30" s="17">
        <v>0</v>
      </c>
      <c r="K30" s="11">
        <f t="shared" si="14"/>
        <v>3.2388197867879107</v>
      </c>
      <c r="L30" s="11">
        <f t="shared" si="14"/>
        <v>2.1106625637775824</v>
      </c>
      <c r="M30" s="11">
        <f t="shared" si="0"/>
        <v>0.82255740616835848</v>
      </c>
      <c r="N30" s="11">
        <f t="shared" si="1"/>
        <v>0.53604128603875123</v>
      </c>
      <c r="O30" s="11">
        <f t="shared" si="2"/>
        <v>2.4162623806195525</v>
      </c>
      <c r="P30" s="11">
        <f t="shared" si="3"/>
        <v>1.5746212777388313</v>
      </c>
      <c r="Q30" s="11">
        <f t="shared" si="4"/>
        <v>4.0613771929562708</v>
      </c>
      <c r="R30" s="11">
        <f t="shared" si="5"/>
        <v>2.6467038498163342</v>
      </c>
      <c r="S30" s="11">
        <f t="shared" si="15"/>
        <v>6.6832789251179126</v>
      </c>
      <c r="T30" s="11">
        <f t="shared" si="15"/>
        <v>4.3553354490648539</v>
      </c>
      <c r="U30" s="11">
        <f t="shared" si="6"/>
        <v>0</v>
      </c>
      <c r="V30" s="11">
        <f t="shared" si="7"/>
        <v>0</v>
      </c>
      <c r="W30" s="11">
        <f t="shared" si="8"/>
        <v>6.6832789251179126</v>
      </c>
      <c r="X30" s="11">
        <f t="shared" si="9"/>
        <v>4.3553354490648539</v>
      </c>
      <c r="Y30" s="11">
        <f t="shared" si="10"/>
        <v>0</v>
      </c>
      <c r="Z30" s="11">
        <f t="shared" si="11"/>
        <v>0</v>
      </c>
      <c r="AA30" s="12">
        <v>341.21592570296002</v>
      </c>
      <c r="AB30" s="13">
        <v>222.36238134761999</v>
      </c>
      <c r="AC30">
        <f t="shared" si="16"/>
        <v>0.32642487046632124</v>
      </c>
      <c r="AD30">
        <f t="shared" si="17"/>
        <v>0.24352331606217614</v>
      </c>
      <c r="AE30">
        <f t="shared" si="18"/>
        <v>0.74603174603174593</v>
      </c>
      <c r="AF30">
        <f t="shared" si="19"/>
        <v>8.2901554404145095E-2</v>
      </c>
      <c r="AG30">
        <f t="shared" si="20"/>
        <v>0.25396825396825401</v>
      </c>
      <c r="AH30">
        <f t="shared" si="21"/>
        <v>0.67357512953367882</v>
      </c>
      <c r="AI30">
        <f t="shared" si="22"/>
        <v>0</v>
      </c>
      <c r="AJ30">
        <f t="shared" si="23"/>
        <v>1</v>
      </c>
      <c r="AK30">
        <f t="shared" si="24"/>
        <v>6.465998012842436E-2</v>
      </c>
      <c r="AL30">
        <f t="shared" si="25"/>
        <v>9.9220987119058232E-2</v>
      </c>
    </row>
    <row r="31" spans="1:38" x14ac:dyDescent="0.35">
      <c r="A31" s="15" t="s">
        <v>58</v>
      </c>
      <c r="B31" s="9" t="s">
        <v>29</v>
      </c>
      <c r="C31" s="10">
        <f t="shared" si="12"/>
        <v>2.5149550749223684</v>
      </c>
      <c r="D31" s="17">
        <v>0.18290582363071767</v>
      </c>
      <c r="E31" s="17">
        <v>2.3320492512916506</v>
      </c>
      <c r="F31" s="17">
        <v>1.4060885191611421</v>
      </c>
      <c r="G31" s="11">
        <f t="shared" si="13"/>
        <v>4.5840772047448617</v>
      </c>
      <c r="H31" s="17">
        <v>0</v>
      </c>
      <c r="I31" s="17">
        <v>4.5840772047448617</v>
      </c>
      <c r="J31" s="17">
        <v>0</v>
      </c>
      <c r="K31" s="11">
        <f t="shared" si="14"/>
        <v>2.52787094908023</v>
      </c>
      <c r="L31" s="11">
        <f t="shared" si="14"/>
        <v>1.3840355185893003</v>
      </c>
      <c r="M31" s="11">
        <f t="shared" si="0"/>
        <v>0.18384515993310763</v>
      </c>
      <c r="N31" s="11">
        <f t="shared" si="1"/>
        <v>0.10065712862467636</v>
      </c>
      <c r="O31" s="11">
        <f t="shared" si="2"/>
        <v>2.3440257891471226</v>
      </c>
      <c r="P31" s="11">
        <f t="shared" si="3"/>
        <v>1.2833783899646238</v>
      </c>
      <c r="Q31" s="11">
        <f t="shared" si="4"/>
        <v>1.4133096669857648</v>
      </c>
      <c r="R31" s="11">
        <f t="shared" si="5"/>
        <v>0.77380167630219954</v>
      </c>
      <c r="S31" s="11">
        <f t="shared" si="15"/>
        <v>4.6076193208235097</v>
      </c>
      <c r="T31" s="11">
        <f t="shared" si="15"/>
        <v>2.5227192861559513</v>
      </c>
      <c r="U31" s="11">
        <f t="shared" si="6"/>
        <v>0</v>
      </c>
      <c r="V31" s="11">
        <f t="shared" si="7"/>
        <v>0</v>
      </c>
      <c r="W31" s="11">
        <f t="shared" si="8"/>
        <v>4.6076193208235097</v>
      </c>
      <c r="X31" s="11">
        <f t="shared" si="9"/>
        <v>2.5227192861559513</v>
      </c>
      <c r="Y31" s="11">
        <f t="shared" si="10"/>
        <v>0</v>
      </c>
      <c r="Z31" s="11">
        <f t="shared" si="11"/>
        <v>0</v>
      </c>
      <c r="AA31" s="12">
        <v>181.71174374815001</v>
      </c>
      <c r="AB31" s="13">
        <v>99.489061173690004</v>
      </c>
      <c r="AC31">
        <f t="shared" si="16"/>
        <v>0.35426731078904994</v>
      </c>
      <c r="AD31">
        <f t="shared" si="17"/>
        <v>0.32850241545893721</v>
      </c>
      <c r="AE31">
        <f t="shared" si="18"/>
        <v>0.92727272727272725</v>
      </c>
      <c r="AF31">
        <f t="shared" si="19"/>
        <v>2.5764895330112718E-2</v>
      </c>
      <c r="AG31">
        <f t="shared" si="20"/>
        <v>7.272727272727271E-2</v>
      </c>
      <c r="AH31">
        <f t="shared" si="21"/>
        <v>0.64573268921095006</v>
      </c>
      <c r="AI31">
        <f t="shared" si="22"/>
        <v>0</v>
      </c>
      <c r="AJ31">
        <f t="shared" si="23"/>
        <v>1</v>
      </c>
      <c r="AK31">
        <f t="shared" si="24"/>
        <v>3.9067548047452515E-2</v>
      </c>
      <c r="AL31">
        <f t="shared" si="25"/>
        <v>7.1354902699037395E-2</v>
      </c>
    </row>
    <row r="32" spans="1:38" x14ac:dyDescent="0.35">
      <c r="A32" s="15" t="s">
        <v>59</v>
      </c>
      <c r="B32" s="9" t="s">
        <v>29</v>
      </c>
      <c r="C32" s="10">
        <f t="shared" si="12"/>
        <v>4.1153810316911672</v>
      </c>
      <c r="D32" s="17">
        <v>0.11431613976919908</v>
      </c>
      <c r="E32" s="17">
        <v>4.0010648919219678</v>
      </c>
      <c r="F32" s="17">
        <v>0</v>
      </c>
      <c r="G32" s="11">
        <f t="shared" si="13"/>
        <v>3.3151680533067727</v>
      </c>
      <c r="H32" s="17">
        <v>0.68589683861519435</v>
      </c>
      <c r="I32" s="17">
        <v>2.6292712146915784</v>
      </c>
      <c r="J32" s="17">
        <v>0.11431613976919908</v>
      </c>
      <c r="K32" s="11">
        <f t="shared" si="14"/>
        <v>8.1625269737342627</v>
      </c>
      <c r="L32" s="11">
        <f t="shared" si="14"/>
        <v>5.4123140293972885</v>
      </c>
      <c r="M32" s="11">
        <f t="shared" si="0"/>
        <v>0.22673686038150731</v>
      </c>
      <c r="N32" s="11">
        <f t="shared" si="1"/>
        <v>0.1503420563721469</v>
      </c>
      <c r="O32" s="11">
        <f t="shared" si="2"/>
        <v>7.9357901133527555</v>
      </c>
      <c r="P32" s="11">
        <f t="shared" si="3"/>
        <v>5.2619719730251413</v>
      </c>
      <c r="Q32" s="11">
        <f t="shared" si="4"/>
        <v>0</v>
      </c>
      <c r="R32" s="11">
        <f t="shared" si="5"/>
        <v>0</v>
      </c>
      <c r="S32" s="11">
        <f t="shared" si="15"/>
        <v>6.5753689510637106</v>
      </c>
      <c r="T32" s="11">
        <f t="shared" si="15"/>
        <v>4.3599196347922593</v>
      </c>
      <c r="U32" s="11">
        <f t="shared" si="6"/>
        <v>1.3604211622890434</v>
      </c>
      <c r="V32" s="11">
        <f t="shared" si="7"/>
        <v>0.90205233823288122</v>
      </c>
      <c r="W32" s="11">
        <f t="shared" si="8"/>
        <v>5.2149477887746674</v>
      </c>
      <c r="X32" s="11">
        <f t="shared" si="9"/>
        <v>3.4578672965593782</v>
      </c>
      <c r="Y32" s="11">
        <f t="shared" si="10"/>
        <v>0.22673686038150731</v>
      </c>
      <c r="Z32" s="11">
        <f t="shared" si="11"/>
        <v>0.1503420563721469</v>
      </c>
      <c r="AA32" s="12">
        <v>76.037366075549997</v>
      </c>
      <c r="AB32" s="13">
        <v>50.417977728389999</v>
      </c>
      <c r="AC32">
        <f t="shared" si="16"/>
        <v>0.55384615384615388</v>
      </c>
      <c r="AD32">
        <f t="shared" si="17"/>
        <v>0.53846153846153844</v>
      </c>
      <c r="AE32">
        <f t="shared" si="18"/>
        <v>0.9722222222222221</v>
      </c>
      <c r="AF32">
        <f t="shared" si="19"/>
        <v>1.5384615384615384E-2</v>
      </c>
      <c r="AG32">
        <f t="shared" si="20"/>
        <v>2.7777777777777776E-2</v>
      </c>
      <c r="AH32">
        <f t="shared" si="21"/>
        <v>0.44615384615384607</v>
      </c>
      <c r="AI32">
        <f t="shared" si="22"/>
        <v>0.20689655172413793</v>
      </c>
      <c r="AJ32">
        <f t="shared" si="23"/>
        <v>0.7931034482758621</v>
      </c>
      <c r="AK32">
        <f t="shared" si="24"/>
        <v>9.7722336641895488E-2</v>
      </c>
      <c r="AL32">
        <f t="shared" si="25"/>
        <v>0.14737895924797975</v>
      </c>
    </row>
    <row r="33" spans="1:38" x14ac:dyDescent="0.35">
      <c r="A33" s="15" t="s">
        <v>60</v>
      </c>
      <c r="B33" s="9" t="s">
        <v>29</v>
      </c>
      <c r="C33" s="10">
        <f t="shared" si="12"/>
        <v>11</v>
      </c>
      <c r="D33" s="11">
        <v>0</v>
      </c>
      <c r="E33" s="11">
        <v>11</v>
      </c>
      <c r="F33" s="11">
        <v>0</v>
      </c>
      <c r="G33" s="11">
        <f t="shared" si="13"/>
        <v>25</v>
      </c>
      <c r="H33" s="11">
        <v>0</v>
      </c>
      <c r="I33" s="11">
        <v>25</v>
      </c>
      <c r="J33" s="11">
        <v>0</v>
      </c>
      <c r="K33" s="11">
        <f t="shared" si="14"/>
        <v>2.0006500950731745</v>
      </c>
      <c r="L33" s="11">
        <f t="shared" si="14"/>
        <v>2.111306177863205</v>
      </c>
      <c r="M33" s="11">
        <f t="shared" si="0"/>
        <v>0</v>
      </c>
      <c r="N33" s="11">
        <f t="shared" si="1"/>
        <v>0</v>
      </c>
      <c r="O33" s="11">
        <f t="shared" si="2"/>
        <v>2.0006500950731745</v>
      </c>
      <c r="P33" s="11">
        <f t="shared" si="3"/>
        <v>2.111306177863205</v>
      </c>
      <c r="Q33" s="11">
        <f t="shared" si="4"/>
        <v>0</v>
      </c>
      <c r="R33" s="11">
        <f t="shared" si="5"/>
        <v>0</v>
      </c>
      <c r="S33" s="11">
        <f t="shared" si="15"/>
        <v>4.5469320342572148</v>
      </c>
      <c r="T33" s="11">
        <f t="shared" si="15"/>
        <v>4.7984231315072847</v>
      </c>
      <c r="U33" s="11">
        <f t="shared" si="6"/>
        <v>0</v>
      </c>
      <c r="V33" s="11">
        <f t="shared" si="7"/>
        <v>0</v>
      </c>
      <c r="W33" s="11">
        <f t="shared" si="8"/>
        <v>4.5469320342572148</v>
      </c>
      <c r="X33" s="11">
        <f t="shared" si="9"/>
        <v>4.7984231315072847</v>
      </c>
      <c r="Y33" s="11">
        <f t="shared" si="10"/>
        <v>0</v>
      </c>
      <c r="Z33" s="11">
        <f t="shared" si="11"/>
        <v>0</v>
      </c>
      <c r="AA33" s="12">
        <v>521.00449074291998</v>
      </c>
      <c r="AB33" s="13">
        <v>549.82128194673999</v>
      </c>
      <c r="AC33">
        <f t="shared" si="16"/>
        <v>0.30555555555555558</v>
      </c>
      <c r="AD33">
        <f t="shared" si="17"/>
        <v>0.30555555555555558</v>
      </c>
      <c r="AE33">
        <f t="shared" si="18"/>
        <v>1</v>
      </c>
      <c r="AF33">
        <f t="shared" si="19"/>
        <v>0</v>
      </c>
      <c r="AG33">
        <f t="shared" si="20"/>
        <v>0</v>
      </c>
      <c r="AH33">
        <f t="shared" si="21"/>
        <v>0.69444444444444442</v>
      </c>
      <c r="AI33">
        <f t="shared" si="22"/>
        <v>0</v>
      </c>
      <c r="AJ33">
        <f t="shared" si="23"/>
        <v>1</v>
      </c>
      <c r="AK33">
        <f t="shared" si="24"/>
        <v>6.9097293093704895E-2</v>
      </c>
      <c r="AL33">
        <f t="shared" si="25"/>
        <v>6.5475821293303885E-2</v>
      </c>
    </row>
    <row r="34" spans="1:38" x14ac:dyDescent="0.35">
      <c r="A34" s="15" t="s">
        <v>61</v>
      </c>
      <c r="B34" s="9" t="s">
        <v>29</v>
      </c>
      <c r="C34" s="10">
        <f t="shared" si="12"/>
        <v>1.6825977000000001</v>
      </c>
      <c r="D34" s="11">
        <v>0</v>
      </c>
      <c r="E34" s="11">
        <v>1.6825977000000001</v>
      </c>
      <c r="F34" s="11">
        <v>0</v>
      </c>
      <c r="G34" s="11">
        <f t="shared" si="13"/>
        <v>0.21161296000000002</v>
      </c>
      <c r="H34" s="21">
        <f>0.0516129+0.05677419</f>
        <v>0.10838709000000001</v>
      </c>
      <c r="I34" s="21">
        <f>0.10322587</f>
        <v>0.10322587</v>
      </c>
      <c r="J34" s="11">
        <v>0</v>
      </c>
      <c r="K34" s="11">
        <f t="shared" si="14"/>
        <v>0.22521425078179022</v>
      </c>
      <c r="L34" s="11">
        <f t="shared" si="14"/>
        <v>0.28479302795803385</v>
      </c>
      <c r="M34" s="11">
        <f t="shared" si="0"/>
        <v>0</v>
      </c>
      <c r="N34" s="11">
        <f t="shared" si="1"/>
        <v>0</v>
      </c>
      <c r="O34" s="11">
        <f t="shared" si="2"/>
        <v>0.22521425078179022</v>
      </c>
      <c r="P34" s="11">
        <f t="shared" si="3"/>
        <v>0.28479302795803385</v>
      </c>
      <c r="Q34" s="11">
        <f t="shared" si="4"/>
        <v>0</v>
      </c>
      <c r="R34" s="11">
        <f t="shared" si="5"/>
        <v>0</v>
      </c>
      <c r="S34" s="11">
        <f t="shared" si="15"/>
        <v>2.8324212164391373E-2</v>
      </c>
      <c r="T34" s="11">
        <f t="shared" si="15"/>
        <v>3.5817174618485631E-2</v>
      </c>
      <c r="U34" s="11">
        <f t="shared" si="6"/>
        <v>1.4507518504731386E-2</v>
      </c>
      <c r="V34" s="11">
        <f t="shared" si="7"/>
        <v>1.8345376053146827E-2</v>
      </c>
      <c r="W34" s="11">
        <f t="shared" si="8"/>
        <v>1.3816693659659988E-2</v>
      </c>
      <c r="X34" s="11">
        <f t="shared" si="9"/>
        <v>1.74717985653388E-2</v>
      </c>
      <c r="Y34" s="11">
        <f t="shared" si="10"/>
        <v>0</v>
      </c>
      <c r="Z34" s="11">
        <f t="shared" si="11"/>
        <v>0</v>
      </c>
      <c r="AA34" s="12">
        <v>590.81421763174001</v>
      </c>
      <c r="AB34" s="13">
        <v>747.10978286638999</v>
      </c>
      <c r="AC34">
        <f t="shared" si="16"/>
        <v>0.88828435798159844</v>
      </c>
      <c r="AD34">
        <f t="shared" si="17"/>
        <v>0.88828435798159844</v>
      </c>
      <c r="AE34">
        <f t="shared" si="18"/>
        <v>1</v>
      </c>
      <c r="AF34">
        <f t="shared" si="19"/>
        <v>0</v>
      </c>
      <c r="AG34">
        <f t="shared" si="20"/>
        <v>0</v>
      </c>
      <c r="AH34">
        <f t="shared" si="21"/>
        <v>0.11171564201840148</v>
      </c>
      <c r="AI34">
        <f t="shared" si="22"/>
        <v>0.51219495252086633</v>
      </c>
      <c r="AJ34">
        <f t="shared" si="23"/>
        <v>0.48780504747913356</v>
      </c>
      <c r="AK34">
        <f t="shared" si="24"/>
        <v>3.2061020257651944E-3</v>
      </c>
      <c r="AL34">
        <f t="shared" si="25"/>
        <v>2.5353846294618163E-3</v>
      </c>
    </row>
    <row r="35" spans="1:38" x14ac:dyDescent="0.35">
      <c r="A35" s="9" t="s">
        <v>62</v>
      </c>
      <c r="B35" s="9" t="s">
        <v>29</v>
      </c>
      <c r="C35" s="10">
        <f t="shared" si="12"/>
        <v>4.5999999999999996</v>
      </c>
      <c r="D35" s="11">
        <v>1</v>
      </c>
      <c r="E35" s="11">
        <v>3.6</v>
      </c>
      <c r="F35" s="11">
        <v>4.7152702260000003</v>
      </c>
      <c r="G35" s="11">
        <f t="shared" si="13"/>
        <v>2.4</v>
      </c>
      <c r="H35" s="11">
        <v>2.4</v>
      </c>
      <c r="I35" s="11">
        <v>0</v>
      </c>
      <c r="J35" s="11">
        <v>0</v>
      </c>
      <c r="K35" s="11">
        <f t="shared" si="14"/>
        <v>1.7559969186421984</v>
      </c>
      <c r="L35" s="11">
        <f t="shared" si="14"/>
        <v>1.0424015476762831</v>
      </c>
      <c r="M35" s="11">
        <f t="shared" si="0"/>
        <v>0.38173846057439093</v>
      </c>
      <c r="N35" s="11">
        <f t="shared" si="1"/>
        <v>0.2266090321035398</v>
      </c>
      <c r="O35" s="11">
        <f t="shared" si="2"/>
        <v>1.3742584580678074</v>
      </c>
      <c r="P35" s="11">
        <f t="shared" si="3"/>
        <v>0.81579251557274324</v>
      </c>
      <c r="Q35" s="11">
        <f t="shared" si="4"/>
        <v>1.7999999972655005</v>
      </c>
      <c r="R35" s="11">
        <f t="shared" si="5"/>
        <v>1.0685228220204994</v>
      </c>
      <c r="S35" s="11">
        <f t="shared" si="15"/>
        <v>0.91617230537853822</v>
      </c>
      <c r="T35" s="11">
        <f t="shared" si="15"/>
        <v>0.54386167704849553</v>
      </c>
      <c r="U35" s="11">
        <f t="shared" si="6"/>
        <v>0.91617230537853822</v>
      </c>
      <c r="V35" s="11">
        <f t="shared" si="7"/>
        <v>0.54386167704849553</v>
      </c>
      <c r="W35" s="11">
        <f t="shared" si="8"/>
        <v>0</v>
      </c>
      <c r="X35" s="11">
        <f t="shared" si="9"/>
        <v>0</v>
      </c>
      <c r="Y35" s="11">
        <f t="shared" si="10"/>
        <v>0</v>
      </c>
      <c r="Z35" s="11">
        <f t="shared" si="11"/>
        <v>0</v>
      </c>
      <c r="AA35" s="12">
        <v>441.28867711817003</v>
      </c>
      <c r="AB35" s="13">
        <v>261.95945739796002</v>
      </c>
      <c r="AC35">
        <f t="shared" si="16"/>
        <v>0.65714285714285714</v>
      </c>
      <c r="AD35">
        <f t="shared" si="17"/>
        <v>0.51428571428571435</v>
      </c>
      <c r="AE35">
        <f t="shared" si="18"/>
        <v>0.78260869565217395</v>
      </c>
      <c r="AF35">
        <f t="shared" si="19"/>
        <v>0.14285714285714285</v>
      </c>
      <c r="AG35">
        <f t="shared" si="20"/>
        <v>0.21739130434782611</v>
      </c>
      <c r="AH35">
        <f t="shared" si="21"/>
        <v>0.34285714285714286</v>
      </c>
      <c r="AI35">
        <f t="shared" si="22"/>
        <v>1</v>
      </c>
      <c r="AJ35">
        <f t="shared" si="23"/>
        <v>0</v>
      </c>
      <c r="AK35">
        <f t="shared" si="24"/>
        <v>1.5862632247247786E-2</v>
      </c>
      <c r="AL35">
        <f t="shared" si="25"/>
        <v>2.6721692240207363E-2</v>
      </c>
    </row>
    <row r="36" spans="1:38" x14ac:dyDescent="0.35">
      <c r="A36" s="9" t="s">
        <v>63</v>
      </c>
      <c r="B36" s="9" t="s">
        <v>29</v>
      </c>
      <c r="C36" s="10">
        <f t="shared" si="12"/>
        <v>0</v>
      </c>
      <c r="D36" s="11">
        <v>0</v>
      </c>
      <c r="E36" s="11">
        <v>0</v>
      </c>
      <c r="F36" s="11">
        <v>0</v>
      </c>
      <c r="G36" s="11">
        <f t="shared" si="13"/>
        <v>0.1</v>
      </c>
      <c r="H36" s="11">
        <v>0.1</v>
      </c>
      <c r="I36" s="11">
        <v>0</v>
      </c>
      <c r="J36" s="11">
        <v>0</v>
      </c>
      <c r="K36" s="11">
        <f t="shared" si="14"/>
        <v>0</v>
      </c>
      <c r="L36" s="11">
        <f t="shared" si="14"/>
        <v>0</v>
      </c>
      <c r="M36" s="11">
        <f t="shared" si="0"/>
        <v>0</v>
      </c>
      <c r="N36" s="11">
        <f t="shared" si="1"/>
        <v>0</v>
      </c>
      <c r="O36" s="11">
        <f t="shared" si="2"/>
        <v>0</v>
      </c>
      <c r="P36" s="11">
        <f t="shared" si="3"/>
        <v>0</v>
      </c>
      <c r="Q36" s="11">
        <f t="shared" si="4"/>
        <v>0</v>
      </c>
      <c r="R36" s="11">
        <f t="shared" si="5"/>
        <v>0</v>
      </c>
      <c r="S36" s="11">
        <f t="shared" si="15"/>
        <v>3.111333402933561E-2</v>
      </c>
      <c r="T36" s="11">
        <f t="shared" si="15"/>
        <v>1.4482906740415585E-2</v>
      </c>
      <c r="U36" s="11">
        <f t="shared" si="6"/>
        <v>3.111333402933561E-2</v>
      </c>
      <c r="V36" s="11">
        <f t="shared" si="7"/>
        <v>1.4482906740415585E-2</v>
      </c>
      <c r="W36" s="11">
        <f t="shared" si="8"/>
        <v>0</v>
      </c>
      <c r="X36" s="11">
        <f t="shared" si="9"/>
        <v>0</v>
      </c>
      <c r="Y36" s="11">
        <f t="shared" si="10"/>
        <v>0</v>
      </c>
      <c r="Z36" s="11">
        <f t="shared" si="11"/>
        <v>0</v>
      </c>
      <c r="AA36" s="12">
        <v>690.46912883131995</v>
      </c>
      <c r="AB36" s="13">
        <v>321.40560669490998</v>
      </c>
      <c r="AC36">
        <f t="shared" si="16"/>
        <v>0</v>
      </c>
      <c r="AD36">
        <f t="shared" si="17"/>
        <v>0</v>
      </c>
      <c r="AE36" t="e">
        <f t="shared" si="18"/>
        <v>#DIV/0!</v>
      </c>
      <c r="AF36">
        <f t="shared" si="19"/>
        <v>0</v>
      </c>
      <c r="AG36" t="e">
        <f t="shared" si="20"/>
        <v>#DIV/0!</v>
      </c>
      <c r="AH36">
        <f t="shared" si="21"/>
        <v>1</v>
      </c>
      <c r="AI36">
        <f t="shared" si="22"/>
        <v>1</v>
      </c>
      <c r="AJ36">
        <f t="shared" si="23"/>
        <v>0</v>
      </c>
      <c r="AK36">
        <f t="shared" si="24"/>
        <v>1.4482906740415584E-4</v>
      </c>
      <c r="AL36">
        <f t="shared" si="25"/>
        <v>3.1113334029335611E-4</v>
      </c>
    </row>
    <row r="37" spans="1:38" x14ac:dyDescent="0.35">
      <c r="A37" s="9" t="s">
        <v>64</v>
      </c>
      <c r="B37" s="9" t="s">
        <v>29</v>
      </c>
      <c r="C37" s="10">
        <f t="shared" si="12"/>
        <v>0.71743400000000002</v>
      </c>
      <c r="D37" s="11">
        <v>0.17</v>
      </c>
      <c r="E37" s="11">
        <v>0.54743399999999998</v>
      </c>
      <c r="F37" s="11">
        <v>0</v>
      </c>
      <c r="G37" s="11">
        <f t="shared" si="13"/>
        <v>0</v>
      </c>
      <c r="H37" s="11">
        <v>0</v>
      </c>
      <c r="I37" s="11">
        <v>0</v>
      </c>
      <c r="J37" s="11">
        <v>0</v>
      </c>
      <c r="K37" s="11">
        <f t="shared" si="14"/>
        <v>1.1143308580281421</v>
      </c>
      <c r="L37" s="11">
        <f t="shared" si="14"/>
        <v>0.7863713384702169</v>
      </c>
      <c r="M37" s="11">
        <f t="shared" si="0"/>
        <v>0.26404693095780818</v>
      </c>
      <c r="N37" s="11">
        <f t="shared" si="1"/>
        <v>0.18633508802194609</v>
      </c>
      <c r="O37" s="11">
        <f t="shared" si="2"/>
        <v>0.85028392707033384</v>
      </c>
      <c r="P37" s="11">
        <f t="shared" si="3"/>
        <v>0.6000362504482708</v>
      </c>
      <c r="Q37" s="11">
        <f t="shared" si="4"/>
        <v>0</v>
      </c>
      <c r="R37" s="11">
        <f t="shared" si="5"/>
        <v>0</v>
      </c>
      <c r="S37" s="11">
        <f t="shared" si="15"/>
        <v>0</v>
      </c>
      <c r="T37" s="11">
        <f t="shared" si="15"/>
        <v>0</v>
      </c>
      <c r="U37" s="11">
        <f t="shared" si="6"/>
        <v>0</v>
      </c>
      <c r="V37" s="11">
        <f t="shared" si="7"/>
        <v>0</v>
      </c>
      <c r="W37" s="11">
        <f t="shared" si="8"/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2">
        <v>91.233487908610002</v>
      </c>
      <c r="AB37" s="13">
        <v>64.38249419652</v>
      </c>
      <c r="AC37">
        <f t="shared" si="16"/>
        <v>1</v>
      </c>
      <c r="AD37">
        <f t="shared" si="17"/>
        <v>0.76304440547841335</v>
      </c>
      <c r="AE37">
        <f t="shared" si="18"/>
        <v>0.76304440547841335</v>
      </c>
      <c r="AF37">
        <f t="shared" si="19"/>
        <v>0.23695559452158665</v>
      </c>
      <c r="AG37">
        <f t="shared" si="20"/>
        <v>0.23695559452158665</v>
      </c>
      <c r="AH37">
        <f t="shared" si="21"/>
        <v>0</v>
      </c>
      <c r="AI37" t="e">
        <f t="shared" si="22"/>
        <v>#DIV/0!</v>
      </c>
      <c r="AJ37" t="e">
        <f t="shared" si="23"/>
        <v>#DIV/0!</v>
      </c>
      <c r="AK37">
        <f t="shared" si="24"/>
        <v>7.863713384702169E-3</v>
      </c>
      <c r="AL37">
        <f t="shared" si="25"/>
        <v>1.1143308580281419E-2</v>
      </c>
    </row>
    <row r="38" spans="1:38" x14ac:dyDescent="0.35">
      <c r="A38" s="9" t="s">
        <v>65</v>
      </c>
      <c r="B38" s="9" t="s">
        <v>29</v>
      </c>
      <c r="C38" s="10">
        <f t="shared" si="12"/>
        <v>4.4197489986439065</v>
      </c>
      <c r="D38" s="11">
        <v>0</v>
      </c>
      <c r="E38" s="18">
        <v>4.4197489986439065</v>
      </c>
      <c r="F38" s="11">
        <v>0</v>
      </c>
      <c r="G38" s="11">
        <f t="shared" si="13"/>
        <v>0</v>
      </c>
      <c r="H38" s="11">
        <v>0</v>
      </c>
      <c r="I38" s="11">
        <v>0</v>
      </c>
      <c r="J38" s="11">
        <v>0</v>
      </c>
      <c r="K38" s="11">
        <f t="shared" si="14"/>
        <v>2.998798899106466</v>
      </c>
      <c r="L38" s="11">
        <f t="shared" si="14"/>
        <v>1.4262400226188992</v>
      </c>
      <c r="M38" s="11">
        <f t="shared" si="0"/>
        <v>0</v>
      </c>
      <c r="N38" s="11">
        <f t="shared" si="1"/>
        <v>0</v>
      </c>
      <c r="O38" s="11">
        <f t="shared" si="2"/>
        <v>2.998798899106466</v>
      </c>
      <c r="P38" s="11">
        <f t="shared" si="3"/>
        <v>1.4262400226188992</v>
      </c>
      <c r="Q38" s="11">
        <f t="shared" si="4"/>
        <v>0</v>
      </c>
      <c r="R38" s="11">
        <f t="shared" si="5"/>
        <v>0</v>
      </c>
      <c r="S38" s="11">
        <f t="shared" si="15"/>
        <v>0</v>
      </c>
      <c r="T38" s="11">
        <f t="shared" si="15"/>
        <v>0</v>
      </c>
      <c r="U38" s="11">
        <f t="shared" si="6"/>
        <v>0</v>
      </c>
      <c r="V38" s="11">
        <f t="shared" si="7"/>
        <v>0</v>
      </c>
      <c r="W38" s="11">
        <f t="shared" si="8"/>
        <v>0</v>
      </c>
      <c r="X38" s="11">
        <f t="shared" si="9"/>
        <v>0</v>
      </c>
      <c r="Y38" s="11">
        <f t="shared" si="10"/>
        <v>0</v>
      </c>
      <c r="Z38" s="11">
        <f t="shared" si="11"/>
        <v>0</v>
      </c>
      <c r="AA38" s="12">
        <v>309.88816247970999</v>
      </c>
      <c r="AB38" s="13">
        <v>147.38397429586999</v>
      </c>
      <c r="AC38">
        <f t="shared" si="16"/>
        <v>1</v>
      </c>
      <c r="AD38">
        <f t="shared" si="17"/>
        <v>1</v>
      </c>
      <c r="AE38">
        <f t="shared" si="18"/>
        <v>1</v>
      </c>
      <c r="AF38">
        <f t="shared" si="19"/>
        <v>0</v>
      </c>
      <c r="AG38">
        <f t="shared" si="20"/>
        <v>0</v>
      </c>
      <c r="AH38">
        <f t="shared" si="21"/>
        <v>0</v>
      </c>
      <c r="AI38" t="e">
        <f t="shared" si="22"/>
        <v>#DIV/0!</v>
      </c>
      <c r="AJ38" t="e">
        <f t="shared" si="23"/>
        <v>#DIV/0!</v>
      </c>
      <c r="AK38">
        <f t="shared" si="24"/>
        <v>1.4262400226188991E-2</v>
      </c>
      <c r="AL38">
        <f t="shared" si="25"/>
        <v>2.9987988991064661E-2</v>
      </c>
    </row>
    <row r="39" spans="1:38" x14ac:dyDescent="0.35">
      <c r="A39" s="9" t="s">
        <v>66</v>
      </c>
      <c r="B39" s="9" t="s">
        <v>29</v>
      </c>
      <c r="C39" s="10">
        <f t="shared" si="12"/>
        <v>17</v>
      </c>
      <c r="D39" s="11">
        <v>8</v>
      </c>
      <c r="E39" s="11">
        <v>9</v>
      </c>
      <c r="F39" s="11">
        <v>0</v>
      </c>
      <c r="G39" s="11">
        <f t="shared" si="13"/>
        <v>17</v>
      </c>
      <c r="H39" s="11">
        <v>0</v>
      </c>
      <c r="I39" s="11">
        <v>17</v>
      </c>
      <c r="J39" s="11">
        <v>0</v>
      </c>
      <c r="K39" s="11">
        <f t="shared" si="14"/>
        <v>2.9746119470950942</v>
      </c>
      <c r="L39" s="11">
        <f t="shared" si="14"/>
        <v>1.3986901541599801</v>
      </c>
      <c r="M39" s="11">
        <f t="shared" si="0"/>
        <v>1.3998173868682795</v>
      </c>
      <c r="N39" s="11">
        <f t="shared" si="1"/>
        <v>0.65820713136940245</v>
      </c>
      <c r="O39" s="11">
        <f t="shared" si="2"/>
        <v>1.5747945602268145</v>
      </c>
      <c r="P39" s="11">
        <f t="shared" si="3"/>
        <v>0.74048302279057776</v>
      </c>
      <c r="Q39" s="11">
        <f t="shared" si="4"/>
        <v>0</v>
      </c>
      <c r="R39" s="11">
        <f t="shared" si="5"/>
        <v>0</v>
      </c>
      <c r="S39" s="11">
        <f t="shared" si="15"/>
        <v>2.9746119470950938</v>
      </c>
      <c r="T39" s="11">
        <f t="shared" si="15"/>
        <v>1.3986901541599803</v>
      </c>
      <c r="U39" s="11">
        <f t="shared" si="6"/>
        <v>0</v>
      </c>
      <c r="V39" s="11">
        <f t="shared" si="7"/>
        <v>0</v>
      </c>
      <c r="W39" s="11">
        <f t="shared" si="8"/>
        <v>2.9746119470950938</v>
      </c>
      <c r="X39" s="11">
        <f t="shared" si="9"/>
        <v>1.3986901541599803</v>
      </c>
      <c r="Y39" s="11">
        <f t="shared" si="10"/>
        <v>0</v>
      </c>
      <c r="Z39" s="11">
        <f t="shared" si="11"/>
        <v>0</v>
      </c>
      <c r="AA39" s="12">
        <v>1215.4228689920101</v>
      </c>
      <c r="AB39" s="13">
        <v>571.50311712429004</v>
      </c>
      <c r="AC39">
        <f t="shared" si="16"/>
        <v>0.5</v>
      </c>
      <c r="AD39">
        <f t="shared" si="17"/>
        <v>0.26470588235294118</v>
      </c>
      <c r="AE39">
        <f t="shared" si="18"/>
        <v>0.52941176470588236</v>
      </c>
      <c r="AF39">
        <f t="shared" si="19"/>
        <v>0.23529411764705882</v>
      </c>
      <c r="AG39">
        <f t="shared" si="20"/>
        <v>0.47058823529411764</v>
      </c>
      <c r="AH39">
        <f t="shared" si="21"/>
        <v>0.5</v>
      </c>
      <c r="AI39">
        <f t="shared" si="22"/>
        <v>0</v>
      </c>
      <c r="AJ39">
        <f t="shared" si="23"/>
        <v>1</v>
      </c>
      <c r="AK39">
        <f t="shared" si="24"/>
        <v>2.7973803083199605E-2</v>
      </c>
      <c r="AL39">
        <f t="shared" si="25"/>
        <v>5.9492238941901879E-2</v>
      </c>
    </row>
    <row r="40" spans="1:38" x14ac:dyDescent="0.35">
      <c r="A40" s="9" t="s">
        <v>28</v>
      </c>
      <c r="B40" s="22" t="s">
        <v>67</v>
      </c>
      <c r="C40" s="10">
        <f>#REF!-#REF!</f>
        <v>0.36671521951269881</v>
      </c>
      <c r="D40" s="10">
        <f>#REF!-#REF!</f>
        <v>1.1544452643601866</v>
      </c>
      <c r="E40" s="10">
        <v>0</v>
      </c>
      <c r="F40" s="10">
        <f>#REF!-#REF!</f>
        <v>0</v>
      </c>
      <c r="G40" s="10">
        <v>0</v>
      </c>
      <c r="H40" s="10">
        <v>0</v>
      </c>
      <c r="I40" s="10">
        <v>0</v>
      </c>
      <c r="J40" s="10">
        <f>#REF!-#REF!</f>
        <v>0</v>
      </c>
      <c r="K40" s="10">
        <f>#REF!-#REF!</f>
        <v>2.4533165212040409E-2</v>
      </c>
      <c r="L40" s="10">
        <f>#REF!-#REF!</f>
        <v>2.989894172294072E-2</v>
      </c>
      <c r="M40" s="10">
        <f>#REF!-#REF!</f>
        <v>7.7232126979732224E-2</v>
      </c>
      <c r="N40" s="10">
        <f>#REF!-#REF!</f>
        <v>9.4123968258795293E-2</v>
      </c>
      <c r="O40" s="10">
        <f>#REF!-#REF!</f>
        <v>-5.2698961767692509E-2</v>
      </c>
      <c r="P40" s="10">
        <f>#REF!-#REF!</f>
        <v>-6.4225026535854823E-2</v>
      </c>
      <c r="Q40" s="10">
        <f>#REF!-#REF!</f>
        <v>0</v>
      </c>
      <c r="R40" s="10">
        <f>#REF!-#REF!</f>
        <v>0</v>
      </c>
      <c r="S40" s="10">
        <f>#REF!-#REF!</f>
        <v>-7.3869602866517781E-2</v>
      </c>
      <c r="T40" s="10">
        <f>#REF!-#REF!</f>
        <v>-9.0026008960268022E-2</v>
      </c>
      <c r="U40" s="10">
        <f>#REF!-#REF!</f>
        <v>-3.423690965061843E-2</v>
      </c>
      <c r="V40" s="10">
        <f>#REF!-#REF!</f>
        <v>-4.1725042715445748E-2</v>
      </c>
      <c r="W40" s="10">
        <f>#REF!-#REF!</f>
        <v>-3.9632693215899351E-2</v>
      </c>
      <c r="X40" s="10">
        <f>#REF!-#REF!</f>
        <v>-4.8300966244822385E-2</v>
      </c>
      <c r="Y40" s="10">
        <f>#REF!-#REF!</f>
        <v>0</v>
      </c>
      <c r="Z40" s="10">
        <f>#REF!-#REF!</f>
        <v>0</v>
      </c>
      <c r="AA40" s="12">
        <v>1226.51571721458</v>
      </c>
      <c r="AB40" s="13">
        <v>1494.77336635199</v>
      </c>
      <c r="AC40">
        <f t="shared" si="16"/>
        <v>1</v>
      </c>
      <c r="AD40">
        <f t="shared" si="17"/>
        <v>0</v>
      </c>
      <c r="AE40">
        <f t="shared" si="18"/>
        <v>0</v>
      </c>
      <c r="AF40">
        <f t="shared" si="19"/>
        <v>3.148070227066782</v>
      </c>
      <c r="AG40">
        <f t="shared" si="20"/>
        <v>3.148070227066782</v>
      </c>
      <c r="AH40">
        <f t="shared" si="21"/>
        <v>0</v>
      </c>
      <c r="AI40" t="e">
        <f t="shared" si="22"/>
        <v>#DIV/0!</v>
      </c>
      <c r="AJ40" t="e">
        <f t="shared" si="23"/>
        <v>#DIV/0!</v>
      </c>
      <c r="AK40">
        <f t="shared" si="24"/>
        <v>2.9898941722940976E-4</v>
      </c>
      <c r="AL40">
        <f t="shared" si="25"/>
        <v>2.4533165212039544E-4</v>
      </c>
    </row>
    <row r="41" spans="1:38" x14ac:dyDescent="0.35">
      <c r="A41" s="9" t="s">
        <v>30</v>
      </c>
      <c r="B41" s="22" t="s">
        <v>67</v>
      </c>
      <c r="C41" s="10">
        <f>#REF!-#REF!</f>
        <v>5.3821266931310277</v>
      </c>
      <c r="D41" s="10">
        <f>#REF!-#REF!</f>
        <v>0.47940422310436759</v>
      </c>
      <c r="E41" s="10">
        <f>#REF!-#REF!</f>
        <v>4.9027224700266601</v>
      </c>
      <c r="F41" s="10">
        <v>0</v>
      </c>
      <c r="G41" s="10">
        <v>0</v>
      </c>
      <c r="H41" s="10">
        <v>0</v>
      </c>
      <c r="I41" s="10">
        <v>0</v>
      </c>
      <c r="J41" s="10">
        <f>#REF!-#REF!</f>
        <v>0</v>
      </c>
      <c r="K41" s="10">
        <f>#REF!-#REF!</f>
        <v>0.31722919641608449</v>
      </c>
      <c r="L41" s="10">
        <f>#REF!-#REF!</f>
        <v>0.31228103803024876</v>
      </c>
      <c r="M41" s="10">
        <f>#REF!-#REF!</f>
        <v>2.8256677169634564E-2</v>
      </c>
      <c r="N41" s="10">
        <f>#REF!-#REF!</f>
        <v>2.7815927971034798E-2</v>
      </c>
      <c r="O41" s="10">
        <f>#REF!-#REF!</f>
        <v>0.28897251924645051</v>
      </c>
      <c r="P41" s="10">
        <f>#REF!-#REF!</f>
        <v>0.28446511005921327</v>
      </c>
      <c r="Q41" s="10">
        <v>-7.6999999999999999E-2</v>
      </c>
      <c r="R41" s="10">
        <f>#REF!-#REF!</f>
        <v>-0.14869033217497218</v>
      </c>
      <c r="S41" s="10">
        <f>#REF!-#REF!</f>
        <v>-7.7238132990021136E-2</v>
      </c>
      <c r="T41" s="10">
        <f>#REF!-#REF!</f>
        <v>-7.6033368359971654E-2</v>
      </c>
      <c r="U41" s="10">
        <f>#REF!-#REF!</f>
        <v>-5.938018323630806E-3</v>
      </c>
      <c r="V41" s="10">
        <f>#REF!-#REF!</f>
        <v>-5.8453967884907199E-3</v>
      </c>
      <c r="W41" s="10">
        <f>#REF!-#REF!</f>
        <v>-7.130011466639008E-2</v>
      </c>
      <c r="X41" s="10">
        <f>#REF!-#REF!</f>
        <v>-7.0187971571480823E-2</v>
      </c>
      <c r="Y41" s="10">
        <f>#REF!-#REF!</f>
        <v>0</v>
      </c>
      <c r="Z41" s="10">
        <f>#REF!-#REF!</f>
        <v>0</v>
      </c>
      <c r="AA41" s="12">
        <v>1723.48815255626</v>
      </c>
      <c r="AB41" s="13">
        <v>1696.60508992738</v>
      </c>
      <c r="AC41">
        <f t="shared" si="16"/>
        <v>1</v>
      </c>
      <c r="AD41">
        <f t="shared" si="17"/>
        <v>0.91092661870702329</v>
      </c>
      <c r="AE41">
        <f t="shared" si="18"/>
        <v>0.91092661870702329</v>
      </c>
      <c r="AF41">
        <f t="shared" si="19"/>
        <v>8.907338129297665E-2</v>
      </c>
      <c r="AG41">
        <f t="shared" si="20"/>
        <v>8.907338129297665E-2</v>
      </c>
      <c r="AH41">
        <f t="shared" si="21"/>
        <v>0</v>
      </c>
      <c r="AI41" t="e">
        <f t="shared" si="22"/>
        <v>#DIV/0!</v>
      </c>
      <c r="AJ41" t="e">
        <f t="shared" si="23"/>
        <v>#DIV/0!</v>
      </c>
      <c r="AK41">
        <f t="shared" si="24"/>
        <v>3.1228103803024767E-3</v>
      </c>
      <c r="AL41">
        <f t="shared" si="25"/>
        <v>3.1722919641608521E-3</v>
      </c>
    </row>
    <row r="42" spans="1:38" x14ac:dyDescent="0.35">
      <c r="A42" s="9" t="s">
        <v>31</v>
      </c>
      <c r="B42" s="22" t="s">
        <v>67</v>
      </c>
      <c r="C42" s="10">
        <f>#REF!-#REF!</f>
        <v>46.119277635451212</v>
      </c>
      <c r="D42" s="10">
        <f>#REF!-#REF!</f>
        <v>3.2426565634137816</v>
      </c>
      <c r="E42" s="10">
        <f>#REF!-#REF!</f>
        <v>42.87662107203743</v>
      </c>
      <c r="F42" s="10">
        <f>#REF!-#REF!</f>
        <v>12.152179908683117</v>
      </c>
      <c r="G42" s="10">
        <f>#REF!-#REF!</f>
        <v>32.305560508499525</v>
      </c>
      <c r="H42" s="10">
        <f>#REF!-#REF!</f>
        <v>22.949473478961178</v>
      </c>
      <c r="I42" s="10">
        <f>#REF!-#REF!</f>
        <v>9.3560870295383438</v>
      </c>
      <c r="J42" s="10">
        <f>#REF!-#REF!</f>
        <v>0</v>
      </c>
      <c r="K42" s="10">
        <f>#REF!-#REF!</f>
        <v>1.7624219498783402</v>
      </c>
      <c r="L42" s="10">
        <f>#REF!-#REF!</f>
        <v>1.5864412065797067</v>
      </c>
      <c r="M42" s="10">
        <f>#REF!-#REF!</f>
        <v>0.12391627528191226</v>
      </c>
      <c r="N42" s="10">
        <f>#REF!-#REF!</f>
        <v>0.1115430304795457</v>
      </c>
      <c r="O42" s="10">
        <f>#REF!-#REF!</f>
        <v>1.6385056745964279</v>
      </c>
      <c r="P42" s="10">
        <f>#REF!-#REF!</f>
        <v>1.4748981761001607</v>
      </c>
      <c r="Q42" s="10">
        <f>#REF!-#REF!</f>
        <v>0.46438863980537626</v>
      </c>
      <c r="R42" s="10">
        <f>#REF!-#REF!</f>
        <v>0.41801866692911194</v>
      </c>
      <c r="S42" s="10">
        <f>#REF!-#REF!</f>
        <v>1.2345386108028826</v>
      </c>
      <c r="T42" s="10">
        <f>#REF!-#REF!</f>
        <v>1.1112678909988372</v>
      </c>
      <c r="U42" s="10">
        <f>#REF!-#REF!</f>
        <v>0.87700106920974974</v>
      </c>
      <c r="V42" s="10">
        <f>#REF!-#REF!</f>
        <v>0.78943106360247617</v>
      </c>
      <c r="W42" s="10">
        <f>#REF!-#REF!</f>
        <v>0.35753754159313367</v>
      </c>
      <c r="X42" s="10">
        <f>#REF!-#REF!</f>
        <v>0.32183682739636055</v>
      </c>
      <c r="Y42" s="10">
        <f>#REF!-#REF!</f>
        <v>0</v>
      </c>
      <c r="Z42" s="10">
        <f>#REF!-#REF!</f>
        <v>0</v>
      </c>
      <c r="AA42" s="12">
        <v>2907.0902498102801</v>
      </c>
      <c r="AB42" s="13">
        <v>2616.8124857180101</v>
      </c>
      <c r="AC42">
        <f t="shared" si="16"/>
        <v>0.58806978410077348</v>
      </c>
      <c r="AD42">
        <f t="shared" si="17"/>
        <v>0.54672246812083092</v>
      </c>
      <c r="AE42">
        <f t="shared" si="18"/>
        <v>0.92968977985636969</v>
      </c>
      <c r="AF42">
        <f t="shared" si="19"/>
        <v>4.1347315979942539E-2</v>
      </c>
      <c r="AG42">
        <f t="shared" si="20"/>
        <v>7.0310220143630336E-2</v>
      </c>
      <c r="AH42">
        <f t="shared" si="21"/>
        <v>0.41193021589922657</v>
      </c>
      <c r="AI42">
        <f t="shared" si="22"/>
        <v>0.71038772018591723</v>
      </c>
      <c r="AJ42">
        <f t="shared" si="23"/>
        <v>0.28961227981408266</v>
      </c>
      <c r="AK42">
        <f t="shared" si="24"/>
        <v>2.6977090975785437E-2</v>
      </c>
      <c r="AL42">
        <f t="shared" si="25"/>
        <v>2.9969605606812236E-2</v>
      </c>
    </row>
    <row r="43" spans="1:38" x14ac:dyDescent="0.35">
      <c r="A43" s="9" t="s">
        <v>32</v>
      </c>
      <c r="B43" s="22" t="s">
        <v>67</v>
      </c>
      <c r="C43" s="10">
        <f>#REF!-#REF!</f>
        <v>189.22094940972295</v>
      </c>
      <c r="D43" s="10">
        <f>#REF!-#REF!</f>
        <v>13.935137619814569</v>
      </c>
      <c r="E43" s="10">
        <f>#REF!-#REF!</f>
        <v>175.28581178990839</v>
      </c>
      <c r="F43" s="10">
        <f>#REF!-#REF!</f>
        <v>0</v>
      </c>
      <c r="G43" s="10">
        <f>#REF!-#REF!</f>
        <v>42.688711835254708</v>
      </c>
      <c r="H43" s="10">
        <v>0</v>
      </c>
      <c r="I43" s="10">
        <f>#REF!-#REF!</f>
        <v>47.122297749910672</v>
      </c>
      <c r="J43" s="10">
        <f>#REF!-#REF!</f>
        <v>0</v>
      </c>
      <c r="K43" s="10">
        <f>#REF!-#REF!</f>
        <v>5.2600571942181622</v>
      </c>
      <c r="L43" s="10">
        <f>#REF!-#REF!</f>
        <v>4.5466299278372659</v>
      </c>
      <c r="M43" s="10">
        <f>#REF!-#REF!</f>
        <v>0.3873758223821665</v>
      </c>
      <c r="N43" s="10">
        <f>#REF!-#REF!</f>
        <v>0.33483561914484439</v>
      </c>
      <c r="O43" s="10">
        <f>#REF!-#REF!</f>
        <v>4.8726813718359949</v>
      </c>
      <c r="P43" s="10">
        <f>#REF!-#REF!</f>
        <v>4.2117943086924212</v>
      </c>
      <c r="Q43" s="10">
        <f>#REF!-#REF!</f>
        <v>0</v>
      </c>
      <c r="R43" s="10">
        <f>#REF!-#REF!</f>
        <v>0</v>
      </c>
      <c r="S43" s="10">
        <f>#REF!-#REF!</f>
        <v>1.1866818473398872</v>
      </c>
      <c r="T43" s="10">
        <f>#REF!-#REF!</f>
        <v>1.0257309003916149</v>
      </c>
      <c r="U43" s="10">
        <f>#REF!-#REF!</f>
        <v>-0.12324700599653493</v>
      </c>
      <c r="V43" s="10">
        <f>#REF!-#REF!</f>
        <v>-0.10653088080413475</v>
      </c>
      <c r="W43" s="10">
        <f>#REF!-#REF!</f>
        <v>1.3099288533364195</v>
      </c>
      <c r="X43" s="10">
        <f>#REF!-#REF!</f>
        <v>1.1322617811957478</v>
      </c>
      <c r="Y43" s="10">
        <f>#REF!-#REF!</f>
        <v>0</v>
      </c>
      <c r="Z43" s="10">
        <f>#REF!-#REF!</f>
        <v>0</v>
      </c>
      <c r="AA43" s="12">
        <v>4161.7847155581303</v>
      </c>
      <c r="AB43" s="13">
        <v>3597.3173374942398</v>
      </c>
      <c r="AC43">
        <f t="shared" si="16"/>
        <v>0.81592525466129451</v>
      </c>
      <c r="AD43">
        <f t="shared" si="17"/>
        <v>0.75583660831079091</v>
      </c>
      <c r="AE43">
        <f t="shared" si="18"/>
        <v>0.92635520716239195</v>
      </c>
      <c r="AF43">
        <f t="shared" si="19"/>
        <v>6.008864635050367E-2</v>
      </c>
      <c r="AG43">
        <f t="shared" si="20"/>
        <v>7.3644792837608095E-2</v>
      </c>
      <c r="AH43">
        <f t="shared" si="21"/>
        <v>0.18407474533870544</v>
      </c>
      <c r="AI43">
        <f t="shared" si="22"/>
        <v>0</v>
      </c>
      <c r="AJ43">
        <f t="shared" si="23"/>
        <v>1.1038585078829777</v>
      </c>
      <c r="AK43">
        <f t="shared" si="24"/>
        <v>5.5723608282288728E-2</v>
      </c>
      <c r="AL43">
        <f t="shared" si="25"/>
        <v>6.4467390415580486E-2</v>
      </c>
    </row>
    <row r="44" spans="1:38" x14ac:dyDescent="0.35">
      <c r="A44" s="9" t="s">
        <v>33</v>
      </c>
      <c r="B44" s="22" t="s">
        <v>67</v>
      </c>
      <c r="C44" s="10">
        <f>#REF!-#REF!</f>
        <v>38.105763873469748</v>
      </c>
      <c r="D44" s="10">
        <f>#REF!-#REF!</f>
        <v>3.4734084577736981</v>
      </c>
      <c r="E44" s="10">
        <f>#REF!-#REF!</f>
        <v>34.632355415696054</v>
      </c>
      <c r="F44" s="10">
        <f>#REF!-#REF!</f>
        <v>7.6498244929870598</v>
      </c>
      <c r="G44" s="10">
        <v>0</v>
      </c>
      <c r="H44" s="10">
        <f>#REF!-#REF!</f>
        <v>3.6063458324081847</v>
      </c>
      <c r="I44" s="10">
        <v>0</v>
      </c>
      <c r="J44" s="10">
        <f>#REF!-#REF!</f>
        <v>0</v>
      </c>
      <c r="K44" s="10">
        <f>#REF!-#REF!</f>
        <v>1.9865814742322865</v>
      </c>
      <c r="L44" s="10">
        <f>#REF!-#REF!</f>
        <v>1.6300816575185895</v>
      </c>
      <c r="M44" s="10">
        <f>#REF!-#REF!</f>
        <v>0.18108045065221945</v>
      </c>
      <c r="N44" s="10">
        <f>#REF!-#REF!</f>
        <v>0.14858485542731317</v>
      </c>
      <c r="O44" s="10">
        <f>#REF!-#REF!</f>
        <v>1.805501023580067</v>
      </c>
      <c r="P44" s="10">
        <f>#REF!-#REF!</f>
        <v>1.4814968020912762</v>
      </c>
      <c r="Q44" s="10">
        <f>#REF!-#REF!</f>
        <v>0.39881104783407961</v>
      </c>
      <c r="R44" s="10">
        <f>#REF!-#REF!</f>
        <v>0.32724284522049651</v>
      </c>
      <c r="S44" s="10">
        <f>#REF!-#REF!</f>
        <v>-0.4271107216212009</v>
      </c>
      <c r="T44" s="10">
        <f>#REF!-#REF!</f>
        <v>-0.35046403184309582</v>
      </c>
      <c r="U44" s="10">
        <f>#REF!-#REF!</f>
        <v>0.18801092255035179</v>
      </c>
      <c r="V44" s="10">
        <f>#REF!-#REF!</f>
        <v>0.15427162703251979</v>
      </c>
      <c r="W44" s="10">
        <f>#REF!-#REF!</f>
        <v>-0.61512164417155191</v>
      </c>
      <c r="X44" s="10">
        <f>#REF!-#REF!</f>
        <v>-0.50473565887561733</v>
      </c>
      <c r="Y44" s="10">
        <f>#REF!-#REF!</f>
        <v>0</v>
      </c>
      <c r="Z44" s="10">
        <f>#REF!-#REF!</f>
        <v>0</v>
      </c>
      <c r="AA44" s="12">
        <v>2337.6598158571201</v>
      </c>
      <c r="AB44" s="13">
        <v>1918.15761738117</v>
      </c>
      <c r="AC44">
        <f t="shared" si="16"/>
        <v>1</v>
      </c>
      <c r="AD44">
        <f t="shared" si="17"/>
        <v>0.9088482133750907</v>
      </c>
      <c r="AE44">
        <f t="shared" si="18"/>
        <v>0.9088482133750907</v>
      </c>
      <c r="AF44">
        <f t="shared" si="19"/>
        <v>9.115178662490947E-2</v>
      </c>
      <c r="AG44">
        <f t="shared" si="20"/>
        <v>9.115178662490947E-2</v>
      </c>
      <c r="AH44">
        <f t="shared" si="21"/>
        <v>0</v>
      </c>
      <c r="AI44" t="e">
        <f t="shared" si="22"/>
        <v>#DIV/0!</v>
      </c>
      <c r="AJ44" t="e">
        <f t="shared" si="23"/>
        <v>#DIV/0!</v>
      </c>
      <c r="AK44">
        <f t="shared" si="24"/>
        <v>1.6300816575185895E-2</v>
      </c>
      <c r="AL44">
        <f t="shared" si="25"/>
        <v>1.9865814742322865E-2</v>
      </c>
    </row>
    <row r="45" spans="1:38" x14ac:dyDescent="0.35">
      <c r="A45" s="9" t="s">
        <v>34</v>
      </c>
      <c r="B45" s="22" t="s">
        <v>67</v>
      </c>
      <c r="C45" s="10">
        <f>#REF!-#REF!</f>
        <v>54.106824187597113</v>
      </c>
      <c r="D45" s="10">
        <f>#REF!-#REF!</f>
        <v>26.236916652536532</v>
      </c>
      <c r="E45" s="10">
        <f>#REF!-#REF!</f>
        <v>27.869907535060634</v>
      </c>
      <c r="F45" s="10">
        <f>#REF!-#REF!</f>
        <v>243.68669096730486</v>
      </c>
      <c r="G45" s="10">
        <f>#REF!-#REF!</f>
        <v>128.1492710841033</v>
      </c>
      <c r="H45" s="10">
        <f>#REF!-#REF!</f>
        <v>0</v>
      </c>
      <c r="I45" s="10">
        <f>#REF!-#REF!</f>
        <v>128.1492710841033</v>
      </c>
      <c r="J45" s="10">
        <f>#REF!-#REF!</f>
        <v>1021.6095890552396</v>
      </c>
      <c r="K45" s="10">
        <f>#REF!-#REF!</f>
        <v>1.1854268634847269</v>
      </c>
      <c r="L45" s="10">
        <f>#REF!-#REF!</f>
        <v>1.0161187929447149</v>
      </c>
      <c r="M45" s="10">
        <f>#REF!-#REF!</f>
        <v>0.57482482629346554</v>
      </c>
      <c r="N45" s="10">
        <f>#REF!-#REF!</f>
        <v>0.49272572323100217</v>
      </c>
      <c r="O45" s="10">
        <f>#REF!-#REF!</f>
        <v>0.61060203719126172</v>
      </c>
      <c r="P45" s="10">
        <f>#REF!-#REF!</f>
        <v>0.52339306971371258</v>
      </c>
      <c r="Q45" s="10">
        <f>#REF!-#REF!</f>
        <v>5.3389337497387706</v>
      </c>
      <c r="R45" s="10">
        <f>#REF!-#REF!</f>
        <v>4.5764028844840201</v>
      </c>
      <c r="S45" s="10">
        <f>#REF!-#REF!</f>
        <v>2.8076234515701857</v>
      </c>
      <c r="T45" s="10">
        <f>#REF!-#REF!</f>
        <v>2.4066258666235489</v>
      </c>
      <c r="U45" s="10">
        <f>#REF!-#REF!</f>
        <v>0</v>
      </c>
      <c r="V45" s="10">
        <f>#REF!-#REF!</f>
        <v>0</v>
      </c>
      <c r="W45" s="10">
        <f>#REF!-#REF!</f>
        <v>2.8076234515701857</v>
      </c>
      <c r="X45" s="10">
        <f>#REF!-#REF!</f>
        <v>2.4066258666235489</v>
      </c>
      <c r="Y45" s="10">
        <f>#REF!-#REF!</f>
        <v>22.382453027750998</v>
      </c>
      <c r="Z45" s="10">
        <f>#REF!-#REF!</f>
        <v>19.185689015721469</v>
      </c>
      <c r="AA45" s="12">
        <v>5324.8522282316499</v>
      </c>
      <c r="AB45" s="13">
        <v>4564.3325500944502</v>
      </c>
      <c r="AC45">
        <f t="shared" si="16"/>
        <v>0.29687250847186608</v>
      </c>
      <c r="AD45">
        <f t="shared" si="17"/>
        <v>0.15291618913218372</v>
      </c>
      <c r="AE45">
        <f t="shared" si="18"/>
        <v>0.51509043366565288</v>
      </c>
      <c r="AF45">
        <f t="shared" si="19"/>
        <v>0.14395631933968267</v>
      </c>
      <c r="AG45">
        <f t="shared" si="20"/>
        <v>0.48490956633434812</v>
      </c>
      <c r="AH45">
        <f t="shared" si="21"/>
        <v>0.70312749152813392</v>
      </c>
      <c r="AI45">
        <f t="shared" si="22"/>
        <v>0</v>
      </c>
      <c r="AJ45">
        <f t="shared" si="23"/>
        <v>1</v>
      </c>
      <c r="AK45">
        <f t="shared" si="24"/>
        <v>3.4227446595682623E-2</v>
      </c>
      <c r="AL45">
        <f t="shared" si="25"/>
        <v>3.9930503150549135E-2</v>
      </c>
    </row>
    <row r="46" spans="1:38" x14ac:dyDescent="0.35">
      <c r="A46" s="9" t="s">
        <v>35</v>
      </c>
      <c r="B46" s="22" t="s">
        <v>67</v>
      </c>
      <c r="C46" s="10">
        <f>#REF!-#REF!</f>
        <v>23.759348551253893</v>
      </c>
      <c r="D46" s="10">
        <f>#REF!-#REF!</f>
        <v>1.2812909352111514</v>
      </c>
      <c r="E46" s="10">
        <f>#REF!-#REF!</f>
        <v>22.47805761604274</v>
      </c>
      <c r="F46" s="10">
        <f>#REF!-#REF!</f>
        <v>13.126652361297392</v>
      </c>
      <c r="G46" s="10">
        <v>0</v>
      </c>
      <c r="H46" s="10">
        <v>0</v>
      </c>
      <c r="I46" s="10">
        <v>0</v>
      </c>
      <c r="J46" s="10">
        <f>#REF!-#REF!</f>
        <v>120.83690597305201</v>
      </c>
      <c r="K46" s="10">
        <f>#REF!-#REF!</f>
        <v>1.4503795525417811</v>
      </c>
      <c r="L46" s="10">
        <f>#REF!-#REF!</f>
        <v>1.1017348749826728</v>
      </c>
      <c r="M46" s="10">
        <f>#REF!-#REF!</f>
        <v>7.8215872345090698E-2</v>
      </c>
      <c r="N46" s="10">
        <f>#REF!-#REF!</f>
        <v>5.941420932800745E-2</v>
      </c>
      <c r="O46" s="10">
        <f>#REF!-#REF!</f>
        <v>1.3721636801966901</v>
      </c>
      <c r="P46" s="10">
        <f>#REF!-#REF!</f>
        <v>1.0423206656546653</v>
      </c>
      <c r="Q46" s="10">
        <f>#REF!-#REF!</f>
        <v>0.8013110349839645</v>
      </c>
      <c r="R46" s="10">
        <f>#REF!-#REF!</f>
        <v>0.60869053993703692</v>
      </c>
      <c r="S46" s="10">
        <f>#REF!-#REF!</f>
        <v>-11.413452543419117</v>
      </c>
      <c r="T46" s="10">
        <f>#REF!-#REF!</f>
        <v>-8.6698676143135298</v>
      </c>
      <c r="U46" s="10">
        <f>#REF!-#REF!</f>
        <v>-6.1655030015117545</v>
      </c>
      <c r="V46" s="10">
        <f>#REF!-#REF!</f>
        <v>-4.6834290146131741</v>
      </c>
      <c r="W46" s="10">
        <f>#REF!-#REF!</f>
        <v>-5.2479495419073627</v>
      </c>
      <c r="X46" s="10">
        <f>#REF!-#REF!</f>
        <v>-3.9864385997003549</v>
      </c>
      <c r="Y46" s="10">
        <f>#REF!-#REF!</f>
        <v>7.3764386779232263</v>
      </c>
      <c r="Z46" s="10">
        <f>#REF!-#REF!</f>
        <v>5.6032779353492641</v>
      </c>
      <c r="AA46" s="12">
        <v>2156.5395714307001</v>
      </c>
      <c r="AB46" s="13">
        <v>1638.14696019506</v>
      </c>
      <c r="AC46">
        <f t="shared" si="16"/>
        <v>1</v>
      </c>
      <c r="AD46">
        <f t="shared" si="17"/>
        <v>0.9460721352503777</v>
      </c>
      <c r="AE46">
        <f t="shared" si="18"/>
        <v>0.9460721352503777</v>
      </c>
      <c r="AF46">
        <f t="shared" si="19"/>
        <v>5.3927864749622169E-2</v>
      </c>
      <c r="AG46">
        <f t="shared" si="20"/>
        <v>5.3927864749622169E-2</v>
      </c>
      <c r="AH46">
        <f t="shared" si="21"/>
        <v>0</v>
      </c>
      <c r="AI46" t="e">
        <f t="shared" si="22"/>
        <v>#DIV/0!</v>
      </c>
      <c r="AJ46" t="e">
        <f t="shared" si="23"/>
        <v>#DIV/0!</v>
      </c>
      <c r="AK46">
        <f t="shared" si="24"/>
        <v>1.1017348749826728E-2</v>
      </c>
      <c r="AL46">
        <f t="shared" si="25"/>
        <v>1.4503795525417806E-2</v>
      </c>
    </row>
    <row r="47" spans="1:38" x14ac:dyDescent="0.35">
      <c r="A47" s="9" t="s">
        <v>36</v>
      </c>
      <c r="B47" s="22" t="s">
        <v>67</v>
      </c>
      <c r="C47" s="10">
        <f>#REF!-#REF!</f>
        <v>24.886187363532709</v>
      </c>
      <c r="D47" s="10">
        <f>#REF!-#REF!</f>
        <v>0.52057790283490757</v>
      </c>
      <c r="E47" s="10">
        <f>#REF!-#REF!</f>
        <v>24.365609460697797</v>
      </c>
      <c r="F47" s="10">
        <f>#REF!-#REF!</f>
        <v>0</v>
      </c>
      <c r="G47" s="10">
        <v>0</v>
      </c>
      <c r="H47" s="10">
        <v>0</v>
      </c>
      <c r="I47" s="10">
        <v>0</v>
      </c>
      <c r="J47" s="10">
        <v>0</v>
      </c>
      <c r="K47" s="10">
        <f>#REF!-#REF!</f>
        <v>1.8797371249607489</v>
      </c>
      <c r="L47" s="10">
        <f>#REF!-#REF!</f>
        <v>1.3852381694584872</v>
      </c>
      <c r="M47" s="10">
        <f>#REF!-#REF!</f>
        <v>3.9320993453055675E-2</v>
      </c>
      <c r="N47" s="10">
        <f>#REF!-#REF!</f>
        <v>2.8976892709578927E-2</v>
      </c>
      <c r="O47" s="10">
        <f>#REF!-#REF!</f>
        <v>1.8404161315076932</v>
      </c>
      <c r="P47" s="10">
        <f>#REF!-#REF!</f>
        <v>1.3562612767489082</v>
      </c>
      <c r="Q47" s="10">
        <f>#REF!-#REF!</f>
        <v>0</v>
      </c>
      <c r="R47" s="10">
        <f>#REF!-#REF!</f>
        <v>0</v>
      </c>
      <c r="S47" s="10">
        <f>#REF!-#REF!</f>
        <v>-4.5955702777970959</v>
      </c>
      <c r="T47" s="10">
        <f>#REF!-#REF!</f>
        <v>-3.3866221370535561</v>
      </c>
      <c r="U47" s="10">
        <f>#REF!-#REF!</f>
        <v>-0.82063124762704553</v>
      </c>
      <c r="V47" s="10">
        <f>#REF!-#REF!</f>
        <v>-0.60474930891576673</v>
      </c>
      <c r="W47" s="10">
        <f>#REF!-#REF!</f>
        <v>-3.7749390301700494</v>
      </c>
      <c r="X47" s="10">
        <f>#REF!-#REF!</f>
        <v>-2.7818728281377894</v>
      </c>
      <c r="Y47" s="10">
        <f>#REF!-#REF!</f>
        <v>-3.8014371691152515E-2</v>
      </c>
      <c r="Z47" s="10">
        <f>#REF!-#REF!</f>
        <v>-2.8014001508676944E-2</v>
      </c>
      <c r="AA47" s="12">
        <v>1796.5276955414199</v>
      </c>
      <c r="AB47" s="13">
        <v>1323.9184901480501</v>
      </c>
      <c r="AC47">
        <f t="shared" si="16"/>
        <v>1</v>
      </c>
      <c r="AD47">
        <f t="shared" si="17"/>
        <v>0.97908165299768868</v>
      </c>
      <c r="AE47">
        <f t="shared" si="18"/>
        <v>0.97908165299768868</v>
      </c>
      <c r="AF47">
        <f t="shared" si="19"/>
        <v>2.0918347002311131E-2</v>
      </c>
      <c r="AG47">
        <f t="shared" si="20"/>
        <v>2.0918347002311131E-2</v>
      </c>
      <c r="AH47">
        <f t="shared" si="21"/>
        <v>0</v>
      </c>
      <c r="AI47" t="e">
        <f t="shared" si="22"/>
        <v>#DIV/0!</v>
      </c>
      <c r="AJ47" t="e">
        <f t="shared" si="23"/>
        <v>#DIV/0!</v>
      </c>
      <c r="AK47">
        <f t="shared" si="24"/>
        <v>1.3852381694584873E-2</v>
      </c>
      <c r="AL47">
        <f t="shared" si="25"/>
        <v>1.8797371249607488E-2</v>
      </c>
    </row>
    <row r="48" spans="1:38" x14ac:dyDescent="0.35">
      <c r="A48" s="9" t="s">
        <v>37</v>
      </c>
      <c r="B48" s="22" t="s">
        <v>67</v>
      </c>
      <c r="C48" s="10">
        <f>#REF!-#REF!</f>
        <v>71.618784378598804</v>
      </c>
      <c r="D48" s="10">
        <f>#REF!-#REF!</f>
        <v>1.8120430642510197</v>
      </c>
      <c r="E48" s="10">
        <f>#REF!-#REF!</f>
        <v>69.806741314347775</v>
      </c>
      <c r="F48" s="10">
        <f>#REF!-#REF!</f>
        <v>0</v>
      </c>
      <c r="G48" s="10">
        <f>#REF!-#REF!</f>
        <v>0.49401987796943558</v>
      </c>
      <c r="H48" s="10">
        <v>0</v>
      </c>
      <c r="I48" s="10">
        <f>#REF!-#REF!</f>
        <v>422.2521019311132</v>
      </c>
      <c r="J48" s="10">
        <f>#REF!-#REF!</f>
        <v>0</v>
      </c>
      <c r="K48" s="10">
        <f>#REF!-#REF!</f>
        <v>2.2682920394272248</v>
      </c>
      <c r="L48" s="10">
        <f>#REF!-#REF!</f>
        <v>2.4343666996657944</v>
      </c>
      <c r="M48" s="10">
        <f>#REF!-#REF!</f>
        <v>5.7390569993647195E-2</v>
      </c>
      <c r="N48" s="10">
        <f>#REF!-#REF!</f>
        <v>6.1592462539635018E-2</v>
      </c>
      <c r="O48" s="10">
        <f>#REF!-#REF!</f>
        <v>2.2109014694335776</v>
      </c>
      <c r="P48" s="10">
        <f>#REF!-#REF!</f>
        <v>2.3727742371261593</v>
      </c>
      <c r="Q48" s="10">
        <f>#REF!-#REF!</f>
        <v>0</v>
      </c>
      <c r="R48" s="10">
        <f>#REF!-#REF!</f>
        <v>0</v>
      </c>
      <c r="S48" s="10">
        <f>#REF!-#REF!</f>
        <v>1.5646472726947636E-2</v>
      </c>
      <c r="T48" s="10">
        <f>#REF!-#REF!</f>
        <v>1.6792040668327957E-2</v>
      </c>
      <c r="U48" s="10">
        <f>#REF!-#REF!</f>
        <v>-13.357815388599549</v>
      </c>
      <c r="V48" s="10">
        <f>#REF!-#REF!</f>
        <v>-14.335817609491436</v>
      </c>
      <c r="W48" s="10">
        <f>#REF!-#REF!</f>
        <v>13.373461861326497</v>
      </c>
      <c r="X48" s="10">
        <f>#REF!-#REF!</f>
        <v>14.352609650159764</v>
      </c>
      <c r="Y48" s="10">
        <f>#REF!-#REF!</f>
        <v>0</v>
      </c>
      <c r="Z48" s="10">
        <f>#REF!-#REF!</f>
        <v>0</v>
      </c>
      <c r="AA48" s="12">
        <v>2941.9883367789698</v>
      </c>
      <c r="AB48" s="13">
        <v>3157.38816403392</v>
      </c>
      <c r="AC48">
        <f t="shared" si="16"/>
        <v>0.99314934590240345</v>
      </c>
      <c r="AD48">
        <f t="shared" si="17"/>
        <v>0.9680214496441466</v>
      </c>
      <c r="AE48">
        <f t="shared" si="18"/>
        <v>0.97469877379275227</v>
      </c>
      <c r="AF48">
        <f t="shared" si="19"/>
        <v>2.5127896258256711E-2</v>
      </c>
      <c r="AG48">
        <f t="shared" si="20"/>
        <v>2.5301226207247608E-2</v>
      </c>
      <c r="AH48">
        <f t="shared" si="21"/>
        <v>6.8506540975965284E-3</v>
      </c>
      <c r="AI48">
        <f t="shared" si="22"/>
        <v>0</v>
      </c>
      <c r="AJ48">
        <f t="shared" si="23"/>
        <v>854.72694675099171</v>
      </c>
      <c r="AK48">
        <f t="shared" si="24"/>
        <v>2.451158740334124E-2</v>
      </c>
      <c r="AL48">
        <f t="shared" si="25"/>
        <v>2.2839385121541718E-2</v>
      </c>
    </row>
    <row r="49" spans="1:38" x14ac:dyDescent="0.35">
      <c r="A49" s="9" t="s">
        <v>38</v>
      </c>
      <c r="B49" s="22" t="s">
        <v>67</v>
      </c>
      <c r="C49" s="10">
        <f>#REF!-#REF!</f>
        <v>1048</v>
      </c>
      <c r="D49" s="10">
        <f>#REF!-#REF!</f>
        <v>294.55</v>
      </c>
      <c r="E49" s="10">
        <f>#REF!-#REF!</f>
        <v>753.45</v>
      </c>
      <c r="F49" s="10">
        <f>#REF!-#REF!</f>
        <v>0</v>
      </c>
      <c r="G49" s="10">
        <f>#REF!-#REF!</f>
        <v>0</v>
      </c>
      <c r="H49" s="10">
        <f>#REF!-#REF!</f>
        <v>0</v>
      </c>
      <c r="I49" s="10">
        <f>#REF!-#REF!</f>
        <v>0</v>
      </c>
      <c r="J49" s="10">
        <f>#REF!-#REF!</f>
        <v>0</v>
      </c>
      <c r="K49" s="10">
        <f>#REF!-#REF!</f>
        <v>5.2586748171464457</v>
      </c>
      <c r="L49" s="10">
        <f>#REF!-#REF!</f>
        <v>5.2467646833064396</v>
      </c>
      <c r="M49" s="10">
        <f>#REF!-#REF!</f>
        <v>1.4779987284260356</v>
      </c>
      <c r="N49" s="10">
        <f>#REF!-#REF!</f>
        <v>1.4746512762098394</v>
      </c>
      <c r="O49" s="10">
        <f>#REF!-#REF!</f>
        <v>3.7806760887204103</v>
      </c>
      <c r="P49" s="10">
        <f>#REF!-#REF!</f>
        <v>3.7721134070966</v>
      </c>
      <c r="Q49" s="10">
        <f>#REF!-#REF!</f>
        <v>0</v>
      </c>
      <c r="R49" s="10">
        <f>#REF!-#REF!</f>
        <v>0</v>
      </c>
      <c r="S49" s="10">
        <f>#REF!-#REF!</f>
        <v>0</v>
      </c>
      <c r="T49" s="10">
        <f>#REF!-#REF!</f>
        <v>0</v>
      </c>
      <c r="U49" s="10">
        <f>#REF!-#REF!</f>
        <v>0</v>
      </c>
      <c r="V49" s="10">
        <f>#REF!-#REF!</f>
        <v>0</v>
      </c>
      <c r="W49" s="10">
        <f>#REF!-#REF!</f>
        <v>0</v>
      </c>
      <c r="X49" s="10">
        <f>#REF!-#REF!</f>
        <v>0</v>
      </c>
      <c r="Y49" s="10">
        <f>#REF!-#REF!</f>
        <v>0</v>
      </c>
      <c r="Z49" s="10">
        <f>#REF!-#REF!</f>
        <v>0</v>
      </c>
      <c r="AA49" s="12">
        <v>19974.2138871676</v>
      </c>
      <c r="AB49" s="13">
        <v>19928.975197</v>
      </c>
      <c r="AC49">
        <f t="shared" si="16"/>
        <v>1</v>
      </c>
      <c r="AD49">
        <f t="shared" si="17"/>
        <v>0.7189408396946565</v>
      </c>
      <c r="AE49">
        <f t="shared" si="18"/>
        <v>0.7189408396946565</v>
      </c>
      <c r="AF49">
        <f t="shared" si="19"/>
        <v>0.2810591603053435</v>
      </c>
      <c r="AG49">
        <f t="shared" si="20"/>
        <v>0.2810591603053435</v>
      </c>
      <c r="AH49">
        <f t="shared" si="21"/>
        <v>0</v>
      </c>
      <c r="AI49" t="e">
        <f t="shared" si="22"/>
        <v>#DIV/0!</v>
      </c>
      <c r="AJ49" t="e">
        <f t="shared" si="23"/>
        <v>#DIV/0!</v>
      </c>
      <c r="AK49">
        <f t="shared" si="24"/>
        <v>5.2467646833064395E-2</v>
      </c>
      <c r="AL49">
        <f t="shared" si="25"/>
        <v>5.2586748171464442E-2</v>
      </c>
    </row>
    <row r="50" spans="1:38" x14ac:dyDescent="0.35">
      <c r="A50" s="9" t="s">
        <v>39</v>
      </c>
      <c r="B50" s="22" t="s">
        <v>67</v>
      </c>
      <c r="C50" s="10">
        <f>#REF!-#REF!</f>
        <v>4.9963816139161317</v>
      </c>
      <c r="D50" s="10">
        <f>#REF!-#REF!</f>
        <v>4.2542129426514919E-4</v>
      </c>
      <c r="E50" s="10">
        <f>#REF!-#REF!</f>
        <v>4.9959561926218665</v>
      </c>
      <c r="F50" s="10">
        <f>#REF!-#REF!</f>
        <v>2.1604134887013475</v>
      </c>
      <c r="G50" s="10">
        <v>0</v>
      </c>
      <c r="H50" s="10">
        <v>0</v>
      </c>
      <c r="I50" s="10">
        <f>#REF!-#REF!</f>
        <v>0</v>
      </c>
      <c r="J50" s="10">
        <f>#REF!-#REF!</f>
        <v>3.026441309603181</v>
      </c>
      <c r="K50" s="10">
        <f>#REF!-#REF!</f>
        <v>0.39060129242887259</v>
      </c>
      <c r="L50" s="10">
        <f>#REF!-#REF!</f>
        <v>0.20978501364374227</v>
      </c>
      <c r="M50" s="10">
        <f>#REF!-#REF!</f>
        <v>3.3258089595061824E-5</v>
      </c>
      <c r="N50" s="10">
        <f>#REF!-#REF!</f>
        <v>1.786232896484885E-5</v>
      </c>
      <c r="O50" s="10">
        <f>#REF!-#REF!</f>
        <v>0.39056803433927756</v>
      </c>
      <c r="P50" s="10">
        <f>#REF!-#REF!</f>
        <v>0.20976715131477744</v>
      </c>
      <c r="Q50" s="10">
        <f>#REF!-#REF!</f>
        <v>0.16889428511968757</v>
      </c>
      <c r="R50" s="10">
        <f>#REF!-#REF!</f>
        <v>9.0710119487471319E-2</v>
      </c>
      <c r="S50" s="10">
        <f>#REF!-#REF!</f>
        <v>-0.11966495424820534</v>
      </c>
      <c r="T50" s="10">
        <f>#REF!-#REF!</f>
        <v>-6.4269920622981327E-2</v>
      </c>
      <c r="U50" s="10">
        <f>#REF!-#REF!</f>
        <v>-0.11966495424820534</v>
      </c>
      <c r="V50" s="10">
        <f>#REF!-#REF!</f>
        <v>-6.4269920622981327E-2</v>
      </c>
      <c r="W50" s="10">
        <f>#REF!-#REF!</f>
        <v>0</v>
      </c>
      <c r="X50" s="10">
        <f>#REF!-#REF!</f>
        <v>0</v>
      </c>
      <c r="Y50" s="10">
        <f>#REF!-#REF!</f>
        <v>0.23659759768921751</v>
      </c>
      <c r="Z50" s="10">
        <f>#REF!-#REF!</f>
        <v>0.12707236566132835</v>
      </c>
      <c r="AA50" s="12">
        <v>2381.6675591522499</v>
      </c>
      <c r="AB50" s="13">
        <v>1279.1513266244399</v>
      </c>
      <c r="AC50">
        <f t="shared" si="16"/>
        <v>1</v>
      </c>
      <c r="AD50">
        <f t="shared" si="17"/>
        <v>0.99991485412301573</v>
      </c>
      <c r="AE50">
        <f t="shared" si="18"/>
        <v>0.99991485412301573</v>
      </c>
      <c r="AF50">
        <f t="shared" si="19"/>
        <v>8.5145876984305595E-5</v>
      </c>
      <c r="AG50">
        <f t="shared" si="20"/>
        <v>8.5145876984305595E-5</v>
      </c>
      <c r="AH50">
        <f t="shared" si="21"/>
        <v>0</v>
      </c>
      <c r="AI50" t="e">
        <f t="shared" si="22"/>
        <v>#DIV/0!</v>
      </c>
      <c r="AJ50" t="e">
        <f t="shared" si="23"/>
        <v>#DIV/0!</v>
      </c>
      <c r="AK50">
        <f t="shared" si="24"/>
        <v>2.0978501364374231E-3</v>
      </c>
      <c r="AL50">
        <f t="shared" si="25"/>
        <v>3.9060129242887258E-3</v>
      </c>
    </row>
    <row r="51" spans="1:38" x14ac:dyDescent="0.35">
      <c r="A51" s="9" t="s">
        <v>40</v>
      </c>
      <c r="B51" s="22" t="s">
        <v>67</v>
      </c>
      <c r="C51" s="10">
        <f>#REF!-#REF!</f>
        <v>1.6541353383458646</v>
      </c>
      <c r="D51" s="10">
        <f>#REF!-#REF!</f>
        <v>0</v>
      </c>
      <c r="E51" s="10">
        <f>#REF!-#REF!</f>
        <v>1.6541353383458646</v>
      </c>
      <c r="F51" s="10">
        <f>#REF!-#REF!</f>
        <v>9.9097744360902258</v>
      </c>
      <c r="G51" s="10">
        <f>#REF!-#REF!</f>
        <v>44.019548872180451</v>
      </c>
      <c r="H51" s="10">
        <f>#REF!-#REF!</f>
        <v>3.007518796992481</v>
      </c>
      <c r="I51" s="10">
        <f>#REF!-#REF!</f>
        <v>41.012030075187972</v>
      </c>
      <c r="J51" s="10">
        <f>#REF!-#REF!</f>
        <v>15.473684210526315</v>
      </c>
      <c r="K51" s="10">
        <f>#REF!-#REF!</f>
        <v>0.16590235659523436</v>
      </c>
      <c r="L51" s="10">
        <f>#REF!-#REF!</f>
        <v>7.0877842979989017E-2</v>
      </c>
      <c r="M51" s="10">
        <f>#REF!-#REF!</f>
        <v>0</v>
      </c>
      <c r="N51" s="10">
        <f>#REF!-#REF!</f>
        <v>0</v>
      </c>
      <c r="O51" s="10">
        <f>#REF!-#REF!</f>
        <v>0.16590235659523436</v>
      </c>
      <c r="P51" s="10">
        <f>#REF!-#REF!</f>
        <v>7.0877842979989017E-2</v>
      </c>
      <c r="Q51" s="10">
        <f>#REF!-#REF!</f>
        <v>0.99390593632963131</v>
      </c>
      <c r="R51" s="10">
        <f>#REF!-#REF!</f>
        <v>0.42462271385284334</v>
      </c>
      <c r="S51" s="10">
        <f>#REF!-#REF!</f>
        <v>4.4149633496475413</v>
      </c>
      <c r="T51" s="10">
        <f>#REF!-#REF!</f>
        <v>1.886188270502926</v>
      </c>
      <c r="U51" s="10">
        <f>#REF!-#REF!</f>
        <v>0.30164064835497151</v>
      </c>
      <c r="V51" s="10">
        <f>#REF!-#REF!</f>
        <v>0.12886880541816187</v>
      </c>
      <c r="W51" s="10">
        <f>#REF!-#REF!</f>
        <v>4.1133227012925699</v>
      </c>
      <c r="X51" s="10">
        <f>#REF!-#REF!</f>
        <v>1.7573194650847643</v>
      </c>
      <c r="Y51" s="10">
        <f>#REF!-#REF!</f>
        <v>1.5519411357863286</v>
      </c>
      <c r="Z51" s="10">
        <f>#REF!-#REF!</f>
        <v>0.66303000387644273</v>
      </c>
      <c r="AA51" s="12">
        <v>2333.7834064911899</v>
      </c>
      <c r="AB51" s="13">
        <v>997.05355143423003</v>
      </c>
      <c r="AC51">
        <f t="shared" si="16"/>
        <v>3.6216376386922593E-2</v>
      </c>
      <c r="AD51">
        <f t="shared" si="17"/>
        <v>3.6216376386922593E-2</v>
      </c>
      <c r="AE51">
        <f t="shared" si="18"/>
        <v>1</v>
      </c>
      <c r="AF51">
        <f t="shared" si="19"/>
        <v>0</v>
      </c>
      <c r="AG51">
        <f t="shared" si="20"/>
        <v>0</v>
      </c>
      <c r="AH51">
        <f t="shared" si="21"/>
        <v>0.96378362361307734</v>
      </c>
      <c r="AI51">
        <f t="shared" si="22"/>
        <v>6.8322344822874317E-2</v>
      </c>
      <c r="AJ51">
        <f t="shared" si="23"/>
        <v>0.93167765517712575</v>
      </c>
      <c r="AK51">
        <f t="shared" si="24"/>
        <v>1.9570661134829154E-2</v>
      </c>
      <c r="AL51">
        <f t="shared" si="25"/>
        <v>4.5808657062427753E-2</v>
      </c>
    </row>
    <row r="52" spans="1:38" x14ac:dyDescent="0.35">
      <c r="A52" s="15" t="s">
        <v>41</v>
      </c>
      <c r="B52" s="22" t="s">
        <v>67</v>
      </c>
      <c r="C52" s="10">
        <f>#REF!-#REF!</f>
        <v>8.4705882300000006</v>
      </c>
      <c r="D52" s="10">
        <f>#REF!-#REF!</f>
        <v>0</v>
      </c>
      <c r="E52" s="10">
        <f>#REF!-#REF!</f>
        <v>8.4705882300000006</v>
      </c>
      <c r="F52" s="10">
        <f>#REF!-#REF!</f>
        <v>0</v>
      </c>
      <c r="G52" s="10">
        <f>#REF!-#REF!</f>
        <v>8.4705999999999992</v>
      </c>
      <c r="H52" s="10">
        <f>#REF!-#REF!</f>
        <v>0</v>
      </c>
      <c r="I52" s="10">
        <f>#REF!-#REF!</f>
        <v>8.4705999999999992</v>
      </c>
      <c r="J52" s="10">
        <f>#REF!-#REF!</f>
        <v>0</v>
      </c>
      <c r="K52" s="10">
        <f>#REF!-#REF!</f>
        <v>2.0462852131061382</v>
      </c>
      <c r="L52" s="10">
        <f>#REF!-#REF!</f>
        <v>1.8076405000965217</v>
      </c>
      <c r="M52" s="10">
        <f>#REF!-#REF!</f>
        <v>0</v>
      </c>
      <c r="N52" s="10">
        <f>#REF!-#REF!</f>
        <v>0</v>
      </c>
      <c r="O52" s="10">
        <f>#REF!-#REF!</f>
        <v>2.0462852131061382</v>
      </c>
      <c r="P52" s="10">
        <f>#REF!-#REF!</f>
        <v>1.8076405000965217</v>
      </c>
      <c r="Q52" s="10">
        <f>#REF!-#REF!</f>
        <v>0</v>
      </c>
      <c r="R52" s="10">
        <f>#REF!-#REF!</f>
        <v>0</v>
      </c>
      <c r="S52" s="10">
        <f>#REF!-#REF!</f>
        <v>2.0462880564478647</v>
      </c>
      <c r="T52" s="10">
        <f>#REF!-#REF!</f>
        <v>1.8076430118381042</v>
      </c>
      <c r="U52" s="10">
        <f>#REF!-#REF!</f>
        <v>0</v>
      </c>
      <c r="V52" s="10">
        <f>#REF!-#REF!</f>
        <v>0</v>
      </c>
      <c r="W52" s="10">
        <f>#REF!-#REF!</f>
        <v>2.0462880564478647</v>
      </c>
      <c r="X52" s="10">
        <f>#REF!-#REF!</f>
        <v>1.8076430118381042</v>
      </c>
      <c r="Y52" s="10">
        <f>#REF!-#REF!</f>
        <v>0</v>
      </c>
      <c r="Z52" s="10">
        <f>#REF!-#REF!</f>
        <v>0</v>
      </c>
      <c r="AA52" s="12">
        <v>468.59916169988998</v>
      </c>
      <c r="AB52" s="13">
        <v>413.94954015926999</v>
      </c>
      <c r="AC52">
        <f t="shared" si="16"/>
        <v>0.49999965262176888</v>
      </c>
      <c r="AD52">
        <f t="shared" si="17"/>
        <v>0.49999965262176888</v>
      </c>
      <c r="AE52">
        <f t="shared" si="18"/>
        <v>1</v>
      </c>
      <c r="AF52">
        <f t="shared" si="19"/>
        <v>0</v>
      </c>
      <c r="AG52">
        <f t="shared" si="20"/>
        <v>0</v>
      </c>
      <c r="AH52">
        <f t="shared" si="21"/>
        <v>0.50000034737823096</v>
      </c>
      <c r="AI52">
        <f t="shared" si="22"/>
        <v>0</v>
      </c>
      <c r="AJ52">
        <f t="shared" si="23"/>
        <v>1</v>
      </c>
      <c r="AK52">
        <f t="shared" si="24"/>
        <v>3.6152835119346263E-2</v>
      </c>
      <c r="AL52">
        <f t="shared" si="25"/>
        <v>4.0925732695540042E-2</v>
      </c>
    </row>
    <row r="53" spans="1:38" x14ac:dyDescent="0.35">
      <c r="A53" s="9" t="s">
        <v>42</v>
      </c>
      <c r="B53" s="22" t="s">
        <v>67</v>
      </c>
      <c r="C53" s="10">
        <f>#REF!-#REF!</f>
        <v>15.736781814144809</v>
      </c>
      <c r="D53" s="10">
        <f>#REF!-#REF!</f>
        <v>2.2949473478961178</v>
      </c>
      <c r="E53" s="10">
        <f>#REF!-#REF!</f>
        <v>13.441834466248691</v>
      </c>
      <c r="F53" s="10">
        <f>#REF!-#REF!</f>
        <v>12.021152774693951</v>
      </c>
      <c r="G53" s="10">
        <f>#REF!-#REF!</f>
        <v>2.827267662189584</v>
      </c>
      <c r="H53" s="10">
        <f>#REF!-#REF!</f>
        <v>0</v>
      </c>
      <c r="I53" s="10">
        <f>#REF!-#REF!</f>
        <v>2.827267662189584</v>
      </c>
      <c r="J53" s="10">
        <f>#REF!-#REF!</f>
        <v>0</v>
      </c>
      <c r="K53" s="10">
        <f>#REF!-#REF!</f>
        <v>3.1781365002569171</v>
      </c>
      <c r="L53" s="10">
        <f>#REF!-#REF!</f>
        <v>2.8338122233934211</v>
      </c>
      <c r="M53" s="10">
        <f>#REF!-#REF!</f>
        <v>0.46347823962080037</v>
      </c>
      <c r="N53" s="10">
        <f>#REF!-#REF!</f>
        <v>0.41326428257820719</v>
      </c>
      <c r="O53" s="10">
        <f>#REF!-#REF!</f>
        <v>2.7146582606361167</v>
      </c>
      <c r="P53" s="10">
        <f>#REF!-#REF!</f>
        <v>2.4205479408152137</v>
      </c>
      <c r="Q53" s="10">
        <f>#REF!-#REF!</f>
        <v>2.427743159918478</v>
      </c>
      <c r="R53" s="10">
        <f>#REF!-#REF!</f>
        <v>2.164717670647752</v>
      </c>
      <c r="S53" s="10">
        <f>#REF!-#REF!</f>
        <v>0.57098348692388257</v>
      </c>
      <c r="T53" s="10">
        <f>#REF!-#REF!</f>
        <v>0.50912224332400235</v>
      </c>
      <c r="U53" s="10">
        <f>#REF!-#REF!</f>
        <v>0</v>
      </c>
      <c r="V53" s="10">
        <f>#REF!-#REF!</f>
        <v>0</v>
      </c>
      <c r="W53" s="10">
        <f>#REF!-#REF!</f>
        <v>0.57098348692388257</v>
      </c>
      <c r="X53" s="10">
        <f>#REF!-#REF!</f>
        <v>0.50912224332400235</v>
      </c>
      <c r="Y53" s="10">
        <f>#REF!-#REF!</f>
        <v>0</v>
      </c>
      <c r="Z53" s="10">
        <f>#REF!-#REF!</f>
        <v>0</v>
      </c>
      <c r="AA53" s="12">
        <v>555.32196820367994</v>
      </c>
      <c r="AB53" s="13">
        <v>495.15751802582002</v>
      </c>
      <c r="AC53">
        <f t="shared" si="16"/>
        <v>0.84770199703497839</v>
      </c>
      <c r="AD53">
        <f t="shared" si="17"/>
        <v>0.724078789134044</v>
      </c>
      <c r="AE53">
        <f t="shared" si="18"/>
        <v>0.85416666666666663</v>
      </c>
      <c r="AF53">
        <f t="shared" si="19"/>
        <v>0.12362320790093433</v>
      </c>
      <c r="AG53">
        <f t="shared" si="20"/>
        <v>0.14583333333333331</v>
      </c>
      <c r="AH53">
        <f t="shared" si="21"/>
        <v>0.15229800296502166</v>
      </c>
      <c r="AI53">
        <f t="shared" si="22"/>
        <v>0</v>
      </c>
      <c r="AJ53">
        <f t="shared" si="23"/>
        <v>1</v>
      </c>
      <c r="AK53">
        <f t="shared" si="24"/>
        <v>3.3429344667174246E-2</v>
      </c>
      <c r="AL53">
        <f t="shared" si="25"/>
        <v>3.7491199871808004E-2</v>
      </c>
    </row>
    <row r="54" spans="1:38" x14ac:dyDescent="0.35">
      <c r="A54" s="19" t="s">
        <v>43</v>
      </c>
      <c r="B54" s="23" t="s">
        <v>67</v>
      </c>
      <c r="C54" s="10">
        <f>#REF!-#REF!</f>
        <v>1.885402004076548</v>
      </c>
      <c r="D54" s="10">
        <f>#REF!-#REF!</f>
        <v>1.8854020040765493</v>
      </c>
      <c r="E54" s="10">
        <f>#REF!-#REF!</f>
        <v>0</v>
      </c>
      <c r="F54" s="10">
        <f>#REF!-#REF!</f>
        <v>0</v>
      </c>
      <c r="G54" s="10">
        <v>0</v>
      </c>
      <c r="H54" s="10">
        <v>0</v>
      </c>
      <c r="I54" s="10">
        <f>#REF!-#REF!</f>
        <v>0</v>
      </c>
      <c r="J54" s="10">
        <f>#REF!-#REF!</f>
        <v>0</v>
      </c>
      <c r="K54" s="10">
        <f>#REF!-#REF!</f>
        <v>0.87432710308954587</v>
      </c>
      <c r="L54" s="10">
        <f>#REF!-#REF!</f>
        <v>0.4627935881679428</v>
      </c>
      <c r="M54" s="10">
        <f>#REF!-#REF!</f>
        <v>0.8743271030895452</v>
      </c>
      <c r="N54" s="10">
        <f>#REF!-#REF!</f>
        <v>0.46279358816794303</v>
      </c>
      <c r="O54" s="10">
        <f>#REF!-#REF!</f>
        <v>0</v>
      </c>
      <c r="P54" s="10">
        <f>#REF!-#REF!</f>
        <v>0</v>
      </c>
      <c r="Q54" s="10">
        <f>#REF!-#REF!</f>
        <v>0</v>
      </c>
      <c r="R54" s="10">
        <f>#REF!-#REF!</f>
        <v>0</v>
      </c>
      <c r="S54" s="10">
        <f>#REF!-#REF!</f>
        <v>-0.35915764807817041</v>
      </c>
      <c r="T54" s="10">
        <f>#REF!-#REF!</f>
        <v>-0.19010717623268381</v>
      </c>
      <c r="U54" s="10">
        <f>#REF!-#REF!</f>
        <v>-0.35915764807817141</v>
      </c>
      <c r="V54" s="10">
        <f>#REF!-#REF!</f>
        <v>-0.19010717623268403</v>
      </c>
      <c r="W54" s="10">
        <f>#REF!-#REF!</f>
        <v>0</v>
      </c>
      <c r="X54" s="10">
        <f>#REF!-#REF!</f>
        <v>0</v>
      </c>
      <c r="Y54" s="10">
        <f>#REF!-#REF!</f>
        <v>0</v>
      </c>
      <c r="Z54" s="10">
        <f>#REF!-#REF!</f>
        <v>0</v>
      </c>
      <c r="AA54" s="12">
        <v>407.39587848230002</v>
      </c>
      <c r="AB54" s="13">
        <v>215.64034757863999</v>
      </c>
      <c r="AC54">
        <f t="shared" si="16"/>
        <v>1</v>
      </c>
      <c r="AD54">
        <f t="shared" si="17"/>
        <v>0</v>
      </c>
      <c r="AE54">
        <f t="shared" si="18"/>
        <v>0</v>
      </c>
      <c r="AF54">
        <f t="shared" si="19"/>
        <v>1.0000000000000007</v>
      </c>
      <c r="AG54">
        <f t="shared" si="20"/>
        <v>1.0000000000000007</v>
      </c>
      <c r="AH54">
        <f t="shared" si="21"/>
        <v>0</v>
      </c>
      <c r="AI54" t="e">
        <f t="shared" si="22"/>
        <v>#DIV/0!</v>
      </c>
      <c r="AJ54" t="e">
        <f t="shared" si="23"/>
        <v>#DIV/0!</v>
      </c>
      <c r="AK54">
        <f t="shared" si="24"/>
        <v>4.6279358816794271E-3</v>
      </c>
      <c r="AL54">
        <f t="shared" si="25"/>
        <v>8.7432710308954463E-3</v>
      </c>
    </row>
    <row r="55" spans="1:38" x14ac:dyDescent="0.35">
      <c r="A55" s="15" t="s">
        <v>44</v>
      </c>
      <c r="B55" s="22" t="s">
        <v>67</v>
      </c>
      <c r="C55" s="10">
        <f>#REF!-#REF!</f>
        <v>9.3883508485756941</v>
      </c>
      <c r="D55" s="10">
        <f>#REF!-#REF!</f>
        <v>0.11675143395921074</v>
      </c>
      <c r="E55" s="10">
        <f>#REF!-#REF!</f>
        <v>9.2715994146164817</v>
      </c>
      <c r="F55" s="10">
        <f>#REF!-#REF!</f>
        <v>24.284298263515833</v>
      </c>
      <c r="G55" s="10">
        <f>#REF!-#REF!</f>
        <v>21.166160352966337</v>
      </c>
      <c r="H55" s="10">
        <f>#REF!-#REF!</f>
        <v>5.822977768715635</v>
      </c>
      <c r="I55" s="10">
        <f>#REF!-#REF!</f>
        <v>15.343182584250702</v>
      </c>
      <c r="J55" s="10">
        <f>#REF!-#REF!</f>
        <v>0</v>
      </c>
      <c r="K55" s="10">
        <f>#REF!-#REF!</f>
        <v>2.8226936439388854</v>
      </c>
      <c r="L55" s="10">
        <f>#REF!-#REF!</f>
        <v>3.0181456692150008</v>
      </c>
      <c r="M55" s="10">
        <f>#REF!-#REF!</f>
        <v>3.5102387615542872E-2</v>
      </c>
      <c r="N55" s="10">
        <f>#REF!-#REF!</f>
        <v>3.7532985341306419E-2</v>
      </c>
      <c r="O55" s="10">
        <f>#REF!-#REF!</f>
        <v>2.7875912563233429</v>
      </c>
      <c r="P55" s="10">
        <f>#REF!-#REF!</f>
        <v>2.9806126838736948</v>
      </c>
      <c r="Q55" s="10">
        <f>#REF!-#REF!</f>
        <v>7.3012966240329176</v>
      </c>
      <c r="R55" s="10">
        <f>#REF!-#REF!</f>
        <v>7.8068609509917337</v>
      </c>
      <c r="S55" s="10">
        <f>#REF!-#REF!</f>
        <v>6.363799911032654</v>
      </c>
      <c r="T55" s="10">
        <f>#REF!-#REF!</f>
        <v>6.8044490702972862</v>
      </c>
      <c r="U55" s="10">
        <f>#REF!-#REF!</f>
        <v>1.7507315823252003</v>
      </c>
      <c r="V55" s="10">
        <f>#REF!-#REF!</f>
        <v>1.8719576438976573</v>
      </c>
      <c r="W55" s="10">
        <f>#REF!-#REF!</f>
        <v>4.6130683287074534</v>
      </c>
      <c r="X55" s="10">
        <f>#REF!-#REF!</f>
        <v>4.9324914263996291</v>
      </c>
      <c r="Y55" s="10">
        <f>#REF!-#REF!</f>
        <v>0</v>
      </c>
      <c r="Z55" s="10">
        <f>#REF!-#REF!</f>
        <v>0</v>
      </c>
      <c r="AA55" s="12">
        <v>311.06354290107998</v>
      </c>
      <c r="AB55" s="13">
        <v>332.60254327404999</v>
      </c>
      <c r="AC55">
        <f t="shared" si="16"/>
        <v>0.30726562066886809</v>
      </c>
      <c r="AD55">
        <f t="shared" si="17"/>
        <v>0.30344453404800537</v>
      </c>
      <c r="AE55">
        <f t="shared" si="18"/>
        <v>0.98756422338254168</v>
      </c>
      <c r="AF55">
        <f t="shared" si="19"/>
        <v>3.8210866208626668E-3</v>
      </c>
      <c r="AG55">
        <f t="shared" si="20"/>
        <v>1.2435776617458122E-2</v>
      </c>
      <c r="AH55">
        <f t="shared" si="21"/>
        <v>0.69273437933113191</v>
      </c>
      <c r="AI55">
        <f t="shared" si="22"/>
        <v>0.27510789258003387</v>
      </c>
      <c r="AJ55">
        <f t="shared" si="23"/>
        <v>0.72489210741996613</v>
      </c>
      <c r="AK55">
        <f t="shared" si="24"/>
        <v>9.8225947395122873E-2</v>
      </c>
      <c r="AL55">
        <f t="shared" si="25"/>
        <v>9.1864935549715407E-2</v>
      </c>
    </row>
    <row r="56" spans="1:38" x14ac:dyDescent="0.35">
      <c r="A56" s="15" t="s">
        <v>45</v>
      </c>
      <c r="B56" s="22" t="s">
        <v>67</v>
      </c>
      <c r="C56" s="10">
        <f>#REF!-#REF!</f>
        <v>1.2481951410000001</v>
      </c>
      <c r="D56" s="10">
        <f>#REF!-#REF!</f>
        <v>0.33243433</v>
      </c>
      <c r="E56" s="10">
        <f>#REF!-#REF!</f>
        <v>0.91576081099999995</v>
      </c>
      <c r="F56" s="10">
        <f>#REF!-#REF!</f>
        <v>0</v>
      </c>
      <c r="G56" s="10">
        <f>#REF!-#REF!</f>
        <v>0.67566216200000007</v>
      </c>
      <c r="H56" s="10">
        <f>#REF!-#REF!</f>
        <v>0.61666216200000001</v>
      </c>
      <c r="I56" s="10">
        <f>#REF!-#REF!</f>
        <v>5.9000000000000025E-2</v>
      </c>
      <c r="J56" s="10">
        <f>#REF!-#REF!</f>
        <v>0</v>
      </c>
      <c r="K56" s="10">
        <f>#REF!-#REF!</f>
        <v>4.6408796097126643</v>
      </c>
      <c r="L56" s="10">
        <f>#REF!-#REF!</f>
        <v>2.7186939247924107</v>
      </c>
      <c r="M56" s="10">
        <f>#REF!-#REF!</f>
        <v>1.2360148289228849</v>
      </c>
      <c r="N56" s="10">
        <f>#REF!-#REF!</f>
        <v>0.72407523765824</v>
      </c>
      <c r="O56" s="10">
        <f>#REF!-#REF!</f>
        <v>3.4048647807897798</v>
      </c>
      <c r="P56" s="10">
        <f>#REF!-#REF!</f>
        <v>1.9946186871341705</v>
      </c>
      <c r="Q56" s="10">
        <f>#REF!-#REF!</f>
        <v>0</v>
      </c>
      <c r="R56" s="10">
        <f>#REF!-#REF!</f>
        <v>0</v>
      </c>
      <c r="S56" s="10">
        <f>#REF!-#REF!</f>
        <v>2.5121606771902791</v>
      </c>
      <c r="T56" s="10">
        <f>#REF!-#REF!</f>
        <v>1.4716598027852008</v>
      </c>
      <c r="U56" s="10">
        <f>#REF!-#REF!</f>
        <v>2.2927944194802219</v>
      </c>
      <c r="V56" s="10">
        <f>#REF!-#REF!</f>
        <v>1.3431518986170716</v>
      </c>
      <c r="W56" s="10">
        <f>#REF!-#REF!</f>
        <v>0.21936625771005724</v>
      </c>
      <c r="X56" s="10">
        <f>#REF!-#REF!</f>
        <v>0.12850790416812902</v>
      </c>
      <c r="Y56" s="10">
        <f>#REF!-#REF!</f>
        <v>0</v>
      </c>
      <c r="Z56" s="10">
        <f>#REF!-#REF!</f>
        <v>0</v>
      </c>
      <c r="AA56" s="12">
        <v>45.911572818750003</v>
      </c>
      <c r="AB56" s="13">
        <v>26.895658710639999</v>
      </c>
      <c r="AC56">
        <f t="shared" si="16"/>
        <v>0.64879819259651195</v>
      </c>
      <c r="AD56">
        <f t="shared" si="17"/>
        <v>0.47600246108273858</v>
      </c>
      <c r="AE56">
        <f t="shared" si="18"/>
        <v>0.73366798260913912</v>
      </c>
      <c r="AF56">
        <f t="shared" si="19"/>
        <v>0.17279573151377328</v>
      </c>
      <c r="AG56">
        <f t="shared" si="20"/>
        <v>0.26633201739086082</v>
      </c>
      <c r="AH56">
        <f t="shared" si="21"/>
        <v>0.35120180740348811</v>
      </c>
      <c r="AI56">
        <f t="shared" si="22"/>
        <v>0.91267825354411358</v>
      </c>
      <c r="AJ56">
        <f t="shared" si="23"/>
        <v>8.7321746455886362E-2</v>
      </c>
      <c r="AK56">
        <f t="shared" si="24"/>
        <v>4.1903537275776115E-2</v>
      </c>
      <c r="AL56">
        <f t="shared" si="25"/>
        <v>7.1530402869029439E-2</v>
      </c>
    </row>
    <row r="57" spans="1:38" x14ac:dyDescent="0.35">
      <c r="A57" s="15" t="s">
        <v>46</v>
      </c>
      <c r="B57" s="22" t="s">
        <v>67</v>
      </c>
      <c r="C57" s="10">
        <f>#REF!-#REF!</f>
        <v>3.2526658490995635</v>
      </c>
      <c r="D57" s="10">
        <f>#REF!-#REF!</f>
        <v>1.5678041258934419</v>
      </c>
      <c r="E57" s="10">
        <f>#REF!-#REF!</f>
        <v>1.6848617232061223</v>
      </c>
      <c r="F57" s="10">
        <f>#REF!-#REF!</f>
        <v>1.2373683697402944</v>
      </c>
      <c r="G57" s="10">
        <f>#REF!-#REF!</f>
        <v>3.751470525980066</v>
      </c>
      <c r="H57" s="10">
        <f>#REF!-#REF!</f>
        <v>1.54465361043267</v>
      </c>
      <c r="I57" s="10">
        <f>#REF!-#REF!</f>
        <v>2.206816915547396</v>
      </c>
      <c r="J57" s="10">
        <f>#REF!-#REF!</f>
        <v>1.0928320704267227</v>
      </c>
      <c r="K57" s="10">
        <f>#REF!-#REF!</f>
        <v>1.2768362788335081</v>
      </c>
      <c r="L57" s="10">
        <f>#REF!-#REF!</f>
        <v>1.2809688677565576</v>
      </c>
      <c r="M57" s="10">
        <f>#REF!-#REF!</f>
        <v>0.6154426181219228</v>
      </c>
      <c r="N57" s="10">
        <f>#REF!-#REF!</f>
        <v>0.61743455035989681</v>
      </c>
      <c r="O57" s="10">
        <f>#REF!-#REF!</f>
        <v>0.66139366071158512</v>
      </c>
      <c r="P57" s="10">
        <f>#REF!-#REF!</f>
        <v>0.6635343173966608</v>
      </c>
      <c r="Q57" s="10">
        <f>#REF!-#REF!</f>
        <v>0.48572982841223911</v>
      </c>
      <c r="R57" s="10">
        <f>#REF!-#REF!</f>
        <v>0.4873019342035354</v>
      </c>
      <c r="S57" s="10">
        <f>#REF!-#REF!</f>
        <v>1.4726424074185154</v>
      </c>
      <c r="T57" s="10">
        <f>#REF!-#REF!</f>
        <v>1.477408739485826</v>
      </c>
      <c r="U57" s="10">
        <f>#REF!-#REF!</f>
        <v>0.60635486690942364</v>
      </c>
      <c r="V57" s="10">
        <f>#REF!-#REF!</f>
        <v>0.60831738586973727</v>
      </c>
      <c r="W57" s="10">
        <f>#REF!-#REF!</f>
        <v>0.8662875405090924</v>
      </c>
      <c r="X57" s="10">
        <f>#REF!-#REF!</f>
        <v>0.86909135361608847</v>
      </c>
      <c r="Y57" s="10">
        <f>#REF!-#REF!</f>
        <v>0.42899200192354664</v>
      </c>
      <c r="Z57" s="10">
        <f>#REF!-#REF!</f>
        <v>0.43038047092667181</v>
      </c>
      <c r="AA57" s="12">
        <v>253.92231856471</v>
      </c>
      <c r="AB57" s="13">
        <v>254.7441596875</v>
      </c>
      <c r="AC57">
        <f t="shared" si="16"/>
        <v>0.46439213557754067</v>
      </c>
      <c r="AD57">
        <f t="shared" si="17"/>
        <v>0.2405523869010856</v>
      </c>
      <c r="AE57">
        <f t="shared" si="18"/>
        <v>0.51799410126082979</v>
      </c>
      <c r="AF57">
        <f t="shared" si="19"/>
        <v>0.22383974867645515</v>
      </c>
      <c r="AG57">
        <f t="shared" si="20"/>
        <v>0.48200589873917038</v>
      </c>
      <c r="AH57">
        <f t="shared" si="21"/>
        <v>0.53560786442245933</v>
      </c>
      <c r="AI57">
        <f t="shared" si="22"/>
        <v>0.41174616719909629</v>
      </c>
      <c r="AJ57">
        <f t="shared" si="23"/>
        <v>0.58825383280090371</v>
      </c>
      <c r="AK57">
        <f t="shared" si="24"/>
        <v>2.7583776072423832E-2</v>
      </c>
      <c r="AL57">
        <f t="shared" si="25"/>
        <v>2.7494786862520226E-2</v>
      </c>
    </row>
    <row r="58" spans="1:38" x14ac:dyDescent="0.35">
      <c r="A58" s="15" t="s">
        <v>47</v>
      </c>
      <c r="B58" s="22" t="s">
        <v>67</v>
      </c>
      <c r="C58" s="10">
        <f>#REF!-#REF!</f>
        <v>4.0254459051713392</v>
      </c>
      <c r="D58" s="10">
        <f>#REF!-#REF!</f>
        <v>0.707075905171339</v>
      </c>
      <c r="E58" s="10">
        <f>#REF!-#REF!</f>
        <v>3.3183700000000007</v>
      </c>
      <c r="F58" s="10">
        <f>#REF!-#REF!</f>
        <v>0</v>
      </c>
      <c r="G58" s="10">
        <f>#REF!-#REF!</f>
        <v>6.7446143999999997</v>
      </c>
      <c r="H58" s="10">
        <f>#REF!-#REF!</f>
        <v>5.3117944000000001</v>
      </c>
      <c r="I58" s="10">
        <f>#REF!-#REF!</f>
        <v>1.43282</v>
      </c>
      <c r="J58" s="10">
        <f>#REF!-#REF!</f>
        <v>0</v>
      </c>
      <c r="K58" s="10">
        <f>#REF!-#REF!</f>
        <v>1.9741964283923021</v>
      </c>
      <c r="L58" s="10">
        <f>#REF!-#REF!</f>
        <v>1.3349414777105451</v>
      </c>
      <c r="M58" s="10">
        <f>#REF!-#REF!</f>
        <v>0.34677070800982396</v>
      </c>
      <c r="N58" s="10">
        <f>#REF!-#REF!</f>
        <v>0.2344845703901644</v>
      </c>
      <c r="O58" s="10">
        <f>#REF!-#REF!</f>
        <v>1.6274257203824787</v>
      </c>
      <c r="P58" s="10">
        <f>#REF!-#REF!</f>
        <v>1.1004569073203805</v>
      </c>
      <c r="Q58" s="10">
        <f>#REF!-#REF!</f>
        <v>0</v>
      </c>
      <c r="R58" s="10">
        <f>#REF!-#REF!</f>
        <v>0</v>
      </c>
      <c r="S58" s="10">
        <f>#REF!-#REF!</f>
        <v>3.3077562021781892</v>
      </c>
      <c r="T58" s="10">
        <f>#REF!-#REF!</f>
        <v>2.2366877423833085</v>
      </c>
      <c r="U58" s="10">
        <f>#REF!-#REF!</f>
        <v>2.6050593598494491</v>
      </c>
      <c r="V58" s="10">
        <f>#REF!-#REF!</f>
        <v>1.7615277493907286</v>
      </c>
      <c r="W58" s="10">
        <f>#REF!-#REF!</f>
        <v>0.70269684232874052</v>
      </c>
      <c r="X58" s="10">
        <f>#REF!-#REF!</f>
        <v>0.47515999299257966</v>
      </c>
      <c r="Y58" s="10">
        <f>#REF!-#REF!</f>
        <v>0</v>
      </c>
      <c r="Z58" s="10">
        <f>#REF!-#REF!</f>
        <v>0</v>
      </c>
      <c r="AA58" s="12">
        <v>301.54474727050001</v>
      </c>
      <c r="AB58" s="13">
        <v>203.90300819506001</v>
      </c>
      <c r="AC58">
        <f t="shared" si="16"/>
        <v>0.37376261516739012</v>
      </c>
      <c r="AD58">
        <f t="shared" si="17"/>
        <v>0.30811062389378235</v>
      </c>
      <c r="AE58">
        <f t="shared" si="18"/>
        <v>0.82434842702444855</v>
      </c>
      <c r="AF58">
        <f t="shared" si="19"/>
        <v>6.5651991273607851E-2</v>
      </c>
      <c r="AG58">
        <f t="shared" si="20"/>
        <v>0.17565157297555165</v>
      </c>
      <c r="AH58">
        <f t="shared" si="21"/>
        <v>0.62623738483260993</v>
      </c>
      <c r="AI58">
        <f t="shared" si="22"/>
        <v>0.78756087227166027</v>
      </c>
      <c r="AJ58">
        <f t="shared" si="23"/>
        <v>0.21243912772833981</v>
      </c>
      <c r="AK58">
        <f t="shared" si="24"/>
        <v>3.5716292200938526E-2</v>
      </c>
      <c r="AL58">
        <f t="shared" si="25"/>
        <v>5.2819526305704918E-2</v>
      </c>
    </row>
    <row r="59" spans="1:38" x14ac:dyDescent="0.35">
      <c r="A59" s="15" t="s">
        <v>48</v>
      </c>
      <c r="B59" s="22" t="s">
        <v>67</v>
      </c>
      <c r="C59" s="10">
        <f>#REF!-#REF!</f>
        <v>0</v>
      </c>
      <c r="D59" s="10">
        <f>#REF!-#REF!</f>
        <v>0</v>
      </c>
      <c r="E59" s="10">
        <f>#REF!-#REF!</f>
        <v>0</v>
      </c>
      <c r="F59" s="10">
        <f>#REF!-#REF!</f>
        <v>0</v>
      </c>
      <c r="G59" s="10">
        <f>#REF!-#REF!</f>
        <v>0</v>
      </c>
      <c r="H59" s="10">
        <f>#REF!-#REF!</f>
        <v>0</v>
      </c>
      <c r="I59" s="10">
        <f>#REF!-#REF!</f>
        <v>0</v>
      </c>
      <c r="J59" s="10">
        <f>#REF!-#REF!</f>
        <v>0</v>
      </c>
      <c r="K59" s="10">
        <f>#REF!-#REF!</f>
        <v>0</v>
      </c>
      <c r="L59" s="10">
        <f>#REF!-#REF!</f>
        <v>0</v>
      </c>
      <c r="M59" s="10">
        <f>#REF!-#REF!</f>
        <v>0</v>
      </c>
      <c r="N59" s="10">
        <f>#REF!-#REF!</f>
        <v>0</v>
      </c>
      <c r="O59" s="10">
        <f>#REF!-#REF!</f>
        <v>0</v>
      </c>
      <c r="P59" s="10">
        <f>#REF!-#REF!</f>
        <v>0</v>
      </c>
      <c r="Q59" s="10">
        <f>#REF!-#REF!</f>
        <v>0</v>
      </c>
      <c r="R59" s="10">
        <f>#REF!-#REF!</f>
        <v>0</v>
      </c>
      <c r="S59" s="10">
        <f>#REF!-#REF!</f>
        <v>0</v>
      </c>
      <c r="T59" s="10">
        <f>#REF!-#REF!</f>
        <v>0</v>
      </c>
      <c r="U59" s="10">
        <f>#REF!-#REF!</f>
        <v>0</v>
      </c>
      <c r="V59" s="10">
        <f>#REF!-#REF!</f>
        <v>0</v>
      </c>
      <c r="W59" s="10">
        <f>#REF!-#REF!</f>
        <v>0</v>
      </c>
      <c r="X59" s="10">
        <f>#REF!-#REF!</f>
        <v>0</v>
      </c>
      <c r="Y59" s="10">
        <f>#REF!-#REF!</f>
        <v>0</v>
      </c>
      <c r="Z59" s="10">
        <f>#REF!-#REF!</f>
        <v>0</v>
      </c>
      <c r="AA59" s="12">
        <v>19.06914282116</v>
      </c>
      <c r="AB59" s="13">
        <v>20.729999827290001</v>
      </c>
      <c r="AC59" t="e">
        <f t="shared" si="16"/>
        <v>#DIV/0!</v>
      </c>
      <c r="AD59" t="e">
        <f t="shared" si="17"/>
        <v>#DIV/0!</v>
      </c>
      <c r="AE59" t="e">
        <f t="shared" si="18"/>
        <v>#DIV/0!</v>
      </c>
      <c r="AF59" t="e">
        <f t="shared" si="19"/>
        <v>#DIV/0!</v>
      </c>
      <c r="AG59" t="e">
        <f t="shared" si="20"/>
        <v>#DIV/0!</v>
      </c>
      <c r="AH59" t="e">
        <f t="shared" si="21"/>
        <v>#DIV/0!</v>
      </c>
      <c r="AI59" t="e">
        <f t="shared" si="22"/>
        <v>#DIV/0!</v>
      </c>
      <c r="AJ59" t="e">
        <f t="shared" si="23"/>
        <v>#DIV/0!</v>
      </c>
      <c r="AK59">
        <f t="shared" si="24"/>
        <v>0</v>
      </c>
      <c r="AL59">
        <f t="shared" si="25"/>
        <v>0</v>
      </c>
    </row>
    <row r="60" spans="1:38" x14ac:dyDescent="0.35">
      <c r="A60" s="15" t="s">
        <v>49</v>
      </c>
      <c r="B60" s="22" t="s">
        <v>67</v>
      </c>
      <c r="C60" s="10">
        <f>#REF!-#REF!</f>
        <v>0</v>
      </c>
      <c r="D60" s="10">
        <f>#REF!-#REF!</f>
        <v>0</v>
      </c>
      <c r="E60" s="10">
        <f>#REF!-#REF!</f>
        <v>0</v>
      </c>
      <c r="F60" s="10">
        <f>#REF!-#REF!</f>
        <v>0</v>
      </c>
      <c r="G60" s="10">
        <f>#REF!-#REF!</f>
        <v>0</v>
      </c>
      <c r="H60" s="10">
        <f>#REF!-#REF!</f>
        <v>0</v>
      </c>
      <c r="I60" s="10">
        <f>#REF!-#REF!</f>
        <v>0</v>
      </c>
      <c r="J60" s="10">
        <f>#REF!-#REF!</f>
        <v>0</v>
      </c>
      <c r="K60" s="10">
        <f>#REF!-#REF!</f>
        <v>0</v>
      </c>
      <c r="L60" s="10">
        <f>#REF!-#REF!</f>
        <v>0</v>
      </c>
      <c r="M60" s="10">
        <f>#REF!-#REF!</f>
        <v>0</v>
      </c>
      <c r="N60" s="10">
        <f>#REF!-#REF!</f>
        <v>0</v>
      </c>
      <c r="O60" s="10">
        <f>#REF!-#REF!</f>
        <v>0</v>
      </c>
      <c r="P60" s="10">
        <f>#REF!-#REF!</f>
        <v>0</v>
      </c>
      <c r="Q60" s="10">
        <f>#REF!-#REF!</f>
        <v>0</v>
      </c>
      <c r="R60" s="10">
        <f>#REF!-#REF!</f>
        <v>0</v>
      </c>
      <c r="S60" s="10">
        <f>#REF!-#REF!</f>
        <v>0</v>
      </c>
      <c r="T60" s="10">
        <f>#REF!-#REF!</f>
        <v>0</v>
      </c>
      <c r="U60" s="10">
        <f>#REF!-#REF!</f>
        <v>0</v>
      </c>
      <c r="V60" s="10">
        <f>#REF!-#REF!</f>
        <v>0</v>
      </c>
      <c r="W60" s="10">
        <f>#REF!-#REF!</f>
        <v>0</v>
      </c>
      <c r="X60" s="10">
        <f>#REF!-#REF!</f>
        <v>0</v>
      </c>
      <c r="Y60" s="10">
        <f>#REF!-#REF!</f>
        <v>0</v>
      </c>
      <c r="Z60" s="10">
        <f>#REF!-#REF!</f>
        <v>0</v>
      </c>
      <c r="AA60" s="12">
        <v>417.89075855828003</v>
      </c>
      <c r="AB60" s="13">
        <v>371.46659669328</v>
      </c>
      <c r="AC60" t="e">
        <f t="shared" si="16"/>
        <v>#DIV/0!</v>
      </c>
      <c r="AD60" t="e">
        <f t="shared" si="17"/>
        <v>#DIV/0!</v>
      </c>
      <c r="AE60" t="e">
        <f t="shared" si="18"/>
        <v>#DIV/0!</v>
      </c>
      <c r="AF60" t="e">
        <f t="shared" si="19"/>
        <v>#DIV/0!</v>
      </c>
      <c r="AG60" t="e">
        <f t="shared" si="20"/>
        <v>#DIV/0!</v>
      </c>
      <c r="AH60" t="e">
        <f t="shared" si="21"/>
        <v>#DIV/0!</v>
      </c>
      <c r="AI60" t="e">
        <f t="shared" si="22"/>
        <v>#DIV/0!</v>
      </c>
      <c r="AJ60" t="e">
        <f t="shared" si="23"/>
        <v>#DIV/0!</v>
      </c>
      <c r="AK60">
        <f t="shared" si="24"/>
        <v>0</v>
      </c>
      <c r="AL60">
        <f t="shared" si="25"/>
        <v>0</v>
      </c>
    </row>
    <row r="61" spans="1:38" x14ac:dyDescent="0.35">
      <c r="A61" s="15" t="s">
        <v>50</v>
      </c>
      <c r="B61" s="22" t="s">
        <v>67</v>
      </c>
      <c r="C61" s="10">
        <f>#REF!-#REF!</f>
        <v>0</v>
      </c>
      <c r="D61" s="10">
        <f>#REF!-#REF!</f>
        <v>0</v>
      </c>
      <c r="E61" s="10">
        <f>#REF!-#REF!</f>
        <v>0</v>
      </c>
      <c r="F61" s="10">
        <f>#REF!-#REF!</f>
        <v>0</v>
      </c>
      <c r="G61" s="10">
        <f>#REF!-#REF!</f>
        <v>0</v>
      </c>
      <c r="H61" s="10">
        <f>#REF!-#REF!</f>
        <v>0</v>
      </c>
      <c r="I61" s="10">
        <f>#REF!-#REF!</f>
        <v>0</v>
      </c>
      <c r="J61" s="10">
        <f>#REF!-#REF!</f>
        <v>0</v>
      </c>
      <c r="K61" s="10">
        <f>#REF!-#REF!</f>
        <v>0</v>
      </c>
      <c r="L61" s="10">
        <f>#REF!-#REF!</f>
        <v>0</v>
      </c>
      <c r="M61" s="10">
        <f>#REF!-#REF!</f>
        <v>0</v>
      </c>
      <c r="N61" s="10">
        <f>#REF!-#REF!</f>
        <v>0</v>
      </c>
      <c r="O61" s="10">
        <f>#REF!-#REF!</f>
        <v>0</v>
      </c>
      <c r="P61" s="10">
        <f>#REF!-#REF!</f>
        <v>0</v>
      </c>
      <c r="Q61" s="10">
        <f>#REF!-#REF!</f>
        <v>0</v>
      </c>
      <c r="R61" s="10">
        <f>#REF!-#REF!</f>
        <v>0</v>
      </c>
      <c r="S61" s="10">
        <f>#REF!-#REF!</f>
        <v>0</v>
      </c>
      <c r="T61" s="10">
        <f>#REF!-#REF!</f>
        <v>0</v>
      </c>
      <c r="U61" s="10">
        <f>#REF!-#REF!</f>
        <v>0</v>
      </c>
      <c r="V61" s="10">
        <f>#REF!-#REF!</f>
        <v>0</v>
      </c>
      <c r="W61" s="10">
        <f>#REF!-#REF!</f>
        <v>0</v>
      </c>
      <c r="X61" s="10">
        <f>#REF!-#REF!</f>
        <v>0</v>
      </c>
      <c r="Y61" s="10">
        <f>#REF!-#REF!</f>
        <v>0</v>
      </c>
      <c r="Z61" s="10">
        <f>#REF!-#REF!</f>
        <v>0</v>
      </c>
      <c r="AA61" s="12">
        <v>342.39670930134002</v>
      </c>
      <c r="AB61" s="13">
        <v>358.46025273358998</v>
      </c>
      <c r="AC61" t="e">
        <f t="shared" si="16"/>
        <v>#DIV/0!</v>
      </c>
      <c r="AD61" t="e">
        <f t="shared" si="17"/>
        <v>#DIV/0!</v>
      </c>
      <c r="AE61" t="e">
        <f t="shared" si="18"/>
        <v>#DIV/0!</v>
      </c>
      <c r="AF61" t="e">
        <f t="shared" si="19"/>
        <v>#DIV/0!</v>
      </c>
      <c r="AG61" t="e">
        <f t="shared" si="20"/>
        <v>#DIV/0!</v>
      </c>
      <c r="AH61" t="e">
        <f t="shared" si="21"/>
        <v>#DIV/0!</v>
      </c>
      <c r="AI61" t="e">
        <f t="shared" si="22"/>
        <v>#DIV/0!</v>
      </c>
      <c r="AJ61" t="e">
        <f t="shared" si="23"/>
        <v>#DIV/0!</v>
      </c>
      <c r="AK61">
        <f t="shared" si="24"/>
        <v>0</v>
      </c>
      <c r="AL61">
        <f t="shared" si="25"/>
        <v>0</v>
      </c>
    </row>
    <row r="62" spans="1:38" x14ac:dyDescent="0.35">
      <c r="A62" s="19" t="s">
        <v>51</v>
      </c>
      <c r="B62" s="22" t="s">
        <v>67</v>
      </c>
      <c r="C62" s="10">
        <f>#REF!-#REF!</f>
        <v>0</v>
      </c>
      <c r="D62" s="10">
        <f>#REF!-#REF!</f>
        <v>0</v>
      </c>
      <c r="E62" s="10">
        <f>#REF!-#REF!</f>
        <v>0</v>
      </c>
      <c r="F62" s="10">
        <f>#REF!-#REF!</f>
        <v>0</v>
      </c>
      <c r="G62" s="10">
        <f>#REF!-#REF!</f>
        <v>0</v>
      </c>
      <c r="H62" s="10">
        <f>#REF!-#REF!</f>
        <v>0</v>
      </c>
      <c r="I62" s="10">
        <f>#REF!-#REF!</f>
        <v>0</v>
      </c>
      <c r="J62" s="10">
        <f>#REF!-#REF!</f>
        <v>0</v>
      </c>
      <c r="K62" s="10">
        <f>#REF!-#REF!</f>
        <v>0</v>
      </c>
      <c r="L62" s="10">
        <f>#REF!-#REF!</f>
        <v>0</v>
      </c>
      <c r="M62" s="10">
        <f>#REF!-#REF!</f>
        <v>0</v>
      </c>
      <c r="N62" s="10">
        <f>#REF!-#REF!</f>
        <v>0</v>
      </c>
      <c r="O62" s="10">
        <f>#REF!-#REF!</f>
        <v>0</v>
      </c>
      <c r="P62" s="10">
        <f>#REF!-#REF!</f>
        <v>0</v>
      </c>
      <c r="Q62" s="10">
        <f>#REF!-#REF!</f>
        <v>0</v>
      </c>
      <c r="R62" s="10">
        <f>#REF!-#REF!</f>
        <v>0</v>
      </c>
      <c r="S62" s="10">
        <f>#REF!-#REF!</f>
        <v>0</v>
      </c>
      <c r="T62" s="10">
        <f>#REF!-#REF!</f>
        <v>0</v>
      </c>
      <c r="U62" s="10">
        <f>#REF!-#REF!</f>
        <v>0</v>
      </c>
      <c r="V62" s="10">
        <f>#REF!-#REF!</f>
        <v>0</v>
      </c>
      <c r="W62" s="10">
        <f>#REF!-#REF!</f>
        <v>0</v>
      </c>
      <c r="X62" s="10">
        <f>#REF!-#REF!</f>
        <v>0</v>
      </c>
      <c r="Y62" s="10">
        <f>#REF!-#REF!</f>
        <v>0</v>
      </c>
      <c r="Z62" s="10">
        <f>#REF!-#REF!</f>
        <v>0</v>
      </c>
      <c r="AA62" s="20">
        <v>55.422589739999999</v>
      </c>
      <c r="AB62" s="13">
        <v>30.160077523049999</v>
      </c>
      <c r="AC62" t="e">
        <f t="shared" si="16"/>
        <v>#DIV/0!</v>
      </c>
      <c r="AD62" t="e">
        <f t="shared" si="17"/>
        <v>#DIV/0!</v>
      </c>
      <c r="AE62" t="e">
        <f t="shared" si="18"/>
        <v>#DIV/0!</v>
      </c>
      <c r="AF62" t="e">
        <f t="shared" si="19"/>
        <v>#DIV/0!</v>
      </c>
      <c r="AG62" t="e">
        <f t="shared" si="20"/>
        <v>#DIV/0!</v>
      </c>
      <c r="AH62" t="e">
        <f t="shared" si="21"/>
        <v>#DIV/0!</v>
      </c>
      <c r="AI62" t="e">
        <f t="shared" si="22"/>
        <v>#DIV/0!</v>
      </c>
      <c r="AJ62" t="e">
        <f t="shared" si="23"/>
        <v>#DIV/0!</v>
      </c>
      <c r="AK62">
        <f t="shared" si="24"/>
        <v>0</v>
      </c>
      <c r="AL62">
        <f t="shared" si="25"/>
        <v>0</v>
      </c>
    </row>
    <row r="63" spans="1:38" x14ac:dyDescent="0.35">
      <c r="A63" s="15" t="s">
        <v>52</v>
      </c>
      <c r="B63" s="22" t="s">
        <v>67</v>
      </c>
      <c r="C63" s="10">
        <f>#REF!-#REF!</f>
        <v>0</v>
      </c>
      <c r="D63" s="10">
        <f>#REF!-#REF!</f>
        <v>0</v>
      </c>
      <c r="E63" s="10">
        <f>#REF!-#REF!</f>
        <v>0</v>
      </c>
      <c r="F63" s="10">
        <f>#REF!-#REF!</f>
        <v>0</v>
      </c>
      <c r="G63" s="10">
        <f>#REF!-#REF!</f>
        <v>0</v>
      </c>
      <c r="H63" s="10">
        <f>#REF!-#REF!</f>
        <v>0</v>
      </c>
      <c r="I63" s="10">
        <f>#REF!-#REF!</f>
        <v>0</v>
      </c>
      <c r="J63" s="10">
        <f>#REF!-#REF!</f>
        <v>0</v>
      </c>
      <c r="K63" s="10">
        <f>#REF!-#REF!</f>
        <v>0</v>
      </c>
      <c r="L63" s="10">
        <f>#REF!-#REF!</f>
        <v>0</v>
      </c>
      <c r="M63" s="10">
        <f>#REF!-#REF!</f>
        <v>0</v>
      </c>
      <c r="N63" s="10">
        <f>#REF!-#REF!</f>
        <v>0</v>
      </c>
      <c r="O63" s="10">
        <f>#REF!-#REF!</f>
        <v>0</v>
      </c>
      <c r="P63" s="10">
        <f>#REF!-#REF!</f>
        <v>0</v>
      </c>
      <c r="Q63" s="10">
        <f>#REF!-#REF!</f>
        <v>0</v>
      </c>
      <c r="R63" s="10">
        <f>#REF!-#REF!</f>
        <v>0</v>
      </c>
      <c r="S63" s="10">
        <f>#REF!-#REF!</f>
        <v>0</v>
      </c>
      <c r="T63" s="10">
        <f>#REF!-#REF!</f>
        <v>0</v>
      </c>
      <c r="U63" s="10">
        <f>#REF!-#REF!</f>
        <v>0</v>
      </c>
      <c r="V63" s="10">
        <f>#REF!-#REF!</f>
        <v>0</v>
      </c>
      <c r="W63" s="10">
        <f>#REF!-#REF!</f>
        <v>0</v>
      </c>
      <c r="X63" s="10">
        <f>#REF!-#REF!</f>
        <v>0</v>
      </c>
      <c r="Y63" s="10">
        <f>#REF!-#REF!</f>
        <v>0</v>
      </c>
      <c r="Z63" s="10">
        <f>#REF!-#REF!</f>
        <v>0</v>
      </c>
      <c r="AA63" s="12">
        <v>97.136073348400004</v>
      </c>
      <c r="AB63" s="13">
        <v>48.216768505140003</v>
      </c>
      <c r="AC63" t="e">
        <f t="shared" si="16"/>
        <v>#DIV/0!</v>
      </c>
      <c r="AD63" t="e">
        <f t="shared" si="17"/>
        <v>#DIV/0!</v>
      </c>
      <c r="AE63" t="e">
        <f t="shared" si="18"/>
        <v>#DIV/0!</v>
      </c>
      <c r="AF63" t="e">
        <f t="shared" si="19"/>
        <v>#DIV/0!</v>
      </c>
      <c r="AG63" t="e">
        <f t="shared" si="20"/>
        <v>#DIV/0!</v>
      </c>
      <c r="AH63" t="e">
        <f t="shared" si="21"/>
        <v>#DIV/0!</v>
      </c>
      <c r="AI63" t="e">
        <f t="shared" si="22"/>
        <v>#DIV/0!</v>
      </c>
      <c r="AJ63" t="e">
        <f t="shared" si="23"/>
        <v>#DIV/0!</v>
      </c>
      <c r="AK63">
        <f t="shared" si="24"/>
        <v>0</v>
      </c>
      <c r="AL63">
        <f t="shared" si="25"/>
        <v>0</v>
      </c>
    </row>
    <row r="64" spans="1:38" x14ac:dyDescent="0.35">
      <c r="A64" s="15" t="s">
        <v>53</v>
      </c>
      <c r="B64" s="22" t="s">
        <v>67</v>
      </c>
      <c r="C64" s="10">
        <f>#REF!-#REF!</f>
        <v>0</v>
      </c>
      <c r="D64" s="10">
        <f>#REF!-#REF!</f>
        <v>0</v>
      </c>
      <c r="E64" s="10">
        <f>#REF!-#REF!</f>
        <v>0</v>
      </c>
      <c r="F64" s="10">
        <f>#REF!-#REF!</f>
        <v>0</v>
      </c>
      <c r="G64" s="10">
        <f>#REF!-#REF!</f>
        <v>0</v>
      </c>
      <c r="H64" s="10">
        <f>#REF!-#REF!</f>
        <v>0</v>
      </c>
      <c r="I64" s="10">
        <f>#REF!-#REF!</f>
        <v>0</v>
      </c>
      <c r="J64" s="10">
        <f>#REF!-#REF!</f>
        <v>0</v>
      </c>
      <c r="K64" s="10">
        <f>#REF!-#REF!</f>
        <v>0</v>
      </c>
      <c r="L64" s="10">
        <f>#REF!-#REF!</f>
        <v>0</v>
      </c>
      <c r="M64" s="10">
        <f>#REF!-#REF!</f>
        <v>0</v>
      </c>
      <c r="N64" s="10">
        <f>#REF!-#REF!</f>
        <v>0</v>
      </c>
      <c r="O64" s="10">
        <f>#REF!-#REF!</f>
        <v>0</v>
      </c>
      <c r="P64" s="10">
        <f>#REF!-#REF!</f>
        <v>0</v>
      </c>
      <c r="Q64" s="10">
        <f>#REF!-#REF!</f>
        <v>0</v>
      </c>
      <c r="R64" s="10">
        <f>#REF!-#REF!</f>
        <v>0</v>
      </c>
      <c r="S64" s="10">
        <f>#REF!-#REF!</f>
        <v>0</v>
      </c>
      <c r="T64" s="10">
        <f>#REF!-#REF!</f>
        <v>0</v>
      </c>
      <c r="U64" s="10">
        <f>#REF!-#REF!</f>
        <v>0</v>
      </c>
      <c r="V64" s="10">
        <f>#REF!-#REF!</f>
        <v>0</v>
      </c>
      <c r="W64" s="10">
        <f>#REF!-#REF!</f>
        <v>0</v>
      </c>
      <c r="X64" s="10">
        <f>#REF!-#REF!</f>
        <v>0</v>
      </c>
      <c r="Y64" s="10">
        <f>#REF!-#REF!</f>
        <v>0</v>
      </c>
      <c r="Z64" s="10">
        <f>#REF!-#REF!</f>
        <v>0</v>
      </c>
      <c r="AA64" s="12">
        <v>66.343484468840003</v>
      </c>
      <c r="AB64" s="13">
        <v>66.557495896739994</v>
      </c>
      <c r="AC64" t="e">
        <f t="shared" si="16"/>
        <v>#DIV/0!</v>
      </c>
      <c r="AD64" t="e">
        <f t="shared" si="17"/>
        <v>#DIV/0!</v>
      </c>
      <c r="AE64" t="e">
        <f t="shared" si="18"/>
        <v>#DIV/0!</v>
      </c>
      <c r="AF64" t="e">
        <f t="shared" si="19"/>
        <v>#DIV/0!</v>
      </c>
      <c r="AG64" t="e">
        <f t="shared" si="20"/>
        <v>#DIV/0!</v>
      </c>
      <c r="AH64" t="e">
        <f t="shared" si="21"/>
        <v>#DIV/0!</v>
      </c>
      <c r="AI64" t="e">
        <f t="shared" si="22"/>
        <v>#DIV/0!</v>
      </c>
      <c r="AJ64" t="e">
        <f t="shared" si="23"/>
        <v>#DIV/0!</v>
      </c>
      <c r="AK64">
        <f t="shared" si="24"/>
        <v>0</v>
      </c>
      <c r="AL64">
        <f t="shared" si="25"/>
        <v>0</v>
      </c>
    </row>
    <row r="65" spans="1:38" x14ac:dyDescent="0.35">
      <c r="A65" s="15" t="s">
        <v>54</v>
      </c>
      <c r="B65" s="22" t="s">
        <v>67</v>
      </c>
      <c r="C65" s="10">
        <f>#REF!-#REF!</f>
        <v>11.987077390271075</v>
      </c>
      <c r="D65" s="10">
        <f>#REF!-#REF!</f>
        <v>0.76498244929870585</v>
      </c>
      <c r="E65" s="10">
        <f>#REF!-#REF!</f>
        <v>11.222094940972369</v>
      </c>
      <c r="F65" s="10">
        <v>0</v>
      </c>
      <c r="G65" s="10">
        <f>#REF!-#REF!</f>
        <v>33.440661355057721</v>
      </c>
      <c r="H65" s="10">
        <f>#REF!-#REF!</f>
        <v>0</v>
      </c>
      <c r="I65" s="10">
        <f>#REF!-#REF!</f>
        <v>33.440661355057721</v>
      </c>
      <c r="J65" s="10">
        <f>#REF!-#REF!</f>
        <v>0</v>
      </c>
      <c r="K65" s="10">
        <f>#REF!-#REF!</f>
        <v>1.4266077091702378</v>
      </c>
      <c r="L65" s="10">
        <f>#REF!-#REF!</f>
        <v>1.285559586199561</v>
      </c>
      <c r="M65" s="10">
        <f>#REF!-#REF!</f>
        <v>9.1042196860696603E-2</v>
      </c>
      <c r="N65" s="10">
        <f>#REF!-#REF!</f>
        <v>8.2040891949904396E-2</v>
      </c>
      <c r="O65" s="10">
        <f>#REF!-#REF!</f>
        <v>1.3355655123095409</v>
      </c>
      <c r="P65" s="10">
        <f>#REF!-#REF!</f>
        <v>1.2035186942496567</v>
      </c>
      <c r="Q65" s="10">
        <f>#REF!-#REF!</f>
        <v>-1.1936172128410387</v>
      </c>
      <c r="R65" s="10">
        <f>#REF!-#REF!</f>
        <v>-1.0756047653163852</v>
      </c>
      <c r="S65" s="10">
        <f>#REF!-#REF!</f>
        <v>3.9798446056247383</v>
      </c>
      <c r="T65" s="10">
        <f>#REF!-#REF!</f>
        <v>3.5863589909529647</v>
      </c>
      <c r="U65" s="10">
        <f>#REF!-#REF!</f>
        <v>0</v>
      </c>
      <c r="V65" s="10">
        <f>#REF!-#REF!</f>
        <v>0</v>
      </c>
      <c r="W65" s="10">
        <f>#REF!-#REF!</f>
        <v>3.9798446056247383</v>
      </c>
      <c r="X65" s="10">
        <f>#REF!-#REF!</f>
        <v>3.5863589909529647</v>
      </c>
      <c r="Y65" s="10">
        <f>#REF!-#REF!</f>
        <v>0</v>
      </c>
      <c r="Z65" s="10">
        <f>#REF!-#REF!</f>
        <v>0</v>
      </c>
      <c r="AA65" s="12">
        <v>932.44043441874999</v>
      </c>
      <c r="AB65" s="13">
        <v>840.25042856688003</v>
      </c>
      <c r="AC65">
        <f t="shared" si="16"/>
        <v>0.2638713200644105</v>
      </c>
      <c r="AD65">
        <f t="shared" si="17"/>
        <v>0.24703177509856364</v>
      </c>
      <c r="AE65">
        <f t="shared" si="18"/>
        <v>0.93618273876169522</v>
      </c>
      <c r="AF65">
        <f t="shared" si="19"/>
        <v>1.6839544965846814E-2</v>
      </c>
      <c r="AG65">
        <f t="shared" si="20"/>
        <v>6.3817261238304779E-2</v>
      </c>
      <c r="AH65">
        <f t="shared" si="21"/>
        <v>0.7361286799355895</v>
      </c>
      <c r="AI65">
        <f t="shared" si="22"/>
        <v>0</v>
      </c>
      <c r="AJ65">
        <f t="shared" si="23"/>
        <v>1</v>
      </c>
      <c r="AK65">
        <f t="shared" si="24"/>
        <v>4.8719185771525259E-2</v>
      </c>
      <c r="AL65">
        <f t="shared" si="25"/>
        <v>5.4064523147949767E-2</v>
      </c>
    </row>
    <row r="66" spans="1:38" x14ac:dyDescent="0.35">
      <c r="A66" s="19" t="s">
        <v>55</v>
      </c>
      <c r="B66" s="23" t="s">
        <v>67</v>
      </c>
      <c r="C66" s="10">
        <f>#REF!-#REF!</f>
        <v>28.122546463795103</v>
      </c>
      <c r="D66" s="10">
        <f>#REF!-#REF!</f>
        <v>0</v>
      </c>
      <c r="E66" s="10">
        <f>#REF!-#REF!</f>
        <v>28.122546463795096</v>
      </c>
      <c r="F66" s="10">
        <f>#REF!-#REF!</f>
        <v>0</v>
      </c>
      <c r="G66" s="10">
        <f>#REF!-#REF!</f>
        <v>1.1458115023238653</v>
      </c>
      <c r="H66" s="10">
        <f>#REF!-#REF!</f>
        <v>1.1458115023238649</v>
      </c>
      <c r="I66" s="10">
        <f>#REF!-#REF!</f>
        <v>0</v>
      </c>
      <c r="J66" s="10">
        <f>#REF!-#REF!</f>
        <v>0</v>
      </c>
      <c r="K66" s="10">
        <f>#REF!-#REF!</f>
        <v>13.857629306420865</v>
      </c>
      <c r="L66" s="10">
        <f>#REF!-#REF!</f>
        <v>14.498115587265049</v>
      </c>
      <c r="M66" s="10">
        <f>#REF!-#REF!</f>
        <v>0</v>
      </c>
      <c r="N66" s="10">
        <f>#REF!-#REF!</f>
        <v>0</v>
      </c>
      <c r="O66" s="10">
        <f>#REF!-#REF!</f>
        <v>13.857629306420863</v>
      </c>
      <c r="P66" s="10">
        <f>#REF!-#REF!</f>
        <v>14.498115587265051</v>
      </c>
      <c r="Q66" s="10">
        <f>#REF!-#REF!</f>
        <v>0</v>
      </c>
      <c r="R66" s="10">
        <f>#REF!-#REF!</f>
        <v>0</v>
      </c>
      <c r="S66" s="10">
        <f>#REF!-#REF!</f>
        <v>0.5646085810429331</v>
      </c>
      <c r="T66" s="10">
        <f>#REF!-#REF!</f>
        <v>0.5907042459080154</v>
      </c>
      <c r="U66" s="10">
        <f>#REF!-#REF!</f>
        <v>0.56460858104293332</v>
      </c>
      <c r="V66" s="10">
        <f>#REF!-#REF!</f>
        <v>0.5907042459080154</v>
      </c>
      <c r="W66" s="10">
        <f>#REF!-#REF!</f>
        <v>0</v>
      </c>
      <c r="X66" s="10">
        <f>#REF!-#REF!</f>
        <v>0</v>
      </c>
      <c r="Y66" s="10">
        <f>#REF!-#REF!</f>
        <v>0</v>
      </c>
      <c r="Z66" s="10">
        <f>#REF!-#REF!</f>
        <v>0</v>
      </c>
      <c r="AA66" s="12">
        <v>193.97380504054999</v>
      </c>
      <c r="AB66" s="13">
        <v>202.93908750153</v>
      </c>
      <c r="AC66">
        <f t="shared" si="16"/>
        <v>0.96085152765829029</v>
      </c>
      <c r="AD66">
        <f t="shared" si="17"/>
        <v>0.96085152765829007</v>
      </c>
      <c r="AE66">
        <f t="shared" si="18"/>
        <v>0.99999999999999978</v>
      </c>
      <c r="AF66">
        <f t="shared" si="19"/>
        <v>0</v>
      </c>
      <c r="AG66">
        <f t="shared" si="20"/>
        <v>0</v>
      </c>
      <c r="AH66">
        <f t="shared" si="21"/>
        <v>3.9148472341709636E-2</v>
      </c>
      <c r="AI66">
        <f t="shared" si="22"/>
        <v>0.99999999999999967</v>
      </c>
      <c r="AJ66">
        <f t="shared" si="23"/>
        <v>0</v>
      </c>
      <c r="AK66">
        <f t="shared" si="24"/>
        <v>0.1508881983317307</v>
      </c>
      <c r="AL66">
        <f t="shared" si="25"/>
        <v>0.14422237887463799</v>
      </c>
    </row>
    <row r="67" spans="1:38" x14ac:dyDescent="0.35">
      <c r="A67" s="15" t="s">
        <v>56</v>
      </c>
      <c r="B67" s="22" t="s">
        <v>67</v>
      </c>
      <c r="C67" s="10">
        <v>0</v>
      </c>
      <c r="D67" s="10">
        <f>#REF!-#REF!</f>
        <v>0</v>
      </c>
      <c r="E67" s="10">
        <v>0</v>
      </c>
      <c r="F67" s="10">
        <f>#REF!-#REF!</f>
        <v>0</v>
      </c>
      <c r="G67" s="10">
        <f>#REF!-#REF!</f>
        <v>7.1492515149594507</v>
      </c>
      <c r="H67" s="10">
        <v>0</v>
      </c>
      <c r="I67" s="10">
        <f>#REF!-#REF!</f>
        <v>7.5079231421979111</v>
      </c>
      <c r="J67" s="10">
        <f>#REF!-#REF!</f>
        <v>0</v>
      </c>
      <c r="K67" s="10">
        <f>#REF!-#REF!</f>
        <v>-1.9744090578931335</v>
      </c>
      <c r="L67" s="10">
        <f>#REF!-#REF!</f>
        <v>-2.4511712488266704</v>
      </c>
      <c r="M67" s="10">
        <f>#REF!-#REF!</f>
        <v>0</v>
      </c>
      <c r="N67" s="10">
        <f>#REF!-#REF!</f>
        <v>0</v>
      </c>
      <c r="O67" s="10">
        <f>#REF!-#REF!</f>
        <v>-1.9744090578931335</v>
      </c>
      <c r="P67" s="10">
        <f>#REF!-#REF!</f>
        <v>-2.4511712488266704</v>
      </c>
      <c r="Q67" s="10">
        <f>#REF!-#REF!</f>
        <v>0</v>
      </c>
      <c r="R67" s="10">
        <f>#REF!-#REF!</f>
        <v>0</v>
      </c>
      <c r="S67" s="10">
        <f>#REF!-#REF!</f>
        <v>1.7426601170731044</v>
      </c>
      <c r="T67" s="10">
        <f>#REF!-#REF!</f>
        <v>2.1634616992714961</v>
      </c>
      <c r="U67" s="10">
        <f>#REF!-#REF!</f>
        <v>-8.7427717238133695E-2</v>
      </c>
      <c r="V67" s="10">
        <f>#REF!-#REF!</f>
        <v>-0.10853896055022094</v>
      </c>
      <c r="W67" s="10">
        <f>#REF!-#REF!</f>
        <v>1.8300878343112383</v>
      </c>
      <c r="X67" s="10">
        <f>#REF!-#REF!</f>
        <v>2.2720006598217175</v>
      </c>
      <c r="Y67" s="10">
        <f>#REF!-#REF!</f>
        <v>0</v>
      </c>
      <c r="Z67" s="10">
        <f>#REF!-#REF!</f>
        <v>0</v>
      </c>
      <c r="AA67" s="12">
        <v>330.45426768437</v>
      </c>
      <c r="AB67" s="13">
        <v>410.24933347112</v>
      </c>
      <c r="AC67">
        <f t="shared" ref="AC67:AC130" si="26">C67/(C67+G67)</f>
        <v>0</v>
      </c>
      <c r="AD67">
        <f t="shared" ref="AD67:AD130" si="27">(E67/(C67+G67))</f>
        <v>0</v>
      </c>
      <c r="AE67" t="e">
        <f t="shared" ref="AE67:AE130" si="28">(E67/C67)</f>
        <v>#DIV/0!</v>
      </c>
      <c r="AF67">
        <f t="shared" ref="AF67:AF130" si="29">(D67/(C67+G67))</f>
        <v>0</v>
      </c>
      <c r="AG67" t="e">
        <f t="shared" ref="AG67:AG130" si="30">(D67/(C67))</f>
        <v>#DIV/0!</v>
      </c>
      <c r="AH67">
        <f t="shared" ref="AH67:AH130" si="31">(G67/(C67+G67))</f>
        <v>1</v>
      </c>
      <c r="AI67">
        <f t="shared" ref="AI67:AI130" si="32">(H67/G67)</f>
        <v>0</v>
      </c>
      <c r="AJ67">
        <f t="shared" ref="AJ67:AJ130" si="33">I67/G67</f>
        <v>1.0501691158141462</v>
      </c>
      <c r="AK67">
        <f t="shared" ref="AK67:AK130" si="34">(C67+G67)/AA67</f>
        <v>2.1634616992714965E-2</v>
      </c>
      <c r="AL67">
        <f t="shared" ref="AL67:AL130" si="35">(C67+G67)/AB67</f>
        <v>1.7426601170731044E-2</v>
      </c>
    </row>
    <row r="68" spans="1:38" x14ac:dyDescent="0.35">
      <c r="A68" s="15" t="s">
        <v>57</v>
      </c>
      <c r="B68" s="22" t="s">
        <v>67</v>
      </c>
      <c r="C68" s="10">
        <f>#REF!-#REF!</f>
        <v>0</v>
      </c>
      <c r="D68" s="10">
        <f>#REF!-#REF!</f>
        <v>0</v>
      </c>
      <c r="E68" s="10">
        <f>#REF!-#REF!</f>
        <v>0</v>
      </c>
      <c r="F68" s="10">
        <f>#REF!-#REF!</f>
        <v>0</v>
      </c>
      <c r="G68" s="10">
        <f>#REF!-#REF!</f>
        <v>0</v>
      </c>
      <c r="H68" s="10">
        <f>#REF!-#REF!</f>
        <v>0</v>
      </c>
      <c r="I68" s="10">
        <f>#REF!-#REF!</f>
        <v>0</v>
      </c>
      <c r="J68" s="10">
        <f>#REF!-#REF!</f>
        <v>0</v>
      </c>
      <c r="K68" s="10">
        <f>#REF!-#REF!</f>
        <v>0</v>
      </c>
      <c r="L68" s="10">
        <f>#REF!-#REF!</f>
        <v>0</v>
      </c>
      <c r="M68" s="10">
        <f>#REF!-#REF!</f>
        <v>0</v>
      </c>
      <c r="N68" s="10">
        <f>#REF!-#REF!</f>
        <v>0</v>
      </c>
      <c r="O68" s="10">
        <f>#REF!-#REF!</f>
        <v>0</v>
      </c>
      <c r="P68" s="10">
        <f>#REF!-#REF!</f>
        <v>0</v>
      </c>
      <c r="Q68" s="10">
        <f>#REF!-#REF!</f>
        <v>0</v>
      </c>
      <c r="R68" s="10">
        <f>#REF!-#REF!</f>
        <v>0</v>
      </c>
      <c r="S68" s="10">
        <f>#REF!-#REF!</f>
        <v>0</v>
      </c>
      <c r="T68" s="10">
        <f>#REF!-#REF!</f>
        <v>0</v>
      </c>
      <c r="U68" s="10">
        <f>#REF!-#REF!</f>
        <v>0</v>
      </c>
      <c r="V68" s="10">
        <f>#REF!-#REF!</f>
        <v>0</v>
      </c>
      <c r="W68" s="10">
        <f>#REF!-#REF!</f>
        <v>0</v>
      </c>
      <c r="X68" s="10">
        <f>#REF!-#REF!</f>
        <v>0</v>
      </c>
      <c r="Y68" s="10">
        <f>#REF!-#REF!</f>
        <v>0</v>
      </c>
      <c r="Z68" s="10">
        <f>#REF!-#REF!</f>
        <v>0</v>
      </c>
      <c r="AA68" s="12">
        <v>341.21592570296002</v>
      </c>
      <c r="AB68" s="13">
        <v>222.36238134761999</v>
      </c>
      <c r="AC68" t="e">
        <f t="shared" si="26"/>
        <v>#DIV/0!</v>
      </c>
      <c r="AD68" t="e">
        <f t="shared" si="27"/>
        <v>#DIV/0!</v>
      </c>
      <c r="AE68" t="e">
        <f t="shared" si="28"/>
        <v>#DIV/0!</v>
      </c>
      <c r="AF68" t="e">
        <f t="shared" si="29"/>
        <v>#DIV/0!</v>
      </c>
      <c r="AG68" t="e">
        <f t="shared" si="30"/>
        <v>#DIV/0!</v>
      </c>
      <c r="AH68" t="e">
        <f t="shared" si="31"/>
        <v>#DIV/0!</v>
      </c>
      <c r="AI68" t="e">
        <f t="shared" si="32"/>
        <v>#DIV/0!</v>
      </c>
      <c r="AJ68" t="e">
        <f t="shared" si="33"/>
        <v>#DIV/0!</v>
      </c>
      <c r="AK68">
        <f t="shared" si="34"/>
        <v>0</v>
      </c>
      <c r="AL68">
        <f t="shared" si="35"/>
        <v>0</v>
      </c>
    </row>
    <row r="69" spans="1:38" x14ac:dyDescent="0.35">
      <c r="A69" s="15" t="s">
        <v>58</v>
      </c>
      <c r="B69" s="22" t="s">
        <v>67</v>
      </c>
      <c r="C69" s="10">
        <f>#REF!-#REF!</f>
        <v>0</v>
      </c>
      <c r="D69" s="10">
        <f>#REF!-#REF!</f>
        <v>0</v>
      </c>
      <c r="E69" s="10">
        <f>#REF!-#REF!</f>
        <v>0</v>
      </c>
      <c r="F69" s="10">
        <f>#REF!-#REF!</f>
        <v>0</v>
      </c>
      <c r="G69" s="10">
        <f>#REF!-#REF!</f>
        <v>0</v>
      </c>
      <c r="H69" s="10">
        <f>#REF!-#REF!</f>
        <v>0</v>
      </c>
      <c r="I69" s="10">
        <f>#REF!-#REF!</f>
        <v>0</v>
      </c>
      <c r="J69" s="10">
        <f>#REF!-#REF!</f>
        <v>0</v>
      </c>
      <c r="K69" s="10">
        <f>#REF!-#REF!</f>
        <v>0</v>
      </c>
      <c r="L69" s="10">
        <f>#REF!-#REF!</f>
        <v>0</v>
      </c>
      <c r="M69" s="10">
        <f>#REF!-#REF!</f>
        <v>0</v>
      </c>
      <c r="N69" s="10">
        <f>#REF!-#REF!</f>
        <v>0</v>
      </c>
      <c r="O69" s="10">
        <f>#REF!-#REF!</f>
        <v>0</v>
      </c>
      <c r="P69" s="10">
        <f>#REF!-#REF!</f>
        <v>0</v>
      </c>
      <c r="Q69" s="10">
        <f>#REF!-#REF!</f>
        <v>0</v>
      </c>
      <c r="R69" s="10">
        <f>#REF!-#REF!</f>
        <v>0</v>
      </c>
      <c r="S69" s="10">
        <f>#REF!-#REF!</f>
        <v>0</v>
      </c>
      <c r="T69" s="10">
        <f>#REF!-#REF!</f>
        <v>0</v>
      </c>
      <c r="U69" s="10">
        <f>#REF!-#REF!</f>
        <v>0</v>
      </c>
      <c r="V69" s="10">
        <f>#REF!-#REF!</f>
        <v>0</v>
      </c>
      <c r="W69" s="10">
        <f>#REF!-#REF!</f>
        <v>0</v>
      </c>
      <c r="X69" s="10">
        <f>#REF!-#REF!</f>
        <v>0</v>
      </c>
      <c r="Y69" s="10">
        <f>#REF!-#REF!</f>
        <v>0</v>
      </c>
      <c r="Z69" s="10">
        <f>#REF!-#REF!</f>
        <v>0</v>
      </c>
      <c r="AA69" s="12">
        <v>181.71174374815001</v>
      </c>
      <c r="AB69" s="13">
        <v>99.489061173690004</v>
      </c>
      <c r="AC69" t="e">
        <f t="shared" si="26"/>
        <v>#DIV/0!</v>
      </c>
      <c r="AD69" t="e">
        <f t="shared" si="27"/>
        <v>#DIV/0!</v>
      </c>
      <c r="AE69" t="e">
        <f t="shared" si="28"/>
        <v>#DIV/0!</v>
      </c>
      <c r="AF69" t="e">
        <f t="shared" si="29"/>
        <v>#DIV/0!</v>
      </c>
      <c r="AG69" t="e">
        <f t="shared" si="30"/>
        <v>#DIV/0!</v>
      </c>
      <c r="AH69" t="e">
        <f t="shared" si="31"/>
        <v>#DIV/0!</v>
      </c>
      <c r="AI69" t="e">
        <f t="shared" si="32"/>
        <v>#DIV/0!</v>
      </c>
      <c r="AJ69" t="e">
        <f t="shared" si="33"/>
        <v>#DIV/0!</v>
      </c>
      <c r="AK69">
        <f t="shared" si="34"/>
        <v>0</v>
      </c>
      <c r="AL69">
        <f t="shared" si="35"/>
        <v>0</v>
      </c>
    </row>
    <row r="70" spans="1:38" x14ac:dyDescent="0.35">
      <c r="A70" s="15" t="s">
        <v>59</v>
      </c>
      <c r="B70" s="22" t="s">
        <v>67</v>
      </c>
      <c r="C70" s="10">
        <f>#REF!-#REF!</f>
        <v>0</v>
      </c>
      <c r="D70" s="10">
        <f>#REF!-#REF!</f>
        <v>0</v>
      </c>
      <c r="E70" s="10">
        <f>#REF!-#REF!</f>
        <v>0</v>
      </c>
      <c r="F70" s="10">
        <f>#REF!-#REF!</f>
        <v>0</v>
      </c>
      <c r="G70" s="10">
        <f>#REF!-#REF!</f>
        <v>0</v>
      </c>
      <c r="H70" s="10">
        <f>#REF!-#REF!</f>
        <v>0</v>
      </c>
      <c r="I70" s="10">
        <f>#REF!-#REF!</f>
        <v>0</v>
      </c>
      <c r="J70" s="10">
        <f>#REF!-#REF!</f>
        <v>0</v>
      </c>
      <c r="K70" s="10">
        <f>#REF!-#REF!</f>
        <v>0</v>
      </c>
      <c r="L70" s="10">
        <f>#REF!-#REF!</f>
        <v>0</v>
      </c>
      <c r="M70" s="10">
        <f>#REF!-#REF!</f>
        <v>0</v>
      </c>
      <c r="N70" s="10">
        <f>#REF!-#REF!</f>
        <v>0</v>
      </c>
      <c r="O70" s="10">
        <f>#REF!-#REF!</f>
        <v>0</v>
      </c>
      <c r="P70" s="10">
        <f>#REF!-#REF!</f>
        <v>0</v>
      </c>
      <c r="Q70" s="10">
        <f>#REF!-#REF!</f>
        <v>0</v>
      </c>
      <c r="R70" s="10">
        <f>#REF!-#REF!</f>
        <v>0</v>
      </c>
      <c r="S70" s="10">
        <f>#REF!-#REF!</f>
        <v>0</v>
      </c>
      <c r="T70" s="10">
        <f>#REF!-#REF!</f>
        <v>0</v>
      </c>
      <c r="U70" s="10">
        <f>#REF!-#REF!</f>
        <v>0</v>
      </c>
      <c r="V70" s="10">
        <f>#REF!-#REF!</f>
        <v>0</v>
      </c>
      <c r="W70" s="10">
        <f>#REF!-#REF!</f>
        <v>0</v>
      </c>
      <c r="X70" s="10">
        <f>#REF!-#REF!</f>
        <v>0</v>
      </c>
      <c r="Y70" s="10">
        <f>#REF!-#REF!</f>
        <v>0</v>
      </c>
      <c r="Z70" s="10">
        <f>#REF!-#REF!</f>
        <v>0</v>
      </c>
      <c r="AA70" s="12">
        <v>76.037366075549997</v>
      </c>
      <c r="AB70" s="13">
        <v>50.417977728389999</v>
      </c>
      <c r="AC70" t="e">
        <f t="shared" si="26"/>
        <v>#DIV/0!</v>
      </c>
      <c r="AD70" t="e">
        <f t="shared" si="27"/>
        <v>#DIV/0!</v>
      </c>
      <c r="AE70" t="e">
        <f t="shared" si="28"/>
        <v>#DIV/0!</v>
      </c>
      <c r="AF70" t="e">
        <f t="shared" si="29"/>
        <v>#DIV/0!</v>
      </c>
      <c r="AG70" t="e">
        <f t="shared" si="30"/>
        <v>#DIV/0!</v>
      </c>
      <c r="AH70" t="e">
        <f t="shared" si="31"/>
        <v>#DIV/0!</v>
      </c>
      <c r="AI70" t="e">
        <f t="shared" si="32"/>
        <v>#DIV/0!</v>
      </c>
      <c r="AJ70" t="e">
        <f t="shared" si="33"/>
        <v>#DIV/0!</v>
      </c>
      <c r="AK70">
        <f t="shared" si="34"/>
        <v>0</v>
      </c>
      <c r="AL70">
        <f t="shared" si="35"/>
        <v>0</v>
      </c>
    </row>
    <row r="71" spans="1:38" x14ac:dyDescent="0.35">
      <c r="A71" s="15" t="s">
        <v>60</v>
      </c>
      <c r="B71" s="22" t="s">
        <v>67</v>
      </c>
      <c r="C71" s="10">
        <f>#REF!-#REF!</f>
        <v>14.100437358322282</v>
      </c>
      <c r="D71" s="10">
        <f>#REF!-#REF!</f>
        <v>0.8349841230760352</v>
      </c>
      <c r="E71" s="10">
        <f>#REF!-#REF!</f>
        <v>13.265453235246245</v>
      </c>
      <c r="F71" s="10">
        <f>#REF!-#REF!</f>
        <v>34.112156247618515</v>
      </c>
      <c r="G71" s="10">
        <v>0</v>
      </c>
      <c r="H71" s="10">
        <f>#REF!-#REF!</f>
        <v>0</v>
      </c>
      <c r="I71" s="10">
        <v>0</v>
      </c>
      <c r="J71" s="10">
        <f>#REF!-#REF!</f>
        <v>0</v>
      </c>
      <c r="K71" s="10">
        <f>#REF!-#REF!</f>
        <v>2.5645492128637093</v>
      </c>
      <c r="L71" s="10">
        <f>#REF!-#REF!</f>
        <v>2.7063945913817236</v>
      </c>
      <c r="M71" s="10">
        <f>#REF!-#REF!</f>
        <v>0.15186464229242372</v>
      </c>
      <c r="N71" s="10">
        <f>#REF!-#REF!</f>
        <v>0.16026428522437489</v>
      </c>
      <c r="O71" s="10">
        <f>#REF!-#REF!</f>
        <v>2.4126845705712858</v>
      </c>
      <c r="P71" s="10">
        <f>#REF!-#REF!</f>
        <v>2.546130306157349</v>
      </c>
      <c r="Q71" s="10">
        <f>#REF!-#REF!</f>
        <v>6.2042262399953607</v>
      </c>
      <c r="R71" s="10">
        <f>#REF!-#REF!</f>
        <v>6.5473823841665366</v>
      </c>
      <c r="S71" s="10">
        <f>#REF!-#REF!</f>
        <v>-0.28731401873801232</v>
      </c>
      <c r="T71" s="10">
        <f>#REF!-#REF!</f>
        <v>-0.30320537521384239</v>
      </c>
      <c r="U71" s="10">
        <f>#REF!-#REF!</f>
        <v>0</v>
      </c>
      <c r="V71" s="10">
        <f>#REF!-#REF!</f>
        <v>0</v>
      </c>
      <c r="W71" s="10">
        <f>#REF!-#REF!</f>
        <v>-0.28731401873801232</v>
      </c>
      <c r="X71" s="10">
        <f>#REF!-#REF!</f>
        <v>-0.30320537521384239</v>
      </c>
      <c r="Y71" s="10">
        <f>#REF!-#REF!</f>
        <v>0</v>
      </c>
      <c r="Z71" s="10">
        <f>#REF!-#REF!</f>
        <v>0</v>
      </c>
      <c r="AA71" s="12">
        <v>521.00449074291998</v>
      </c>
      <c r="AB71" s="13">
        <v>549.82128194673999</v>
      </c>
      <c r="AC71">
        <f t="shared" si="26"/>
        <v>1</v>
      </c>
      <c r="AD71">
        <f t="shared" si="27"/>
        <v>0.94078310467559945</v>
      </c>
      <c r="AE71">
        <f t="shared" si="28"/>
        <v>0.94078310467559945</v>
      </c>
      <c r="AF71">
        <f t="shared" si="29"/>
        <v>5.921689532440038E-2</v>
      </c>
      <c r="AG71">
        <f t="shared" si="30"/>
        <v>5.921689532440038E-2</v>
      </c>
      <c r="AH71">
        <f t="shared" si="31"/>
        <v>0</v>
      </c>
      <c r="AI71" t="e">
        <f t="shared" si="32"/>
        <v>#DIV/0!</v>
      </c>
      <c r="AJ71" t="e">
        <f t="shared" si="33"/>
        <v>#DIV/0!</v>
      </c>
      <c r="AK71">
        <f t="shared" si="34"/>
        <v>2.706394591381724E-2</v>
      </c>
      <c r="AL71">
        <f t="shared" si="35"/>
        <v>2.5645492128637103E-2</v>
      </c>
    </row>
    <row r="72" spans="1:38" x14ac:dyDescent="0.35">
      <c r="A72" s="19" t="s">
        <v>61</v>
      </c>
      <c r="B72" s="23" t="s">
        <v>67</v>
      </c>
      <c r="C72" s="10">
        <f>#REF!-#REF!</f>
        <v>30.27282054763505</v>
      </c>
      <c r="D72" s="10">
        <f>#REF!-#REF!</f>
        <v>2.6975353066185432</v>
      </c>
      <c r="E72" s="10">
        <f>#REF!-#REF!</f>
        <v>27.575285241016505</v>
      </c>
      <c r="F72" s="10">
        <f>#REF!-#REF!</f>
        <v>0</v>
      </c>
      <c r="G72" s="10">
        <f>#REF!-#REF!</f>
        <v>42.741449230002956</v>
      </c>
      <c r="H72" s="10">
        <v>0</v>
      </c>
      <c r="I72" s="10">
        <f>#REF!-#REF!</f>
        <v>42.84983632000295</v>
      </c>
      <c r="J72" s="10">
        <f>#REF!-#REF!</f>
        <v>0</v>
      </c>
      <c r="K72" s="10">
        <f>#REF!-#REF!</f>
        <v>4.051990917785762</v>
      </c>
      <c r="L72" s="10">
        <f>#REF!-#REF!</f>
        <v>5.1239153771523451</v>
      </c>
      <c r="M72" s="10">
        <f>#REF!-#REF!</f>
        <v>0.3610627739699882</v>
      </c>
      <c r="N72" s="10">
        <f>#REF!-#REF!</f>
        <v>0.45657928095087619</v>
      </c>
      <c r="O72" s="10">
        <f>#REF!-#REF!</f>
        <v>3.6909281438157735</v>
      </c>
      <c r="P72" s="10">
        <f>#REF!-#REF!</f>
        <v>4.6673360962014687</v>
      </c>
      <c r="Q72" s="10">
        <f>#REF!-#REF!</f>
        <v>0</v>
      </c>
      <c r="R72" s="10">
        <f>#REF!-#REF!</f>
        <v>0</v>
      </c>
      <c r="S72" s="10">
        <f>#REF!-#REF!</f>
        <v>5.7209061118192661</v>
      </c>
      <c r="T72" s="10">
        <f>#REF!-#REF!</f>
        <v>7.2343298374454648</v>
      </c>
      <c r="U72" s="10">
        <f>#REF!-#REF!</f>
        <v>-1.4507518504731386E-2</v>
      </c>
      <c r="V72" s="10">
        <f>#REF!-#REF!</f>
        <v>-1.8345376053146827E-2</v>
      </c>
      <c r="W72" s="10">
        <f>#REF!-#REF!</f>
        <v>5.7354136303239978</v>
      </c>
      <c r="X72" s="10">
        <f>#REF!-#REF!</f>
        <v>7.2526752134986117</v>
      </c>
      <c r="Y72" s="10">
        <f>#REF!-#REF!</f>
        <v>0</v>
      </c>
      <c r="Z72" s="10">
        <f>#REF!-#REF!</f>
        <v>0</v>
      </c>
      <c r="AA72" s="12">
        <v>590.81421763174001</v>
      </c>
      <c r="AB72" s="13">
        <v>747.10978286638999</v>
      </c>
      <c r="AC72">
        <f t="shared" si="26"/>
        <v>0.4146151244110185</v>
      </c>
      <c r="AD72">
        <f t="shared" si="27"/>
        <v>0.37766980790187887</v>
      </c>
      <c r="AE72">
        <f t="shared" si="28"/>
        <v>0.91089250166254232</v>
      </c>
      <c r="AF72">
        <f t="shared" si="29"/>
        <v>3.6945316509139618E-2</v>
      </c>
      <c r="AG72">
        <f t="shared" si="30"/>
        <v>8.9107498337457625E-2</v>
      </c>
      <c r="AH72">
        <f t="shared" si="31"/>
        <v>0.58538487558898156</v>
      </c>
      <c r="AI72">
        <f t="shared" si="32"/>
        <v>0</v>
      </c>
      <c r="AJ72">
        <f t="shared" si="33"/>
        <v>1.0025358777475404</v>
      </c>
      <c r="AK72">
        <f t="shared" si="34"/>
        <v>0.12358245214597811</v>
      </c>
      <c r="AL72">
        <f t="shared" si="35"/>
        <v>9.772897029605028E-2</v>
      </c>
    </row>
    <row r="73" spans="1:38" x14ac:dyDescent="0.35">
      <c r="A73" s="9" t="s">
        <v>62</v>
      </c>
      <c r="B73" s="22" t="s">
        <v>67</v>
      </c>
      <c r="C73" s="10">
        <f>#REF!-#REF!</f>
        <v>13.597478788559124</v>
      </c>
      <c r="D73" s="10">
        <f>#REF!-#REF!</f>
        <v>0.72138312864748477</v>
      </c>
      <c r="E73" s="10">
        <f>#REF!-#REF!</f>
        <v>12.876095659911639</v>
      </c>
      <c r="F73" s="10">
        <v>0</v>
      </c>
      <c r="G73" s="10">
        <f>#REF!-#REF!</f>
        <v>3.1944951681043254</v>
      </c>
      <c r="H73" s="10">
        <f>#REF!-#REF!</f>
        <v>0.18207469297122714</v>
      </c>
      <c r="I73" s="10">
        <f>#REF!-#REF!</f>
        <v>3.0124204751330983</v>
      </c>
      <c r="J73" s="10">
        <f>#REF!-#REF!</f>
        <v>0</v>
      </c>
      <c r="K73" s="10">
        <f>#REF!-#REF!</f>
        <v>5.1906806204374947</v>
      </c>
      <c r="L73" s="10">
        <f>#REF!-#REF!</f>
        <v>3.0813115073237958</v>
      </c>
      <c r="M73" s="10">
        <f>#REF!-#REF!</f>
        <v>0.27537968501422866</v>
      </c>
      <c r="N73" s="10">
        <f>#REF!-#REF!</f>
        <v>0.16347193255862988</v>
      </c>
      <c r="O73" s="10">
        <f>#REF!-#REF!</f>
        <v>4.9153009354232662</v>
      </c>
      <c r="P73" s="10">
        <f>#REF!-#REF!</f>
        <v>2.917839574765166</v>
      </c>
      <c r="Q73" s="10">
        <f>#REF!-#REF!</f>
        <v>-0.34495267489070014</v>
      </c>
      <c r="R73" s="10">
        <f>#REF!-#REF!</f>
        <v>-0.20477211455426669</v>
      </c>
      <c r="S73" s="10">
        <f>#REF!-#REF!</f>
        <v>1.2194616677844754</v>
      </c>
      <c r="T73" s="10">
        <f>#REF!-#REF!</f>
        <v>0.72390145810355577</v>
      </c>
      <c r="U73" s="10">
        <f>#REF!-#REF!</f>
        <v>6.95049130043911E-2</v>
      </c>
      <c r="V73" s="10">
        <f>#REF!-#REF!</f>
        <v>4.1259769944758884E-2</v>
      </c>
      <c r="W73" s="10">
        <f>#REF!-#REF!</f>
        <v>1.1499567547800842</v>
      </c>
      <c r="X73" s="10">
        <f>#REF!-#REF!</f>
        <v>0.68264168815879689</v>
      </c>
      <c r="Y73" s="10">
        <f>#REF!-#REF!</f>
        <v>0</v>
      </c>
      <c r="Z73" s="10">
        <f>#REF!-#REF!</f>
        <v>0</v>
      </c>
      <c r="AA73" s="12">
        <v>441.28867711817003</v>
      </c>
      <c r="AB73" s="13">
        <v>261.95945739796002</v>
      </c>
      <c r="AC73">
        <f t="shared" si="26"/>
        <v>0.80976059298634895</v>
      </c>
      <c r="AD73">
        <f t="shared" si="27"/>
        <v>0.76680059730572059</v>
      </c>
      <c r="AE73">
        <f t="shared" si="28"/>
        <v>0.94694728781232196</v>
      </c>
      <c r="AF73">
        <f t="shared" si="29"/>
        <v>4.2959995680628298E-2</v>
      </c>
      <c r="AG73">
        <f t="shared" si="30"/>
        <v>5.3052712187678076E-2</v>
      </c>
      <c r="AH73">
        <f t="shared" si="31"/>
        <v>0.19023940701365097</v>
      </c>
      <c r="AI73">
        <f t="shared" si="32"/>
        <v>5.699639016179002E-2</v>
      </c>
      <c r="AJ73">
        <f t="shared" si="33"/>
        <v>0.94300360983820997</v>
      </c>
      <c r="AK73">
        <f t="shared" si="34"/>
        <v>3.8052129654273521E-2</v>
      </c>
      <c r="AL73">
        <f t="shared" si="35"/>
        <v>6.4101422882219705E-2</v>
      </c>
    </row>
    <row r="74" spans="1:38" x14ac:dyDescent="0.35">
      <c r="A74" s="9" t="s">
        <v>63</v>
      </c>
      <c r="B74" s="22" t="s">
        <v>67</v>
      </c>
      <c r="C74" s="10">
        <f>#REF!-#REF!</f>
        <v>3.824337949750285</v>
      </c>
      <c r="D74" s="10">
        <f>#REF!-#REF!</f>
        <v>1.9136139057485111</v>
      </c>
      <c r="E74" s="10">
        <f>#REF!-#REF!</f>
        <v>1.9107240440017739</v>
      </c>
      <c r="F74" s="10">
        <f>#REF!-#REF!</f>
        <v>0.10508588169953384</v>
      </c>
      <c r="G74" s="10">
        <f>#REF!-#REF!</f>
        <v>0.88649371445437386</v>
      </c>
      <c r="H74" s="10">
        <f>#REF!-#REF!</f>
        <v>0.88649371445437386</v>
      </c>
      <c r="I74" s="10">
        <f>#REF!-#REF!</f>
        <v>0</v>
      </c>
      <c r="J74" s="10">
        <f>#REF!-#REF!</f>
        <v>0</v>
      </c>
      <c r="K74" s="10">
        <f>#REF!-#REF!</f>
        <v>1.1898790407164512</v>
      </c>
      <c r="L74" s="10">
        <f>#REF!-#REF!</f>
        <v>0.55387529870065522</v>
      </c>
      <c r="M74" s="10">
        <f>#REF!-#REF!</f>
        <v>0.59538908652734979</v>
      </c>
      <c r="N74" s="10">
        <f>#REF!-#REF!</f>
        <v>0.27714691734118102</v>
      </c>
      <c r="O74" s="10">
        <f>#REF!-#REF!</f>
        <v>0.59448995418910144</v>
      </c>
      <c r="P74" s="10">
        <f>#REF!-#REF!</f>
        <v>0.27672838135947414</v>
      </c>
      <c r="Q74" s="10">
        <f>#REF!-#REF!</f>
        <v>3.2695721390848427E-2</v>
      </c>
      <c r="R74" s="10">
        <f>#REF!-#REF!</f>
        <v>1.5219490243886932E-2</v>
      </c>
      <c r="S74" s="10">
        <f>#REF!-#REF!</f>
        <v>0.27581775052725399</v>
      </c>
      <c r="T74" s="10">
        <f>#REF!-#REF!</f>
        <v>0.12839005792407299</v>
      </c>
      <c r="U74" s="10">
        <f>#REF!-#REF!</f>
        <v>0.27581775052725399</v>
      </c>
      <c r="V74" s="10">
        <f>#REF!-#REF!</f>
        <v>0.12839005792407299</v>
      </c>
      <c r="W74" s="10">
        <f>#REF!-#REF!</f>
        <v>0</v>
      </c>
      <c r="X74" s="10">
        <f>#REF!-#REF!</f>
        <v>0</v>
      </c>
      <c r="Y74" s="10">
        <f>#REF!-#REF!</f>
        <v>0</v>
      </c>
      <c r="Z74" s="10">
        <f>#REF!-#REF!</f>
        <v>0</v>
      </c>
      <c r="AA74" s="12">
        <v>690.46912883131995</v>
      </c>
      <c r="AB74" s="13">
        <v>321.40560669490998</v>
      </c>
      <c r="AC74">
        <f t="shared" si="26"/>
        <v>0.81181800207585153</v>
      </c>
      <c r="AD74">
        <f t="shared" si="27"/>
        <v>0.4056022758190333</v>
      </c>
      <c r="AE74">
        <f t="shared" si="28"/>
        <v>0.49962217489867417</v>
      </c>
      <c r="AF74">
        <f t="shared" si="29"/>
        <v>0.40621572625681818</v>
      </c>
      <c r="AG74">
        <f t="shared" si="30"/>
        <v>0.50037782510132578</v>
      </c>
      <c r="AH74">
        <f t="shared" si="31"/>
        <v>0.18818199792414844</v>
      </c>
      <c r="AI74">
        <f t="shared" si="32"/>
        <v>1</v>
      </c>
      <c r="AJ74">
        <f t="shared" si="33"/>
        <v>0</v>
      </c>
      <c r="AK74">
        <f t="shared" si="34"/>
        <v>6.8226535662472823E-3</v>
      </c>
      <c r="AL74">
        <f t="shared" si="35"/>
        <v>1.4656967912437053E-2</v>
      </c>
    </row>
    <row r="75" spans="1:38" x14ac:dyDescent="0.35">
      <c r="A75" s="9" t="s">
        <v>64</v>
      </c>
      <c r="B75" s="22" t="s">
        <v>67</v>
      </c>
      <c r="C75" s="10">
        <f>#REF!-#REF!</f>
        <v>7.0500000000000007E-2</v>
      </c>
      <c r="D75" s="10">
        <f>#REF!-#REF!</f>
        <v>0</v>
      </c>
      <c r="E75" s="10">
        <f>#REF!-#REF!</f>
        <v>7.0500000000000007E-2</v>
      </c>
      <c r="F75" s="10">
        <f>#REF!-#REF!</f>
        <v>0.40684985167435311</v>
      </c>
      <c r="G75" s="10">
        <f>#REF!-#REF!</f>
        <v>0</v>
      </c>
      <c r="H75" s="10">
        <f>#REF!-#REF!</f>
        <v>0</v>
      </c>
      <c r="I75" s="10">
        <f>#REF!-#REF!</f>
        <v>0</v>
      </c>
      <c r="J75" s="10">
        <f>#REF!-#REF!</f>
        <v>0</v>
      </c>
      <c r="K75" s="10">
        <f>#REF!-#REF!</f>
        <v>0.10950181548544391</v>
      </c>
      <c r="L75" s="10">
        <f>#REF!-#REF!</f>
        <v>7.7274257091454079E-2</v>
      </c>
      <c r="M75" s="10">
        <f>#REF!-#REF!</f>
        <v>0</v>
      </c>
      <c r="N75" s="10">
        <f>#REF!-#REF!</f>
        <v>0</v>
      </c>
      <c r="O75" s="10">
        <f>#REF!-#REF!</f>
        <v>0.10950181548544391</v>
      </c>
      <c r="P75" s="10">
        <f>#REF!-#REF!</f>
        <v>7.7274257091454079E-2</v>
      </c>
      <c r="Q75" s="10">
        <f>#REF!-#REF!</f>
        <v>0.63192620408972</v>
      </c>
      <c r="R75" s="10">
        <f>#REF!-#REF!</f>
        <v>0.4459435466085665</v>
      </c>
      <c r="S75" s="10">
        <f>#REF!-#REF!</f>
        <v>0</v>
      </c>
      <c r="T75" s="10">
        <f>#REF!-#REF!</f>
        <v>0</v>
      </c>
      <c r="U75" s="10">
        <f>#REF!-#REF!</f>
        <v>0</v>
      </c>
      <c r="V75" s="10">
        <f>#REF!-#REF!</f>
        <v>0</v>
      </c>
      <c r="W75" s="10">
        <f>#REF!-#REF!</f>
        <v>0</v>
      </c>
      <c r="X75" s="10">
        <f>#REF!-#REF!</f>
        <v>0</v>
      </c>
      <c r="Y75" s="10">
        <f>#REF!-#REF!</f>
        <v>0</v>
      </c>
      <c r="Z75" s="10">
        <f>#REF!-#REF!</f>
        <v>0</v>
      </c>
      <c r="AA75" s="12">
        <v>91.233487908610002</v>
      </c>
      <c r="AB75" s="13">
        <v>64.38249419652</v>
      </c>
      <c r="AC75">
        <f t="shared" si="26"/>
        <v>1</v>
      </c>
      <c r="AD75">
        <f t="shared" si="27"/>
        <v>1</v>
      </c>
      <c r="AE75">
        <f t="shared" si="28"/>
        <v>1</v>
      </c>
      <c r="AF75">
        <f t="shared" si="29"/>
        <v>0</v>
      </c>
      <c r="AG75">
        <f t="shared" si="30"/>
        <v>0</v>
      </c>
      <c r="AH75">
        <f t="shared" si="31"/>
        <v>0</v>
      </c>
      <c r="AI75" t="e">
        <f t="shared" si="32"/>
        <v>#DIV/0!</v>
      </c>
      <c r="AJ75" t="e">
        <f t="shared" si="33"/>
        <v>#DIV/0!</v>
      </c>
      <c r="AK75">
        <f t="shared" si="34"/>
        <v>7.7274257091454121E-4</v>
      </c>
      <c r="AL75">
        <f t="shared" si="35"/>
        <v>1.0950181548544397E-3</v>
      </c>
    </row>
    <row r="76" spans="1:38" x14ac:dyDescent="0.35">
      <c r="A76" s="9" t="s">
        <v>65</v>
      </c>
      <c r="B76" s="22" t="s">
        <v>67</v>
      </c>
      <c r="C76" s="10">
        <f>#REF!-#REF!</f>
        <v>1.7694150329493317</v>
      </c>
      <c r="D76" s="10">
        <f>#REF!-#REF!</f>
        <v>1.7694150329493317</v>
      </c>
      <c r="E76" s="10">
        <f>#REF!-#REF!</f>
        <v>0</v>
      </c>
      <c r="F76" s="10">
        <f>#REF!-#REF!</f>
        <v>0</v>
      </c>
      <c r="G76" s="10">
        <f>#REF!-#REF!</f>
        <v>6.6270225953158493</v>
      </c>
      <c r="H76" s="10">
        <f>#REF!-#REF!</f>
        <v>0</v>
      </c>
      <c r="I76" s="10">
        <f>#REF!-#REF!</f>
        <v>6.6270225953158493</v>
      </c>
      <c r="J76" s="10">
        <f>#REF!-#REF!</f>
        <v>0</v>
      </c>
      <c r="K76" s="10">
        <f>#REF!-#REF!</f>
        <v>1.2005477809936589</v>
      </c>
      <c r="L76" s="10">
        <f>#REF!-#REF!</f>
        <v>0.57098503498506004</v>
      </c>
      <c r="M76" s="10">
        <f>#REF!-#REF!</f>
        <v>1.2005477809936589</v>
      </c>
      <c r="N76" s="10">
        <f>#REF!-#REF!</f>
        <v>0.57098503498505992</v>
      </c>
      <c r="O76" s="10">
        <f>#REF!-#REF!</f>
        <v>0</v>
      </c>
      <c r="P76" s="10">
        <f>#REF!-#REF!</f>
        <v>0</v>
      </c>
      <c r="Q76" s="10">
        <f>#REF!-#REF!</f>
        <v>0</v>
      </c>
      <c r="R76" s="10">
        <f>#REF!-#REF!</f>
        <v>0</v>
      </c>
      <c r="S76" s="10">
        <f>#REF!-#REF!</f>
        <v>4.4964336366803703</v>
      </c>
      <c r="T76" s="10">
        <f>#REF!-#REF!</f>
        <v>2.1385207302811238</v>
      </c>
      <c r="U76" s="10">
        <f>#REF!-#REF!</f>
        <v>0</v>
      </c>
      <c r="V76" s="10">
        <f>#REF!-#REF!</f>
        <v>0</v>
      </c>
      <c r="W76" s="10">
        <f>#REF!-#REF!</f>
        <v>4.4964336366803703</v>
      </c>
      <c r="X76" s="10">
        <f>#REF!-#REF!</f>
        <v>2.1385207302811238</v>
      </c>
      <c r="Y76" s="10">
        <f>#REF!-#REF!</f>
        <v>0</v>
      </c>
      <c r="Z76" s="10">
        <f>#REF!-#REF!</f>
        <v>0</v>
      </c>
      <c r="AA76" s="12">
        <v>309.88816247970999</v>
      </c>
      <c r="AB76" s="13">
        <v>147.38397429586999</v>
      </c>
      <c r="AC76">
        <f t="shared" si="26"/>
        <v>0.21073401736385161</v>
      </c>
      <c r="AD76">
        <f t="shared" si="27"/>
        <v>0</v>
      </c>
      <c r="AE76">
        <f t="shared" si="28"/>
        <v>0</v>
      </c>
      <c r="AF76">
        <f t="shared" si="29"/>
        <v>0.21073401736385161</v>
      </c>
      <c r="AG76">
        <f t="shared" si="30"/>
        <v>1</v>
      </c>
      <c r="AH76">
        <f t="shared" si="31"/>
        <v>0.78926598263614844</v>
      </c>
      <c r="AI76">
        <f t="shared" si="32"/>
        <v>0</v>
      </c>
      <c r="AJ76">
        <f t="shared" si="33"/>
        <v>1</v>
      </c>
      <c r="AK76">
        <f t="shared" si="34"/>
        <v>2.7095057652661837E-2</v>
      </c>
      <c r="AL76">
        <f t="shared" si="35"/>
        <v>5.696981417674029E-2</v>
      </c>
    </row>
    <row r="77" spans="1:38" x14ac:dyDescent="0.35">
      <c r="A77" s="9" t="s">
        <v>66</v>
      </c>
      <c r="B77" s="22" t="s">
        <v>67</v>
      </c>
      <c r="C77" s="10">
        <f>#REF!-#REF!</f>
        <v>26.050977899376022</v>
      </c>
      <c r="D77" s="10">
        <v>0</v>
      </c>
      <c r="E77" s="10">
        <f>#REF!-#REF!</f>
        <v>31.84523159350082</v>
      </c>
      <c r="F77" s="10">
        <f>#REF!-#REF!</f>
        <v>0</v>
      </c>
      <c r="G77" s="10">
        <f>#REF!-#REF!</f>
        <v>2.2029678393841223</v>
      </c>
      <c r="H77" s="10">
        <f>#REF!-#REF!</f>
        <v>0</v>
      </c>
      <c r="I77" s="10">
        <f>#REF!-#REF!</f>
        <v>2.2029678393841223</v>
      </c>
      <c r="J77" s="10">
        <f>#REF!-#REF!</f>
        <v>9.8869334416288517</v>
      </c>
      <c r="K77" s="10">
        <f>#REF!-#REF!</f>
        <v>4.5583264760584807</v>
      </c>
      <c r="L77" s="10">
        <f>#REF!-#REF!</f>
        <v>2.1433674290644995</v>
      </c>
      <c r="M77" s="10">
        <f>#REF!-#REF!</f>
        <v>-1.013862133120206</v>
      </c>
      <c r="N77" s="10">
        <f>#REF!-#REF!</f>
        <v>-0.4767273878045557</v>
      </c>
      <c r="O77" s="10">
        <f>#REF!-#REF!</f>
        <v>5.5721886091786867</v>
      </c>
      <c r="P77" s="10">
        <f>#REF!-#REF!</f>
        <v>2.620094816869055</v>
      </c>
      <c r="Q77" s="10">
        <f>#REF!-#REF!</f>
        <v>0</v>
      </c>
      <c r="R77" s="10">
        <f>#REF!-#REF!</f>
        <v>0</v>
      </c>
      <c r="S77" s="10">
        <f>#REF!-#REF!</f>
        <v>0.38546908553519321</v>
      </c>
      <c r="T77" s="10">
        <f>#REF!-#REF!</f>
        <v>0.1812511427575092</v>
      </c>
      <c r="U77" s="10">
        <f>#REF!-#REF!</f>
        <v>0</v>
      </c>
      <c r="V77" s="10">
        <f>#REF!-#REF!</f>
        <v>0</v>
      </c>
      <c r="W77" s="10">
        <f>#REF!-#REF!</f>
        <v>0.38546908553519321</v>
      </c>
      <c r="X77" s="10">
        <f>#REF!-#REF!</f>
        <v>0.1812511427575092</v>
      </c>
      <c r="Y77" s="10">
        <f>#REF!-#REF!</f>
        <v>1.7299876668001881</v>
      </c>
      <c r="Z77" s="10">
        <f>#REF!-#REF!</f>
        <v>0.81345626233184243</v>
      </c>
      <c r="AA77" s="12">
        <v>1215.4228689920101</v>
      </c>
      <c r="AB77" s="13">
        <v>571.50311712429004</v>
      </c>
      <c r="AC77">
        <f t="shared" si="26"/>
        <v>0.92202972782091874</v>
      </c>
      <c r="AD77">
        <f t="shared" si="27"/>
        <v>1.1271074096321341</v>
      </c>
      <c r="AE77">
        <f t="shared" si="28"/>
        <v>1.2224198153522514</v>
      </c>
      <c r="AF77">
        <f t="shared" si="29"/>
        <v>0</v>
      </c>
      <c r="AG77">
        <f t="shared" si="30"/>
        <v>0</v>
      </c>
      <c r="AH77">
        <f t="shared" si="31"/>
        <v>7.7970272179081285E-2</v>
      </c>
      <c r="AI77">
        <f t="shared" si="32"/>
        <v>0</v>
      </c>
      <c r="AJ77">
        <f t="shared" si="33"/>
        <v>1</v>
      </c>
      <c r="AK77">
        <f t="shared" si="34"/>
        <v>2.3246185718220083E-2</v>
      </c>
      <c r="AL77">
        <f t="shared" si="35"/>
        <v>4.9437955615936738E-2</v>
      </c>
    </row>
    <row r="78" spans="1:38" x14ac:dyDescent="0.35">
      <c r="A78" s="9" t="s">
        <v>28</v>
      </c>
      <c r="B78" s="22" t="s">
        <v>68</v>
      </c>
      <c r="C78" s="10">
        <f>#REF!-#REF!</f>
        <v>46.163418043456417</v>
      </c>
      <c r="D78" s="10">
        <f>#REF!-#REF!</f>
        <v>3.337102314023733</v>
      </c>
      <c r="E78" s="10">
        <f>#REF!-#REF!</f>
        <v>42.826315729432679</v>
      </c>
      <c r="F78" s="10">
        <f>#REF!-#REF!</f>
        <v>0</v>
      </c>
      <c r="G78" s="10">
        <f>#REF!-#REF!</f>
        <v>1.1942170290034007</v>
      </c>
      <c r="H78" s="10">
        <f>#REF!-#REF!</f>
        <v>0.5118072981443138</v>
      </c>
      <c r="I78" s="10">
        <f>#REF!-#REF!</f>
        <v>0.68240973085908685</v>
      </c>
      <c r="J78" s="10">
        <f>#REF!-#REF!</f>
        <v>0</v>
      </c>
      <c r="K78" s="10">
        <f>#REF!-#REF!</f>
        <v>3.0883222221251296</v>
      </c>
      <c r="L78" s="10">
        <f>#REF!-#REF!</f>
        <v>3.7637852817975812</v>
      </c>
      <c r="M78" s="10">
        <f>#REF!-#REF!</f>
        <v>0.22325138975201078</v>
      </c>
      <c r="N78" s="10">
        <f>#REF!-#REF!</f>
        <v>0.27207986552363955</v>
      </c>
      <c r="O78" s="10">
        <f>#REF!-#REF!</f>
        <v>2.86507083237312</v>
      </c>
      <c r="P78" s="10">
        <f>#REF!-#REF!</f>
        <v>3.4917054162739412</v>
      </c>
      <c r="Q78" s="10">
        <f>#REF!-#REF!</f>
        <v>0</v>
      </c>
      <c r="R78" s="10">
        <f>#REF!-#REF!</f>
        <v>0</v>
      </c>
      <c r="S78" s="10">
        <f>#REF!-#REF!</f>
        <v>7.9892849035563041E-2</v>
      </c>
      <c r="T78" s="10">
        <f>#REF!-#REF!</f>
        <v>9.7366630711873015E-2</v>
      </c>
      <c r="U78" s="10">
        <f>#REF!-#REF!</f>
        <v>3.42397924438127E-2</v>
      </c>
      <c r="V78" s="10">
        <f>#REF!-#REF!</f>
        <v>4.1728556019374086E-2</v>
      </c>
      <c r="W78" s="10">
        <f>#REF!-#REF!</f>
        <v>4.5653056591750452E-2</v>
      </c>
      <c r="X78" s="10">
        <f>#REF!-#REF!</f>
        <v>5.5638074692498929E-2</v>
      </c>
      <c r="Y78" s="10">
        <f>#REF!-#REF!</f>
        <v>0</v>
      </c>
      <c r="Z78" s="10">
        <f>#REF!-#REF!</f>
        <v>0</v>
      </c>
      <c r="AA78" s="12">
        <v>1226.51571721458</v>
      </c>
      <c r="AB78" s="13">
        <v>1494.77336635199</v>
      </c>
      <c r="AC78">
        <f t="shared" si="26"/>
        <v>0.97478300959969433</v>
      </c>
      <c r="AD78">
        <f t="shared" si="27"/>
        <v>0.90431702647114953</v>
      </c>
      <c r="AE78">
        <f t="shared" si="28"/>
        <v>0.92771110859073902</v>
      </c>
      <c r="AF78">
        <f t="shared" si="29"/>
        <v>7.0465983128544768E-2</v>
      </c>
      <c r="AG78">
        <f t="shared" si="30"/>
        <v>7.2288891409260828E-2</v>
      </c>
      <c r="AH78">
        <f t="shared" si="31"/>
        <v>2.5216990400305721E-2</v>
      </c>
      <c r="AI78">
        <f t="shared" si="32"/>
        <v>0.42857142857142794</v>
      </c>
      <c r="AJ78">
        <f t="shared" si="33"/>
        <v>0.57142857142857206</v>
      </c>
      <c r="AK78">
        <f t="shared" si="34"/>
        <v>3.861151912509455E-2</v>
      </c>
      <c r="AL78">
        <f t="shared" si="35"/>
        <v>3.1682150711606946E-2</v>
      </c>
    </row>
    <row r="79" spans="1:38" x14ac:dyDescent="0.35">
      <c r="A79" s="9" t="s">
        <v>30</v>
      </c>
      <c r="B79" s="22" t="s">
        <v>68</v>
      </c>
      <c r="C79" s="10">
        <f>#REF!-#REF!</f>
        <v>113.24279834523114</v>
      </c>
      <c r="D79" s="10">
        <f>#REF!-#REF!</f>
        <v>11.814177619868016</v>
      </c>
      <c r="E79" s="10">
        <f>#REF!-#REF!</f>
        <v>101.42862072536313</v>
      </c>
      <c r="F79" s="10">
        <f>#REF!-#REF!</f>
        <v>1.891168170782322</v>
      </c>
      <c r="G79" s="10">
        <f>#REF!-#REF!</f>
        <v>17.661004631055775</v>
      </c>
      <c r="H79" s="10">
        <f>#REF!-#REF!</f>
        <v>0.25966520513249014</v>
      </c>
      <c r="I79" s="10">
        <f>#REF!-#REF!</f>
        <v>17.401339425923275</v>
      </c>
      <c r="J79" s="10">
        <f>#REF!-#REF!</f>
        <v>0</v>
      </c>
      <c r="K79" s="10">
        <f>#REF!-#REF!</f>
        <v>6.6746704355389079</v>
      </c>
      <c r="L79" s="10">
        <f>#REF!-#REF!</f>
        <v>6.570558560398025</v>
      </c>
      <c r="M79" s="10">
        <f>#REF!-#REF!</f>
        <v>0.69634222424581427</v>
      </c>
      <c r="N79" s="10">
        <f>#REF!-#REF!</f>
        <v>0.6854806400812995</v>
      </c>
      <c r="O79" s="10">
        <f>#REF!-#REF!</f>
        <v>5.9783282112930936</v>
      </c>
      <c r="P79" s="10">
        <f>#REF!-#REF!</f>
        <v>5.8850779203167258</v>
      </c>
      <c r="Q79" s="10">
        <f>#REF!-#REF!</f>
        <v>0.11146778835039717</v>
      </c>
      <c r="R79" s="10">
        <f>#REF!-#REF!</f>
        <v>0.10972910768068589</v>
      </c>
      <c r="S79" s="10">
        <f>#REF!-#REF!</f>
        <v>1.0409614315027023</v>
      </c>
      <c r="T79" s="10">
        <f>#REF!-#REF!</f>
        <v>1.0247244580626296</v>
      </c>
      <c r="U79" s="10">
        <f>#REF!-#REF!</f>
        <v>1.5304987983008139E-2</v>
      </c>
      <c r="V79" s="10">
        <f>#REF!-#REF!</f>
        <v>1.5066259941929838E-2</v>
      </c>
      <c r="W79" s="10">
        <f>#REF!-#REF!</f>
        <v>1.025656443519694</v>
      </c>
      <c r="X79" s="10">
        <f>#REF!-#REF!</f>
        <v>1.0096581981206998</v>
      </c>
      <c r="Y79" s="10">
        <f>#REF!-#REF!</f>
        <v>0</v>
      </c>
      <c r="Z79" s="10">
        <f>#REF!-#REF!</f>
        <v>0</v>
      </c>
      <c r="AA79" s="12">
        <v>1723.48815255626</v>
      </c>
      <c r="AB79" s="13">
        <v>1696.60508992738</v>
      </c>
      <c r="AC79">
        <f t="shared" si="26"/>
        <v>0.86508409817356469</v>
      </c>
      <c r="AD79">
        <f t="shared" si="27"/>
        <v>0.7748332624357509</v>
      </c>
      <c r="AE79">
        <f t="shared" si="28"/>
        <v>0.89567391664190965</v>
      </c>
      <c r="AF79">
        <f t="shared" si="29"/>
        <v>9.0250835737813839E-2</v>
      </c>
      <c r="AG79">
        <f t="shared" si="30"/>
        <v>0.10432608335809049</v>
      </c>
      <c r="AH79">
        <f t="shared" si="31"/>
        <v>0.13491590182643548</v>
      </c>
      <c r="AI79">
        <f t="shared" si="32"/>
        <v>1.4702742599131936E-2</v>
      </c>
      <c r="AJ79">
        <f t="shared" si="33"/>
        <v>0.98529725740086749</v>
      </c>
      <c r="AK79">
        <f t="shared" si="34"/>
        <v>7.5952830184606551E-2</v>
      </c>
      <c r="AL79">
        <f t="shared" si="35"/>
        <v>7.7156318670416099E-2</v>
      </c>
    </row>
    <row r="80" spans="1:38" x14ac:dyDescent="0.35">
      <c r="A80" s="9" t="s">
        <v>31</v>
      </c>
      <c r="B80" s="22" t="s">
        <v>68</v>
      </c>
      <c r="C80" s="10">
        <f>#REF!-#REF!</f>
        <v>70.901973614972704</v>
      </c>
      <c r="D80" s="10">
        <f>#REF!-#REF!</f>
        <v>7.2616030042740149</v>
      </c>
      <c r="E80" s="10">
        <f>#REF!-#REF!</f>
        <v>63.640370610698689</v>
      </c>
      <c r="F80" s="10">
        <f>#REF!-#REF!</f>
        <v>3.9364390609140614</v>
      </c>
      <c r="G80" s="10">
        <f>#REF!-#REF!</f>
        <v>21.515670780233393</v>
      </c>
      <c r="H80" s="10">
        <f>#REF!-#REF!</f>
        <v>1.0569158725705172</v>
      </c>
      <c r="I80" s="10">
        <f>#REF!-#REF!</f>
        <v>20.458754907662865</v>
      </c>
      <c r="J80" s="10">
        <f>#REF!-#REF!</f>
        <v>0</v>
      </c>
      <c r="K80" s="10">
        <f>#REF!-#REF!</f>
        <v>2.7094785737205145</v>
      </c>
      <c r="L80" s="10">
        <f>#REF!-#REF!</f>
        <v>2.4389326619495169</v>
      </c>
      <c r="M80" s="10">
        <f>#REF!-#REF!</f>
        <v>0.27749802646946448</v>
      </c>
      <c r="N80" s="10">
        <f>#REF!-#REF!</f>
        <v>0.24978939008680295</v>
      </c>
      <c r="O80" s="10">
        <f>#REF!-#REF!</f>
        <v>2.4319805472510501</v>
      </c>
      <c r="P80" s="10">
        <f>#REF!-#REF!</f>
        <v>2.1891432718627142</v>
      </c>
      <c r="Q80" s="10">
        <f>#REF!-#REF!</f>
        <v>0.15042877861513881</v>
      </c>
      <c r="R80" s="10">
        <f>#REF!-#REF!</f>
        <v>0.13540821655505697</v>
      </c>
      <c r="S80" s="10">
        <f>#REF!-#REF!</f>
        <v>0.82220911500771621</v>
      </c>
      <c r="T80" s="10">
        <f>#REF!-#REF!</f>
        <v>0.7401101765463789</v>
      </c>
      <c r="U80" s="10">
        <f>#REF!-#REF!</f>
        <v>4.0389438614303996E-2</v>
      </c>
      <c r="V80" s="10">
        <f>#REF!-#REF!</f>
        <v>3.6356486443428926E-2</v>
      </c>
      <c r="W80" s="10">
        <f>#REF!-#REF!</f>
        <v>0.7818196763934111</v>
      </c>
      <c r="X80" s="10">
        <f>#REF!-#REF!</f>
        <v>0.70375369010294975</v>
      </c>
      <c r="Y80" s="10">
        <f>#REF!-#REF!</f>
        <v>0</v>
      </c>
      <c r="Z80" s="10">
        <f>#REF!-#REF!</f>
        <v>0</v>
      </c>
      <c r="AA80" s="12">
        <v>2907.0902498102801</v>
      </c>
      <c r="AB80" s="13">
        <v>2616.8124857180101</v>
      </c>
      <c r="AC80">
        <f t="shared" si="26"/>
        <v>0.7671908765795219</v>
      </c>
      <c r="AD80">
        <f t="shared" si="27"/>
        <v>0.68861710366207785</v>
      </c>
      <c r="AE80">
        <f t="shared" si="28"/>
        <v>0.89758249828548431</v>
      </c>
      <c r="AF80">
        <f t="shared" si="29"/>
        <v>7.8573772917443996E-2</v>
      </c>
      <c r="AG80">
        <f t="shared" si="30"/>
        <v>0.10241750171451572</v>
      </c>
      <c r="AH80">
        <f t="shared" si="31"/>
        <v>0.2328091234204781</v>
      </c>
      <c r="AI80">
        <f t="shared" si="32"/>
        <v>4.9123073287657561E-2</v>
      </c>
      <c r="AJ80">
        <f t="shared" si="33"/>
        <v>0.95087692671234192</v>
      </c>
      <c r="AK80">
        <f t="shared" si="34"/>
        <v>3.1790428384958935E-2</v>
      </c>
      <c r="AL80">
        <f t="shared" si="35"/>
        <v>3.5316876887282286E-2</v>
      </c>
    </row>
    <row r="81" spans="1:38" x14ac:dyDescent="0.35">
      <c r="A81" s="9" t="s">
        <v>32</v>
      </c>
      <c r="B81" s="22" t="s">
        <v>68</v>
      </c>
      <c r="C81" s="10">
        <v>0</v>
      </c>
      <c r="D81" s="10">
        <f>#REF!-#REF!</f>
        <v>1.1575745271012181</v>
      </c>
      <c r="E81" s="10">
        <v>0</v>
      </c>
      <c r="F81" s="10">
        <f>#REF!-#REF!</f>
        <v>0</v>
      </c>
      <c r="G81" s="10">
        <f>#REF!-#REF!</f>
        <v>51.335913810575676</v>
      </c>
      <c r="H81" s="10">
        <f>#REF!-#REF!</f>
        <v>10.065865453054073</v>
      </c>
      <c r="I81" s="10">
        <f>#REF!-#REF!</f>
        <v>41.270048357521659</v>
      </c>
      <c r="J81" s="10">
        <f>#REF!-#REF!</f>
        <v>0</v>
      </c>
      <c r="K81" s="10">
        <f>#REF!-#REF!</f>
        <v>-0.46446843798251258</v>
      </c>
      <c r="L81" s="10">
        <f>#REF!-#REF!</f>
        <v>-0.4014720796169966</v>
      </c>
      <c r="M81" s="10">
        <f>#REF!-#REF!</f>
        <v>3.2178827123090059E-2</v>
      </c>
      <c r="N81" s="10">
        <f>#REF!-#REF!</f>
        <v>2.7814377874324503E-2</v>
      </c>
      <c r="O81" s="10">
        <f>#REF!-#REF!</f>
        <v>-0.49664726510560264</v>
      </c>
      <c r="P81" s="10">
        <f>#REF!-#REF!</f>
        <v>-0.42928645749132066</v>
      </c>
      <c r="Q81" s="10">
        <f>#REF!-#REF!</f>
        <v>0</v>
      </c>
      <c r="R81" s="10">
        <f>#REF!-#REF!</f>
        <v>0</v>
      </c>
      <c r="S81" s="10">
        <f>#REF!-#REF!</f>
        <v>1.4270610289370396</v>
      </c>
      <c r="T81" s="10">
        <f>#REF!-#REF!</f>
        <v>1.2335071926874264</v>
      </c>
      <c r="U81" s="10">
        <f>#REF!-#REF!</f>
        <v>0.27981588802687085</v>
      </c>
      <c r="V81" s="10">
        <f>#REF!-#REF!</f>
        <v>0.24186415542890849</v>
      </c>
      <c r="W81" s="10">
        <f>#REF!-#REF!</f>
        <v>1.1472451409101687</v>
      </c>
      <c r="X81" s="10">
        <f>#REF!-#REF!</f>
        <v>0.99164303725851966</v>
      </c>
      <c r="Y81" s="10">
        <f>#REF!-#REF!</f>
        <v>0</v>
      </c>
      <c r="Z81" s="10">
        <f>#REF!-#REF!</f>
        <v>0</v>
      </c>
      <c r="AA81" s="12">
        <v>4161.7847155581303</v>
      </c>
      <c r="AB81" s="13">
        <v>3597.3173374942398</v>
      </c>
      <c r="AC81">
        <f t="shared" si="26"/>
        <v>0</v>
      </c>
      <c r="AD81">
        <f t="shared" si="27"/>
        <v>0</v>
      </c>
      <c r="AE81" t="e">
        <f t="shared" si="28"/>
        <v>#DIV/0!</v>
      </c>
      <c r="AF81">
        <f t="shared" si="29"/>
        <v>2.2549019607843175E-2</v>
      </c>
      <c r="AG81" t="e">
        <f t="shared" si="30"/>
        <v>#DIV/0!</v>
      </c>
      <c r="AH81">
        <f t="shared" si="31"/>
        <v>1</v>
      </c>
      <c r="AI81">
        <f t="shared" si="32"/>
        <v>0.19607843137254938</v>
      </c>
      <c r="AJ81">
        <f t="shared" si="33"/>
        <v>0.80392156862745168</v>
      </c>
      <c r="AK81">
        <f t="shared" si="34"/>
        <v>1.2335071926874309E-2</v>
      </c>
      <c r="AL81">
        <f t="shared" si="35"/>
        <v>1.4270610289370357E-2</v>
      </c>
    </row>
    <row r="82" spans="1:38" x14ac:dyDescent="0.35">
      <c r="A82" s="9" t="s">
        <v>33</v>
      </c>
      <c r="B82" s="22" t="s">
        <v>68</v>
      </c>
      <c r="C82" s="10">
        <f>#REF!-#REF!</f>
        <v>31.347147941889098</v>
      </c>
      <c r="D82" s="10">
        <f>#REF!-#REF!</f>
        <v>0.32714062722420767</v>
      </c>
      <c r="E82" s="10">
        <f>#REF!-#REF!</f>
        <v>31.020007314664888</v>
      </c>
      <c r="F82" s="10">
        <f>#REF!-#REF!</f>
        <v>0.35230529085683848</v>
      </c>
      <c r="G82" s="10">
        <f>#REF!-#REF!</f>
        <v>26.783472160680049</v>
      </c>
      <c r="H82" s="10">
        <f>#REF!-#REF!</f>
        <v>0.1089287100907681</v>
      </c>
      <c r="I82" s="10">
        <f>#REF!-#REF!</f>
        <v>26.67454345058934</v>
      </c>
      <c r="J82" s="10">
        <f>#REF!-#REF!</f>
        <v>0</v>
      </c>
      <c r="K82" s="10">
        <f>#REF!-#REF!</f>
        <v>1.6342321224199945</v>
      </c>
      <c r="L82" s="10">
        <f>#REF!-#REF!</f>
        <v>1.3409627752186619</v>
      </c>
      <c r="M82" s="10">
        <f>#REF!-#REF!</f>
        <v>1.7054939816199655E-2</v>
      </c>
      <c r="N82" s="10">
        <f>#REF!-#REF!</f>
        <v>1.3994364150211491E-2</v>
      </c>
      <c r="O82" s="10">
        <f>#REF!-#REF!</f>
        <v>1.6171771826037951</v>
      </c>
      <c r="P82" s="10">
        <f>#REF!-#REF!</f>
        <v>1.3269684110684503</v>
      </c>
      <c r="Q82" s="10">
        <f>#REF!-#REF!</f>
        <v>1.8366858263599573E-2</v>
      </c>
      <c r="R82" s="10">
        <f>#REF!-#REF!</f>
        <v>1.5070853700227704E-2</v>
      </c>
      <c r="S82" s="10">
        <f>#REF!-#REF!</f>
        <v>1.3963123738104031</v>
      </c>
      <c r="T82" s="10">
        <f>#REF!-#REF!</f>
        <v>1.145738656197917</v>
      </c>
      <c r="U82" s="10">
        <f>#REF!-#REF!</f>
        <v>5.6788195664278507E-3</v>
      </c>
      <c r="V82" s="10">
        <f>#REF!-#REF!</f>
        <v>4.6597331806736142E-3</v>
      </c>
      <c r="W82" s="10">
        <f>#REF!-#REF!</f>
        <v>1.3906335542439727</v>
      </c>
      <c r="X82" s="10">
        <f>#REF!-#REF!</f>
        <v>1.1410789230172469</v>
      </c>
      <c r="Y82" s="10">
        <f>#REF!-#REF!</f>
        <v>0</v>
      </c>
      <c r="Z82" s="10">
        <f>#REF!-#REF!</f>
        <v>0</v>
      </c>
      <c r="AA82" s="12">
        <v>2337.6598158571201</v>
      </c>
      <c r="AB82" s="13">
        <v>1918.15761738117</v>
      </c>
      <c r="AC82">
        <f t="shared" si="26"/>
        <v>0.53925363064385534</v>
      </c>
      <c r="AD82">
        <f t="shared" si="27"/>
        <v>0.53362594893932547</v>
      </c>
      <c r="AE82">
        <f t="shared" si="28"/>
        <v>0.98956394285596061</v>
      </c>
      <c r="AF82">
        <f t="shared" si="29"/>
        <v>5.6276817045299221E-3</v>
      </c>
      <c r="AG82">
        <f t="shared" si="30"/>
        <v>1.0436057144039272E-2</v>
      </c>
      <c r="AH82">
        <f t="shared" si="31"/>
        <v>0.4607463693561446</v>
      </c>
      <c r="AI82">
        <f t="shared" si="32"/>
        <v>4.0670122767235096E-3</v>
      </c>
      <c r="AJ82">
        <f t="shared" si="33"/>
        <v>0.99593298772327876</v>
      </c>
      <c r="AK82">
        <f t="shared" si="34"/>
        <v>2.486701431416578E-2</v>
      </c>
      <c r="AL82">
        <f t="shared" si="35"/>
        <v>3.030544496230396E-2</v>
      </c>
    </row>
    <row r="83" spans="1:38" x14ac:dyDescent="0.35">
      <c r="A83" s="9" t="s">
        <v>34</v>
      </c>
      <c r="B83" s="22" t="s">
        <v>68</v>
      </c>
      <c r="C83" s="10">
        <f>#REF!-#REF!</f>
        <v>3.981017193766661</v>
      </c>
      <c r="D83" s="10">
        <f>#REF!-#REF!</f>
        <v>9.1514411801517923</v>
      </c>
      <c r="E83" s="10">
        <v>0</v>
      </c>
      <c r="F83" s="10">
        <v>0</v>
      </c>
      <c r="G83" s="10">
        <v>0</v>
      </c>
      <c r="H83" s="10">
        <f>#REF!-#REF!</f>
        <v>0</v>
      </c>
      <c r="I83" s="10">
        <v>0</v>
      </c>
      <c r="J83" s="10">
        <v>0</v>
      </c>
      <c r="K83" s="10">
        <f>#REF!-#REF!</f>
        <v>8.7220138981422224E-2</v>
      </c>
      <c r="L83" s="10">
        <f>#REF!-#REF!</f>
        <v>7.4762960982461379E-2</v>
      </c>
      <c r="M83" s="10">
        <f>#REF!-#REF!</f>
        <v>0.20049900132632581</v>
      </c>
      <c r="N83" s="10">
        <f>#REF!-#REF!</f>
        <v>0.17186281962214989</v>
      </c>
      <c r="O83" s="10">
        <f>#REF!-#REF!</f>
        <v>-0.11327886234490414</v>
      </c>
      <c r="P83" s="10">
        <f>#REF!-#REF!</f>
        <v>-9.7099858639687397E-2</v>
      </c>
      <c r="Q83" s="10">
        <f>#REF!-#REF!</f>
        <v>-2.469798338319773E-2</v>
      </c>
      <c r="R83" s="10">
        <f>#REF!-#REF!</f>
        <v>-2.117050476629867E-2</v>
      </c>
      <c r="S83" s="10">
        <f>#REF!-#REF!</f>
        <v>-1.4913782273698661E-2</v>
      </c>
      <c r="T83" s="10">
        <f>#REF!-#REF!</f>
        <v>-1.2783727878110884E-2</v>
      </c>
      <c r="U83" s="10">
        <f>#REF!-#REF!</f>
        <v>0</v>
      </c>
      <c r="V83" s="10">
        <f>#REF!-#REF!</f>
        <v>0</v>
      </c>
      <c r="W83" s="10">
        <f>#REF!-#REF!</f>
        <v>-1.4913782273698661E-2</v>
      </c>
      <c r="X83" s="10">
        <f>#REF!-#REF!</f>
        <v>-1.2783727878110884E-2</v>
      </c>
      <c r="Y83" s="10">
        <f>#REF!-#REF!</f>
        <v>-0.10354154572186403</v>
      </c>
      <c r="Z83" s="10">
        <f>#REF!-#REF!</f>
        <v>-8.8753269981790339E-2</v>
      </c>
      <c r="AA83" s="12">
        <v>5324.8522282316499</v>
      </c>
      <c r="AB83" s="13">
        <v>4564.3325500944502</v>
      </c>
      <c r="AC83">
        <f t="shared" si="26"/>
        <v>1</v>
      </c>
      <c r="AD83">
        <f t="shared" si="27"/>
        <v>0</v>
      </c>
      <c r="AE83">
        <f t="shared" si="28"/>
        <v>0</v>
      </c>
      <c r="AF83">
        <f t="shared" si="29"/>
        <v>2.2987695693655388</v>
      </c>
      <c r="AG83">
        <f t="shared" si="30"/>
        <v>2.2987695693655388</v>
      </c>
      <c r="AH83">
        <f t="shared" si="31"/>
        <v>0</v>
      </c>
      <c r="AI83" t="e">
        <f t="shared" si="32"/>
        <v>#DIV/0!</v>
      </c>
      <c r="AJ83" t="e">
        <f t="shared" si="33"/>
        <v>#DIV/0!</v>
      </c>
      <c r="AK83">
        <f t="shared" si="34"/>
        <v>7.4762960982463391E-4</v>
      </c>
      <c r="AL83">
        <f t="shared" si="35"/>
        <v>8.7220138981421971E-4</v>
      </c>
    </row>
    <row r="84" spans="1:38" x14ac:dyDescent="0.35">
      <c r="A84" s="9" t="s">
        <v>35</v>
      </c>
      <c r="B84" s="22" t="s">
        <v>68</v>
      </c>
      <c r="C84" s="10">
        <f>#REF!-#REF!</f>
        <v>7.6111093494739919</v>
      </c>
      <c r="D84" s="10">
        <f>#REF!-#REF!</f>
        <v>0.4779750571525323</v>
      </c>
      <c r="E84" s="10">
        <f>#REF!-#REF!</f>
        <v>7.1331342923214649</v>
      </c>
      <c r="F84" s="10">
        <f>#REF!-#REF!</f>
        <v>0.43330405987938647</v>
      </c>
      <c r="G84" s="10">
        <f>#REF!-#REF!</f>
        <v>31.181274689127051</v>
      </c>
      <c r="H84" s="10">
        <f>#REF!-#REF!</f>
        <v>0</v>
      </c>
      <c r="I84" s="10">
        <f>#REF!-#REF!</f>
        <v>31.181274689127051</v>
      </c>
      <c r="J84" s="10">
        <v>0</v>
      </c>
      <c r="K84" s="10">
        <f>#REF!-#REF!</f>
        <v>0.4646170053367924</v>
      </c>
      <c r="L84" s="10">
        <f>#REF!-#REF!</f>
        <v>0.35293158772990241</v>
      </c>
      <c r="M84" s="10">
        <f>#REF!-#REF!</f>
        <v>2.9177788609125649E-2</v>
      </c>
      <c r="N84" s="10">
        <f>#REF!-#REF!</f>
        <v>2.2163982682470884E-2</v>
      </c>
      <c r="O84" s="10">
        <f>#REF!-#REF!</f>
        <v>0.43543921672766706</v>
      </c>
      <c r="P84" s="10">
        <f>#REF!-#REF!</f>
        <v>0.33076760504743152</v>
      </c>
      <c r="Q84" s="10">
        <f>#REF!-#REF!</f>
        <v>2.6450866155976138E-2</v>
      </c>
      <c r="R84" s="10">
        <f>#REF!-#REF!</f>
        <v>2.0092562437513006E-2</v>
      </c>
      <c r="S84" s="10">
        <f>#REF!-#REF!</f>
        <v>1.9034479473938153</v>
      </c>
      <c r="T84" s="10">
        <f>#REF!-#REF!</f>
        <v>1.445893926650307</v>
      </c>
      <c r="U84" s="10">
        <f>#REF!-#REF!</f>
        <v>0</v>
      </c>
      <c r="V84" s="10">
        <f>#REF!-#REF!</f>
        <v>0</v>
      </c>
      <c r="W84" s="10">
        <f>#REF!-#REF!</f>
        <v>1.9034479473938153</v>
      </c>
      <c r="X84" s="10">
        <f>#REF!-#REF!</f>
        <v>1.445893926650307</v>
      </c>
      <c r="Y84" s="10">
        <f>#REF!-#REF!</f>
        <v>-1.0037641341076471</v>
      </c>
      <c r="Z84" s="10">
        <f>#REF!-#REF!</f>
        <v>-0.76247762240244477</v>
      </c>
      <c r="AA84" s="12">
        <v>2156.5395714307001</v>
      </c>
      <c r="AB84" s="13">
        <v>1638.14696019506</v>
      </c>
      <c r="AC84">
        <f t="shared" si="26"/>
        <v>0.19620112396032233</v>
      </c>
      <c r="AD84">
        <f t="shared" si="27"/>
        <v>0.18387976065671846</v>
      </c>
      <c r="AE84">
        <f t="shared" si="28"/>
        <v>0.93720034291905685</v>
      </c>
      <c r="AF84">
        <f t="shared" si="29"/>
        <v>1.2321363303603996E-2</v>
      </c>
      <c r="AG84">
        <f t="shared" si="30"/>
        <v>6.2799657080943844E-2</v>
      </c>
      <c r="AH84">
        <f t="shared" si="31"/>
        <v>0.8037988760396777</v>
      </c>
      <c r="AI84">
        <f t="shared" si="32"/>
        <v>0</v>
      </c>
      <c r="AJ84">
        <f t="shared" si="33"/>
        <v>1</v>
      </c>
      <c r="AK84">
        <f t="shared" si="34"/>
        <v>1.798825514380209E-2</v>
      </c>
      <c r="AL84">
        <f t="shared" si="35"/>
        <v>2.3680649527306082E-2</v>
      </c>
    </row>
    <row r="85" spans="1:38" x14ac:dyDescent="0.35">
      <c r="A85" s="9" t="s">
        <v>36</v>
      </c>
      <c r="B85" s="22" t="s">
        <v>68</v>
      </c>
      <c r="C85" s="10">
        <f>#REF!-#REF!</f>
        <v>3.7753618885319327</v>
      </c>
      <c r="D85" s="10">
        <f>#REF!-#REF!</f>
        <v>1.3595775049326146</v>
      </c>
      <c r="E85" s="10">
        <f>#REF!-#REF!</f>
        <v>2.4157843835993233</v>
      </c>
      <c r="F85" s="10">
        <f>#REF!-#REF!</f>
        <v>0</v>
      </c>
      <c r="G85" s="10">
        <f>#REF!-#REF!</f>
        <v>50.527542741764933</v>
      </c>
      <c r="H85" s="10">
        <f>#REF!-#REF!</f>
        <v>0.55038566188227755</v>
      </c>
      <c r="I85" s="10">
        <f>#REF!-#REF!</f>
        <v>49.977157079882673</v>
      </c>
      <c r="J85" s="10">
        <f>#REF!-#REF!</f>
        <v>0.50329327265262691</v>
      </c>
      <c r="K85" s="10">
        <f>#REF!-#REF!</f>
        <v>0.2851657346450196</v>
      </c>
      <c r="L85" s="10">
        <f>#REF!-#REF!</f>
        <v>0.2101477142769097</v>
      </c>
      <c r="M85" s="10">
        <f>#REF!-#REF!</f>
        <v>0.10269344487972043</v>
      </c>
      <c r="N85" s="10">
        <f>#REF!-#REF!</f>
        <v>7.5678070998113856E-2</v>
      </c>
      <c r="O85" s="10">
        <f>#REF!-#REF!</f>
        <v>0.18247228976529906</v>
      </c>
      <c r="P85" s="10">
        <f>#REF!-#REF!</f>
        <v>0.13446964327879596</v>
      </c>
      <c r="Q85" s="10">
        <f>#REF!-#REF!</f>
        <v>0</v>
      </c>
      <c r="R85" s="10">
        <f>#REF!-#REF!</f>
        <v>0</v>
      </c>
      <c r="S85" s="10">
        <f>#REF!-#REF!</f>
        <v>3.8165146206330736</v>
      </c>
      <c r="T85" s="10">
        <f>#REF!-#REF!</f>
        <v>2.8125112052078594</v>
      </c>
      <c r="U85" s="10">
        <f>#REF!-#REF!</f>
        <v>4.1572473379439659E-2</v>
      </c>
      <c r="V85" s="10">
        <f>#REF!-#REF!</f>
        <v>3.0636079991876099E-2</v>
      </c>
      <c r="W85" s="10">
        <f>#REF!-#REF!</f>
        <v>3.7749421472536326</v>
      </c>
      <c r="X85" s="10">
        <f>#REF!-#REF!</f>
        <v>2.7818751252159828</v>
      </c>
      <c r="Y85" s="10">
        <f>#REF!-#REF!</f>
        <v>3.8015427414745617E-2</v>
      </c>
      <c r="Z85" s="10">
        <f>#REF!-#REF!</f>
        <v>2.8014779505024512E-2</v>
      </c>
      <c r="AA85" s="12">
        <v>1796.5276955414199</v>
      </c>
      <c r="AB85" s="13">
        <v>1323.9184901480501</v>
      </c>
      <c r="AC85">
        <f t="shared" si="26"/>
        <v>6.9524124247776792E-2</v>
      </c>
      <c r="AD85">
        <f t="shared" si="27"/>
        <v>4.4487203770155241E-2</v>
      </c>
      <c r="AE85">
        <f t="shared" si="28"/>
        <v>0.63988154114113616</v>
      </c>
      <c r="AF85">
        <f t="shared" si="29"/>
        <v>2.5036920477621641E-2</v>
      </c>
      <c r="AG85">
        <f t="shared" si="30"/>
        <v>0.36011845885886529</v>
      </c>
      <c r="AH85">
        <f t="shared" si="31"/>
        <v>0.93047587575222324</v>
      </c>
      <c r="AI85">
        <f t="shared" si="32"/>
        <v>1.0892785043895299E-2</v>
      </c>
      <c r="AJ85">
        <f t="shared" si="33"/>
        <v>0.9891072149561051</v>
      </c>
      <c r="AK85">
        <f t="shared" si="34"/>
        <v>3.0226589194847667E-2</v>
      </c>
      <c r="AL85">
        <f t="shared" si="35"/>
        <v>4.1016803552780902E-2</v>
      </c>
    </row>
    <row r="86" spans="1:38" x14ac:dyDescent="0.35">
      <c r="A86" s="9" t="s">
        <v>37</v>
      </c>
      <c r="B86" s="22" t="s">
        <v>68</v>
      </c>
      <c r="C86" s="10">
        <f>#REF!-#REF!</f>
        <v>86.82264229997449</v>
      </c>
      <c r="D86" s="10">
        <f>#REF!-#REF!</f>
        <v>32.556193825364851</v>
      </c>
      <c r="E86" s="10">
        <f>#REF!-#REF!</f>
        <v>54.26644847460966</v>
      </c>
      <c r="F86" s="10">
        <f>#REF!-#REF!</f>
        <v>5.126144940203254</v>
      </c>
      <c r="G86" s="10">
        <f>#REF!-#REF!</f>
        <v>13.509836274357895</v>
      </c>
      <c r="H86" s="10">
        <f>#REF!-#REF!</f>
        <v>3.9618288194598339E-2</v>
      </c>
      <c r="I86" s="10">
        <f>#REF!-#REF!</f>
        <v>13.470217986163334</v>
      </c>
      <c r="J86" s="10">
        <f>#REF!-#REF!</f>
        <v>0</v>
      </c>
      <c r="K86" s="10">
        <f>#REF!-#REF!</f>
        <v>2.7498247852126223</v>
      </c>
      <c r="L86" s="10">
        <f>#REF!-#REF!</f>
        <v>2.9511552175299274</v>
      </c>
      <c r="M86" s="10">
        <f>#REF!-#REF!</f>
        <v>1.0311115432753961</v>
      </c>
      <c r="N86" s="10">
        <f>#REF!-#REF!</f>
        <v>1.106605128863595</v>
      </c>
      <c r="O86" s="10">
        <f>#REF!-#REF!</f>
        <v>1.718713241937226</v>
      </c>
      <c r="P86" s="10">
        <f>#REF!-#REF!</f>
        <v>1.844550088666332</v>
      </c>
      <c r="Q86" s="10">
        <f>#REF!-#REF!</f>
        <v>0.1623539670730261</v>
      </c>
      <c r="R86" s="10">
        <f>#REF!-#REF!</f>
        <v>0.17424083148526701</v>
      </c>
      <c r="S86" s="10">
        <f>#REF!-#REF!</f>
        <v>0.42788012029213363</v>
      </c>
      <c r="T86" s="10">
        <f>#REF!-#REF!</f>
        <v>0.45920767616465596</v>
      </c>
      <c r="U86" s="10">
        <f>#REF!-#REF!</f>
        <v>1.2547804114138861E-3</v>
      </c>
      <c r="V86" s="10">
        <f>#REF!-#REF!</f>
        <v>1.3466500767292111E-3</v>
      </c>
      <c r="W86" s="10">
        <f>#REF!-#REF!</f>
        <v>0.42662533988072049</v>
      </c>
      <c r="X86" s="10">
        <f>#REF!-#REF!</f>
        <v>0.45786102608792767</v>
      </c>
      <c r="Y86" s="10">
        <f>#REF!-#REF!</f>
        <v>0</v>
      </c>
      <c r="Z86" s="10">
        <f>#REF!-#REF!</f>
        <v>0</v>
      </c>
      <c r="AA86" s="12">
        <v>2941.9883367789698</v>
      </c>
      <c r="AB86" s="13">
        <v>3157.38816403392</v>
      </c>
      <c r="AC86">
        <f t="shared" si="26"/>
        <v>0.86534932191125935</v>
      </c>
      <c r="AD86">
        <f t="shared" si="27"/>
        <v>0.54086622044730792</v>
      </c>
      <c r="AE86">
        <f t="shared" si="28"/>
        <v>0.62502645665997669</v>
      </c>
      <c r="AF86">
        <f t="shared" si="29"/>
        <v>0.32448310146395165</v>
      </c>
      <c r="AG86">
        <f t="shared" si="30"/>
        <v>0.37497354334002359</v>
      </c>
      <c r="AH86">
        <f t="shared" si="31"/>
        <v>0.13465067808874062</v>
      </c>
      <c r="AI86">
        <f t="shared" si="32"/>
        <v>2.9325513196481242E-3</v>
      </c>
      <c r="AJ86">
        <f t="shared" si="33"/>
        <v>0.99706744868035468</v>
      </c>
      <c r="AK86">
        <f t="shared" si="34"/>
        <v>3.4103628936945823E-2</v>
      </c>
      <c r="AL86">
        <f t="shared" si="35"/>
        <v>3.1777049055047545E-2</v>
      </c>
    </row>
    <row r="87" spans="1:38" x14ac:dyDescent="0.35">
      <c r="A87" s="9" t="s">
        <v>38</v>
      </c>
      <c r="B87" s="22" t="s">
        <v>68</v>
      </c>
      <c r="C87" s="10">
        <f>#REF!-#REF!</f>
        <v>6</v>
      </c>
      <c r="D87" s="10">
        <f>#REF!-#REF!</f>
        <v>0</v>
      </c>
      <c r="E87" s="10">
        <f>#REF!-#REF!</f>
        <v>6</v>
      </c>
      <c r="F87" s="10">
        <f>#REF!-#REF!</f>
        <v>18</v>
      </c>
      <c r="G87" s="10">
        <f>#REF!-#REF!</f>
        <v>0</v>
      </c>
      <c r="H87" s="10">
        <f>#REF!-#REF!</f>
        <v>0</v>
      </c>
      <c r="I87" s="10">
        <f>#REF!-#REF!</f>
        <v>0</v>
      </c>
      <c r="J87" s="10">
        <f>#REF!-#REF!</f>
        <v>0</v>
      </c>
      <c r="K87" s="10">
        <f>#REF!-#REF!</f>
        <v>3.0106916892057356E-2</v>
      </c>
      <c r="L87" s="10">
        <f>#REF!-#REF!</f>
        <v>3.0038729102900064E-2</v>
      </c>
      <c r="M87" s="10">
        <f>#REF!-#REF!</f>
        <v>0</v>
      </c>
      <c r="N87" s="10">
        <f>#REF!-#REF!</f>
        <v>0</v>
      </c>
      <c r="O87" s="10">
        <f>#REF!-#REF!</f>
        <v>3.0106916892057356E-2</v>
      </c>
      <c r="P87" s="10">
        <f>#REF!-#REF!</f>
        <v>3.0038729102900064E-2</v>
      </c>
      <c r="Q87" s="10">
        <f>#REF!-#REF!</f>
        <v>9.0320750676179395E-2</v>
      </c>
      <c r="R87" s="10">
        <f>#REF!-#REF!</f>
        <v>9.0116187308698387E-2</v>
      </c>
      <c r="S87" s="10">
        <f>#REF!-#REF!</f>
        <v>0</v>
      </c>
      <c r="T87" s="10">
        <f>#REF!-#REF!</f>
        <v>0</v>
      </c>
      <c r="U87" s="10">
        <f>#REF!-#REF!</f>
        <v>0</v>
      </c>
      <c r="V87" s="10">
        <f>#REF!-#REF!</f>
        <v>0</v>
      </c>
      <c r="W87" s="10">
        <f>#REF!-#REF!</f>
        <v>0</v>
      </c>
      <c r="X87" s="10">
        <f>#REF!-#REF!</f>
        <v>0</v>
      </c>
      <c r="Y87" s="10">
        <f>#REF!-#REF!</f>
        <v>0</v>
      </c>
      <c r="Z87" s="10">
        <f>#REF!-#REF!</f>
        <v>0</v>
      </c>
      <c r="AA87" s="12">
        <v>19974.2138871676</v>
      </c>
      <c r="AB87" s="13">
        <v>19928.975197</v>
      </c>
      <c r="AC87">
        <f t="shared" si="26"/>
        <v>1</v>
      </c>
      <c r="AD87">
        <f t="shared" si="27"/>
        <v>1</v>
      </c>
      <c r="AE87">
        <f t="shared" si="28"/>
        <v>1</v>
      </c>
      <c r="AF87">
        <f t="shared" si="29"/>
        <v>0</v>
      </c>
      <c r="AG87">
        <f t="shared" si="30"/>
        <v>0</v>
      </c>
      <c r="AH87">
        <f t="shared" si="31"/>
        <v>0</v>
      </c>
      <c r="AI87" t="e">
        <f t="shared" si="32"/>
        <v>#DIV/0!</v>
      </c>
      <c r="AJ87" t="e">
        <f t="shared" si="33"/>
        <v>#DIV/0!</v>
      </c>
      <c r="AK87">
        <f t="shared" si="34"/>
        <v>3.0038729102899463E-4</v>
      </c>
      <c r="AL87">
        <f t="shared" si="35"/>
        <v>3.0106916892059794E-4</v>
      </c>
    </row>
    <row r="88" spans="1:38" x14ac:dyDescent="0.35">
      <c r="A88" s="9" t="s">
        <v>39</v>
      </c>
      <c r="B88" s="22" t="s">
        <v>68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f>#REF!-#REF!</f>
        <v>0</v>
      </c>
      <c r="J88" s="10">
        <v>0</v>
      </c>
      <c r="K88" s="10">
        <f>#REF!-#REF!</f>
        <v>-8.8247150862277302E-3</v>
      </c>
      <c r="L88" s="10">
        <f>#REF!-#REF!</f>
        <v>-4.7395976681350316E-3</v>
      </c>
      <c r="M88" s="10">
        <f>#REF!-#REF!</f>
        <v>-2.3963924198853459E-3</v>
      </c>
      <c r="N88" s="10">
        <f>#REF!-#REF!</f>
        <v>-1.2870597876809414E-3</v>
      </c>
      <c r="O88" s="10">
        <f>#REF!-#REF!</f>
        <v>-6.428322666342412E-3</v>
      </c>
      <c r="P88" s="10">
        <f>#REF!-#REF!</f>
        <v>-3.452537880454104E-3</v>
      </c>
      <c r="Q88" s="10">
        <f>#REF!-#REF!</f>
        <v>-2.7798152070669935E-3</v>
      </c>
      <c r="R88" s="10">
        <f>#REF!-#REF!</f>
        <v>-1.492989353709881E-3</v>
      </c>
      <c r="S88" s="10">
        <f>#REF!-#REF!</f>
        <v>-2.2765727988910689E-3</v>
      </c>
      <c r="T88" s="10">
        <f>#REF!-#REF!</f>
        <v>-1.2227067982968909E-3</v>
      </c>
      <c r="U88" s="10">
        <f>#REF!-#REF!</f>
        <v>-2.2765727988910689E-3</v>
      </c>
      <c r="V88" s="10">
        <f>#REF!-#REF!</f>
        <v>-1.2227067982968909E-3</v>
      </c>
      <c r="W88" s="10">
        <f>#REF!-#REF!</f>
        <v>0</v>
      </c>
      <c r="X88" s="10">
        <f>#REF!-#REF!</f>
        <v>0</v>
      </c>
      <c r="Y88" s="10">
        <f>#REF!-#REF!</f>
        <v>-3.894137682313642E-3</v>
      </c>
      <c r="Z88" s="10">
        <f>#REF!-#REF!</f>
        <v>-2.0914721549815107E-3</v>
      </c>
      <c r="AA88" s="12">
        <v>2381.6675591522499</v>
      </c>
      <c r="AB88" s="13">
        <v>1279.1513266244399</v>
      </c>
      <c r="AC88" t="e">
        <f t="shared" si="26"/>
        <v>#DIV/0!</v>
      </c>
      <c r="AD88" t="e">
        <f t="shared" si="27"/>
        <v>#DIV/0!</v>
      </c>
      <c r="AE88" t="e">
        <f t="shared" si="28"/>
        <v>#DIV/0!</v>
      </c>
      <c r="AF88" t="e">
        <f t="shared" si="29"/>
        <v>#DIV/0!</v>
      </c>
      <c r="AG88" t="e">
        <f t="shared" si="30"/>
        <v>#DIV/0!</v>
      </c>
      <c r="AH88" t="e">
        <f t="shared" si="31"/>
        <v>#DIV/0!</v>
      </c>
      <c r="AI88" t="e">
        <f t="shared" si="32"/>
        <v>#DIV/0!</v>
      </c>
      <c r="AJ88" t="e">
        <f t="shared" si="33"/>
        <v>#DIV/0!</v>
      </c>
      <c r="AK88">
        <f t="shared" si="34"/>
        <v>0</v>
      </c>
      <c r="AL88">
        <f t="shared" si="35"/>
        <v>0</v>
      </c>
    </row>
    <row r="89" spans="1:38" x14ac:dyDescent="0.35">
      <c r="A89" s="9" t="s">
        <v>40</v>
      </c>
      <c r="B89" s="22" t="s">
        <v>68</v>
      </c>
      <c r="C89" s="10">
        <f>#REF!-#REF!</f>
        <v>3.2493340902482437</v>
      </c>
      <c r="D89" s="10">
        <f>#REF!-#REF!</f>
        <v>1.9527090644843794</v>
      </c>
      <c r="E89" s="10">
        <f>#REF!-#REF!</f>
        <v>1.2966250257638643</v>
      </c>
      <c r="F89" s="10">
        <v>0</v>
      </c>
      <c r="G89" s="10">
        <f>#REF!-#REF!</f>
        <v>21.277422987389031</v>
      </c>
      <c r="H89" s="10">
        <v>0</v>
      </c>
      <c r="I89" s="10">
        <f>#REF!-#REF!</f>
        <v>21.392039466626876</v>
      </c>
      <c r="J89" s="10">
        <v>0</v>
      </c>
      <c r="K89" s="10">
        <f>#REF!-#REF!</f>
        <v>0.32589363786671033</v>
      </c>
      <c r="L89" s="10">
        <f>#REF!-#REF!</f>
        <v>0.13923031936942132</v>
      </c>
      <c r="M89" s="10">
        <f>#REF!-#REF!</f>
        <v>0.19584796239634963</v>
      </c>
      <c r="N89" s="10">
        <f>#REF!-#REF!</f>
        <v>8.3671392086048374E-2</v>
      </c>
      <c r="O89" s="10">
        <f>#REF!-#REF!</f>
        <v>0.13004567547036064</v>
      </c>
      <c r="P89" s="10">
        <f>#REF!-#REF!</f>
        <v>5.5558927283372958E-2</v>
      </c>
      <c r="Q89" s="10">
        <f>#REF!-#REF!</f>
        <v>-2.9173380821686745E-2</v>
      </c>
      <c r="R89" s="10">
        <f>#REF!-#REF!</f>
        <v>-1.2463634317864347E-2</v>
      </c>
      <c r="S89" s="10">
        <f>#REF!-#REF!</f>
        <v>2.1340301086919684</v>
      </c>
      <c r="T89" s="10">
        <f>#REF!-#REF!</f>
        <v>0.91171369751828557</v>
      </c>
      <c r="U89" s="10">
        <f>#REF!-#REF!</f>
        <v>-1.1495518878897937E-2</v>
      </c>
      <c r="V89" s="10">
        <f>#REF!-#REF!</f>
        <v>-4.9111875129050353E-3</v>
      </c>
      <c r="W89" s="10">
        <f>#REF!-#REF!</f>
        <v>2.1455256275708665</v>
      </c>
      <c r="X89" s="10">
        <f>#REF!-#REF!</f>
        <v>0.91662488503119066</v>
      </c>
      <c r="Y89" s="10">
        <f>#REF!-#REF!</f>
        <v>-1.5622675210519077E-2</v>
      </c>
      <c r="Z89" s="10">
        <f>#REF!-#REF!</f>
        <v>-6.6744170681076742E-3</v>
      </c>
      <c r="AA89" s="12">
        <v>2333.7834064911899</v>
      </c>
      <c r="AB89" s="13">
        <v>997.05355143423003</v>
      </c>
      <c r="AC89">
        <f t="shared" si="26"/>
        <v>0.13248119512754031</v>
      </c>
      <c r="AD89">
        <f t="shared" si="27"/>
        <v>5.2865734416478821E-2</v>
      </c>
      <c r="AE89">
        <f t="shared" si="28"/>
        <v>0.39904330849057268</v>
      </c>
      <c r="AF89">
        <f t="shared" si="29"/>
        <v>7.9615460711061473E-2</v>
      </c>
      <c r="AG89">
        <f t="shared" si="30"/>
        <v>0.60095669150942732</v>
      </c>
      <c r="AH89">
        <f t="shared" si="31"/>
        <v>0.86751880487245969</v>
      </c>
      <c r="AI89">
        <f t="shared" si="32"/>
        <v>0</v>
      </c>
      <c r="AJ89">
        <f t="shared" si="33"/>
        <v>1.0053867650845583</v>
      </c>
      <c r="AK89">
        <f t="shared" si="34"/>
        <v>1.050944016887707E-2</v>
      </c>
      <c r="AL89">
        <f t="shared" si="35"/>
        <v>2.4599237465586787E-2</v>
      </c>
    </row>
    <row r="90" spans="1:38" x14ac:dyDescent="0.35">
      <c r="A90" s="15" t="s">
        <v>41</v>
      </c>
      <c r="B90" s="22" t="s">
        <v>68</v>
      </c>
      <c r="C90" s="10">
        <v>0</v>
      </c>
      <c r="D90" s="10">
        <f>#REF!-#REF!</f>
        <v>2.0576905158455738</v>
      </c>
      <c r="E90" s="10">
        <v>0</v>
      </c>
      <c r="F90" s="10">
        <f>#REF!-#REF!</f>
        <v>0</v>
      </c>
      <c r="G90" s="10">
        <f>#REF!-#REF!</f>
        <v>1.8178525792278695</v>
      </c>
      <c r="H90" s="10">
        <f>#REF!-#REF!</f>
        <v>0</v>
      </c>
      <c r="I90" s="10">
        <f>#REF!-#REF!</f>
        <v>1.8178525792278695</v>
      </c>
      <c r="J90" s="10">
        <f>#REF!-#REF!</f>
        <v>0</v>
      </c>
      <c r="K90" s="10">
        <f>#REF!-#REF!</f>
        <v>-0.88274611984120277</v>
      </c>
      <c r="L90" s="10">
        <f>#REF!-#REF!</f>
        <v>-0.77979727718691727</v>
      </c>
      <c r="M90" s="10">
        <f>#REF!-#REF!</f>
        <v>0.49708728147248649</v>
      </c>
      <c r="N90" s="10">
        <f>#REF!-#REF!</f>
        <v>0.43911527890513014</v>
      </c>
      <c r="O90" s="10">
        <f>#REF!-#REF!</f>
        <v>-1.3798334013136895</v>
      </c>
      <c r="P90" s="10">
        <f>#REF!-#REF!</f>
        <v>-1.2189125560920475</v>
      </c>
      <c r="Q90" s="10">
        <f>#REF!-#REF!</f>
        <v>0</v>
      </c>
      <c r="R90" s="10">
        <f>#REF!-#REF!</f>
        <v>0</v>
      </c>
      <c r="S90" s="10">
        <f>#REF!-#REF!</f>
        <v>0.4391483509145675</v>
      </c>
      <c r="T90" s="10">
        <f>#REF!-#REF!</f>
        <v>0.38793338268754662</v>
      </c>
      <c r="U90" s="10">
        <f>#REF!-#REF!</f>
        <v>0</v>
      </c>
      <c r="V90" s="10">
        <f>#REF!-#REF!</f>
        <v>0</v>
      </c>
      <c r="W90" s="10">
        <f>#REF!-#REF!</f>
        <v>0.4391483509145675</v>
      </c>
      <c r="X90" s="10">
        <f>#REF!-#REF!</f>
        <v>0.38793338268754662</v>
      </c>
      <c r="Y90" s="10">
        <f>#REF!-#REF!</f>
        <v>0</v>
      </c>
      <c r="Z90" s="10">
        <f>#REF!-#REF!</f>
        <v>0</v>
      </c>
      <c r="AA90" s="12">
        <v>468.59916169988998</v>
      </c>
      <c r="AB90" s="13">
        <v>413.94954015926999</v>
      </c>
      <c r="AC90">
        <f t="shared" si="26"/>
        <v>0</v>
      </c>
      <c r="AD90">
        <f t="shared" si="27"/>
        <v>0</v>
      </c>
      <c r="AE90" t="e">
        <f t="shared" si="28"/>
        <v>#DIV/0!</v>
      </c>
      <c r="AF90">
        <f t="shared" si="29"/>
        <v>1.1319347560733308</v>
      </c>
      <c r="AG90" t="e">
        <f t="shared" si="30"/>
        <v>#DIV/0!</v>
      </c>
      <c r="AH90">
        <f t="shared" si="31"/>
        <v>1</v>
      </c>
      <c r="AI90">
        <f t="shared" si="32"/>
        <v>0</v>
      </c>
      <c r="AJ90">
        <f t="shared" si="33"/>
        <v>1</v>
      </c>
      <c r="AK90">
        <f t="shared" si="34"/>
        <v>3.8793338268754661E-3</v>
      </c>
      <c r="AL90">
        <f t="shared" si="35"/>
        <v>4.3914835091456751E-3</v>
      </c>
    </row>
    <row r="91" spans="1:38" x14ac:dyDescent="0.35">
      <c r="A91" s="9" t="s">
        <v>42</v>
      </c>
      <c r="B91" s="22" t="s">
        <v>68</v>
      </c>
      <c r="C91" s="10">
        <f>#REF!-#REF!</f>
        <v>4.1542265056957355</v>
      </c>
      <c r="D91" s="10">
        <f>#REF!-#REF!</f>
        <v>1.4774852644874343</v>
      </c>
      <c r="E91" s="10">
        <f>#REF!-#REF!</f>
        <v>2.6767412412083029</v>
      </c>
      <c r="F91" s="10">
        <f>#REF!-#REF!</f>
        <v>6.3837457281470176</v>
      </c>
      <c r="G91" s="10">
        <f>#REF!-#REF!</f>
        <v>3.874602555254846</v>
      </c>
      <c r="H91" s="10">
        <f>#REF!-#REF!</f>
        <v>1.2574775374611842</v>
      </c>
      <c r="I91" s="10">
        <f>#REF!-#REF!</f>
        <v>2.6171250177936614</v>
      </c>
      <c r="J91" s="10">
        <f>#REF!-#REF!</f>
        <v>0</v>
      </c>
      <c r="K91" s="10">
        <f>#REF!-#REF!</f>
        <v>0.83897070214313363</v>
      </c>
      <c r="L91" s="10">
        <f>#REF!-#REF!</f>
        <v>0.74807530469820316</v>
      </c>
      <c r="M91" s="10">
        <f>#REF!-#REF!</f>
        <v>0.29838691945507145</v>
      </c>
      <c r="N91" s="10">
        <f>#REF!-#REF!</f>
        <v>0.26605921412882499</v>
      </c>
      <c r="O91" s="10">
        <f>#REF!-#REF!</f>
        <v>0.54058378268806218</v>
      </c>
      <c r="P91" s="10">
        <f>#REF!-#REF!</f>
        <v>0.48201609056937844</v>
      </c>
      <c r="Q91" s="10">
        <f>#REF!-#REF!</f>
        <v>1.289235343451685</v>
      </c>
      <c r="R91" s="10">
        <f>#REF!-#REF!</f>
        <v>1.1495575708623145</v>
      </c>
      <c r="S91" s="10">
        <f>#REF!-#REF!</f>
        <v>0.78249898551531238</v>
      </c>
      <c r="T91" s="10">
        <f>#REF!-#REF!</f>
        <v>0.69772182213287159</v>
      </c>
      <c r="U91" s="10">
        <f>#REF!-#REF!</f>
        <v>0.25395505302529059</v>
      </c>
      <c r="V91" s="10">
        <f>#REF!-#REF!</f>
        <v>0.22644116556901078</v>
      </c>
      <c r="W91" s="10">
        <f>#REF!-#REF!</f>
        <v>0.52854393249002207</v>
      </c>
      <c r="X91" s="10">
        <f>#REF!-#REF!</f>
        <v>0.4712806565638612</v>
      </c>
      <c r="Y91" s="10">
        <f>#REF!-#REF!</f>
        <v>0</v>
      </c>
      <c r="Z91" s="10">
        <f>#REF!-#REF!</f>
        <v>0</v>
      </c>
      <c r="AA91" s="12">
        <v>555.32196820367994</v>
      </c>
      <c r="AB91" s="13">
        <v>495.15751802582002</v>
      </c>
      <c r="AC91">
        <f t="shared" si="26"/>
        <v>0.51741374416606289</v>
      </c>
      <c r="AD91">
        <f t="shared" si="27"/>
        <v>0.33339123561952971</v>
      </c>
      <c r="AE91">
        <f t="shared" si="28"/>
        <v>0.64434166927063397</v>
      </c>
      <c r="AF91">
        <f t="shared" si="29"/>
        <v>0.18402250854653343</v>
      </c>
      <c r="AG91">
        <f t="shared" si="30"/>
        <v>0.35565833072936648</v>
      </c>
      <c r="AH91">
        <f t="shared" si="31"/>
        <v>0.48258625583393705</v>
      </c>
      <c r="AI91">
        <f t="shared" si="32"/>
        <v>0.32454361951415056</v>
      </c>
      <c r="AJ91">
        <f t="shared" si="33"/>
        <v>0.67545638048584933</v>
      </c>
      <c r="AK91">
        <f t="shared" si="34"/>
        <v>1.4457971268310752E-2</v>
      </c>
      <c r="AL91">
        <f t="shared" si="35"/>
        <v>1.6214696876584469E-2</v>
      </c>
    </row>
    <row r="92" spans="1:38" x14ac:dyDescent="0.35">
      <c r="A92" s="15" t="s">
        <v>43</v>
      </c>
      <c r="B92" s="22" t="s">
        <v>68</v>
      </c>
      <c r="C92" s="10">
        <v>0</v>
      </c>
      <c r="D92" s="10">
        <f>#REF!-#REF!</f>
        <v>0.62357924487103089</v>
      </c>
      <c r="E92" s="10">
        <v>0</v>
      </c>
      <c r="F92" s="10">
        <f>#REF!-#REF!</f>
        <v>1.5892575253152907</v>
      </c>
      <c r="G92" s="10">
        <f>#REF!-#REF!</f>
        <v>17.056890492060298</v>
      </c>
      <c r="H92" s="10">
        <f>#REF!-#REF!</f>
        <v>1.0946711428285842E-2</v>
      </c>
      <c r="I92" s="10">
        <f>#REF!-#REF!</f>
        <v>17.045943780632015</v>
      </c>
      <c r="J92" s="10">
        <f>#REF!-#REF!</f>
        <v>0</v>
      </c>
      <c r="K92" s="10">
        <f>#REF!-#REF!</f>
        <v>-0.17955106847232383</v>
      </c>
      <c r="L92" s="10">
        <f>#REF!-#REF!</f>
        <v>-9.5038896705898601E-2</v>
      </c>
      <c r="M92" s="10">
        <f>#REF!-#REF!</f>
        <v>0.28917558883252281</v>
      </c>
      <c r="N92" s="10">
        <f>#REF!-#REF!</f>
        <v>0.15306469157078711</v>
      </c>
      <c r="O92" s="10">
        <f>#REF!-#REF!</f>
        <v>-0.46872665730484631</v>
      </c>
      <c r="P92" s="10">
        <f>#REF!-#REF!</f>
        <v>-0.24810358827668577</v>
      </c>
      <c r="Q92" s="10">
        <f>#REF!-#REF!</f>
        <v>0.73699451107391589</v>
      </c>
      <c r="R92" s="10">
        <f>#REF!-#REF!</f>
        <v>0.39010152268497694</v>
      </c>
      <c r="S92" s="10">
        <f>#REF!-#REF!</f>
        <v>7.9098789644827363</v>
      </c>
      <c r="T92" s="10">
        <f>#REF!-#REF!</f>
        <v>4.1868097820732793</v>
      </c>
      <c r="U92" s="10">
        <f>#REF!-#REF!</f>
        <v>5.0763744128606465E-3</v>
      </c>
      <c r="V92" s="10">
        <f>#REF!-#REF!</f>
        <v>2.6869961151954648E-3</v>
      </c>
      <c r="W92" s="10">
        <f>#REF!-#REF!</f>
        <v>7.9048025900698775</v>
      </c>
      <c r="X92" s="10">
        <f>#REF!-#REF!</f>
        <v>4.184122785958083</v>
      </c>
      <c r="Y92" s="10">
        <f>#REF!-#REF!</f>
        <v>0</v>
      </c>
      <c r="Z92" s="10">
        <f>#REF!-#REF!</f>
        <v>0</v>
      </c>
      <c r="AA92" s="12">
        <v>407.39587848230002</v>
      </c>
      <c r="AB92" s="13">
        <v>215.64034757863999</v>
      </c>
      <c r="AC92">
        <f t="shared" si="26"/>
        <v>0</v>
      </c>
      <c r="AD92">
        <f t="shared" si="27"/>
        <v>0</v>
      </c>
      <c r="AE92" t="e">
        <f t="shared" si="28"/>
        <v>#DIV/0!</v>
      </c>
      <c r="AF92">
        <f t="shared" si="29"/>
        <v>3.6558788083988505E-2</v>
      </c>
      <c r="AG92" t="e">
        <f t="shared" si="30"/>
        <v>#DIV/0!</v>
      </c>
      <c r="AH92">
        <f t="shared" si="31"/>
        <v>1</v>
      </c>
      <c r="AI92">
        <f t="shared" si="32"/>
        <v>6.4177649691667755E-4</v>
      </c>
      <c r="AJ92">
        <f t="shared" si="33"/>
        <v>0.99935822350308356</v>
      </c>
      <c r="AK92">
        <f t="shared" si="34"/>
        <v>4.1868097820732766E-2</v>
      </c>
      <c r="AL92">
        <f t="shared" si="35"/>
        <v>7.9098789644827347E-2</v>
      </c>
    </row>
    <row r="93" spans="1:38" x14ac:dyDescent="0.35">
      <c r="A93" s="15" t="s">
        <v>44</v>
      </c>
      <c r="B93" s="22" t="s">
        <v>68</v>
      </c>
      <c r="C93" s="10">
        <f>#REF!-#REF!</f>
        <v>1.6560605792137402</v>
      </c>
      <c r="D93" s="10">
        <f>#REF!-#REF!</f>
        <v>5.284556468731022E-3</v>
      </c>
      <c r="E93" s="10">
        <f>#REF!-#REF!</f>
        <v>1.6507760227450099</v>
      </c>
      <c r="F93" s="10">
        <f>#REF!-#REF!</f>
        <v>2.4720926378103982</v>
      </c>
      <c r="G93" s="10">
        <v>0</v>
      </c>
      <c r="H93" s="10">
        <f>#REF!-#REF!</f>
        <v>3.1619220265415766</v>
      </c>
      <c r="I93" s="10">
        <v>0</v>
      </c>
      <c r="J93" s="10">
        <f>#REF!-#REF!</f>
        <v>0</v>
      </c>
      <c r="K93" s="10">
        <f>#REF!-#REF!</f>
        <v>0.49790977630896283</v>
      </c>
      <c r="L93" s="10">
        <f>#REF!-#REF!</f>
        <v>0.53238658692329555</v>
      </c>
      <c r="M93" s="10">
        <f>#REF!-#REF!</f>
        <v>1.5888502886091185E-3</v>
      </c>
      <c r="N93" s="10">
        <f>#REF!-#REF!</f>
        <v>1.69886718946409E-3</v>
      </c>
      <c r="O93" s="10">
        <f>#REF!-#REF!</f>
        <v>0.4963209260203536</v>
      </c>
      <c r="P93" s="10">
        <f>#REF!-#REF!</f>
        <v>0.53068771973383111</v>
      </c>
      <c r="Q93" s="10">
        <f>#REF!-#REF!</f>
        <v>0.74325728645240741</v>
      </c>
      <c r="R93" s="10">
        <f>#REF!-#REF!</f>
        <v>0.7947227163797006</v>
      </c>
      <c r="S93" s="10">
        <f>#REF!-#REF!</f>
        <v>-5.2347392964920303E-2</v>
      </c>
      <c r="T93" s="10">
        <f>#REF!-#REF!</f>
        <v>-5.5972088119098373E-2</v>
      </c>
      <c r="U93" s="10">
        <f>#REF!-#REF!</f>
        <v>0.95066080836799016</v>
      </c>
      <c r="V93" s="10">
        <f>#REF!-#REF!</f>
        <v>1.0164874986803214</v>
      </c>
      <c r="W93" s="10">
        <f>#REF!-#REF!</f>
        <v>-1.0030082013329098</v>
      </c>
      <c r="X93" s="10">
        <f>#REF!-#REF!</f>
        <v>-1.0724595867994209</v>
      </c>
      <c r="Y93" s="10">
        <f>#REF!-#REF!</f>
        <v>0</v>
      </c>
      <c r="Z93" s="10">
        <f>#REF!-#REF!</f>
        <v>0</v>
      </c>
      <c r="AA93" s="12">
        <v>311.06354290107998</v>
      </c>
      <c r="AB93" s="13">
        <v>332.60254327404999</v>
      </c>
      <c r="AC93">
        <f t="shared" si="26"/>
        <v>1</v>
      </c>
      <c r="AD93">
        <f t="shared" si="27"/>
        <v>0.99680895944565073</v>
      </c>
      <c r="AE93">
        <f t="shared" si="28"/>
        <v>0.99680895944565073</v>
      </c>
      <c r="AF93">
        <f t="shared" si="29"/>
        <v>3.1910405543497744E-3</v>
      </c>
      <c r="AG93">
        <f t="shared" si="30"/>
        <v>3.1910405543497744E-3</v>
      </c>
      <c r="AH93">
        <f t="shared" si="31"/>
        <v>0</v>
      </c>
      <c r="AI93" t="e">
        <f t="shared" si="32"/>
        <v>#DIV/0!</v>
      </c>
      <c r="AJ93" t="e">
        <f t="shared" si="33"/>
        <v>#DIV/0!</v>
      </c>
      <c r="AK93">
        <f t="shared" si="34"/>
        <v>5.3238658692329527E-3</v>
      </c>
      <c r="AL93">
        <f t="shared" si="35"/>
        <v>4.9790977630896176E-3</v>
      </c>
    </row>
    <row r="94" spans="1:38" x14ac:dyDescent="0.35">
      <c r="A94" s="19" t="s">
        <v>45</v>
      </c>
      <c r="B94" s="23" t="s">
        <v>68</v>
      </c>
      <c r="C94" s="10">
        <v>0</v>
      </c>
      <c r="D94" s="10">
        <v>0</v>
      </c>
      <c r="E94" s="10">
        <v>0</v>
      </c>
      <c r="F94" s="10">
        <f>#REF!-#REF!</f>
        <v>0</v>
      </c>
      <c r="G94" s="10">
        <f>#REF!-#REF!</f>
        <v>0.30689155142270308</v>
      </c>
      <c r="H94" s="10">
        <f>#REF!-#REF!</f>
        <v>0.20024042401510744</v>
      </c>
      <c r="I94" s="10">
        <f>#REF!-#REF!</f>
        <v>0.10665112740759561</v>
      </c>
      <c r="J94" s="10">
        <f>#REF!-#REF!</f>
        <v>0</v>
      </c>
      <c r="K94" s="10">
        <f>#REF!-#REF!</f>
        <v>-0.64554443167754627</v>
      </c>
      <c r="L94" s="10">
        <f>#REF!-#REF!</f>
        <v>-0.37816919898380608</v>
      </c>
      <c r="M94" s="10">
        <f>#REF!-#REF!</f>
        <v>-0.25843281727599432</v>
      </c>
      <c r="N94" s="10">
        <f>#REF!-#REF!</f>
        <v>-0.1513936558114537</v>
      </c>
      <c r="O94" s="10">
        <f>#REF!-#REF!</f>
        <v>-0.38711161440155228</v>
      </c>
      <c r="P94" s="10">
        <f>#REF!-#REF!</f>
        <v>-0.22677554317235216</v>
      </c>
      <c r="Q94" s="10">
        <f>#REF!-#REF!</f>
        <v>0</v>
      </c>
      <c r="R94" s="10">
        <f>#REF!-#REF!</f>
        <v>0</v>
      </c>
      <c r="S94" s="10">
        <f>#REF!-#REF!</f>
        <v>1.1410449348886771</v>
      </c>
      <c r="T94" s="10">
        <f>#REF!-#REF!</f>
        <v>0.6684405098345283</v>
      </c>
      <c r="U94" s="10">
        <f>#REF!-#REF!</f>
        <v>0.74450834675371524</v>
      </c>
      <c r="V94" s="10">
        <f>#REF!-#REF!</f>
        <v>0.43614368169354156</v>
      </c>
      <c r="W94" s="10">
        <f>#REF!-#REF!</f>
        <v>0.39653658813496218</v>
      </c>
      <c r="X94" s="10">
        <f>#REF!-#REF!</f>
        <v>0.23229682814098662</v>
      </c>
      <c r="Y94" s="10">
        <f>#REF!-#REF!</f>
        <v>0</v>
      </c>
      <c r="Z94" s="10">
        <f>#REF!-#REF!</f>
        <v>0</v>
      </c>
      <c r="AA94" s="12">
        <v>45.911572818750003</v>
      </c>
      <c r="AB94" s="13">
        <v>26.895658710639999</v>
      </c>
      <c r="AC94">
        <f t="shared" si="26"/>
        <v>0</v>
      </c>
      <c r="AD94">
        <f t="shared" si="27"/>
        <v>0</v>
      </c>
      <c r="AE94" t="e">
        <f t="shared" si="28"/>
        <v>#DIV/0!</v>
      </c>
      <c r="AF94">
        <f t="shared" si="29"/>
        <v>0</v>
      </c>
      <c r="AG94" t="e">
        <f t="shared" si="30"/>
        <v>#DIV/0!</v>
      </c>
      <c r="AH94">
        <f t="shared" si="31"/>
        <v>1</v>
      </c>
      <c r="AI94">
        <f t="shared" si="32"/>
        <v>0.65247942827628502</v>
      </c>
      <c r="AJ94">
        <f t="shared" si="33"/>
        <v>0.34752057172371487</v>
      </c>
      <c r="AK94">
        <f t="shared" si="34"/>
        <v>6.6844050983452799E-3</v>
      </c>
      <c r="AL94">
        <f t="shared" si="35"/>
        <v>1.1410449348886775E-2</v>
      </c>
    </row>
    <row r="95" spans="1:38" x14ac:dyDescent="0.35">
      <c r="A95" s="15" t="s">
        <v>46</v>
      </c>
      <c r="B95" s="22" t="s">
        <v>68</v>
      </c>
      <c r="C95" s="10">
        <v>0</v>
      </c>
      <c r="D95" s="10">
        <v>0</v>
      </c>
      <c r="E95" s="10">
        <v>0</v>
      </c>
      <c r="F95" s="10">
        <v>0</v>
      </c>
      <c r="G95" s="10">
        <f>#REF!-#REF!</f>
        <v>0.66176208666115244</v>
      </c>
      <c r="H95" s="10">
        <f>#REF!-#REF!</f>
        <v>0.12179697198193473</v>
      </c>
      <c r="I95" s="10">
        <f>#REF!-#REF!</f>
        <v>0.53996511467921771</v>
      </c>
      <c r="J95" s="10">
        <f>#REF!-#REF!</f>
        <v>5.0329327265262735E-2</v>
      </c>
      <c r="K95" s="10">
        <f>#REF!-#REF!</f>
        <v>-0.2928624518272942</v>
      </c>
      <c r="L95" s="10">
        <f>#REF!-#REF!</f>
        <v>-0.29381032599445422</v>
      </c>
      <c r="M95" s="10">
        <f>#REF!-#REF!</f>
        <v>-4.3383855405923821E-2</v>
      </c>
      <c r="N95" s="10">
        <f>#REF!-#REF!</f>
        <v>-4.3524270933945619E-2</v>
      </c>
      <c r="O95" s="10">
        <f>#REF!-#REF!</f>
        <v>-0.24947859642137038</v>
      </c>
      <c r="P95" s="10">
        <f>#REF!-#REF!</f>
        <v>-0.25028605506050861</v>
      </c>
      <c r="Q95" s="10">
        <f>#REF!-#REF!</f>
        <v>-0.32258810591490872</v>
      </c>
      <c r="R95" s="10">
        <f>#REF!-#REF!</f>
        <v>-0.32363218968297769</v>
      </c>
      <c r="S95" s="10">
        <f>#REF!-#REF!</f>
        <v>0.25977517501203984</v>
      </c>
      <c r="T95" s="10">
        <f>#REF!-#REF!</f>
        <v>0.26061595940118565</v>
      </c>
      <c r="U95" s="10">
        <f>#REF!-#REF!</f>
        <v>4.7811487467012137E-2</v>
      </c>
      <c r="V95" s="10">
        <f>#REF!-#REF!</f>
        <v>4.7966233401769864E-2</v>
      </c>
      <c r="W95" s="10">
        <f>#REF!-#REF!</f>
        <v>0.21196368754502704</v>
      </c>
      <c r="X95" s="10">
        <f>#REF!-#REF!</f>
        <v>0.21264972599941601</v>
      </c>
      <c r="Y95" s="10">
        <f>#REF!-#REF!</f>
        <v>1.9756813002897777E-2</v>
      </c>
      <c r="Z95" s="10">
        <f>#REF!-#REF!</f>
        <v>1.9820757604037398E-2</v>
      </c>
      <c r="AA95" s="12">
        <v>253.92231856471</v>
      </c>
      <c r="AB95" s="13">
        <v>254.7441596875</v>
      </c>
      <c r="AC95">
        <f t="shared" si="26"/>
        <v>0</v>
      </c>
      <c r="AD95">
        <f t="shared" si="27"/>
        <v>0</v>
      </c>
      <c r="AE95" t="e">
        <f t="shared" si="28"/>
        <v>#DIV/0!</v>
      </c>
      <c r="AF95">
        <f t="shared" si="29"/>
        <v>0</v>
      </c>
      <c r="AG95" t="e">
        <f t="shared" si="30"/>
        <v>#DIV/0!</v>
      </c>
      <c r="AH95">
        <f t="shared" si="31"/>
        <v>1</v>
      </c>
      <c r="AI95">
        <f t="shared" si="32"/>
        <v>0.18404948611735664</v>
      </c>
      <c r="AJ95">
        <f t="shared" si="33"/>
        <v>0.81595051388264339</v>
      </c>
      <c r="AK95">
        <f t="shared" si="34"/>
        <v>2.6061595940118508E-3</v>
      </c>
      <c r="AL95">
        <f t="shared" si="35"/>
        <v>2.5977517501203948E-3</v>
      </c>
    </row>
    <row r="96" spans="1:38" x14ac:dyDescent="0.35">
      <c r="A96" s="19" t="s">
        <v>47</v>
      </c>
      <c r="B96" s="23" t="s">
        <v>68</v>
      </c>
      <c r="C96" s="10">
        <f>#REF!-#REF!</f>
        <v>2.8687653080557514</v>
      </c>
      <c r="D96" s="10">
        <v>0</v>
      </c>
      <c r="E96" s="10">
        <f>#REF!-#REF!</f>
        <v>3.2334337939194935</v>
      </c>
      <c r="F96" s="10">
        <f>#REF!-#REF!</f>
        <v>1.3717936772303887</v>
      </c>
      <c r="G96" s="10">
        <v>0</v>
      </c>
      <c r="H96" s="10">
        <v>0</v>
      </c>
      <c r="I96" s="10">
        <f>#REF!-#REF!</f>
        <v>0.43119963399917571</v>
      </c>
      <c r="J96" s="10">
        <f>#REF!-#REF!</f>
        <v>0</v>
      </c>
      <c r="K96" s="10">
        <f>#REF!-#REF!</f>
        <v>1.406926427152758</v>
      </c>
      <c r="L96" s="10">
        <f>#REF!-#REF!</f>
        <v>0.951356418582324</v>
      </c>
      <c r="M96" s="10">
        <f>#REF!-#REF!</f>
        <v>-0.17884409312632038</v>
      </c>
      <c r="N96" s="10">
        <f>#REF!-#REF!</f>
        <v>-0.12093345653161611</v>
      </c>
      <c r="O96" s="10">
        <f>#REF!-#REF!</f>
        <v>1.5857705202790777</v>
      </c>
      <c r="P96" s="10">
        <f>#REF!-#REF!</f>
        <v>1.0722898751139405</v>
      </c>
      <c r="Q96" s="10">
        <f>#REF!-#REF!</f>
        <v>0.6727677484375747</v>
      </c>
      <c r="R96" s="10">
        <f>#REF!-#REF!</f>
        <v>0.45492209353586399</v>
      </c>
      <c r="S96" s="10">
        <f>#REF!-#REF!</f>
        <v>-2.9370801436493545</v>
      </c>
      <c r="T96" s="10">
        <f>#REF!-#REF!</f>
        <v>-1.986038496843253</v>
      </c>
      <c r="U96" s="10">
        <f>#REF!-#REF!</f>
        <v>-3.148553058059071</v>
      </c>
      <c r="V96" s="10">
        <f>#REF!-#REF!</f>
        <v>-2.1290353946178868</v>
      </c>
      <c r="W96" s="10">
        <f>#REF!-#REF!</f>
        <v>0.21147291440971627</v>
      </c>
      <c r="X96" s="10">
        <f>#REF!-#REF!</f>
        <v>0.14299689777463409</v>
      </c>
      <c r="Y96" s="10">
        <f>#REF!-#REF!</f>
        <v>0</v>
      </c>
      <c r="Z96" s="10">
        <f>#REF!-#REF!</f>
        <v>0</v>
      </c>
      <c r="AA96" s="12">
        <v>301.54474727050001</v>
      </c>
      <c r="AB96" s="13">
        <v>203.90300819506001</v>
      </c>
      <c r="AC96">
        <f t="shared" si="26"/>
        <v>1</v>
      </c>
      <c r="AD96">
        <f t="shared" si="27"/>
        <v>1.1271168766715494</v>
      </c>
      <c r="AE96">
        <f t="shared" si="28"/>
        <v>1.1271168766715494</v>
      </c>
      <c r="AF96">
        <f t="shared" si="29"/>
        <v>0</v>
      </c>
      <c r="AG96">
        <f t="shared" si="30"/>
        <v>0</v>
      </c>
      <c r="AH96">
        <f t="shared" si="31"/>
        <v>0</v>
      </c>
      <c r="AI96" t="e">
        <f t="shared" si="32"/>
        <v>#DIV/0!</v>
      </c>
      <c r="AJ96" t="e">
        <f t="shared" si="33"/>
        <v>#DIV/0!</v>
      </c>
      <c r="AK96">
        <f t="shared" si="34"/>
        <v>9.5135641858232478E-3</v>
      </c>
      <c r="AL96">
        <f t="shared" si="35"/>
        <v>1.4069264271527571E-2</v>
      </c>
    </row>
    <row r="97" spans="1:38" x14ac:dyDescent="0.35">
      <c r="A97" s="19" t="s">
        <v>48</v>
      </c>
      <c r="B97" s="23" t="s">
        <v>68</v>
      </c>
      <c r="C97" s="10">
        <f>#REF!-#REF!</f>
        <v>0</v>
      </c>
      <c r="D97" s="10">
        <f>#REF!-#REF!</f>
        <v>0</v>
      </c>
      <c r="E97" s="10">
        <f>#REF!-#REF!</f>
        <v>0</v>
      </c>
      <c r="F97" s="10">
        <f>#REF!-#REF!</f>
        <v>0</v>
      </c>
      <c r="G97" s="10">
        <f>#REF!-#REF!</f>
        <v>0</v>
      </c>
      <c r="H97" s="10">
        <f>#REF!-#REF!</f>
        <v>0</v>
      </c>
      <c r="I97" s="10">
        <f>#REF!-#REF!</f>
        <v>0</v>
      </c>
      <c r="J97" s="10">
        <f>#REF!-#REF!</f>
        <v>0</v>
      </c>
      <c r="K97" s="10">
        <f>#REF!-#REF!</f>
        <v>0</v>
      </c>
      <c r="L97" s="10">
        <f>#REF!-#REF!</f>
        <v>0</v>
      </c>
      <c r="M97" s="10">
        <f>#REF!-#REF!</f>
        <v>0</v>
      </c>
      <c r="N97" s="10">
        <f>#REF!-#REF!</f>
        <v>0</v>
      </c>
      <c r="O97" s="10">
        <f>#REF!-#REF!</f>
        <v>0</v>
      </c>
      <c r="P97" s="10">
        <f>#REF!-#REF!</f>
        <v>0</v>
      </c>
      <c r="Q97" s="10">
        <f>#REF!-#REF!</f>
        <v>0</v>
      </c>
      <c r="R97" s="10">
        <f>#REF!-#REF!</f>
        <v>0</v>
      </c>
      <c r="S97" s="10">
        <f>#REF!-#REF!</f>
        <v>0</v>
      </c>
      <c r="T97" s="10">
        <f>#REF!-#REF!</f>
        <v>0</v>
      </c>
      <c r="U97" s="10">
        <f>#REF!-#REF!</f>
        <v>0</v>
      </c>
      <c r="V97" s="10">
        <f>#REF!-#REF!</f>
        <v>0</v>
      </c>
      <c r="W97" s="10">
        <f>#REF!-#REF!</f>
        <v>0</v>
      </c>
      <c r="X97" s="10">
        <f>#REF!-#REF!</f>
        <v>0</v>
      </c>
      <c r="Y97" s="10">
        <f>#REF!-#REF!</f>
        <v>0</v>
      </c>
      <c r="Z97" s="10">
        <f>#REF!-#REF!</f>
        <v>0</v>
      </c>
      <c r="AA97" s="12">
        <v>19.06914282116</v>
      </c>
      <c r="AB97" s="13">
        <v>20.729999827290001</v>
      </c>
      <c r="AC97" t="e">
        <f t="shared" si="26"/>
        <v>#DIV/0!</v>
      </c>
      <c r="AD97" t="e">
        <f t="shared" si="27"/>
        <v>#DIV/0!</v>
      </c>
      <c r="AE97" t="e">
        <f t="shared" si="28"/>
        <v>#DIV/0!</v>
      </c>
      <c r="AF97" t="e">
        <f t="shared" si="29"/>
        <v>#DIV/0!</v>
      </c>
      <c r="AG97" t="e">
        <f t="shared" si="30"/>
        <v>#DIV/0!</v>
      </c>
      <c r="AH97" t="e">
        <f t="shared" si="31"/>
        <v>#DIV/0!</v>
      </c>
      <c r="AI97" t="e">
        <f t="shared" si="32"/>
        <v>#DIV/0!</v>
      </c>
      <c r="AJ97" t="e">
        <f t="shared" si="33"/>
        <v>#DIV/0!</v>
      </c>
      <c r="AK97">
        <f t="shared" si="34"/>
        <v>0</v>
      </c>
      <c r="AL97">
        <f t="shared" si="35"/>
        <v>0</v>
      </c>
    </row>
    <row r="98" spans="1:38" x14ac:dyDescent="0.35">
      <c r="A98" s="19" t="s">
        <v>49</v>
      </c>
      <c r="B98" s="23" t="s">
        <v>68</v>
      </c>
      <c r="C98" s="10">
        <f>#REF!-#REF!</f>
        <v>0</v>
      </c>
      <c r="D98" s="10">
        <f>#REF!-#REF!</f>
        <v>0</v>
      </c>
      <c r="E98" s="10">
        <f>#REF!-#REF!</f>
        <v>0</v>
      </c>
      <c r="F98" s="10">
        <f>#REF!-#REF!</f>
        <v>0</v>
      </c>
      <c r="G98" s="10">
        <f>#REF!-#REF!</f>
        <v>0</v>
      </c>
      <c r="H98" s="10">
        <f>#REF!-#REF!</f>
        <v>0</v>
      </c>
      <c r="I98" s="10">
        <f>#REF!-#REF!</f>
        <v>0</v>
      </c>
      <c r="J98" s="10">
        <f>#REF!-#REF!</f>
        <v>0</v>
      </c>
      <c r="K98" s="10">
        <f>#REF!-#REF!</f>
        <v>0</v>
      </c>
      <c r="L98" s="10">
        <f>#REF!-#REF!</f>
        <v>0</v>
      </c>
      <c r="M98" s="10">
        <f>#REF!-#REF!</f>
        <v>0</v>
      </c>
      <c r="N98" s="10">
        <f>#REF!-#REF!</f>
        <v>0</v>
      </c>
      <c r="O98" s="10">
        <f>#REF!-#REF!</f>
        <v>0</v>
      </c>
      <c r="P98" s="10">
        <f>#REF!-#REF!</f>
        <v>0</v>
      </c>
      <c r="Q98" s="10">
        <f>#REF!-#REF!</f>
        <v>0</v>
      </c>
      <c r="R98" s="10">
        <f>#REF!-#REF!</f>
        <v>0</v>
      </c>
      <c r="S98" s="10">
        <f>#REF!-#REF!</f>
        <v>0</v>
      </c>
      <c r="T98" s="10">
        <f>#REF!-#REF!</f>
        <v>0</v>
      </c>
      <c r="U98" s="10">
        <f>#REF!-#REF!</f>
        <v>0</v>
      </c>
      <c r="V98" s="10">
        <f>#REF!-#REF!</f>
        <v>0</v>
      </c>
      <c r="W98" s="10">
        <f>#REF!-#REF!</f>
        <v>0</v>
      </c>
      <c r="X98" s="10">
        <f>#REF!-#REF!</f>
        <v>0</v>
      </c>
      <c r="Y98" s="10">
        <f>#REF!-#REF!</f>
        <v>0</v>
      </c>
      <c r="Z98" s="10">
        <f>#REF!-#REF!</f>
        <v>0</v>
      </c>
      <c r="AA98" s="12">
        <v>417.89075855828003</v>
      </c>
      <c r="AB98" s="13">
        <v>371.46659669328</v>
      </c>
      <c r="AC98" t="e">
        <f t="shared" si="26"/>
        <v>#DIV/0!</v>
      </c>
      <c r="AD98" t="e">
        <f t="shared" si="27"/>
        <v>#DIV/0!</v>
      </c>
      <c r="AE98" t="e">
        <f t="shared" si="28"/>
        <v>#DIV/0!</v>
      </c>
      <c r="AF98" t="e">
        <f t="shared" si="29"/>
        <v>#DIV/0!</v>
      </c>
      <c r="AG98" t="e">
        <f t="shared" si="30"/>
        <v>#DIV/0!</v>
      </c>
      <c r="AH98" t="e">
        <f t="shared" si="31"/>
        <v>#DIV/0!</v>
      </c>
      <c r="AI98" t="e">
        <f t="shared" si="32"/>
        <v>#DIV/0!</v>
      </c>
      <c r="AJ98" t="e">
        <f t="shared" si="33"/>
        <v>#DIV/0!</v>
      </c>
      <c r="AK98">
        <f t="shared" si="34"/>
        <v>0</v>
      </c>
      <c r="AL98">
        <f t="shared" si="35"/>
        <v>0</v>
      </c>
    </row>
    <row r="99" spans="1:38" x14ac:dyDescent="0.35">
      <c r="A99" s="19" t="s">
        <v>50</v>
      </c>
      <c r="B99" s="23" t="s">
        <v>68</v>
      </c>
      <c r="C99" s="10">
        <f>#REF!-#REF!</f>
        <v>0</v>
      </c>
      <c r="D99" s="10">
        <f>#REF!-#REF!</f>
        <v>0</v>
      </c>
      <c r="E99" s="10">
        <f>#REF!-#REF!</f>
        <v>0</v>
      </c>
      <c r="F99" s="10">
        <f>#REF!-#REF!</f>
        <v>0</v>
      </c>
      <c r="G99" s="10">
        <f>#REF!-#REF!</f>
        <v>0</v>
      </c>
      <c r="H99" s="10">
        <f>#REF!-#REF!</f>
        <v>0</v>
      </c>
      <c r="I99" s="10">
        <f>#REF!-#REF!</f>
        <v>0</v>
      </c>
      <c r="J99" s="10">
        <f>#REF!-#REF!</f>
        <v>0</v>
      </c>
      <c r="K99" s="10">
        <f>#REF!-#REF!</f>
        <v>0</v>
      </c>
      <c r="L99" s="10">
        <f>#REF!-#REF!</f>
        <v>0</v>
      </c>
      <c r="M99" s="10">
        <f>#REF!-#REF!</f>
        <v>0</v>
      </c>
      <c r="N99" s="10">
        <f>#REF!-#REF!</f>
        <v>0</v>
      </c>
      <c r="O99" s="10">
        <f>#REF!-#REF!</f>
        <v>0</v>
      </c>
      <c r="P99" s="10">
        <f>#REF!-#REF!</f>
        <v>0</v>
      </c>
      <c r="Q99" s="10">
        <f>#REF!-#REF!</f>
        <v>0</v>
      </c>
      <c r="R99" s="10">
        <f>#REF!-#REF!</f>
        <v>0</v>
      </c>
      <c r="S99" s="10">
        <f>#REF!-#REF!</f>
        <v>0</v>
      </c>
      <c r="T99" s="10">
        <f>#REF!-#REF!</f>
        <v>0</v>
      </c>
      <c r="U99" s="10">
        <f>#REF!-#REF!</f>
        <v>0</v>
      </c>
      <c r="V99" s="10">
        <f>#REF!-#REF!</f>
        <v>0</v>
      </c>
      <c r="W99" s="10">
        <f>#REF!-#REF!</f>
        <v>0</v>
      </c>
      <c r="X99" s="10">
        <f>#REF!-#REF!</f>
        <v>0</v>
      </c>
      <c r="Y99" s="10">
        <f>#REF!-#REF!</f>
        <v>0</v>
      </c>
      <c r="Z99" s="10">
        <f>#REF!-#REF!</f>
        <v>0</v>
      </c>
      <c r="AA99" s="12">
        <v>342.39670930134002</v>
      </c>
      <c r="AB99" s="13">
        <v>358.46025273358998</v>
      </c>
      <c r="AC99" t="e">
        <f t="shared" si="26"/>
        <v>#DIV/0!</v>
      </c>
      <c r="AD99" t="e">
        <f t="shared" si="27"/>
        <v>#DIV/0!</v>
      </c>
      <c r="AE99" t="e">
        <f t="shared" si="28"/>
        <v>#DIV/0!</v>
      </c>
      <c r="AF99" t="e">
        <f t="shared" si="29"/>
        <v>#DIV/0!</v>
      </c>
      <c r="AG99" t="e">
        <f t="shared" si="30"/>
        <v>#DIV/0!</v>
      </c>
      <c r="AH99" t="e">
        <f t="shared" si="31"/>
        <v>#DIV/0!</v>
      </c>
      <c r="AI99" t="e">
        <f t="shared" si="32"/>
        <v>#DIV/0!</v>
      </c>
      <c r="AJ99" t="e">
        <f t="shared" si="33"/>
        <v>#DIV/0!</v>
      </c>
      <c r="AK99">
        <f t="shared" si="34"/>
        <v>0</v>
      </c>
      <c r="AL99">
        <f t="shared" si="35"/>
        <v>0</v>
      </c>
    </row>
    <row r="100" spans="1:38" x14ac:dyDescent="0.35">
      <c r="A100" s="19" t="s">
        <v>51</v>
      </c>
      <c r="B100" s="23" t="s">
        <v>68</v>
      </c>
      <c r="C100" s="10">
        <f>#REF!-#REF!</f>
        <v>0</v>
      </c>
      <c r="D100" s="10">
        <f>#REF!-#REF!</f>
        <v>0</v>
      </c>
      <c r="E100" s="10">
        <f>#REF!-#REF!</f>
        <v>0</v>
      </c>
      <c r="F100" s="10">
        <f>#REF!-#REF!</f>
        <v>0</v>
      </c>
      <c r="G100" s="10">
        <f>#REF!-#REF!</f>
        <v>0</v>
      </c>
      <c r="H100" s="10">
        <f>#REF!-#REF!</f>
        <v>0</v>
      </c>
      <c r="I100" s="10">
        <f>#REF!-#REF!</f>
        <v>0</v>
      </c>
      <c r="J100" s="10">
        <f>#REF!-#REF!</f>
        <v>0</v>
      </c>
      <c r="K100" s="10">
        <f>#REF!-#REF!</f>
        <v>0</v>
      </c>
      <c r="L100" s="10">
        <f>#REF!-#REF!</f>
        <v>0</v>
      </c>
      <c r="M100" s="10">
        <f>#REF!-#REF!</f>
        <v>0</v>
      </c>
      <c r="N100" s="10">
        <f>#REF!-#REF!</f>
        <v>0</v>
      </c>
      <c r="O100" s="10">
        <f>#REF!-#REF!</f>
        <v>0</v>
      </c>
      <c r="P100" s="10">
        <f>#REF!-#REF!</f>
        <v>0</v>
      </c>
      <c r="Q100" s="10">
        <f>#REF!-#REF!</f>
        <v>0</v>
      </c>
      <c r="R100" s="10">
        <f>#REF!-#REF!</f>
        <v>0</v>
      </c>
      <c r="S100" s="10">
        <f>#REF!-#REF!</f>
        <v>0</v>
      </c>
      <c r="T100" s="10">
        <f>#REF!-#REF!</f>
        <v>0</v>
      </c>
      <c r="U100" s="10">
        <f>#REF!-#REF!</f>
        <v>0</v>
      </c>
      <c r="V100" s="10">
        <f>#REF!-#REF!</f>
        <v>0</v>
      </c>
      <c r="W100" s="10">
        <f>#REF!-#REF!</f>
        <v>0</v>
      </c>
      <c r="X100" s="10">
        <f>#REF!-#REF!</f>
        <v>0</v>
      </c>
      <c r="Y100" s="10">
        <f>#REF!-#REF!</f>
        <v>0</v>
      </c>
      <c r="Z100" s="10">
        <f>#REF!-#REF!</f>
        <v>0</v>
      </c>
      <c r="AA100" s="20">
        <v>55.422589739999999</v>
      </c>
      <c r="AB100" s="13">
        <v>30.160077523049999</v>
      </c>
      <c r="AC100" t="e">
        <f t="shared" si="26"/>
        <v>#DIV/0!</v>
      </c>
      <c r="AD100" t="e">
        <f t="shared" si="27"/>
        <v>#DIV/0!</v>
      </c>
      <c r="AE100" t="e">
        <f t="shared" si="28"/>
        <v>#DIV/0!</v>
      </c>
      <c r="AF100" t="e">
        <f t="shared" si="29"/>
        <v>#DIV/0!</v>
      </c>
      <c r="AG100" t="e">
        <f t="shared" si="30"/>
        <v>#DIV/0!</v>
      </c>
      <c r="AH100" t="e">
        <f t="shared" si="31"/>
        <v>#DIV/0!</v>
      </c>
      <c r="AI100" t="e">
        <f t="shared" si="32"/>
        <v>#DIV/0!</v>
      </c>
      <c r="AJ100" t="e">
        <f t="shared" si="33"/>
        <v>#DIV/0!</v>
      </c>
      <c r="AK100">
        <f t="shared" si="34"/>
        <v>0</v>
      </c>
      <c r="AL100">
        <f t="shared" si="35"/>
        <v>0</v>
      </c>
    </row>
    <row r="101" spans="1:38" x14ac:dyDescent="0.35">
      <c r="A101" s="19" t="s">
        <v>52</v>
      </c>
      <c r="B101" s="23" t="s">
        <v>68</v>
      </c>
      <c r="C101" s="10">
        <f>#REF!-#REF!</f>
        <v>0</v>
      </c>
      <c r="D101" s="10">
        <f>#REF!-#REF!</f>
        <v>0</v>
      </c>
      <c r="E101" s="10">
        <f>#REF!-#REF!</f>
        <v>0</v>
      </c>
      <c r="F101" s="10">
        <f>#REF!-#REF!</f>
        <v>0</v>
      </c>
      <c r="G101" s="10">
        <f>#REF!-#REF!</f>
        <v>0</v>
      </c>
      <c r="H101" s="10">
        <f>#REF!-#REF!</f>
        <v>0</v>
      </c>
      <c r="I101" s="10">
        <f>#REF!-#REF!</f>
        <v>0</v>
      </c>
      <c r="J101" s="10">
        <f>#REF!-#REF!</f>
        <v>0</v>
      </c>
      <c r="K101" s="10">
        <f>#REF!-#REF!</f>
        <v>0</v>
      </c>
      <c r="L101" s="10">
        <f>#REF!-#REF!</f>
        <v>0</v>
      </c>
      <c r="M101" s="10">
        <f>#REF!-#REF!</f>
        <v>0</v>
      </c>
      <c r="N101" s="10">
        <f>#REF!-#REF!</f>
        <v>0</v>
      </c>
      <c r="O101" s="10">
        <f>#REF!-#REF!</f>
        <v>0</v>
      </c>
      <c r="P101" s="10">
        <f>#REF!-#REF!</f>
        <v>0</v>
      </c>
      <c r="Q101" s="10">
        <f>#REF!-#REF!</f>
        <v>0</v>
      </c>
      <c r="R101" s="10">
        <f>#REF!-#REF!</f>
        <v>0</v>
      </c>
      <c r="S101" s="10">
        <f>#REF!-#REF!</f>
        <v>0</v>
      </c>
      <c r="T101" s="10">
        <f>#REF!-#REF!</f>
        <v>0</v>
      </c>
      <c r="U101" s="10">
        <f>#REF!-#REF!</f>
        <v>0</v>
      </c>
      <c r="V101" s="10">
        <f>#REF!-#REF!</f>
        <v>0</v>
      </c>
      <c r="W101" s="10">
        <f>#REF!-#REF!</f>
        <v>0</v>
      </c>
      <c r="X101" s="10">
        <f>#REF!-#REF!</f>
        <v>0</v>
      </c>
      <c r="Y101" s="10">
        <f>#REF!-#REF!</f>
        <v>0</v>
      </c>
      <c r="Z101" s="10">
        <f>#REF!-#REF!</f>
        <v>0</v>
      </c>
      <c r="AA101" s="12">
        <v>97.136073348400004</v>
      </c>
      <c r="AB101" s="13">
        <v>48.216768505140003</v>
      </c>
      <c r="AC101" t="e">
        <f t="shared" si="26"/>
        <v>#DIV/0!</v>
      </c>
      <c r="AD101" t="e">
        <f t="shared" si="27"/>
        <v>#DIV/0!</v>
      </c>
      <c r="AE101" t="e">
        <f t="shared" si="28"/>
        <v>#DIV/0!</v>
      </c>
      <c r="AF101" t="e">
        <f t="shared" si="29"/>
        <v>#DIV/0!</v>
      </c>
      <c r="AG101" t="e">
        <f t="shared" si="30"/>
        <v>#DIV/0!</v>
      </c>
      <c r="AH101" t="e">
        <f t="shared" si="31"/>
        <v>#DIV/0!</v>
      </c>
      <c r="AI101" t="e">
        <f t="shared" si="32"/>
        <v>#DIV/0!</v>
      </c>
      <c r="AJ101" t="e">
        <f t="shared" si="33"/>
        <v>#DIV/0!</v>
      </c>
      <c r="AK101">
        <f t="shared" si="34"/>
        <v>0</v>
      </c>
      <c r="AL101">
        <f t="shared" si="35"/>
        <v>0</v>
      </c>
    </row>
    <row r="102" spans="1:38" x14ac:dyDescent="0.35">
      <c r="A102" s="19" t="s">
        <v>53</v>
      </c>
      <c r="B102" s="23" t="s">
        <v>68</v>
      </c>
      <c r="C102" s="10">
        <f>#REF!-#REF!</f>
        <v>0</v>
      </c>
      <c r="D102" s="10">
        <f>#REF!-#REF!</f>
        <v>0</v>
      </c>
      <c r="E102" s="10">
        <f>#REF!-#REF!</f>
        <v>0</v>
      </c>
      <c r="F102" s="10">
        <f>#REF!-#REF!</f>
        <v>0</v>
      </c>
      <c r="G102" s="10">
        <f>#REF!-#REF!</f>
        <v>0</v>
      </c>
      <c r="H102" s="10">
        <f>#REF!-#REF!</f>
        <v>0</v>
      </c>
      <c r="I102" s="10">
        <f>#REF!-#REF!</f>
        <v>0</v>
      </c>
      <c r="J102" s="10">
        <f>#REF!-#REF!</f>
        <v>0</v>
      </c>
      <c r="K102" s="10">
        <f>#REF!-#REF!</f>
        <v>0</v>
      </c>
      <c r="L102" s="10">
        <f>#REF!-#REF!</f>
        <v>0</v>
      </c>
      <c r="M102" s="10">
        <f>#REF!-#REF!</f>
        <v>0</v>
      </c>
      <c r="N102" s="10">
        <f>#REF!-#REF!</f>
        <v>0</v>
      </c>
      <c r="O102" s="10">
        <f>#REF!-#REF!</f>
        <v>0</v>
      </c>
      <c r="P102" s="10">
        <f>#REF!-#REF!</f>
        <v>0</v>
      </c>
      <c r="Q102" s="10">
        <f>#REF!-#REF!</f>
        <v>0</v>
      </c>
      <c r="R102" s="10">
        <f>#REF!-#REF!</f>
        <v>0</v>
      </c>
      <c r="S102" s="10">
        <f>#REF!-#REF!</f>
        <v>0</v>
      </c>
      <c r="T102" s="10">
        <f>#REF!-#REF!</f>
        <v>0</v>
      </c>
      <c r="U102" s="10">
        <f>#REF!-#REF!</f>
        <v>0</v>
      </c>
      <c r="V102" s="10">
        <f>#REF!-#REF!</f>
        <v>0</v>
      </c>
      <c r="W102" s="10">
        <f>#REF!-#REF!</f>
        <v>0</v>
      </c>
      <c r="X102" s="10">
        <f>#REF!-#REF!</f>
        <v>0</v>
      </c>
      <c r="Y102" s="10">
        <f>#REF!-#REF!</f>
        <v>0</v>
      </c>
      <c r="Z102" s="10">
        <f>#REF!-#REF!</f>
        <v>0</v>
      </c>
      <c r="AA102" s="12">
        <v>66.343484468840003</v>
      </c>
      <c r="AB102" s="13">
        <v>66.557495896739994</v>
      </c>
      <c r="AC102" t="e">
        <f t="shared" si="26"/>
        <v>#DIV/0!</v>
      </c>
      <c r="AD102" t="e">
        <f t="shared" si="27"/>
        <v>#DIV/0!</v>
      </c>
      <c r="AE102" t="e">
        <f t="shared" si="28"/>
        <v>#DIV/0!</v>
      </c>
      <c r="AF102" t="e">
        <f t="shared" si="29"/>
        <v>#DIV/0!</v>
      </c>
      <c r="AG102" t="e">
        <f t="shared" si="30"/>
        <v>#DIV/0!</v>
      </c>
      <c r="AH102" t="e">
        <f t="shared" si="31"/>
        <v>#DIV/0!</v>
      </c>
      <c r="AI102" t="e">
        <f t="shared" si="32"/>
        <v>#DIV/0!</v>
      </c>
      <c r="AJ102" t="e">
        <f t="shared" si="33"/>
        <v>#DIV/0!</v>
      </c>
      <c r="AK102">
        <f t="shared" si="34"/>
        <v>0</v>
      </c>
      <c r="AL102">
        <f t="shared" si="35"/>
        <v>0</v>
      </c>
    </row>
    <row r="103" spans="1:38" x14ac:dyDescent="0.35">
      <c r="A103" s="19" t="s">
        <v>54</v>
      </c>
      <c r="B103" s="23" t="s">
        <v>68</v>
      </c>
      <c r="C103" s="10">
        <f>#REF!-#REF!</f>
        <v>6.7094683675636091</v>
      </c>
      <c r="D103" s="10">
        <f>#REF!-#REF!</f>
        <v>3.4647147221616406</v>
      </c>
      <c r="E103" s="10">
        <f>#REF!-#REF!</f>
        <v>3.2447536454019712</v>
      </c>
      <c r="F103" s="10">
        <v>0</v>
      </c>
      <c r="G103" s="10">
        <f>#REF!-#REF!</f>
        <v>4.2836647687777969</v>
      </c>
      <c r="H103" s="10">
        <f>#REF!-#REF!</f>
        <v>0</v>
      </c>
      <c r="I103" s="10">
        <f>#REF!-#REF!</f>
        <v>4.2836647687777969</v>
      </c>
      <c r="J103" s="10">
        <f>#REF!-#REF!</f>
        <v>0</v>
      </c>
      <c r="K103" s="10">
        <f>#REF!-#REF!</f>
        <v>0.79850817559321996</v>
      </c>
      <c r="L103" s="10">
        <f>#REF!-#REF!</f>
        <v>0.71955999760414269</v>
      </c>
      <c r="M103" s="10">
        <f>#REF!-#REF!</f>
        <v>0.41234310681293096</v>
      </c>
      <c r="N103" s="10">
        <f>#REF!-#REF!</f>
        <v>0.37157491184103569</v>
      </c>
      <c r="O103" s="10">
        <f>#REF!-#REF!</f>
        <v>0.38616506878028956</v>
      </c>
      <c r="P103" s="10">
        <f>#REF!-#REF!</f>
        <v>0.34798508576310727</v>
      </c>
      <c r="Q103" s="10">
        <f>#REF!-#REF!</f>
        <v>-0.48857678334938903</v>
      </c>
      <c r="R103" s="10">
        <f>#REF!-#REF!</f>
        <v>-0.44027139583780439</v>
      </c>
      <c r="S103" s="10">
        <f>#REF!-#REF!</f>
        <v>0.50980810281572397</v>
      </c>
      <c r="T103" s="10">
        <f>#REF!-#REF!</f>
        <v>0.45940358339866272</v>
      </c>
      <c r="U103" s="10">
        <f>#REF!-#REF!</f>
        <v>0</v>
      </c>
      <c r="V103" s="10">
        <f>#REF!-#REF!</f>
        <v>0</v>
      </c>
      <c r="W103" s="10">
        <f>#REF!-#REF!</f>
        <v>0.50980810281572397</v>
      </c>
      <c r="X103" s="10">
        <f>#REF!-#REF!</f>
        <v>0.45940358339866272</v>
      </c>
      <c r="Y103" s="10">
        <f>#REF!-#REF!</f>
        <v>0</v>
      </c>
      <c r="Z103" s="10">
        <f>#REF!-#REF!</f>
        <v>0</v>
      </c>
      <c r="AA103" s="12">
        <v>932.44043441874999</v>
      </c>
      <c r="AB103" s="13">
        <v>840.25042856688003</v>
      </c>
      <c r="AC103">
        <f t="shared" si="26"/>
        <v>0.61033267625798704</v>
      </c>
      <c r="AD103">
        <f t="shared" si="27"/>
        <v>0.29516186196957572</v>
      </c>
      <c r="AE103">
        <f t="shared" si="28"/>
        <v>0.48360815904408677</v>
      </c>
      <c r="AF103">
        <f t="shared" si="29"/>
        <v>0.31517081428841154</v>
      </c>
      <c r="AG103">
        <f t="shared" si="30"/>
        <v>0.51639184095591362</v>
      </c>
      <c r="AH103">
        <f t="shared" si="31"/>
        <v>0.38966732374201296</v>
      </c>
      <c r="AI103">
        <f t="shared" si="32"/>
        <v>0</v>
      </c>
      <c r="AJ103">
        <f t="shared" si="33"/>
        <v>1</v>
      </c>
      <c r="AK103">
        <f t="shared" si="34"/>
        <v>1.178963581002805E-2</v>
      </c>
      <c r="AL103">
        <f t="shared" si="35"/>
        <v>1.3083162784089438E-2</v>
      </c>
    </row>
    <row r="104" spans="1:38" x14ac:dyDescent="0.35">
      <c r="A104" s="19" t="s">
        <v>55</v>
      </c>
      <c r="B104" s="23" t="s">
        <v>68</v>
      </c>
      <c r="C104" s="10">
        <v>0</v>
      </c>
      <c r="D104" s="10">
        <f>#REF!-#REF!</f>
        <v>0.199134188698951</v>
      </c>
      <c r="E104" s="10">
        <v>0</v>
      </c>
      <c r="F104" s="10">
        <f>#REF!-#REF!</f>
        <v>0</v>
      </c>
      <c r="G104" s="10">
        <f>#REF!-#REF!</f>
        <v>0.14987911249498698</v>
      </c>
      <c r="H104" s="10">
        <f>#REF!-#REF!</f>
        <v>7.4029359208051648E-2</v>
      </c>
      <c r="I104" s="10">
        <f>#REF!-#REF!</f>
        <v>7.5849753286935329E-2</v>
      </c>
      <c r="J104" s="10">
        <f>#REF!-#REF!</f>
        <v>0</v>
      </c>
      <c r="K104" s="10">
        <f>#REF!-#REF!</f>
        <v>-0.7702564211840901</v>
      </c>
      <c r="L104" s="10">
        <f>#REF!-#REF!</f>
        <v>-0.80585693116972834</v>
      </c>
      <c r="M104" s="10">
        <f>#REF!-#REF!</f>
        <v>9.8125103029966881E-2</v>
      </c>
      <c r="N104" s="10">
        <f>#REF!-#REF!</f>
        <v>0.10266035079186195</v>
      </c>
      <c r="O104" s="10">
        <f>#REF!-#REF!</f>
        <v>-0.86838152421405468</v>
      </c>
      <c r="P104" s="10">
        <f>#REF!-#REF!</f>
        <v>-0.90851728196158987</v>
      </c>
      <c r="Q104" s="10">
        <f>#REF!-#REF!</f>
        <v>0</v>
      </c>
      <c r="R104" s="10">
        <f>#REF!-#REF!</f>
        <v>0</v>
      </c>
      <c r="S104" s="10">
        <f>#REF!-#REF!</f>
        <v>7.3854235938582757E-2</v>
      </c>
      <c r="T104" s="10">
        <f>#REF!-#REF!</f>
        <v>7.726770759776258E-2</v>
      </c>
      <c r="U104" s="10">
        <f>#REF!-#REF!</f>
        <v>3.647861046359191E-2</v>
      </c>
      <c r="V104" s="10">
        <f>#REF!-#REF!</f>
        <v>3.8164616708207477E-2</v>
      </c>
      <c r="W104" s="10">
        <f>#REF!-#REF!</f>
        <v>3.7375625474990848E-2</v>
      </c>
      <c r="X104" s="10">
        <f>#REF!-#REF!</f>
        <v>3.9103090889555325E-2</v>
      </c>
      <c r="Y104" s="10">
        <f>#REF!-#REF!</f>
        <v>0</v>
      </c>
      <c r="Z104" s="10">
        <f>#REF!-#REF!</f>
        <v>0</v>
      </c>
      <c r="AA104" s="12">
        <v>193.97380504054999</v>
      </c>
      <c r="AB104" s="13">
        <v>202.93908750153</v>
      </c>
      <c r="AC104">
        <f t="shared" si="26"/>
        <v>0</v>
      </c>
      <c r="AD104">
        <f t="shared" si="27"/>
        <v>0</v>
      </c>
      <c r="AE104" t="e">
        <f t="shared" si="28"/>
        <v>#DIV/0!</v>
      </c>
      <c r="AF104">
        <f t="shared" si="29"/>
        <v>1.3286320247300067</v>
      </c>
      <c r="AG104" t="e">
        <f t="shared" si="30"/>
        <v>#DIV/0!</v>
      </c>
      <c r="AH104">
        <f t="shared" si="31"/>
        <v>1</v>
      </c>
      <c r="AI104">
        <f t="shared" si="32"/>
        <v>0.4939271255060822</v>
      </c>
      <c r="AJ104">
        <f t="shared" si="33"/>
        <v>0.5060728744939178</v>
      </c>
      <c r="AK104">
        <f t="shared" si="34"/>
        <v>7.7267707597762972E-4</v>
      </c>
      <c r="AL104">
        <f t="shared" si="35"/>
        <v>7.3854235938582808E-4</v>
      </c>
    </row>
    <row r="105" spans="1:38" x14ac:dyDescent="0.35">
      <c r="A105" s="19" t="s">
        <v>56</v>
      </c>
      <c r="B105" s="23" t="s">
        <v>68</v>
      </c>
      <c r="C105" s="10">
        <f>#REF!-#REF!</f>
        <v>0</v>
      </c>
      <c r="D105" s="10">
        <f>#REF!-#REF!</f>
        <v>0</v>
      </c>
      <c r="E105" s="10">
        <f>#REF!-#REF!</f>
        <v>0</v>
      </c>
      <c r="F105" s="10">
        <f>#REF!-#REF!</f>
        <v>0</v>
      </c>
      <c r="G105" s="10">
        <f>#REF!-#REF!</f>
        <v>1.3754229037270846</v>
      </c>
      <c r="H105" s="10">
        <f>#REF!-#REF!</f>
        <v>0.38291283511333063</v>
      </c>
      <c r="I105" s="10">
        <f>#REF!-#REF!</f>
        <v>0.99251006861375402</v>
      </c>
      <c r="J105" s="10">
        <f>#REF!-#REF!</f>
        <v>0</v>
      </c>
      <c r="K105" s="10">
        <f>#REF!-#REF!</f>
        <v>0</v>
      </c>
      <c r="L105" s="10">
        <f>#REF!-#REF!</f>
        <v>0</v>
      </c>
      <c r="M105" s="10">
        <f>#REF!-#REF!</f>
        <v>0</v>
      </c>
      <c r="N105" s="10">
        <f>#REF!-#REF!</f>
        <v>0</v>
      </c>
      <c r="O105" s="10">
        <f>#REF!-#REF!</f>
        <v>0</v>
      </c>
      <c r="P105" s="10">
        <f>#REF!-#REF!</f>
        <v>0</v>
      </c>
      <c r="Q105" s="10">
        <f>#REF!-#REF!</f>
        <v>0</v>
      </c>
      <c r="R105" s="10">
        <f>#REF!-#REF!</f>
        <v>0</v>
      </c>
      <c r="S105" s="10">
        <f>#REF!-#REF!</f>
        <v>0.33526511599412778</v>
      </c>
      <c r="T105" s="10">
        <f>#REF!-#REF!</f>
        <v>0.416221861307843</v>
      </c>
      <c r="U105" s="10">
        <f>#REF!-#REF!</f>
        <v>9.3336613584110939E-2</v>
      </c>
      <c r="V105" s="10">
        <f>#REF!-#REF!</f>
        <v>0.1158746829921613</v>
      </c>
      <c r="W105" s="10">
        <f>#REF!-#REF!</f>
        <v>0.24192850241001684</v>
      </c>
      <c r="X105" s="10">
        <f>#REF!-#REF!</f>
        <v>0.3003471783156817</v>
      </c>
      <c r="Y105" s="10">
        <f>#REF!-#REF!</f>
        <v>0</v>
      </c>
      <c r="Z105" s="10">
        <f>#REF!-#REF!</f>
        <v>0</v>
      </c>
      <c r="AA105" s="12">
        <v>330.45426768437</v>
      </c>
      <c r="AB105" s="13">
        <v>410.24933347112</v>
      </c>
      <c r="AC105">
        <f t="shared" si="26"/>
        <v>0</v>
      </c>
      <c r="AD105">
        <f t="shared" si="27"/>
        <v>0</v>
      </c>
      <c r="AE105" t="e">
        <f t="shared" si="28"/>
        <v>#DIV/0!</v>
      </c>
      <c r="AF105">
        <f t="shared" si="29"/>
        <v>0</v>
      </c>
      <c r="AG105" t="e">
        <f t="shared" si="30"/>
        <v>#DIV/0!</v>
      </c>
      <c r="AH105">
        <f t="shared" si="31"/>
        <v>1</v>
      </c>
      <c r="AI105">
        <f t="shared" si="32"/>
        <v>0.27839643652561225</v>
      </c>
      <c r="AJ105">
        <f t="shared" si="33"/>
        <v>0.7216035634743877</v>
      </c>
      <c r="AK105">
        <f t="shared" si="34"/>
        <v>4.1622186130784236E-3</v>
      </c>
      <c r="AL105">
        <f t="shared" si="35"/>
        <v>3.3526511599412732E-3</v>
      </c>
    </row>
    <row r="106" spans="1:38" x14ac:dyDescent="0.35">
      <c r="A106" s="19" t="s">
        <v>57</v>
      </c>
      <c r="B106" s="23" t="s">
        <v>68</v>
      </c>
      <c r="C106" s="10">
        <f>#REF!-#REF!</f>
        <v>0</v>
      </c>
      <c r="D106" s="10">
        <f>#REF!-#REF!</f>
        <v>0</v>
      </c>
      <c r="E106" s="10">
        <f>#REF!-#REF!</f>
        <v>0</v>
      </c>
      <c r="F106" s="10">
        <f>#REF!-#REF!</f>
        <v>0</v>
      </c>
      <c r="G106" s="10">
        <f>#REF!-#REF!</f>
        <v>0</v>
      </c>
      <c r="H106" s="10">
        <f>#REF!-#REF!</f>
        <v>0</v>
      </c>
      <c r="I106" s="10">
        <f>#REF!-#REF!</f>
        <v>0</v>
      </c>
      <c r="J106" s="10">
        <f>#REF!-#REF!</f>
        <v>0</v>
      </c>
      <c r="K106" s="10">
        <f>#REF!-#REF!</f>
        <v>0</v>
      </c>
      <c r="L106" s="10">
        <f>#REF!-#REF!</f>
        <v>0</v>
      </c>
      <c r="M106" s="10">
        <f>#REF!-#REF!</f>
        <v>0</v>
      </c>
      <c r="N106" s="10">
        <f>#REF!-#REF!</f>
        <v>0</v>
      </c>
      <c r="O106" s="10">
        <f>#REF!-#REF!</f>
        <v>0</v>
      </c>
      <c r="P106" s="10">
        <f>#REF!-#REF!</f>
        <v>0</v>
      </c>
      <c r="Q106" s="10">
        <f>#REF!-#REF!</f>
        <v>0</v>
      </c>
      <c r="R106" s="10">
        <f>#REF!-#REF!</f>
        <v>0</v>
      </c>
      <c r="S106" s="10">
        <f>#REF!-#REF!</f>
        <v>0</v>
      </c>
      <c r="T106" s="10">
        <f>#REF!-#REF!</f>
        <v>0</v>
      </c>
      <c r="U106" s="10">
        <f>#REF!-#REF!</f>
        <v>0</v>
      </c>
      <c r="V106" s="10">
        <f>#REF!-#REF!</f>
        <v>0</v>
      </c>
      <c r="W106" s="10">
        <f>#REF!-#REF!</f>
        <v>0</v>
      </c>
      <c r="X106" s="10">
        <f>#REF!-#REF!</f>
        <v>0</v>
      </c>
      <c r="Y106" s="10">
        <f>#REF!-#REF!</f>
        <v>0</v>
      </c>
      <c r="Z106" s="10">
        <f>#REF!-#REF!</f>
        <v>0</v>
      </c>
      <c r="AA106" s="12">
        <v>341.21592570296002</v>
      </c>
      <c r="AB106" s="13">
        <v>222.36238134761999</v>
      </c>
      <c r="AC106" t="e">
        <f t="shared" si="26"/>
        <v>#DIV/0!</v>
      </c>
      <c r="AD106" t="e">
        <f t="shared" si="27"/>
        <v>#DIV/0!</v>
      </c>
      <c r="AE106" t="e">
        <f t="shared" si="28"/>
        <v>#DIV/0!</v>
      </c>
      <c r="AF106" t="e">
        <f t="shared" si="29"/>
        <v>#DIV/0!</v>
      </c>
      <c r="AG106" t="e">
        <f t="shared" si="30"/>
        <v>#DIV/0!</v>
      </c>
      <c r="AH106" t="e">
        <f t="shared" si="31"/>
        <v>#DIV/0!</v>
      </c>
      <c r="AI106" t="e">
        <f t="shared" si="32"/>
        <v>#DIV/0!</v>
      </c>
      <c r="AJ106" t="e">
        <f t="shared" si="33"/>
        <v>#DIV/0!</v>
      </c>
      <c r="AK106">
        <f t="shared" si="34"/>
        <v>0</v>
      </c>
      <c r="AL106">
        <f t="shared" si="35"/>
        <v>0</v>
      </c>
    </row>
    <row r="107" spans="1:38" x14ac:dyDescent="0.35">
      <c r="A107" s="19" t="s">
        <v>58</v>
      </c>
      <c r="B107" s="23" t="s">
        <v>68</v>
      </c>
      <c r="C107" s="10">
        <f>#REF!-#REF!</f>
        <v>0</v>
      </c>
      <c r="D107" s="10">
        <f>#REF!-#REF!</f>
        <v>0</v>
      </c>
      <c r="E107" s="10">
        <f>#REF!-#REF!</f>
        <v>0</v>
      </c>
      <c r="F107" s="10">
        <f>#REF!-#REF!</f>
        <v>0</v>
      </c>
      <c r="G107" s="10">
        <f>#REF!-#REF!</f>
        <v>0</v>
      </c>
      <c r="H107" s="10">
        <f>#REF!-#REF!</f>
        <v>0</v>
      </c>
      <c r="I107" s="10">
        <f>#REF!-#REF!</f>
        <v>0</v>
      </c>
      <c r="J107" s="10">
        <f>#REF!-#REF!</f>
        <v>0</v>
      </c>
      <c r="K107" s="10">
        <f>#REF!-#REF!</f>
        <v>0</v>
      </c>
      <c r="L107" s="10">
        <f>#REF!-#REF!</f>
        <v>0</v>
      </c>
      <c r="M107" s="10">
        <f>#REF!-#REF!</f>
        <v>0</v>
      </c>
      <c r="N107" s="10">
        <f>#REF!-#REF!</f>
        <v>0</v>
      </c>
      <c r="O107" s="10">
        <f>#REF!-#REF!</f>
        <v>0</v>
      </c>
      <c r="P107" s="10">
        <f>#REF!-#REF!</f>
        <v>0</v>
      </c>
      <c r="Q107" s="10">
        <f>#REF!-#REF!</f>
        <v>0</v>
      </c>
      <c r="R107" s="10">
        <f>#REF!-#REF!</f>
        <v>0</v>
      </c>
      <c r="S107" s="10">
        <f>#REF!-#REF!</f>
        <v>0</v>
      </c>
      <c r="T107" s="10">
        <f>#REF!-#REF!</f>
        <v>0</v>
      </c>
      <c r="U107" s="10">
        <f>#REF!-#REF!</f>
        <v>0</v>
      </c>
      <c r="V107" s="10">
        <f>#REF!-#REF!</f>
        <v>0</v>
      </c>
      <c r="W107" s="10">
        <f>#REF!-#REF!</f>
        <v>0</v>
      </c>
      <c r="X107" s="10">
        <f>#REF!-#REF!</f>
        <v>0</v>
      </c>
      <c r="Y107" s="10">
        <f>#REF!-#REF!</f>
        <v>0</v>
      </c>
      <c r="Z107" s="10">
        <f>#REF!-#REF!</f>
        <v>0</v>
      </c>
      <c r="AA107" s="12">
        <v>181.71174374815001</v>
      </c>
      <c r="AB107" s="13">
        <v>99.489061173690004</v>
      </c>
      <c r="AC107" t="e">
        <f t="shared" si="26"/>
        <v>#DIV/0!</v>
      </c>
      <c r="AD107" t="e">
        <f t="shared" si="27"/>
        <v>#DIV/0!</v>
      </c>
      <c r="AE107" t="e">
        <f t="shared" si="28"/>
        <v>#DIV/0!</v>
      </c>
      <c r="AF107" t="e">
        <f t="shared" si="29"/>
        <v>#DIV/0!</v>
      </c>
      <c r="AG107" t="e">
        <f t="shared" si="30"/>
        <v>#DIV/0!</v>
      </c>
      <c r="AH107" t="e">
        <f t="shared" si="31"/>
        <v>#DIV/0!</v>
      </c>
      <c r="AI107" t="e">
        <f t="shared" si="32"/>
        <v>#DIV/0!</v>
      </c>
      <c r="AJ107" t="e">
        <f t="shared" si="33"/>
        <v>#DIV/0!</v>
      </c>
      <c r="AK107">
        <f t="shared" si="34"/>
        <v>0</v>
      </c>
      <c r="AL107">
        <f t="shared" si="35"/>
        <v>0</v>
      </c>
    </row>
    <row r="108" spans="1:38" x14ac:dyDescent="0.35">
      <c r="A108" s="19" t="s">
        <v>59</v>
      </c>
      <c r="B108" s="23" t="s">
        <v>68</v>
      </c>
      <c r="C108" s="10">
        <f>#REF!-#REF!</f>
        <v>0</v>
      </c>
      <c r="D108" s="10">
        <f>#REF!-#REF!</f>
        <v>0</v>
      </c>
      <c r="E108" s="10">
        <f>#REF!-#REF!</f>
        <v>0</v>
      </c>
      <c r="F108" s="10">
        <f>#REF!-#REF!</f>
        <v>0</v>
      </c>
      <c r="G108" s="10">
        <f>#REF!-#REF!</f>
        <v>0</v>
      </c>
      <c r="H108" s="10">
        <f>#REF!-#REF!</f>
        <v>0</v>
      </c>
      <c r="I108" s="10">
        <f>#REF!-#REF!</f>
        <v>0</v>
      </c>
      <c r="J108" s="10">
        <f>#REF!-#REF!</f>
        <v>0</v>
      </c>
      <c r="K108" s="10">
        <f>#REF!-#REF!</f>
        <v>0</v>
      </c>
      <c r="L108" s="10">
        <f>#REF!-#REF!</f>
        <v>0</v>
      </c>
      <c r="M108" s="10">
        <f>#REF!-#REF!</f>
        <v>0</v>
      </c>
      <c r="N108" s="10">
        <f>#REF!-#REF!</f>
        <v>0</v>
      </c>
      <c r="O108" s="10">
        <f>#REF!-#REF!</f>
        <v>0</v>
      </c>
      <c r="P108" s="10">
        <f>#REF!-#REF!</f>
        <v>0</v>
      </c>
      <c r="Q108" s="10">
        <f>#REF!-#REF!</f>
        <v>0</v>
      </c>
      <c r="R108" s="10">
        <f>#REF!-#REF!</f>
        <v>0</v>
      </c>
      <c r="S108" s="10">
        <f>#REF!-#REF!</f>
        <v>0</v>
      </c>
      <c r="T108" s="10">
        <f>#REF!-#REF!</f>
        <v>0</v>
      </c>
      <c r="U108" s="10">
        <f>#REF!-#REF!</f>
        <v>0</v>
      </c>
      <c r="V108" s="10">
        <f>#REF!-#REF!</f>
        <v>0</v>
      </c>
      <c r="W108" s="10">
        <f>#REF!-#REF!</f>
        <v>0</v>
      </c>
      <c r="X108" s="10">
        <f>#REF!-#REF!</f>
        <v>0</v>
      </c>
      <c r="Y108" s="10">
        <f>#REF!-#REF!</f>
        <v>0</v>
      </c>
      <c r="Z108" s="10">
        <f>#REF!-#REF!</f>
        <v>0</v>
      </c>
      <c r="AA108" s="12">
        <v>76.037366075549997</v>
      </c>
      <c r="AB108" s="13">
        <v>50.417977728389999</v>
      </c>
      <c r="AC108" t="e">
        <f t="shared" si="26"/>
        <v>#DIV/0!</v>
      </c>
      <c r="AD108" t="e">
        <f t="shared" si="27"/>
        <v>#DIV/0!</v>
      </c>
      <c r="AE108" t="e">
        <f t="shared" si="28"/>
        <v>#DIV/0!</v>
      </c>
      <c r="AF108" t="e">
        <f t="shared" si="29"/>
        <v>#DIV/0!</v>
      </c>
      <c r="AG108" t="e">
        <f t="shared" si="30"/>
        <v>#DIV/0!</v>
      </c>
      <c r="AH108" t="e">
        <f t="shared" si="31"/>
        <v>#DIV/0!</v>
      </c>
      <c r="AI108" t="e">
        <f t="shared" si="32"/>
        <v>#DIV/0!</v>
      </c>
      <c r="AJ108" t="e">
        <f t="shared" si="33"/>
        <v>#DIV/0!</v>
      </c>
      <c r="AK108">
        <f t="shared" si="34"/>
        <v>0</v>
      </c>
      <c r="AL108">
        <f t="shared" si="35"/>
        <v>0</v>
      </c>
    </row>
    <row r="109" spans="1:38" x14ac:dyDescent="0.35">
      <c r="A109" s="15" t="s">
        <v>60</v>
      </c>
      <c r="B109" s="22" t="s">
        <v>68</v>
      </c>
      <c r="C109" s="10">
        <f>#REF!-#REF!</f>
        <v>2.6442336933321684</v>
      </c>
      <c r="D109" s="10">
        <f>#REF!-#REF!</f>
        <v>0.71001324529060439</v>
      </c>
      <c r="E109" s="10">
        <f>#REF!-#REF!</f>
        <v>1.9342204480415646</v>
      </c>
      <c r="F109" s="10">
        <f>#REF!-#REF!</f>
        <v>0.16067269854286081</v>
      </c>
      <c r="G109" s="10">
        <f>#REF!-#REF!</f>
        <v>5.0533623042457521</v>
      </c>
      <c r="H109" s="10">
        <f>#REF!-#REF!</f>
        <v>1.272990789428851</v>
      </c>
      <c r="I109" s="10">
        <f>#REF!-#REF!</f>
        <v>3.7803715148169026</v>
      </c>
      <c r="J109" s="10">
        <f>#REF!-#REF!</f>
        <v>0</v>
      </c>
      <c r="K109" s="10">
        <f>#REF!-#REF!</f>
        <v>0.48092603545097301</v>
      </c>
      <c r="L109" s="10">
        <f>#REF!-#REF!</f>
        <v>0.50752608476784022</v>
      </c>
      <c r="M109" s="10">
        <f>#REF!-#REF!</f>
        <v>0.129135278790351</v>
      </c>
      <c r="N109" s="10">
        <f>#REF!-#REF!</f>
        <v>0.13627775919515969</v>
      </c>
      <c r="O109" s="10">
        <f>#REF!-#REF!</f>
        <v>0.35179075666062154</v>
      </c>
      <c r="P109" s="10">
        <f>#REF!-#REF!</f>
        <v>0.37124832557268039</v>
      </c>
      <c r="Q109" s="10">
        <f>#REF!-#REF!</f>
        <v>2.9222713601402717E-2</v>
      </c>
      <c r="R109" s="10">
        <f>#REF!-#REF!</f>
        <v>3.0839023731590309E-2</v>
      </c>
      <c r="S109" s="10">
        <f>#REF!-#REF!</f>
        <v>0.91909179767531501</v>
      </c>
      <c r="T109" s="10">
        <f>#REF!-#REF!</f>
        <v>0.96992682290319099</v>
      </c>
      <c r="U109" s="10">
        <f>#REF!-#REF!</f>
        <v>0.23152810399073692</v>
      </c>
      <c r="V109" s="10">
        <f>#REF!-#REF!</f>
        <v>0.24433393800764469</v>
      </c>
      <c r="W109" s="10">
        <f>#REF!-#REF!</f>
        <v>0.68756369368457815</v>
      </c>
      <c r="X109" s="10">
        <f>#REF!-#REF!</f>
        <v>0.72559288489554596</v>
      </c>
      <c r="Y109" s="10">
        <f>#REF!-#REF!</f>
        <v>0</v>
      </c>
      <c r="Z109" s="10">
        <f>#REF!-#REF!</f>
        <v>0</v>
      </c>
      <c r="AA109" s="12">
        <v>521.00449074291998</v>
      </c>
      <c r="AB109" s="13">
        <v>549.82128194673999</v>
      </c>
      <c r="AC109">
        <f t="shared" si="26"/>
        <v>0.34351422108463309</v>
      </c>
      <c r="AD109">
        <f t="shared" si="27"/>
        <v>0.25127591116111769</v>
      </c>
      <c r="AE109">
        <f t="shared" si="28"/>
        <v>0.73148619689666283</v>
      </c>
      <c r="AF109">
        <f t="shared" si="29"/>
        <v>9.2238309923515463E-2</v>
      </c>
      <c r="AG109">
        <f t="shared" si="30"/>
        <v>0.26851380310333733</v>
      </c>
      <c r="AH109">
        <f t="shared" si="31"/>
        <v>0.65648577891536697</v>
      </c>
      <c r="AI109">
        <f t="shared" si="32"/>
        <v>0.25190966188181385</v>
      </c>
      <c r="AJ109">
        <f t="shared" si="33"/>
        <v>0.74809033811818648</v>
      </c>
      <c r="AK109">
        <f t="shared" si="34"/>
        <v>1.4774529076710313E-2</v>
      </c>
      <c r="AL109">
        <f t="shared" si="35"/>
        <v>1.4000178331262866E-2</v>
      </c>
    </row>
    <row r="110" spans="1:38" x14ac:dyDescent="0.35">
      <c r="A110" s="15" t="s">
        <v>61</v>
      </c>
      <c r="B110" s="22" t="s">
        <v>68</v>
      </c>
      <c r="C110" s="10">
        <f>#REF!-#REF!</f>
        <v>1.8004263575689272</v>
      </c>
      <c r="D110" s="10">
        <f>#REF!-#REF!</f>
        <v>7.9844312796973682E-2</v>
      </c>
      <c r="E110" s="10">
        <f>#REF!-#REF!</f>
        <v>1.7205820447719518</v>
      </c>
      <c r="F110" s="10">
        <f>#REF!-#REF!</f>
        <v>0</v>
      </c>
      <c r="G110" s="10">
        <f>#REF!-#REF!</f>
        <v>2.2594733452900257</v>
      </c>
      <c r="H110" s="10">
        <f>#REF!-#REF!</f>
        <v>1.014811784017208</v>
      </c>
      <c r="I110" s="10">
        <f>#REF!-#REF!</f>
        <v>1.2446615612728209</v>
      </c>
      <c r="J110" s="10">
        <f>#REF!-#REF!</f>
        <v>0</v>
      </c>
      <c r="K110" s="10">
        <f>#REF!-#REF!</f>
        <v>0.24098551496158116</v>
      </c>
      <c r="L110" s="10">
        <f>#REF!-#REF!</f>
        <v>0.30473646432983248</v>
      </c>
      <c r="M110" s="10">
        <f>#REF!-#REF!</f>
        <v>1.0687092396332976E-2</v>
      </c>
      <c r="N110" s="10">
        <f>#REF!-#REF!</f>
        <v>1.3514284256229803E-2</v>
      </c>
      <c r="O110" s="10">
        <f>#REF!-#REF!</f>
        <v>0.23029842256524846</v>
      </c>
      <c r="P110" s="10">
        <f>#REF!-#REF!</f>
        <v>0.29122218007360257</v>
      </c>
      <c r="Q110" s="10">
        <f>#REF!-#REF!</f>
        <v>0</v>
      </c>
      <c r="R110" s="10">
        <f>#REF!-#REF!</f>
        <v>0</v>
      </c>
      <c r="S110" s="10">
        <f>#REF!-#REF!</f>
        <v>0.30242855830655113</v>
      </c>
      <c r="T110" s="10">
        <f>#REF!-#REF!</f>
        <v>0.38243381385557296</v>
      </c>
      <c r="U110" s="10">
        <f>#REF!-#REF!</f>
        <v>0.13583168194154041</v>
      </c>
      <c r="V110" s="10">
        <f>#REF!-#REF!</f>
        <v>0.17176495651798102</v>
      </c>
      <c r="W110" s="10">
        <f>#REF!-#REF!</f>
        <v>0.16659687636501097</v>
      </c>
      <c r="X110" s="10">
        <f>#REF!-#REF!</f>
        <v>0.21066885733759211</v>
      </c>
      <c r="Y110" s="10">
        <f>#REF!-#REF!</f>
        <v>0</v>
      </c>
      <c r="Z110" s="10">
        <f>#REF!-#REF!</f>
        <v>0</v>
      </c>
      <c r="AA110" s="12">
        <v>590.81421763174001</v>
      </c>
      <c r="AB110" s="13">
        <v>747.10978286638999</v>
      </c>
      <c r="AC110">
        <f t="shared" si="26"/>
        <v>0.44346572313130778</v>
      </c>
      <c r="AD110">
        <f t="shared" si="27"/>
        <v>0.42379915039781152</v>
      </c>
      <c r="AE110">
        <f t="shared" si="28"/>
        <v>0.95565255281821837</v>
      </c>
      <c r="AF110">
        <f t="shared" si="29"/>
        <v>1.9666572733495823E-2</v>
      </c>
      <c r="AG110">
        <f t="shared" si="30"/>
        <v>4.434744718178063E-2</v>
      </c>
      <c r="AH110">
        <f t="shared" si="31"/>
        <v>0.55653427686869217</v>
      </c>
      <c r="AI110">
        <f t="shared" si="32"/>
        <v>0.44913642647417329</v>
      </c>
      <c r="AJ110">
        <f t="shared" si="33"/>
        <v>0.55086357352582815</v>
      </c>
      <c r="AK110">
        <f t="shared" si="34"/>
        <v>6.8717027818540515E-3</v>
      </c>
      <c r="AL110">
        <f t="shared" si="35"/>
        <v>5.4341407326813284E-3</v>
      </c>
    </row>
    <row r="111" spans="1:38" x14ac:dyDescent="0.35">
      <c r="A111" s="9" t="s">
        <v>62</v>
      </c>
      <c r="B111" s="22" t="s">
        <v>68</v>
      </c>
      <c r="C111" s="10">
        <f>#REF!-#REF!</f>
        <v>2.3892134593666938</v>
      </c>
      <c r="D111" s="10">
        <f>#REF!-#REF!</f>
        <v>2.5366516631069258E-2</v>
      </c>
      <c r="E111" s="10">
        <f>#REF!-#REF!</f>
        <v>2.3638469427356235</v>
      </c>
      <c r="F111" s="10">
        <f>#REF!-#REF!</f>
        <v>1.8029183606759216</v>
      </c>
      <c r="G111" s="10">
        <v>0</v>
      </c>
      <c r="H111" s="10">
        <v>0</v>
      </c>
      <c r="I111" s="10">
        <v>0</v>
      </c>
      <c r="J111" s="10">
        <f>#REF!-#REF!</f>
        <v>5.6145524312524948</v>
      </c>
      <c r="K111" s="10">
        <f>#REF!-#REF!</f>
        <v>0.91205466796225654</v>
      </c>
      <c r="L111" s="10">
        <f>#REF!-#REF!</f>
        <v>0.54141734951583675</v>
      </c>
      <c r="M111" s="10">
        <f>#REF!-#REF!</f>
        <v>9.6833750088790582E-3</v>
      </c>
      <c r="N111" s="10">
        <f>#REF!-#REF!</f>
        <v>5.7482817816048581E-3</v>
      </c>
      <c r="O111" s="10">
        <f>#REF!-#REF!</f>
        <v>0.90237129295337759</v>
      </c>
      <c r="P111" s="10">
        <f>#REF!-#REF!</f>
        <v>0.53566906773423151</v>
      </c>
      <c r="Q111" s="10">
        <f>#REF!-#REF!</f>
        <v>0.68824327954573072</v>
      </c>
      <c r="R111" s="10">
        <f>#REF!-#REF!</f>
        <v>0.40855758467447112</v>
      </c>
      <c r="S111" s="10">
        <f>#REF!-#REF!</f>
        <v>-2.1356339731630136</v>
      </c>
      <c r="T111" s="10">
        <f>#REF!-#REF!</f>
        <v>-1.2677631351520513</v>
      </c>
      <c r="U111" s="10">
        <f>#REF!-#REF!</f>
        <v>-0.98567721838292932</v>
      </c>
      <c r="V111" s="10">
        <f>#REF!-#REF!</f>
        <v>-0.58512144699325441</v>
      </c>
      <c r="W111" s="10">
        <f>#REF!-#REF!</f>
        <v>-1.1499567547800842</v>
      </c>
      <c r="X111" s="10">
        <f>#REF!-#REF!</f>
        <v>-0.68264168815879689</v>
      </c>
      <c r="Y111" s="10">
        <f>#REF!-#REF!</f>
        <v>2.1432906019205311</v>
      </c>
      <c r="Z111" s="10">
        <f>#REF!-#REF!</f>
        <v>1.2723082921407038</v>
      </c>
      <c r="AA111" s="12">
        <v>441.28867711817003</v>
      </c>
      <c r="AB111" s="13">
        <v>261.95945739796002</v>
      </c>
      <c r="AC111">
        <f t="shared" si="26"/>
        <v>1</v>
      </c>
      <c r="AD111">
        <f t="shared" si="27"/>
        <v>0.98938290066480949</v>
      </c>
      <c r="AE111">
        <f t="shared" si="28"/>
        <v>0.98938290066480949</v>
      </c>
      <c r="AF111">
        <f t="shared" si="29"/>
        <v>1.0617099335190056E-2</v>
      </c>
      <c r="AG111">
        <f t="shared" si="30"/>
        <v>1.0617099335190056E-2</v>
      </c>
      <c r="AH111">
        <f t="shared" si="31"/>
        <v>0</v>
      </c>
      <c r="AI111" t="e">
        <f t="shared" si="32"/>
        <v>#DIV/0!</v>
      </c>
      <c r="AJ111" t="e">
        <f t="shared" si="33"/>
        <v>#DIV/0!</v>
      </c>
      <c r="AK111">
        <f t="shared" si="34"/>
        <v>5.4141734951583653E-3</v>
      </c>
      <c r="AL111">
        <f t="shared" si="35"/>
        <v>9.1205466796225685E-3</v>
      </c>
    </row>
    <row r="112" spans="1:38" x14ac:dyDescent="0.35">
      <c r="A112" s="9" t="s">
        <v>63</v>
      </c>
      <c r="B112" s="22" t="s">
        <v>68</v>
      </c>
      <c r="C112" s="10">
        <f>#REF!-#REF!</f>
        <v>3.2258738534714397</v>
      </c>
      <c r="D112" s="10">
        <f>#REF!-#REF!</f>
        <v>0.45292015012499087</v>
      </c>
      <c r="E112" s="10">
        <f>#REF!-#REF!</f>
        <v>2.7729537033464489</v>
      </c>
      <c r="F112" s="10">
        <f>#REF!-#REF!</f>
        <v>0</v>
      </c>
      <c r="G112" s="10">
        <f>#REF!-#REF!</f>
        <v>5.9276318719664545</v>
      </c>
      <c r="H112" s="10">
        <v>0</v>
      </c>
      <c r="I112" s="10">
        <f>#REF!-#REF!</f>
        <v>5.9938359774371612</v>
      </c>
      <c r="J112" s="10">
        <f>#REF!-#REF!</f>
        <v>0</v>
      </c>
      <c r="K112" s="10">
        <f>#REF!-#REF!</f>
        <v>1.0036769073955696</v>
      </c>
      <c r="L112" s="10">
        <f>#REF!-#REF!</f>
        <v>0.46720030176171901</v>
      </c>
      <c r="M112" s="10">
        <f>#REF!-#REF!</f>
        <v>0.14091855919455676</v>
      </c>
      <c r="N112" s="10">
        <f>#REF!-#REF!</f>
        <v>6.5596002951152699E-2</v>
      </c>
      <c r="O112" s="10">
        <f>#REF!-#REF!</f>
        <v>0.86275834820101271</v>
      </c>
      <c r="P112" s="10">
        <f>#REF!-#REF!</f>
        <v>0.40160429881056642</v>
      </c>
      <c r="Q112" s="10">
        <f>#REF!-#REF!</f>
        <v>0</v>
      </c>
      <c r="R112" s="10">
        <f>#REF!-#REF!</f>
        <v>0</v>
      </c>
      <c r="S112" s="10">
        <f>#REF!-#REF!</f>
        <v>1.8442839043542827</v>
      </c>
      <c r="T112" s="10">
        <f>#REF!-#REF!</f>
        <v>0.85849339593205221</v>
      </c>
      <c r="U112" s="10">
        <f>#REF!-#REF!</f>
        <v>-2.0598304476234508E-2</v>
      </c>
      <c r="V112" s="10">
        <f>#REF!-#REF!</f>
        <v>-9.5882788536487684E-3</v>
      </c>
      <c r="W112" s="10">
        <f>#REF!-#REF!</f>
        <v>1.864882208830517</v>
      </c>
      <c r="X112" s="10">
        <f>#REF!-#REF!</f>
        <v>0.86808167478570097</v>
      </c>
      <c r="Y112" s="10">
        <f>#REF!-#REF!</f>
        <v>0</v>
      </c>
      <c r="Z112" s="10">
        <f>#REF!-#REF!</f>
        <v>0</v>
      </c>
      <c r="AA112" s="12">
        <v>690.46912883131995</v>
      </c>
      <c r="AB112" s="13">
        <v>321.40560669490998</v>
      </c>
      <c r="AC112">
        <f t="shared" si="26"/>
        <v>0.35241949371448256</v>
      </c>
      <c r="AD112">
        <f t="shared" si="27"/>
        <v>0.30293898168876643</v>
      </c>
      <c r="AE112">
        <f t="shared" si="28"/>
        <v>0.85959768710807072</v>
      </c>
      <c r="AF112">
        <f t="shared" si="29"/>
        <v>4.94805120257161E-2</v>
      </c>
      <c r="AG112">
        <f t="shared" si="30"/>
        <v>0.14040231289192934</v>
      </c>
      <c r="AH112">
        <f t="shared" si="31"/>
        <v>0.64758050628551755</v>
      </c>
      <c r="AI112">
        <f t="shared" si="32"/>
        <v>0</v>
      </c>
      <c r="AJ112">
        <f t="shared" si="33"/>
        <v>1.0111687275628243</v>
      </c>
      <c r="AK112">
        <f t="shared" si="34"/>
        <v>1.3256936976937712E-2</v>
      </c>
      <c r="AL112">
        <f t="shared" si="35"/>
        <v>2.8479608117498518E-2</v>
      </c>
    </row>
    <row r="113" spans="1:38" x14ac:dyDescent="0.35">
      <c r="A113" s="24" t="s">
        <v>64</v>
      </c>
      <c r="B113" s="23" t="s">
        <v>68</v>
      </c>
      <c r="C113" s="10">
        <f>#REF!-#REF!</f>
        <v>6.3692384436993321E-2</v>
      </c>
      <c r="D113" s="10">
        <f>#REF!-#REF!</f>
        <v>2.6529165639306157E-2</v>
      </c>
      <c r="E113" s="10">
        <f>#REF!-#REF!</f>
        <v>3.7163218797687136E-2</v>
      </c>
      <c r="F113" s="10">
        <f>#REF!-#REF!</f>
        <v>0</v>
      </c>
      <c r="G113" s="10">
        <f>#REF!-#REF!</f>
        <v>0</v>
      </c>
      <c r="H113" s="10">
        <f>#REF!-#REF!</f>
        <v>0</v>
      </c>
      <c r="I113" s="10">
        <f>#REF!-#REF!</f>
        <v>0</v>
      </c>
      <c r="J113" s="10">
        <f>#REF!-#REF!</f>
        <v>0</v>
      </c>
      <c r="K113" s="10">
        <f>#REF!-#REF!</f>
        <v>9.8928109623370064E-2</v>
      </c>
      <c r="L113" s="10">
        <f>#REF!-#REF!</f>
        <v>6.9812506237616367E-2</v>
      </c>
      <c r="M113" s="10">
        <f>#REF!-#REF!</f>
        <v>4.1205557458412534E-2</v>
      </c>
      <c r="N113" s="10">
        <f>#REF!-#REF!</f>
        <v>2.9078320085581782E-2</v>
      </c>
      <c r="O113" s="10">
        <f>#REF!-#REF!</f>
        <v>5.7722552164957697E-2</v>
      </c>
      <c r="P113" s="10">
        <f>#REF!-#REF!</f>
        <v>4.0734186152034613E-2</v>
      </c>
      <c r="Q113" s="10">
        <f>#REF!-#REF!</f>
        <v>0</v>
      </c>
      <c r="R113" s="10">
        <f>#REF!-#REF!</f>
        <v>0</v>
      </c>
      <c r="S113" s="10">
        <f>#REF!-#REF!</f>
        <v>0</v>
      </c>
      <c r="T113" s="10">
        <f>#REF!-#REF!</f>
        <v>0</v>
      </c>
      <c r="U113" s="10">
        <f>#REF!-#REF!</f>
        <v>0</v>
      </c>
      <c r="V113" s="10">
        <f>#REF!-#REF!</f>
        <v>0</v>
      </c>
      <c r="W113" s="10">
        <f>#REF!-#REF!</f>
        <v>0</v>
      </c>
      <c r="X113" s="10">
        <f>#REF!-#REF!</f>
        <v>0</v>
      </c>
      <c r="Y113" s="10">
        <f>#REF!-#REF!</f>
        <v>0</v>
      </c>
      <c r="Z113" s="10">
        <f>#REF!-#REF!</f>
        <v>0</v>
      </c>
      <c r="AA113" s="12">
        <v>91.233487908610002</v>
      </c>
      <c r="AB113" s="13">
        <v>64.38249419652</v>
      </c>
      <c r="AC113">
        <f t="shared" si="26"/>
        <v>1</v>
      </c>
      <c r="AD113">
        <f t="shared" si="27"/>
        <v>0.58347978531798039</v>
      </c>
      <c r="AE113">
        <f t="shared" si="28"/>
        <v>0.58347978531798039</v>
      </c>
      <c r="AF113">
        <f t="shared" si="29"/>
        <v>0.41652021468201922</v>
      </c>
      <c r="AG113">
        <f t="shared" si="30"/>
        <v>0.41652021468201922</v>
      </c>
      <c r="AH113">
        <f t="shared" si="31"/>
        <v>0</v>
      </c>
      <c r="AI113" t="e">
        <f t="shared" si="32"/>
        <v>#DIV/0!</v>
      </c>
      <c r="AJ113" t="e">
        <f t="shared" si="33"/>
        <v>#DIV/0!</v>
      </c>
      <c r="AK113">
        <f t="shared" si="34"/>
        <v>6.9812506237616355E-4</v>
      </c>
      <c r="AL113">
        <f t="shared" si="35"/>
        <v>9.8928109623370292E-4</v>
      </c>
    </row>
    <row r="114" spans="1:38" x14ac:dyDescent="0.35">
      <c r="A114" s="24" t="s">
        <v>65</v>
      </c>
      <c r="B114" s="23" t="s">
        <v>68</v>
      </c>
      <c r="C114" s="10">
        <f>#REF!-#REF!</f>
        <v>0</v>
      </c>
      <c r="D114" s="10">
        <f>#REF!-#REF!</f>
        <v>0</v>
      </c>
      <c r="E114" s="10">
        <f>#REF!-#REF!</f>
        <v>0</v>
      </c>
      <c r="F114" s="10">
        <f>#REF!-#REF!</f>
        <v>0</v>
      </c>
      <c r="G114" s="10">
        <f>#REF!-#REF!</f>
        <v>0</v>
      </c>
      <c r="H114" s="10">
        <f>#REF!-#REF!</f>
        <v>0</v>
      </c>
      <c r="I114" s="10">
        <f>#REF!-#REF!</f>
        <v>0</v>
      </c>
      <c r="J114" s="10">
        <f>#REF!-#REF!</f>
        <v>0</v>
      </c>
      <c r="K114" s="10">
        <f>#REF!-#REF!</f>
        <v>0</v>
      </c>
      <c r="L114" s="10">
        <f>#REF!-#REF!</f>
        <v>0</v>
      </c>
      <c r="M114" s="10">
        <f>#REF!-#REF!</f>
        <v>0</v>
      </c>
      <c r="N114" s="10">
        <f>#REF!-#REF!</f>
        <v>0</v>
      </c>
      <c r="O114" s="10">
        <f>#REF!-#REF!</f>
        <v>0</v>
      </c>
      <c r="P114" s="10">
        <f>#REF!-#REF!</f>
        <v>0</v>
      </c>
      <c r="Q114" s="10">
        <f>#REF!-#REF!</f>
        <v>0</v>
      </c>
      <c r="R114" s="10">
        <f>#REF!-#REF!</f>
        <v>0</v>
      </c>
      <c r="S114" s="10">
        <f>#REF!-#REF!</f>
        <v>0</v>
      </c>
      <c r="T114" s="10">
        <f>#REF!-#REF!</f>
        <v>0</v>
      </c>
      <c r="U114" s="10">
        <f>#REF!-#REF!</f>
        <v>0</v>
      </c>
      <c r="V114" s="10">
        <f>#REF!-#REF!</f>
        <v>0</v>
      </c>
      <c r="W114" s="10">
        <f>#REF!-#REF!</f>
        <v>0</v>
      </c>
      <c r="X114" s="10">
        <f>#REF!-#REF!</f>
        <v>0</v>
      </c>
      <c r="Y114" s="10">
        <f>#REF!-#REF!</f>
        <v>0</v>
      </c>
      <c r="Z114" s="10">
        <f>#REF!-#REF!</f>
        <v>0</v>
      </c>
      <c r="AA114" s="12">
        <v>309.88816247970999</v>
      </c>
      <c r="AB114" s="13">
        <v>147.38397429586999</v>
      </c>
      <c r="AC114" t="e">
        <f t="shared" si="26"/>
        <v>#DIV/0!</v>
      </c>
      <c r="AD114" t="e">
        <f t="shared" si="27"/>
        <v>#DIV/0!</v>
      </c>
      <c r="AE114" t="e">
        <f t="shared" si="28"/>
        <v>#DIV/0!</v>
      </c>
      <c r="AF114" t="e">
        <f t="shared" si="29"/>
        <v>#DIV/0!</v>
      </c>
      <c r="AG114" t="e">
        <f t="shared" si="30"/>
        <v>#DIV/0!</v>
      </c>
      <c r="AH114" t="e">
        <f t="shared" si="31"/>
        <v>#DIV/0!</v>
      </c>
      <c r="AI114" t="e">
        <f t="shared" si="32"/>
        <v>#DIV/0!</v>
      </c>
      <c r="AJ114" t="e">
        <f t="shared" si="33"/>
        <v>#DIV/0!</v>
      </c>
      <c r="AK114">
        <f t="shared" si="34"/>
        <v>0</v>
      </c>
      <c r="AL114">
        <f t="shared" si="35"/>
        <v>0</v>
      </c>
    </row>
    <row r="115" spans="1:38" x14ac:dyDescent="0.35">
      <c r="A115" s="9" t="s">
        <v>66</v>
      </c>
      <c r="B115" s="22" t="s">
        <v>68</v>
      </c>
      <c r="C115" s="10">
        <v>0</v>
      </c>
      <c r="D115" s="10">
        <v>0</v>
      </c>
      <c r="E115" s="10">
        <v>0</v>
      </c>
      <c r="F115" s="10">
        <f>#REF!-#REF!</f>
        <v>0</v>
      </c>
      <c r="G115" s="10">
        <f>#REF!-#REF!</f>
        <v>9.8948958804635723</v>
      </c>
      <c r="H115" s="10">
        <f>#REF!-#REF!</f>
        <v>10.209776743806207</v>
      </c>
      <c r="I115" s="10">
        <v>0</v>
      </c>
      <c r="J115" s="10">
        <v>0</v>
      </c>
      <c r="K115" s="10">
        <f>#REF!-#REF!</f>
        <v>-0.75772108125688842</v>
      </c>
      <c r="L115" s="10">
        <f>#REF!-#REF!</f>
        <v>-0.35628748717574554</v>
      </c>
      <c r="M115" s="10">
        <f>#REF!-#REF!</f>
        <v>-6.328705256828604E-3</v>
      </c>
      <c r="N115" s="10">
        <f>#REF!-#REF!</f>
        <v>-2.9758159681807228E-3</v>
      </c>
      <c r="O115" s="10">
        <f>#REF!-#REF!</f>
        <v>-0.75139237600005959</v>
      </c>
      <c r="P115" s="10">
        <f>#REF!-#REF!</f>
        <v>-0.35331167120756479</v>
      </c>
      <c r="Q115" s="10">
        <f>#REF!-#REF!</f>
        <v>0</v>
      </c>
      <c r="R115" s="10">
        <f>#REF!-#REF!</f>
        <v>0</v>
      </c>
      <c r="S115" s="10">
        <f>#REF!-#REF!</f>
        <v>1.7313809118405272</v>
      </c>
      <c r="T115" s="10">
        <f>#REF!-#REF!</f>
        <v>0.81411137908485554</v>
      </c>
      <c r="U115" s="10">
        <f>#REF!-#REF!</f>
        <v>1.7864778752529171</v>
      </c>
      <c r="V115" s="10">
        <f>#REF!-#REF!</f>
        <v>0.84001848280784031</v>
      </c>
      <c r="W115" s="10">
        <f>#REF!-#REF!</f>
        <v>-5.5096963412390121E-2</v>
      </c>
      <c r="X115" s="10">
        <f>#REF!-#REF!</f>
        <v>-2.5907103722984992E-2</v>
      </c>
      <c r="Y115" s="10">
        <f>#REF!-#REF!</f>
        <v>-1.7299876668001881</v>
      </c>
      <c r="Z115" s="10">
        <f>#REF!-#REF!</f>
        <v>-0.81345626233184243</v>
      </c>
      <c r="AA115" s="12">
        <v>1215.4228689920101</v>
      </c>
      <c r="AB115" s="13">
        <v>571.50311712429004</v>
      </c>
      <c r="AC115">
        <f t="shared" si="26"/>
        <v>0</v>
      </c>
      <c r="AD115">
        <f t="shared" si="27"/>
        <v>0</v>
      </c>
      <c r="AE115" t="e">
        <f t="shared" si="28"/>
        <v>#DIV/0!</v>
      </c>
      <c r="AF115">
        <f t="shared" si="29"/>
        <v>0</v>
      </c>
      <c r="AG115" t="e">
        <f t="shared" si="30"/>
        <v>#DIV/0!</v>
      </c>
      <c r="AH115">
        <f t="shared" si="31"/>
        <v>1</v>
      </c>
      <c r="AI115">
        <f t="shared" si="32"/>
        <v>1.0318225544913853</v>
      </c>
      <c r="AJ115">
        <f t="shared" si="33"/>
        <v>0</v>
      </c>
      <c r="AK115">
        <f t="shared" si="34"/>
        <v>8.1411137908485569E-3</v>
      </c>
      <c r="AL115">
        <f t="shared" si="35"/>
        <v>1.7313809118405278E-2</v>
      </c>
    </row>
    <row r="116" spans="1:38" x14ac:dyDescent="0.35">
      <c r="A116" s="9" t="s">
        <v>28</v>
      </c>
      <c r="B116" s="22" t="s">
        <v>69</v>
      </c>
      <c r="C116" s="25">
        <f>#REF!-#REF!</f>
        <v>61.912545774045441</v>
      </c>
      <c r="D116" s="25">
        <f>#REF!-#REF!</f>
        <v>4.8525662396136839</v>
      </c>
      <c r="E116" s="25">
        <f>#REF!-#REF!</f>
        <v>57.059979534431761</v>
      </c>
      <c r="F116" s="25">
        <f>#REF!-#REF!</f>
        <v>0</v>
      </c>
      <c r="G116" s="25">
        <f>#REF!-#REF!</f>
        <v>7.1643447578672692E-2</v>
      </c>
      <c r="H116" s="25">
        <f>#REF!-#REF!</f>
        <v>3.0704334676574518E-2</v>
      </c>
      <c r="I116" s="25">
        <f>#REF!-#REF!</f>
        <v>4.0939112902098174E-2</v>
      </c>
      <c r="J116" s="25">
        <f>#REF!-#REF!</f>
        <v>0</v>
      </c>
      <c r="K116" s="25">
        <f>#REF!-#REF!</f>
        <v>4.1419353038878182</v>
      </c>
      <c r="L116" s="25">
        <f>#REF!-#REF!</f>
        <v>5.0478395755619783</v>
      </c>
      <c r="M116" s="25">
        <f>#REF!-#REF!</f>
        <v>0.32463558348356319</v>
      </c>
      <c r="N116" s="25">
        <f>#REF!-#REF!</f>
        <v>0.39563832501338614</v>
      </c>
      <c r="O116" s="25">
        <f>#REF!-#REF!</f>
        <v>3.8172997204042538</v>
      </c>
      <c r="P116" s="25">
        <f>#REF!-#REF!</f>
        <v>4.6522012505485932</v>
      </c>
      <c r="Q116" s="25">
        <f>#REF!-#REF!</f>
        <v>0</v>
      </c>
      <c r="R116" s="25">
        <f>#REF!-#REF!</f>
        <v>0</v>
      </c>
      <c r="S116" s="25">
        <f>#REF!-#REF!</f>
        <v>4.7929304328935274E-3</v>
      </c>
      <c r="T116" s="25">
        <f>#REF!-#REF!</f>
        <v>5.841217244355601E-3</v>
      </c>
      <c r="U116" s="25">
        <f>#REF!-#REF!</f>
        <v>2.0541130426686705E-3</v>
      </c>
      <c r="V116" s="25">
        <f>#REF!-#REF!</f>
        <v>2.5033788190096384E-3</v>
      </c>
      <c r="W116" s="25">
        <f>#REF!-#REF!</f>
        <v>2.7388173902247459E-3</v>
      </c>
      <c r="X116" s="25">
        <f>#REF!-#REF!</f>
        <v>3.3378384253461846E-3</v>
      </c>
      <c r="Y116" s="25">
        <f>#REF!-#REF!</f>
        <v>0</v>
      </c>
      <c r="Z116" s="25">
        <f>#REF!-#REF!</f>
        <v>0</v>
      </c>
      <c r="AA116" s="12">
        <v>1226.51571721458</v>
      </c>
      <c r="AB116" s="13">
        <v>1494.77336635199</v>
      </c>
      <c r="AC116">
        <f t="shared" si="26"/>
        <v>0.99884416577068524</v>
      </c>
      <c r="AD116">
        <f t="shared" si="27"/>
        <v>0.92055700414849551</v>
      </c>
      <c r="AE116">
        <f t="shared" si="28"/>
        <v>0.92162224668771509</v>
      </c>
      <c r="AF116">
        <f t="shared" si="29"/>
        <v>7.8287161622189835E-2</v>
      </c>
      <c r="AG116">
        <f t="shared" si="30"/>
        <v>7.8377753312284956E-2</v>
      </c>
      <c r="AH116">
        <f t="shared" si="31"/>
        <v>1.1558342293147041E-3</v>
      </c>
      <c r="AI116">
        <f t="shared" si="32"/>
        <v>0.42857142857143565</v>
      </c>
      <c r="AJ116">
        <f t="shared" si="33"/>
        <v>0.57142857142856429</v>
      </c>
      <c r="AK116">
        <f t="shared" si="34"/>
        <v>5.0536807928063365E-2</v>
      </c>
      <c r="AL116">
        <f t="shared" si="35"/>
        <v>4.1467282343207103E-2</v>
      </c>
    </row>
    <row r="117" spans="1:38" x14ac:dyDescent="0.35">
      <c r="A117" s="9" t="s">
        <v>30</v>
      </c>
      <c r="B117" s="22" t="s">
        <v>69</v>
      </c>
      <c r="C117" s="25">
        <f>#REF!-#REF!</f>
        <v>40.479513138385329</v>
      </c>
      <c r="D117" s="25">
        <f>#REF!-#REF!</f>
        <v>24.517772021033167</v>
      </c>
      <c r="E117" s="25">
        <f>#REF!-#REF!</f>
        <v>15.961741117352148</v>
      </c>
      <c r="F117" s="25">
        <f>#REF!-#REF!</f>
        <v>0.16561122374270099</v>
      </c>
      <c r="G117" s="25">
        <v>0</v>
      </c>
      <c r="H117" s="25">
        <f>#REF!-#REF!</f>
        <v>1.0131510158376766E-2</v>
      </c>
      <c r="I117" s="25">
        <v>0</v>
      </c>
      <c r="J117" s="25">
        <f>#REF!-#REF!</f>
        <v>0</v>
      </c>
      <c r="K117" s="25">
        <f>#REF!-#REF!</f>
        <v>2.3859125130950769</v>
      </c>
      <c r="L117" s="25">
        <f>#REF!-#REF!</f>
        <v>2.3486969189980531</v>
      </c>
      <c r="M117" s="25">
        <f>#REF!-#REF!</f>
        <v>1.4451077723739827</v>
      </c>
      <c r="N117" s="25">
        <f>#REF!-#REF!</f>
        <v>1.4225669021669027</v>
      </c>
      <c r="O117" s="25">
        <f>#REF!-#REF!</f>
        <v>0.94080474072109332</v>
      </c>
      <c r="P117" s="25">
        <f>#REF!-#REF!</f>
        <v>0.92613001683115037</v>
      </c>
      <c r="Q117" s="25">
        <f>#REF!-#REF!</f>
        <v>9.7613301248435924E-3</v>
      </c>
      <c r="R117" s="25">
        <f>#REF!-#REF!</f>
        <v>9.6090723627586527E-3</v>
      </c>
      <c r="S117" s="25">
        <f>#REF!-#REF!</f>
        <v>-0.12542016731054506</v>
      </c>
      <c r="T117" s="25">
        <f>#REF!-#REF!</f>
        <v>-0.12346385666939819</v>
      </c>
      <c r="U117" s="25">
        <f>#REF!-#REF!</f>
        <v>5.9716372528451078E-4</v>
      </c>
      <c r="V117" s="25">
        <f>#REF!-#REF!</f>
        <v>5.8784913278051021E-4</v>
      </c>
      <c r="W117" s="25">
        <f>#REF!-#REF!</f>
        <v>-0.12601733103582946</v>
      </c>
      <c r="X117" s="25">
        <f>#REF!-#REF!</f>
        <v>-0.12405170580217906</v>
      </c>
      <c r="Y117" s="25">
        <f>#REF!-#REF!</f>
        <v>0</v>
      </c>
      <c r="Z117" s="25">
        <f>#REF!-#REF!</f>
        <v>0</v>
      </c>
      <c r="AA117" s="12">
        <v>1723.48815255626</v>
      </c>
      <c r="AB117" s="13">
        <v>1696.60508992738</v>
      </c>
      <c r="AC117">
        <f t="shared" si="26"/>
        <v>1</v>
      </c>
      <c r="AD117">
        <f t="shared" si="27"/>
        <v>0.39431652902505337</v>
      </c>
      <c r="AE117">
        <f t="shared" si="28"/>
        <v>0.39431652902505337</v>
      </c>
      <c r="AF117">
        <f t="shared" si="29"/>
        <v>0.60568347097494624</v>
      </c>
      <c r="AG117">
        <f t="shared" si="30"/>
        <v>0.60568347097494624</v>
      </c>
      <c r="AH117">
        <f t="shared" si="31"/>
        <v>0</v>
      </c>
      <c r="AI117" t="e">
        <f t="shared" si="32"/>
        <v>#DIV/0!</v>
      </c>
      <c r="AJ117" t="e">
        <f t="shared" si="33"/>
        <v>#DIV/0!</v>
      </c>
      <c r="AK117">
        <f t="shared" si="34"/>
        <v>2.3486969189980521E-2</v>
      </c>
      <c r="AL117">
        <f t="shared" si="35"/>
        <v>2.3859125130950763E-2</v>
      </c>
    </row>
    <row r="118" spans="1:38" x14ac:dyDescent="0.35">
      <c r="A118" s="9" t="s">
        <v>31</v>
      </c>
      <c r="B118" s="22" t="s">
        <v>69</v>
      </c>
      <c r="C118" s="25">
        <f>#REF!-#REF!</f>
        <v>64.536582715928375</v>
      </c>
      <c r="D118" s="25">
        <f>#REF!-#REF!</f>
        <v>4.2568291943873255</v>
      </c>
      <c r="E118" s="25">
        <f>#REF!-#REF!</f>
        <v>60.279753521541039</v>
      </c>
      <c r="F118" s="25">
        <v>0</v>
      </c>
      <c r="G118" s="25">
        <f>#REF!-#REF!</f>
        <v>2.8314122459696591</v>
      </c>
      <c r="H118" s="25">
        <v>0</v>
      </c>
      <c r="I118" s="25">
        <f>#REF!-#REF!</f>
        <v>2.9342699119071085</v>
      </c>
      <c r="J118" s="25">
        <f>#REF!-#REF!</f>
        <v>0</v>
      </c>
      <c r="K118" s="25">
        <f>#REF!-#REF!</f>
        <v>2.4662287828476401</v>
      </c>
      <c r="L118" s="25">
        <f>#REF!-#REF!</f>
        <v>2.2199717645552992</v>
      </c>
      <c r="M118" s="25">
        <f>#REF!-#REF!</f>
        <v>0.16267230524235765</v>
      </c>
      <c r="N118" s="25">
        <f>#REF!-#REF!</f>
        <v>0.14642920682167093</v>
      </c>
      <c r="O118" s="25">
        <f>#REF!-#REF!</f>
        <v>2.3035564776052828</v>
      </c>
      <c r="P118" s="25">
        <f>#REF!-#REF!</f>
        <v>2.0735425577336288</v>
      </c>
      <c r="Q118" s="25">
        <f>#REF!-#REF!</f>
        <v>-7.5822445530246974E-2</v>
      </c>
      <c r="R118" s="25">
        <f>#REF!-#REF!</f>
        <v>-6.8251449081834892E-2</v>
      </c>
      <c r="S118" s="25">
        <f>#REF!-#REF!</f>
        <v>0.10820080771636675</v>
      </c>
      <c r="T118" s="25">
        <f>#REF!-#REF!</f>
        <v>9.7396778313104448E-2</v>
      </c>
      <c r="U118" s="25">
        <f>#REF!-#REF!</f>
        <v>-3.9306471708931978E-3</v>
      </c>
      <c r="V118" s="25">
        <f>#REF!-#REF!</f>
        <v>-3.5381655572668258E-3</v>
      </c>
      <c r="W118" s="25">
        <f>#REF!-#REF!</f>
        <v>0.11213145488726006</v>
      </c>
      <c r="X118" s="25">
        <f>#REF!-#REF!</f>
        <v>0.10093494387037261</v>
      </c>
      <c r="Y118" s="25">
        <f>#REF!-#REF!</f>
        <v>0</v>
      </c>
      <c r="Z118" s="25">
        <f>#REF!-#REF!</f>
        <v>0</v>
      </c>
      <c r="AA118" s="12">
        <v>2907.0902498102801</v>
      </c>
      <c r="AB118" s="13">
        <v>2616.8124857180101</v>
      </c>
      <c r="AC118">
        <f t="shared" si="26"/>
        <v>0.95797095864926585</v>
      </c>
      <c r="AD118">
        <f t="shared" si="27"/>
        <v>0.8947832506464537</v>
      </c>
      <c r="AE118">
        <f t="shared" si="28"/>
        <v>0.93404005890543218</v>
      </c>
      <c r="AF118">
        <f t="shared" si="29"/>
        <v>6.3187708002812037E-2</v>
      </c>
      <c r="AG118">
        <f t="shared" si="30"/>
        <v>6.5959941094567612E-2</v>
      </c>
      <c r="AH118">
        <f t="shared" si="31"/>
        <v>4.2029041350734105E-2</v>
      </c>
      <c r="AI118">
        <f t="shared" si="32"/>
        <v>0</v>
      </c>
      <c r="AJ118">
        <f t="shared" si="33"/>
        <v>1.0363273366793766</v>
      </c>
      <c r="AK118">
        <f t="shared" si="34"/>
        <v>2.3173685428684074E-2</v>
      </c>
      <c r="AL118">
        <f t="shared" si="35"/>
        <v>2.5744295905640091E-2</v>
      </c>
    </row>
    <row r="119" spans="1:38" x14ac:dyDescent="0.35">
      <c r="A119" s="9" t="s">
        <v>32</v>
      </c>
      <c r="B119" s="22" t="s">
        <v>69</v>
      </c>
      <c r="C119" s="25">
        <f>#REF!-#REF!</f>
        <v>102.23012702811138</v>
      </c>
      <c r="D119" s="25">
        <f>#REF!-#REF!</f>
        <v>19.237824397073407</v>
      </c>
      <c r="E119" s="25">
        <f>#REF!-#REF!</f>
        <v>82.992302631038001</v>
      </c>
      <c r="F119" s="25">
        <f>#REF!-#REF!</f>
        <v>0</v>
      </c>
      <c r="G119" s="25">
        <v>0</v>
      </c>
      <c r="H119" s="25">
        <v>0</v>
      </c>
      <c r="I119" s="25">
        <f>#REF!-#REF!</f>
        <v>3.1547125500243283</v>
      </c>
      <c r="J119" s="25">
        <f>#REF!-#REF!</f>
        <v>0</v>
      </c>
      <c r="K119" s="25">
        <f>#REF!-#REF!</f>
        <v>2.8418434471316676</v>
      </c>
      <c r="L119" s="25">
        <f>#REF!-#REF!</f>
        <v>2.4564011359343327</v>
      </c>
      <c r="M119" s="25">
        <f>#REF!-#REF!</f>
        <v>0.53478252242471824</v>
      </c>
      <c r="N119" s="25">
        <f>#REF!-#REF!</f>
        <v>0.46224938846923158</v>
      </c>
      <c r="O119" s="25">
        <f>#REF!-#REF!</f>
        <v>2.3070609247069491</v>
      </c>
      <c r="P119" s="25">
        <f>#REF!-#REF!</f>
        <v>1.9941517474651018</v>
      </c>
      <c r="Q119" s="25">
        <f>#REF!-#REF!</f>
        <v>0</v>
      </c>
      <c r="R119" s="25">
        <f>#REF!-#REF!</f>
        <v>0</v>
      </c>
      <c r="S119" s="25">
        <f>#REF!-#REF!</f>
        <v>-3.1037357884632151</v>
      </c>
      <c r="T119" s="25">
        <f>#REF!-#REF!</f>
        <v>-2.6827727347599577</v>
      </c>
      <c r="U119" s="25">
        <f>#REF!-#REF!</f>
        <v>-3.1914320424784886</v>
      </c>
      <c r="V119" s="25">
        <f>#REF!-#REF!</f>
        <v>-2.7585746506599085</v>
      </c>
      <c r="W119" s="25">
        <f>#REF!-#REF!</f>
        <v>8.7696254015273922E-2</v>
      </c>
      <c r="X119" s="25">
        <f>#REF!-#REF!</f>
        <v>7.5801915899951666E-2</v>
      </c>
      <c r="Y119" s="25">
        <f>#REF!-#REF!</f>
        <v>0</v>
      </c>
      <c r="Z119" s="25">
        <f>#REF!-#REF!</f>
        <v>0</v>
      </c>
      <c r="AA119" s="12">
        <v>4161.7847155581303</v>
      </c>
      <c r="AB119" s="13">
        <v>3597.3173374942398</v>
      </c>
      <c r="AC119">
        <f t="shared" si="26"/>
        <v>1</v>
      </c>
      <c r="AD119">
        <f t="shared" si="27"/>
        <v>0.81181844377652645</v>
      </c>
      <c r="AE119">
        <f t="shared" si="28"/>
        <v>0.81181844377652645</v>
      </c>
      <c r="AF119">
        <f t="shared" si="29"/>
        <v>0.18818155622347377</v>
      </c>
      <c r="AG119">
        <f t="shared" si="30"/>
        <v>0.18818155622347377</v>
      </c>
      <c r="AH119">
        <f t="shared" si="31"/>
        <v>0</v>
      </c>
      <c r="AI119" t="e">
        <f t="shared" si="32"/>
        <v>#DIV/0!</v>
      </c>
      <c r="AJ119" t="e">
        <f t="shared" si="33"/>
        <v>#DIV/0!</v>
      </c>
      <c r="AK119">
        <f t="shared" si="34"/>
        <v>2.4564011359343337E-2</v>
      </c>
      <c r="AL119">
        <f t="shared" si="35"/>
        <v>2.8418434471316662E-2</v>
      </c>
    </row>
    <row r="120" spans="1:38" x14ac:dyDescent="0.35">
      <c r="A120" s="9" t="s">
        <v>33</v>
      </c>
      <c r="B120" s="22" t="s">
        <v>69</v>
      </c>
      <c r="C120" s="25">
        <f>#REF!-#REF!</f>
        <v>36.032590507810454</v>
      </c>
      <c r="D120" s="25">
        <f>#REF!-#REF!</f>
        <v>3.3829533441994899</v>
      </c>
      <c r="E120" s="25">
        <f>#REF!-#REF!</f>
        <v>32.649637163610961</v>
      </c>
      <c r="F120" s="25">
        <v>0</v>
      </c>
      <c r="G120" s="25">
        <f>#REF!-#REF!</f>
        <v>53.163057249189023</v>
      </c>
      <c r="H120" s="25">
        <v>0</v>
      </c>
      <c r="I120" s="25">
        <f>#REF!-#REF!</f>
        <v>53.178975697488909</v>
      </c>
      <c r="J120" s="25">
        <f>#REF!-#REF!</f>
        <v>0</v>
      </c>
      <c r="K120" s="25">
        <f>#REF!-#REF!</f>
        <v>1.8784999825512347</v>
      </c>
      <c r="L120" s="25">
        <f>#REF!-#REF!</f>
        <v>1.5413958123157809</v>
      </c>
      <c r="M120" s="25">
        <f>#REF!-#REF!</f>
        <v>0.1763647217280393</v>
      </c>
      <c r="N120" s="25">
        <f>#REF!-#REF!</f>
        <v>0.14471538250569216</v>
      </c>
      <c r="O120" s="25">
        <f>#REF!-#REF!</f>
        <v>1.7021352608231952</v>
      </c>
      <c r="P120" s="25">
        <f>#REF!-#REF!</f>
        <v>1.3966804298100892</v>
      </c>
      <c r="Q120" s="25">
        <f>#REF!-#REF!</f>
        <v>-1.7874385470275644E-3</v>
      </c>
      <c r="R120" s="25">
        <f>#REF!-#REF!</f>
        <v>-1.4666757076134407E-3</v>
      </c>
      <c r="S120" s="25">
        <f>#REF!-#REF!</f>
        <v>2.7715687578256336</v>
      </c>
      <c r="T120" s="25">
        <f>#REF!-#REF!</f>
        <v>2.2741999023367896</v>
      </c>
      <c r="U120" s="25">
        <f>#REF!-#REF!</f>
        <v>-8.2988218254853585E-4</v>
      </c>
      <c r="V120" s="25">
        <f>#REF!-#REF!</f>
        <v>-6.8095657853481373E-4</v>
      </c>
      <c r="W120" s="25">
        <f>#REF!-#REF!</f>
        <v>2.7723986400081841</v>
      </c>
      <c r="X120" s="25">
        <f>#REF!-#REF!</f>
        <v>2.2748808589153242</v>
      </c>
      <c r="Y120" s="25">
        <f>#REF!-#REF!</f>
        <v>0</v>
      </c>
      <c r="Z120" s="25">
        <f>#REF!-#REF!</f>
        <v>0</v>
      </c>
      <c r="AA120" s="12">
        <v>2337.6598158571201</v>
      </c>
      <c r="AB120" s="13">
        <v>1918.15761738117</v>
      </c>
      <c r="AC120">
        <f t="shared" si="26"/>
        <v>0.40397251899527642</v>
      </c>
      <c r="AD120">
        <f t="shared" si="27"/>
        <v>0.36604518252460178</v>
      </c>
      <c r="AE120">
        <f t="shared" si="28"/>
        <v>0.90611406794451255</v>
      </c>
      <c r="AF120">
        <f t="shared" si="29"/>
        <v>3.7927336470674582E-2</v>
      </c>
      <c r="AG120">
        <f t="shared" si="30"/>
        <v>9.3885932055487328E-2</v>
      </c>
      <c r="AH120">
        <f t="shared" si="31"/>
        <v>0.59602748100472358</v>
      </c>
      <c r="AI120">
        <f t="shared" si="32"/>
        <v>0</v>
      </c>
      <c r="AJ120">
        <f t="shared" si="33"/>
        <v>1.0002994268788055</v>
      </c>
      <c r="AK120">
        <f t="shared" si="34"/>
        <v>3.8155957146525719E-2</v>
      </c>
      <c r="AL120">
        <f t="shared" si="35"/>
        <v>4.6500687403768663E-2</v>
      </c>
    </row>
    <row r="121" spans="1:38" x14ac:dyDescent="0.35">
      <c r="A121" s="9" t="s">
        <v>34</v>
      </c>
      <c r="B121" s="22" t="s">
        <v>69</v>
      </c>
      <c r="C121" s="25">
        <f>#REF!-#REF!</f>
        <v>227.24510700030919</v>
      </c>
      <c r="D121" s="25">
        <f>#REF!-#REF!</f>
        <v>42.258318536499011</v>
      </c>
      <c r="E121" s="25">
        <f>#REF!-#REF!</f>
        <v>184.98678846381023</v>
      </c>
      <c r="F121" s="25">
        <f>#REF!-#REF!</f>
        <v>0.749897294020343</v>
      </c>
      <c r="G121" s="25">
        <f>#REF!-#REF!</f>
        <v>0.45282259677381376</v>
      </c>
      <c r="H121" s="25">
        <f>#REF!-#REF!</f>
        <v>0</v>
      </c>
      <c r="I121" s="25">
        <f>#REF!-#REF!</f>
        <v>0.45282259677381376</v>
      </c>
      <c r="J121" s="25">
        <f>#REF!-#REF!</f>
        <v>264.23338464211304</v>
      </c>
      <c r="K121" s="25">
        <f>#REF!-#REF!</f>
        <v>4.978714949146438</v>
      </c>
      <c r="L121" s="25">
        <f>#REF!-#REF!</f>
        <v>4.2676321756965621</v>
      </c>
      <c r="M121" s="25">
        <f>#REF!-#REF!</f>
        <v>0.9258378541157033</v>
      </c>
      <c r="N121" s="25">
        <f>#REF!-#REF!</f>
        <v>0.79360546969643764</v>
      </c>
      <c r="O121" s="25">
        <f>#REF!-#REF!</f>
        <v>4.052877095030734</v>
      </c>
      <c r="P121" s="25">
        <f>#REF!-#REF!</f>
        <v>3.4740267060001244</v>
      </c>
      <c r="Q121" s="25">
        <f>#REF!-#REF!</f>
        <v>1.6429506084188361E-2</v>
      </c>
      <c r="R121" s="25">
        <f>#REF!-#REF!</f>
        <v>1.4082969101836262E-2</v>
      </c>
      <c r="S121" s="25">
        <f>#REF!-#REF!</f>
        <v>9.9208940585282512E-3</v>
      </c>
      <c r="T121" s="25">
        <f>#REF!-#REF!</f>
        <v>8.5039467268783753E-3</v>
      </c>
      <c r="U121" s="25">
        <f>#REF!-#REF!</f>
        <v>0</v>
      </c>
      <c r="V121" s="25">
        <f>#REF!-#REF!</f>
        <v>0</v>
      </c>
      <c r="W121" s="25">
        <f>#REF!-#REF!</f>
        <v>9.9208940585282512E-3</v>
      </c>
      <c r="X121" s="25">
        <f>#REF!-#REF!</f>
        <v>8.5039467268783753E-3</v>
      </c>
      <c r="Y121" s="25">
        <f>#REF!-#REF!</f>
        <v>5.7890914332402303</v>
      </c>
      <c r="Z121" s="25">
        <f>#REF!-#REF!</f>
        <v>4.9622669947756144</v>
      </c>
      <c r="AA121" s="12">
        <v>5324.8522282316499</v>
      </c>
      <c r="AB121" s="13">
        <v>4564.3325500944502</v>
      </c>
      <c r="AC121">
        <f t="shared" si="26"/>
        <v>0.99801130121132375</v>
      </c>
      <c r="AD121">
        <f t="shared" si="27"/>
        <v>0.81242191701588518</v>
      </c>
      <c r="AE121">
        <f t="shared" si="28"/>
        <v>0.81404079896672332</v>
      </c>
      <c r="AF121">
        <f t="shared" si="29"/>
        <v>0.1855893841954388</v>
      </c>
      <c r="AG121">
        <f t="shared" si="30"/>
        <v>0.18595920103327687</v>
      </c>
      <c r="AH121">
        <f t="shared" si="31"/>
        <v>1.9886987886762707E-3</v>
      </c>
      <c r="AI121">
        <f t="shared" si="32"/>
        <v>0</v>
      </c>
      <c r="AJ121">
        <f t="shared" si="33"/>
        <v>1</v>
      </c>
      <c r="AK121">
        <f t="shared" si="34"/>
        <v>4.27613612242344E-2</v>
      </c>
      <c r="AL121">
        <f t="shared" si="35"/>
        <v>4.9886358432049659E-2</v>
      </c>
    </row>
    <row r="122" spans="1:38" x14ac:dyDescent="0.35">
      <c r="A122" s="9" t="s">
        <v>35</v>
      </c>
      <c r="B122" s="22" t="s">
        <v>69</v>
      </c>
      <c r="C122" s="25">
        <f>#REF!-#REF!</f>
        <v>0.70983413309792809</v>
      </c>
      <c r="D122" s="25">
        <f>#REF!-#REF!</f>
        <v>5.4602625622917067E-2</v>
      </c>
      <c r="E122" s="25">
        <f>#REF!-#REF!</f>
        <v>0.65523150747500836</v>
      </c>
      <c r="F122" s="25">
        <f>#REF!-#REF!</f>
        <v>0.353311106971816</v>
      </c>
      <c r="G122" s="25">
        <f>#REF!-#REF!</f>
        <v>0.75908356013035672</v>
      </c>
      <c r="H122" s="25">
        <f>#REF!-#REF!</f>
        <v>0</v>
      </c>
      <c r="I122" s="25">
        <f>#REF!-#REF!</f>
        <v>0.75908356013035672</v>
      </c>
      <c r="J122" s="25">
        <f>#REF!-#REF!</f>
        <v>1.3382996476205165</v>
      </c>
      <c r="K122" s="25">
        <f>#REF!-#REF!</f>
        <v>4.3331529487037113E-2</v>
      </c>
      <c r="L122" s="25">
        <f>#REF!-#REF!</f>
        <v>3.2915423510035513E-2</v>
      </c>
      <c r="M122" s="25">
        <f>#REF!-#REF!</f>
        <v>3.3331945759259018E-3</v>
      </c>
      <c r="N122" s="25">
        <f>#REF!-#REF!</f>
        <v>2.5319556546181399E-3</v>
      </c>
      <c r="O122" s="25">
        <f>#REF!-#REF!</f>
        <v>3.9998334911111044E-2</v>
      </c>
      <c r="P122" s="25">
        <f>#REF!-#REF!</f>
        <v>3.0383467855417123E-2</v>
      </c>
      <c r="Q122" s="25">
        <f>#REF!-#REF!</f>
        <v>2.1567729608932495E-2</v>
      </c>
      <c r="R122" s="25">
        <f>#REF!-#REF!</f>
        <v>1.6383242471058601E-2</v>
      </c>
      <c r="S122" s="25">
        <f>#REF!-#REF!</f>
        <v>4.6337940281009793E-2</v>
      </c>
      <c r="T122" s="25">
        <f>#REF!-#REF!</f>
        <v>3.5199148218122644E-2</v>
      </c>
      <c r="U122" s="25">
        <f>#REF!-#REF!</f>
        <v>0</v>
      </c>
      <c r="V122" s="25">
        <f>#REF!-#REF!</f>
        <v>0</v>
      </c>
      <c r="W122" s="25">
        <f>#REF!-#REF!</f>
        <v>4.6337940281009793E-2</v>
      </c>
      <c r="X122" s="25">
        <f>#REF!-#REF!</f>
        <v>3.5199148218122644E-2</v>
      </c>
      <c r="Y122" s="25">
        <f>#REF!-#REF!</f>
        <v>8.1695945488379884E-2</v>
      </c>
      <c r="Z122" s="25">
        <f>#REF!-#REF!</f>
        <v>6.2057736632796789E-2</v>
      </c>
      <c r="AA122" s="12">
        <v>2156.5395714307001</v>
      </c>
      <c r="AB122" s="13">
        <v>1638.14696019506</v>
      </c>
      <c r="AC122">
        <f t="shared" si="26"/>
        <v>0.48323615160350081</v>
      </c>
      <c r="AD122">
        <f t="shared" si="27"/>
        <v>0.44606413994169153</v>
      </c>
      <c r="AE122">
        <f t="shared" si="28"/>
        <v>0.92307692307692002</v>
      </c>
      <c r="AF122">
        <f t="shared" si="29"/>
        <v>3.7172011661807426E-2</v>
      </c>
      <c r="AG122">
        <f t="shared" si="30"/>
        <v>7.6923076923076247E-2</v>
      </c>
      <c r="AH122">
        <f t="shared" si="31"/>
        <v>0.51676384839649925</v>
      </c>
      <c r="AI122">
        <f t="shared" si="32"/>
        <v>0</v>
      </c>
      <c r="AJ122">
        <f t="shared" si="33"/>
        <v>1</v>
      </c>
      <c r="AK122">
        <f t="shared" si="34"/>
        <v>6.8114571728158436E-4</v>
      </c>
      <c r="AL122">
        <f t="shared" si="35"/>
        <v>8.9669469768046664E-4</v>
      </c>
    </row>
    <row r="123" spans="1:38" x14ac:dyDescent="0.35">
      <c r="A123" s="9" t="s">
        <v>36</v>
      </c>
      <c r="B123" s="22" t="s">
        <v>69</v>
      </c>
      <c r="C123" s="25">
        <f>#REF!-#REF!</f>
        <v>8.919494114882724</v>
      </c>
      <c r="D123" s="25">
        <v>0</v>
      </c>
      <c r="E123" s="25">
        <f>#REF!-#REF!</f>
        <v>9.9698905028114524</v>
      </c>
      <c r="F123" s="25">
        <f>#REF!-#REF!</f>
        <v>0.614662243343852</v>
      </c>
      <c r="G123" s="25">
        <f>#REF!-#REF!</f>
        <v>6.8486823031478536</v>
      </c>
      <c r="H123" s="25">
        <f>#REF!-#REF!</f>
        <v>4.1453482675033571E-2</v>
      </c>
      <c r="I123" s="25">
        <f>#REF!-#REF!</f>
        <v>6.8072288204728011</v>
      </c>
      <c r="J123" s="25">
        <v>0</v>
      </c>
      <c r="K123" s="25">
        <f>#REF!-#REF!</f>
        <v>0.67371927964275846</v>
      </c>
      <c r="L123" s="25">
        <f>#REF!-#REF!</f>
        <v>0.49648519958912507</v>
      </c>
      <c r="M123" s="25">
        <f>#REF!-#REF!</f>
        <v>-7.9339959049236186E-2</v>
      </c>
      <c r="N123" s="25">
        <f>#REF!-#REF!</f>
        <v>-5.8468143326461275E-2</v>
      </c>
      <c r="O123" s="25">
        <f>#REF!-#REF!</f>
        <v>0.75305923869199454</v>
      </c>
      <c r="P123" s="25">
        <f>#REF!-#REF!</f>
        <v>0.5549533429155864</v>
      </c>
      <c r="Q123" s="25">
        <f>#REF!-#REF!</f>
        <v>4.6427498967486741E-2</v>
      </c>
      <c r="R123" s="25">
        <f>#REF!-#REF!</f>
        <v>3.4213903012422588E-2</v>
      </c>
      <c r="S123" s="25">
        <f>#REF!-#REF!</f>
        <v>0.51730392423040783</v>
      </c>
      <c r="T123" s="25">
        <f>#REF!-#REF!</f>
        <v>0.38121774132092234</v>
      </c>
      <c r="U123" s="25">
        <f>#REF!-#REF!</f>
        <v>3.1311204566980555E-3</v>
      </c>
      <c r="V123" s="25">
        <f>#REF!-#REF!</f>
        <v>2.3074224114613892E-3</v>
      </c>
      <c r="W123" s="25">
        <f>#REF!-#REF!</f>
        <v>0.514172803773711</v>
      </c>
      <c r="X123" s="25">
        <f>#REF!-#REF!</f>
        <v>0.37891031890946181</v>
      </c>
      <c r="Y123" s="25">
        <f>#REF!-#REF!</f>
        <v>-3.6996115158961507E-3</v>
      </c>
      <c r="Z123" s="25">
        <f>#REF!-#REF!</f>
        <v>-2.7263615831891741E-3</v>
      </c>
      <c r="AA123" s="12">
        <v>1796.5276955414199</v>
      </c>
      <c r="AB123" s="13">
        <v>1323.9184901480501</v>
      </c>
      <c r="AC123">
        <f t="shared" si="26"/>
        <v>0.56566427711218847</v>
      </c>
      <c r="AD123">
        <f t="shared" si="27"/>
        <v>0.63227923372363415</v>
      </c>
      <c r="AE123">
        <f t="shared" si="28"/>
        <v>1.1177641214176124</v>
      </c>
      <c r="AF123">
        <f t="shared" si="29"/>
        <v>0</v>
      </c>
      <c r="AG123">
        <f t="shared" si="30"/>
        <v>0</v>
      </c>
      <c r="AH123">
        <f t="shared" si="31"/>
        <v>0.43433572288781153</v>
      </c>
      <c r="AI123">
        <f t="shared" si="32"/>
        <v>6.0527676478700646E-3</v>
      </c>
      <c r="AJ123">
        <f t="shared" si="33"/>
        <v>0.99394723235212712</v>
      </c>
      <c r="AK123">
        <f t="shared" si="34"/>
        <v>8.7770294091004918E-3</v>
      </c>
      <c r="AL123">
        <f t="shared" si="35"/>
        <v>1.1910232038731679E-2</v>
      </c>
    </row>
    <row r="124" spans="1:38" x14ac:dyDescent="0.35">
      <c r="A124" s="9" t="s">
        <v>37</v>
      </c>
      <c r="B124" s="22" t="s">
        <v>69</v>
      </c>
      <c r="C124" s="25">
        <f>#REF!-#REF!</f>
        <v>199.10473073790882</v>
      </c>
      <c r="D124" s="25">
        <f>#REF!-#REF!</f>
        <v>103.96143780860356</v>
      </c>
      <c r="E124" s="25">
        <f>#REF!-#REF!</f>
        <v>95.143292929305233</v>
      </c>
      <c r="F124" s="25">
        <f>#REF!-#REF!</f>
        <v>3.838457100350162</v>
      </c>
      <c r="G124" s="25">
        <v>0</v>
      </c>
      <c r="H124" s="25">
        <v>0</v>
      </c>
      <c r="I124" s="25">
        <v>0</v>
      </c>
      <c r="J124" s="25">
        <f>#REF!-#REF!</f>
        <v>0</v>
      </c>
      <c r="K124" s="25">
        <f>#REF!-#REF!</f>
        <v>6.3059947144265589</v>
      </c>
      <c r="L124" s="25">
        <f>#REF!-#REF!</f>
        <v>6.7676927283776465</v>
      </c>
      <c r="M124" s="25">
        <f>#REF!-#REF!</f>
        <v>3.2926403852664432</v>
      </c>
      <c r="N124" s="25">
        <f>#REF!-#REF!</f>
        <v>3.5337134586476817</v>
      </c>
      <c r="O124" s="25">
        <f>#REF!-#REF!</f>
        <v>3.0133543291601157</v>
      </c>
      <c r="P124" s="25">
        <f>#REF!-#REF!</f>
        <v>3.2339792697299643</v>
      </c>
      <c r="Q124" s="25">
        <f>#REF!-#REF!</f>
        <v>0.12157064323209785</v>
      </c>
      <c r="R124" s="25">
        <f>#REF!-#REF!</f>
        <v>0.13047152676861692</v>
      </c>
      <c r="S124" s="25">
        <f>#REF!-#REF!</f>
        <v>-9.4911052544333074E-3</v>
      </c>
      <c r="T124" s="25">
        <f>#REF!-#REF!</f>
        <v>-1.0186003465518567E-2</v>
      </c>
      <c r="U124" s="25">
        <f>#REF!-#REF!</f>
        <v>-2.7833153238815411E-5</v>
      </c>
      <c r="V124" s="25">
        <f>#REF!-#REF!</f>
        <v>-2.9870977904758456E-5</v>
      </c>
      <c r="W124" s="25">
        <f>#REF!-#REF!</f>
        <v>-9.4632721011951304E-3</v>
      </c>
      <c r="X124" s="25">
        <f>#REF!-#REF!</f>
        <v>-1.0156132487614045E-2</v>
      </c>
      <c r="Y124" s="25">
        <f>#REF!-#REF!</f>
        <v>0</v>
      </c>
      <c r="Z124" s="25">
        <f>#REF!-#REF!</f>
        <v>0</v>
      </c>
      <c r="AA124" s="12">
        <v>2941.9883367789698</v>
      </c>
      <c r="AB124" s="13">
        <v>3157.38816403392</v>
      </c>
      <c r="AC124">
        <f t="shared" si="26"/>
        <v>1</v>
      </c>
      <c r="AD124">
        <f t="shared" si="27"/>
        <v>0.47785551140192117</v>
      </c>
      <c r="AE124">
        <f t="shared" si="28"/>
        <v>0.47785551140192117</v>
      </c>
      <c r="AF124">
        <f t="shared" si="29"/>
        <v>0.52214448859807872</v>
      </c>
      <c r="AG124">
        <f t="shared" si="30"/>
        <v>0.52214448859807872</v>
      </c>
      <c r="AH124">
        <f t="shared" si="31"/>
        <v>0</v>
      </c>
      <c r="AI124" t="e">
        <f t="shared" si="32"/>
        <v>#DIV/0!</v>
      </c>
      <c r="AJ124" t="e">
        <f t="shared" si="33"/>
        <v>#DIV/0!</v>
      </c>
      <c r="AK124">
        <f t="shared" si="34"/>
        <v>6.7676927283776472E-2</v>
      </c>
      <c r="AL124">
        <f t="shared" si="35"/>
        <v>6.3059947144265605E-2</v>
      </c>
    </row>
    <row r="125" spans="1:38" x14ac:dyDescent="0.35">
      <c r="A125" s="9" t="s">
        <v>38</v>
      </c>
      <c r="B125" s="22" t="s">
        <v>69</v>
      </c>
      <c r="C125" s="25">
        <f>#REF!-#REF!</f>
        <v>1054.3000000000002</v>
      </c>
      <c r="D125" s="25">
        <f>#REF!-#REF!</f>
        <v>179.8</v>
      </c>
      <c r="E125" s="25">
        <f>#REF!-#REF!</f>
        <v>874.5</v>
      </c>
      <c r="F125" s="25">
        <f>#REF!-#REF!</f>
        <v>0</v>
      </c>
      <c r="G125" s="25">
        <f>#REF!-#REF!</f>
        <v>0</v>
      </c>
      <c r="H125" s="25">
        <f>#REF!-#REF!</f>
        <v>0</v>
      </c>
      <c r="I125" s="25">
        <f>#REF!-#REF!</f>
        <v>0</v>
      </c>
      <c r="J125" s="25">
        <f>#REF!-#REF!</f>
        <v>0</v>
      </c>
      <c r="K125" s="25">
        <f>#REF!-#REF!</f>
        <v>5.2902870798831074</v>
      </c>
      <c r="L125" s="25">
        <f>#REF!-#REF!</f>
        <v>5.2783053488644818</v>
      </c>
      <c r="M125" s="25">
        <f>#REF!-#REF!</f>
        <v>0.90220394286539163</v>
      </c>
      <c r="N125" s="25">
        <f>#REF!-#REF!</f>
        <v>0.90016058211688743</v>
      </c>
      <c r="O125" s="25">
        <f>#REF!-#REF!</f>
        <v>4.3880831370177162</v>
      </c>
      <c r="P125" s="25">
        <f>#REF!-#REF!</f>
        <v>4.3781447667475959</v>
      </c>
      <c r="Q125" s="25">
        <f>#REF!-#REF!</f>
        <v>0</v>
      </c>
      <c r="R125" s="25">
        <f>#REF!-#REF!</f>
        <v>0</v>
      </c>
      <c r="S125" s="25">
        <f>#REF!-#REF!</f>
        <v>0</v>
      </c>
      <c r="T125" s="25">
        <f>#REF!-#REF!</f>
        <v>0</v>
      </c>
      <c r="U125" s="25">
        <f>#REF!-#REF!</f>
        <v>0</v>
      </c>
      <c r="V125" s="25">
        <f>#REF!-#REF!</f>
        <v>0</v>
      </c>
      <c r="W125" s="25">
        <f>#REF!-#REF!</f>
        <v>0</v>
      </c>
      <c r="X125" s="25">
        <f>#REF!-#REF!</f>
        <v>0</v>
      </c>
      <c r="Y125" s="25">
        <f>#REF!-#REF!</f>
        <v>0</v>
      </c>
      <c r="Z125" s="25">
        <f>#REF!-#REF!</f>
        <v>0</v>
      </c>
      <c r="AA125" s="12">
        <v>19974.2138871676</v>
      </c>
      <c r="AB125" s="13">
        <v>19928.975197</v>
      </c>
      <c r="AC125">
        <f t="shared" si="26"/>
        <v>1</v>
      </c>
      <c r="AD125">
        <f t="shared" si="27"/>
        <v>0.82946030541591564</v>
      </c>
      <c r="AE125">
        <f t="shared" si="28"/>
        <v>0.82946030541591564</v>
      </c>
      <c r="AF125">
        <f t="shared" si="29"/>
        <v>0.17053969458408422</v>
      </c>
      <c r="AG125">
        <f t="shared" si="30"/>
        <v>0.17053969458408422</v>
      </c>
      <c r="AH125">
        <f t="shared" si="31"/>
        <v>0</v>
      </c>
      <c r="AI125" t="e">
        <f t="shared" si="32"/>
        <v>#DIV/0!</v>
      </c>
      <c r="AJ125" t="e">
        <f t="shared" si="33"/>
        <v>#DIV/0!</v>
      </c>
      <c r="AK125">
        <f t="shared" si="34"/>
        <v>5.278305348864485E-2</v>
      </c>
      <c r="AL125">
        <f t="shared" si="35"/>
        <v>5.2902870798831082E-2</v>
      </c>
    </row>
    <row r="126" spans="1:38" x14ac:dyDescent="0.35">
      <c r="A126" s="9" t="s">
        <v>39</v>
      </c>
      <c r="B126" s="22" t="s">
        <v>69</v>
      </c>
      <c r="C126" s="25">
        <f>#REF!-#REF!</f>
        <v>0.48248815777999443</v>
      </c>
      <c r="D126" s="25">
        <f>#REF!-#REF!</f>
        <v>0.51497751595394803</v>
      </c>
      <c r="E126" s="25">
        <v>0</v>
      </c>
      <c r="F126" s="25">
        <f>#REF!-#REF!</f>
        <v>2.1931635457429026</v>
      </c>
      <c r="G126" s="25">
        <f>#REF!-#REF!</f>
        <v>1.2548321813173946</v>
      </c>
      <c r="H126" s="25">
        <f>#REF!-#REF!</f>
        <v>0.10436173005807836</v>
      </c>
      <c r="I126" s="25">
        <f>#REF!-#REF!</f>
        <v>1.1504704512593162</v>
      </c>
      <c r="J126" s="25">
        <f>#REF!-#REF!</f>
        <v>7.6165976297277194</v>
      </c>
      <c r="K126" s="25">
        <f>#REF!-#REF!</f>
        <v>3.7719396269809247E-2</v>
      </c>
      <c r="L126" s="25">
        <f>#REF!-#REF!</f>
        <v>2.025841750776225E-2</v>
      </c>
      <c r="M126" s="25">
        <f>#REF!-#REF!</f>
        <v>4.0259311407112836E-2</v>
      </c>
      <c r="N126" s="25">
        <f>#REF!-#REF!</f>
        <v>2.1622560796740811E-2</v>
      </c>
      <c r="O126" s="25">
        <f>#REF!-#REF!</f>
        <v>-2.5399151373036166E-3</v>
      </c>
      <c r="P126" s="25">
        <f>#REF!-#REF!</f>
        <v>-1.3641432889785476E-3</v>
      </c>
      <c r="Q126" s="25">
        <f>#REF!-#REF!</f>
        <v>0.17145458086889964</v>
      </c>
      <c r="R126" s="25">
        <f>#REF!-#REF!</f>
        <v>9.2085208840966645E-2</v>
      </c>
      <c r="S126" s="25">
        <f>#REF!-#REF!</f>
        <v>9.8098806231845859E-2</v>
      </c>
      <c r="T126" s="25">
        <f>#REF!-#REF!</f>
        <v>5.2687125728162074E-2</v>
      </c>
      <c r="U126" s="25">
        <f>#REF!-#REF!</f>
        <v>8.1586695714477853E-3</v>
      </c>
      <c r="V126" s="25">
        <f>#REF!-#REF!</f>
        <v>4.3818764569823476E-3</v>
      </c>
      <c r="W126" s="25">
        <f>#REF!-#REF!</f>
        <v>8.9940136660398073E-2</v>
      </c>
      <c r="X126" s="25">
        <f>#REF!-#REF!</f>
        <v>4.8305249271179726E-2</v>
      </c>
      <c r="Y126" s="25">
        <f>#REF!-#REF!</f>
        <v>0.59544148305167344</v>
      </c>
      <c r="Z126" s="25">
        <f>#REF!-#REF!</f>
        <v>0.31980104026100237</v>
      </c>
      <c r="AA126" s="12">
        <v>2381.6675591522499</v>
      </c>
      <c r="AB126" s="13">
        <v>1279.1513266244399</v>
      </c>
      <c r="AC126">
        <f t="shared" si="26"/>
        <v>0.27771974282570555</v>
      </c>
      <c r="AD126">
        <f t="shared" si="27"/>
        <v>0</v>
      </c>
      <c r="AE126">
        <f t="shared" si="28"/>
        <v>0</v>
      </c>
      <c r="AF126">
        <f t="shared" si="29"/>
        <v>0.29642058770894292</v>
      </c>
      <c r="AG126">
        <f t="shared" si="30"/>
        <v>1.0673371100410887</v>
      </c>
      <c r="AH126">
        <f t="shared" si="31"/>
        <v>0.72228025717429445</v>
      </c>
      <c r="AI126">
        <f t="shared" si="32"/>
        <v>8.3167878232540585E-2</v>
      </c>
      <c r="AJ126">
        <f t="shared" si="33"/>
        <v>0.91683212176745943</v>
      </c>
      <c r="AK126">
        <f t="shared" si="34"/>
        <v>7.2945543235924373E-4</v>
      </c>
      <c r="AL126">
        <f t="shared" si="35"/>
        <v>1.3581820250165508E-3</v>
      </c>
    </row>
    <row r="127" spans="1:38" x14ac:dyDescent="0.35">
      <c r="A127" s="9" t="s">
        <v>40</v>
      </c>
      <c r="B127" s="22" t="s">
        <v>69</v>
      </c>
      <c r="C127" s="25">
        <f>#REF!-#REF!</f>
        <v>2.7067390270690295</v>
      </c>
      <c r="D127" s="25">
        <f>#REF!-#REF!</f>
        <v>6.3428250262197894E-2</v>
      </c>
      <c r="E127" s="25">
        <f>#REF!-#REF!</f>
        <v>2.6433107768068318</v>
      </c>
      <c r="F127" s="25">
        <f>#REF!-#REF!</f>
        <v>0.24881411564098421</v>
      </c>
      <c r="G127" s="25">
        <v>0</v>
      </c>
      <c r="H127" s="25">
        <f>#REF!-#REF!</f>
        <v>8.8709204053682544E-2</v>
      </c>
      <c r="I127" s="25">
        <v>0</v>
      </c>
      <c r="J127" s="25">
        <f>#REF!-#REF!</f>
        <v>2.2309957558467346</v>
      </c>
      <c r="K127" s="25">
        <f>#REF!-#REF!</f>
        <v>0.27147378625505836</v>
      </c>
      <c r="L127" s="25">
        <f>#REF!-#REF!</f>
        <v>0.11598072981153693</v>
      </c>
      <c r="M127" s="25">
        <f>#REF!-#REF!</f>
        <v>6.3615690622593202E-3</v>
      </c>
      <c r="N127" s="25">
        <f>#REF!-#REF!</f>
        <v>2.717829344650341E-3</v>
      </c>
      <c r="O127" s="25">
        <f>#REF!-#REF!</f>
        <v>0.26511221719279904</v>
      </c>
      <c r="P127" s="25">
        <f>#REF!-#REF!</f>
        <v>0.11326290046688661</v>
      </c>
      <c r="Q127" s="25">
        <f>#REF!-#REF!</f>
        <v>2.4954940011303717E-2</v>
      </c>
      <c r="R127" s="25">
        <f>#REF!-#REF!</f>
        <v>1.0661405636398502E-2</v>
      </c>
      <c r="S127" s="25">
        <f>#REF!-#REF!</f>
        <v>-2.2736011508483305</v>
      </c>
      <c r="T127" s="25">
        <f>#REF!-#REF!</f>
        <v>-0.97134211156575767</v>
      </c>
      <c r="U127" s="25">
        <f>#REF!-#REF!</f>
        <v>8.8971353570805323E-3</v>
      </c>
      <c r="V127" s="25">
        <f>#REF!-#REF!</f>
        <v>3.8010898443680274E-3</v>
      </c>
      <c r="W127" s="25">
        <f>#REF!-#REF!</f>
        <v>-2.2824982862054117</v>
      </c>
      <c r="X127" s="25">
        <f>#REF!-#REF!</f>
        <v>-0.975143201410126</v>
      </c>
      <c r="Y127" s="25">
        <f>#REF!-#REF!</f>
        <v>0.22375886958504054</v>
      </c>
      <c r="Z127" s="25">
        <f>#REF!-#REF!</f>
        <v>9.5595664518028367E-2</v>
      </c>
      <c r="AA127" s="12">
        <v>2333.7834064911899</v>
      </c>
      <c r="AB127" s="13">
        <v>997.05355143423003</v>
      </c>
      <c r="AC127">
        <f t="shared" si="26"/>
        <v>1</v>
      </c>
      <c r="AD127">
        <f t="shared" si="27"/>
        <v>0.9765665438640827</v>
      </c>
      <c r="AE127">
        <f t="shared" si="28"/>
        <v>0.9765665438640827</v>
      </c>
      <c r="AF127">
        <f t="shared" si="29"/>
        <v>2.3433456135917418E-2</v>
      </c>
      <c r="AG127">
        <f t="shared" si="30"/>
        <v>2.3433456135917418E-2</v>
      </c>
      <c r="AH127">
        <f t="shared" si="31"/>
        <v>0</v>
      </c>
      <c r="AI127" t="e">
        <f t="shared" si="32"/>
        <v>#DIV/0!</v>
      </c>
      <c r="AJ127" t="e">
        <f t="shared" si="33"/>
        <v>#DIV/0!</v>
      </c>
      <c r="AK127">
        <f t="shared" si="34"/>
        <v>1.1598072981153693E-3</v>
      </c>
      <c r="AL127">
        <f t="shared" si="35"/>
        <v>2.7147378625505831E-3</v>
      </c>
    </row>
    <row r="128" spans="1:38" x14ac:dyDescent="0.35">
      <c r="A128" s="15" t="s">
        <v>41</v>
      </c>
      <c r="B128" s="22" t="s">
        <v>69</v>
      </c>
      <c r="C128" s="25">
        <v>0</v>
      </c>
      <c r="D128" s="25">
        <v>0</v>
      </c>
      <c r="E128" s="25">
        <v>0</v>
      </c>
      <c r="F128" s="25">
        <f>#REF!-#REF!</f>
        <v>0</v>
      </c>
      <c r="G128" s="25">
        <v>0</v>
      </c>
      <c r="H128" s="25">
        <f>#REF!-#REF!</f>
        <v>0</v>
      </c>
      <c r="I128" s="25">
        <v>0</v>
      </c>
      <c r="J128" s="25">
        <f>#REF!-#REF!</f>
        <v>0</v>
      </c>
      <c r="K128" s="25">
        <f>#REF!-#REF!</f>
        <v>-3.7863429173517815E-2</v>
      </c>
      <c r="L128" s="25">
        <f>#REF!-#REF!</f>
        <v>-3.3447667807116943E-2</v>
      </c>
      <c r="M128" s="25">
        <f>#REF!-#REF!</f>
        <v>-2.1298178910103549E-3</v>
      </c>
      <c r="N128" s="25">
        <f>#REF!-#REF!</f>
        <v>-1.8814313141501948E-3</v>
      </c>
      <c r="O128" s="25">
        <f>#REF!-#REF!</f>
        <v>-3.5733611282507738E-2</v>
      </c>
      <c r="P128" s="25">
        <f>#REF!-#REF!</f>
        <v>-3.1566236492966304E-2</v>
      </c>
      <c r="Q128" s="25">
        <f>#REF!-#REF!</f>
        <v>0</v>
      </c>
      <c r="R128" s="25">
        <f>#REF!-#REF!</f>
        <v>0</v>
      </c>
      <c r="S128" s="25">
        <f>#REF!-#REF!</f>
        <v>-1.0649089455051275E-2</v>
      </c>
      <c r="T128" s="25">
        <f>#REF!-#REF!</f>
        <v>-9.4071565707509741E-3</v>
      </c>
      <c r="U128" s="25">
        <f>#REF!-#REF!</f>
        <v>0</v>
      </c>
      <c r="V128" s="25">
        <f>#REF!-#REF!</f>
        <v>0</v>
      </c>
      <c r="W128" s="25">
        <f>#REF!-#REF!</f>
        <v>-1.0649089455051275E-2</v>
      </c>
      <c r="X128" s="25">
        <f>#REF!-#REF!</f>
        <v>-9.4071565707509741E-3</v>
      </c>
      <c r="Y128" s="25">
        <f>#REF!-#REF!</f>
        <v>0</v>
      </c>
      <c r="Z128" s="25">
        <f>#REF!-#REF!</f>
        <v>0</v>
      </c>
      <c r="AA128" s="12">
        <v>468.59916169988998</v>
      </c>
      <c r="AB128" s="13">
        <v>413.94954015926999</v>
      </c>
      <c r="AC128" t="e">
        <f t="shared" si="26"/>
        <v>#DIV/0!</v>
      </c>
      <c r="AD128" t="e">
        <f t="shared" si="27"/>
        <v>#DIV/0!</v>
      </c>
      <c r="AE128" t="e">
        <f t="shared" si="28"/>
        <v>#DIV/0!</v>
      </c>
      <c r="AF128" t="e">
        <f t="shared" si="29"/>
        <v>#DIV/0!</v>
      </c>
      <c r="AG128" t="e">
        <f t="shared" si="30"/>
        <v>#DIV/0!</v>
      </c>
      <c r="AH128" t="e">
        <f t="shared" si="31"/>
        <v>#DIV/0!</v>
      </c>
      <c r="AI128" t="e">
        <f t="shared" si="32"/>
        <v>#DIV/0!</v>
      </c>
      <c r="AJ128" t="e">
        <f t="shared" si="33"/>
        <v>#DIV/0!</v>
      </c>
      <c r="AK128">
        <f t="shared" si="34"/>
        <v>0</v>
      </c>
      <c r="AL128">
        <f t="shared" si="35"/>
        <v>0</v>
      </c>
    </row>
    <row r="129" spans="1:38" x14ac:dyDescent="0.35">
      <c r="A129" s="9" t="s">
        <v>42</v>
      </c>
      <c r="B129" s="22" t="s">
        <v>69</v>
      </c>
      <c r="C129" s="25">
        <f>#REF!-#REF!</f>
        <v>16.647247256710656</v>
      </c>
      <c r="D129" s="25">
        <f>#REF!-#REF!</f>
        <v>5.4475010377742272</v>
      </c>
      <c r="E129" s="25">
        <f>#REF!-#REF!</f>
        <v>11.199746218936426</v>
      </c>
      <c r="F129" s="25">
        <v>0</v>
      </c>
      <c r="G129" s="25">
        <v>0</v>
      </c>
      <c r="H129" s="25">
        <v>0</v>
      </c>
      <c r="I129" s="25">
        <v>0</v>
      </c>
      <c r="J129" s="25">
        <f>#REF!-#REF!</f>
        <v>0</v>
      </c>
      <c r="K129" s="25">
        <f>#REF!-#REF!</f>
        <v>3.3620104008685532</v>
      </c>
      <c r="L129" s="25">
        <f>#REF!-#REF!</f>
        <v>2.9977649381601279</v>
      </c>
      <c r="M129" s="25">
        <f>#REF!-#REF!</f>
        <v>1.1001551707208788</v>
      </c>
      <c r="N129" s="25">
        <f>#REF!-#REF!</f>
        <v>0.98096263963686792</v>
      </c>
      <c r="O129" s="25">
        <f>#REF!-#REF!</f>
        <v>2.2618552301476749</v>
      </c>
      <c r="P129" s="25">
        <f>#REF!-#REF!</f>
        <v>2.0168022985232601</v>
      </c>
      <c r="Q129" s="25">
        <f>#REF!-#REF!</f>
        <v>-0.54464757112384632</v>
      </c>
      <c r="R129" s="25">
        <f>#REF!-#REF!</f>
        <v>-0.48563960181305132</v>
      </c>
      <c r="S129" s="25">
        <f>#REF!-#REF!</f>
        <v>-7.5513201970499821E-2</v>
      </c>
      <c r="T129" s="25">
        <f>#REF!-#REF!</f>
        <v>-6.7331983618162283E-2</v>
      </c>
      <c r="U129" s="25">
        <f>#REF!-#REF!</f>
        <v>-2.4075999963963368E-2</v>
      </c>
      <c r="V129" s="25">
        <f>#REF!-#REF!</f>
        <v>-2.1467568489516947E-2</v>
      </c>
      <c r="W129" s="25">
        <f>#REF!-#REF!</f>
        <v>-5.1437202006535898E-2</v>
      </c>
      <c r="X129" s="25">
        <f>#REF!-#REF!</f>
        <v>-4.586441512864603E-2</v>
      </c>
      <c r="Y129" s="25">
        <f>#REF!-#REF!</f>
        <v>0</v>
      </c>
      <c r="Z129" s="25">
        <f>#REF!-#REF!</f>
        <v>0</v>
      </c>
      <c r="AA129" s="12">
        <v>555.32196820367994</v>
      </c>
      <c r="AB129" s="13">
        <v>495.15751802582002</v>
      </c>
      <c r="AC129">
        <f t="shared" si="26"/>
        <v>1</v>
      </c>
      <c r="AD129">
        <f t="shared" si="27"/>
        <v>0.67276865936028596</v>
      </c>
      <c r="AE129">
        <f t="shared" si="28"/>
        <v>0.67276865936028596</v>
      </c>
      <c r="AF129">
        <f t="shared" si="29"/>
        <v>0.32723134063971387</v>
      </c>
      <c r="AG129">
        <f t="shared" si="30"/>
        <v>0.32723134063971387</v>
      </c>
      <c r="AH129">
        <f t="shared" si="31"/>
        <v>0</v>
      </c>
      <c r="AI129" t="e">
        <f t="shared" si="32"/>
        <v>#DIV/0!</v>
      </c>
      <c r="AJ129" t="e">
        <f t="shared" si="33"/>
        <v>#DIV/0!</v>
      </c>
      <c r="AK129">
        <f t="shared" si="34"/>
        <v>2.9977649381601287E-2</v>
      </c>
      <c r="AL129">
        <f t="shared" si="35"/>
        <v>3.3620104008685543E-2</v>
      </c>
    </row>
    <row r="130" spans="1:38" x14ac:dyDescent="0.35">
      <c r="A130" s="15" t="s">
        <v>43</v>
      </c>
      <c r="B130" s="22" t="s">
        <v>69</v>
      </c>
      <c r="C130" s="25">
        <f>#REF!-#REF!</f>
        <v>2.4930645985307542</v>
      </c>
      <c r="D130" s="25">
        <f>#REF!-#REF!</f>
        <v>0.32729011819604903</v>
      </c>
      <c r="E130" s="25">
        <f>#REF!-#REF!</f>
        <v>2.1657744803347061</v>
      </c>
      <c r="F130" s="25">
        <v>0</v>
      </c>
      <c r="G130" s="25">
        <v>0</v>
      </c>
      <c r="H130" s="25">
        <v>0</v>
      </c>
      <c r="I130" s="25">
        <v>0</v>
      </c>
      <c r="J130" s="25">
        <f>#REF!-#REF!</f>
        <v>0</v>
      </c>
      <c r="K130" s="25">
        <f>#REF!-#REF!</f>
        <v>1.1561215823126894</v>
      </c>
      <c r="L130" s="25">
        <f>#REF!-#REF!</f>
        <v>0.61195135498629538</v>
      </c>
      <c r="M130" s="25">
        <f>#REF!-#REF!</f>
        <v>0.15177591850091621</v>
      </c>
      <c r="N130" s="25">
        <f>#REF!-#REF!</f>
        <v>8.0337120595162959E-2</v>
      </c>
      <c r="O130" s="25">
        <f>#REF!-#REF!</f>
        <v>1.0043456638117734</v>
      </c>
      <c r="P130" s="25">
        <f>#REF!-#REF!</f>
        <v>0.53161423439113231</v>
      </c>
      <c r="Q130" s="25">
        <f>#REF!-#REF!</f>
        <v>-1.4411040864951041E-2</v>
      </c>
      <c r="R130" s="25">
        <f>#REF!-#REF!</f>
        <v>-7.6279658809141337E-3</v>
      </c>
      <c r="S130" s="25">
        <f>#REF!-#REF!</f>
        <v>-0.11890700154440736</v>
      </c>
      <c r="T130" s="25">
        <f>#REF!-#REF!</f>
        <v>-6.2939142237013357E-2</v>
      </c>
      <c r="U130" s="25">
        <f>#REF!-#REF!</f>
        <v>-2.3058132918983218E-4</v>
      </c>
      <c r="V130" s="25">
        <f>#REF!-#REF!</f>
        <v>-1.2204992882322747E-4</v>
      </c>
      <c r="W130" s="25">
        <f>#REF!-#REF!</f>
        <v>-0.11867642021521974</v>
      </c>
      <c r="X130" s="25">
        <f>#REF!-#REF!</f>
        <v>-6.2817092308188549E-2</v>
      </c>
      <c r="Y130" s="25">
        <f>#REF!-#REF!</f>
        <v>0</v>
      </c>
      <c r="Z130" s="25">
        <f>#REF!-#REF!</f>
        <v>0</v>
      </c>
      <c r="AA130" s="12">
        <v>407.39587848230002</v>
      </c>
      <c r="AB130" s="13">
        <v>215.64034757863999</v>
      </c>
      <c r="AC130">
        <f t="shared" si="26"/>
        <v>1</v>
      </c>
      <c r="AD130">
        <f t="shared" si="27"/>
        <v>0.86871976025453534</v>
      </c>
      <c r="AE130">
        <f t="shared" si="28"/>
        <v>0.86871976025453534</v>
      </c>
      <c r="AF130">
        <f t="shared" si="29"/>
        <v>0.13128023974546507</v>
      </c>
      <c r="AG130">
        <f t="shared" si="30"/>
        <v>0.13128023974546507</v>
      </c>
      <c r="AH130">
        <f t="shared" si="31"/>
        <v>0</v>
      </c>
      <c r="AI130" t="e">
        <f t="shared" si="32"/>
        <v>#DIV/0!</v>
      </c>
      <c r="AJ130" t="e">
        <f t="shared" si="33"/>
        <v>#DIV/0!</v>
      </c>
      <c r="AK130">
        <f t="shared" si="34"/>
        <v>6.1195135498629486E-3</v>
      </c>
      <c r="AL130">
        <f t="shared" si="35"/>
        <v>1.1561215823126886E-2</v>
      </c>
    </row>
    <row r="131" spans="1:38" x14ac:dyDescent="0.35">
      <c r="A131" s="15" t="s">
        <v>44</v>
      </c>
      <c r="B131" s="22" t="s">
        <v>69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f>#REF!-#REF!</f>
        <v>0</v>
      </c>
      <c r="K131" s="25">
        <f>#REF!-#REF!</f>
        <v>-4.1796257792179414</v>
      </c>
      <c r="L131" s="25">
        <f>#REF!-#REF!</f>
        <v>-4.4690359761759257</v>
      </c>
      <c r="M131" s="25">
        <f>#REF!-#REF!</f>
        <v>-2.8011173848804805E-5</v>
      </c>
      <c r="N131" s="25">
        <f>#REF!-#REF!</f>
        <v>-2.9950754033447602E-5</v>
      </c>
      <c r="O131" s="25">
        <f>#REF!-#REF!</f>
        <v>-4.1795977680440926</v>
      </c>
      <c r="P131" s="25">
        <f>#REF!-#REF!</f>
        <v>-4.4690060254218924</v>
      </c>
      <c r="Q131" s="25">
        <f>#REF!-#REF!</f>
        <v>-6.1414498663516781E-3</v>
      </c>
      <c r="R131" s="25">
        <f>#REF!-#REF!</f>
        <v>-6.5667028218339141E-3</v>
      </c>
      <c r="S131" s="25">
        <f>#REF!-#REF!</f>
        <v>-4.7826134079786158</v>
      </c>
      <c r="T131" s="25">
        <f>#REF!-#REF!</f>
        <v>-5.1137763305682995</v>
      </c>
      <c r="U131" s="25">
        <f>#REF!-#REF!</f>
        <v>-8.5333676385819679E-2</v>
      </c>
      <c r="V131" s="25">
        <f>#REF!-#REF!</f>
        <v>-9.1242443676127216E-2</v>
      </c>
      <c r="W131" s="25">
        <f>#REF!-#REF!</f>
        <v>-4.697279731592797</v>
      </c>
      <c r="X131" s="25">
        <f>#REF!-#REF!</f>
        <v>-5.0225338868921714</v>
      </c>
      <c r="Y131" s="25">
        <f>#REF!-#REF!</f>
        <v>0</v>
      </c>
      <c r="Z131" s="25">
        <f>#REF!-#REF!</f>
        <v>0</v>
      </c>
      <c r="AA131" s="12">
        <v>311.06354290107998</v>
      </c>
      <c r="AB131" s="13">
        <v>332.60254327404999</v>
      </c>
      <c r="AC131" t="e">
        <f t="shared" ref="AC131:AC194" si="36">C131/(C131+G131)</f>
        <v>#DIV/0!</v>
      </c>
      <c r="AD131" t="e">
        <f t="shared" ref="AD131:AD194" si="37">(E131/(C131+G131))</f>
        <v>#DIV/0!</v>
      </c>
      <c r="AE131" t="e">
        <f t="shared" ref="AE131:AE194" si="38">(E131/C131)</f>
        <v>#DIV/0!</v>
      </c>
      <c r="AF131" t="e">
        <f t="shared" ref="AF131:AF194" si="39">(D131/(C131+G131))</f>
        <v>#DIV/0!</v>
      </c>
      <c r="AG131" t="e">
        <f t="shared" ref="AG131:AG194" si="40">(D131/(C131))</f>
        <v>#DIV/0!</v>
      </c>
      <c r="AH131" t="e">
        <f t="shared" ref="AH131:AH194" si="41">(G131/(C131+G131))</f>
        <v>#DIV/0!</v>
      </c>
      <c r="AI131" t="e">
        <f t="shared" ref="AI131:AI194" si="42">(H131/G131)</f>
        <v>#DIV/0!</v>
      </c>
      <c r="AJ131" t="e">
        <f t="shared" ref="AJ131:AJ194" si="43">I131/G131</f>
        <v>#DIV/0!</v>
      </c>
      <c r="AK131">
        <f t="shared" ref="AK131:AK194" si="44">(C131+G131)/AA131</f>
        <v>0</v>
      </c>
      <c r="AL131">
        <f t="shared" ref="AL131:AL194" si="45">(C131+G131)/AB131</f>
        <v>0</v>
      </c>
    </row>
    <row r="132" spans="1:38" x14ac:dyDescent="0.35">
      <c r="A132" s="15" t="s">
        <v>45</v>
      </c>
      <c r="B132" s="22" t="s">
        <v>69</v>
      </c>
      <c r="C132" s="25">
        <v>0</v>
      </c>
      <c r="D132" s="25">
        <v>0</v>
      </c>
      <c r="E132" s="25">
        <v>0</v>
      </c>
      <c r="F132" s="25">
        <f>#REF!-#REF!</f>
        <v>0</v>
      </c>
      <c r="G132" s="25">
        <v>0</v>
      </c>
      <c r="H132" s="25">
        <v>0</v>
      </c>
      <c r="I132" s="25">
        <v>0</v>
      </c>
      <c r="J132" s="25">
        <f>#REF!-#REF!</f>
        <v>0</v>
      </c>
      <c r="K132" s="25">
        <f>#REF!-#REF!</f>
        <v>-2.5582685845138009E-2</v>
      </c>
      <c r="L132" s="25">
        <f>#REF!-#REF!</f>
        <v>-1.4986704770683978E-2</v>
      </c>
      <c r="M132" s="25">
        <f>#REF!-#REF!</f>
        <v>-4.1885434126736065E-3</v>
      </c>
      <c r="N132" s="25">
        <f>#REF!-#REF!</f>
        <v>-2.4537088843963328E-3</v>
      </c>
      <c r="O132" s="25">
        <f>#REF!-#REF!</f>
        <v>-2.1394142432464403E-2</v>
      </c>
      <c r="P132" s="25">
        <f>#REF!-#REF!</f>
        <v>-1.2532995886287424E-2</v>
      </c>
      <c r="Q132" s="25">
        <f>#REF!-#REF!</f>
        <v>0</v>
      </c>
      <c r="R132" s="25">
        <f>#REF!-#REF!</f>
        <v>0</v>
      </c>
      <c r="S132" s="25">
        <f>#REF!-#REF!</f>
        <v>-2.1124827646528566E-2</v>
      </c>
      <c r="T132" s="25">
        <f>#REF!-#REF!</f>
        <v>-1.237522741695507E-2</v>
      </c>
      <c r="U132" s="25">
        <f>#REF!-#REF!</f>
        <v>-1.5661510151737001E-2</v>
      </c>
      <c r="V132" s="25">
        <f>#REF!-#REF!</f>
        <v>-9.1747375677426746E-3</v>
      </c>
      <c r="W132" s="25">
        <f>#REF!-#REF!</f>
        <v>-5.4633174947917862E-3</v>
      </c>
      <c r="X132" s="25">
        <f>#REF!-#REF!</f>
        <v>-3.2004898492123957E-3</v>
      </c>
      <c r="Y132" s="25">
        <f>#REF!-#REF!</f>
        <v>0</v>
      </c>
      <c r="Z132" s="25">
        <f>#REF!-#REF!</f>
        <v>0</v>
      </c>
      <c r="AA132" s="12">
        <v>45.911572818750003</v>
      </c>
      <c r="AB132" s="13">
        <v>26.895658710639999</v>
      </c>
      <c r="AC132" t="e">
        <f t="shared" si="36"/>
        <v>#DIV/0!</v>
      </c>
      <c r="AD132" t="e">
        <f t="shared" si="37"/>
        <v>#DIV/0!</v>
      </c>
      <c r="AE132" t="e">
        <f t="shared" si="38"/>
        <v>#DIV/0!</v>
      </c>
      <c r="AF132" t="e">
        <f t="shared" si="39"/>
        <v>#DIV/0!</v>
      </c>
      <c r="AG132" t="e">
        <f t="shared" si="40"/>
        <v>#DIV/0!</v>
      </c>
      <c r="AH132" t="e">
        <f t="shared" si="41"/>
        <v>#DIV/0!</v>
      </c>
      <c r="AI132" t="e">
        <f t="shared" si="42"/>
        <v>#DIV/0!</v>
      </c>
      <c r="AJ132" t="e">
        <f t="shared" si="43"/>
        <v>#DIV/0!</v>
      </c>
      <c r="AK132">
        <f t="shared" si="44"/>
        <v>0</v>
      </c>
      <c r="AL132">
        <f t="shared" si="45"/>
        <v>0</v>
      </c>
    </row>
    <row r="133" spans="1:38" x14ac:dyDescent="0.35">
      <c r="A133" s="15" t="s">
        <v>46</v>
      </c>
      <c r="B133" s="22" t="s">
        <v>69</v>
      </c>
      <c r="C133" s="25">
        <f>#REF!-#REF!</f>
        <v>1.0519623383661809</v>
      </c>
      <c r="D133" s="25">
        <f>#REF!-#REF!</f>
        <v>0.6196774981599118</v>
      </c>
      <c r="E133" s="25">
        <f>#REF!-#REF!</f>
        <v>0.43228484020626912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f>#REF!-#REF!</f>
        <v>0.41294855970658695</v>
      </c>
      <c r="L133" s="25">
        <f>#REF!-#REF!</f>
        <v>0.41428510274810515</v>
      </c>
      <c r="M133" s="25">
        <f>#REF!-#REF!</f>
        <v>0.24325484004033038</v>
      </c>
      <c r="N133" s="25">
        <f>#REF!-#REF!</f>
        <v>0.24404215496401593</v>
      </c>
      <c r="O133" s="25">
        <f>#REF!-#REF!</f>
        <v>0.1696937196662569</v>
      </c>
      <c r="P133" s="25">
        <f>#REF!-#REF!</f>
        <v>0.17024294778408944</v>
      </c>
      <c r="Q133" s="25">
        <f>#REF!-#REF!</f>
        <v>-3.0608945999922144E-2</v>
      </c>
      <c r="R133" s="25">
        <f>#REF!-#REF!</f>
        <v>-3.0708014450029797E-2</v>
      </c>
      <c r="S133" s="25">
        <f>#REF!-#REF!</f>
        <v>-2.9455873055330706E-2</v>
      </c>
      <c r="T133" s="25">
        <f>#REF!-#REF!</f>
        <v>-2.9551209487045149E-2</v>
      </c>
      <c r="U133" s="25">
        <f>#REF!-#REF!</f>
        <v>-4.6529512267556861E-3</v>
      </c>
      <c r="V133" s="25">
        <f>#REF!-#REF!</f>
        <v>-4.6680108980838853E-3</v>
      </c>
      <c r="W133" s="25">
        <f>#REF!-#REF!</f>
        <v>-2.4802921828574576E-2</v>
      </c>
      <c r="X133" s="25">
        <f>#REF!-#REF!</f>
        <v>-2.4883198588961264E-2</v>
      </c>
      <c r="Y133" s="25">
        <f>#REF!-#REF!</f>
        <v>-1.9227071184940714E-3</v>
      </c>
      <c r="Z133" s="25">
        <f>#REF!-#REF!</f>
        <v>-1.9289301231751876E-3</v>
      </c>
      <c r="AA133" s="12">
        <v>253.92231856471</v>
      </c>
      <c r="AB133" s="13">
        <v>254.7441596875</v>
      </c>
      <c r="AC133">
        <f t="shared" si="36"/>
        <v>1</v>
      </c>
      <c r="AD133">
        <f t="shared" si="37"/>
        <v>0.41093185985884001</v>
      </c>
      <c r="AE133">
        <f t="shared" si="38"/>
        <v>0.41093185985884001</v>
      </c>
      <c r="AF133">
        <f t="shared" si="39"/>
        <v>0.58906814014115993</v>
      </c>
      <c r="AG133">
        <f t="shared" si="40"/>
        <v>0.58906814014115993</v>
      </c>
      <c r="AH133">
        <f t="shared" si="41"/>
        <v>0</v>
      </c>
      <c r="AI133" t="e">
        <f t="shared" si="42"/>
        <v>#DIV/0!</v>
      </c>
      <c r="AJ133" t="e">
        <f t="shared" si="43"/>
        <v>#DIV/0!</v>
      </c>
      <c r="AK133">
        <f t="shared" si="44"/>
        <v>4.142851027481056E-3</v>
      </c>
      <c r="AL133">
        <f t="shared" si="45"/>
        <v>4.1294855970658764E-3</v>
      </c>
    </row>
    <row r="134" spans="1:38" x14ac:dyDescent="0.35">
      <c r="A134" s="19" t="s">
        <v>47</v>
      </c>
      <c r="B134" s="23" t="s">
        <v>69</v>
      </c>
      <c r="C134" s="25">
        <f>#REF!-#REF!</f>
        <v>7.9529738437430826</v>
      </c>
      <c r="D134" s="25">
        <f>#REF!-#REF!</f>
        <v>0.36466848586374184</v>
      </c>
      <c r="E134" s="25">
        <f>#REF!-#REF!</f>
        <v>7.5883053578793405</v>
      </c>
      <c r="F134" s="25">
        <f>#REF!-#REF!</f>
        <v>0.41954023295295251</v>
      </c>
      <c r="G134" s="25">
        <f>#REF!-#REF!</f>
        <v>6.360550016758193</v>
      </c>
      <c r="H134" s="25">
        <f>#REF!-#REF!</f>
        <v>6.41999440943819</v>
      </c>
      <c r="I134" s="25">
        <v>0</v>
      </c>
      <c r="J134" s="25">
        <f>#REF!-#REF!</f>
        <v>0</v>
      </c>
      <c r="K134" s="25">
        <f>#REF!-#REF!</f>
        <v>3.9003710215667908</v>
      </c>
      <c r="L134" s="25">
        <f>#REF!-#REF!</f>
        <v>2.6374108372741398</v>
      </c>
      <c r="M134" s="25">
        <f>#REF!-#REF!</f>
        <v>0.17884409312632038</v>
      </c>
      <c r="N134" s="25">
        <f>#REF!-#REF!</f>
        <v>0.12093345653161611</v>
      </c>
      <c r="O134" s="25">
        <f>#REF!-#REF!</f>
        <v>3.7215269284404711</v>
      </c>
      <c r="P134" s="25">
        <f>#REF!-#REF!</f>
        <v>2.5164773807425238</v>
      </c>
      <c r="Q134" s="25">
        <f>#REF!-#REF!</f>
        <v>0.2057548030638211</v>
      </c>
      <c r="R134" s="25">
        <f>#REF!-#REF!</f>
        <v>0.13913034027304905</v>
      </c>
      <c r="S134" s="25">
        <f>#REF!-#REF!</f>
        <v>3.1193997935888671</v>
      </c>
      <c r="T134" s="25">
        <f>#REF!-#REF!</f>
        <v>2.1093221070279422</v>
      </c>
      <c r="U134" s="25">
        <f>#REF!-#REF!</f>
        <v>3.1485530626878351</v>
      </c>
      <c r="V134" s="25">
        <f>#REF!-#REF!</f>
        <v>2.1290353977478338</v>
      </c>
      <c r="W134" s="25">
        <f>#REF!-#REF!</f>
        <v>-2.9153269098967982E-2</v>
      </c>
      <c r="X134" s="25">
        <f>#REF!-#REF!</f>
        <v>-1.9713290719891807E-2</v>
      </c>
      <c r="Y134" s="25">
        <f>#REF!-#REF!</f>
        <v>0</v>
      </c>
      <c r="Z134" s="25">
        <f>#REF!-#REF!</f>
        <v>0</v>
      </c>
      <c r="AA134" s="12">
        <v>301.54474727050001</v>
      </c>
      <c r="AB134" s="13">
        <v>203.90300819506001</v>
      </c>
      <c r="AC134">
        <f t="shared" si="36"/>
        <v>0.5556265474003661</v>
      </c>
      <c r="AD134">
        <f t="shared" si="37"/>
        <v>0.53014934909352152</v>
      </c>
      <c r="AE134">
        <f t="shared" si="38"/>
        <v>0.95414690240045974</v>
      </c>
      <c r="AF134">
        <f t="shared" si="39"/>
        <v>2.5477198306844528E-2</v>
      </c>
      <c r="AG134">
        <f t="shared" si="40"/>
        <v>4.5853097599540191E-2</v>
      </c>
      <c r="AH134">
        <f t="shared" si="41"/>
        <v>0.44437345259963396</v>
      </c>
      <c r="AI134">
        <f t="shared" si="42"/>
        <v>1.0093457943925255</v>
      </c>
      <c r="AJ134">
        <f t="shared" si="43"/>
        <v>0</v>
      </c>
      <c r="AK134">
        <f t="shared" si="44"/>
        <v>4.7467329443020817E-2</v>
      </c>
      <c r="AL134">
        <f t="shared" si="45"/>
        <v>7.0197708151556598E-2</v>
      </c>
    </row>
    <row r="135" spans="1:38" x14ac:dyDescent="0.35">
      <c r="A135" s="15" t="s">
        <v>48</v>
      </c>
      <c r="B135" s="22" t="s">
        <v>69</v>
      </c>
      <c r="C135" s="25">
        <f>#REF!-#REF!</f>
        <v>2.6266750867859234E-2</v>
      </c>
      <c r="D135" s="25">
        <f>#REF!-#REF!</f>
        <v>2.8942786299298612E-2</v>
      </c>
      <c r="E135" s="25">
        <v>0</v>
      </c>
      <c r="F135" s="25">
        <f>#REF!-#REF!</f>
        <v>0</v>
      </c>
      <c r="G135" s="25">
        <v>0</v>
      </c>
      <c r="H135" s="25">
        <f>#REF!-#REF!</f>
        <v>0</v>
      </c>
      <c r="I135" s="25">
        <v>0</v>
      </c>
      <c r="J135" s="25">
        <f>#REF!-#REF!</f>
        <v>0</v>
      </c>
      <c r="K135" s="25">
        <f>#REF!-#REF!</f>
        <v>0.1267088812672359</v>
      </c>
      <c r="L135" s="25">
        <f>#REF!-#REF!</f>
        <v>0.13774479070298007</v>
      </c>
      <c r="M135" s="25">
        <f>#REF!-#REF!</f>
        <v>0.1396178800792699</v>
      </c>
      <c r="N135" s="25">
        <f>#REF!-#REF!</f>
        <v>0.15177811908347744</v>
      </c>
      <c r="O135" s="25">
        <f>#REF!-#REF!</f>
        <v>-1.2908998812033445E-2</v>
      </c>
      <c r="P135" s="25">
        <f>#REF!-#REF!</f>
        <v>-1.4033328380497423E-2</v>
      </c>
      <c r="Q135" s="25">
        <f>#REF!-#REF!</f>
        <v>0</v>
      </c>
      <c r="R135" s="25">
        <f>#REF!-#REF!</f>
        <v>0</v>
      </c>
      <c r="S135" s="25">
        <f>#REF!-#REF!</f>
        <v>-1.3779887715664074E-2</v>
      </c>
      <c r="T135" s="25">
        <f>#REF!-#REF!</f>
        <v>-1.4980068723843942E-2</v>
      </c>
      <c r="U135" s="25">
        <f>#REF!-#REF!</f>
        <v>0</v>
      </c>
      <c r="V135" s="25">
        <f>#REF!-#REF!</f>
        <v>0</v>
      </c>
      <c r="W135" s="25">
        <f>#REF!-#REF!</f>
        <v>-1.3779887715664074E-2</v>
      </c>
      <c r="X135" s="25">
        <f>#REF!-#REF!</f>
        <v>-1.4980068723843942E-2</v>
      </c>
      <c r="Y135" s="25">
        <f>#REF!-#REF!</f>
        <v>0</v>
      </c>
      <c r="Z135" s="25">
        <f>#REF!-#REF!</f>
        <v>0</v>
      </c>
      <c r="AA135" s="12">
        <v>19.06914282116</v>
      </c>
      <c r="AB135" s="13">
        <v>20.729999827290001</v>
      </c>
      <c r="AC135">
        <f t="shared" si="36"/>
        <v>1</v>
      </c>
      <c r="AD135">
        <f t="shared" si="37"/>
        <v>0</v>
      </c>
      <c r="AE135">
        <f t="shared" si="38"/>
        <v>0</v>
      </c>
      <c r="AF135">
        <f t="shared" si="39"/>
        <v>1.1018791949145812</v>
      </c>
      <c r="AG135">
        <f t="shared" si="40"/>
        <v>1.1018791949145812</v>
      </c>
      <c r="AH135">
        <f t="shared" si="41"/>
        <v>0</v>
      </c>
      <c r="AI135" t="e">
        <f t="shared" si="42"/>
        <v>#DIV/0!</v>
      </c>
      <c r="AJ135" t="e">
        <f t="shared" si="43"/>
        <v>#DIV/0!</v>
      </c>
      <c r="AK135">
        <f t="shared" si="44"/>
        <v>1.377447907029803E-3</v>
      </c>
      <c r="AL135">
        <f t="shared" si="45"/>
        <v>1.2670888126723658E-3</v>
      </c>
    </row>
    <row r="136" spans="1:38" x14ac:dyDescent="0.35">
      <c r="A136" s="15" t="s">
        <v>49</v>
      </c>
      <c r="B136" s="22" t="s">
        <v>69</v>
      </c>
      <c r="C136" s="25">
        <v>0</v>
      </c>
      <c r="D136" s="25">
        <f>#REF!-#REF!</f>
        <v>0.78867720461602975</v>
      </c>
      <c r="E136" s="25">
        <v>0</v>
      </c>
      <c r="F136" s="25">
        <v>0</v>
      </c>
      <c r="G136" s="25">
        <v>0</v>
      </c>
      <c r="H136" s="25">
        <v>0</v>
      </c>
      <c r="I136" s="25">
        <f>#REF!-#REF!</f>
        <v>0.17367720461602909</v>
      </c>
      <c r="J136" s="25">
        <f>#REF!-#REF!</f>
        <v>0</v>
      </c>
      <c r="K136" s="25">
        <f>#REF!-#REF!</f>
        <v>-0.28234265530790292</v>
      </c>
      <c r="L136" s="25">
        <f>#REF!-#REF!</f>
        <v>-0.2509767519875501</v>
      </c>
      <c r="M136" s="25">
        <f>#REF!-#REF!</f>
        <v>0.2123144346319894</v>
      </c>
      <c r="N136" s="25">
        <f>#REF!-#REF!</f>
        <v>0.18872807987832985</v>
      </c>
      <c r="O136" s="25">
        <f>#REF!-#REF!</f>
        <v>-0.4946570899398921</v>
      </c>
      <c r="P136" s="25">
        <f>#REF!-#REF!</f>
        <v>-0.43970483186588005</v>
      </c>
      <c r="Q136" s="25">
        <f>#REF!-#REF!</f>
        <v>-0.10711689766240606</v>
      </c>
      <c r="R136" s="25">
        <f>#REF!-#REF!</f>
        <v>-9.5217107840031567E-2</v>
      </c>
      <c r="S136" s="25">
        <f>#REF!-#REF!</f>
        <v>-0.19085656488712699</v>
      </c>
      <c r="T136" s="25">
        <f>#REF!-#REF!</f>
        <v>-0.1696539996715527</v>
      </c>
      <c r="U136" s="25">
        <f>#REF!-#REF!</f>
        <v>-0.23761102576249737</v>
      </c>
      <c r="V136" s="25">
        <f>#REF!-#REF!</f>
        <v>-0.21121443168857401</v>
      </c>
      <c r="W136" s="25">
        <f>#REF!-#REF!</f>
        <v>4.6754460875370385E-2</v>
      </c>
      <c r="X136" s="25">
        <f>#REF!-#REF!</f>
        <v>4.156043201702142E-2</v>
      </c>
      <c r="Y136" s="25">
        <f>#REF!-#REF!</f>
        <v>0</v>
      </c>
      <c r="Z136" s="25">
        <f>#REF!-#REF!</f>
        <v>0</v>
      </c>
      <c r="AA136" s="12">
        <v>417.89075855828003</v>
      </c>
      <c r="AB136" s="13">
        <v>371.46659669328</v>
      </c>
      <c r="AC136" t="e">
        <f t="shared" si="36"/>
        <v>#DIV/0!</v>
      </c>
      <c r="AD136" t="e">
        <f t="shared" si="37"/>
        <v>#DIV/0!</v>
      </c>
      <c r="AE136" t="e">
        <f t="shared" si="38"/>
        <v>#DIV/0!</v>
      </c>
      <c r="AF136" t="e">
        <f t="shared" si="39"/>
        <v>#DIV/0!</v>
      </c>
      <c r="AG136" t="e">
        <f t="shared" si="40"/>
        <v>#DIV/0!</v>
      </c>
      <c r="AH136" t="e">
        <f t="shared" si="41"/>
        <v>#DIV/0!</v>
      </c>
      <c r="AI136" t="e">
        <f t="shared" si="42"/>
        <v>#DIV/0!</v>
      </c>
      <c r="AJ136" t="e">
        <f t="shared" si="43"/>
        <v>#DIV/0!</v>
      </c>
      <c r="AK136">
        <f t="shared" si="44"/>
        <v>0</v>
      </c>
      <c r="AL136">
        <f t="shared" si="45"/>
        <v>0</v>
      </c>
    </row>
    <row r="137" spans="1:38" x14ac:dyDescent="0.35">
      <c r="A137" s="15" t="s">
        <v>50</v>
      </c>
      <c r="B137" s="22" t="s">
        <v>69</v>
      </c>
      <c r="C137" s="25">
        <f>#REF!-#REF!</f>
        <v>0.973540694996057</v>
      </c>
      <c r="D137" s="25">
        <f>#REF!-#REF!</f>
        <v>0.44152575336758204</v>
      </c>
      <c r="E137" s="25">
        <f>#REF!-#REF!</f>
        <v>0.53201494162847496</v>
      </c>
      <c r="F137" s="25">
        <f>#REF!-#REF!</f>
        <v>3.791341716091079E-3</v>
      </c>
      <c r="G137" s="25">
        <v>0</v>
      </c>
      <c r="H137" s="25">
        <v>0</v>
      </c>
      <c r="I137" s="25">
        <f>#REF!-#REF!</f>
        <v>1.8588105913613262E-2</v>
      </c>
      <c r="J137" s="25">
        <f>#REF!-#REF!</f>
        <v>0</v>
      </c>
      <c r="K137" s="25">
        <f>#REF!-#REF!</f>
        <v>0.27158958003625511</v>
      </c>
      <c r="L137" s="25">
        <f>#REF!-#REF!</f>
        <v>0.28433120662361766</v>
      </c>
      <c r="M137" s="25">
        <f>#REF!-#REF!</f>
        <v>0.12317286226312141</v>
      </c>
      <c r="N137" s="25">
        <f>#REF!-#REF!</f>
        <v>0.12895151774925506</v>
      </c>
      <c r="O137" s="25">
        <f>#REF!-#REF!</f>
        <v>0.14841671777313348</v>
      </c>
      <c r="P137" s="25">
        <f>#REF!-#REF!</f>
        <v>0.15537968887436193</v>
      </c>
      <c r="Q137" s="25">
        <f>#REF!-#REF!</f>
        <v>1.057674229479777E-3</v>
      </c>
      <c r="R137" s="25">
        <f>#REF!-#REF!</f>
        <v>1.1072950215634814E-3</v>
      </c>
      <c r="S137" s="25">
        <f>#REF!-#REF!</f>
        <v>-2.4050884966291264E-3</v>
      </c>
      <c r="T137" s="25">
        <f>#REF!-#REF!</f>
        <v>-2.5179232362004811E-3</v>
      </c>
      <c r="U137" s="25">
        <f>#REF!-#REF!</f>
        <v>-7.5906302050505192E-3</v>
      </c>
      <c r="V137" s="25">
        <f>#REF!-#REF!</f>
        <v>-7.9467446613658566E-3</v>
      </c>
      <c r="W137" s="25">
        <f>#REF!-#REF!</f>
        <v>5.1855417084216704E-3</v>
      </c>
      <c r="X137" s="25">
        <f>#REF!-#REF!</f>
        <v>5.428821425165431E-3</v>
      </c>
      <c r="Y137" s="25">
        <f>#REF!-#REF!</f>
        <v>0</v>
      </c>
      <c r="Z137" s="25">
        <f>#REF!-#REF!</f>
        <v>0</v>
      </c>
      <c r="AA137" s="12">
        <v>342.39670930134002</v>
      </c>
      <c r="AB137" s="13">
        <v>358.46025273358998</v>
      </c>
      <c r="AC137">
        <f t="shared" si="36"/>
        <v>1</v>
      </c>
      <c r="AD137">
        <f t="shared" si="37"/>
        <v>0.54647427104280388</v>
      </c>
      <c r="AE137">
        <f t="shared" si="38"/>
        <v>0.54647427104280388</v>
      </c>
      <c r="AF137">
        <f t="shared" si="39"/>
        <v>0.45352572895719606</v>
      </c>
      <c r="AG137">
        <f t="shared" si="40"/>
        <v>0.45352572895719606</v>
      </c>
      <c r="AH137">
        <f t="shared" si="41"/>
        <v>0</v>
      </c>
      <c r="AI137" t="e">
        <f t="shared" si="42"/>
        <v>#DIV/0!</v>
      </c>
      <c r="AJ137" t="e">
        <f t="shared" si="43"/>
        <v>#DIV/0!</v>
      </c>
      <c r="AK137">
        <f t="shared" si="44"/>
        <v>2.843312066236166E-3</v>
      </c>
      <c r="AL137">
        <f t="shared" si="45"/>
        <v>2.7158958003625547E-3</v>
      </c>
    </row>
    <row r="138" spans="1:38" x14ac:dyDescent="0.35">
      <c r="A138" s="19" t="s">
        <v>51</v>
      </c>
      <c r="B138" s="22" t="s">
        <v>69</v>
      </c>
      <c r="C138" s="25">
        <v>0</v>
      </c>
      <c r="D138" s="25">
        <f>#REF!-#REF!</f>
        <v>7.9292813335628265E-3</v>
      </c>
      <c r="E138" s="25">
        <v>0</v>
      </c>
      <c r="F138" s="25">
        <f>#REF!-#REF!</f>
        <v>0</v>
      </c>
      <c r="G138" s="25">
        <v>0</v>
      </c>
      <c r="H138" s="25">
        <v>0</v>
      </c>
      <c r="I138" s="25">
        <v>0</v>
      </c>
      <c r="J138" s="25">
        <f>#REF!-#REF!</f>
        <v>0</v>
      </c>
      <c r="K138" s="25">
        <f>#REF!-#REF!</f>
        <v>-7.694271777970485E-2</v>
      </c>
      <c r="L138" s="25">
        <f>#REF!-#REF!</f>
        <v>-4.1870983365384973E-2</v>
      </c>
      <c r="M138" s="25">
        <f>#REF!-#REF!</f>
        <v>2.6290653024690913E-2</v>
      </c>
      <c r="N138" s="25">
        <f>#REF!-#REF!</f>
        <v>1.4306948431606903E-2</v>
      </c>
      <c r="O138" s="25">
        <f>#REF!-#REF!</f>
        <v>-0.10323337080439643</v>
      </c>
      <c r="P138" s="25">
        <f>#REF!-#REF!</f>
        <v>-5.6177931796991487E-2</v>
      </c>
      <c r="Q138" s="25">
        <f>#REF!-#REF!</f>
        <v>0</v>
      </c>
      <c r="R138" s="25">
        <f>#REF!-#REF!</f>
        <v>0</v>
      </c>
      <c r="S138" s="25">
        <f>#REF!-#REF!</f>
        <v>-0.2309495477287431</v>
      </c>
      <c r="T138" s="25">
        <f>#REF!-#REF!</f>
        <v>-0.12567901096085188</v>
      </c>
      <c r="U138" s="25">
        <f>#REF!-#REF!</f>
        <v>-1.1450079330184604E-2</v>
      </c>
      <c r="V138" s="25">
        <f>#REF!-#REF!</f>
        <v>-6.2309481001066591E-3</v>
      </c>
      <c r="W138" s="25">
        <f>#REF!-#REF!</f>
        <v>-0.21949946839855849</v>
      </c>
      <c r="X138" s="25">
        <f>#REF!-#REF!</f>
        <v>-0.11944806286074527</v>
      </c>
      <c r="Y138" s="25">
        <f>#REF!-#REF!</f>
        <v>0</v>
      </c>
      <c r="Z138" s="25">
        <f>#REF!-#REF!</f>
        <v>0</v>
      </c>
      <c r="AA138" s="20">
        <v>55.422589739999999</v>
      </c>
      <c r="AB138" s="13">
        <v>30.160077523049999</v>
      </c>
      <c r="AC138" t="e">
        <f t="shared" si="36"/>
        <v>#DIV/0!</v>
      </c>
      <c r="AD138" t="e">
        <f t="shared" si="37"/>
        <v>#DIV/0!</v>
      </c>
      <c r="AE138" t="e">
        <f t="shared" si="38"/>
        <v>#DIV/0!</v>
      </c>
      <c r="AF138" t="e">
        <f t="shared" si="39"/>
        <v>#DIV/0!</v>
      </c>
      <c r="AG138" t="e">
        <f t="shared" si="40"/>
        <v>#DIV/0!</v>
      </c>
      <c r="AH138" t="e">
        <f t="shared" si="41"/>
        <v>#DIV/0!</v>
      </c>
      <c r="AI138" t="e">
        <f t="shared" si="42"/>
        <v>#DIV/0!</v>
      </c>
      <c r="AJ138" t="e">
        <f t="shared" si="43"/>
        <v>#DIV/0!</v>
      </c>
      <c r="AK138">
        <f t="shared" si="44"/>
        <v>0</v>
      </c>
      <c r="AL138">
        <f t="shared" si="45"/>
        <v>0</v>
      </c>
    </row>
    <row r="139" spans="1:38" x14ac:dyDescent="0.35">
      <c r="A139" s="15" t="s">
        <v>52</v>
      </c>
      <c r="B139" s="22" t="s">
        <v>69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f>#REF!-#REF!</f>
        <v>0</v>
      </c>
      <c r="K139" s="25">
        <f>#REF!-#REF!</f>
        <v>-1.5977084088098614E-2</v>
      </c>
      <c r="L139" s="25">
        <f>#REF!-#REF!</f>
        <v>-7.9307649394055879E-3</v>
      </c>
      <c r="M139" s="25">
        <f>#REF!-#REF!</f>
        <v>-5.0791293611240906E-3</v>
      </c>
      <c r="N139" s="25">
        <f>#REF!-#REF!</f>
        <v>-2.5211972871768129E-3</v>
      </c>
      <c r="O139" s="25">
        <f>#REF!-#REF!</f>
        <v>-1.0897954726974746E-2</v>
      </c>
      <c r="P139" s="25">
        <f>#REF!-#REF!</f>
        <v>-5.409567652228997E-3</v>
      </c>
      <c r="Q139" s="25">
        <f>#REF!-#REF!</f>
        <v>-2.224658660172274E-2</v>
      </c>
      <c r="R139" s="25">
        <f>#REF!-#REF!</f>
        <v>-1.1042844117833184E-2</v>
      </c>
      <c r="S139" s="25">
        <f>#REF!-#REF!</f>
        <v>-1.7472205002266428E-2</v>
      </c>
      <c r="T139" s="25">
        <f>#REF!-#REF!</f>
        <v>-8.6729186678873305E-3</v>
      </c>
      <c r="U139" s="25">
        <f>#REF!-#REF!</f>
        <v>-3.250642791119307E-3</v>
      </c>
      <c r="V139" s="25">
        <f>#REF!-#REF!</f>
        <v>-1.6135662637930537E-3</v>
      </c>
      <c r="W139" s="25">
        <f>#REF!-#REF!</f>
        <v>-1.422156221114701E-2</v>
      </c>
      <c r="X139" s="25">
        <f>#REF!-#REF!</f>
        <v>-7.0593524040942768E-3</v>
      </c>
      <c r="Y139" s="25">
        <f>#REF!-#REF!</f>
        <v>0</v>
      </c>
      <c r="Z139" s="25">
        <f>#REF!-#REF!</f>
        <v>0</v>
      </c>
      <c r="AA139" s="12">
        <v>97.136073348400004</v>
      </c>
      <c r="AB139" s="13">
        <v>48.216768505140003</v>
      </c>
      <c r="AC139" t="e">
        <f t="shared" si="36"/>
        <v>#DIV/0!</v>
      </c>
      <c r="AD139" t="e">
        <f t="shared" si="37"/>
        <v>#DIV/0!</v>
      </c>
      <c r="AE139" t="e">
        <f t="shared" si="38"/>
        <v>#DIV/0!</v>
      </c>
      <c r="AF139" t="e">
        <f t="shared" si="39"/>
        <v>#DIV/0!</v>
      </c>
      <c r="AG139" t="e">
        <f t="shared" si="40"/>
        <v>#DIV/0!</v>
      </c>
      <c r="AH139" t="e">
        <f t="shared" si="41"/>
        <v>#DIV/0!</v>
      </c>
      <c r="AI139" t="e">
        <f t="shared" si="42"/>
        <v>#DIV/0!</v>
      </c>
      <c r="AJ139" t="e">
        <f t="shared" si="43"/>
        <v>#DIV/0!</v>
      </c>
      <c r="AK139">
        <f t="shared" si="44"/>
        <v>0</v>
      </c>
      <c r="AL139">
        <f t="shared" si="45"/>
        <v>0</v>
      </c>
    </row>
    <row r="140" spans="1:38" x14ac:dyDescent="0.35">
      <c r="A140" s="15" t="s">
        <v>53</v>
      </c>
      <c r="B140" s="22" t="s">
        <v>69</v>
      </c>
      <c r="C140" s="25">
        <v>0</v>
      </c>
      <c r="D140" s="25">
        <v>0</v>
      </c>
      <c r="E140" s="25">
        <v>0</v>
      </c>
      <c r="F140" s="25">
        <f>#REF!-#REF!</f>
        <v>2.1423395009906088E-2</v>
      </c>
      <c r="G140" s="25">
        <f>#REF!-#REF!</f>
        <v>0.44306040520924173</v>
      </c>
      <c r="H140" s="25">
        <f>#REF!-#REF!</f>
        <v>0.45530536543989036</v>
      </c>
      <c r="I140" s="25">
        <v>0</v>
      </c>
      <c r="J140" s="25">
        <v>0</v>
      </c>
      <c r="K140" s="25">
        <f>#REF!-#REF!</f>
        <v>-0.8779108192297338</v>
      </c>
      <c r="L140" s="25">
        <f>#REF!-#REF!</f>
        <v>-0.88074279209785278</v>
      </c>
      <c r="M140" s="25">
        <f>#REF!-#REF!</f>
        <v>-1.471805399607784E-3</v>
      </c>
      <c r="N140" s="25">
        <f>#REF!-#REF!</f>
        <v>-1.476553163124894E-3</v>
      </c>
      <c r="O140" s="25">
        <f>#REF!-#REF!</f>
        <v>-0.87643901383012679</v>
      </c>
      <c r="P140" s="25">
        <f>#REF!-#REF!</f>
        <v>-0.87926623893472833</v>
      </c>
      <c r="Q140" s="25">
        <f>#REF!-#REF!</f>
        <v>3.2187802021793388E-2</v>
      </c>
      <c r="R140" s="25">
        <f>#REF!-#REF!</f>
        <v>3.2291633732274505E-2</v>
      </c>
      <c r="S140" s="25">
        <f>#REF!-#REF!</f>
        <v>0.66568070093355658</v>
      </c>
      <c r="T140" s="25">
        <f>#REF!-#REF!</f>
        <v>0.66782805991647276</v>
      </c>
      <c r="U140" s="25">
        <f>#REF!-#REF!</f>
        <v>0.68407826842865238</v>
      </c>
      <c r="V140" s="25">
        <f>#REF!-#REF!</f>
        <v>0.68628497445553482</v>
      </c>
      <c r="W140" s="25">
        <f>#REF!-#REF!</f>
        <v>-1.8397567495095579E-2</v>
      </c>
      <c r="X140" s="25">
        <f>#REF!-#REF!</f>
        <v>-1.8456914539061842E-2</v>
      </c>
      <c r="Y140" s="25">
        <f>#REF!-#REF!</f>
        <v>-0.35013406391216906</v>
      </c>
      <c r="Z140" s="25">
        <f>#REF!-#REF!</f>
        <v>-0.35126352962495422</v>
      </c>
      <c r="AA140" s="12">
        <v>66.343484468840003</v>
      </c>
      <c r="AB140" s="13">
        <v>66.557495896739994</v>
      </c>
      <c r="AC140">
        <f t="shared" si="36"/>
        <v>0</v>
      </c>
      <c r="AD140">
        <f t="shared" si="37"/>
        <v>0</v>
      </c>
      <c r="AE140" t="e">
        <f t="shared" si="38"/>
        <v>#DIV/0!</v>
      </c>
      <c r="AF140">
        <f t="shared" si="39"/>
        <v>0</v>
      </c>
      <c r="AG140" t="e">
        <f t="shared" si="40"/>
        <v>#DIV/0!</v>
      </c>
      <c r="AH140">
        <f t="shared" si="41"/>
        <v>1</v>
      </c>
      <c r="AI140">
        <f t="shared" si="42"/>
        <v>1.0276372252782682</v>
      </c>
      <c r="AJ140">
        <f t="shared" si="43"/>
        <v>0</v>
      </c>
      <c r="AK140">
        <f t="shared" si="44"/>
        <v>6.6782805991647447E-3</v>
      </c>
      <c r="AL140">
        <f t="shared" si="45"/>
        <v>6.6568070093355625E-3</v>
      </c>
    </row>
    <row r="141" spans="1:38" x14ac:dyDescent="0.35">
      <c r="A141" s="15" t="s">
        <v>54</v>
      </c>
      <c r="B141" s="22" t="s">
        <v>69</v>
      </c>
      <c r="C141" s="25">
        <v>0</v>
      </c>
      <c r="D141" s="25">
        <f>#REF!-#REF!</f>
        <v>2.4860569687780369</v>
      </c>
      <c r="E141" s="25">
        <v>0</v>
      </c>
      <c r="F141" s="25">
        <v>0</v>
      </c>
      <c r="G141" s="25">
        <f>#REF!-#REF!</f>
        <v>36.262795760146666</v>
      </c>
      <c r="H141" s="25">
        <f>#REF!-#REF!</f>
        <v>0</v>
      </c>
      <c r="I141" s="25">
        <f>#REF!-#REF!</f>
        <v>36.262795760146666</v>
      </c>
      <c r="J141" s="25">
        <f>#REF!-#REF!</f>
        <v>0</v>
      </c>
      <c r="K141" s="25">
        <f>#REF!-#REF!</f>
        <v>-2.0751936298543328E-2</v>
      </c>
      <c r="L141" s="25">
        <f>#REF!-#REF!</f>
        <v>-1.8700200811554879E-2</v>
      </c>
      <c r="M141" s="25">
        <f>#REF!-#REF!</f>
        <v>0.29587095516490514</v>
      </c>
      <c r="N141" s="25">
        <f>#REF!-#REF!</f>
        <v>0.26661831437283784</v>
      </c>
      <c r="O141" s="25">
        <f>#REF!-#REF!</f>
        <v>-0.31662289146344857</v>
      </c>
      <c r="P141" s="25">
        <f>#REF!-#REF!</f>
        <v>-0.28531851518439311</v>
      </c>
      <c r="Q141" s="25">
        <f>#REF!-#REF!</f>
        <v>-1.966465968307672</v>
      </c>
      <c r="R141" s="25">
        <f>#REF!-#REF!</f>
        <v>-1.7720422792075785</v>
      </c>
      <c r="S141" s="25">
        <f>#REF!-#REF!</f>
        <v>4.3157128550348984</v>
      </c>
      <c r="T141" s="25">
        <f>#REF!-#REF!</f>
        <v>3.8890200833849073</v>
      </c>
      <c r="U141" s="25">
        <f>#REF!-#REF!</f>
        <v>0</v>
      </c>
      <c r="V141" s="25">
        <f>#REF!-#REF!</f>
        <v>0</v>
      </c>
      <c r="W141" s="25">
        <f>#REF!-#REF!</f>
        <v>4.3157128550348984</v>
      </c>
      <c r="X141" s="25">
        <f>#REF!-#REF!</f>
        <v>3.8890200833849073</v>
      </c>
      <c r="Y141" s="25">
        <f>#REF!-#REF!</f>
        <v>0</v>
      </c>
      <c r="Z141" s="25">
        <f>#REF!-#REF!</f>
        <v>0</v>
      </c>
      <c r="AA141" s="12">
        <v>932.44043441874999</v>
      </c>
      <c r="AB141" s="13">
        <v>840.25042856688003</v>
      </c>
      <c r="AC141">
        <f t="shared" si="36"/>
        <v>0</v>
      </c>
      <c r="AD141">
        <f t="shared" si="37"/>
        <v>0</v>
      </c>
      <c r="AE141" t="e">
        <f t="shared" si="38"/>
        <v>#DIV/0!</v>
      </c>
      <c r="AF141">
        <f t="shared" si="39"/>
        <v>6.8556682314887846E-2</v>
      </c>
      <c r="AG141" t="e">
        <f t="shared" si="40"/>
        <v>#DIV/0!</v>
      </c>
      <c r="AH141">
        <f t="shared" si="41"/>
        <v>1</v>
      </c>
      <c r="AI141">
        <f t="shared" si="42"/>
        <v>0</v>
      </c>
      <c r="AJ141">
        <f t="shared" si="43"/>
        <v>1</v>
      </c>
      <c r="AK141">
        <f t="shared" si="44"/>
        <v>3.889020083384908E-2</v>
      </c>
      <c r="AL141">
        <f t="shared" si="45"/>
        <v>4.3157128550348985E-2</v>
      </c>
    </row>
    <row r="142" spans="1:38" x14ac:dyDescent="0.35">
      <c r="A142" s="15" t="s">
        <v>55</v>
      </c>
      <c r="B142" s="22" t="s">
        <v>69</v>
      </c>
      <c r="C142" s="25">
        <f>#REF!-#REF!</f>
        <v>2.2603788228926902</v>
      </c>
      <c r="D142" s="25">
        <f>#REF!-#REF!</f>
        <v>2.0118179613490823</v>
      </c>
      <c r="E142" s="25">
        <f>#REF!-#REF!</f>
        <v>0.24856086154360924</v>
      </c>
      <c r="F142" s="25">
        <f>#REF!-#REF!</f>
        <v>0</v>
      </c>
      <c r="G142" s="25">
        <v>0</v>
      </c>
      <c r="H142" s="25">
        <v>0</v>
      </c>
      <c r="I142" s="25">
        <f>#REF!-#REF!</f>
        <v>2.6923836822314584E-2</v>
      </c>
      <c r="J142" s="25">
        <f>#REF!-#REF!</f>
        <v>0</v>
      </c>
      <c r="K142" s="25">
        <f>#REF!-#REF!</f>
        <v>1.1138213198458615</v>
      </c>
      <c r="L142" s="25">
        <f>#REF!-#REF!</f>
        <v>1.1653010685747809</v>
      </c>
      <c r="M142" s="25">
        <f>#REF!-#REF!</f>
        <v>0.99134079398771069</v>
      </c>
      <c r="N142" s="25">
        <f>#REF!-#REF!</f>
        <v>1.0371596107672962</v>
      </c>
      <c r="O142" s="25">
        <f>#REF!-#REF!</f>
        <v>0.12248052585815117</v>
      </c>
      <c r="P142" s="25">
        <f>#REF!-#REF!</f>
        <v>0.12814145780748376</v>
      </c>
      <c r="Q142" s="25">
        <f>#REF!-#REF!</f>
        <v>0</v>
      </c>
      <c r="R142" s="25">
        <f>#REF!-#REF!</f>
        <v>0</v>
      </c>
      <c r="S142" s="25">
        <f>#REF!-#REF!</f>
        <v>-1.1230468993133358</v>
      </c>
      <c r="T142" s="25">
        <f>#REF!-#REF!</f>
        <v>-1.1749530454404735</v>
      </c>
      <c r="U142" s="25">
        <f>#REF!-#REF!</f>
        <v>-1.1363138540206745</v>
      </c>
      <c r="V142" s="25">
        <f>#REF!-#REF!</f>
        <v>-1.1888331860175412</v>
      </c>
      <c r="W142" s="25">
        <f>#REF!-#REF!</f>
        <v>1.3266954707338519E-2</v>
      </c>
      <c r="X142" s="25">
        <f>#REF!-#REF!</f>
        <v>1.3880140577067657E-2</v>
      </c>
      <c r="Y142" s="25">
        <f>#REF!-#REF!</f>
        <v>0</v>
      </c>
      <c r="Z142" s="25">
        <f>#REF!-#REF!</f>
        <v>0</v>
      </c>
      <c r="AA142" s="12">
        <v>193.97380504054999</v>
      </c>
      <c r="AB142" s="13">
        <v>202.93908750153</v>
      </c>
      <c r="AC142">
        <f t="shared" si="36"/>
        <v>1</v>
      </c>
      <c r="AD142">
        <f t="shared" si="37"/>
        <v>0.10996424980902834</v>
      </c>
      <c r="AE142">
        <f t="shared" si="38"/>
        <v>0.10996424980902834</v>
      </c>
      <c r="AF142">
        <f t="shared" si="39"/>
        <v>0.89003575019097225</v>
      </c>
      <c r="AG142">
        <f t="shared" si="40"/>
        <v>0.89003575019097225</v>
      </c>
      <c r="AH142">
        <f t="shared" si="41"/>
        <v>0</v>
      </c>
      <c r="AI142" t="e">
        <f t="shared" si="42"/>
        <v>#DIV/0!</v>
      </c>
      <c r="AJ142" t="e">
        <f t="shared" si="43"/>
        <v>#DIV/0!</v>
      </c>
      <c r="AK142">
        <f t="shared" si="44"/>
        <v>1.1653010685747804E-2</v>
      </c>
      <c r="AL142">
        <f t="shared" si="45"/>
        <v>1.113821319845862E-2</v>
      </c>
    </row>
    <row r="143" spans="1:38" x14ac:dyDescent="0.35">
      <c r="A143" s="15" t="s">
        <v>56</v>
      </c>
      <c r="B143" s="22" t="s">
        <v>69</v>
      </c>
      <c r="C143" s="25">
        <f>#REF!-#REF!</f>
        <v>13.348965621899447</v>
      </c>
      <c r="D143" s="25">
        <f>#REF!-#REF!</f>
        <v>1.1414792455781</v>
      </c>
      <c r="E143" s="25">
        <f>#REF!-#REF!</f>
        <v>12.207486376321347</v>
      </c>
      <c r="F143" s="25">
        <f>#REF!-#REF!</f>
        <v>0</v>
      </c>
      <c r="G143" s="25">
        <v>0</v>
      </c>
      <c r="H143" s="25">
        <f>#REF!-#REF!</f>
        <v>0.17176997453820242</v>
      </c>
      <c r="I143" s="25">
        <v>0</v>
      </c>
      <c r="J143" s="25">
        <f>#REF!-#REF!</f>
        <v>0</v>
      </c>
      <c r="K143" s="25">
        <f>#REF!-#REF!</f>
        <v>3.2538664984422607</v>
      </c>
      <c r="L143" s="25">
        <f>#REF!-#REF!</f>
        <v>4.0395803375278465</v>
      </c>
      <c r="M143" s="25">
        <f>#REF!-#REF!</f>
        <v>0.27824036566252114</v>
      </c>
      <c r="N143" s="25">
        <f>#REF!-#REF!</f>
        <v>0.34542729727078975</v>
      </c>
      <c r="O143" s="25">
        <f>#REF!-#REF!</f>
        <v>2.9756261327797398</v>
      </c>
      <c r="P143" s="25">
        <f>#REF!-#REF!</f>
        <v>3.6941530402570568</v>
      </c>
      <c r="Q143" s="25">
        <f>#REF!-#REF!</f>
        <v>0</v>
      </c>
      <c r="R143" s="25">
        <f>#REF!-#REF!</f>
        <v>0</v>
      </c>
      <c r="S143" s="25">
        <f>#REF!-#REF!</f>
        <v>-1.3125302159772825</v>
      </c>
      <c r="T143" s="25">
        <f>#REF!-#REF!</f>
        <v>-1.6294679746115257</v>
      </c>
      <c r="U143" s="25">
        <f>#REF!-#REF!</f>
        <v>4.1869653531148243E-2</v>
      </c>
      <c r="V143" s="25">
        <f>#REF!-#REF!</f>
        <v>5.1979953456756656E-2</v>
      </c>
      <c r="W143" s="25">
        <f>#REF!-#REF!</f>
        <v>-1.3543998695084309</v>
      </c>
      <c r="X143" s="25">
        <f>#REF!-#REF!</f>
        <v>-1.6814479280682826</v>
      </c>
      <c r="Y143" s="25">
        <f>#REF!-#REF!</f>
        <v>0</v>
      </c>
      <c r="Z143" s="25">
        <f>#REF!-#REF!</f>
        <v>0</v>
      </c>
      <c r="AA143" s="12">
        <v>330.45426768437</v>
      </c>
      <c r="AB143" s="13">
        <v>410.24933347112</v>
      </c>
      <c r="AC143">
        <f t="shared" si="36"/>
        <v>1</v>
      </c>
      <c r="AD143">
        <f t="shared" si="37"/>
        <v>0.91448931116389542</v>
      </c>
      <c r="AE143">
        <f t="shared" si="38"/>
        <v>0.91448931116389542</v>
      </c>
      <c r="AF143">
        <f t="shared" si="39"/>
        <v>8.5510688836104506E-2</v>
      </c>
      <c r="AG143">
        <f t="shared" si="40"/>
        <v>8.5510688836104506E-2</v>
      </c>
      <c r="AH143">
        <f t="shared" si="41"/>
        <v>0</v>
      </c>
      <c r="AI143" t="e">
        <f t="shared" si="42"/>
        <v>#DIV/0!</v>
      </c>
      <c r="AJ143" t="e">
        <f t="shared" si="43"/>
        <v>#DIV/0!</v>
      </c>
      <c r="AK143">
        <f t="shared" si="44"/>
        <v>4.0395803375278469E-2</v>
      </c>
      <c r="AL143">
        <f t="shared" si="45"/>
        <v>3.2538664984422608E-2</v>
      </c>
    </row>
    <row r="144" spans="1:38" x14ac:dyDescent="0.35">
      <c r="A144" s="15" t="s">
        <v>57</v>
      </c>
      <c r="B144" s="22" t="s">
        <v>69</v>
      </c>
      <c r="C144" s="25">
        <f>#REF!-#REF!</f>
        <v>3.6115856237378878</v>
      </c>
      <c r="D144" s="25">
        <f>#REF!-#REF!</f>
        <v>0.6751212736122203</v>
      </c>
      <c r="E144" s="25">
        <f>#REF!-#REF!</f>
        <v>2.9364643501256689</v>
      </c>
      <c r="F144" s="25">
        <v>0</v>
      </c>
      <c r="G144" s="25">
        <v>0</v>
      </c>
      <c r="H144" s="25">
        <f>#REF!-#REF!</f>
        <v>0</v>
      </c>
      <c r="I144" s="25">
        <v>0</v>
      </c>
      <c r="J144" s="25">
        <f>#REF!-#REF!</f>
        <v>0</v>
      </c>
      <c r="K144" s="25">
        <f>#REF!-#REF!</f>
        <v>1.6241891285072558</v>
      </c>
      <c r="L144" s="25">
        <f>#REF!-#REF!</f>
        <v>1.0584457968359593</v>
      </c>
      <c r="M144" s="25">
        <f>#REF!-#REF!</f>
        <v>0.30361307947894312</v>
      </c>
      <c r="N144" s="25">
        <f>#REF!-#REF!</f>
        <v>0.19785749220859516</v>
      </c>
      <c r="O144" s="25">
        <f>#REF!-#REF!</f>
        <v>1.320576049028312</v>
      </c>
      <c r="P144" s="25">
        <f>#REF!-#REF!</f>
        <v>0.86058830462736391</v>
      </c>
      <c r="Q144" s="25">
        <f>#REF!-#REF!</f>
        <v>-1.7401358131868605E-2</v>
      </c>
      <c r="R144" s="25">
        <f>#REF!-#REF!</f>
        <v>-1.1340055200862675E-2</v>
      </c>
      <c r="S144" s="25">
        <f>#REF!-#REF!</f>
        <v>-2.8635146292947944E-2</v>
      </c>
      <c r="T144" s="25">
        <f>#REF!-#REF!</f>
        <v>-1.8660850330533663E-2</v>
      </c>
      <c r="U144" s="25">
        <f>#REF!-#REF!</f>
        <v>0</v>
      </c>
      <c r="V144" s="25">
        <f>#REF!-#REF!</f>
        <v>0</v>
      </c>
      <c r="W144" s="25">
        <f>#REF!-#REF!</f>
        <v>-2.8635146292947944E-2</v>
      </c>
      <c r="X144" s="25">
        <f>#REF!-#REF!</f>
        <v>-1.8660850330533663E-2</v>
      </c>
      <c r="Y144" s="25">
        <f>#REF!-#REF!</f>
        <v>0</v>
      </c>
      <c r="Z144" s="25">
        <f>#REF!-#REF!</f>
        <v>0</v>
      </c>
      <c r="AA144" s="12">
        <v>341.21592570296002</v>
      </c>
      <c r="AB144" s="13">
        <v>222.36238134761999</v>
      </c>
      <c r="AC144">
        <f t="shared" si="36"/>
        <v>1</v>
      </c>
      <c r="AD144">
        <f t="shared" si="37"/>
        <v>0.81306790314623978</v>
      </c>
      <c r="AE144">
        <f t="shared" si="38"/>
        <v>0.81306790314623978</v>
      </c>
      <c r="AF144">
        <f t="shared" si="39"/>
        <v>0.18693209685376061</v>
      </c>
      <c r="AG144">
        <f t="shared" si="40"/>
        <v>0.18693209685376061</v>
      </c>
      <c r="AH144">
        <f t="shared" si="41"/>
        <v>0</v>
      </c>
      <c r="AI144" t="e">
        <f t="shared" si="42"/>
        <v>#DIV/0!</v>
      </c>
      <c r="AJ144" t="e">
        <f t="shared" si="43"/>
        <v>#DIV/0!</v>
      </c>
      <c r="AK144">
        <f t="shared" si="44"/>
        <v>1.0584457968359587E-2</v>
      </c>
      <c r="AL144">
        <f t="shared" si="45"/>
        <v>1.624189128507255E-2</v>
      </c>
    </row>
    <row r="145" spans="1:38" x14ac:dyDescent="0.35">
      <c r="A145" s="15" t="s">
        <v>58</v>
      </c>
      <c r="B145" s="22" t="s">
        <v>69</v>
      </c>
      <c r="C145" s="25">
        <f>#REF!-#REF!</f>
        <v>1.4522233867921304</v>
      </c>
      <c r="D145" s="25">
        <v>0</v>
      </c>
      <c r="E145" s="25">
        <f>#REF!-#REF!</f>
        <v>1.4814636495868849</v>
      </c>
      <c r="F145" s="25">
        <v>0</v>
      </c>
      <c r="G145" s="25">
        <v>0</v>
      </c>
      <c r="H145" s="25">
        <f>#REF!-#REF!</f>
        <v>0</v>
      </c>
      <c r="I145" s="25">
        <v>0</v>
      </c>
      <c r="J145" s="25">
        <f>#REF!-#REF!</f>
        <v>0</v>
      </c>
      <c r="K145" s="25">
        <f>#REF!-#REF!</f>
        <v>1.4596814661431066</v>
      </c>
      <c r="L145" s="25">
        <f>#REF!-#REF!</f>
        <v>0.79919071648164497</v>
      </c>
      <c r="M145" s="25">
        <f>#REF!-#REF!</f>
        <v>-2.9390429912396543E-2</v>
      </c>
      <c r="N145" s="25">
        <f>#REF!-#REF!</f>
        <v>-1.6091564690106808E-2</v>
      </c>
      <c r="O145" s="25">
        <f>#REF!-#REF!</f>
        <v>1.4890718960555032</v>
      </c>
      <c r="P145" s="25">
        <f>#REF!-#REF!</f>
        <v>0.81528228117175172</v>
      </c>
      <c r="Q145" s="25">
        <f>#REF!-#REF!</f>
        <v>-0.86585345724568874</v>
      </c>
      <c r="R145" s="25">
        <f>#REF!-#REF!</f>
        <v>-0.47406373302300298</v>
      </c>
      <c r="S145" s="25">
        <f>#REF!-#REF!</f>
        <v>-1.9741784652758554E-2</v>
      </c>
      <c r="T145" s="25">
        <f>#REF!-#REF!</f>
        <v>-1.0808831506885497E-2</v>
      </c>
      <c r="U145" s="25">
        <f>#REF!-#REF!</f>
        <v>0</v>
      </c>
      <c r="V145" s="25">
        <f>#REF!-#REF!</f>
        <v>0</v>
      </c>
      <c r="W145" s="25">
        <f>#REF!-#REF!</f>
        <v>-1.9741784652758554E-2</v>
      </c>
      <c r="X145" s="25">
        <f>#REF!-#REF!</f>
        <v>-1.0808831506885497E-2</v>
      </c>
      <c r="Y145" s="25">
        <f>#REF!-#REF!</f>
        <v>0</v>
      </c>
      <c r="Z145" s="25">
        <f>#REF!-#REF!</f>
        <v>0</v>
      </c>
      <c r="AA145" s="12">
        <v>181.71174374815001</v>
      </c>
      <c r="AB145" s="13">
        <v>99.489061173690004</v>
      </c>
      <c r="AC145">
        <f t="shared" si="36"/>
        <v>1</v>
      </c>
      <c r="AD145">
        <f t="shared" si="37"/>
        <v>1.020134824339487</v>
      </c>
      <c r="AE145">
        <f t="shared" si="38"/>
        <v>1.020134824339487</v>
      </c>
      <c r="AF145">
        <f t="shared" si="39"/>
        <v>0</v>
      </c>
      <c r="AG145">
        <f t="shared" si="40"/>
        <v>0</v>
      </c>
      <c r="AH145">
        <f t="shared" si="41"/>
        <v>0</v>
      </c>
      <c r="AI145" t="e">
        <f t="shared" si="42"/>
        <v>#DIV/0!</v>
      </c>
      <c r="AJ145" t="e">
        <f t="shared" si="43"/>
        <v>#DIV/0!</v>
      </c>
      <c r="AK145">
        <f t="shared" si="44"/>
        <v>7.9919071648164482E-3</v>
      </c>
      <c r="AL145">
        <f t="shared" si="45"/>
        <v>1.4596814661431066E-2</v>
      </c>
    </row>
    <row r="146" spans="1:38" x14ac:dyDescent="0.35">
      <c r="A146" s="19" t="s">
        <v>59</v>
      </c>
      <c r="B146" s="23" t="s">
        <v>69</v>
      </c>
      <c r="C146" s="25">
        <v>0</v>
      </c>
      <c r="D146" s="25">
        <f>#REF!-#REF!</f>
        <v>0.34098922567069284</v>
      </c>
      <c r="E146" s="25">
        <v>0</v>
      </c>
      <c r="F146" s="25">
        <f>#REF!-#REF!</f>
        <v>0.1</v>
      </c>
      <c r="G146" s="25">
        <f>#REF!-#REF!</f>
        <v>0.18483194669322733</v>
      </c>
      <c r="H146" s="25">
        <f>#REF!-#REF!</f>
        <v>0.31410316138480565</v>
      </c>
      <c r="I146" s="25">
        <v>0</v>
      </c>
      <c r="J146" s="25">
        <v>0</v>
      </c>
      <c r="K146" s="25">
        <f>#REF!-#REF!</f>
        <v>-2.6764281263188883</v>
      </c>
      <c r="L146" s="25">
        <f>#REF!-#REF!</f>
        <v>-1.7746550232987701</v>
      </c>
      <c r="M146" s="25">
        <f>#REF!-#REF!</f>
        <v>0.67632467828768994</v>
      </c>
      <c r="N146" s="25">
        <f>#REF!-#REF!</f>
        <v>0.44844954956999583</v>
      </c>
      <c r="O146" s="25">
        <f>#REF!-#REF!</f>
        <v>-3.3527528046065784</v>
      </c>
      <c r="P146" s="25">
        <f>#REF!-#REF!</f>
        <v>-2.2231045728687659</v>
      </c>
      <c r="Q146" s="25">
        <f>#REF!-#REF!</f>
        <v>0.19834194964882682</v>
      </c>
      <c r="R146" s="25">
        <f>#REF!-#REF!</f>
        <v>0.13151428720011285</v>
      </c>
      <c r="S146" s="25">
        <f>#REF!-#REF!</f>
        <v>0.36659928664522656</v>
      </c>
      <c r="T146" s="25">
        <f>#REF!-#REF!</f>
        <v>0.24308041721169005</v>
      </c>
      <c r="U146" s="25">
        <f>#REF!-#REF!</f>
        <v>0.62299833419922468</v>
      </c>
      <c r="V146" s="25">
        <f>#REF!-#REF!</f>
        <v>0.41309053376824723</v>
      </c>
      <c r="W146" s="25">
        <f>#REF!-#REF!</f>
        <v>-0.25639904755399812</v>
      </c>
      <c r="X146" s="25">
        <f>#REF!-#REF!</f>
        <v>-0.17001011655655685</v>
      </c>
      <c r="Y146" s="25">
        <f>#REF!-#REF!</f>
        <v>-0.22673686038150731</v>
      </c>
      <c r="Z146" s="25">
        <f>#REF!-#REF!</f>
        <v>-0.1503420563721469</v>
      </c>
      <c r="AA146" s="12">
        <v>76.037366075549997</v>
      </c>
      <c r="AB146" s="13">
        <v>50.417977728389999</v>
      </c>
      <c r="AC146">
        <f t="shared" si="36"/>
        <v>0</v>
      </c>
      <c r="AD146">
        <f t="shared" si="37"/>
        <v>0</v>
      </c>
      <c r="AE146" t="e">
        <f t="shared" si="38"/>
        <v>#DIV/0!</v>
      </c>
      <c r="AF146">
        <f t="shared" si="39"/>
        <v>1.8448608683251371</v>
      </c>
      <c r="AG146" t="e">
        <f t="shared" si="40"/>
        <v>#DIV/0!</v>
      </c>
      <c r="AH146">
        <f t="shared" si="41"/>
        <v>1</v>
      </c>
      <c r="AI146">
        <f t="shared" si="42"/>
        <v>1.6993986537734989</v>
      </c>
      <c r="AJ146">
        <f t="shared" si="43"/>
        <v>0</v>
      </c>
      <c r="AK146">
        <f t="shared" si="44"/>
        <v>2.4308041721169049E-3</v>
      </c>
      <c r="AL146">
        <f t="shared" si="45"/>
        <v>3.6659928664522735E-3</v>
      </c>
    </row>
    <row r="147" spans="1:38" x14ac:dyDescent="0.35">
      <c r="A147" s="15" t="s">
        <v>60</v>
      </c>
      <c r="B147" s="22" t="s">
        <v>69</v>
      </c>
      <c r="C147" s="25">
        <v>0</v>
      </c>
      <c r="D147" s="25">
        <f>#REF!-#REF!</f>
        <v>2.5312199052560214</v>
      </c>
      <c r="E147" s="25">
        <v>0</v>
      </c>
      <c r="F147" s="25">
        <f>#REF!-#REF!</f>
        <v>1.9866714963131784</v>
      </c>
      <c r="G147" s="25">
        <v>0</v>
      </c>
      <c r="H147" s="25">
        <v>0</v>
      </c>
      <c r="I147" s="25">
        <v>0</v>
      </c>
      <c r="J147" s="25">
        <f>#REF!-#REF!</f>
        <v>0</v>
      </c>
      <c r="K147" s="25">
        <f>#REF!-#REF!</f>
        <v>-0.98570984582049714</v>
      </c>
      <c r="L147" s="25">
        <f>#REF!-#REF!</f>
        <v>-1.0402295194879061</v>
      </c>
      <c r="M147" s="25">
        <f>#REF!-#REF!</f>
        <v>0.46037139491832468</v>
      </c>
      <c r="N147" s="25">
        <f>#REF!-#REF!</f>
        <v>0.48583456577248674</v>
      </c>
      <c r="O147" s="25">
        <f>#REF!-#REF!</f>
        <v>-1.4460812407388217</v>
      </c>
      <c r="P147" s="25">
        <f>#REF!-#REF!</f>
        <v>-1.5260640852603933</v>
      </c>
      <c r="Q147" s="25">
        <f>#REF!-#REF!</f>
        <v>0.3613304107252846</v>
      </c>
      <c r="R147" s="25">
        <f>#REF!-#REF!</f>
        <v>0.3813156185046136</v>
      </c>
      <c r="S147" s="25">
        <f>#REF!-#REF!</f>
        <v>-2.6907545603234162E-2</v>
      </c>
      <c r="T147" s="25">
        <f>#REF!-#REF!</f>
        <v>-2.8395803645596907E-2</v>
      </c>
      <c r="U147" s="25">
        <f>#REF!-#REF!</f>
        <v>-1.2029739532206929E-3</v>
      </c>
      <c r="V147" s="25">
        <f>#REF!-#REF!</f>
        <v>-1.269510518355027E-3</v>
      </c>
      <c r="W147" s="25">
        <f>#REF!-#REF!</f>
        <v>-2.5704571650013719E-2</v>
      </c>
      <c r="X147" s="25">
        <f>#REF!-#REF!</f>
        <v>-2.7126293127241574E-2</v>
      </c>
      <c r="Y147" s="25">
        <f>#REF!-#REF!</f>
        <v>0</v>
      </c>
      <c r="Z147" s="25">
        <f>#REF!-#REF!</f>
        <v>0</v>
      </c>
      <c r="AA147" s="12">
        <v>521.00449074291998</v>
      </c>
      <c r="AB147" s="13">
        <v>549.82128194673999</v>
      </c>
      <c r="AC147" t="e">
        <f t="shared" si="36"/>
        <v>#DIV/0!</v>
      </c>
      <c r="AD147" t="e">
        <f t="shared" si="37"/>
        <v>#DIV/0!</v>
      </c>
      <c r="AE147" t="e">
        <f t="shared" si="38"/>
        <v>#DIV/0!</v>
      </c>
      <c r="AF147" t="e">
        <f t="shared" si="39"/>
        <v>#DIV/0!</v>
      </c>
      <c r="AG147" t="e">
        <f t="shared" si="40"/>
        <v>#DIV/0!</v>
      </c>
      <c r="AH147" t="e">
        <f t="shared" si="41"/>
        <v>#DIV/0!</v>
      </c>
      <c r="AI147" t="e">
        <f t="shared" si="42"/>
        <v>#DIV/0!</v>
      </c>
      <c r="AJ147" t="e">
        <f t="shared" si="43"/>
        <v>#DIV/0!</v>
      </c>
      <c r="AK147">
        <f t="shared" si="44"/>
        <v>0</v>
      </c>
      <c r="AL147">
        <f t="shared" si="45"/>
        <v>0</v>
      </c>
    </row>
    <row r="148" spans="1:38" x14ac:dyDescent="0.35">
      <c r="A148" s="15" t="s">
        <v>61</v>
      </c>
      <c r="B148" s="22" t="s">
        <v>69</v>
      </c>
      <c r="C148" s="25">
        <f>#REF!-#REF!</f>
        <v>5.7337721328573252</v>
      </c>
      <c r="D148" s="25">
        <f>#REF!-#REF!</f>
        <v>0.41206821103311331</v>
      </c>
      <c r="E148" s="25">
        <f>#REF!-#REF!</f>
        <v>5.3217039218242164</v>
      </c>
      <c r="F148" s="25">
        <f>#REF!-#REF!</f>
        <v>0</v>
      </c>
      <c r="G148" s="25">
        <v>0</v>
      </c>
      <c r="H148" s="25">
        <v>0</v>
      </c>
      <c r="I148" s="25">
        <v>0</v>
      </c>
      <c r="J148" s="25">
        <f>#REF!-#REF!</f>
        <v>0</v>
      </c>
      <c r="K148" s="25">
        <f>#REF!-#REF!</f>
        <v>0.76746045418638786</v>
      </c>
      <c r="L148" s="25">
        <f>#REF!-#REF!</f>
        <v>0.97048648487860856</v>
      </c>
      <c r="M148" s="25">
        <f>#REF!-#REF!</f>
        <v>5.5154974607902474E-2</v>
      </c>
      <c r="N148" s="25">
        <f>#REF!-#REF!</f>
        <v>6.9745818352996869E-2</v>
      </c>
      <c r="O148" s="25">
        <f>#REF!-#REF!</f>
        <v>0.71230547957848511</v>
      </c>
      <c r="P148" s="25">
        <f>#REF!-#REF!</f>
        <v>0.90074066652561235</v>
      </c>
      <c r="Q148" s="25">
        <f>#REF!-#REF!</f>
        <v>0</v>
      </c>
      <c r="R148" s="25">
        <f>#REF!-#REF!</f>
        <v>0</v>
      </c>
      <c r="S148" s="25">
        <f>#REF!-#REF!</f>
        <v>-4.6530785919462581E-2</v>
      </c>
      <c r="T148" s="25">
        <f>#REF!-#REF!</f>
        <v>-5.8840163840743642E-2</v>
      </c>
      <c r="U148" s="25">
        <f>#REF!-#REF!</f>
        <v>-2.199039101508074E-2</v>
      </c>
      <c r="V148" s="25">
        <f>#REF!-#REF!</f>
        <v>-2.7807787568620207E-2</v>
      </c>
      <c r="W148" s="25">
        <f>#REF!-#REF!</f>
        <v>-2.454039490438209E-2</v>
      </c>
      <c r="X148" s="25">
        <f>#REF!-#REF!</f>
        <v>-3.1032376272123408E-2</v>
      </c>
      <c r="Y148" s="25">
        <f>#REF!-#REF!</f>
        <v>0</v>
      </c>
      <c r="Z148" s="25">
        <f>#REF!-#REF!</f>
        <v>0</v>
      </c>
      <c r="AA148" s="12">
        <v>590.81421763174001</v>
      </c>
      <c r="AB148" s="13">
        <v>747.10978286638999</v>
      </c>
      <c r="AC148">
        <f t="shared" si="36"/>
        <v>1</v>
      </c>
      <c r="AD148">
        <f t="shared" si="37"/>
        <v>0.92813313792646968</v>
      </c>
      <c r="AE148">
        <f t="shared" si="38"/>
        <v>0.92813313792646968</v>
      </c>
      <c r="AF148">
        <f t="shared" si="39"/>
        <v>7.1866862073531046E-2</v>
      </c>
      <c r="AG148">
        <f t="shared" si="40"/>
        <v>7.1866862073531046E-2</v>
      </c>
      <c r="AH148">
        <f t="shared" si="41"/>
        <v>0</v>
      </c>
      <c r="AI148" t="e">
        <f t="shared" si="42"/>
        <v>#DIV/0!</v>
      </c>
      <c r="AJ148" t="e">
        <f t="shared" si="43"/>
        <v>#DIV/0!</v>
      </c>
      <c r="AK148">
        <f t="shared" si="44"/>
        <v>9.7048648487860836E-3</v>
      </c>
      <c r="AL148">
        <f t="shared" si="45"/>
        <v>7.6746045418638687E-3</v>
      </c>
    </row>
    <row r="149" spans="1:38" x14ac:dyDescent="0.35">
      <c r="A149" s="9" t="s">
        <v>62</v>
      </c>
      <c r="B149" s="22" t="s">
        <v>69</v>
      </c>
      <c r="C149" s="25">
        <f>#REF!-#REF!</f>
        <v>0.1488650164938079</v>
      </c>
      <c r="D149" s="25">
        <f>#REF!-#REF!</f>
        <v>0.46869556347929597</v>
      </c>
      <c r="E149" s="25">
        <v>0</v>
      </c>
      <c r="F149" s="25">
        <v>0</v>
      </c>
      <c r="G149" s="25">
        <f>#REF!-#REF!</f>
        <v>0</v>
      </c>
      <c r="H149" s="25">
        <f>#REF!-#REF!</f>
        <v>0</v>
      </c>
      <c r="I149" s="25">
        <f>#REF!-#REF!</f>
        <v>0</v>
      </c>
      <c r="J149" s="25">
        <v>0</v>
      </c>
      <c r="K149" s="25">
        <f>#REF!-#REF!</f>
        <v>5.6827502229728211E-2</v>
      </c>
      <c r="L149" s="25">
        <f>#REF!-#REF!</f>
        <v>3.3734157301740453E-2</v>
      </c>
      <c r="M149" s="25">
        <f>#REF!-#REF!</f>
        <v>0.17891912288063327</v>
      </c>
      <c r="N149" s="25">
        <f>#REF!-#REF!</f>
        <v>0.1062106479912665</v>
      </c>
      <c r="O149" s="25">
        <f>#REF!-#REF!</f>
        <v>-0.12209162065090506</v>
      </c>
      <c r="P149" s="25">
        <f>#REF!-#REF!</f>
        <v>-7.2476490689526329E-2</v>
      </c>
      <c r="Q149" s="25">
        <f>#REF!-#REF!</f>
        <v>-0.98280568177438288</v>
      </c>
      <c r="R149" s="25">
        <f>#REF!-#REF!</f>
        <v>-0.58341683454594284</v>
      </c>
      <c r="S149" s="25">
        <f>#REF!-#REF!</f>
        <v>0</v>
      </c>
      <c r="T149" s="25">
        <f>#REF!-#REF!</f>
        <v>0</v>
      </c>
      <c r="U149" s="25">
        <f>#REF!-#REF!</f>
        <v>0</v>
      </c>
      <c r="V149" s="25">
        <f>#REF!-#REF!</f>
        <v>0</v>
      </c>
      <c r="W149" s="25">
        <f>#REF!-#REF!</f>
        <v>0</v>
      </c>
      <c r="X149" s="25">
        <f>#REF!-#REF!</f>
        <v>0</v>
      </c>
      <c r="Y149" s="25">
        <f>#REF!-#REF!</f>
        <v>-0.42534524921424066</v>
      </c>
      <c r="Z149" s="25">
        <f>#REF!-#REF!</f>
        <v>-0.252495059285478</v>
      </c>
      <c r="AA149" s="12">
        <v>441.28867711817003</v>
      </c>
      <c r="AB149" s="13">
        <v>261.95945739796002</v>
      </c>
      <c r="AC149">
        <f t="shared" si="36"/>
        <v>1</v>
      </c>
      <c r="AD149">
        <f t="shared" si="37"/>
        <v>0</v>
      </c>
      <c r="AE149">
        <f t="shared" si="38"/>
        <v>0</v>
      </c>
      <c r="AF149">
        <f t="shared" si="39"/>
        <v>3.1484600916884427</v>
      </c>
      <c r="AG149">
        <f t="shared" si="40"/>
        <v>3.1484600916884427</v>
      </c>
      <c r="AH149">
        <f t="shared" si="41"/>
        <v>0</v>
      </c>
      <c r="AI149" t="e">
        <f t="shared" si="42"/>
        <v>#DIV/0!</v>
      </c>
      <c r="AJ149" t="e">
        <f t="shared" si="43"/>
        <v>#DIV/0!</v>
      </c>
      <c r="AK149">
        <f t="shared" si="44"/>
        <v>3.3734157301739298E-4</v>
      </c>
      <c r="AL149">
        <f t="shared" si="45"/>
        <v>5.6827502229727538E-4</v>
      </c>
    </row>
    <row r="150" spans="1:38" x14ac:dyDescent="0.35">
      <c r="A150" s="9" t="s">
        <v>63</v>
      </c>
      <c r="B150" s="22" t="s">
        <v>69</v>
      </c>
      <c r="C150" s="25">
        <f>#REF!-#REF!</f>
        <v>4.0098421863494309</v>
      </c>
      <c r="D150" s="25">
        <f>#REF!-#REF!</f>
        <v>0.54698847303368625</v>
      </c>
      <c r="E150" s="25">
        <f>#REF!-#REF!</f>
        <v>3.4628537133157442</v>
      </c>
      <c r="F150" s="25">
        <f>#REF!-#REF!</f>
        <v>2.4757725592319257E-3</v>
      </c>
      <c r="G150" s="25">
        <f>#REF!-#REF!</f>
        <v>8.4973082357751313</v>
      </c>
      <c r="H150" s="25">
        <f>#REF!-#REF!</f>
        <v>7.6160721771276307</v>
      </c>
      <c r="I150" s="25">
        <f>#REF!-#REF!</f>
        <v>0.88123605864749965</v>
      </c>
      <c r="J150" s="25">
        <f>#REF!-#REF!</f>
        <v>0</v>
      </c>
      <c r="K150" s="25">
        <f>#REF!-#REF!</f>
        <v>1.2475955934881124</v>
      </c>
      <c r="L150" s="25">
        <f>#REF!-#REF!</f>
        <v>0.58074170428682947</v>
      </c>
      <c r="M150" s="25">
        <f>#REF!-#REF!</f>
        <v>0.17018635071693311</v>
      </c>
      <c r="N150" s="25">
        <f>#REF!-#REF!</f>
        <v>7.9219830430292071E-2</v>
      </c>
      <c r="O150" s="25">
        <f>#REF!-#REF!</f>
        <v>1.0774092427711794</v>
      </c>
      <c r="P150" s="25">
        <f>#REF!-#REF!</f>
        <v>0.50152187385653735</v>
      </c>
      <c r="Q150" s="25">
        <f>#REF!-#REF!</f>
        <v>7.7029538616046195E-4</v>
      </c>
      <c r="R150" s="25">
        <f>#REF!-#REF!</f>
        <v>3.5856383085836052E-4</v>
      </c>
      <c r="S150" s="25">
        <f>#REF!-#REF!</f>
        <v>2.6437958948989615</v>
      </c>
      <c r="T150" s="25">
        <f>#REF!-#REF!</f>
        <v>1.230657227232965</v>
      </c>
      <c r="U150" s="25">
        <f>#REF!-#REF!</f>
        <v>2.3696139763850126</v>
      </c>
      <c r="V150" s="25">
        <f>#REF!-#REF!</f>
        <v>1.1030286306961337</v>
      </c>
      <c r="W150" s="25">
        <f>#REF!-#REF!</f>
        <v>0.27418191851394846</v>
      </c>
      <c r="X150" s="25">
        <f>#REF!-#REF!</f>
        <v>0.12762859653683134</v>
      </c>
      <c r="Y150" s="25">
        <f>#REF!-#REF!</f>
        <v>0</v>
      </c>
      <c r="Z150" s="25">
        <f>#REF!-#REF!</f>
        <v>0</v>
      </c>
      <c r="AA150" s="12">
        <v>690.46912883131995</v>
      </c>
      <c r="AB150" s="13">
        <v>321.40560669490998</v>
      </c>
      <c r="AC150">
        <f t="shared" si="36"/>
        <v>0.32060397860540707</v>
      </c>
      <c r="AD150">
        <f t="shared" si="37"/>
        <v>0.27686991812220618</v>
      </c>
      <c r="AE150">
        <f t="shared" si="38"/>
        <v>0.86358852852219947</v>
      </c>
      <c r="AF150">
        <f t="shared" si="39"/>
        <v>4.3734060483200818E-2</v>
      </c>
      <c r="AG150">
        <f t="shared" si="40"/>
        <v>0.13641147147780042</v>
      </c>
      <c r="AH150">
        <f t="shared" si="41"/>
        <v>0.67939602139459299</v>
      </c>
      <c r="AI150">
        <f t="shared" si="42"/>
        <v>0.89629232761766309</v>
      </c>
      <c r="AJ150">
        <f t="shared" si="43"/>
        <v>0.1037076723823368</v>
      </c>
      <c r="AK150">
        <f t="shared" si="44"/>
        <v>1.8113989315197945E-2</v>
      </c>
      <c r="AL150">
        <f t="shared" si="45"/>
        <v>3.8913914883870741E-2</v>
      </c>
    </row>
    <row r="151" spans="1:38" x14ac:dyDescent="0.35">
      <c r="A151" s="9" t="s">
        <v>64</v>
      </c>
      <c r="B151" s="22" t="s">
        <v>69</v>
      </c>
      <c r="C151" s="25">
        <v>0</v>
      </c>
      <c r="D151" s="25">
        <v>0</v>
      </c>
      <c r="E151" s="25">
        <v>0</v>
      </c>
      <c r="F151" s="25">
        <v>0</v>
      </c>
      <c r="G151" s="25">
        <f>#REF!-#REF!</f>
        <v>0</v>
      </c>
      <c r="H151" s="25">
        <f>#REF!-#REF!</f>
        <v>0</v>
      </c>
      <c r="I151" s="25">
        <f>#REF!-#REF!</f>
        <v>0</v>
      </c>
      <c r="J151" s="25">
        <f>#REF!-#REF!</f>
        <v>0</v>
      </c>
      <c r="K151" s="25">
        <f>#REF!-#REF!</f>
        <v>-7.7115026817946575E-3</v>
      </c>
      <c r="L151" s="25">
        <f>#REF!-#REF!</f>
        <v>-5.4419247585321129E-3</v>
      </c>
      <c r="M151" s="25">
        <f>#REF!-#REF!</f>
        <v>-1.7795775419526816E-3</v>
      </c>
      <c r="N151" s="25">
        <f>#REF!-#REF!</f>
        <v>-1.2558287904305132E-3</v>
      </c>
      <c r="O151" s="25">
        <f>#REF!-#REF!</f>
        <v>-5.9319251398419759E-3</v>
      </c>
      <c r="P151" s="25">
        <f>#REF!-#REF!</f>
        <v>-4.1860959681015997E-3</v>
      </c>
      <c r="Q151" s="25">
        <f>#REF!-#REF!</f>
        <v>-3.6840377184282902E-3</v>
      </c>
      <c r="R151" s="25">
        <f>#REF!-#REF!</f>
        <v>-2.5997859170315274E-3</v>
      </c>
      <c r="S151" s="25">
        <f>#REF!-#REF!</f>
        <v>0</v>
      </c>
      <c r="T151" s="25">
        <f>#REF!-#REF!</f>
        <v>0</v>
      </c>
      <c r="U151" s="25">
        <f>#REF!-#REF!</f>
        <v>0</v>
      </c>
      <c r="V151" s="25">
        <f>#REF!-#REF!</f>
        <v>0</v>
      </c>
      <c r="W151" s="25">
        <f>#REF!-#REF!</f>
        <v>0</v>
      </c>
      <c r="X151" s="25">
        <f>#REF!-#REF!</f>
        <v>0</v>
      </c>
      <c r="Y151" s="25">
        <f>#REF!-#REF!</f>
        <v>0</v>
      </c>
      <c r="Z151" s="25">
        <f>#REF!-#REF!</f>
        <v>0</v>
      </c>
      <c r="AA151" s="12">
        <v>91.233487908610002</v>
      </c>
      <c r="AB151" s="13">
        <v>64.38249419652</v>
      </c>
      <c r="AC151" t="e">
        <f t="shared" si="36"/>
        <v>#DIV/0!</v>
      </c>
      <c r="AD151" t="e">
        <f t="shared" si="37"/>
        <v>#DIV/0!</v>
      </c>
      <c r="AE151" t="e">
        <f t="shared" si="38"/>
        <v>#DIV/0!</v>
      </c>
      <c r="AF151" t="e">
        <f t="shared" si="39"/>
        <v>#DIV/0!</v>
      </c>
      <c r="AG151" t="e">
        <f t="shared" si="40"/>
        <v>#DIV/0!</v>
      </c>
      <c r="AH151" t="e">
        <f t="shared" si="41"/>
        <v>#DIV/0!</v>
      </c>
      <c r="AI151" t="e">
        <f t="shared" si="42"/>
        <v>#DIV/0!</v>
      </c>
      <c r="AJ151" t="e">
        <f t="shared" si="43"/>
        <v>#DIV/0!</v>
      </c>
      <c r="AK151">
        <f t="shared" si="44"/>
        <v>0</v>
      </c>
      <c r="AL151">
        <f t="shared" si="45"/>
        <v>0</v>
      </c>
    </row>
    <row r="152" spans="1:38" x14ac:dyDescent="0.35">
      <c r="A152" s="9" t="s">
        <v>65</v>
      </c>
      <c r="B152" s="22" t="s">
        <v>69</v>
      </c>
      <c r="C152" s="25">
        <v>0</v>
      </c>
      <c r="D152" s="25">
        <f>#REF!-#REF!</f>
        <v>0</v>
      </c>
      <c r="E152" s="25">
        <v>0</v>
      </c>
      <c r="F152" s="25">
        <f>#REF!-#REF!</f>
        <v>0</v>
      </c>
      <c r="G152" s="25">
        <f>#REF!-#REF!</f>
        <v>0</v>
      </c>
      <c r="H152" s="25">
        <f>#REF!-#REF!</f>
        <v>0</v>
      </c>
      <c r="I152" s="25">
        <f>#REF!-#REF!</f>
        <v>0</v>
      </c>
      <c r="J152" s="25">
        <f>#REF!-#REF!</f>
        <v>0</v>
      </c>
      <c r="K152" s="25">
        <f>#REF!-#REF!</f>
        <v>-0.13001073313003442</v>
      </c>
      <c r="L152" s="25">
        <f>#REF!-#REF!</f>
        <v>-6.1833593114673846E-2</v>
      </c>
      <c r="M152" s="25">
        <f>#REF!-#REF!</f>
        <v>0</v>
      </c>
      <c r="N152" s="25">
        <f>#REF!-#REF!</f>
        <v>0</v>
      </c>
      <c r="O152" s="25">
        <f>#REF!-#REF!</f>
        <v>-0.13001073313003442</v>
      </c>
      <c r="P152" s="25">
        <f>#REF!-#REF!</f>
        <v>-6.1833593114673624E-2</v>
      </c>
      <c r="Q152" s="25">
        <f>#REF!-#REF!</f>
        <v>0</v>
      </c>
      <c r="R152" s="25">
        <f>#REF!-#REF!</f>
        <v>0</v>
      </c>
      <c r="S152" s="25">
        <f>#REF!-#REF!</f>
        <v>0</v>
      </c>
      <c r="T152" s="25">
        <f>#REF!-#REF!</f>
        <v>0</v>
      </c>
      <c r="U152" s="25">
        <f>#REF!-#REF!</f>
        <v>0</v>
      </c>
      <c r="V152" s="25">
        <f>#REF!-#REF!</f>
        <v>0</v>
      </c>
      <c r="W152" s="25">
        <f>#REF!-#REF!</f>
        <v>0</v>
      </c>
      <c r="X152" s="25">
        <f>#REF!-#REF!</f>
        <v>0</v>
      </c>
      <c r="Y152" s="25">
        <f>#REF!-#REF!</f>
        <v>0</v>
      </c>
      <c r="Z152" s="25">
        <f>#REF!-#REF!</f>
        <v>0</v>
      </c>
      <c r="AA152" s="12">
        <v>309.88816247970999</v>
      </c>
      <c r="AB152" s="13">
        <v>147.38397429586999</v>
      </c>
      <c r="AC152" t="e">
        <f t="shared" si="36"/>
        <v>#DIV/0!</v>
      </c>
      <c r="AD152" t="e">
        <f t="shared" si="37"/>
        <v>#DIV/0!</v>
      </c>
      <c r="AE152" t="e">
        <f t="shared" si="38"/>
        <v>#DIV/0!</v>
      </c>
      <c r="AF152" t="e">
        <f t="shared" si="39"/>
        <v>#DIV/0!</v>
      </c>
      <c r="AG152" t="e">
        <f t="shared" si="40"/>
        <v>#DIV/0!</v>
      </c>
      <c r="AH152" t="e">
        <f t="shared" si="41"/>
        <v>#DIV/0!</v>
      </c>
      <c r="AI152" t="e">
        <f t="shared" si="42"/>
        <v>#DIV/0!</v>
      </c>
      <c r="AJ152" t="e">
        <f t="shared" si="43"/>
        <v>#DIV/0!</v>
      </c>
      <c r="AK152">
        <f t="shared" si="44"/>
        <v>0</v>
      </c>
      <c r="AL152">
        <f t="shared" si="45"/>
        <v>0</v>
      </c>
    </row>
    <row r="153" spans="1:38" x14ac:dyDescent="0.35">
      <c r="A153" s="9" t="s">
        <v>66</v>
      </c>
      <c r="B153" s="22" t="s">
        <v>69</v>
      </c>
      <c r="C153" s="25">
        <f>#REF!-#REF!</f>
        <v>5.989153123818987</v>
      </c>
      <c r="D153" s="25">
        <v>0</v>
      </c>
      <c r="E153" s="25">
        <f>#REF!-#REF!</f>
        <v>5.9933020943565296</v>
      </c>
      <c r="F153" s="25">
        <f>#REF!-#REF!</f>
        <v>0</v>
      </c>
      <c r="G153" s="25">
        <f>#REF!-#REF!</f>
        <v>2.4919180275215354</v>
      </c>
      <c r="H153" s="25">
        <f>#REF!-#REF!</f>
        <v>2.5280384769071915</v>
      </c>
      <c r="I153" s="25">
        <v>0</v>
      </c>
      <c r="J153" s="25">
        <f>#REF!-#REF!</f>
        <v>0</v>
      </c>
      <c r="K153" s="25">
        <f>#REF!-#REF!</f>
        <v>1.047965084417287</v>
      </c>
      <c r="L153" s="25">
        <f>#REF!-#REF!</f>
        <v>0.49276291212012424</v>
      </c>
      <c r="M153" s="25">
        <f>#REF!-#REF!</f>
        <v>-7.2597513700684013E-4</v>
      </c>
      <c r="N153" s="25">
        <f>#REF!-#REF!</f>
        <v>-3.4136024945638499E-4</v>
      </c>
      <c r="O153" s="25">
        <f>#REF!-#REF!</f>
        <v>1.0486910595542938</v>
      </c>
      <c r="P153" s="25">
        <f>#REF!-#REF!</f>
        <v>0.49310427236958088</v>
      </c>
      <c r="Q153" s="25">
        <f>#REF!-#REF!</f>
        <v>0</v>
      </c>
      <c r="R153" s="25">
        <f>#REF!-#REF!</f>
        <v>0</v>
      </c>
      <c r="S153" s="25">
        <f>#REF!-#REF!</f>
        <v>0.43602877269689433</v>
      </c>
      <c r="T153" s="25">
        <f>#REF!-#REF!</f>
        <v>0.20502477706283084</v>
      </c>
      <c r="U153" s="25">
        <f>#REF!-#REF!</f>
        <v>0.44234902683083654</v>
      </c>
      <c r="V153" s="25">
        <f>#REF!-#REF!</f>
        <v>0.20799661923456947</v>
      </c>
      <c r="W153" s="25">
        <f>#REF!-#REF!</f>
        <v>-6.3202541339419938E-3</v>
      </c>
      <c r="X153" s="25">
        <f>#REF!-#REF!</f>
        <v>-2.9718421717381815E-3</v>
      </c>
      <c r="Y153" s="25">
        <f>#REF!-#REF!</f>
        <v>0</v>
      </c>
      <c r="Z153" s="25">
        <f>#REF!-#REF!</f>
        <v>0</v>
      </c>
      <c r="AA153" s="12">
        <v>1215.4228689920101</v>
      </c>
      <c r="AB153" s="13">
        <v>571.50311712429004</v>
      </c>
      <c r="AC153">
        <f t="shared" si="36"/>
        <v>0.70617885606022046</v>
      </c>
      <c r="AD153">
        <f t="shared" si="37"/>
        <v>0.70666805966003776</v>
      </c>
      <c r="AE153">
        <f t="shared" si="38"/>
        <v>1.0006927474472211</v>
      </c>
      <c r="AF153">
        <f t="shared" si="39"/>
        <v>0</v>
      </c>
      <c r="AG153">
        <f t="shared" si="40"/>
        <v>0</v>
      </c>
      <c r="AH153">
        <f t="shared" si="41"/>
        <v>0.29382114393977954</v>
      </c>
      <c r="AI153">
        <f t="shared" si="42"/>
        <v>1.0144950391572798</v>
      </c>
      <c r="AJ153">
        <f t="shared" si="43"/>
        <v>0</v>
      </c>
      <c r="AK153">
        <f t="shared" si="44"/>
        <v>6.9778768918295504E-3</v>
      </c>
      <c r="AL153">
        <f t="shared" si="45"/>
        <v>1.4839938571141801E-2</v>
      </c>
    </row>
    <row r="154" spans="1:38" x14ac:dyDescent="0.35">
      <c r="A154" s="9" t="s">
        <v>28</v>
      </c>
      <c r="B154" s="22" t="s">
        <v>70</v>
      </c>
      <c r="C154" s="25">
        <f>#REF!-#REF!</f>
        <v>0.8303883820210558</v>
      </c>
      <c r="D154" s="25">
        <f>#REF!-#REF!</f>
        <v>9.8710831084147799E-5</v>
      </c>
      <c r="E154" s="25">
        <f>#REF!-#REF!</f>
        <v>0.83028967118997343</v>
      </c>
      <c r="F154" s="25">
        <f>#REF!-#REF!</f>
        <v>0</v>
      </c>
      <c r="G154" s="25">
        <f>#REF!-#REF!</f>
        <v>2.0812524626023787E-4</v>
      </c>
      <c r="H154" s="25">
        <f>#REF!-#REF!</f>
        <v>8.9196534112545578E-5</v>
      </c>
      <c r="I154" s="25">
        <f>#REF!-#REF!</f>
        <v>1.1892871214769229E-4</v>
      </c>
      <c r="J154" s="25">
        <f>#REF!-#REF!</f>
        <v>0</v>
      </c>
      <c r="K154" s="25">
        <f>#REF!-#REF!</f>
        <v>5.5552794872685496E-2</v>
      </c>
      <c r="L154" s="25">
        <f>#REF!-#REF!</f>
        <v>6.7703036362789959E-2</v>
      </c>
      <c r="M154" s="25">
        <f>#REF!-#REF!</f>
        <v>6.6037322652423569E-6</v>
      </c>
      <c r="N154" s="25">
        <f>#REF!-#REF!</f>
        <v>8.0480689891304635E-6</v>
      </c>
      <c r="O154" s="25">
        <f>#REF!-#REF!</f>
        <v>5.5546191140420476E-2</v>
      </c>
      <c r="P154" s="25">
        <f>#REF!-#REF!</f>
        <v>6.7694988293798275E-2</v>
      </c>
      <c r="Q154" s="25">
        <f>#REF!-#REF!</f>
        <v>0</v>
      </c>
      <c r="R154" s="25">
        <f>#REF!-#REF!</f>
        <v>0</v>
      </c>
      <c r="S154" s="25">
        <f>#REF!-#REF!</f>
        <v>1.3923531884341145E-5</v>
      </c>
      <c r="T154" s="25">
        <f>#REF!-#REF!</f>
        <v>1.6968820157892139E-5</v>
      </c>
      <c r="U154" s="25">
        <f>#REF!-#REF!</f>
        <v>5.9672279504319192E-6</v>
      </c>
      <c r="V154" s="25">
        <f>#REF!-#REF!</f>
        <v>7.2723514963346503E-6</v>
      </c>
      <c r="W154" s="25">
        <f>#REF!-#REF!</f>
        <v>7.9563039337982033E-6</v>
      </c>
      <c r="X154" s="25">
        <f>#REF!-#REF!</f>
        <v>9.6964686615574891E-6</v>
      </c>
      <c r="Y154" s="25">
        <f>#REF!-#REF!</f>
        <v>0</v>
      </c>
      <c r="Z154" s="25">
        <f>#REF!-#REF!</f>
        <v>0</v>
      </c>
      <c r="AA154" s="12">
        <v>1226.51571721458</v>
      </c>
      <c r="AB154" s="13">
        <v>1494.77336635199</v>
      </c>
      <c r="AC154">
        <f t="shared" si="36"/>
        <v>0.9997494267740844</v>
      </c>
      <c r="AD154">
        <f t="shared" si="37"/>
        <v>0.99963058347265132</v>
      </c>
      <c r="AE154">
        <f t="shared" si="38"/>
        <v>0.99988112691215392</v>
      </c>
      <c r="AF154">
        <f t="shared" si="39"/>
        <v>1.1884330143514446E-4</v>
      </c>
      <c r="AG154">
        <f t="shared" si="40"/>
        <v>1.1887308784824114E-4</v>
      </c>
      <c r="AH154">
        <f t="shared" si="41"/>
        <v>2.5057322591564381E-4</v>
      </c>
      <c r="AI154">
        <f t="shared" si="42"/>
        <v>0.42857142857630576</v>
      </c>
      <c r="AJ154">
        <f t="shared" si="43"/>
        <v>0.5714285714236943</v>
      </c>
      <c r="AK154">
        <f t="shared" si="44"/>
        <v>6.7720005182942344E-4</v>
      </c>
      <c r="AL154">
        <f t="shared" si="45"/>
        <v>5.5566718404569614E-4</v>
      </c>
    </row>
    <row r="155" spans="1:38" x14ac:dyDescent="0.35">
      <c r="A155" s="9" t="s">
        <v>30</v>
      </c>
      <c r="B155" s="22" t="s">
        <v>70</v>
      </c>
      <c r="C155" s="25">
        <f>#REF!-#REF!</f>
        <v>0.50948049435228882</v>
      </c>
      <c r="D155" s="25">
        <f>#REF!-#REF!</f>
        <v>8.3203043236338203E-2</v>
      </c>
      <c r="E155" s="25">
        <f>#REF!-#REF!</f>
        <v>0.42627745111596482</v>
      </c>
      <c r="F155" s="25">
        <f>#REF!-#REF!</f>
        <v>0.13419845683279874</v>
      </c>
      <c r="G155" s="25">
        <f>#REF!-#REF!</f>
        <v>0.13988215618101663</v>
      </c>
      <c r="H155" s="25">
        <f>#REF!-#REF!</f>
        <v>8.2097879474187785E-3</v>
      </c>
      <c r="I155" s="25">
        <f>#REF!-#REF!</f>
        <v>0.13167236823359474</v>
      </c>
      <c r="J155" s="25">
        <f>#REF!-#REF!</f>
        <v>0</v>
      </c>
      <c r="K155" s="25">
        <f>#REF!-#REF!</f>
        <v>3.0029409753456804E-2</v>
      </c>
      <c r="L155" s="25">
        <f>#REF!-#REF!</f>
        <v>2.9561009374893032E-2</v>
      </c>
      <c r="M155" s="25">
        <f>#REF!-#REF!</f>
        <v>4.9040901580639229E-3</v>
      </c>
      <c r="N155" s="25">
        <f>#REF!-#REF!</f>
        <v>4.8275958910961592E-3</v>
      </c>
      <c r="O155" s="25">
        <f>#REF!-#REF!</f>
        <v>2.5125319595392881E-2</v>
      </c>
      <c r="P155" s="25">
        <f>#REF!-#REF!</f>
        <v>2.4733413483795985E-2</v>
      </c>
      <c r="Q155" s="25">
        <f>#REF!-#REF!</f>
        <v>7.9098228355860556E-3</v>
      </c>
      <c r="R155" s="25">
        <f>#REF!-#REF!</f>
        <v>7.7864449856388518E-3</v>
      </c>
      <c r="S155" s="25">
        <f>#REF!-#REF!</f>
        <v>8.2448270968589199E-3</v>
      </c>
      <c r="T155" s="25">
        <f>#REF!-#REF!</f>
        <v>8.1162238320890978E-3</v>
      </c>
      <c r="U155" s="25">
        <f>#REF!-#REF!</f>
        <v>4.8389504405943473E-4</v>
      </c>
      <c r="V155" s="25">
        <f>#REF!-#REF!</f>
        <v>4.763472226508858E-4</v>
      </c>
      <c r="W155" s="25">
        <f>#REF!-#REF!</f>
        <v>7.7609320527995962E-3</v>
      </c>
      <c r="X155" s="25">
        <f>#REF!-#REF!</f>
        <v>7.6398766094385451E-3</v>
      </c>
      <c r="Y155" s="25">
        <f>#REF!-#REF!</f>
        <v>0</v>
      </c>
      <c r="Z155" s="25">
        <f>#REF!-#REF!</f>
        <v>0</v>
      </c>
      <c r="AA155" s="12">
        <v>1723.48815255626</v>
      </c>
      <c r="AB155" s="13">
        <v>1696.60508992738</v>
      </c>
      <c r="AC155">
        <f t="shared" si="36"/>
        <v>0.7845854607342525</v>
      </c>
      <c r="AD155">
        <f t="shared" si="37"/>
        <v>0.656455142231962</v>
      </c>
      <c r="AE155">
        <f t="shared" si="38"/>
        <v>0.83669042454294262</v>
      </c>
      <c r="AF155">
        <f t="shared" si="39"/>
        <v>0.12813031850231241</v>
      </c>
      <c r="AG155">
        <f t="shared" si="40"/>
        <v>0.16330957545708524</v>
      </c>
      <c r="AH155">
        <f t="shared" si="41"/>
        <v>0.21541453926574755</v>
      </c>
      <c r="AI155">
        <f t="shared" si="42"/>
        <v>5.8690744920994624E-2</v>
      </c>
      <c r="AJ155">
        <f t="shared" si="43"/>
        <v>0.94130925507898311</v>
      </c>
      <c r="AK155">
        <f t="shared" si="44"/>
        <v>3.7677233206980703E-4</v>
      </c>
      <c r="AL155">
        <f t="shared" si="45"/>
        <v>3.8274236850315013E-4</v>
      </c>
    </row>
    <row r="156" spans="1:38" x14ac:dyDescent="0.35">
      <c r="A156" s="9" t="s">
        <v>31</v>
      </c>
      <c r="B156" s="22" t="s">
        <v>70</v>
      </c>
      <c r="C156" s="25">
        <f>#REF!-#REF!</f>
        <v>0.52520956131547791</v>
      </c>
      <c r="D156" s="25">
        <f>#REF!-#REF!</f>
        <v>1.1950101937878337</v>
      </c>
      <c r="E156" s="25">
        <v>0</v>
      </c>
      <c r="F156" s="25">
        <f>#REF!-#REF!</f>
        <v>16.714601477146751</v>
      </c>
      <c r="G156" s="25">
        <f>#REF!-#REF!</f>
        <v>1.0730574657911234</v>
      </c>
      <c r="H156" s="25">
        <f>#REF!-#REF!</f>
        <v>6.3387360848420116E-2</v>
      </c>
      <c r="I156" s="25">
        <f>#REF!-#REF!</f>
        <v>1.0096701049426997</v>
      </c>
      <c r="J156" s="25">
        <f>#REF!-#REF!</f>
        <v>0</v>
      </c>
      <c r="K156" s="25">
        <f>#REF!-#REF!</f>
        <v>2.0070584506226119E-2</v>
      </c>
      <c r="L156" s="25">
        <f>#REF!-#REF!</f>
        <v>1.8066503485737684E-2</v>
      </c>
      <c r="M156" s="25">
        <f>#REF!-#REF!</f>
        <v>4.5666634514698212E-2</v>
      </c>
      <c r="N156" s="25">
        <f>#REF!-#REF!</f>
        <v>4.1106745614995055E-2</v>
      </c>
      <c r="O156" s="25">
        <f>#REF!-#REF!</f>
        <v>-2.5596050008472204E-2</v>
      </c>
      <c r="P156" s="25">
        <f>#REF!-#REF!</f>
        <v>-2.3040242129257926E-2</v>
      </c>
      <c r="Q156" s="25">
        <f>#REF!-#REF!</f>
        <v>0.63873898372051396</v>
      </c>
      <c r="R156" s="25">
        <f>#REF!-#REF!</f>
        <v>0.57495984096942188</v>
      </c>
      <c r="S156" s="25">
        <f>#REF!-#REF!</f>
        <v>4.1006280413581564E-2</v>
      </c>
      <c r="T156" s="25">
        <f>#REF!-#REF!</f>
        <v>3.691173556999594E-2</v>
      </c>
      <c r="U156" s="25">
        <f>#REF!-#REF!</f>
        <v>2.4223119231651102E-3</v>
      </c>
      <c r="V156" s="25">
        <f>#REF!-#REF!</f>
        <v>2.1804400758647091E-3</v>
      </c>
      <c r="W156" s="25">
        <f>#REF!-#REF!</f>
        <v>3.8583968490415899E-2</v>
      </c>
      <c r="X156" s="25">
        <f>#REF!-#REF!</f>
        <v>3.4731295494131231E-2</v>
      </c>
      <c r="Y156" s="25">
        <f>#REF!-#REF!</f>
        <v>0</v>
      </c>
      <c r="Z156" s="25">
        <f>#REF!-#REF!</f>
        <v>0</v>
      </c>
      <c r="AA156" s="12">
        <v>2907.0902498102801</v>
      </c>
      <c r="AB156" s="13">
        <v>2616.8124857180101</v>
      </c>
      <c r="AC156">
        <f t="shared" si="36"/>
        <v>0.32861189801699353</v>
      </c>
      <c r="AD156">
        <f t="shared" si="37"/>
        <v>0</v>
      </c>
      <c r="AE156">
        <f t="shared" si="38"/>
        <v>0</v>
      </c>
      <c r="AF156">
        <f t="shared" si="39"/>
        <v>0.74769120148289769</v>
      </c>
      <c r="AG156">
        <f t="shared" si="40"/>
        <v>2.2753016734781535</v>
      </c>
      <c r="AH156">
        <f t="shared" si="41"/>
        <v>0.67138810198300647</v>
      </c>
      <c r="AI156">
        <f t="shared" si="42"/>
        <v>5.9071729957805276E-2</v>
      </c>
      <c r="AJ156">
        <f t="shared" si="43"/>
        <v>0.94092827004219137</v>
      </c>
      <c r="AK156">
        <f t="shared" si="44"/>
        <v>5.4978239055732993E-4</v>
      </c>
      <c r="AL156">
        <f t="shared" si="45"/>
        <v>6.1076864919805797E-4</v>
      </c>
    </row>
    <row r="157" spans="1:38" x14ac:dyDescent="0.35">
      <c r="A157" s="9" t="s">
        <v>32</v>
      </c>
      <c r="B157" s="22" t="s">
        <v>70</v>
      </c>
      <c r="C157" s="25">
        <f>#REF!-#REF!</f>
        <v>1.1077695919686334</v>
      </c>
      <c r="D157" s="25">
        <f>#REF!-#REF!</f>
        <v>0.12073783018730921</v>
      </c>
      <c r="E157" s="25">
        <f>#REF!-#REF!</f>
        <v>0.9870317617812816</v>
      </c>
      <c r="F157" s="25">
        <f>#REF!-#REF!</f>
        <v>0</v>
      </c>
      <c r="G157" s="25">
        <f>#REF!-#REF!</f>
        <v>2.795986302562369</v>
      </c>
      <c r="H157" s="25">
        <f>#REF!-#REF!</f>
        <v>0.30184457546828014</v>
      </c>
      <c r="I157" s="25">
        <f>#REF!-#REF!</f>
        <v>2.494141727094302</v>
      </c>
      <c r="J157" s="25">
        <f>#REF!-#REF!</f>
        <v>0</v>
      </c>
      <c r="K157" s="25">
        <f>#REF!-#REF!</f>
        <v>3.0794324993863142E-2</v>
      </c>
      <c r="L157" s="25">
        <f>#REF!-#REF!</f>
        <v>2.6617657271588158E-2</v>
      </c>
      <c r="M157" s="25">
        <f>#REF!-#REF!</f>
        <v>3.356329699603755E-3</v>
      </c>
      <c r="N157" s="25">
        <f>#REF!-#REF!</f>
        <v>2.9011070595734711E-3</v>
      </c>
      <c r="O157" s="25">
        <f>#REF!-#REF!</f>
        <v>2.7437995294260276E-2</v>
      </c>
      <c r="P157" s="25">
        <f>#REF!-#REF!</f>
        <v>2.3716550212014909E-2</v>
      </c>
      <c r="Q157" s="25">
        <f>#REF!-#REF!</f>
        <v>0</v>
      </c>
      <c r="R157" s="25">
        <f>#REF!-#REF!</f>
        <v>0</v>
      </c>
      <c r="S157" s="25">
        <f>#REF!-#REF!</f>
        <v>7.7724205018569137E-2</v>
      </c>
      <c r="T157" s="25">
        <f>#REF!-#REF!</f>
        <v>6.7182386732074661E-2</v>
      </c>
      <c r="U157" s="25">
        <f>#REF!-#REF!</f>
        <v>8.3908242490089435E-3</v>
      </c>
      <c r="V157" s="25">
        <f>#REF!-#REF!</f>
        <v>7.2527676489335668E-3</v>
      </c>
      <c r="W157" s="25">
        <f>#REF!-#REF!</f>
        <v>6.9333380769560193E-2</v>
      </c>
      <c r="X157" s="25">
        <f>#REF!-#REF!</f>
        <v>5.9929619083138874E-2</v>
      </c>
      <c r="Y157" s="25">
        <f>#REF!-#REF!</f>
        <v>0</v>
      </c>
      <c r="Z157" s="25">
        <f>#REF!-#REF!</f>
        <v>0</v>
      </c>
      <c r="AA157" s="12">
        <v>4161.7847155581303</v>
      </c>
      <c r="AB157" s="13">
        <v>3597.3173374942398</v>
      </c>
      <c r="AC157">
        <f t="shared" si="36"/>
        <v>0.28377020026292421</v>
      </c>
      <c r="AD157">
        <f t="shared" si="37"/>
        <v>0.25284156808167013</v>
      </c>
      <c r="AE157">
        <f t="shared" si="38"/>
        <v>0.89100817438688951</v>
      </c>
      <c r="AF157">
        <f t="shared" si="39"/>
        <v>3.0928632181243153E-2</v>
      </c>
      <c r="AG157">
        <f t="shared" si="40"/>
        <v>0.108991825613072</v>
      </c>
      <c r="AH157">
        <f t="shared" si="41"/>
        <v>0.71622979973707579</v>
      </c>
      <c r="AI157">
        <f t="shared" si="42"/>
        <v>0.1079563856202214</v>
      </c>
      <c r="AJ157">
        <f t="shared" si="43"/>
        <v>0.8920436143798548</v>
      </c>
      <c r="AK157">
        <f t="shared" si="44"/>
        <v>9.3800044003657123E-4</v>
      </c>
      <c r="AL157">
        <f t="shared" si="45"/>
        <v>1.0851853001242911E-3</v>
      </c>
    </row>
    <row r="158" spans="1:38" x14ac:dyDescent="0.35">
      <c r="A158" s="9" t="s">
        <v>33</v>
      </c>
      <c r="B158" s="22" t="s">
        <v>70</v>
      </c>
      <c r="C158" s="25">
        <f>#REF!-#REF!</f>
        <v>32.293957986448447</v>
      </c>
      <c r="D158" s="25">
        <f>#REF!-#REF!</f>
        <v>0.59931616434672996</v>
      </c>
      <c r="E158" s="25">
        <f>#REF!-#REF!</f>
        <v>31.694641822101715</v>
      </c>
      <c r="F158" s="25">
        <f>#REF!-#REF!</f>
        <v>2.1129120282806113E-2</v>
      </c>
      <c r="G158" s="25">
        <f>#REF!-#REF!</f>
        <v>1.7574900406664256</v>
      </c>
      <c r="H158" s="25">
        <f>#REF!-#REF!</f>
        <v>9.8099487027312193E-3</v>
      </c>
      <c r="I158" s="25">
        <f>#REF!-#REF!</f>
        <v>1.7476800919636162</v>
      </c>
      <c r="J158" s="25">
        <f>#REF!-#REF!</f>
        <v>0</v>
      </c>
      <c r="K158" s="25">
        <f>#REF!-#REF!</f>
        <v>1.6835925105330434</v>
      </c>
      <c r="L158" s="25">
        <f>#REF!-#REF!</f>
        <v>1.381465248595533</v>
      </c>
      <c r="M158" s="25">
        <f>#REF!-#REF!</f>
        <v>3.1244364848649342E-2</v>
      </c>
      <c r="N158" s="25">
        <f>#REF!-#REF!</f>
        <v>2.5637441354014301E-2</v>
      </c>
      <c r="O158" s="25">
        <f>#REF!-#REF!</f>
        <v>1.6523481456843943</v>
      </c>
      <c r="P158" s="25">
        <f>#REF!-#REF!</f>
        <v>1.3558278072415186</v>
      </c>
      <c r="Q158" s="25">
        <f>#REF!-#REF!</f>
        <v>1.1015320165218556E-3</v>
      </c>
      <c r="R158" s="25">
        <f>#REF!-#REF!</f>
        <v>9.0385778715451615E-4</v>
      </c>
      <c r="S158" s="25">
        <f>#REF!-#REF!</f>
        <v>9.162385951712082E-2</v>
      </c>
      <c r="T158" s="25">
        <f>#REF!-#REF!</f>
        <v>7.5181599510106167E-2</v>
      </c>
      <c r="U158" s="25">
        <f>#REF!-#REF!</f>
        <v>5.114255790994171E-4</v>
      </c>
      <c r="V158" s="25">
        <f>#REF!-#REF!</f>
        <v>4.1964825832171981E-4</v>
      </c>
      <c r="W158" s="25">
        <f>#REF!-#REF!</f>
        <v>9.1112433938022264E-2</v>
      </c>
      <c r="X158" s="25">
        <f>#REF!-#REF!</f>
        <v>7.4761951251783643E-2</v>
      </c>
      <c r="Y158" s="25">
        <f>#REF!-#REF!</f>
        <v>0</v>
      </c>
      <c r="Z158" s="25">
        <f>#REF!-#REF!</f>
        <v>0</v>
      </c>
      <c r="AA158" s="12">
        <v>2337.6598158571201</v>
      </c>
      <c r="AB158" s="13">
        <v>1918.15761738117</v>
      </c>
      <c r="AC158">
        <f t="shared" si="36"/>
        <v>0.94838721574286788</v>
      </c>
      <c r="AD158">
        <f t="shared" si="37"/>
        <v>0.93078690212714443</v>
      </c>
      <c r="AE158">
        <f t="shared" si="38"/>
        <v>0.98144184851549554</v>
      </c>
      <c r="AF158">
        <f t="shared" si="39"/>
        <v>1.7600313615723468E-2</v>
      </c>
      <c r="AG158">
        <f t="shared" si="40"/>
        <v>1.8558151484504369E-2</v>
      </c>
      <c r="AH158">
        <f t="shared" si="41"/>
        <v>5.1612784257132074E-2</v>
      </c>
      <c r="AI158">
        <f t="shared" si="42"/>
        <v>5.5817947616996844E-3</v>
      </c>
      <c r="AJ158">
        <f t="shared" si="43"/>
        <v>0.99441820523825586</v>
      </c>
      <c r="AK158">
        <f t="shared" si="44"/>
        <v>1.4566468481056411E-2</v>
      </c>
      <c r="AL158">
        <f t="shared" si="45"/>
        <v>1.775216370050172E-2</v>
      </c>
    </row>
    <row r="159" spans="1:38" x14ac:dyDescent="0.35">
      <c r="A159" s="9" t="s">
        <v>34</v>
      </c>
      <c r="B159" s="22" t="s">
        <v>70</v>
      </c>
      <c r="C159" s="25">
        <f>#REF!-#REF!</f>
        <v>18.419423468894934</v>
      </c>
      <c r="D159" s="25">
        <f>#REF!-#REF!</f>
        <v>7.1761873683442445E-2</v>
      </c>
      <c r="E159" s="25">
        <f>#REF!-#REF!</f>
        <v>18.347661595211434</v>
      </c>
      <c r="F159" s="25">
        <f>#REF!-#REF!</f>
        <v>0.19435507455932566</v>
      </c>
      <c r="G159" s="25">
        <f>#REF!-#REF!</f>
        <v>0.117360564253147</v>
      </c>
      <c r="H159" s="25">
        <f>#REF!-#REF!</f>
        <v>0</v>
      </c>
      <c r="I159" s="25">
        <f>#REF!-#REF!</f>
        <v>0.117360564253147</v>
      </c>
      <c r="J159" s="25">
        <f>#REF!-#REF!</f>
        <v>1.0233542195064729</v>
      </c>
      <c r="K159" s="25">
        <f>#REF!-#REF!</f>
        <v>0.40355130277511719</v>
      </c>
      <c r="L159" s="25">
        <f>#REF!-#REF!</f>
        <v>0.34591426539947001</v>
      </c>
      <c r="M159" s="25">
        <f>#REF!-#REF!</f>
        <v>1.5722314904937917E-3</v>
      </c>
      <c r="N159" s="25">
        <f>#REF!-#REF!</f>
        <v>1.3476782191810255E-3</v>
      </c>
      <c r="O159" s="25">
        <f>#REF!-#REF!</f>
        <v>0.40197907128462518</v>
      </c>
      <c r="P159" s="25">
        <f>#REF!-#REF!</f>
        <v>0.34456658718028876</v>
      </c>
      <c r="Q159" s="25">
        <f>#REF!-#REF!</f>
        <v>4.2581269534212041E-3</v>
      </c>
      <c r="R159" s="25">
        <f>#REF!-#REF!</f>
        <v>3.6499618436156567E-3</v>
      </c>
      <c r="S159" s="25">
        <f>#REF!-#REF!</f>
        <v>2.5712535834125916E-3</v>
      </c>
      <c r="T159" s="25">
        <f>#REF!-#REF!</f>
        <v>2.2040154209519436E-3</v>
      </c>
      <c r="U159" s="25">
        <f>#REF!-#REF!</f>
        <v>0</v>
      </c>
      <c r="V159" s="25">
        <f>#REF!-#REF!</f>
        <v>0</v>
      </c>
      <c r="W159" s="25">
        <f>#REF!-#REF!</f>
        <v>2.5712535834125916E-3</v>
      </c>
      <c r="X159" s="25">
        <f>#REF!-#REF!</f>
        <v>2.2040154209519436E-3</v>
      </c>
      <c r="Y159" s="25">
        <f>#REF!-#REF!</f>
        <v>2.2420676150890273E-2</v>
      </c>
      <c r="Z159" s="25">
        <f>#REF!-#REF!</f>
        <v>1.9218452938108754E-2</v>
      </c>
      <c r="AA159" s="12">
        <v>5324.8522282316499</v>
      </c>
      <c r="AB159" s="13">
        <v>4564.3325500944502</v>
      </c>
      <c r="AC159">
        <f t="shared" si="36"/>
        <v>0.99366877425753686</v>
      </c>
      <c r="AD159">
        <f t="shared" si="37"/>
        <v>0.98979745151055054</v>
      </c>
      <c r="AE159">
        <f t="shared" si="38"/>
        <v>0.99610401086631817</v>
      </c>
      <c r="AF159">
        <f t="shared" si="39"/>
        <v>3.8713227469832699E-3</v>
      </c>
      <c r="AG159">
        <f t="shared" si="40"/>
        <v>3.8959891336787737E-3</v>
      </c>
      <c r="AH159">
        <f t="shared" si="41"/>
        <v>6.3312257424631493E-3</v>
      </c>
      <c r="AI159">
        <f t="shared" si="42"/>
        <v>0</v>
      </c>
      <c r="AJ159">
        <f t="shared" si="43"/>
        <v>1</v>
      </c>
      <c r="AK159">
        <f t="shared" si="44"/>
        <v>3.4811828082042437E-3</v>
      </c>
      <c r="AL159">
        <f t="shared" si="45"/>
        <v>4.0612255635853042E-3</v>
      </c>
    </row>
    <row r="160" spans="1:38" x14ac:dyDescent="0.35">
      <c r="A160" s="9" t="s">
        <v>35</v>
      </c>
      <c r="B160" s="22" t="s">
        <v>70</v>
      </c>
      <c r="C160" s="25">
        <f>#REF!-#REF!</f>
        <v>17.39332324339199</v>
      </c>
      <c r="D160" s="25">
        <f>#REF!-#REF!</f>
        <v>4.1605968119116481</v>
      </c>
      <c r="E160" s="25">
        <f>#REF!-#REF!</f>
        <v>13.232726431480344</v>
      </c>
      <c r="F160" s="25">
        <f>#REF!-#REF!</f>
        <v>11.662486029476227</v>
      </c>
      <c r="G160" s="25">
        <f>#REF!-#REF!</f>
        <v>0.11272754204720314</v>
      </c>
      <c r="H160" s="25">
        <f>#REF!-#REF!</f>
        <v>0</v>
      </c>
      <c r="I160" s="25">
        <f>#REF!-#REF!</f>
        <v>0.11272754204720314</v>
      </c>
      <c r="J160" s="25">
        <f>#REF!-#REF!</f>
        <v>0.19874390346826942</v>
      </c>
      <c r="K160" s="25">
        <f>#REF!-#REF!</f>
        <v>1.0617681847861138</v>
      </c>
      <c r="L160" s="25">
        <f>#REF!-#REF!</f>
        <v>0.80653856176878946</v>
      </c>
      <c r="M160" s="25">
        <f>#REF!-#REF!</f>
        <v>0.25398190229625256</v>
      </c>
      <c r="N160" s="25">
        <f>#REF!-#REF!</f>
        <v>0.1929293052179612</v>
      </c>
      <c r="O160" s="25">
        <f>#REF!-#REF!</f>
        <v>0.8077862824898614</v>
      </c>
      <c r="P160" s="25">
        <f>#REF!-#REF!</f>
        <v>0.61360925655082843</v>
      </c>
      <c r="Q160" s="25">
        <f>#REF!-#REF!</f>
        <v>0.71193161009727324</v>
      </c>
      <c r="R160" s="25">
        <f>#REF!-#REF!</f>
        <v>0.5407962916135618</v>
      </c>
      <c r="S160" s="25">
        <f>#REF!-#REF!</f>
        <v>6.881405929158646E-3</v>
      </c>
      <c r="T160" s="25">
        <f>#REF!-#REF!</f>
        <v>5.2272419917809287E-3</v>
      </c>
      <c r="U160" s="25">
        <f>#REF!-#REF!</f>
        <v>0</v>
      </c>
      <c r="V160" s="25">
        <f>#REF!-#REF!</f>
        <v>0</v>
      </c>
      <c r="W160" s="25">
        <f>#REF!-#REF!</f>
        <v>6.881405929158646E-3</v>
      </c>
      <c r="X160" s="25">
        <f>#REF!-#REF!</f>
        <v>5.2272419917809287E-3</v>
      </c>
      <c r="Y160" s="25">
        <f>#REF!-#REF!</f>
        <v>1.2132238944215779E-2</v>
      </c>
      <c r="Z160" s="25">
        <f>#REF!-#REF!</f>
        <v>9.2158709305030229E-3</v>
      </c>
      <c r="AA160" s="12">
        <v>2156.5395714307001</v>
      </c>
      <c r="AB160" s="13">
        <v>1638.14696019506</v>
      </c>
      <c r="AC160">
        <f t="shared" si="36"/>
        <v>0.99356065263211935</v>
      </c>
      <c r="AD160">
        <f t="shared" si="37"/>
        <v>0.75589443865242167</v>
      </c>
      <c r="AE160">
        <f t="shared" si="38"/>
        <v>0.76079345196483228</v>
      </c>
      <c r="AF160">
        <f t="shared" si="39"/>
        <v>0.23766621397969781</v>
      </c>
      <c r="AG160">
        <f t="shared" si="40"/>
        <v>0.23920654803516789</v>
      </c>
      <c r="AH160">
        <f t="shared" si="41"/>
        <v>6.4393473678806667E-3</v>
      </c>
      <c r="AI160">
        <f t="shared" si="42"/>
        <v>0</v>
      </c>
      <c r="AJ160">
        <f t="shared" si="43"/>
        <v>1</v>
      </c>
      <c r="AK160">
        <f t="shared" si="44"/>
        <v>8.1176580376057083E-3</v>
      </c>
      <c r="AL160">
        <f t="shared" si="45"/>
        <v>1.0686495907152729E-2</v>
      </c>
    </row>
    <row r="161" spans="1:38" x14ac:dyDescent="0.35">
      <c r="A161" s="9" t="s">
        <v>36</v>
      </c>
      <c r="B161" s="22" t="s">
        <v>70</v>
      </c>
      <c r="C161" s="25">
        <f>#REF!-#REF!</f>
        <v>44.535014678177703</v>
      </c>
      <c r="D161" s="25">
        <f>#REF!-#REF!</f>
        <v>11.083715197058423</v>
      </c>
      <c r="E161" s="25">
        <f>#REF!-#REF!</f>
        <v>33.451299481119278</v>
      </c>
      <c r="F161" s="25">
        <v>0</v>
      </c>
      <c r="G161" s="25">
        <f>#REF!-#REF!</f>
        <v>0.45650671749305616</v>
      </c>
      <c r="H161" s="25">
        <f>#REF!-#REF!</f>
        <v>1.9287868372448447E-3</v>
      </c>
      <c r="I161" s="25">
        <f>#REF!-#REF!</f>
        <v>0.45457793065583019</v>
      </c>
      <c r="J161" s="25">
        <f>#REF!-#REF!</f>
        <v>3.0184457546866383E-2</v>
      </c>
      <c r="K161" s="25">
        <f>#REF!-#REF!</f>
        <v>3.3638788950819376</v>
      </c>
      <c r="L161" s="25">
        <f>#REF!-#REF!</f>
        <v>2.4789495196040474</v>
      </c>
      <c r="M161" s="25">
        <f>#REF!-#REF!</f>
        <v>0.83719015026513932</v>
      </c>
      <c r="N161" s="25">
        <f>#REF!-#REF!</f>
        <v>0.61695209178047894</v>
      </c>
      <c r="O161" s="25">
        <f>#REF!-#REF!</f>
        <v>2.5266887448167985</v>
      </c>
      <c r="P161" s="25">
        <f>#REF!-#REF!</f>
        <v>1.8619974278235687</v>
      </c>
      <c r="Q161" s="25">
        <f>#REF!-#REF!</f>
        <v>-4.2548281020677543E-2</v>
      </c>
      <c r="R161" s="25">
        <f>#REF!-#REF!</f>
        <v>-3.1355183728639387E-2</v>
      </c>
      <c r="S161" s="25">
        <f>#REF!-#REF!</f>
        <v>3.4481482122211915E-2</v>
      </c>
      <c r="T161" s="25">
        <f>#REF!-#REF!</f>
        <v>2.5410502639399368E-2</v>
      </c>
      <c r="U161" s="25">
        <f>#REF!-#REF!</f>
        <v>1.4568773316468719E-4</v>
      </c>
      <c r="V161" s="25">
        <f>#REF!-#REF!</f>
        <v>1.0736193168808805E-4</v>
      </c>
      <c r="W161" s="25">
        <f>#REF!-#REF!</f>
        <v>3.4335794389047436E-2</v>
      </c>
      <c r="X161" s="25">
        <f>#REF!-#REF!</f>
        <v>2.5303140707711336E-2</v>
      </c>
      <c r="Y161" s="25">
        <f>#REF!-#REF!</f>
        <v>2.279933226364439E-3</v>
      </c>
      <c r="Z161" s="25">
        <f>#REF!-#REF!</f>
        <v>1.6801554254787243E-3</v>
      </c>
      <c r="AA161" s="12">
        <v>1796.5276955414199</v>
      </c>
      <c r="AB161" s="13">
        <v>1323.9184901480501</v>
      </c>
      <c r="AC161">
        <f t="shared" si="36"/>
        <v>0.98985349454004057</v>
      </c>
      <c r="AD161">
        <f t="shared" si="37"/>
        <v>0.74350229650909472</v>
      </c>
      <c r="AE161">
        <f t="shared" si="38"/>
        <v>0.75112357597381729</v>
      </c>
      <c r="AF161">
        <f t="shared" si="39"/>
        <v>0.24635119803094582</v>
      </c>
      <c r="AG161">
        <f t="shared" si="40"/>
        <v>0.24887642402618265</v>
      </c>
      <c r="AH161">
        <f t="shared" si="41"/>
        <v>1.0146505459959458E-2</v>
      </c>
      <c r="AI161">
        <f t="shared" si="42"/>
        <v>4.2251006684785163E-3</v>
      </c>
      <c r="AJ161">
        <f t="shared" si="43"/>
        <v>0.99577489933156282</v>
      </c>
      <c r="AK161">
        <f t="shared" si="44"/>
        <v>2.5043600222434452E-2</v>
      </c>
      <c r="AL161">
        <f t="shared" si="45"/>
        <v>3.3983603772041501E-2</v>
      </c>
    </row>
    <row r="162" spans="1:38" x14ac:dyDescent="0.35">
      <c r="A162" s="9" t="s">
        <v>37</v>
      </c>
      <c r="B162" s="22" t="s">
        <v>70</v>
      </c>
      <c r="C162" s="25">
        <v>0</v>
      </c>
      <c r="D162" s="25">
        <f>#REF!-#REF!</f>
        <v>59.277619120647586</v>
      </c>
      <c r="E162" s="25">
        <v>0</v>
      </c>
      <c r="F162" s="25">
        <f>#REF!-#REF!</f>
        <v>5.1480457660034098</v>
      </c>
      <c r="G162" s="25">
        <f>#REF!-#REF!</f>
        <v>0.78789688487375997</v>
      </c>
      <c r="H162" s="25">
        <f>#REF!-#REF!</f>
        <v>2.3105480494831632E-3</v>
      </c>
      <c r="I162" s="25">
        <f>#REF!-#REF!</f>
        <v>0.78558633682428081</v>
      </c>
      <c r="J162" s="25">
        <f>#REF!-#REF!</f>
        <v>0</v>
      </c>
      <c r="K162" s="25">
        <f>#REF!-#REF!</f>
        <v>-1.5460229405817927E-2</v>
      </c>
      <c r="L162" s="25">
        <f>#REF!-#REF!</f>
        <v>-1.6592161406265404E-2</v>
      </c>
      <c r="M162" s="25">
        <f>#REF!-#REF!</f>
        <v>1.8774257722216117</v>
      </c>
      <c r="N162" s="25">
        <f>#REF!-#REF!</f>
        <v>2.014882872905865</v>
      </c>
      <c r="O162" s="25">
        <f>#REF!-#REF!</f>
        <v>-1.8928860016274305</v>
      </c>
      <c r="P162" s="25">
        <f>#REF!-#REF!</f>
        <v>-2.0314750343121286</v>
      </c>
      <c r="Q162" s="25">
        <f>#REF!-#REF!</f>
        <v>0.16304760449301869</v>
      </c>
      <c r="R162" s="25">
        <f>#REF!-#REF!</f>
        <v>0.17498525407615101</v>
      </c>
      <c r="S162" s="25">
        <f>#REF!-#REF!</f>
        <v>2.4954071021381807E-2</v>
      </c>
      <c r="T162" s="25">
        <f>#REF!-#REF!</f>
        <v>2.6781101577594058E-2</v>
      </c>
      <c r="U162" s="25">
        <f>#REF!-#REF!</f>
        <v>7.3179093904349179E-5</v>
      </c>
      <c r="V162" s="25">
        <f>#REF!-#REF!</f>
        <v>7.8536954773000822E-5</v>
      </c>
      <c r="W162" s="25">
        <f>#REF!-#REF!</f>
        <v>2.4880891927477222E-2</v>
      </c>
      <c r="X162" s="25">
        <f>#REF!-#REF!</f>
        <v>2.6702564622819835E-2</v>
      </c>
      <c r="Y162" s="25">
        <f>#REF!-#REF!</f>
        <v>0</v>
      </c>
      <c r="Z162" s="25">
        <f>#REF!-#REF!</f>
        <v>0</v>
      </c>
      <c r="AA162" s="12">
        <v>2941.9883367789698</v>
      </c>
      <c r="AB162" s="13">
        <v>3157.38816403392</v>
      </c>
      <c r="AC162">
        <f t="shared" si="36"/>
        <v>0</v>
      </c>
      <c r="AD162">
        <f t="shared" si="37"/>
        <v>0</v>
      </c>
      <c r="AE162" t="e">
        <f t="shared" si="38"/>
        <v>#DIV/0!</v>
      </c>
      <c r="AF162">
        <f t="shared" si="39"/>
        <v>75.235250016434932</v>
      </c>
      <c r="AG162" t="e">
        <f t="shared" si="40"/>
        <v>#DIV/0!</v>
      </c>
      <c r="AH162">
        <f t="shared" si="41"/>
        <v>1</v>
      </c>
      <c r="AI162">
        <f t="shared" si="42"/>
        <v>2.9325513196480891E-3</v>
      </c>
      <c r="AJ162">
        <f t="shared" si="43"/>
        <v>0.99706744868035702</v>
      </c>
      <c r="AK162">
        <f t="shared" si="44"/>
        <v>2.678110157759454E-4</v>
      </c>
      <c r="AL162">
        <f t="shared" si="45"/>
        <v>2.4954071021382837E-4</v>
      </c>
    </row>
    <row r="163" spans="1:38" x14ac:dyDescent="0.35">
      <c r="A163" s="9" t="s">
        <v>38</v>
      </c>
      <c r="B163" s="22" t="s">
        <v>70</v>
      </c>
      <c r="C163" s="25">
        <f>#REF!-#REF!</f>
        <v>1824.7279999999992</v>
      </c>
      <c r="D163" s="25">
        <f>#REF!-#REF!</f>
        <v>206.59999999999997</v>
      </c>
      <c r="E163" s="25">
        <f>#REF!-#REF!</f>
        <v>1618.1279999999997</v>
      </c>
      <c r="F163" s="25">
        <v>0</v>
      </c>
      <c r="G163" s="25">
        <f>#REF!-#REF!</f>
        <v>0</v>
      </c>
      <c r="H163" s="25">
        <f>#REF!-#REF!</f>
        <v>0</v>
      </c>
      <c r="I163" s="25">
        <f>#REF!-#REF!</f>
        <v>0</v>
      </c>
      <c r="J163" s="25">
        <f>#REF!-#REF!</f>
        <v>0</v>
      </c>
      <c r="K163" s="25">
        <f>#REF!-#REF!</f>
        <v>9.1561557077690807</v>
      </c>
      <c r="L163" s="25">
        <f>#REF!-#REF!</f>
        <v>9.1354183464125889</v>
      </c>
      <c r="M163" s="25">
        <f>#REF!-#REF!</f>
        <v>1.0366815049832594</v>
      </c>
      <c r="N163" s="25">
        <f>#REF!-#REF!</f>
        <v>1.0343335721098379</v>
      </c>
      <c r="O163" s="25">
        <f>#REF!-#REF!</f>
        <v>8.1194742027858222</v>
      </c>
      <c r="P163" s="25">
        <f>#REF!-#REF!</f>
        <v>8.1010847743027501</v>
      </c>
      <c r="Q163" s="25">
        <f>#REF!-#REF!</f>
        <v>-1.0035638964020488E-4</v>
      </c>
      <c r="R163" s="25">
        <f>#REF!-#REF!</f>
        <v>-1.0012909700966854E-4</v>
      </c>
      <c r="S163" s="25">
        <f>#REF!-#REF!</f>
        <v>0</v>
      </c>
      <c r="T163" s="25">
        <f>#REF!-#REF!</f>
        <v>0</v>
      </c>
      <c r="U163" s="25">
        <f>#REF!-#REF!</f>
        <v>0</v>
      </c>
      <c r="V163" s="25">
        <f>#REF!-#REF!</f>
        <v>0</v>
      </c>
      <c r="W163" s="25">
        <f>#REF!-#REF!</f>
        <v>0</v>
      </c>
      <c r="X163" s="25">
        <f>#REF!-#REF!</f>
        <v>0</v>
      </c>
      <c r="Y163" s="25">
        <f>#REF!-#REF!</f>
        <v>0</v>
      </c>
      <c r="Z163" s="25">
        <f>#REF!-#REF!</f>
        <v>0</v>
      </c>
      <c r="AA163" s="12">
        <v>19974.2138871676</v>
      </c>
      <c r="AB163" s="13">
        <v>19928.975197</v>
      </c>
      <c r="AC163">
        <f t="shared" si="36"/>
        <v>1</v>
      </c>
      <c r="AD163">
        <f t="shared" si="37"/>
        <v>0.88677764576419082</v>
      </c>
      <c r="AE163">
        <f t="shared" si="38"/>
        <v>0.88677764576419082</v>
      </c>
      <c r="AF163">
        <f t="shared" si="39"/>
        <v>0.11322235423580942</v>
      </c>
      <c r="AG163">
        <f t="shared" si="40"/>
        <v>0.11322235423580942</v>
      </c>
      <c r="AH163">
        <f t="shared" si="41"/>
        <v>0</v>
      </c>
      <c r="AI163" t="e">
        <f t="shared" si="42"/>
        <v>#DIV/0!</v>
      </c>
      <c r="AJ163" t="e">
        <f t="shared" si="43"/>
        <v>#DIV/0!</v>
      </c>
      <c r="AK163">
        <f t="shared" si="44"/>
        <v>9.135418346412584E-2</v>
      </c>
      <c r="AL163">
        <f t="shared" si="45"/>
        <v>9.1561557077690772E-2</v>
      </c>
    </row>
    <row r="164" spans="1:38" x14ac:dyDescent="0.35">
      <c r="A164" s="9" t="s">
        <v>39</v>
      </c>
      <c r="B164" s="22" t="s">
        <v>70</v>
      </c>
      <c r="C164" s="25">
        <v>0</v>
      </c>
      <c r="D164" s="25">
        <f>#REF!-#REF!</f>
        <v>2.4564657236113296</v>
      </c>
      <c r="E164" s="25">
        <v>0</v>
      </c>
      <c r="F164" s="25">
        <v>0</v>
      </c>
      <c r="G164" s="25">
        <v>0</v>
      </c>
      <c r="H164" s="25">
        <v>0</v>
      </c>
      <c r="I164" s="25">
        <v>0</v>
      </c>
      <c r="J164" s="25">
        <f>#REF!-#REF!</f>
        <v>1.196059834340673</v>
      </c>
      <c r="K164" s="25">
        <f>#REF!-#REF!</f>
        <v>-1.5637565202903936E-2</v>
      </c>
      <c r="L164" s="25">
        <f>#REF!-#REF!</f>
        <v>-8.3986584095686045E-3</v>
      </c>
      <c r="M164" s="25">
        <f>#REF!-#REF!</f>
        <v>0.19203871133009034</v>
      </c>
      <c r="N164" s="25">
        <f>#REF!-#REF!</f>
        <v>0.10314057955618723</v>
      </c>
      <c r="O164" s="25">
        <f>#REF!-#REF!</f>
        <v>-0.20767627653299431</v>
      </c>
      <c r="P164" s="25">
        <f>#REF!-#REF!</f>
        <v>-0.11153923796575584</v>
      </c>
      <c r="Q164" s="25">
        <f>#REF!-#REF!</f>
        <v>-2.8208532869046787E-3</v>
      </c>
      <c r="R164" s="25">
        <f>#REF!-#REF!</f>
        <v>-1.515030177192872E-3</v>
      </c>
      <c r="S164" s="25">
        <f>#REF!-#REF!</f>
        <v>-0.15045377963145884</v>
      </c>
      <c r="T164" s="25">
        <f>#REF!-#REF!</f>
        <v>-8.0806051655565661E-2</v>
      </c>
      <c r="U164" s="25">
        <f>#REF!-#REF!</f>
        <v>-7.4340198954534004E-2</v>
      </c>
      <c r="V164" s="25">
        <f>#REF!-#REF!</f>
        <v>-3.9926799921675429E-2</v>
      </c>
      <c r="W164" s="25">
        <f>#REF!-#REF!</f>
        <v>-7.6113580676924822E-2</v>
      </c>
      <c r="X164" s="25">
        <f>#REF!-#REF!</f>
        <v>-4.0879251733890232E-2</v>
      </c>
      <c r="Y164" s="25">
        <f>#REF!-#REF!</f>
        <v>9.3504170260837016E-2</v>
      </c>
      <c r="Z164" s="25">
        <f>#REF!-#REF!</f>
        <v>5.0219428389342902E-2</v>
      </c>
      <c r="AA164" s="12">
        <v>2381.6675591522499</v>
      </c>
      <c r="AB164" s="13">
        <v>1279.1513266244399</v>
      </c>
      <c r="AC164" t="e">
        <f t="shared" si="36"/>
        <v>#DIV/0!</v>
      </c>
      <c r="AD164" t="e">
        <f t="shared" si="37"/>
        <v>#DIV/0!</v>
      </c>
      <c r="AE164" t="e">
        <f t="shared" si="38"/>
        <v>#DIV/0!</v>
      </c>
      <c r="AF164" t="e">
        <f t="shared" si="39"/>
        <v>#DIV/0!</v>
      </c>
      <c r="AG164" t="e">
        <f t="shared" si="40"/>
        <v>#DIV/0!</v>
      </c>
      <c r="AH164" t="e">
        <f t="shared" si="41"/>
        <v>#DIV/0!</v>
      </c>
      <c r="AI164" t="e">
        <f t="shared" si="42"/>
        <v>#DIV/0!</v>
      </c>
      <c r="AJ164" t="e">
        <f t="shared" si="43"/>
        <v>#DIV/0!</v>
      </c>
      <c r="AK164">
        <f t="shared" si="44"/>
        <v>0</v>
      </c>
      <c r="AL164">
        <f t="shared" si="45"/>
        <v>0</v>
      </c>
    </row>
    <row r="165" spans="1:38" x14ac:dyDescent="0.35">
      <c r="A165" s="9" t="s">
        <v>40</v>
      </c>
      <c r="B165" s="22" t="s">
        <v>70</v>
      </c>
      <c r="C165" s="25">
        <f>#REF!-#REF!</f>
        <v>5.9126558224667001</v>
      </c>
      <c r="D165" s="25">
        <f>#REF!-#REF!</f>
        <v>0.38031964593465961</v>
      </c>
      <c r="E165" s="25">
        <f>#REF!-#REF!</f>
        <v>5.5323361765320405</v>
      </c>
      <c r="F165" s="25">
        <f>#REF!-#REF!</f>
        <v>0.17458151306051128</v>
      </c>
      <c r="G165" s="25">
        <f>#REF!-#REF!</f>
        <v>2.4997121076552418</v>
      </c>
      <c r="H165" s="25">
        <f>#REF!-#REF!</f>
        <v>1.3959679043227258E-2</v>
      </c>
      <c r="I165" s="25">
        <f>#REF!-#REF!</f>
        <v>2.4857524286120167</v>
      </c>
      <c r="J165" s="25">
        <f>#REF!-#REF!</f>
        <v>0.92377554356033542</v>
      </c>
      <c r="K165" s="25">
        <f>#REF!-#REF!</f>
        <v>0.59301286414972698</v>
      </c>
      <c r="L165" s="25">
        <f>#REF!-#REF!</f>
        <v>0.25335066681943264</v>
      </c>
      <c r="M165" s="25">
        <f>#REF!-#REF!</f>
        <v>3.8144354973469796E-2</v>
      </c>
      <c r="N165" s="25">
        <f>#REF!-#REF!</f>
        <v>1.6296270034178731E-2</v>
      </c>
      <c r="O165" s="25">
        <f>#REF!-#REF!</f>
        <v>0.5548685091762573</v>
      </c>
      <c r="P165" s="25">
        <f>#REF!-#REF!</f>
        <v>0.23705439678525389</v>
      </c>
      <c r="Q165" s="25">
        <f>#REF!-#REF!</f>
        <v>1.7509742862796163E-2</v>
      </c>
      <c r="R165" s="25">
        <f>#REF!-#REF!</f>
        <v>7.4806219195375778E-3</v>
      </c>
      <c r="S165" s="25">
        <f>#REF!-#REF!</f>
        <v>0.250709914633922</v>
      </c>
      <c r="T165" s="25">
        <f>#REF!-#REF!</f>
        <v>0.10710985863994638</v>
      </c>
      <c r="U165" s="25">
        <f>#REF!-#REF!</f>
        <v>1.4000932069443417E-3</v>
      </c>
      <c r="V165" s="25">
        <f>#REF!-#REF!</f>
        <v>5.9815658147194251E-4</v>
      </c>
      <c r="W165" s="25">
        <f>#REF!-#REF!</f>
        <v>0.24930982142697822</v>
      </c>
      <c r="X165" s="25">
        <f>#REF!-#REF!</f>
        <v>0.10651170205847471</v>
      </c>
      <c r="Y165" s="25">
        <f>#REF!-#REF!</f>
        <v>9.2650544419756953E-2</v>
      </c>
      <c r="Z165" s="25">
        <f>#REF!-#REF!</f>
        <v>3.9582745382066964E-2</v>
      </c>
      <c r="AA165" s="12">
        <v>2333.7834064911899</v>
      </c>
      <c r="AB165" s="13">
        <v>997.05355143423003</v>
      </c>
      <c r="AC165">
        <f t="shared" si="36"/>
        <v>0.70285273677764504</v>
      </c>
      <c r="AD165">
        <f t="shared" si="37"/>
        <v>0.6576431538048344</v>
      </c>
      <c r="AE165">
        <f t="shared" si="38"/>
        <v>0.93567701937096781</v>
      </c>
      <c r="AF165">
        <f t="shared" si="39"/>
        <v>4.5209582972810684E-2</v>
      </c>
      <c r="AG165">
        <f t="shared" si="40"/>
        <v>6.4322980629032134E-2</v>
      </c>
      <c r="AH165">
        <f t="shared" si="41"/>
        <v>0.29714726322235491</v>
      </c>
      <c r="AI165">
        <f t="shared" si="42"/>
        <v>5.584514712904917E-3</v>
      </c>
      <c r="AJ165">
        <f t="shared" si="43"/>
        <v>0.994415485287096</v>
      </c>
      <c r="AK165">
        <f t="shared" si="44"/>
        <v>3.6046052545937917E-3</v>
      </c>
      <c r="AL165">
        <f t="shared" si="45"/>
        <v>8.4372277878364873E-3</v>
      </c>
    </row>
    <row r="166" spans="1:38" x14ac:dyDescent="0.35">
      <c r="A166" s="15" t="s">
        <v>41</v>
      </c>
      <c r="B166" s="22" t="s">
        <v>70</v>
      </c>
      <c r="C166" s="25">
        <f>#REF!-#REF!</f>
        <v>13.791972576402927</v>
      </c>
      <c r="D166" s="25">
        <f>#REF!-#REF!</f>
        <v>0.80433050390652472</v>
      </c>
      <c r="E166" s="25">
        <f>#REF!-#REF!</f>
        <v>12.987642072496399</v>
      </c>
      <c r="F166" s="25">
        <f>#REF!-#REF!</f>
        <v>0</v>
      </c>
      <c r="G166" s="25">
        <f>#REF!-#REF!</f>
        <v>2.7166011792179035E-2</v>
      </c>
      <c r="H166" s="25">
        <f>#REF!-#REF!</f>
        <v>0</v>
      </c>
      <c r="I166" s="25">
        <f>#REF!-#REF!</f>
        <v>2.7166011792179035E-2</v>
      </c>
      <c r="J166" s="25">
        <f>#REF!-#REF!</f>
        <v>0</v>
      </c>
      <c r="K166" s="25">
        <f>#REF!-#REF!</f>
        <v>3.3318004342018028</v>
      </c>
      <c r="L166" s="25">
        <f>#REF!-#REF!</f>
        <v>2.9432345816350125</v>
      </c>
      <c r="M166" s="25">
        <f>#REF!-#REF!</f>
        <v>0.19430641319158198</v>
      </c>
      <c r="N166" s="25">
        <f>#REF!-#REF!</f>
        <v>0.17164574110391839</v>
      </c>
      <c r="O166" s="25">
        <f>#REF!-#REF!</f>
        <v>3.1374940210102213</v>
      </c>
      <c r="P166" s="25">
        <f>#REF!-#REF!</f>
        <v>2.7715888405310931</v>
      </c>
      <c r="Q166" s="25">
        <f>#REF!-#REF!</f>
        <v>0</v>
      </c>
      <c r="R166" s="25">
        <f>#REF!-#REF!</f>
        <v>0</v>
      </c>
      <c r="S166" s="25">
        <f>#REF!-#REF!</f>
        <v>6.5626384756285461E-3</v>
      </c>
      <c r="T166" s="25">
        <f>#REF!-#REF!</f>
        <v>5.7972813467337403E-3</v>
      </c>
      <c r="U166" s="25">
        <f>#REF!-#REF!</f>
        <v>0</v>
      </c>
      <c r="V166" s="25">
        <f>#REF!-#REF!</f>
        <v>0</v>
      </c>
      <c r="W166" s="25">
        <f>#REF!-#REF!</f>
        <v>6.5626384756285461E-3</v>
      </c>
      <c r="X166" s="25">
        <f>#REF!-#REF!</f>
        <v>5.7972813467337403E-3</v>
      </c>
      <c r="Y166" s="25">
        <f>#REF!-#REF!</f>
        <v>0</v>
      </c>
      <c r="Z166" s="25">
        <f>#REF!-#REF!</f>
        <v>0</v>
      </c>
      <c r="AA166" s="12">
        <v>468.59916169988998</v>
      </c>
      <c r="AB166" s="13">
        <v>413.94954015926999</v>
      </c>
      <c r="AC166">
        <f t="shared" si="36"/>
        <v>0.99803417473391687</v>
      </c>
      <c r="AD166">
        <f t="shared" si="37"/>
        <v>0.93983007620974246</v>
      </c>
      <c r="AE166">
        <f t="shared" si="38"/>
        <v>0.94168125701738425</v>
      </c>
      <c r="AF166">
        <f t="shared" si="39"/>
        <v>5.8204098524174144E-2</v>
      </c>
      <c r="AG166">
        <f t="shared" si="40"/>
        <v>5.8318742982615579E-2</v>
      </c>
      <c r="AH166">
        <f t="shared" si="41"/>
        <v>1.9658252660831837E-3</v>
      </c>
      <c r="AI166">
        <f t="shared" si="42"/>
        <v>0</v>
      </c>
      <c r="AJ166">
        <f t="shared" si="43"/>
        <v>1</v>
      </c>
      <c r="AK166">
        <f t="shared" si="44"/>
        <v>2.949031862981745E-2</v>
      </c>
      <c r="AL166">
        <f t="shared" si="45"/>
        <v>3.3383630726774319E-2</v>
      </c>
    </row>
    <row r="167" spans="1:38" x14ac:dyDescent="0.35">
      <c r="A167" s="9" t="s">
        <v>42</v>
      </c>
      <c r="B167" s="22" t="s">
        <v>70</v>
      </c>
      <c r="C167" s="25">
        <f>#REF!-#REF!</f>
        <v>4.6620195461430924</v>
      </c>
      <c r="D167" s="25">
        <f>#REF!-#REF!</f>
        <v>0.36683396841928584</v>
      </c>
      <c r="E167" s="25">
        <f>#REF!-#REF!</f>
        <v>4.2951855777238066</v>
      </c>
      <c r="F167" s="25">
        <v>0</v>
      </c>
      <c r="G167" s="25">
        <f>#REF!-#REF!</f>
        <v>0.27410581093383257</v>
      </c>
      <c r="H167" s="25">
        <f>#REF!-#REF!</f>
        <v>0.11714663169012796</v>
      </c>
      <c r="I167" s="25">
        <f>#REF!-#REF!</f>
        <v>0.15695917924369951</v>
      </c>
      <c r="J167" s="25">
        <f>#REF!-#REF!</f>
        <v>0</v>
      </c>
      <c r="K167" s="25">
        <f>#REF!-#REF!</f>
        <v>0.94152252090010613</v>
      </c>
      <c r="L167" s="25">
        <f>#REF!-#REF!</f>
        <v>0.83951649909033765</v>
      </c>
      <c r="M167" s="25">
        <f>#REF!-#REF!</f>
        <v>7.4084297433641755E-2</v>
      </c>
      <c r="N167" s="25">
        <f>#REF!-#REF!</f>
        <v>6.6057888832652623E-2</v>
      </c>
      <c r="O167" s="25">
        <f>#REF!-#REF!</f>
        <v>0.86743822346646393</v>
      </c>
      <c r="P167" s="25">
        <f>#REF!-#REF!</f>
        <v>0.77345861025768503</v>
      </c>
      <c r="Q167" s="25">
        <f>#REF!-#REF!</f>
        <v>-3.7685345301872619E-2</v>
      </c>
      <c r="R167" s="25">
        <f>#REF!-#REF!</f>
        <v>-3.3602456077834741E-2</v>
      </c>
      <c r="S167" s="25">
        <f>#REF!-#REF!</f>
        <v>5.5357295598920331E-2</v>
      </c>
      <c r="T167" s="25">
        <f>#REF!-#REF!</f>
        <v>4.9359799652892278E-2</v>
      </c>
      <c r="U167" s="25">
        <f>#REF!-#REF!</f>
        <v>2.3658457647414644E-2</v>
      </c>
      <c r="V167" s="25">
        <f>#REF!-#REF!</f>
        <v>2.1095263360292826E-2</v>
      </c>
      <c r="W167" s="25">
        <f>#REF!-#REF!</f>
        <v>3.1698837951504188E-2</v>
      </c>
      <c r="X167" s="25">
        <f>#REF!-#REF!</f>
        <v>2.8264536292599729E-2</v>
      </c>
      <c r="Y167" s="25">
        <f>#REF!-#REF!</f>
        <v>0</v>
      </c>
      <c r="Z167" s="25">
        <f>#REF!-#REF!</f>
        <v>0</v>
      </c>
      <c r="AA167" s="12">
        <v>555.32196820367994</v>
      </c>
      <c r="AB167" s="13">
        <v>495.15751802582002</v>
      </c>
      <c r="AC167">
        <f t="shared" si="36"/>
        <v>0.94446943886041168</v>
      </c>
      <c r="AD167">
        <f t="shared" si="37"/>
        <v>0.87015326131573978</v>
      </c>
      <c r="AE167">
        <f t="shared" si="38"/>
        <v>0.92131436498957431</v>
      </c>
      <c r="AF167">
        <f t="shared" si="39"/>
        <v>7.4316177544671916E-2</v>
      </c>
      <c r="AG167">
        <f t="shared" si="40"/>
        <v>7.8685635010425692E-2</v>
      </c>
      <c r="AH167">
        <f t="shared" si="41"/>
        <v>5.5530561139588354E-2</v>
      </c>
      <c r="AI167">
        <f t="shared" si="42"/>
        <v>0.4273774105372995</v>
      </c>
      <c r="AJ167">
        <f t="shared" si="43"/>
        <v>0.57262258946268185</v>
      </c>
      <c r="AK167">
        <f t="shared" si="44"/>
        <v>8.8887629874322971E-3</v>
      </c>
      <c r="AL167">
        <f t="shared" si="45"/>
        <v>9.9687981649902568E-3</v>
      </c>
    </row>
    <row r="168" spans="1:38" x14ac:dyDescent="0.35">
      <c r="A168" s="15" t="s">
        <v>43</v>
      </c>
      <c r="B168" s="22" t="s">
        <v>70</v>
      </c>
      <c r="C168" s="25">
        <f>#REF!-#REF!</f>
        <v>4.84917598108634E-2</v>
      </c>
      <c r="D168" s="25">
        <f>#REF!-#REF!</f>
        <v>1.0609563743112727E-2</v>
      </c>
      <c r="E168" s="25">
        <f>#REF!-#REF!</f>
        <v>3.7882196067750229E-2</v>
      </c>
      <c r="F168" s="25">
        <f>#REF!-#REF!</f>
        <v>5.7826901482731508E-3</v>
      </c>
      <c r="G168" s="25">
        <f>#REF!-#REF!</f>
        <v>0.13779688645334431</v>
      </c>
      <c r="H168" s="25">
        <f>#REF!-#REF!</f>
        <v>1.5930275890559814E-4</v>
      </c>
      <c r="I168" s="25">
        <f>#REF!-#REF!</f>
        <v>0.1376375836944348</v>
      </c>
      <c r="J168" s="25">
        <f>#REF!-#REF!</f>
        <v>0</v>
      </c>
      <c r="K168" s="25">
        <f>#REF!-#REF!</f>
        <v>2.2487331501438668E-2</v>
      </c>
      <c r="L168" s="25">
        <f>#REF!-#REF!</f>
        <v>1.1902859693011969E-2</v>
      </c>
      <c r="M168" s="25">
        <f>#REF!-#REF!</f>
        <v>4.9200271944671581E-3</v>
      </c>
      <c r="N168" s="25">
        <f>#REF!-#REF!</f>
        <v>2.6042393415066645E-3</v>
      </c>
      <c r="O168" s="25">
        <f>#REF!-#REF!</f>
        <v>1.7567304306971288E-2</v>
      </c>
      <c r="P168" s="25">
        <f>#REF!-#REF!</f>
        <v>9.2986203515055266E-3</v>
      </c>
      <c r="Q168" s="25">
        <f>#REF!-#REF!</f>
        <v>2.6816364438313478E-3</v>
      </c>
      <c r="R168" s="25">
        <f>#REF!-#REF!</f>
        <v>1.4194277491995644E-3</v>
      </c>
      <c r="S168" s="25">
        <f>#REF!-#REF!</f>
        <v>6.3901254102312066E-2</v>
      </c>
      <c r="T168" s="25">
        <f>#REF!-#REF!</f>
        <v>3.3823829285333673E-2</v>
      </c>
      <c r="U168" s="25">
        <f>#REF!-#REF!</f>
        <v>7.3874282199206526E-5</v>
      </c>
      <c r="V168" s="25">
        <f>#REF!-#REF!</f>
        <v>3.9102692815415341E-5</v>
      </c>
      <c r="W168" s="25">
        <f>#REF!-#REF!</f>
        <v>6.3827379820114771E-2</v>
      </c>
      <c r="X168" s="25">
        <f>#REF!-#REF!</f>
        <v>3.378472659251841E-2</v>
      </c>
      <c r="Y168" s="25">
        <f>#REF!-#REF!</f>
        <v>0</v>
      </c>
      <c r="Z168" s="25">
        <f>#REF!-#REF!</f>
        <v>0</v>
      </c>
      <c r="AA168" s="12">
        <v>407.39587848230002</v>
      </c>
      <c r="AB168" s="13">
        <v>215.64034757863999</v>
      </c>
      <c r="AC168">
        <f t="shared" si="36"/>
        <v>0.26030442962202305</v>
      </c>
      <c r="AD168">
        <f t="shared" si="37"/>
        <v>0.20335214639985641</v>
      </c>
      <c r="AE168">
        <f t="shared" si="38"/>
        <v>0.78120893561102822</v>
      </c>
      <c r="AF168">
        <f t="shared" si="39"/>
        <v>5.6952283222164245E-2</v>
      </c>
      <c r="AG168">
        <f t="shared" si="40"/>
        <v>0.21879106438896267</v>
      </c>
      <c r="AH168">
        <f t="shared" si="41"/>
        <v>0.73969557037797695</v>
      </c>
      <c r="AI168">
        <f t="shared" si="42"/>
        <v>1.1560693641618335E-3</v>
      </c>
      <c r="AJ168">
        <f t="shared" si="43"/>
        <v>0.99884393063580967</v>
      </c>
      <c r="AK168">
        <f t="shared" si="44"/>
        <v>4.5726688978347467E-4</v>
      </c>
      <c r="AL168">
        <f t="shared" si="45"/>
        <v>8.638858560375476E-4</v>
      </c>
    </row>
    <row r="169" spans="1:38" x14ac:dyDescent="0.35">
      <c r="A169" s="15" t="s">
        <v>44</v>
      </c>
      <c r="B169" s="22" t="s">
        <v>70</v>
      </c>
      <c r="C169" s="25">
        <f>#REF!-#REF!</f>
        <v>11.8328660765875</v>
      </c>
      <c r="D169" s="25">
        <f>#REF!-#REF!</f>
        <v>3.4109288650499558E-4</v>
      </c>
      <c r="E169" s="25">
        <f>#REF!-#REF!</f>
        <v>11.832524983700997</v>
      </c>
      <c r="F169" s="25">
        <f>#REF!-#REF!</f>
        <v>21.994176816096299</v>
      </c>
      <c r="G169" s="25">
        <f>#REF!-#REF!</f>
        <v>33.062446307244088</v>
      </c>
      <c r="H169" s="25">
        <f>#REF!-#REF!</f>
        <v>25.12571084390953</v>
      </c>
      <c r="I169" s="25">
        <f>#REF!-#REF!</f>
        <v>7.9367354633345588</v>
      </c>
      <c r="J169" s="25">
        <f>#REF!-#REF!</f>
        <v>0</v>
      </c>
      <c r="K169" s="25">
        <f>#REF!-#REF!</f>
        <v>3.5576595296319602</v>
      </c>
      <c r="L169" s="25">
        <f>#REF!-#REF!</f>
        <v>3.8040028626403264</v>
      </c>
      <c r="M169" s="25">
        <f>#REF!-#REF!</f>
        <v>1.0255269943138662E-4</v>
      </c>
      <c r="N169" s="25">
        <f>#REF!-#REF!</f>
        <v>1.096537650551524E-4</v>
      </c>
      <c r="O169" s="25">
        <f>#REF!-#REF!</f>
        <v>3.5575569769325286</v>
      </c>
      <c r="P169" s="25">
        <f>#REF!-#REF!</f>
        <v>3.8038932088752717</v>
      </c>
      <c r="Q169" s="25">
        <f>#REF!-#REF!</f>
        <v>6.6127506421302549</v>
      </c>
      <c r="R169" s="25">
        <f>#REF!-#REF!</f>
        <v>7.0706379188545974</v>
      </c>
      <c r="S169" s="25">
        <f>#REF!-#REF!</f>
        <v>9.9405272075752222</v>
      </c>
      <c r="T169" s="25">
        <f>#REF!-#REF!</f>
        <v>10.628840010916399</v>
      </c>
      <c r="U169" s="25">
        <f>#REF!-#REF!</f>
        <v>7.5542750204429563</v>
      </c>
      <c r="V169" s="25">
        <f>#REF!-#REF!</f>
        <v>8.0773563528464187</v>
      </c>
      <c r="W169" s="25">
        <f>#REF!-#REF!</f>
        <v>2.3862521871322659</v>
      </c>
      <c r="X169" s="25">
        <f>#REF!-#REF!</f>
        <v>2.5514836580699805</v>
      </c>
      <c r="Y169" s="25">
        <f>#REF!-#REF!</f>
        <v>0</v>
      </c>
      <c r="Z169" s="25">
        <f>#REF!-#REF!</f>
        <v>0</v>
      </c>
      <c r="AA169" s="12">
        <v>311.06354290107998</v>
      </c>
      <c r="AB169" s="13">
        <v>332.60254327404999</v>
      </c>
      <c r="AC169">
        <f t="shared" si="36"/>
        <v>0.26356573656115018</v>
      </c>
      <c r="AD169">
        <f t="shared" si="37"/>
        <v>0.26355813904442982</v>
      </c>
      <c r="AE169">
        <f t="shared" si="38"/>
        <v>0.99997117411079484</v>
      </c>
      <c r="AF169">
        <f t="shared" si="39"/>
        <v>7.5975167204279297E-6</v>
      </c>
      <c r="AG169">
        <f t="shared" si="40"/>
        <v>2.8825889205311104E-5</v>
      </c>
      <c r="AH169">
        <f t="shared" si="41"/>
        <v>0.73643426343884977</v>
      </c>
      <c r="AI169">
        <f t="shared" si="42"/>
        <v>0.75994711977511498</v>
      </c>
      <c r="AJ169">
        <f t="shared" si="43"/>
        <v>0.24005288022488508</v>
      </c>
      <c r="AK169">
        <f t="shared" si="44"/>
        <v>0.14432842873556725</v>
      </c>
      <c r="AL169">
        <f t="shared" si="45"/>
        <v>0.1349818673720718</v>
      </c>
    </row>
    <row r="170" spans="1:38" x14ac:dyDescent="0.35">
      <c r="A170" s="15" t="s">
        <v>45</v>
      </c>
      <c r="B170" s="22" t="s">
        <v>70</v>
      </c>
      <c r="C170" s="25">
        <v>0</v>
      </c>
      <c r="D170" s="25">
        <v>0</v>
      </c>
      <c r="E170" s="25">
        <v>0</v>
      </c>
      <c r="F170" s="25">
        <f>#REF!-#REF!</f>
        <v>0</v>
      </c>
      <c r="G170" s="25">
        <f>#REF!-#REF!</f>
        <v>0.22987065939187667</v>
      </c>
      <c r="H170" s="25">
        <f>#REF!-#REF!</f>
        <v>0.1682830664882291</v>
      </c>
      <c r="I170" s="25">
        <f>#REF!-#REF!</f>
        <v>6.1587592903647459E-2</v>
      </c>
      <c r="J170" s="25">
        <f>#REF!-#REF!</f>
        <v>0</v>
      </c>
      <c r="K170" s="25">
        <f>#REF!-#REF!</f>
        <v>-0.3509528544069509</v>
      </c>
      <c r="L170" s="25">
        <f>#REF!-#REF!</f>
        <v>-0.20559322227792176</v>
      </c>
      <c r="M170" s="25">
        <f>#REF!-#REF!</f>
        <v>-0.14091711058537271</v>
      </c>
      <c r="N170" s="25">
        <f>#REF!-#REF!</f>
        <v>-8.2551267144693796E-2</v>
      </c>
      <c r="O170" s="25">
        <f>#REF!-#REF!</f>
        <v>-0.21003574382157808</v>
      </c>
      <c r="P170" s="25">
        <f>#REF!-#REF!</f>
        <v>-0.12304195513322824</v>
      </c>
      <c r="Q170" s="25">
        <f>#REF!-#REF!</f>
        <v>0</v>
      </c>
      <c r="R170" s="25">
        <f>#REF!-#REF!</f>
        <v>0</v>
      </c>
      <c r="S170" s="25">
        <f>#REF!-#REF!</f>
        <v>0.85467570013795235</v>
      </c>
      <c r="T170" s="25">
        <f>#REF!-#REF!</f>
        <v>0.50068129946094686</v>
      </c>
      <c r="U170" s="25">
        <f>#REF!-#REF!</f>
        <v>0.62568858527958593</v>
      </c>
      <c r="V170" s="25">
        <f>#REF!-#REF!</f>
        <v>0.36653735900658013</v>
      </c>
      <c r="W170" s="25">
        <f>#REF!-#REF!</f>
        <v>0.22898711485836665</v>
      </c>
      <c r="X170" s="25">
        <f>#REF!-#REF!</f>
        <v>0.13414394045436717</v>
      </c>
      <c r="Y170" s="25">
        <f>#REF!-#REF!</f>
        <v>0</v>
      </c>
      <c r="Z170" s="25">
        <f>#REF!-#REF!</f>
        <v>0</v>
      </c>
      <c r="AA170" s="12">
        <v>45.911572818750003</v>
      </c>
      <c r="AB170" s="13">
        <v>26.895658710639999</v>
      </c>
      <c r="AC170">
        <f t="shared" si="36"/>
        <v>0</v>
      </c>
      <c r="AD170">
        <f t="shared" si="37"/>
        <v>0</v>
      </c>
      <c r="AE170" t="e">
        <f t="shared" si="38"/>
        <v>#DIV/0!</v>
      </c>
      <c r="AF170">
        <f t="shared" si="39"/>
        <v>0</v>
      </c>
      <c r="AG170" t="e">
        <f t="shared" si="40"/>
        <v>#DIV/0!</v>
      </c>
      <c r="AH170">
        <f t="shared" si="41"/>
        <v>1</v>
      </c>
      <c r="AI170">
        <f t="shared" si="42"/>
        <v>0.7320771904227461</v>
      </c>
      <c r="AJ170">
        <f t="shared" si="43"/>
        <v>0.26792280957725345</v>
      </c>
      <c r="AK170">
        <f t="shared" si="44"/>
        <v>5.0068129946094749E-3</v>
      </c>
      <c r="AL170">
        <f t="shared" si="45"/>
        <v>8.546757001379527E-3</v>
      </c>
    </row>
    <row r="171" spans="1:38" x14ac:dyDescent="0.35">
      <c r="A171" s="15" t="s">
        <v>46</v>
      </c>
      <c r="B171" s="22" t="s">
        <v>70</v>
      </c>
      <c r="C171" s="25">
        <v>0</v>
      </c>
      <c r="D171" s="25">
        <f>#REF!-#REF!</f>
        <v>5.5841246461700855E-3</v>
      </c>
      <c r="E171" s="25">
        <v>0</v>
      </c>
      <c r="F171" s="25">
        <v>0</v>
      </c>
      <c r="G171" s="25">
        <v>0</v>
      </c>
      <c r="H171" s="25">
        <v>0</v>
      </c>
      <c r="I171" s="25">
        <v>0</v>
      </c>
      <c r="J171" s="25">
        <f>#REF!-#REF!</f>
        <v>3.4268640238179242</v>
      </c>
      <c r="K171" s="25">
        <f>#REF!-#REF!</f>
        <v>-0.42185555433477262</v>
      </c>
      <c r="L171" s="25">
        <f>#REF!-#REF!</f>
        <v>-0.4232209256199333</v>
      </c>
      <c r="M171" s="25">
        <f>#REF!-#REF!</f>
        <v>2.1920520780615016E-3</v>
      </c>
      <c r="N171" s="25">
        <f>#REF!-#REF!</f>
        <v>2.1991468405512249E-3</v>
      </c>
      <c r="O171" s="25">
        <f>#REF!-#REF!</f>
        <v>-0.42404760641283445</v>
      </c>
      <c r="P171" s="25">
        <f>#REF!-#REF!</f>
        <v>-0.42542007246048485</v>
      </c>
      <c r="Q171" s="25">
        <f>#REF!-#REF!</f>
        <v>-0.95818785645523952</v>
      </c>
      <c r="R171" s="25">
        <f>#REF!-#REF!</f>
        <v>-0.96128911273016715</v>
      </c>
      <c r="S171" s="25">
        <f>#REF!-#REF!</f>
        <v>-0.66282416025876145</v>
      </c>
      <c r="T171" s="25">
        <f>#REF!-#REF!</f>
        <v>-0.66496944687696224</v>
      </c>
      <c r="U171" s="25">
        <f>#REF!-#REF!</f>
        <v>-0.3645015795782498</v>
      </c>
      <c r="V171" s="25">
        <f>#REF!-#REF!</f>
        <v>-0.36568131985910646</v>
      </c>
      <c r="W171" s="25">
        <f>#REF!-#REF!</f>
        <v>-0.29832258068051143</v>
      </c>
      <c r="X171" s="25">
        <f>#REF!-#REF!</f>
        <v>-0.29928812701785557</v>
      </c>
      <c r="Y171" s="25">
        <f>#REF!-#REF!</f>
        <v>1.3452178954845246</v>
      </c>
      <c r="Z171" s="25">
        <f>#REF!-#REF!</f>
        <v>1.3495718073102803</v>
      </c>
      <c r="AA171" s="12">
        <v>253.92231856471</v>
      </c>
      <c r="AB171" s="13">
        <v>254.7441596875</v>
      </c>
      <c r="AC171" t="e">
        <f t="shared" si="36"/>
        <v>#DIV/0!</v>
      </c>
      <c r="AD171" t="e">
        <f t="shared" si="37"/>
        <v>#DIV/0!</v>
      </c>
      <c r="AE171" t="e">
        <f t="shared" si="38"/>
        <v>#DIV/0!</v>
      </c>
      <c r="AF171" t="e">
        <f t="shared" si="39"/>
        <v>#DIV/0!</v>
      </c>
      <c r="AG171" t="e">
        <f t="shared" si="40"/>
        <v>#DIV/0!</v>
      </c>
      <c r="AH171" t="e">
        <f t="shared" si="41"/>
        <v>#DIV/0!</v>
      </c>
      <c r="AI171" t="e">
        <f t="shared" si="42"/>
        <v>#DIV/0!</v>
      </c>
      <c r="AJ171" t="e">
        <f t="shared" si="43"/>
        <v>#DIV/0!</v>
      </c>
      <c r="AK171">
        <f t="shared" si="44"/>
        <v>0</v>
      </c>
      <c r="AL171">
        <f t="shared" si="45"/>
        <v>0</v>
      </c>
    </row>
    <row r="172" spans="1:38" x14ac:dyDescent="0.35">
      <c r="A172" s="15" t="s">
        <v>47</v>
      </c>
      <c r="B172" s="22" t="s">
        <v>70</v>
      </c>
      <c r="C172" s="25">
        <f>#REF!-#REF!</f>
        <v>4.1228112206977841</v>
      </c>
      <c r="D172" s="25">
        <f>#REF!-#REF!</f>
        <v>0.35377522402826478</v>
      </c>
      <c r="E172" s="25">
        <f>#REF!-#REF!</f>
        <v>3.7690359966695191</v>
      </c>
      <c r="F172" s="25">
        <v>0</v>
      </c>
      <c r="G172" s="25">
        <v>0</v>
      </c>
      <c r="H172" s="25">
        <v>0</v>
      </c>
      <c r="I172" s="25">
        <f>#REF!-#REF!</f>
        <v>0.45400624377633791</v>
      </c>
      <c r="J172" s="25">
        <f>#REF!-#REF!</f>
        <v>0</v>
      </c>
      <c r="K172" s="25">
        <f>#REF!-#REF!</f>
        <v>2.021947227357126</v>
      </c>
      <c r="L172" s="25">
        <f>#REF!-#REF!</f>
        <v>1.3672303225363169</v>
      </c>
      <c r="M172" s="25">
        <f>#REF!-#REF!</f>
        <v>0.17350171886126975</v>
      </c>
      <c r="N172" s="25">
        <f>#REF!-#REF!</f>
        <v>0.11732097051284782</v>
      </c>
      <c r="O172" s="25">
        <f>#REF!-#REF!</f>
        <v>1.8484455084958551</v>
      </c>
      <c r="P172" s="25">
        <f>#REF!-#REF!</f>
        <v>1.2499093520234696</v>
      </c>
      <c r="Q172" s="25">
        <f>#REF!-#REF!</f>
        <v>-0.46433122426293566</v>
      </c>
      <c r="R172" s="25">
        <f>#REF!-#REF!</f>
        <v>-0.31397838723145272</v>
      </c>
      <c r="S172" s="25">
        <f>#REF!-#REF!</f>
        <v>-1.0228538864231318</v>
      </c>
      <c r="T172" s="25">
        <f>#REF!-#REF!</f>
        <v>-0.69164854063464798</v>
      </c>
      <c r="U172" s="25">
        <f>#REF!-#REF!</f>
        <v>-1.2455118294300451</v>
      </c>
      <c r="V172" s="25">
        <f>#REF!-#REF!</f>
        <v>-0.84220869725679992</v>
      </c>
      <c r="W172" s="25">
        <f>#REF!-#REF!</f>
        <v>0.22265794300691311</v>
      </c>
      <c r="X172" s="25">
        <f>#REF!-#REF!</f>
        <v>0.15056015662215227</v>
      </c>
      <c r="Y172" s="25">
        <f>#REF!-#REF!</f>
        <v>0</v>
      </c>
      <c r="Z172" s="25">
        <f>#REF!-#REF!</f>
        <v>0</v>
      </c>
      <c r="AA172" s="12">
        <v>301.54474727050001</v>
      </c>
      <c r="AB172" s="13">
        <v>203.90300819506001</v>
      </c>
      <c r="AC172">
        <f t="shared" si="36"/>
        <v>1</v>
      </c>
      <c r="AD172">
        <f t="shared" si="37"/>
        <v>0.91419077782358693</v>
      </c>
      <c r="AE172">
        <f t="shared" si="38"/>
        <v>0.91419077782358693</v>
      </c>
      <c r="AF172">
        <f t="shared" si="39"/>
        <v>8.5809222176413028E-2</v>
      </c>
      <c r="AG172">
        <f t="shared" si="40"/>
        <v>8.5809222176413028E-2</v>
      </c>
      <c r="AH172">
        <f t="shared" si="41"/>
        <v>0</v>
      </c>
      <c r="AI172" t="e">
        <f t="shared" si="42"/>
        <v>#DIV/0!</v>
      </c>
      <c r="AJ172" t="e">
        <f t="shared" si="43"/>
        <v>#DIV/0!</v>
      </c>
      <c r="AK172">
        <f t="shared" si="44"/>
        <v>1.3672303225363187E-2</v>
      </c>
      <c r="AL172">
        <f t="shared" si="45"/>
        <v>2.0219472273571234E-2</v>
      </c>
    </row>
    <row r="173" spans="1:38" x14ac:dyDescent="0.35">
      <c r="A173" s="15" t="s">
        <v>48</v>
      </c>
      <c r="B173" s="22" t="s">
        <v>70</v>
      </c>
      <c r="C173" s="25">
        <f>#REF!-#REF!</f>
        <v>1.1003161672985491</v>
      </c>
      <c r="D173" s="25">
        <f>#REF!-#REF!</f>
        <v>5.4677508422957787E-2</v>
      </c>
      <c r="E173" s="25">
        <f>#REF!-#REF!</f>
        <v>1.045638658875591</v>
      </c>
      <c r="F173" s="25">
        <f>#REF!-#REF!</f>
        <v>0</v>
      </c>
      <c r="G173" s="25">
        <v>0</v>
      </c>
      <c r="H173" s="25">
        <f>#REF!-#REF!</f>
        <v>0.1</v>
      </c>
      <c r="I173" s="25">
        <v>0</v>
      </c>
      <c r="J173" s="25">
        <f>#REF!-#REF!</f>
        <v>0</v>
      </c>
      <c r="K173" s="25">
        <f>#REF!-#REF!</f>
        <v>5.307844556033416</v>
      </c>
      <c r="L173" s="25">
        <f>#REF!-#REF!</f>
        <v>5.7701396314342324</v>
      </c>
      <c r="M173" s="25">
        <f>#REF!-#REF!</f>
        <v>0.26376029367341147</v>
      </c>
      <c r="N173" s="25">
        <f>#REF!-#REF!</f>
        <v>0.28673291157211911</v>
      </c>
      <c r="O173" s="25">
        <f>#REF!-#REF!</f>
        <v>5.0440842623600037</v>
      </c>
      <c r="P173" s="25">
        <f>#REF!-#REF!</f>
        <v>5.4834067198621126</v>
      </c>
      <c r="Q173" s="25">
        <f>#REF!-#REF!</f>
        <v>0</v>
      </c>
      <c r="R173" s="25">
        <f>#REF!-#REF!</f>
        <v>0</v>
      </c>
      <c r="S173" s="25">
        <f>#REF!-#REF!</f>
        <v>-2.8162568550750504</v>
      </c>
      <c r="T173" s="25">
        <f>#REF!-#REF!</f>
        <v>-3.0615431782559117</v>
      </c>
      <c r="U173" s="25">
        <f>#REF!-#REF!</f>
        <v>0.48239267165046013</v>
      </c>
      <c r="V173" s="25">
        <f>#REF!-#REF!</f>
        <v>0.52440742060537404</v>
      </c>
      <c r="W173" s="25">
        <f>#REF!-#REF!</f>
        <v>-3.2986495267255105</v>
      </c>
      <c r="X173" s="25">
        <f>#REF!-#REF!</f>
        <v>-3.5859505988612859</v>
      </c>
      <c r="Y173" s="25">
        <f>#REF!-#REF!</f>
        <v>0</v>
      </c>
      <c r="Z173" s="25">
        <f>#REF!-#REF!</f>
        <v>0</v>
      </c>
      <c r="AA173" s="12">
        <v>19.06914282116</v>
      </c>
      <c r="AB173" s="13">
        <v>20.729999827290001</v>
      </c>
      <c r="AC173">
        <f t="shared" si="36"/>
        <v>1</v>
      </c>
      <c r="AD173">
        <f t="shared" si="37"/>
        <v>0.95030745703100949</v>
      </c>
      <c r="AE173">
        <f t="shared" si="38"/>
        <v>0.95030745703100949</v>
      </c>
      <c r="AF173">
        <f t="shared" si="39"/>
        <v>4.9692542968990221E-2</v>
      </c>
      <c r="AG173">
        <f t="shared" si="40"/>
        <v>4.9692542968990221E-2</v>
      </c>
      <c r="AH173">
        <f t="shared" si="41"/>
        <v>0</v>
      </c>
      <c r="AI173" t="e">
        <f t="shared" si="42"/>
        <v>#DIV/0!</v>
      </c>
      <c r="AJ173" t="e">
        <f t="shared" si="43"/>
        <v>#DIV/0!</v>
      </c>
      <c r="AK173">
        <f t="shared" si="44"/>
        <v>5.7701396314342332E-2</v>
      </c>
      <c r="AL173">
        <f t="shared" si="45"/>
        <v>5.307844556033417E-2</v>
      </c>
    </row>
    <row r="174" spans="1:38" x14ac:dyDescent="0.35">
      <c r="A174" s="15" t="s">
        <v>49</v>
      </c>
      <c r="B174" s="22" t="s">
        <v>70</v>
      </c>
      <c r="C174" s="25">
        <f>#REF!-#REF!</f>
        <v>14.15911182500178</v>
      </c>
      <c r="D174" s="25">
        <f>#REF!-#REF!</f>
        <v>2.8576480235392485</v>
      </c>
      <c r="E174" s="25">
        <f>#REF!-#REF!</f>
        <v>11.301463801462528</v>
      </c>
      <c r="F174" s="25">
        <v>0</v>
      </c>
      <c r="G174" s="25">
        <f>#REF!-#REF!</f>
        <v>1.6810953910718078</v>
      </c>
      <c r="H174" s="25">
        <f>#REF!-#REF!</f>
        <v>1.7680361816561088</v>
      </c>
      <c r="I174" s="25">
        <v>0</v>
      </c>
      <c r="J174" s="25">
        <f>#REF!-#REF!</f>
        <v>0</v>
      </c>
      <c r="K174" s="25">
        <f>#REF!-#REF!</f>
        <v>3.8116783449826475</v>
      </c>
      <c r="L174" s="25">
        <f>#REF!-#REF!</f>
        <v>3.388232818033738</v>
      </c>
      <c r="M174" s="25">
        <f>#REF!-#REF!</f>
        <v>0.7692880191590441</v>
      </c>
      <c r="N174" s="25">
        <f>#REF!-#REF!</f>
        <v>0.68382656591835456</v>
      </c>
      <c r="O174" s="25">
        <f>#REF!-#REF!</f>
        <v>3.0423903258236029</v>
      </c>
      <c r="P174" s="25">
        <f>#REF!-#REF!</f>
        <v>2.7044062521153833</v>
      </c>
      <c r="Q174" s="25">
        <f>#REF!-#REF!</f>
        <v>-2.3404739849620326E-2</v>
      </c>
      <c r="R174" s="25">
        <f>#REF!-#REF!</f>
        <v>-2.0804669355275029E-2</v>
      </c>
      <c r="S174" s="25">
        <f>#REF!-#REF!</f>
        <v>0.45255627451743341</v>
      </c>
      <c r="T174" s="25">
        <f>#REF!-#REF!</f>
        <v>0.40228106428377952</v>
      </c>
      <c r="U174" s="25">
        <f>#REF!-#REF!</f>
        <v>0.47596101436705396</v>
      </c>
      <c r="V174" s="25">
        <f>#REF!-#REF!</f>
        <v>0.42308573363905433</v>
      </c>
      <c r="W174" s="25">
        <f>#REF!-#REF!</f>
        <v>-2.3404739849620326E-2</v>
      </c>
      <c r="X174" s="25">
        <f>#REF!-#REF!</f>
        <v>-2.0804669355275029E-2</v>
      </c>
      <c r="Y174" s="25">
        <f>#REF!-#REF!</f>
        <v>0</v>
      </c>
      <c r="Z174" s="25">
        <f>#REF!-#REF!</f>
        <v>0</v>
      </c>
      <c r="AA174" s="12">
        <v>417.89075855828003</v>
      </c>
      <c r="AB174" s="13">
        <v>371.46659669328</v>
      </c>
      <c r="AC174">
        <f t="shared" si="36"/>
        <v>0.89387162881518722</v>
      </c>
      <c r="AD174">
        <f t="shared" si="37"/>
        <v>0.71346691664453454</v>
      </c>
      <c r="AE174">
        <f t="shared" si="38"/>
        <v>0.79817603965149186</v>
      </c>
      <c r="AF174">
        <f t="shared" si="39"/>
        <v>0.18040471217065251</v>
      </c>
      <c r="AG174">
        <f t="shared" si="40"/>
        <v>0.20182396034850789</v>
      </c>
      <c r="AH174">
        <f t="shared" si="41"/>
        <v>0.1061283711848128</v>
      </c>
      <c r="AI174">
        <f t="shared" si="42"/>
        <v>1.0517167503081848</v>
      </c>
      <c r="AJ174">
        <f t="shared" si="43"/>
        <v>0</v>
      </c>
      <c r="AK174">
        <f t="shared" si="44"/>
        <v>3.7905138823175186E-2</v>
      </c>
      <c r="AL174">
        <f t="shared" si="45"/>
        <v>4.2642346195000805E-2</v>
      </c>
    </row>
    <row r="175" spans="1:38" x14ac:dyDescent="0.35">
      <c r="A175" s="15" t="s">
        <v>50</v>
      </c>
      <c r="B175" s="22" t="s">
        <v>70</v>
      </c>
      <c r="C175" s="25">
        <f>#REF!-#REF!</f>
        <v>13.341642509066691</v>
      </c>
      <c r="D175" s="25">
        <f>#REF!-#REF!</f>
        <v>0.55317835395472414</v>
      </c>
      <c r="E175" s="25">
        <f>#REF!-#REF!</f>
        <v>12.788464155111971</v>
      </c>
      <c r="F175" s="25">
        <f>#REF!-#REF!</f>
        <v>1.608478852955697E-2</v>
      </c>
      <c r="G175" s="25">
        <f>#REF!-#REF!</f>
        <v>7.0403264603798448</v>
      </c>
      <c r="H175" s="25">
        <f>#REF!-#REF!</f>
        <v>2.6177261216507137</v>
      </c>
      <c r="I175" s="25">
        <f>#REF!-#REF!</f>
        <v>4.4226003387291293</v>
      </c>
      <c r="J175" s="25">
        <f>#REF!-#REF!</f>
        <v>0</v>
      </c>
      <c r="K175" s="25">
        <f>#REF!-#REF!</f>
        <v>3.7219307879532995</v>
      </c>
      <c r="L175" s="25">
        <f>#REF!-#REF!</f>
        <v>3.8965451906036996</v>
      </c>
      <c r="M175" s="25">
        <f>#REF!-#REF!</f>
        <v>0.15432069517784175</v>
      </c>
      <c r="N175" s="25">
        <f>#REF!-#REF!</f>
        <v>0.16156065141031384</v>
      </c>
      <c r="O175" s="25">
        <f>#REF!-#REF!</f>
        <v>3.5676100927754586</v>
      </c>
      <c r="P175" s="25">
        <f>#REF!-#REF!</f>
        <v>3.7349845391933858</v>
      </c>
      <c r="Q175" s="25">
        <f>#REF!-#REF!</f>
        <v>4.4871888603814636E-3</v>
      </c>
      <c r="R175" s="25">
        <f>#REF!-#REF!</f>
        <v>4.6977053495571575E-3</v>
      </c>
      <c r="S175" s="25">
        <f>#REF!-#REF!</f>
        <v>1.9640466151242331</v>
      </c>
      <c r="T175" s="25">
        <f>#REF!-#REF!</f>
        <v>2.0561898724861045</v>
      </c>
      <c r="U175" s="25">
        <f>#REF!-#REF!</f>
        <v>0.73026956313514213</v>
      </c>
      <c r="V175" s="25">
        <f>#REF!-#REF!</f>
        <v>0.76453016356149583</v>
      </c>
      <c r="W175" s="25">
        <f>#REF!-#REF!</f>
        <v>1.2337770519890903</v>
      </c>
      <c r="X175" s="25">
        <f>#REF!-#REF!</f>
        <v>1.2916597089246089</v>
      </c>
      <c r="Y175" s="25">
        <f>#REF!-#REF!</f>
        <v>0</v>
      </c>
      <c r="Z175" s="25">
        <f>#REF!-#REF!</f>
        <v>0</v>
      </c>
      <c r="AA175" s="12">
        <v>342.39670930134002</v>
      </c>
      <c r="AB175" s="13">
        <v>358.46025273358998</v>
      </c>
      <c r="AC175">
        <f t="shared" si="36"/>
        <v>0.65458065062636483</v>
      </c>
      <c r="AD175">
        <f t="shared" si="37"/>
        <v>0.62744007579848826</v>
      </c>
      <c r="AE175">
        <f t="shared" si="38"/>
        <v>0.95853746241673077</v>
      </c>
      <c r="AF175">
        <f t="shared" si="39"/>
        <v>2.7140574827876674E-2</v>
      </c>
      <c r="AG175">
        <f t="shared" si="40"/>
        <v>4.1462537583269538E-2</v>
      </c>
      <c r="AH175">
        <f t="shared" si="41"/>
        <v>0.34541934937363522</v>
      </c>
      <c r="AI175">
        <f t="shared" si="42"/>
        <v>0.37181885476223786</v>
      </c>
      <c r="AJ175">
        <f t="shared" si="43"/>
        <v>0.62818114523776192</v>
      </c>
      <c r="AK175">
        <f t="shared" si="44"/>
        <v>5.9527350630898042E-2</v>
      </c>
      <c r="AL175">
        <f t="shared" si="45"/>
        <v>5.6859774030775315E-2</v>
      </c>
    </row>
    <row r="176" spans="1:38" x14ac:dyDescent="0.35">
      <c r="A176" s="19" t="s">
        <v>51</v>
      </c>
      <c r="B176" s="22" t="s">
        <v>70</v>
      </c>
      <c r="C176" s="25">
        <f>#REF!-#REF!</f>
        <v>0.29461204530702156</v>
      </c>
      <c r="D176" s="25">
        <f>#REF!-#REF!</f>
        <v>0.44007731725619964</v>
      </c>
      <c r="E176" s="25">
        <v>0</v>
      </c>
      <c r="F176" s="25">
        <f>#REF!-#REF!</f>
        <v>0</v>
      </c>
      <c r="G176" s="25">
        <f>#REF!-#REF!</f>
        <v>6.6639612864809128E-2</v>
      </c>
      <c r="H176" s="25">
        <f>#REF!-#REF!</f>
        <v>6.1972289180490719E-2</v>
      </c>
      <c r="I176" s="25">
        <f>#REF!-#REF!</f>
        <v>4.6673236843185473E-3</v>
      </c>
      <c r="J176" s="25">
        <f>#REF!-#REF!</f>
        <v>0</v>
      </c>
      <c r="K176" s="25">
        <f>#REF!-#REF!</f>
        <v>0.976827878117561</v>
      </c>
      <c r="L176" s="25">
        <f>#REF!-#REF!</f>
        <v>0.53157394248286405</v>
      </c>
      <c r="M176" s="25">
        <f>#REF!-#REF!</f>
        <v>1.4591385480354555</v>
      </c>
      <c r="N176" s="25">
        <f>#REF!-#REF!</f>
        <v>0.79403961330696116</v>
      </c>
      <c r="O176" s="25">
        <f>#REF!-#REF!</f>
        <v>-0.48231066991789362</v>
      </c>
      <c r="P176" s="25">
        <f>#REF!-#REF!</f>
        <v>-0.26246567082409733</v>
      </c>
      <c r="Q176" s="25">
        <f>#REF!-#REF!</f>
        <v>0</v>
      </c>
      <c r="R176" s="25">
        <f>#REF!-#REF!</f>
        <v>0</v>
      </c>
      <c r="S176" s="25">
        <f>#REF!-#REF!</f>
        <v>0.22095305562089251</v>
      </c>
      <c r="T176" s="25">
        <f>#REF!-#REF!</f>
        <v>0.12023908153233354</v>
      </c>
      <c r="U176" s="25">
        <f>#REF!-#REF!</f>
        <v>0.20547788424326185</v>
      </c>
      <c r="V176" s="25">
        <f>#REF!-#REF!</f>
        <v>0.11181774339888634</v>
      </c>
      <c r="W176" s="25">
        <f>#REF!-#REF!</f>
        <v>1.5475171377631103E-2</v>
      </c>
      <c r="X176" s="25">
        <f>#REF!-#REF!</f>
        <v>8.4213381334472537E-3</v>
      </c>
      <c r="Y176" s="25">
        <f>#REF!-#REF!</f>
        <v>0</v>
      </c>
      <c r="Z176" s="25">
        <f>#REF!-#REF!</f>
        <v>0</v>
      </c>
      <c r="AA176" s="20">
        <v>55.422589739999999</v>
      </c>
      <c r="AB176" s="13">
        <v>30.160077523049999</v>
      </c>
      <c r="AC176">
        <f t="shared" si="36"/>
        <v>0.81553133014793877</v>
      </c>
      <c r="AD176">
        <f t="shared" si="37"/>
        <v>0</v>
      </c>
      <c r="AE176">
        <f t="shared" si="38"/>
        <v>0</v>
      </c>
      <c r="AF176">
        <f t="shared" si="39"/>
        <v>1.2182015149308332</v>
      </c>
      <c r="AG176">
        <f t="shared" si="40"/>
        <v>1.4937519502896957</v>
      </c>
      <c r="AH176">
        <f t="shared" si="41"/>
        <v>0.18446866985206128</v>
      </c>
      <c r="AI176">
        <f t="shared" si="42"/>
        <v>0.92996172271008015</v>
      </c>
      <c r="AJ176">
        <f t="shared" si="43"/>
        <v>7.0038277289921888E-2</v>
      </c>
      <c r="AK176">
        <f t="shared" si="44"/>
        <v>6.5181302401519769E-3</v>
      </c>
      <c r="AL176">
        <f t="shared" si="45"/>
        <v>1.1977809337384567E-2</v>
      </c>
    </row>
    <row r="177" spans="1:38" x14ac:dyDescent="0.35">
      <c r="A177" s="15" t="s">
        <v>52</v>
      </c>
      <c r="B177" s="22" t="s">
        <v>70</v>
      </c>
      <c r="C177" s="25">
        <f>#REF!-#REF!</f>
        <v>1.0191779364477664</v>
      </c>
      <c r="D177" s="25">
        <f>#REF!-#REF!</f>
        <v>0.1612886831869611</v>
      </c>
      <c r="E177" s="25">
        <f>#REF!-#REF!</f>
        <v>0.85788925326080534</v>
      </c>
      <c r="F177" s="25">
        <v>0</v>
      </c>
      <c r="G177" s="25">
        <v>0</v>
      </c>
      <c r="H177" s="25">
        <f>#REF!-#REF!</f>
        <v>5.8029995609220342E-2</v>
      </c>
      <c r="I177" s="25">
        <v>0</v>
      </c>
      <c r="J177" s="25">
        <f>#REF!-#REF!</f>
        <v>0</v>
      </c>
      <c r="K177" s="25">
        <f>#REF!-#REF!</f>
        <v>2.1137416878925004</v>
      </c>
      <c r="L177" s="25">
        <f>#REF!-#REF!</f>
        <v>1.0492270289661181</v>
      </c>
      <c r="M177" s="25">
        <f>#REF!-#REF!</f>
        <v>0.33450745080472855</v>
      </c>
      <c r="N177" s="25">
        <f>#REF!-#REF!</f>
        <v>0.16604406337124999</v>
      </c>
      <c r="O177" s="25">
        <f>#REF!-#REF!</f>
        <v>1.7792342370877723</v>
      </c>
      <c r="P177" s="25">
        <f>#REF!-#REF!</f>
        <v>0.8831829655948682</v>
      </c>
      <c r="Q177" s="25">
        <f>#REF!-#REF!</f>
        <v>-2.069233735402157</v>
      </c>
      <c r="R177" s="25">
        <f>#REF!-#REF!</f>
        <v>-1.0271340045325743</v>
      </c>
      <c r="S177" s="25">
        <f>#REF!-#REF!</f>
        <v>-0.81767595859095099</v>
      </c>
      <c r="T177" s="25">
        <f>#REF!-#REF!</f>
        <v>-0.40588105992497137</v>
      </c>
      <c r="U177" s="25">
        <f>#REF!-#REF!</f>
        <v>0.12035231187887319</v>
      </c>
      <c r="V177" s="25">
        <f>#REF!-#REF!</f>
        <v>5.9740932085120324E-2</v>
      </c>
      <c r="W177" s="25">
        <f>#REF!-#REF!</f>
        <v>-0.9380282704698244</v>
      </c>
      <c r="X177" s="25">
        <f>#REF!-#REF!</f>
        <v>-0.46562199201009169</v>
      </c>
      <c r="Y177" s="25">
        <f>#REF!-#REF!</f>
        <v>0</v>
      </c>
      <c r="Z177" s="25">
        <f>#REF!-#REF!</f>
        <v>0</v>
      </c>
      <c r="AA177" s="12">
        <v>97.136073348400004</v>
      </c>
      <c r="AB177" s="13">
        <v>48.216768505140003</v>
      </c>
      <c r="AC177">
        <f t="shared" si="36"/>
        <v>1</v>
      </c>
      <c r="AD177">
        <f t="shared" si="37"/>
        <v>0.84174629628549924</v>
      </c>
      <c r="AE177">
        <f t="shared" si="38"/>
        <v>0.84174629628549924</v>
      </c>
      <c r="AF177">
        <f t="shared" si="39"/>
        <v>0.15825370371450076</v>
      </c>
      <c r="AG177">
        <f t="shared" si="40"/>
        <v>0.15825370371450076</v>
      </c>
      <c r="AH177">
        <f t="shared" si="41"/>
        <v>0</v>
      </c>
      <c r="AI177" t="e">
        <f t="shared" si="42"/>
        <v>#DIV/0!</v>
      </c>
      <c r="AJ177" t="e">
        <f t="shared" si="43"/>
        <v>#DIV/0!</v>
      </c>
      <c r="AK177">
        <f t="shared" si="44"/>
        <v>1.0492270289661178E-2</v>
      </c>
      <c r="AL177">
        <f t="shared" si="45"/>
        <v>2.1137416878925015E-2</v>
      </c>
    </row>
    <row r="178" spans="1:38" x14ac:dyDescent="0.35">
      <c r="A178" s="15" t="s">
        <v>53</v>
      </c>
      <c r="B178" s="22" t="s">
        <v>70</v>
      </c>
      <c r="C178" s="25">
        <f>#REF!-#REF!</f>
        <v>0.12197614489762643</v>
      </c>
      <c r="D178" s="25">
        <f>#REF!-#REF!</f>
        <v>0.11473187508637858</v>
      </c>
      <c r="E178" s="25">
        <f>#REF!-#REF!</f>
        <v>7.2442698112475945E-3</v>
      </c>
      <c r="F178" s="25">
        <f>#REF!-#REF!</f>
        <v>2.4720318780149242E-3</v>
      </c>
      <c r="G178" s="25">
        <f>#REF!-#REF!</f>
        <v>8.7534926885912689E-3</v>
      </c>
      <c r="H178" s="25">
        <f>#REF!-#REF!</f>
        <v>1.2073783018746731E-3</v>
      </c>
      <c r="I178" s="25">
        <f>#REF!-#REF!</f>
        <v>7.5461143867165958E-3</v>
      </c>
      <c r="J178" s="25">
        <v>0</v>
      </c>
      <c r="K178" s="25">
        <f>#REF!-#REF!</f>
        <v>0.18326432395663517</v>
      </c>
      <c r="L178" s="25">
        <f>#REF!-#REF!</f>
        <v>0.18385549971363879</v>
      </c>
      <c r="M178" s="25">
        <f>#REF!-#REF!</f>
        <v>0.17238009564599355</v>
      </c>
      <c r="N178" s="25">
        <f>#REF!-#REF!</f>
        <v>0.17293616095830111</v>
      </c>
      <c r="O178" s="25">
        <f>#REF!-#REF!</f>
        <v>1.0884228310642285E-2</v>
      </c>
      <c r="P178" s="25">
        <f>#REF!-#REF!</f>
        <v>1.0919338755337904E-2</v>
      </c>
      <c r="Q178" s="25">
        <f>#REF!-#REF!</f>
        <v>3.714129933388044E-3</v>
      </c>
      <c r="R178" s="25">
        <f>#REF!-#REF!</f>
        <v>3.726111008196753E-3</v>
      </c>
      <c r="S178" s="25">
        <f>#REF!-#REF!</f>
        <v>1.3151775875360983E-2</v>
      </c>
      <c r="T178" s="25">
        <f>#REF!-#REF!</f>
        <v>1.3194200996034411E-2</v>
      </c>
      <c r="U178" s="25">
        <f>#REF!-#REF!</f>
        <v>1.8140380517739363E-3</v>
      </c>
      <c r="V178" s="25">
        <f>#REF!-#REF!</f>
        <v>1.8198897925564284E-3</v>
      </c>
      <c r="W178" s="25">
        <f>#REF!-#REF!</f>
        <v>1.133773782358638E-2</v>
      </c>
      <c r="X178" s="25">
        <f>#REF!-#REF!</f>
        <v>1.1374311203478094E-2</v>
      </c>
      <c r="Y178" s="25">
        <f>#REF!-#REF!</f>
        <v>-1.3065722045519479E-2</v>
      </c>
      <c r="Z178" s="25">
        <f>#REF!-#REF!</f>
        <v>-1.3107869572950515E-2</v>
      </c>
      <c r="AA178" s="12">
        <v>66.343484468840003</v>
      </c>
      <c r="AB178" s="13">
        <v>66.557495896739994</v>
      </c>
      <c r="AC178">
        <f t="shared" si="36"/>
        <v>0.93304125330556176</v>
      </c>
      <c r="AD178">
        <f t="shared" si="37"/>
        <v>5.5414135195394509E-2</v>
      </c>
      <c r="AE178">
        <f t="shared" si="38"/>
        <v>5.9390873660810077E-2</v>
      </c>
      <c r="AF178">
        <f t="shared" si="39"/>
        <v>0.87762711811016525</v>
      </c>
      <c r="AG178">
        <f t="shared" si="40"/>
        <v>0.94060912633918792</v>
      </c>
      <c r="AH178">
        <f t="shared" si="41"/>
        <v>6.6958746694438284E-2</v>
      </c>
      <c r="AI178">
        <f t="shared" si="42"/>
        <v>0.13793103448276037</v>
      </c>
      <c r="AJ178">
        <f t="shared" si="43"/>
        <v>0.86206896551723966</v>
      </c>
      <c r="AK178">
        <f t="shared" si="44"/>
        <v>1.9704970070967311E-3</v>
      </c>
      <c r="AL178">
        <f t="shared" si="45"/>
        <v>1.9641609983199635E-3</v>
      </c>
    </row>
    <row r="179" spans="1:38" x14ac:dyDescent="0.35">
      <c r="A179" s="15" t="s">
        <v>54</v>
      </c>
      <c r="B179" s="22" t="s">
        <v>70</v>
      </c>
      <c r="C179" s="25">
        <f>#REF!-#REF!</f>
        <v>0.67809759854404916</v>
      </c>
      <c r="D179" s="25">
        <f>#REF!-#REF!</f>
        <v>8.6285741513915326E-2</v>
      </c>
      <c r="E179" s="25">
        <f>#REF!-#REF!</f>
        <v>0.59181185703013028</v>
      </c>
      <c r="F179" s="25">
        <f>#REF!-#REF!</f>
        <v>3.8032416509050648E-2</v>
      </c>
      <c r="G179" s="25">
        <f>#REF!-#REF!</f>
        <v>0.19619897405462439</v>
      </c>
      <c r="H179" s="25">
        <f>#REF!-#REF!</f>
        <v>0</v>
      </c>
      <c r="I179" s="25">
        <f>#REF!-#REF!</f>
        <v>0.19619897405462439</v>
      </c>
      <c r="J179" s="25">
        <f>#REF!-#REF!</f>
        <v>0</v>
      </c>
      <c r="K179" s="25">
        <f>#REF!-#REF!</f>
        <v>8.0701845008350759E-2</v>
      </c>
      <c r="L179" s="25">
        <f>#REF!-#REF!</f>
        <v>7.2722886472287307E-2</v>
      </c>
      <c r="M179" s="25">
        <f>#REF!-#REF!</f>
        <v>1.0269050580680283E-2</v>
      </c>
      <c r="N179" s="25">
        <f>#REF!-#REF!</f>
        <v>9.2537537336314646E-3</v>
      </c>
      <c r="O179" s="25">
        <f>#REF!-#REF!</f>
        <v>7.0432794427670586E-2</v>
      </c>
      <c r="P179" s="25">
        <f>#REF!-#REF!</f>
        <v>6.346913273865562E-2</v>
      </c>
      <c r="Q179" s="25">
        <f>#REF!-#REF!</f>
        <v>4.5263192038971223E-3</v>
      </c>
      <c r="R179" s="25">
        <f>#REF!-#REF!</f>
        <v>4.078803868341252E-3</v>
      </c>
      <c r="S179" s="25">
        <f>#REF!-#REF!</f>
        <v>2.3350059385181865E-2</v>
      </c>
      <c r="T179" s="25">
        <f>#REF!-#REF!</f>
        <v>2.1041448527157947E-2</v>
      </c>
      <c r="U179" s="25">
        <f>#REF!-#REF!</f>
        <v>0</v>
      </c>
      <c r="V179" s="25">
        <f>#REF!-#REF!</f>
        <v>0</v>
      </c>
      <c r="W179" s="25">
        <f>#REF!-#REF!</f>
        <v>2.3350059385181865E-2</v>
      </c>
      <c r="X179" s="25">
        <f>#REF!-#REF!</f>
        <v>2.1041448527157947E-2</v>
      </c>
      <c r="Y179" s="25">
        <f>#REF!-#REF!</f>
        <v>0</v>
      </c>
      <c r="Z179" s="25">
        <f>#REF!-#REF!</f>
        <v>0</v>
      </c>
      <c r="AA179" s="12">
        <v>932.44043441874999</v>
      </c>
      <c r="AB179" s="13">
        <v>840.25042856688003</v>
      </c>
      <c r="AC179">
        <f t="shared" si="36"/>
        <v>0.77559219582496841</v>
      </c>
      <c r="AD179">
        <f t="shared" si="37"/>
        <v>0.67690057993832309</v>
      </c>
      <c r="AE179">
        <f t="shared" si="38"/>
        <v>0.87275321178074672</v>
      </c>
      <c r="AF179">
        <f t="shared" si="39"/>
        <v>9.869161588664134E-2</v>
      </c>
      <c r="AG179">
        <f t="shared" si="40"/>
        <v>0.12724678821924806</v>
      </c>
      <c r="AH179">
        <f t="shared" si="41"/>
        <v>0.22440780417503156</v>
      </c>
      <c r="AI179">
        <f t="shared" si="42"/>
        <v>0</v>
      </c>
      <c r="AJ179">
        <f t="shared" si="43"/>
        <v>1</v>
      </c>
      <c r="AK179">
        <f t="shared" si="44"/>
        <v>9.3764334999444634E-4</v>
      </c>
      <c r="AL179">
        <f t="shared" si="45"/>
        <v>1.0405190439353447E-3</v>
      </c>
    </row>
    <row r="180" spans="1:38" x14ac:dyDescent="0.35">
      <c r="A180" s="15" t="s">
        <v>55</v>
      </c>
      <c r="B180" s="22" t="s">
        <v>70</v>
      </c>
      <c r="C180" s="25">
        <f>#REF!-#REF!</f>
        <v>0.45804418199202956</v>
      </c>
      <c r="D180" s="25">
        <f>#REF!-#REF!</f>
        <v>8.4225719459962711E-3</v>
      </c>
      <c r="E180" s="25">
        <f>#REF!-#REF!</f>
        <v>0.44962161004603018</v>
      </c>
      <c r="F180" s="25">
        <f>#REF!-#REF!</f>
        <v>0</v>
      </c>
      <c r="G180" s="25">
        <f>#REF!-#REF!</f>
        <v>0.14890109120145745</v>
      </c>
      <c r="H180" s="25">
        <f>#REF!-#REF!</f>
        <v>0.13540337974953975</v>
      </c>
      <c r="I180" s="25">
        <f>#REF!-#REF!</f>
        <v>1.3497711451917915E-2</v>
      </c>
      <c r="J180" s="25">
        <f>#REF!-#REF!</f>
        <v>0</v>
      </c>
      <c r="K180" s="25">
        <f>#REF!-#REF!</f>
        <v>0.22570525354736048</v>
      </c>
      <c r="L180" s="25">
        <f>#REF!-#REF!</f>
        <v>0.23613713299910444</v>
      </c>
      <c r="M180" s="25">
        <f>#REF!-#REF!</f>
        <v>4.1502955639005634E-3</v>
      </c>
      <c r="N180" s="25">
        <f>#REF!-#REF!</f>
        <v>4.3421182278895465E-3</v>
      </c>
      <c r="O180" s="25">
        <f>#REF!-#REF!</f>
        <v>0.22155495798345726</v>
      </c>
      <c r="P180" s="25">
        <f>#REF!-#REF!</f>
        <v>0.23179501477121534</v>
      </c>
      <c r="Q180" s="25">
        <f>#REF!-#REF!</f>
        <v>0</v>
      </c>
      <c r="R180" s="25">
        <f>#REF!-#REF!</f>
        <v>0</v>
      </c>
      <c r="S180" s="25">
        <f>#REF!-#REF!</f>
        <v>7.3372307441923912E-2</v>
      </c>
      <c r="T180" s="25">
        <f>#REF!-#REF!</f>
        <v>7.6763504830113405E-2</v>
      </c>
      <c r="U180" s="25">
        <f>#REF!-#REF!</f>
        <v>6.6721192756185488E-2</v>
      </c>
      <c r="V180" s="25">
        <f>#REF!-#REF!</f>
        <v>6.9804982029008533E-2</v>
      </c>
      <c r="W180" s="25">
        <f>#REF!-#REF!</f>
        <v>6.6511146857386461E-3</v>
      </c>
      <c r="X180" s="25">
        <f>#REF!-#REF!</f>
        <v>6.9585228011050937E-3</v>
      </c>
      <c r="Y180" s="25">
        <f>#REF!-#REF!</f>
        <v>0</v>
      </c>
      <c r="Z180" s="25">
        <f>#REF!-#REF!</f>
        <v>0</v>
      </c>
      <c r="AA180" s="12">
        <v>193.97380504054999</v>
      </c>
      <c r="AB180" s="13">
        <v>202.93908750153</v>
      </c>
      <c r="AC180">
        <f t="shared" si="36"/>
        <v>0.75467130600094556</v>
      </c>
      <c r="AD180">
        <f t="shared" si="37"/>
        <v>0.74079431853931932</v>
      </c>
      <c r="AE180">
        <f t="shared" si="38"/>
        <v>0.98161187877254619</v>
      </c>
      <c r="AF180">
        <f t="shared" si="39"/>
        <v>1.3876987461621196E-2</v>
      </c>
      <c r="AG180">
        <f t="shared" si="40"/>
        <v>1.8388121227447079E-2</v>
      </c>
      <c r="AH180">
        <f t="shared" si="41"/>
        <v>0.24532869399905438</v>
      </c>
      <c r="AI180">
        <f t="shared" si="42"/>
        <v>0.90935115825540991</v>
      </c>
      <c r="AJ180">
        <f t="shared" si="43"/>
        <v>9.0648841744591591E-2</v>
      </c>
      <c r="AK180">
        <f t="shared" si="44"/>
        <v>3.1290063782921916E-3</v>
      </c>
      <c r="AL180">
        <f t="shared" si="45"/>
        <v>2.9907756098928508E-3</v>
      </c>
    </row>
    <row r="181" spans="1:38" x14ac:dyDescent="0.35">
      <c r="A181" s="15" t="s">
        <v>56</v>
      </c>
      <c r="B181" s="22" t="s">
        <v>70</v>
      </c>
      <c r="C181" s="25">
        <f>#REF!-#REF!</f>
        <v>6.4610800792815226E-2</v>
      </c>
      <c r="D181" s="25">
        <f>#REF!-#REF!</f>
        <v>5.5249140820461395E-3</v>
      </c>
      <c r="E181" s="25">
        <f>#REF!-#REF!</f>
        <v>5.9085886710770197E-2</v>
      </c>
      <c r="F181" s="25">
        <f>#REF!-#REF!</f>
        <v>0</v>
      </c>
      <c r="G181" s="25">
        <f>#REF!-#REF!</f>
        <v>2.4021959889068967E-2</v>
      </c>
      <c r="H181" s="25">
        <v>0</v>
      </c>
      <c r="I181" s="25">
        <f>#REF!-#REF!</f>
        <v>3.9902157259222193E-2</v>
      </c>
      <c r="J181" s="25">
        <f>#REF!-#REF!</f>
        <v>0</v>
      </c>
      <c r="K181" s="25">
        <f>#REF!-#REF!</f>
        <v>1.5749154360872542E-2</v>
      </c>
      <c r="L181" s="25">
        <f>#REF!-#REF!</f>
        <v>1.9552115711977791E-2</v>
      </c>
      <c r="M181" s="25">
        <f>#REF!-#REF!</f>
        <v>1.3467210379843331E-3</v>
      </c>
      <c r="N181" s="25">
        <f>#REF!-#REF!</f>
        <v>1.6719148827344377E-3</v>
      </c>
      <c r="O181" s="25">
        <f>#REF!-#REF!</f>
        <v>1.440243332288782E-2</v>
      </c>
      <c r="P181" s="25">
        <f>#REF!-#REF!</f>
        <v>1.7880200829243353E-2</v>
      </c>
      <c r="Q181" s="25">
        <f>#REF!-#REF!</f>
        <v>0</v>
      </c>
      <c r="R181" s="25">
        <f>#REF!-#REF!</f>
        <v>0</v>
      </c>
      <c r="S181" s="25">
        <f>#REF!-#REF!</f>
        <v>5.8554537275710139E-3</v>
      </c>
      <c r="T181" s="25">
        <f>#REF!-#REF!</f>
        <v>7.269374990191757E-3</v>
      </c>
      <c r="U181" s="25">
        <f>#REF!-#REF!</f>
        <v>-3.8708648800940271E-3</v>
      </c>
      <c r="V181" s="25">
        <f>#REF!-#REF!</f>
        <v>-4.8055658295571568E-3</v>
      </c>
      <c r="W181" s="25">
        <f>#REF!-#REF!</f>
        <v>9.7263186076648189E-3</v>
      </c>
      <c r="X181" s="25">
        <f>#REF!-#REF!</f>
        <v>1.2074940819748914E-2</v>
      </c>
      <c r="Y181" s="25">
        <f>#REF!-#REF!</f>
        <v>0</v>
      </c>
      <c r="Z181" s="25">
        <f>#REF!-#REF!</f>
        <v>0</v>
      </c>
      <c r="AA181" s="12">
        <v>330.45426768437</v>
      </c>
      <c r="AB181" s="13">
        <v>410.24933347112</v>
      </c>
      <c r="AC181">
        <f t="shared" si="36"/>
        <v>0.72897199969560622</v>
      </c>
      <c r="AD181">
        <f t="shared" si="37"/>
        <v>0.66663710185941283</v>
      </c>
      <c r="AE181">
        <f t="shared" si="38"/>
        <v>0.91448931116390986</v>
      </c>
      <c r="AF181">
        <f t="shared" si="39"/>
        <v>6.233489783620591E-2</v>
      </c>
      <c r="AG181">
        <f t="shared" si="40"/>
        <v>8.5510688836107324E-2</v>
      </c>
      <c r="AH181">
        <f t="shared" si="41"/>
        <v>0.27102800030439372</v>
      </c>
      <c r="AI181">
        <f t="shared" si="42"/>
        <v>0</v>
      </c>
      <c r="AJ181">
        <f t="shared" si="43"/>
        <v>1.6610700144154102</v>
      </c>
      <c r="AK181">
        <f t="shared" si="44"/>
        <v>2.6821490702169074E-4</v>
      </c>
      <c r="AL181">
        <f t="shared" si="45"/>
        <v>2.1604608088442783E-4</v>
      </c>
    </row>
    <row r="182" spans="1:38" x14ac:dyDescent="0.35">
      <c r="A182" s="15" t="s">
        <v>57</v>
      </c>
      <c r="B182" s="22" t="s">
        <v>70</v>
      </c>
      <c r="C182" s="25">
        <f>#REF!-#REF!</f>
        <v>1.7405980237011409</v>
      </c>
      <c r="D182" s="25">
        <v>0</v>
      </c>
      <c r="E182" s="25">
        <f>#REF!-#REF!</f>
        <v>2.0763420008471538</v>
      </c>
      <c r="F182" s="25">
        <v>0</v>
      </c>
      <c r="G182" s="25">
        <v>0</v>
      </c>
      <c r="H182" s="25">
        <f>#REF!-#REF!</f>
        <v>0</v>
      </c>
      <c r="I182" s="25">
        <v>0</v>
      </c>
      <c r="J182" s="25">
        <f>#REF!-#REF!</f>
        <v>0</v>
      </c>
      <c r="K182" s="25">
        <f>#REF!-#REF!</f>
        <v>0.78277540164496529</v>
      </c>
      <c r="L182" s="25">
        <f>#REF!-#REF!</f>
        <v>0.51011629076668319</v>
      </c>
      <c r="M182" s="25">
        <f>#REF!-#REF!</f>
        <v>-0.15098955817582438</v>
      </c>
      <c r="N182" s="25">
        <f>#REF!-#REF!</f>
        <v>-9.8396338463489386E-2</v>
      </c>
      <c r="O182" s="25">
        <f>#REF!-#REF!</f>
        <v>0.93376495982079</v>
      </c>
      <c r="P182" s="25">
        <f>#REF!-#REF!</f>
        <v>0.60851262923017257</v>
      </c>
      <c r="Q182" s="25">
        <f>#REF!-#REF!</f>
        <v>-3.4793974031303891</v>
      </c>
      <c r="R182" s="25">
        <f>#REF!-#REF!</f>
        <v>-2.2674413294774491</v>
      </c>
      <c r="S182" s="25">
        <f>#REF!-#REF!</f>
        <v>-0.75223290202391802</v>
      </c>
      <c r="T182" s="25">
        <f>#REF!-#REF!</f>
        <v>-0.49021246320044876</v>
      </c>
      <c r="U182" s="25">
        <f>#REF!-#REF!</f>
        <v>0</v>
      </c>
      <c r="V182" s="25">
        <f>#REF!-#REF!</f>
        <v>0</v>
      </c>
      <c r="W182" s="25">
        <f>#REF!-#REF!</f>
        <v>-0.75223290202391802</v>
      </c>
      <c r="X182" s="25">
        <f>#REF!-#REF!</f>
        <v>-0.49021246320044876</v>
      </c>
      <c r="Y182" s="25">
        <f>#REF!-#REF!</f>
        <v>0</v>
      </c>
      <c r="Z182" s="25">
        <f>#REF!-#REF!</f>
        <v>0</v>
      </c>
      <c r="AA182" s="12">
        <v>341.21592570296002</v>
      </c>
      <c r="AB182" s="13">
        <v>222.36238134761999</v>
      </c>
      <c r="AC182">
        <f t="shared" si="36"/>
        <v>1</v>
      </c>
      <c r="AD182">
        <f t="shared" si="37"/>
        <v>1.1928900139919152</v>
      </c>
      <c r="AE182">
        <f t="shared" si="38"/>
        <v>1.1928900139919152</v>
      </c>
      <c r="AF182">
        <f t="shared" si="39"/>
        <v>0</v>
      </c>
      <c r="AG182">
        <f t="shared" si="40"/>
        <v>0</v>
      </c>
      <c r="AH182">
        <f t="shared" si="41"/>
        <v>0</v>
      </c>
      <c r="AI182" t="e">
        <f t="shared" si="42"/>
        <v>#DIV/0!</v>
      </c>
      <c r="AJ182" t="e">
        <f t="shared" si="43"/>
        <v>#DIV/0!</v>
      </c>
      <c r="AK182">
        <f t="shared" si="44"/>
        <v>5.1011629076668308E-3</v>
      </c>
      <c r="AL182">
        <f t="shared" si="45"/>
        <v>7.8277540164496499E-3</v>
      </c>
    </row>
    <row r="183" spans="1:38" x14ac:dyDescent="0.35">
      <c r="A183" s="15" t="s">
        <v>58</v>
      </c>
      <c r="B183" s="22" t="s">
        <v>70</v>
      </c>
      <c r="C183" s="25">
        <f>#REF!-#REF!</f>
        <v>0.65254641160964377</v>
      </c>
      <c r="D183" s="25">
        <f>#REF!-#REF!</f>
        <v>0.12712771106513487</v>
      </c>
      <c r="E183" s="25">
        <f>#REF!-#REF!</f>
        <v>0.52541870054450879</v>
      </c>
      <c r="F183" s="25">
        <f>#REF!-#REF!</f>
        <v>5.5953016739066053E-2</v>
      </c>
      <c r="G183" s="25">
        <f>#REF!-#REF!</f>
        <v>1.7931727792675822E-2</v>
      </c>
      <c r="H183" s="25">
        <f>#REF!-#REF!</f>
        <v>0</v>
      </c>
      <c r="I183" s="25">
        <f>#REF!-#REF!</f>
        <v>1.7931727792675822E-2</v>
      </c>
      <c r="J183" s="25">
        <f>#REF!-#REF!</f>
        <v>0</v>
      </c>
      <c r="K183" s="25">
        <f>#REF!-#REF!</f>
        <v>0.65589764735081246</v>
      </c>
      <c r="L183" s="25">
        <f>#REF!-#REF!</f>
        <v>0.35911075319053865</v>
      </c>
      <c r="M183" s="25">
        <f>#REF!-#REF!</f>
        <v>0.1277805917207247</v>
      </c>
      <c r="N183" s="25">
        <f>#REF!-#REF!</f>
        <v>6.9961197027161956E-2</v>
      </c>
      <c r="O183" s="25">
        <f>#REF!-#REF!</f>
        <v>0.52811705563008715</v>
      </c>
      <c r="P183" s="25">
        <f>#REF!-#REF!</f>
        <v>0.28914955616337679</v>
      </c>
      <c r="Q183" s="25">
        <f>#REF!-#REF!</f>
        <v>5.624037062866849E-2</v>
      </c>
      <c r="R183" s="25">
        <f>#REF!-#REF!</f>
        <v>3.0792185240716252E-2</v>
      </c>
      <c r="S183" s="25">
        <f>#REF!-#REF!</f>
        <v>1.8023818479270481E-2</v>
      </c>
      <c r="T183" s="25">
        <f>#REF!-#REF!</f>
        <v>9.8682272388126435E-3</v>
      </c>
      <c r="U183" s="25">
        <f>#REF!-#REF!</f>
        <v>0</v>
      </c>
      <c r="V183" s="25">
        <f>#REF!-#REF!</f>
        <v>0</v>
      </c>
      <c r="W183" s="25">
        <f>#REF!-#REF!</f>
        <v>1.8023818479270481E-2</v>
      </c>
      <c r="X183" s="25">
        <f>#REF!-#REF!</f>
        <v>9.8682272388126435E-3</v>
      </c>
      <c r="Y183" s="25">
        <f>#REF!-#REF!</f>
        <v>0</v>
      </c>
      <c r="Z183" s="25">
        <f>#REF!-#REF!</f>
        <v>0</v>
      </c>
      <c r="AA183" s="12">
        <v>181.71174374815001</v>
      </c>
      <c r="AB183" s="13">
        <v>99.489061173690004</v>
      </c>
      <c r="AC183">
        <f t="shared" si="36"/>
        <v>0.97325531327738646</v>
      </c>
      <c r="AD183">
        <f t="shared" si="37"/>
        <v>0.78364777263712093</v>
      </c>
      <c r="AE183">
        <f t="shared" si="38"/>
        <v>0.80518211608650547</v>
      </c>
      <c r="AF183">
        <f t="shared" si="39"/>
        <v>0.18960754064026544</v>
      </c>
      <c r="AG183">
        <f t="shared" si="40"/>
        <v>0.19481788391349433</v>
      </c>
      <c r="AH183">
        <f t="shared" si="41"/>
        <v>2.6744686722613504E-2</v>
      </c>
      <c r="AI183">
        <f t="shared" si="42"/>
        <v>0</v>
      </c>
      <c r="AJ183">
        <f t="shared" si="43"/>
        <v>1</v>
      </c>
      <c r="AK183">
        <f t="shared" si="44"/>
        <v>3.6897898042935139E-3</v>
      </c>
      <c r="AL183">
        <f t="shared" si="45"/>
        <v>6.7392146583008291E-3</v>
      </c>
    </row>
    <row r="184" spans="1:38" x14ac:dyDescent="0.35">
      <c r="A184" s="15" t="s">
        <v>59</v>
      </c>
      <c r="B184" s="22" t="s">
        <v>70</v>
      </c>
      <c r="C184" s="25">
        <f>#REF!-#REF!</f>
        <v>1.0573141337899385</v>
      </c>
      <c r="D184" s="25">
        <f>#REF!-#REF!</f>
        <v>1.2073783018731188E-3</v>
      </c>
      <c r="E184" s="25">
        <f>#REF!-#REF!</f>
        <v>1.0561067554880652</v>
      </c>
      <c r="F184" s="25">
        <f>#REF!-#REF!</f>
        <v>0</v>
      </c>
      <c r="G184" s="25">
        <f>#REF!-#REF!</f>
        <v>0</v>
      </c>
      <c r="H184" s="25">
        <f>#REF!-#REF!</f>
        <v>0</v>
      </c>
      <c r="I184" s="25">
        <f>#REF!-#REF!</f>
        <v>0</v>
      </c>
      <c r="J184" s="25">
        <f>#REF!-#REF!</f>
        <v>0</v>
      </c>
      <c r="K184" s="25">
        <f>#REF!-#REF!</f>
        <v>2.0970974668715678</v>
      </c>
      <c r="L184" s="25">
        <f>#REF!-#REF!</f>
        <v>1.3905191465198845</v>
      </c>
      <c r="M184" s="25">
        <f>#REF!-#REF!</f>
        <v>2.3947376635720108E-3</v>
      </c>
      <c r="N184" s="25">
        <f>#REF!-#REF!</f>
        <v>1.5878749675172221E-3</v>
      </c>
      <c r="O184" s="25">
        <f>#REF!-#REF!</f>
        <v>2.0947027292079961</v>
      </c>
      <c r="P184" s="25">
        <f>#REF!-#REF!</f>
        <v>1.3889312715523676</v>
      </c>
      <c r="Q184" s="25">
        <f>#REF!-#REF!</f>
        <v>0</v>
      </c>
      <c r="R184" s="25">
        <f>#REF!-#REF!</f>
        <v>0</v>
      </c>
      <c r="S184" s="25">
        <f>#REF!-#REF!</f>
        <v>0</v>
      </c>
      <c r="T184" s="25">
        <f>#REF!-#REF!</f>
        <v>0</v>
      </c>
      <c r="U184" s="25">
        <f>#REF!-#REF!</f>
        <v>0</v>
      </c>
      <c r="V184" s="25">
        <f>#REF!-#REF!</f>
        <v>0</v>
      </c>
      <c r="W184" s="25">
        <f>#REF!-#REF!</f>
        <v>0</v>
      </c>
      <c r="X184" s="25">
        <f>#REF!-#REF!</f>
        <v>0</v>
      </c>
      <c r="Y184" s="25">
        <f>#REF!-#REF!</f>
        <v>0</v>
      </c>
      <c r="Z184" s="25">
        <f>#REF!-#REF!</f>
        <v>0</v>
      </c>
      <c r="AA184" s="12">
        <v>76.037366075549997</v>
      </c>
      <c r="AB184" s="13">
        <v>50.417977728389999</v>
      </c>
      <c r="AC184">
        <f t="shared" si="36"/>
        <v>1</v>
      </c>
      <c r="AD184">
        <f t="shared" si="37"/>
        <v>0.99885807040378294</v>
      </c>
      <c r="AE184">
        <f t="shared" si="38"/>
        <v>0.99885807040378294</v>
      </c>
      <c r="AF184">
        <f t="shared" si="39"/>
        <v>1.1419295962168555E-3</v>
      </c>
      <c r="AG184">
        <f t="shared" si="40"/>
        <v>1.1419295962168555E-3</v>
      </c>
      <c r="AH184">
        <f t="shared" si="41"/>
        <v>0</v>
      </c>
      <c r="AI184" t="e">
        <f t="shared" si="42"/>
        <v>#DIV/0!</v>
      </c>
      <c r="AJ184" t="e">
        <f t="shared" si="43"/>
        <v>#DIV/0!</v>
      </c>
      <c r="AK184">
        <f t="shared" si="44"/>
        <v>1.3905191465198852E-2</v>
      </c>
      <c r="AL184">
        <f t="shared" si="45"/>
        <v>2.097097466871569E-2</v>
      </c>
    </row>
    <row r="185" spans="1:38" x14ac:dyDescent="0.35">
      <c r="A185" s="15" t="s">
        <v>60</v>
      </c>
      <c r="B185" s="22" t="s">
        <v>70</v>
      </c>
      <c r="C185" s="25">
        <f>#REF!-#REF!</f>
        <v>0.14978738107463485</v>
      </c>
      <c r="D185" s="25">
        <f>#REF!-#REF!</f>
        <v>4.9594344938770796E-2</v>
      </c>
      <c r="E185" s="25">
        <f>#REF!-#REF!</f>
        <v>0.10019303613586317</v>
      </c>
      <c r="F185" s="25">
        <f>#REF!-#REF!</f>
        <v>0.11278619484333774</v>
      </c>
      <c r="G185" s="25">
        <f>#REF!-#REF!</f>
        <v>8.8107902061196341E-2</v>
      </c>
      <c r="H185" s="25">
        <f>#REF!-#REF!</f>
        <v>3.9390999393047466E-3</v>
      </c>
      <c r="I185" s="25">
        <f>#REF!-#REF!</f>
        <v>8.4168802121890707E-2</v>
      </c>
      <c r="J185" s="25">
        <f>#REF!-#REF!</f>
        <v>0</v>
      </c>
      <c r="K185" s="25">
        <f>#REF!-#REF!</f>
        <v>2.7242921653429342E-2</v>
      </c>
      <c r="L185" s="25">
        <f>#REF!-#REF!</f>
        <v>2.8749729366256638E-2</v>
      </c>
      <c r="M185" s="25">
        <f>#REF!-#REF!</f>
        <v>9.0200846288038816E-3</v>
      </c>
      <c r="N185" s="25">
        <f>#REF!-#REF!</f>
        <v>9.518986077845959E-3</v>
      </c>
      <c r="O185" s="25">
        <f>#REF!-#REF!</f>
        <v>1.8222837024625793E-2</v>
      </c>
      <c r="P185" s="25">
        <f>#REF!-#REF!</f>
        <v>1.9230743288411123E-2</v>
      </c>
      <c r="Q185" s="25">
        <f>#REF!-#REF!</f>
        <v>2.0513246494205717E-2</v>
      </c>
      <c r="R185" s="25">
        <f>#REF!-#REF!</f>
        <v>2.1647835450037789E-2</v>
      </c>
      <c r="S185" s="25">
        <f>#REF!-#REF!</f>
        <v>1.6024825694129774E-2</v>
      </c>
      <c r="T185" s="25">
        <f>#REF!-#REF!</f>
        <v>1.6911159812760701E-2</v>
      </c>
      <c r="U185" s="25">
        <f>#REF!-#REF!</f>
        <v>7.16432788006649E-4</v>
      </c>
      <c r="V185" s="25">
        <f>#REF!-#REF!</f>
        <v>7.5605873064316098E-4</v>
      </c>
      <c r="W185" s="25">
        <f>#REF!-#REF!</f>
        <v>1.5308392906123736E-2</v>
      </c>
      <c r="X185" s="25">
        <f>#REF!-#REF!</f>
        <v>1.6155101082117262E-2</v>
      </c>
      <c r="Y185" s="25">
        <f>#REF!-#REF!</f>
        <v>0</v>
      </c>
      <c r="Z185" s="25">
        <f>#REF!-#REF!</f>
        <v>0</v>
      </c>
      <c r="AA185" s="12">
        <v>521.00449074291998</v>
      </c>
      <c r="AB185" s="13">
        <v>549.82128194673999</v>
      </c>
      <c r="AC185">
        <f t="shared" si="36"/>
        <v>0.62963577545634086</v>
      </c>
      <c r="AD185">
        <f t="shared" si="37"/>
        <v>0.42116445023693849</v>
      </c>
      <c r="AE185">
        <f t="shared" si="38"/>
        <v>0.6689017153316793</v>
      </c>
      <c r="AF185">
        <f t="shared" si="39"/>
        <v>0.20847132521939868</v>
      </c>
      <c r="AG185">
        <f t="shared" si="40"/>
        <v>0.33109828466831476</v>
      </c>
      <c r="AH185">
        <f t="shared" si="41"/>
        <v>0.37036422454365908</v>
      </c>
      <c r="AI185">
        <f t="shared" si="42"/>
        <v>4.4707680550250761E-2</v>
      </c>
      <c r="AJ185">
        <f t="shared" si="43"/>
        <v>0.95529231944973914</v>
      </c>
      <c r="AK185">
        <f t="shared" si="44"/>
        <v>4.5660889179017887E-4</v>
      </c>
      <c r="AL185">
        <f t="shared" si="45"/>
        <v>4.3267747347560038E-4</v>
      </c>
    </row>
    <row r="186" spans="1:38" x14ac:dyDescent="0.35">
      <c r="A186" s="15" t="s">
        <v>61</v>
      </c>
      <c r="B186" s="22" t="s">
        <v>70</v>
      </c>
      <c r="C186" s="25">
        <f>#REF!-#REF!</f>
        <v>14.861503111824639</v>
      </c>
      <c r="D186" s="25">
        <f>#REF!-#REF!</f>
        <v>1.5501657954967438</v>
      </c>
      <c r="E186" s="25">
        <f>#REF!-#REF!</f>
        <v>13.311337316327894</v>
      </c>
      <c r="F186" s="25">
        <f>#REF!-#REF!</f>
        <v>0</v>
      </c>
      <c r="G186" s="25">
        <f>#REF!-#REF!</f>
        <v>1.759052535380377</v>
      </c>
      <c r="H186" s="25">
        <f>#REF!-#REF!</f>
        <v>0.21456229224262158</v>
      </c>
      <c r="I186" s="25">
        <f>#REF!-#REF!</f>
        <v>1.5444902431377514</v>
      </c>
      <c r="J186" s="25">
        <f>#REF!-#REF!</f>
        <v>0</v>
      </c>
      <c r="K186" s="25">
        <f>#REF!-#REF!</f>
        <v>1.9891993723876062</v>
      </c>
      <c r="L186" s="25">
        <f>#REF!-#REF!</f>
        <v>2.5154274674357877</v>
      </c>
      <c r="M186" s="25">
        <f>#REF!-#REF!</f>
        <v>0.20748835459620396</v>
      </c>
      <c r="N186" s="25">
        <f>#REF!-#REF!</f>
        <v>0.26237787602853146</v>
      </c>
      <c r="O186" s="25">
        <f>#REF!-#REF!</f>
        <v>1.7817110177914026</v>
      </c>
      <c r="P186" s="25">
        <f>#REF!-#REF!</f>
        <v>2.2530495914072564</v>
      </c>
      <c r="Q186" s="25">
        <f>#REF!-#REF!</f>
        <v>0</v>
      </c>
      <c r="R186" s="25">
        <f>#REF!-#REF!</f>
        <v>0</v>
      </c>
      <c r="S186" s="25">
        <f>#REF!-#REF!</f>
        <v>0.2354476645495831</v>
      </c>
      <c r="T186" s="25">
        <f>#REF!-#REF!</f>
        <v>0.29773361623413219</v>
      </c>
      <c r="U186" s="25">
        <f>#REF!-#REF!</f>
        <v>2.8718977741052143E-2</v>
      </c>
      <c r="V186" s="25">
        <f>#REF!-#REF!</f>
        <v>3.6316372531231156E-2</v>
      </c>
      <c r="W186" s="25">
        <f>#REF!-#REF!</f>
        <v>0.20672868680853096</v>
      </c>
      <c r="X186" s="25">
        <f>#REF!-#REF!</f>
        <v>0.2614172437029012</v>
      </c>
      <c r="Y186" s="25">
        <f>#REF!-#REF!</f>
        <v>0</v>
      </c>
      <c r="Z186" s="25">
        <f>#REF!-#REF!</f>
        <v>0</v>
      </c>
      <c r="AA186" s="12">
        <v>590.81421763174001</v>
      </c>
      <c r="AB186" s="13">
        <v>747.10978286638999</v>
      </c>
      <c r="AC186">
        <f t="shared" si="36"/>
        <v>0.89416403562439339</v>
      </c>
      <c r="AD186">
        <f t="shared" si="37"/>
        <v>0.8008960469721953</v>
      </c>
      <c r="AE186">
        <f t="shared" si="38"/>
        <v>0.89569252962956702</v>
      </c>
      <c r="AF186">
        <f t="shared" si="39"/>
        <v>9.3267988652198056E-2</v>
      </c>
      <c r="AG186">
        <f t="shared" si="40"/>
        <v>0.10430747037043282</v>
      </c>
      <c r="AH186">
        <f t="shared" si="41"/>
        <v>0.10583596437560659</v>
      </c>
      <c r="AI186">
        <f t="shared" si="42"/>
        <v>0.12197605695512936</v>
      </c>
      <c r="AJ186">
        <f t="shared" si="43"/>
        <v>0.87802394304486842</v>
      </c>
      <c r="AK186">
        <f t="shared" si="44"/>
        <v>2.8131610836699197E-2</v>
      </c>
      <c r="AL186">
        <f t="shared" si="45"/>
        <v>2.2246470369371895E-2</v>
      </c>
    </row>
    <row r="187" spans="1:38" x14ac:dyDescent="0.35">
      <c r="A187" s="9" t="s">
        <v>62</v>
      </c>
      <c r="B187" s="22" t="s">
        <v>70</v>
      </c>
      <c r="C187" s="25">
        <f>#REF!-#REF!</f>
        <v>0</v>
      </c>
      <c r="D187" s="25">
        <f>#REF!-#REF!</f>
        <v>0</v>
      </c>
      <c r="E187" s="25">
        <f>#REF!-#REF!</f>
        <v>0</v>
      </c>
      <c r="F187" s="25">
        <v>0</v>
      </c>
      <c r="G187" s="25">
        <f>#REF!-#REF!</f>
        <v>0</v>
      </c>
      <c r="H187" s="25">
        <f>#REF!-#REF!</f>
        <v>0</v>
      </c>
      <c r="I187" s="25">
        <f>#REF!-#REF!</f>
        <v>0</v>
      </c>
      <c r="J187" s="25">
        <f>#REF!-#REF!</f>
        <v>0</v>
      </c>
      <c r="K187" s="25">
        <f>#REF!-#REF!</f>
        <v>0</v>
      </c>
      <c r="L187" s="25">
        <f>#REF!-#REF!</f>
        <v>0</v>
      </c>
      <c r="M187" s="25">
        <f>#REF!-#REF!</f>
        <v>0</v>
      </c>
      <c r="N187" s="25">
        <f>#REF!-#REF!</f>
        <v>0</v>
      </c>
      <c r="O187" s="25">
        <f>#REF!-#REF!</f>
        <v>0</v>
      </c>
      <c r="P187" s="25">
        <f>#REF!-#REF!</f>
        <v>0</v>
      </c>
      <c r="Q187" s="25">
        <f>#REF!-#REF!</f>
        <v>-8.8732399514901417E-5</v>
      </c>
      <c r="R187" s="25">
        <f>#REF!-#REF!</f>
        <v>-5.2673663377023061E-5</v>
      </c>
      <c r="S187" s="25">
        <f>#REF!-#REF!</f>
        <v>0</v>
      </c>
      <c r="T187" s="25">
        <f>#REF!-#REF!</f>
        <v>0</v>
      </c>
      <c r="U187" s="25">
        <f>#REF!-#REF!</f>
        <v>0</v>
      </c>
      <c r="V187" s="25">
        <f>#REF!-#REF!</f>
        <v>0</v>
      </c>
      <c r="W187" s="25">
        <f>#REF!-#REF!</f>
        <v>0</v>
      </c>
      <c r="X187" s="25">
        <f>#REF!-#REF!</f>
        <v>0</v>
      </c>
      <c r="Y187" s="25">
        <f>#REF!-#REF!</f>
        <v>0</v>
      </c>
      <c r="Z187" s="25">
        <f>#REF!-#REF!</f>
        <v>0</v>
      </c>
      <c r="AA187" s="12">
        <v>441.28867711817003</v>
      </c>
      <c r="AB187" s="13">
        <v>261.95945739796002</v>
      </c>
      <c r="AC187" t="e">
        <f t="shared" si="36"/>
        <v>#DIV/0!</v>
      </c>
      <c r="AD187" t="e">
        <f t="shared" si="37"/>
        <v>#DIV/0!</v>
      </c>
      <c r="AE187" t="e">
        <f t="shared" si="38"/>
        <v>#DIV/0!</v>
      </c>
      <c r="AF187" t="e">
        <f t="shared" si="39"/>
        <v>#DIV/0!</v>
      </c>
      <c r="AG187" t="e">
        <f t="shared" si="40"/>
        <v>#DIV/0!</v>
      </c>
      <c r="AH187" t="e">
        <f t="shared" si="41"/>
        <v>#DIV/0!</v>
      </c>
      <c r="AI187" t="e">
        <f t="shared" si="42"/>
        <v>#DIV/0!</v>
      </c>
      <c r="AJ187" t="e">
        <f t="shared" si="43"/>
        <v>#DIV/0!</v>
      </c>
      <c r="AK187">
        <f t="shared" si="44"/>
        <v>0</v>
      </c>
      <c r="AL187">
        <f t="shared" si="45"/>
        <v>0</v>
      </c>
    </row>
    <row r="188" spans="1:38" x14ac:dyDescent="0.35">
      <c r="A188" s="9" t="s">
        <v>63</v>
      </c>
      <c r="B188" s="22" t="s">
        <v>70</v>
      </c>
      <c r="C188" s="25">
        <f>#REF!-#REF!</f>
        <v>7.6428054034677118E-2</v>
      </c>
      <c r="D188" s="25">
        <f>#REF!-#REF!</f>
        <v>2.0133252286158587E-2</v>
      </c>
      <c r="E188" s="25">
        <f>#REF!-#REF!</f>
        <v>5.6294801748519419E-2</v>
      </c>
      <c r="F188" s="25">
        <v>7.4330000000000002E-4</v>
      </c>
      <c r="G188" s="25">
        <f>#REF!-#REF!</f>
        <v>0.10649730082921138</v>
      </c>
      <c r="H188" s="25">
        <f>#REF!-#REF!</f>
        <v>5.8988637891250306E-2</v>
      </c>
      <c r="I188" s="25">
        <f>#REF!-#REF!</f>
        <v>4.7508662937961077E-2</v>
      </c>
      <c r="J188" s="25">
        <f>#REF!-#REF!</f>
        <v>0</v>
      </c>
      <c r="K188" s="25">
        <f>#REF!-#REF!</f>
        <v>2.3779315743929885E-2</v>
      </c>
      <c r="L188" s="25">
        <f>#REF!-#REF!</f>
        <v>1.1069003789356824E-2</v>
      </c>
      <c r="M188" s="25">
        <f>#REF!-#REF!</f>
        <v>6.2641260347613414E-3</v>
      </c>
      <c r="N188" s="25">
        <f>#REF!-#REF!</f>
        <v>2.9158801524169498E-3</v>
      </c>
      <c r="O188" s="25">
        <f>#REF!-#REF!</f>
        <v>1.7515189709168766E-2</v>
      </c>
      <c r="P188" s="25">
        <f>#REF!-#REF!</f>
        <v>8.1531236369398741E-3</v>
      </c>
      <c r="Q188" s="25">
        <f>#REF!-#REF!</f>
        <v>2.31259498459091E-4</v>
      </c>
      <c r="R188" s="25">
        <f>#REF!-#REF!</f>
        <v>1.0764869318924224E-4</v>
      </c>
      <c r="S188" s="25">
        <f>#REF!-#REF!</f>
        <v>3.3134860939218136E-2</v>
      </c>
      <c r="T188" s="25">
        <f>#REF!-#REF!</f>
        <v>1.5423904760154095E-2</v>
      </c>
      <c r="U188" s="25">
        <f>#REF!-#REF!</f>
        <v>1.8353331946459495E-2</v>
      </c>
      <c r="V188" s="25">
        <f>#REF!-#REF!</f>
        <v>8.543269413231025E-3</v>
      </c>
      <c r="W188" s="25">
        <f>#REF!-#REF!</f>
        <v>1.4781528992759085E-2</v>
      </c>
      <c r="X188" s="25">
        <f>#REF!-#REF!</f>
        <v>6.8806353469232917E-3</v>
      </c>
      <c r="Y188" s="25">
        <f>#REF!-#REF!</f>
        <v>0</v>
      </c>
      <c r="Z188" s="25">
        <f>#REF!-#REF!</f>
        <v>0</v>
      </c>
      <c r="AA188" s="12">
        <v>690.46912883131995</v>
      </c>
      <c r="AB188" s="13">
        <v>321.40560669490998</v>
      </c>
      <c r="AC188">
        <f t="shared" si="36"/>
        <v>0.41781006297101825</v>
      </c>
      <c r="AD188">
        <f t="shared" si="37"/>
        <v>0.30774739669307943</v>
      </c>
      <c r="AE188">
        <f t="shared" si="38"/>
        <v>0.73657248584370871</v>
      </c>
      <c r="AF188">
        <f t="shared" si="39"/>
        <v>0.11006266627794371</v>
      </c>
      <c r="AG188">
        <f t="shared" si="40"/>
        <v>0.26342751415630289</v>
      </c>
      <c r="AH188">
        <f t="shared" si="41"/>
        <v>0.5821899370289817</v>
      </c>
      <c r="AI188">
        <f t="shared" si="42"/>
        <v>0.55389796203238773</v>
      </c>
      <c r="AJ188">
        <f t="shared" si="43"/>
        <v>0.44610203796761222</v>
      </c>
      <c r="AK188">
        <f t="shared" si="44"/>
        <v>2.6492908549511236E-4</v>
      </c>
      <c r="AL188">
        <f t="shared" si="45"/>
        <v>5.6914176683149143E-4</v>
      </c>
    </row>
    <row r="189" spans="1:38" x14ac:dyDescent="0.35">
      <c r="A189" s="9" t="s">
        <v>64</v>
      </c>
      <c r="B189" s="22" t="s">
        <v>70</v>
      </c>
      <c r="C189" s="25">
        <f>#REF!-#REF!</f>
        <v>8.1321563717489109E-3</v>
      </c>
      <c r="D189" s="25">
        <f>#REF!-#REF!</f>
        <v>4.6165707683641088E-3</v>
      </c>
      <c r="E189" s="25">
        <f>#REF!-#REF!</f>
        <v>3.5155856033848298E-3</v>
      </c>
      <c r="F189" s="25">
        <v>0</v>
      </c>
      <c r="G189" s="25">
        <f>#REF!-#REF!</f>
        <v>0</v>
      </c>
      <c r="H189" s="25">
        <f>#REF!-#REF!</f>
        <v>0</v>
      </c>
      <c r="I189" s="25">
        <f>#REF!-#REF!</f>
        <v>0</v>
      </c>
      <c r="J189" s="25">
        <f>#REF!-#REF!</f>
        <v>0</v>
      </c>
      <c r="K189" s="25">
        <f>#REF!-#REF!</f>
        <v>1.2631005482525381E-2</v>
      </c>
      <c r="L189" s="25">
        <f>#REF!-#REF!</f>
        <v>8.9135651372828084E-3</v>
      </c>
      <c r="M189" s="25">
        <f>#REF!-#REF!</f>
        <v>7.1705373113886695E-3</v>
      </c>
      <c r="N189" s="25">
        <f>#REF!-#REF!</f>
        <v>5.0601712969569057E-3</v>
      </c>
      <c r="O189" s="25">
        <f>#REF!-#REF!</f>
        <v>5.4604681711365455E-3</v>
      </c>
      <c r="P189" s="25">
        <f>#REF!-#REF!</f>
        <v>3.8533938403259027E-3</v>
      </c>
      <c r="Q189" s="25">
        <f>#REF!-#REF!</f>
        <v>-0.62824216637129171</v>
      </c>
      <c r="R189" s="25">
        <f>#REF!-#REF!</f>
        <v>-0.44334376069153497</v>
      </c>
      <c r="S189" s="25">
        <f>#REF!-#REF!</f>
        <v>0</v>
      </c>
      <c r="T189" s="25">
        <f>#REF!-#REF!</f>
        <v>0</v>
      </c>
      <c r="U189" s="25">
        <f>#REF!-#REF!</f>
        <v>0</v>
      </c>
      <c r="V189" s="25">
        <f>#REF!-#REF!</f>
        <v>0</v>
      </c>
      <c r="W189" s="25">
        <f>#REF!-#REF!</f>
        <v>0</v>
      </c>
      <c r="X189" s="25">
        <f>#REF!-#REF!</f>
        <v>0</v>
      </c>
      <c r="Y189" s="25">
        <f>#REF!-#REF!</f>
        <v>0</v>
      </c>
      <c r="Z189" s="25">
        <f>#REF!-#REF!</f>
        <v>0</v>
      </c>
      <c r="AA189" s="12">
        <v>91.233487908610002</v>
      </c>
      <c r="AB189" s="13">
        <v>64.38249419652</v>
      </c>
      <c r="AC189">
        <f t="shared" si="36"/>
        <v>1</v>
      </c>
      <c r="AD189">
        <f t="shared" si="37"/>
        <v>0.43230668996946059</v>
      </c>
      <c r="AE189">
        <f t="shared" si="38"/>
        <v>0.43230668996946059</v>
      </c>
      <c r="AF189">
        <f t="shared" si="39"/>
        <v>0.5676933100305428</v>
      </c>
      <c r="AG189">
        <f t="shared" si="40"/>
        <v>0.5676933100305428</v>
      </c>
      <c r="AH189">
        <f t="shared" si="41"/>
        <v>0</v>
      </c>
      <c r="AI189" t="e">
        <f t="shared" si="42"/>
        <v>#DIV/0!</v>
      </c>
      <c r="AJ189" t="e">
        <f t="shared" si="43"/>
        <v>#DIV/0!</v>
      </c>
      <c r="AK189">
        <f t="shared" si="44"/>
        <v>8.9135651372827251E-5</v>
      </c>
      <c r="AL189">
        <f t="shared" si="45"/>
        <v>1.2631005482525201E-4</v>
      </c>
    </row>
    <row r="190" spans="1:38" x14ac:dyDescent="0.35">
      <c r="A190" s="9" t="s">
        <v>65</v>
      </c>
      <c r="B190" s="22" t="s">
        <v>70</v>
      </c>
      <c r="C190" s="25">
        <f>#REF!-#REF!</f>
        <v>7.7024509539050037</v>
      </c>
      <c r="D190" s="25">
        <f>#REF!-#REF!</f>
        <v>2.4305849670506685</v>
      </c>
      <c r="E190" s="25">
        <f>#REF!-#REF!</f>
        <v>5.2718659868543361</v>
      </c>
      <c r="F190" s="25">
        <f>#REF!-#REF!</f>
        <v>2.9</v>
      </c>
      <c r="G190" s="25">
        <v>0</v>
      </c>
      <c r="H190" s="25">
        <f>#REF!-#REF!</f>
        <v>0</v>
      </c>
      <c r="I190" s="25">
        <v>0</v>
      </c>
      <c r="J190" s="25">
        <f>#REF!-#REF!</f>
        <v>0</v>
      </c>
      <c r="K190" s="25">
        <f>#REF!-#REF!</f>
        <v>5.2261115841824903</v>
      </c>
      <c r="L190" s="25">
        <f>#REF!-#REF!</f>
        <v>2.4855583034441739</v>
      </c>
      <c r="M190" s="25">
        <f>#REF!-#REF!</f>
        <v>1.6491514621334096</v>
      </c>
      <c r="N190" s="25">
        <f>#REF!-#REF!</f>
        <v>0.78434263109673064</v>
      </c>
      <c r="O190" s="25">
        <f>#REF!-#REF!</f>
        <v>3.5769601220490803</v>
      </c>
      <c r="P190" s="25">
        <f>#REF!-#REF!</f>
        <v>1.7012156723474432</v>
      </c>
      <c r="Q190" s="25">
        <f>#REF!-#REF!</f>
        <v>1.9676494773972615</v>
      </c>
      <c r="R190" s="25">
        <f>#REF!-#REF!</f>
        <v>0.93582148372314089</v>
      </c>
      <c r="S190" s="25">
        <f>#REF!-#REF!</f>
        <v>-8.6184808031336324E-2</v>
      </c>
      <c r="T190" s="25">
        <f>#REF!-#REF!</f>
        <v>-4.098981848787675E-2</v>
      </c>
      <c r="U190" s="25">
        <f>#REF!-#REF!</f>
        <v>0</v>
      </c>
      <c r="V190" s="25">
        <f>#REF!-#REF!</f>
        <v>0</v>
      </c>
      <c r="W190" s="25">
        <f>#REF!-#REF!</f>
        <v>-8.6184808031336324E-2</v>
      </c>
      <c r="X190" s="25">
        <f>#REF!-#REF!</f>
        <v>-4.098981848787675E-2</v>
      </c>
      <c r="Y190" s="25">
        <f>#REF!-#REF!</f>
        <v>0</v>
      </c>
      <c r="Z190" s="25">
        <f>#REF!-#REF!</f>
        <v>0</v>
      </c>
      <c r="AA190" s="12">
        <v>309.88816247970999</v>
      </c>
      <c r="AB190" s="13">
        <v>147.38397429586999</v>
      </c>
      <c r="AC190">
        <f t="shared" si="36"/>
        <v>1</v>
      </c>
      <c r="AD190">
        <f t="shared" si="37"/>
        <v>0.68444005919720852</v>
      </c>
      <c r="AE190">
        <f t="shared" si="38"/>
        <v>0.68444005919720852</v>
      </c>
      <c r="AF190">
        <f t="shared" si="39"/>
        <v>0.31555994080279159</v>
      </c>
      <c r="AG190">
        <f t="shared" si="40"/>
        <v>0.31555994080279159</v>
      </c>
      <c r="AH190">
        <f t="shared" si="41"/>
        <v>0</v>
      </c>
      <c r="AI190" t="e">
        <f t="shared" si="42"/>
        <v>#DIV/0!</v>
      </c>
      <c r="AJ190" t="e">
        <f t="shared" si="43"/>
        <v>#DIV/0!</v>
      </c>
      <c r="AK190">
        <f t="shared" si="44"/>
        <v>2.4855583034441735E-2</v>
      </c>
      <c r="AL190">
        <f t="shared" si="45"/>
        <v>5.2261115841824891E-2</v>
      </c>
    </row>
    <row r="191" spans="1:38" x14ac:dyDescent="0.35">
      <c r="A191" s="9" t="s">
        <v>66</v>
      </c>
      <c r="B191" s="22" t="s">
        <v>70</v>
      </c>
      <c r="C191" s="25">
        <f>#REF!-#REF!</f>
        <v>1.5765726587907949</v>
      </c>
      <c r="D191" s="25">
        <f>#REF!-#REF!</f>
        <v>1.4258862393990324E-2</v>
      </c>
      <c r="E191" s="25">
        <f>#REF!-#REF!</f>
        <v>1.5623137963968006</v>
      </c>
      <c r="F191" s="25">
        <f>#REF!-#REF!</f>
        <v>0</v>
      </c>
      <c r="G191" s="25">
        <f>#REF!-#REF!</f>
        <v>0.20801163962997649</v>
      </c>
      <c r="H191" s="25">
        <f>#REF!-#REF!</f>
        <v>8.3875661141119551E-2</v>
      </c>
      <c r="I191" s="25">
        <f>#REF!-#REF!</f>
        <v>0.12413597848885871</v>
      </c>
      <c r="J191" s="25">
        <f>#REF!-#REF!</f>
        <v>0</v>
      </c>
      <c r="K191" s="25">
        <f>#REF!-#REF!</f>
        <v>0.27586422742956351</v>
      </c>
      <c r="L191" s="25">
        <f>#REF!-#REF!</f>
        <v>0.12971392089226486</v>
      </c>
      <c r="M191" s="25">
        <f>#REF!-#REF!</f>
        <v>2.4949754370087729E-3</v>
      </c>
      <c r="N191" s="25">
        <f>#REF!-#REF!</f>
        <v>1.17316061411743E-3</v>
      </c>
      <c r="O191" s="25">
        <f>#REF!-#REF!</f>
        <v>0.27336925199255457</v>
      </c>
      <c r="P191" s="25">
        <f>#REF!-#REF!</f>
        <v>0.1285407602781472</v>
      </c>
      <c r="Q191" s="25">
        <f>#REF!-#REF!</f>
        <v>0</v>
      </c>
      <c r="R191" s="25">
        <f>#REF!-#REF!</f>
        <v>0</v>
      </c>
      <c r="S191" s="25">
        <f>#REF!-#REF!</f>
        <v>3.639728872812853E-2</v>
      </c>
      <c r="T191" s="25">
        <f>#REF!-#REF!</f>
        <v>1.7114343076537253E-2</v>
      </c>
      <c r="U191" s="25">
        <f>#REF!-#REF!</f>
        <v>1.467632610005154E-2</v>
      </c>
      <c r="V191" s="25">
        <f>#REF!-#REF!</f>
        <v>6.9009447889261111E-3</v>
      </c>
      <c r="W191" s="25">
        <f>#REF!-#REF!</f>
        <v>2.1720962628076546E-2</v>
      </c>
      <c r="X191" s="25">
        <f>#REF!-#REF!</f>
        <v>1.0213398287610698E-2</v>
      </c>
      <c r="Y191" s="25">
        <f>#REF!-#REF!</f>
        <v>0</v>
      </c>
      <c r="Z191" s="25">
        <f>#REF!-#REF!</f>
        <v>0</v>
      </c>
      <c r="AA191" s="12">
        <v>1215.4228689920101</v>
      </c>
      <c r="AB191" s="13">
        <v>571.50311712429004</v>
      </c>
      <c r="AC191">
        <f t="shared" si="36"/>
        <v>0.88343972329351328</v>
      </c>
      <c r="AD191">
        <f t="shared" si="37"/>
        <v>0.87544970432572777</v>
      </c>
      <c r="AE191">
        <f t="shared" si="38"/>
        <v>0.99095578480668911</v>
      </c>
      <c r="AF191">
        <f t="shared" si="39"/>
        <v>7.9900189677833602E-3</v>
      </c>
      <c r="AG191">
        <f t="shared" si="40"/>
        <v>9.0442151933083983E-3</v>
      </c>
      <c r="AH191">
        <f t="shared" si="41"/>
        <v>0.11656027670648667</v>
      </c>
      <c r="AI191">
        <f t="shared" si="42"/>
        <v>0.40322580645161288</v>
      </c>
      <c r="AJ191">
        <f t="shared" si="43"/>
        <v>0.59677419354839567</v>
      </c>
      <c r="AK191">
        <f t="shared" si="44"/>
        <v>1.468282639688017E-3</v>
      </c>
      <c r="AL191">
        <f t="shared" si="45"/>
        <v>3.1226151615769077E-3</v>
      </c>
    </row>
    <row r="192" spans="1:38" x14ac:dyDescent="0.35">
      <c r="A192" s="9" t="s">
        <v>28</v>
      </c>
      <c r="B192" s="22" t="s">
        <v>71</v>
      </c>
      <c r="C192" s="25">
        <f>#REF!-#REF!</f>
        <v>30.447629669960548</v>
      </c>
      <c r="D192" s="25">
        <f>#REF!-#REF!</f>
        <v>2.3474363010853931</v>
      </c>
      <c r="E192" s="25">
        <f>#REF!-#REF!</f>
        <v>28.100193368875154</v>
      </c>
      <c r="F192" s="25">
        <f>#REF!-#REF!</f>
        <v>0</v>
      </c>
      <c r="G192" s="25">
        <f>#REF!-#REF!</f>
        <v>0</v>
      </c>
      <c r="H192" s="25">
        <f>#REF!-#REF!</f>
        <v>0</v>
      </c>
      <c r="I192" s="25">
        <f>#REF!-#REF!</f>
        <v>0</v>
      </c>
      <c r="J192" s="25">
        <f>#REF!-#REF!</f>
        <v>0</v>
      </c>
      <c r="K192" s="25">
        <f>#REF!-#REF!</f>
        <v>2.0369395358085818</v>
      </c>
      <c r="L192" s="25">
        <f>#REF!-#REF!</f>
        <v>2.4824492048994813</v>
      </c>
      <c r="M192" s="25">
        <f>#REF!-#REF!</f>
        <v>0.15704295740927832</v>
      </c>
      <c r="N192" s="25">
        <f>#REF!-#REF!</f>
        <v>0.19139064164757924</v>
      </c>
      <c r="O192" s="25">
        <f>#REF!-#REF!</f>
        <v>1.879896578399304</v>
      </c>
      <c r="P192" s="25">
        <f>#REF!-#REF!</f>
        <v>2.2910585632519052</v>
      </c>
      <c r="Q192" s="25">
        <f>#REF!-#REF!</f>
        <v>0</v>
      </c>
      <c r="R192" s="25">
        <f>#REF!-#REF!</f>
        <v>0</v>
      </c>
      <c r="S192" s="25">
        <f>#REF!-#REF!</f>
        <v>0</v>
      </c>
      <c r="T192" s="25">
        <f>#REF!-#REF!</f>
        <v>0</v>
      </c>
      <c r="U192" s="25">
        <f>#REF!-#REF!</f>
        <v>0</v>
      </c>
      <c r="V192" s="25">
        <f>#REF!-#REF!</f>
        <v>0</v>
      </c>
      <c r="W192" s="25">
        <f>#REF!-#REF!</f>
        <v>0</v>
      </c>
      <c r="X192" s="25">
        <f>#REF!-#REF!</f>
        <v>0</v>
      </c>
      <c r="Y192" s="25">
        <f>#REF!-#REF!</f>
        <v>0</v>
      </c>
      <c r="Z192" s="25">
        <f>#REF!-#REF!</f>
        <v>0</v>
      </c>
      <c r="AA192" s="12">
        <v>1226.51571721458</v>
      </c>
      <c r="AB192" s="13">
        <v>1494.77336635199</v>
      </c>
      <c r="AC192">
        <f t="shared" si="36"/>
        <v>1</v>
      </c>
      <c r="AD192">
        <f t="shared" si="37"/>
        <v>0.92290249433106575</v>
      </c>
      <c r="AE192">
        <f t="shared" si="38"/>
        <v>0.92290249433106575</v>
      </c>
      <c r="AF192">
        <f t="shared" si="39"/>
        <v>7.7097505668934224E-2</v>
      </c>
      <c r="AG192">
        <f t="shared" si="40"/>
        <v>7.7097505668934224E-2</v>
      </c>
      <c r="AH192">
        <f t="shared" si="41"/>
        <v>0</v>
      </c>
      <c r="AI192" t="e">
        <f t="shared" si="42"/>
        <v>#DIV/0!</v>
      </c>
      <c r="AJ192" t="e">
        <f t="shared" si="43"/>
        <v>#DIV/0!</v>
      </c>
      <c r="AK192">
        <f t="shared" si="44"/>
        <v>2.4824492048994843E-2</v>
      </c>
      <c r="AL192">
        <f t="shared" si="45"/>
        <v>2.0369395358085827E-2</v>
      </c>
    </row>
    <row r="193" spans="1:38" x14ac:dyDescent="0.35">
      <c r="A193" s="9" t="s">
        <v>30</v>
      </c>
      <c r="B193" s="22" t="s">
        <v>71</v>
      </c>
      <c r="C193" s="25">
        <f>#REF!-#REF!</f>
        <v>20.504749809281805</v>
      </c>
      <c r="D193" s="25">
        <f>#REF!-#REF!</f>
        <v>5.6667672200197003</v>
      </c>
      <c r="E193" s="25">
        <f>#REF!-#REF!</f>
        <v>14.837982589262083</v>
      </c>
      <c r="F193" s="25">
        <f>#REF!-#REF!</f>
        <v>7.4562726579202376E-2</v>
      </c>
      <c r="G193" s="25">
        <v>0</v>
      </c>
      <c r="H193" s="25">
        <f>#REF!-#REF!</f>
        <v>0</v>
      </c>
      <c r="I193" s="25">
        <v>0</v>
      </c>
      <c r="J193" s="25">
        <f>#REF!-#REF!</f>
        <v>0</v>
      </c>
      <c r="K193" s="25">
        <f>#REF!-#REF!</f>
        <v>1.2085752854931862</v>
      </c>
      <c r="L193" s="25">
        <f>#REF!-#REF!</f>
        <v>1.1897238619754535</v>
      </c>
      <c r="M193" s="25">
        <f>#REF!-#REF!</f>
        <v>0.33400626071811734</v>
      </c>
      <c r="N193" s="25">
        <f>#REF!-#REF!</f>
        <v>0.32879641276412697</v>
      </c>
      <c r="O193" s="25">
        <f>#REF!-#REF!</f>
        <v>0.87456902477507015</v>
      </c>
      <c r="P193" s="25">
        <f>#REF!-#REF!</f>
        <v>0.86092744921132791</v>
      </c>
      <c r="Q193" s="25">
        <f>#REF!-#REF!</f>
        <v>4.3948192199749769E-3</v>
      </c>
      <c r="R193" s="25">
        <f>#REF!-#REF!</f>
        <v>4.3262685890010921E-3</v>
      </c>
      <c r="S193" s="25">
        <f>#REF!-#REF!</f>
        <v>-6.5922288299629095E-2</v>
      </c>
      <c r="T193" s="25">
        <f>#REF!-#REF!</f>
        <v>-6.4894028835025264E-2</v>
      </c>
      <c r="U193" s="25">
        <f>#REF!-#REF!</f>
        <v>0</v>
      </c>
      <c r="V193" s="25">
        <f>#REF!-#REF!</f>
        <v>0</v>
      </c>
      <c r="W193" s="25">
        <f>#REF!-#REF!</f>
        <v>-6.5922288299629095E-2</v>
      </c>
      <c r="X193" s="25">
        <f>#REF!-#REF!</f>
        <v>-6.4894028835025264E-2</v>
      </c>
      <c r="Y193" s="25">
        <f>#REF!-#REF!</f>
        <v>0</v>
      </c>
      <c r="Z193" s="25">
        <f>#REF!-#REF!</f>
        <v>0</v>
      </c>
      <c r="AA193" s="12">
        <v>1723.48815255626</v>
      </c>
      <c r="AB193" s="13">
        <v>1696.60508992738</v>
      </c>
      <c r="AC193">
        <f t="shared" si="36"/>
        <v>1</v>
      </c>
      <c r="AD193">
        <f t="shared" si="37"/>
        <v>0.72363636363636252</v>
      </c>
      <c r="AE193">
        <f t="shared" si="38"/>
        <v>0.72363636363636252</v>
      </c>
      <c r="AF193">
        <f t="shared" si="39"/>
        <v>0.27636363636363642</v>
      </c>
      <c r="AG193">
        <f t="shared" si="40"/>
        <v>0.27636363636363642</v>
      </c>
      <c r="AH193">
        <f t="shared" si="41"/>
        <v>0</v>
      </c>
      <c r="AI193" t="e">
        <f t="shared" si="42"/>
        <v>#DIV/0!</v>
      </c>
      <c r="AJ193" t="e">
        <f t="shared" si="43"/>
        <v>#DIV/0!</v>
      </c>
      <c r="AK193">
        <f t="shared" si="44"/>
        <v>1.1897238619754577E-2</v>
      </c>
      <c r="AL193">
        <f t="shared" si="45"/>
        <v>1.2085752854931887E-2</v>
      </c>
    </row>
    <row r="194" spans="1:38" x14ac:dyDescent="0.35">
      <c r="A194" s="9" t="s">
        <v>31</v>
      </c>
      <c r="B194" s="22" t="s">
        <v>71</v>
      </c>
      <c r="C194" s="25">
        <f>#REF!-#REF!</f>
        <v>53.297862831851091</v>
      </c>
      <c r="D194" s="25">
        <f>#REF!-#REF!</f>
        <v>14.266023241930156</v>
      </c>
      <c r="E194" s="25">
        <f>#REF!-#REF!</f>
        <v>39.031839589920935</v>
      </c>
      <c r="F194" s="25">
        <f>#REF!-#REF!</f>
        <v>0</v>
      </c>
      <c r="G194" s="25">
        <v>0</v>
      </c>
      <c r="H194" s="25">
        <v>0</v>
      </c>
      <c r="I194" s="25">
        <f>#REF!-#REF!</f>
        <v>0</v>
      </c>
      <c r="J194" s="25">
        <f>#REF!-#REF!</f>
        <v>0</v>
      </c>
      <c r="K194" s="25">
        <f>#REF!-#REF!</f>
        <v>2.0367474980625904</v>
      </c>
      <c r="L194" s="25">
        <f>#REF!-#REF!</f>
        <v>1.8333748955791584</v>
      </c>
      <c r="M194" s="25">
        <f>#REF!-#REF!</f>
        <v>0.5451679598668604</v>
      </c>
      <c r="N194" s="25">
        <f>#REF!-#REF!</f>
        <v>0.49073203843125179</v>
      </c>
      <c r="O194" s="25">
        <f>#REF!-#REF!</f>
        <v>1.4915795381957304</v>
      </c>
      <c r="P194" s="25">
        <f>#REF!-#REF!</f>
        <v>1.3426428571479061</v>
      </c>
      <c r="Q194" s="25">
        <f>#REF!-#REF!</f>
        <v>0</v>
      </c>
      <c r="R194" s="25">
        <f>#REF!-#REF!</f>
        <v>0</v>
      </c>
      <c r="S194" s="25">
        <f>#REF!-#REF!</f>
        <v>-0.22678987130461437</v>
      </c>
      <c r="T194" s="25">
        <f>#REF!-#REF!</f>
        <v>-0.20414452798740079</v>
      </c>
      <c r="U194" s="25">
        <f>#REF!-#REF!</f>
        <v>-0.22678987130461392</v>
      </c>
      <c r="V194" s="25">
        <f>#REF!-#REF!</f>
        <v>-0.20414452798740068</v>
      </c>
      <c r="W194" s="25">
        <f>#REF!-#REF!</f>
        <v>0</v>
      </c>
      <c r="X194" s="25">
        <f>#REF!-#REF!</f>
        <v>0</v>
      </c>
      <c r="Y194" s="25">
        <f>#REF!-#REF!</f>
        <v>0</v>
      </c>
      <c r="Z194" s="25">
        <f>#REF!-#REF!</f>
        <v>0</v>
      </c>
      <c r="AA194" s="12">
        <v>2907.0902498102801</v>
      </c>
      <c r="AB194" s="13">
        <v>2616.8124857180101</v>
      </c>
      <c r="AC194">
        <f t="shared" si="36"/>
        <v>1</v>
      </c>
      <c r="AD194">
        <f t="shared" si="37"/>
        <v>0.7323340471092078</v>
      </c>
      <c r="AE194">
        <f t="shared" si="38"/>
        <v>0.7323340471092078</v>
      </c>
      <c r="AF194">
        <f t="shared" si="39"/>
        <v>0.26766595289079215</v>
      </c>
      <c r="AG194">
        <f t="shared" si="40"/>
        <v>0.26766595289079215</v>
      </c>
      <c r="AH194">
        <f t="shared" si="41"/>
        <v>0</v>
      </c>
      <c r="AI194" t="e">
        <f t="shared" si="42"/>
        <v>#DIV/0!</v>
      </c>
      <c r="AJ194" t="e">
        <f t="shared" si="43"/>
        <v>#DIV/0!</v>
      </c>
      <c r="AK194">
        <f t="shared" si="44"/>
        <v>1.8333748955791575E-2</v>
      </c>
      <c r="AL194">
        <f t="shared" si="45"/>
        <v>2.0367474980625921E-2</v>
      </c>
    </row>
    <row r="195" spans="1:38" x14ac:dyDescent="0.35">
      <c r="A195" s="9" t="s">
        <v>32</v>
      </c>
      <c r="B195" s="22" t="s">
        <v>71</v>
      </c>
      <c r="C195" s="25">
        <f>#REF!-#REF!</f>
        <v>100.43280362318831</v>
      </c>
      <c r="D195" s="25">
        <f>#REF!-#REF!</f>
        <v>23.966919046442662</v>
      </c>
      <c r="E195" s="25">
        <f>#REF!-#REF!</f>
        <v>76.465884576745623</v>
      </c>
      <c r="F195" s="25">
        <f>#REF!-#REF!</f>
        <v>0</v>
      </c>
      <c r="G195" s="25">
        <f>#REF!-#REF!</f>
        <v>0.7988973015483225</v>
      </c>
      <c r="H195" s="25">
        <f>#REF!-#REF!</f>
        <v>0</v>
      </c>
      <c r="I195" s="25">
        <f>#REF!-#REF!</f>
        <v>0.79889730154820882</v>
      </c>
      <c r="J195" s="25">
        <f>#REF!-#REF!</f>
        <v>0</v>
      </c>
      <c r="K195" s="25">
        <f>#REF!-#REF!</f>
        <v>2.7918805654534271</v>
      </c>
      <c r="L195" s="25">
        <f>#REF!-#REF!</f>
        <v>2.4132147741265229</v>
      </c>
      <c r="M195" s="25">
        <f>#REF!-#REF!</f>
        <v>0.66624422584684018</v>
      </c>
      <c r="N195" s="25">
        <f>#REF!-#REF!</f>
        <v>0.57588079837110207</v>
      </c>
      <c r="O195" s="25">
        <f>#REF!-#REF!</f>
        <v>2.1256363396065865</v>
      </c>
      <c r="P195" s="25">
        <f>#REF!-#REF!</f>
        <v>1.8373339757554206</v>
      </c>
      <c r="Q195" s="25">
        <f>#REF!-#REF!</f>
        <v>0</v>
      </c>
      <c r="R195" s="25">
        <f>#REF!-#REF!</f>
        <v>0</v>
      </c>
      <c r="S195" s="25">
        <f>#REF!-#REF!</f>
        <v>2.2208140861561532E-2</v>
      </c>
      <c r="T195" s="25">
        <f>#REF!-#REF!</f>
        <v>1.9196026612373629E-2</v>
      </c>
      <c r="U195" s="25">
        <f>#REF!-#REF!</f>
        <v>0</v>
      </c>
      <c r="V195" s="25">
        <f>#REF!-#REF!</f>
        <v>0</v>
      </c>
      <c r="W195" s="25">
        <f>#REF!-#REF!</f>
        <v>2.2208140861561532E-2</v>
      </c>
      <c r="X195" s="25">
        <f>#REF!-#REF!</f>
        <v>1.9196026612373629E-2</v>
      </c>
      <c r="Y195" s="25">
        <f>#REF!-#REF!</f>
        <v>0</v>
      </c>
      <c r="Z195" s="25">
        <f>#REF!-#REF!</f>
        <v>0</v>
      </c>
      <c r="AA195" s="12">
        <v>4161.7847155581303</v>
      </c>
      <c r="AB195" s="13">
        <v>3597.3173374942398</v>
      </c>
      <c r="AC195">
        <f t="shared" ref="AC195:AC258" si="46">C195/(C195+G195)</f>
        <v>0.99210822998872372</v>
      </c>
      <c r="AD195">
        <f t="shared" ref="AD195:AD258" si="47">(E195/(C195+G195))</f>
        <v>0.75535512965050544</v>
      </c>
      <c r="AE195">
        <f t="shared" ref="AE195:AE258" si="48">(E195/C195)</f>
        <v>0.76136363636363613</v>
      </c>
      <c r="AF195">
        <f t="shared" ref="AF195:AF258" si="49">(D195/(C195+G195))</f>
        <v>0.23675310033821814</v>
      </c>
      <c r="AG195">
        <f t="shared" ref="AG195:AG258" si="50">(D195/(C195))</f>
        <v>0.23863636363636362</v>
      </c>
      <c r="AH195">
        <f t="shared" ref="AH195:AH258" si="51">(G195/(C195+G195))</f>
        <v>7.8917700112762484E-3</v>
      </c>
      <c r="AI195">
        <f t="shared" ref="AI195:AI258" si="52">(H195/G195)</f>
        <v>0</v>
      </c>
      <c r="AJ195">
        <f t="shared" ref="AJ195:AJ258" si="53">I195/G195</f>
        <v>0.99999999999985767</v>
      </c>
      <c r="AK195">
        <f t="shared" ref="AK195:AK258" si="54">(C195+G195)/AA195</f>
        <v>2.4324108007388989E-2</v>
      </c>
      <c r="AL195">
        <f t="shared" ref="AL195:AL258" si="55">(C195+G195)/AB195</f>
        <v>2.8140887063149937E-2</v>
      </c>
    </row>
    <row r="196" spans="1:38" x14ac:dyDescent="0.35">
      <c r="A196" s="9" t="s">
        <v>33</v>
      </c>
      <c r="B196" s="22" t="s">
        <v>71</v>
      </c>
      <c r="C196" s="25">
        <f>#REF!-#REF!</f>
        <v>45.651274374176523</v>
      </c>
      <c r="D196" s="25">
        <f>#REF!-#REF!</f>
        <v>11.412818593544126</v>
      </c>
      <c r="E196" s="25">
        <f>#REF!-#REF!</f>
        <v>34.238455780632393</v>
      </c>
      <c r="F196" s="25">
        <f>#REF!-#REF!</f>
        <v>0</v>
      </c>
      <c r="G196" s="25">
        <f>#REF!-#REF!</f>
        <v>0</v>
      </c>
      <c r="H196" s="25">
        <f>#REF!-#REF!</f>
        <v>0</v>
      </c>
      <c r="I196" s="25">
        <f>#REF!-#REF!</f>
        <v>0</v>
      </c>
      <c r="J196" s="25">
        <f>#REF!-#REF!</f>
        <v>0</v>
      </c>
      <c r="K196" s="25">
        <f>#REF!-#REF!</f>
        <v>2.379954283240993</v>
      </c>
      <c r="L196" s="25">
        <f>#REF!-#REF!</f>
        <v>1.9528621771443726</v>
      </c>
      <c r="M196" s="25">
        <f>#REF!-#REF!</f>
        <v>0.59498857081024792</v>
      </c>
      <c r="N196" s="25">
        <f>#REF!-#REF!</f>
        <v>0.48821554428609326</v>
      </c>
      <c r="O196" s="25">
        <f>#REF!-#REF!</f>
        <v>1.7849657124307452</v>
      </c>
      <c r="P196" s="25">
        <f>#REF!-#REF!</f>
        <v>1.4646466328582797</v>
      </c>
      <c r="Q196" s="25">
        <f>#REF!-#REF!</f>
        <v>0</v>
      </c>
      <c r="R196" s="25">
        <f>#REF!-#REF!</f>
        <v>0</v>
      </c>
      <c r="S196" s="25">
        <f>#REF!-#REF!</f>
        <v>0</v>
      </c>
      <c r="T196" s="25">
        <f>#REF!-#REF!</f>
        <v>0</v>
      </c>
      <c r="U196" s="25">
        <f>#REF!-#REF!</f>
        <v>0</v>
      </c>
      <c r="V196" s="25">
        <f>#REF!-#REF!</f>
        <v>0</v>
      </c>
      <c r="W196" s="25">
        <f>#REF!-#REF!</f>
        <v>0</v>
      </c>
      <c r="X196" s="25">
        <f>#REF!-#REF!</f>
        <v>0</v>
      </c>
      <c r="Y196" s="25">
        <f>#REF!-#REF!</f>
        <v>0</v>
      </c>
      <c r="Z196" s="25">
        <f>#REF!-#REF!</f>
        <v>0</v>
      </c>
      <c r="AA196" s="12">
        <v>2337.6598158571201</v>
      </c>
      <c r="AB196" s="13">
        <v>1918.15761738117</v>
      </c>
      <c r="AC196">
        <f t="shared" si="46"/>
        <v>1</v>
      </c>
      <c r="AD196">
        <f t="shared" si="47"/>
        <v>0.75</v>
      </c>
      <c r="AE196">
        <f t="shared" si="48"/>
        <v>0.75</v>
      </c>
      <c r="AF196">
        <f t="shared" si="49"/>
        <v>0.24999999999999989</v>
      </c>
      <c r="AG196">
        <f t="shared" si="50"/>
        <v>0.24999999999999989</v>
      </c>
      <c r="AH196">
        <f t="shared" si="51"/>
        <v>0</v>
      </c>
      <c r="AI196" t="e">
        <f t="shared" si="52"/>
        <v>#DIV/0!</v>
      </c>
      <c r="AJ196" t="e">
        <f t="shared" si="53"/>
        <v>#DIV/0!</v>
      </c>
      <c r="AK196">
        <f t="shared" si="54"/>
        <v>1.9528621771443742E-2</v>
      </c>
      <c r="AL196">
        <f t="shared" si="55"/>
        <v>2.3799542832409926E-2</v>
      </c>
    </row>
    <row r="197" spans="1:38" x14ac:dyDescent="0.35">
      <c r="A197" s="9" t="s">
        <v>34</v>
      </c>
      <c r="B197" s="22" t="s">
        <v>71</v>
      </c>
      <c r="C197" s="25">
        <f>#REF!-#REF!</f>
        <v>29.96967941429034</v>
      </c>
      <c r="D197" s="25">
        <f>#REF!-#REF!</f>
        <v>4.6827624084828585</v>
      </c>
      <c r="E197" s="25">
        <f>#REF!-#REF!</f>
        <v>25.286917005807481</v>
      </c>
      <c r="F197" s="25">
        <v>0</v>
      </c>
      <c r="G197" s="25">
        <f>#REF!-#REF!</f>
        <v>0</v>
      </c>
      <c r="H197" s="25">
        <f>#REF!-#REF!</f>
        <v>0</v>
      </c>
      <c r="I197" s="25">
        <f>#REF!-#REF!</f>
        <v>0</v>
      </c>
      <c r="J197" s="25">
        <f>#REF!-#REF!</f>
        <v>0</v>
      </c>
      <c r="K197" s="25">
        <f>#REF!-#REF!</f>
        <v>0.65660595684839507</v>
      </c>
      <c r="L197" s="25">
        <f>#REF!-#REF!</f>
        <v>0.56282649977393184</v>
      </c>
      <c r="M197" s="25">
        <f>#REF!-#REF!</f>
        <v>0.10259468075756129</v>
      </c>
      <c r="N197" s="25">
        <f>#REF!-#REF!</f>
        <v>8.7941640589676462E-2</v>
      </c>
      <c r="O197" s="25">
        <f>#REF!-#REF!</f>
        <v>0.55401127609083289</v>
      </c>
      <c r="P197" s="25">
        <f>#REF!-#REF!</f>
        <v>0.4748848591842556</v>
      </c>
      <c r="Q197" s="25">
        <f>#REF!-#REF!</f>
        <v>-4.7398742509993275</v>
      </c>
      <c r="R197" s="25">
        <f>#REF!-#REF!</f>
        <v>-4.0629037952430505</v>
      </c>
      <c r="S197" s="25">
        <f>#REF!-#REF!</f>
        <v>0</v>
      </c>
      <c r="T197" s="25">
        <f>#REF!-#REF!</f>
        <v>0</v>
      </c>
      <c r="U197" s="25">
        <f>#REF!-#REF!</f>
        <v>0</v>
      </c>
      <c r="V197" s="25">
        <f>#REF!-#REF!</f>
        <v>0</v>
      </c>
      <c r="W197" s="25">
        <f>#REF!-#REF!</f>
        <v>0</v>
      </c>
      <c r="X197" s="25">
        <f>#REF!-#REF!</f>
        <v>0</v>
      </c>
      <c r="Y197" s="25">
        <f>#REF!-#REF!</f>
        <v>0</v>
      </c>
      <c r="Z197" s="25">
        <f>#REF!-#REF!</f>
        <v>0</v>
      </c>
      <c r="AA197" s="12">
        <v>5324.8522282316499</v>
      </c>
      <c r="AB197" s="13">
        <v>4564.3325500944502</v>
      </c>
      <c r="AC197">
        <f t="shared" si="46"/>
        <v>1</v>
      </c>
      <c r="AD197">
        <f t="shared" si="47"/>
        <v>0.84375000000000022</v>
      </c>
      <c r="AE197">
        <f t="shared" si="48"/>
        <v>0.84375000000000022</v>
      </c>
      <c r="AF197">
        <f t="shared" si="49"/>
        <v>0.15624999999999975</v>
      </c>
      <c r="AG197">
        <f t="shared" si="50"/>
        <v>0.15624999999999975</v>
      </c>
      <c r="AH197">
        <f t="shared" si="51"/>
        <v>0</v>
      </c>
      <c r="AI197" t="e">
        <f t="shared" si="52"/>
        <v>#DIV/0!</v>
      </c>
      <c r="AJ197" t="e">
        <f t="shared" si="53"/>
        <v>#DIV/0!</v>
      </c>
      <c r="AK197">
        <f t="shared" si="54"/>
        <v>5.6282649977393052E-3</v>
      </c>
      <c r="AL197">
        <f t="shared" si="55"/>
        <v>6.5660595684839344E-3</v>
      </c>
    </row>
    <row r="198" spans="1:38" x14ac:dyDescent="0.35">
      <c r="A198" s="9" t="s">
        <v>35</v>
      </c>
      <c r="B198" s="22" t="s">
        <v>71</v>
      </c>
      <c r="C198" s="25">
        <f>#REF!-#REF!</f>
        <v>6.3663101002475742E-4</v>
      </c>
      <c r="D198" s="25">
        <f>#REF!-#REF!</f>
        <v>7.3429182238626822E-5</v>
      </c>
      <c r="E198" s="25">
        <f>#REF!-#REF!</f>
        <v>5.6320182778790695E-4</v>
      </c>
      <c r="F198" s="25">
        <f>#REF!-#REF!</f>
        <v>3.4291428105603927E-4</v>
      </c>
      <c r="G198" s="25">
        <f>#REF!-#REF!</f>
        <v>5.20612902079165E-4</v>
      </c>
      <c r="H198" s="25">
        <f>#REF!-#REF!</f>
        <v>0</v>
      </c>
      <c r="I198" s="25">
        <f>#REF!-#REF!</f>
        <v>5.20612902079165E-4</v>
      </c>
      <c r="J198" s="25">
        <f>#REF!-#REF!</f>
        <v>9.1786477798905253E-4</v>
      </c>
      <c r="K198" s="25">
        <f>#REF!-#REF!</f>
        <v>3.8862875279654929E-5</v>
      </c>
      <c r="L198" s="25">
        <f>#REF!-#REF!</f>
        <v>2.9520951920769534E-5</v>
      </c>
      <c r="M198" s="25">
        <f>#REF!-#REF!</f>
        <v>4.4824538958376792E-6</v>
      </c>
      <c r="N198" s="25">
        <f>#REF!-#REF!</f>
        <v>3.4049540853509086E-6</v>
      </c>
      <c r="O198" s="25">
        <f>#REF!-#REF!</f>
        <v>3.4380421383595205E-5</v>
      </c>
      <c r="P198" s="25">
        <f>#REF!-#REF!</f>
        <v>2.6115997835418625E-5</v>
      </c>
      <c r="Q198" s="25">
        <f>#REF!-#REF!</f>
        <v>2.0933059694083767E-5</v>
      </c>
      <c r="R198" s="25">
        <f>#REF!-#REF!</f>
        <v>1.5901135578477721E-5</v>
      </c>
      <c r="S198" s="25">
        <f>#REF!-#REF!</f>
        <v>3.1780598122921333E-5</v>
      </c>
      <c r="T198" s="25">
        <f>#REF!-#REF!</f>
        <v>2.4141124465248964E-5</v>
      </c>
      <c r="U198" s="25">
        <f>#REF!-#REF!</f>
        <v>0</v>
      </c>
      <c r="V198" s="25">
        <f>#REF!-#REF!</f>
        <v>0</v>
      </c>
      <c r="W198" s="25">
        <f>#REF!-#REF!</f>
        <v>3.1780598122921333E-5</v>
      </c>
      <c r="X198" s="25">
        <f>#REF!-#REF!</f>
        <v>2.4141124465248964E-5</v>
      </c>
      <c r="Y198" s="25">
        <f>#REF!-#REF!</f>
        <v>5.6030673700746547E-5</v>
      </c>
      <c r="Z198" s="25">
        <f>#REF!-#REF!</f>
        <v>4.2561926066220224E-5</v>
      </c>
      <c r="AA198" s="12">
        <v>2156.5395714307001</v>
      </c>
      <c r="AB198" s="13">
        <v>1638.14696019506</v>
      </c>
      <c r="AC198">
        <f t="shared" si="46"/>
        <v>0.55012690355599547</v>
      </c>
      <c r="AD198">
        <f t="shared" si="47"/>
        <v>0.48667512690905435</v>
      </c>
      <c r="AE198">
        <f t="shared" si="48"/>
        <v>0.88465974625710597</v>
      </c>
      <c r="AF198">
        <f t="shared" si="49"/>
        <v>6.3451776648476121E-2</v>
      </c>
      <c r="AG198">
        <f t="shared" si="50"/>
        <v>0.11534025374568432</v>
      </c>
      <c r="AH198">
        <f t="shared" si="51"/>
        <v>0.44987309644400453</v>
      </c>
      <c r="AI198">
        <f t="shared" si="52"/>
        <v>0</v>
      </c>
      <c r="AJ198">
        <f t="shared" si="53"/>
        <v>1</v>
      </c>
      <c r="AK198">
        <f t="shared" si="54"/>
        <v>5.3662076385465022E-7</v>
      </c>
      <c r="AL198">
        <f t="shared" si="55"/>
        <v>7.0643473401563753E-7</v>
      </c>
    </row>
    <row r="199" spans="1:38" x14ac:dyDescent="0.35">
      <c r="A199" s="9" t="s">
        <v>36</v>
      </c>
      <c r="B199" s="22" t="s">
        <v>71</v>
      </c>
      <c r="C199" s="25">
        <f>#REF!-#REF!</f>
        <v>1.1412818593541374E-2</v>
      </c>
      <c r="D199" s="25">
        <f>#REF!-#REF!</f>
        <v>0</v>
      </c>
      <c r="E199" s="25">
        <f>#REF!-#REF!</f>
        <v>1.1412818593541374E-2</v>
      </c>
      <c r="F199" s="25">
        <f>#REF!-#REF!</f>
        <v>0</v>
      </c>
      <c r="G199" s="25">
        <f>#REF!-#REF!</f>
        <v>0</v>
      </c>
      <c r="H199" s="25">
        <f>#REF!-#REF!</f>
        <v>0</v>
      </c>
      <c r="I199" s="25">
        <f>#REF!-#REF!</f>
        <v>0</v>
      </c>
      <c r="J199" s="25">
        <f>#REF!-#REF!</f>
        <v>0</v>
      </c>
      <c r="K199" s="25">
        <f>#REF!-#REF!</f>
        <v>8.620484326238298E-4</v>
      </c>
      <c r="L199" s="25">
        <f>#REF!-#REF!</f>
        <v>6.352709519514832E-4</v>
      </c>
      <c r="M199" s="25">
        <f>#REF!-#REF!</f>
        <v>0</v>
      </c>
      <c r="N199" s="25">
        <f>#REF!-#REF!</f>
        <v>0</v>
      </c>
      <c r="O199" s="25">
        <f>#REF!-#REF!</f>
        <v>8.620484326238298E-4</v>
      </c>
      <c r="P199" s="25">
        <f>#REF!-#REF!</f>
        <v>6.352709519514832E-4</v>
      </c>
      <c r="Q199" s="25">
        <f>#REF!-#REF!</f>
        <v>0</v>
      </c>
      <c r="R199" s="25">
        <f>#REF!-#REF!</f>
        <v>0</v>
      </c>
      <c r="S199" s="25">
        <f>#REF!-#REF!</f>
        <v>0</v>
      </c>
      <c r="T199" s="25">
        <f>#REF!-#REF!</f>
        <v>0</v>
      </c>
      <c r="U199" s="25">
        <f>#REF!-#REF!</f>
        <v>0</v>
      </c>
      <c r="V199" s="25">
        <f>#REF!-#REF!</f>
        <v>0</v>
      </c>
      <c r="W199" s="25">
        <f>#REF!-#REF!</f>
        <v>0</v>
      </c>
      <c r="X199" s="25">
        <f>#REF!-#REF!</f>
        <v>0</v>
      </c>
      <c r="Y199" s="25">
        <f>#REF!-#REF!</f>
        <v>0</v>
      </c>
      <c r="Z199" s="25">
        <f>#REF!-#REF!</f>
        <v>0</v>
      </c>
      <c r="AA199" s="12">
        <v>1796.5276955414199</v>
      </c>
      <c r="AB199" s="13">
        <v>1323.9184901480501</v>
      </c>
      <c r="AC199">
        <f t="shared" si="46"/>
        <v>1</v>
      </c>
      <c r="AD199">
        <f t="shared" si="47"/>
        <v>1</v>
      </c>
      <c r="AE199">
        <f t="shared" si="48"/>
        <v>1</v>
      </c>
      <c r="AF199">
        <f t="shared" si="49"/>
        <v>0</v>
      </c>
      <c r="AG199">
        <f t="shared" si="50"/>
        <v>0</v>
      </c>
      <c r="AH199">
        <f t="shared" si="51"/>
        <v>0</v>
      </c>
      <c r="AI199" t="e">
        <f t="shared" si="52"/>
        <v>#DIV/0!</v>
      </c>
      <c r="AJ199" t="e">
        <f t="shared" si="53"/>
        <v>#DIV/0!</v>
      </c>
      <c r="AK199">
        <f t="shared" si="54"/>
        <v>6.3527095195166974E-6</v>
      </c>
      <c r="AL199">
        <f t="shared" si="55"/>
        <v>8.6204843262405904E-6</v>
      </c>
    </row>
    <row r="200" spans="1:38" x14ac:dyDescent="0.35">
      <c r="A200" s="9" t="s">
        <v>37</v>
      </c>
      <c r="B200" s="22" t="s">
        <v>71</v>
      </c>
      <c r="C200" s="25">
        <f>#REF!-#REF!</f>
        <v>0</v>
      </c>
      <c r="D200" s="25">
        <f>#REF!-#REF!</f>
        <v>0</v>
      </c>
      <c r="E200" s="25">
        <f>#REF!-#REF!</f>
        <v>0</v>
      </c>
      <c r="F200" s="25">
        <f>#REF!-#REF!</f>
        <v>0</v>
      </c>
      <c r="G200" s="25">
        <f>#REF!-#REF!</f>
        <v>15.395615788971099</v>
      </c>
      <c r="H200" s="25">
        <f>#REF!-#REF!</f>
        <v>0</v>
      </c>
      <c r="I200" s="25">
        <f>#REF!-#REF!</f>
        <v>15.395615788971099</v>
      </c>
      <c r="J200" s="25">
        <f>#REF!-#REF!</f>
        <v>0</v>
      </c>
      <c r="K200" s="25">
        <f>#REF!-#REF!</f>
        <v>0</v>
      </c>
      <c r="L200" s="25">
        <f>#REF!-#REF!</f>
        <v>0</v>
      </c>
      <c r="M200" s="25">
        <f>#REF!-#REF!</f>
        <v>0</v>
      </c>
      <c r="N200" s="25">
        <f>#REF!-#REF!</f>
        <v>0</v>
      </c>
      <c r="O200" s="25">
        <f>#REF!-#REF!</f>
        <v>0</v>
      </c>
      <c r="P200" s="25">
        <f>#REF!-#REF!</f>
        <v>0</v>
      </c>
      <c r="Q200" s="25">
        <f>#REF!-#REF!</f>
        <v>0</v>
      </c>
      <c r="R200" s="25">
        <f>#REF!-#REF!</f>
        <v>0</v>
      </c>
      <c r="S200" s="25">
        <f>#REF!-#REF!</f>
        <v>0.4876060525070649</v>
      </c>
      <c r="T200" s="25">
        <f>#REF!-#REF!</f>
        <v>0.52330648617822106</v>
      </c>
      <c r="U200" s="25">
        <f>#REF!-#REF!</f>
        <v>0</v>
      </c>
      <c r="V200" s="25">
        <f>#REF!-#REF!</f>
        <v>0</v>
      </c>
      <c r="W200" s="25">
        <f>#REF!-#REF!</f>
        <v>0.4876060525070649</v>
      </c>
      <c r="X200" s="25">
        <f>#REF!-#REF!</f>
        <v>0.52330648617822106</v>
      </c>
      <c r="Y200" s="25">
        <f>#REF!-#REF!</f>
        <v>0</v>
      </c>
      <c r="Z200" s="25">
        <f>#REF!-#REF!</f>
        <v>0</v>
      </c>
      <c r="AA200" s="12">
        <v>2941.9883367789698</v>
      </c>
      <c r="AB200" s="13">
        <v>3157.38816403392</v>
      </c>
      <c r="AC200">
        <f t="shared" si="46"/>
        <v>0</v>
      </c>
      <c r="AD200">
        <f t="shared" si="47"/>
        <v>0</v>
      </c>
      <c r="AE200" t="e">
        <f t="shared" si="48"/>
        <v>#DIV/0!</v>
      </c>
      <c r="AF200">
        <f t="shared" si="49"/>
        <v>0</v>
      </c>
      <c r="AG200" t="e">
        <f t="shared" si="50"/>
        <v>#DIV/0!</v>
      </c>
      <c r="AH200">
        <f t="shared" si="51"/>
        <v>1</v>
      </c>
      <c r="AI200">
        <f t="shared" si="52"/>
        <v>0</v>
      </c>
      <c r="AJ200">
        <f t="shared" si="53"/>
        <v>1</v>
      </c>
      <c r="AK200">
        <f t="shared" si="54"/>
        <v>5.2330648617822054E-3</v>
      </c>
      <c r="AL200">
        <f t="shared" si="55"/>
        <v>4.8760605250706525E-3</v>
      </c>
    </row>
    <row r="201" spans="1:38" x14ac:dyDescent="0.35">
      <c r="A201" s="9" t="s">
        <v>38</v>
      </c>
      <c r="B201" s="22" t="s">
        <v>71</v>
      </c>
      <c r="C201" s="25">
        <f>#REF!-#REF!</f>
        <v>0.27200000000084401</v>
      </c>
      <c r="D201" s="25">
        <v>0</v>
      </c>
      <c r="E201" s="25">
        <f>#REF!-#REF!</f>
        <v>3.3720000000002983</v>
      </c>
      <c r="F201" s="25">
        <f>#REF!-#REF!</f>
        <v>0</v>
      </c>
      <c r="G201" s="25">
        <f>#REF!-#REF!</f>
        <v>0</v>
      </c>
      <c r="H201" s="25">
        <f>#REF!-#REF!</f>
        <v>0</v>
      </c>
      <c r="I201" s="25">
        <f>#REF!-#REF!</f>
        <v>0</v>
      </c>
      <c r="J201" s="25">
        <f>#REF!-#REF!</f>
        <v>0</v>
      </c>
      <c r="K201" s="25">
        <f>#REF!-#REF!</f>
        <v>1.3648468991078744E-3</v>
      </c>
      <c r="L201" s="25">
        <f>#REF!-#REF!</f>
        <v>1.3617557193335017E-3</v>
      </c>
      <c r="M201" s="25">
        <f>#REF!-#REF!</f>
        <v>-1.5555240394231618E-2</v>
      </c>
      <c r="N201" s="25">
        <f>#REF!-#REF!</f>
        <v>-1.5520010036498277E-2</v>
      </c>
      <c r="O201" s="25">
        <f>#REF!-#REF!</f>
        <v>1.6920087293339492E-2</v>
      </c>
      <c r="P201" s="25">
        <f>#REF!-#REF!</f>
        <v>1.6881765755830003E-2</v>
      </c>
      <c r="Q201" s="25">
        <f>#REF!-#REF!</f>
        <v>0</v>
      </c>
      <c r="R201" s="25">
        <f>#REF!-#REF!</f>
        <v>0</v>
      </c>
      <c r="S201" s="25">
        <f>#REF!-#REF!</f>
        <v>0</v>
      </c>
      <c r="T201" s="25">
        <f>#REF!-#REF!</f>
        <v>0</v>
      </c>
      <c r="U201" s="25">
        <f>#REF!-#REF!</f>
        <v>0</v>
      </c>
      <c r="V201" s="25">
        <f>#REF!-#REF!</f>
        <v>0</v>
      </c>
      <c r="W201" s="25">
        <f>#REF!-#REF!</f>
        <v>0</v>
      </c>
      <c r="X201" s="25">
        <f>#REF!-#REF!</f>
        <v>0</v>
      </c>
      <c r="Y201" s="25">
        <f>#REF!-#REF!</f>
        <v>0</v>
      </c>
      <c r="Z201" s="25">
        <f>#REF!-#REF!</f>
        <v>0</v>
      </c>
      <c r="AA201" s="12">
        <v>19974.2138871676</v>
      </c>
      <c r="AB201" s="13">
        <v>19928.975197</v>
      </c>
      <c r="AC201">
        <f t="shared" si="46"/>
        <v>1</v>
      </c>
      <c r="AD201">
        <f t="shared" si="47"/>
        <v>12.39705882349204</v>
      </c>
      <c r="AE201">
        <f t="shared" si="48"/>
        <v>12.39705882349204</v>
      </c>
      <c r="AF201">
        <f t="shared" si="49"/>
        <v>0</v>
      </c>
      <c r="AG201">
        <f t="shared" si="50"/>
        <v>0</v>
      </c>
      <c r="AH201">
        <f t="shared" si="51"/>
        <v>0</v>
      </c>
      <c r="AI201" t="e">
        <f t="shared" si="52"/>
        <v>#DIV/0!</v>
      </c>
      <c r="AJ201" t="e">
        <f t="shared" si="53"/>
        <v>#DIV/0!</v>
      </c>
      <c r="AK201">
        <f t="shared" si="54"/>
        <v>1.3617557193356679E-5</v>
      </c>
      <c r="AL201">
        <f t="shared" si="55"/>
        <v>1.3648468991109459E-5</v>
      </c>
    </row>
    <row r="202" spans="1:38" x14ac:dyDescent="0.35">
      <c r="A202" s="9" t="s">
        <v>39</v>
      </c>
      <c r="B202" s="22" t="s">
        <v>71</v>
      </c>
      <c r="C202" s="25">
        <v>0</v>
      </c>
      <c r="D202" s="25">
        <v>0</v>
      </c>
      <c r="E202" s="25">
        <v>0</v>
      </c>
      <c r="F202" s="25">
        <v>0</v>
      </c>
      <c r="G202" s="25">
        <v>0</v>
      </c>
      <c r="H202" s="25">
        <v>0</v>
      </c>
      <c r="I202" s="25">
        <v>0</v>
      </c>
      <c r="J202" s="25">
        <v>0</v>
      </c>
      <c r="K202" s="25">
        <f>#REF!-#REF!</f>
        <v>-1.3322676295501878E-15</v>
      </c>
      <c r="L202" s="25">
        <f>#REF!-#REF!</f>
        <v>-7.2164496600635175E-16</v>
      </c>
      <c r="M202" s="25">
        <f>#REF!-#REF!</f>
        <v>-8.3266726846886741E-16</v>
      </c>
      <c r="N202" s="25">
        <f>#REF!-#REF!</f>
        <v>-4.7184478546569153E-16</v>
      </c>
      <c r="O202" s="25">
        <f>#REF!-#REF!</f>
        <v>-4.163336342344337E-16</v>
      </c>
      <c r="P202" s="25">
        <f>#REF!-#REF!</f>
        <v>-2.3592239273284576E-16</v>
      </c>
      <c r="Q202" s="25">
        <f>#REF!-#REF!</f>
        <v>-7.7715611723760958E-16</v>
      </c>
      <c r="R202" s="25">
        <f>#REF!-#REF!</f>
        <v>-4.163336342344337E-16</v>
      </c>
      <c r="S202" s="25">
        <f>#REF!-#REF!</f>
        <v>-1.8041124150158794E-16</v>
      </c>
      <c r="T202" s="25">
        <f>#REF!-#REF!</f>
        <v>-9.7144514654701197E-17</v>
      </c>
      <c r="U202" s="25">
        <f>#REF!-#REF!</f>
        <v>-1.5265566588595902E-16</v>
      </c>
      <c r="V202" s="25">
        <f>#REF!-#REF!</f>
        <v>-8.3266726846886741E-17</v>
      </c>
      <c r="W202" s="25">
        <f>#REF!-#REF!</f>
        <v>-3.2959746043559335E-17</v>
      </c>
      <c r="X202" s="25">
        <f>#REF!-#REF!</f>
        <v>-1.6479873021779667E-17</v>
      </c>
      <c r="Y202" s="25">
        <f>#REF!-#REF!</f>
        <v>-2.1094237467877974E-15</v>
      </c>
      <c r="Z202" s="25">
        <f>#REF!-#REF!</f>
        <v>-1.1657341758564144E-15</v>
      </c>
      <c r="AA202" s="12">
        <v>2381.6675591522499</v>
      </c>
      <c r="AB202" s="13">
        <v>1279.1513266244399</v>
      </c>
      <c r="AC202" t="e">
        <f t="shared" si="46"/>
        <v>#DIV/0!</v>
      </c>
      <c r="AD202" t="e">
        <f t="shared" si="47"/>
        <v>#DIV/0!</v>
      </c>
      <c r="AE202" t="e">
        <f t="shared" si="48"/>
        <v>#DIV/0!</v>
      </c>
      <c r="AF202" t="e">
        <f t="shared" si="49"/>
        <v>#DIV/0!</v>
      </c>
      <c r="AG202" t="e">
        <f t="shared" si="50"/>
        <v>#DIV/0!</v>
      </c>
      <c r="AH202" t="e">
        <f t="shared" si="51"/>
        <v>#DIV/0!</v>
      </c>
      <c r="AI202" t="e">
        <f t="shared" si="52"/>
        <v>#DIV/0!</v>
      </c>
      <c r="AJ202" t="e">
        <f t="shared" si="53"/>
        <v>#DIV/0!</v>
      </c>
      <c r="AK202">
        <f t="shared" si="54"/>
        <v>0</v>
      </c>
      <c r="AL202">
        <f t="shared" si="55"/>
        <v>0</v>
      </c>
    </row>
    <row r="203" spans="1:38" x14ac:dyDescent="0.35">
      <c r="A203" s="9" t="s">
        <v>40</v>
      </c>
      <c r="B203" s="22" t="s">
        <v>71</v>
      </c>
      <c r="C203" s="25">
        <f>#REF!-#REF!</f>
        <v>6.4771357218701624</v>
      </c>
      <c r="D203" s="25">
        <f>#REF!-#REF!</f>
        <v>0.60354303931876307</v>
      </c>
      <c r="E203" s="25">
        <f>#REF!-#REF!</f>
        <v>5.8735926825513989</v>
      </c>
      <c r="F203" s="25">
        <v>0</v>
      </c>
      <c r="G203" s="25">
        <f>#REF!-#REF!</f>
        <v>7.2337052758079778E-2</v>
      </c>
      <c r="H203" s="25">
        <f>#REF!-#REF!</f>
        <v>4.4287991484539546E-3</v>
      </c>
      <c r="I203" s="25">
        <f>#REF!-#REF!</f>
        <v>6.7908253609623159E-2</v>
      </c>
      <c r="J203" s="25">
        <f>#REF!-#REF!</f>
        <v>0.5273109280821302</v>
      </c>
      <c r="K203" s="25">
        <f>#REF!-#REF!</f>
        <v>0.64962766669383099</v>
      </c>
      <c r="L203" s="25">
        <f>#REF!-#REF!</f>
        <v>0.2775379970503965</v>
      </c>
      <c r="M203" s="25">
        <f>#REF!-#REF!</f>
        <v>6.0532660302005353E-2</v>
      </c>
      <c r="N203" s="25">
        <f>#REF!-#REF!</f>
        <v>2.5861141939739027E-2</v>
      </c>
      <c r="O203" s="25">
        <f>#REF!-#REF!</f>
        <v>0.58909500639182544</v>
      </c>
      <c r="P203" s="25">
        <f>#REF!-#REF!</f>
        <v>0.25167685511065746</v>
      </c>
      <c r="Q203" s="25">
        <f>#REF!-#REF!</f>
        <v>-4.2420826017641744E-3</v>
      </c>
      <c r="R203" s="25">
        <f>#REF!-#REF!</f>
        <v>-1.812329075526864E-3</v>
      </c>
      <c r="S203" s="25">
        <f>#REF!-#REF!</f>
        <v>7.2550820017660556E-3</v>
      </c>
      <c r="T203" s="25">
        <f>#REF!-#REF!</f>
        <v>3.0995615341544713E-3</v>
      </c>
      <c r="U203" s="25">
        <f>#REF!-#REF!</f>
        <v>4.4418869398565874E-4</v>
      </c>
      <c r="V203" s="25">
        <f>#REF!-#REF!</f>
        <v>1.8976907351966887E-4</v>
      </c>
      <c r="W203" s="25">
        <f>#REF!-#REF!</f>
        <v>6.8108933077803968E-3</v>
      </c>
      <c r="X203" s="25">
        <f>#REF!-#REF!</f>
        <v>2.9097924606344971E-3</v>
      </c>
      <c r="Y203" s="25">
        <f>#REF!-#REF!</f>
        <v>5.2886921401925857E-2</v>
      </c>
      <c r="Z203" s="25">
        <f>#REF!-#REF!</f>
        <v>2.2594681520807236E-2</v>
      </c>
      <c r="AA203" s="12">
        <v>2333.7834064911899</v>
      </c>
      <c r="AB203" s="13">
        <v>997.05355143423003</v>
      </c>
      <c r="AC203">
        <f t="shared" si="46"/>
        <v>0.98895528613565609</v>
      </c>
      <c r="AD203">
        <f t="shared" si="47"/>
        <v>0.89680389317822495</v>
      </c>
      <c r="AE203">
        <f t="shared" si="48"/>
        <v>0.90681945458068913</v>
      </c>
      <c r="AF203">
        <f t="shared" si="49"/>
        <v>9.2151392957430994E-2</v>
      </c>
      <c r="AG203">
        <f t="shared" si="50"/>
        <v>9.3180545419310798E-2</v>
      </c>
      <c r="AH203">
        <f t="shared" si="51"/>
        <v>1.1044713864343948E-2</v>
      </c>
      <c r="AI203">
        <f t="shared" si="52"/>
        <v>6.1224489795919622E-2</v>
      </c>
      <c r="AJ203">
        <f t="shared" si="53"/>
        <v>0.9387755102040436</v>
      </c>
      <c r="AK203">
        <f t="shared" si="54"/>
        <v>2.8063755858455095E-3</v>
      </c>
      <c r="AL203">
        <f t="shared" si="55"/>
        <v>6.568827486955974E-3</v>
      </c>
    </row>
    <row r="204" spans="1:38" x14ac:dyDescent="0.35">
      <c r="A204" s="15" t="s">
        <v>41</v>
      </c>
      <c r="B204" s="22" t="s">
        <v>71</v>
      </c>
      <c r="C204" s="25">
        <f>#REF!-#REF!</f>
        <v>0</v>
      </c>
      <c r="D204" s="25">
        <f>#REF!-#REF!</f>
        <v>0</v>
      </c>
      <c r="E204" s="25">
        <f>#REF!-#REF!</f>
        <v>0</v>
      </c>
      <c r="F204" s="25">
        <f>#REF!-#REF!</f>
        <v>0</v>
      </c>
      <c r="G204" s="25">
        <f>#REF!-#REF!</f>
        <v>0</v>
      </c>
      <c r="H204" s="25">
        <f>#REF!-#REF!</f>
        <v>0</v>
      </c>
      <c r="I204" s="25">
        <f>#REF!-#REF!</f>
        <v>0</v>
      </c>
      <c r="J204" s="25">
        <f>#REF!-#REF!</f>
        <v>0</v>
      </c>
      <c r="K204" s="25">
        <f>#REF!-#REF!</f>
        <v>0</v>
      </c>
      <c r="L204" s="25">
        <f>#REF!-#REF!</f>
        <v>0</v>
      </c>
      <c r="M204" s="25">
        <f>#REF!-#REF!</f>
        <v>0</v>
      </c>
      <c r="N204" s="25">
        <f>#REF!-#REF!</f>
        <v>0</v>
      </c>
      <c r="O204" s="25">
        <f>#REF!-#REF!</f>
        <v>0</v>
      </c>
      <c r="P204" s="25">
        <f>#REF!-#REF!</f>
        <v>0</v>
      </c>
      <c r="Q204" s="25">
        <f>#REF!-#REF!</f>
        <v>0</v>
      </c>
      <c r="R204" s="25">
        <f>#REF!-#REF!</f>
        <v>0</v>
      </c>
      <c r="S204" s="25">
        <f>#REF!-#REF!</f>
        <v>0</v>
      </c>
      <c r="T204" s="25">
        <f>#REF!-#REF!</f>
        <v>0</v>
      </c>
      <c r="U204" s="25">
        <f>#REF!-#REF!</f>
        <v>0</v>
      </c>
      <c r="V204" s="25">
        <f>#REF!-#REF!</f>
        <v>0</v>
      </c>
      <c r="W204" s="25">
        <f>#REF!-#REF!</f>
        <v>0</v>
      </c>
      <c r="X204" s="25">
        <f>#REF!-#REF!</f>
        <v>0</v>
      </c>
      <c r="Y204" s="25">
        <f>#REF!-#REF!</f>
        <v>0</v>
      </c>
      <c r="Z204" s="25">
        <f>#REF!-#REF!</f>
        <v>0</v>
      </c>
      <c r="AA204" s="12">
        <v>468.59916169988998</v>
      </c>
      <c r="AB204" s="13">
        <v>413.94954015926999</v>
      </c>
      <c r="AC204" t="e">
        <f t="shared" si="46"/>
        <v>#DIV/0!</v>
      </c>
      <c r="AD204" t="e">
        <f t="shared" si="47"/>
        <v>#DIV/0!</v>
      </c>
      <c r="AE204" t="e">
        <f t="shared" si="48"/>
        <v>#DIV/0!</v>
      </c>
      <c r="AF204" t="e">
        <f t="shared" si="49"/>
        <v>#DIV/0!</v>
      </c>
      <c r="AG204" t="e">
        <f t="shared" si="50"/>
        <v>#DIV/0!</v>
      </c>
      <c r="AH204" t="e">
        <f t="shared" si="51"/>
        <v>#DIV/0!</v>
      </c>
      <c r="AI204" t="e">
        <f t="shared" si="52"/>
        <v>#DIV/0!</v>
      </c>
      <c r="AJ204" t="e">
        <f t="shared" si="53"/>
        <v>#DIV/0!</v>
      </c>
      <c r="AK204">
        <f t="shared" si="54"/>
        <v>0</v>
      </c>
      <c r="AL204">
        <f t="shared" si="55"/>
        <v>0</v>
      </c>
    </row>
    <row r="205" spans="1:38" x14ac:dyDescent="0.35">
      <c r="A205" s="9" t="s">
        <v>42</v>
      </c>
      <c r="B205" s="22" t="s">
        <v>71</v>
      </c>
      <c r="C205" s="25">
        <f>#REF!-#REF!</f>
        <v>1.1412818593544074</v>
      </c>
      <c r="D205" s="25">
        <f>#REF!-#REF!</f>
        <v>0.91302548748352841</v>
      </c>
      <c r="E205" s="25">
        <f>#REF!-#REF!</f>
        <v>0.22825637187088432</v>
      </c>
      <c r="F205" s="25">
        <v>0</v>
      </c>
      <c r="G205" s="25">
        <f>#REF!-#REF!</f>
        <v>0.5706409296772037</v>
      </c>
      <c r="H205" s="25">
        <f>#REF!-#REF!</f>
        <v>0.57064092967720637</v>
      </c>
      <c r="I205" s="25">
        <f>#REF!-#REF!</f>
        <v>0</v>
      </c>
      <c r="J205" s="25">
        <f>#REF!-#REF!</f>
        <v>0</v>
      </c>
      <c r="K205" s="25">
        <f>#REF!-#REF!</f>
        <v>0.23048864609885555</v>
      </c>
      <c r="L205" s="25">
        <f>#REF!-#REF!</f>
        <v>0.2055171458543521</v>
      </c>
      <c r="M205" s="25">
        <f>#REF!-#REF!</f>
        <v>0.18439091687908471</v>
      </c>
      <c r="N205" s="25">
        <f>#REF!-#REF!</f>
        <v>0.16441371668348093</v>
      </c>
      <c r="O205" s="25">
        <f>#REF!-#REF!</f>
        <v>4.6097729219771288E-2</v>
      </c>
      <c r="P205" s="25">
        <f>#REF!-#REF!</f>
        <v>4.1103429170870953E-2</v>
      </c>
      <c r="Q205" s="25">
        <f>#REF!-#REF!</f>
        <v>-9.2195458439542133E-2</v>
      </c>
      <c r="R205" s="25">
        <f>#REF!-#REF!</f>
        <v>-8.220685834174013E-2</v>
      </c>
      <c r="S205" s="25">
        <f>#REF!-#REF!</f>
        <v>0.11524432304942778</v>
      </c>
      <c r="T205" s="25">
        <f>#REF!-#REF!</f>
        <v>0.10275857292717561</v>
      </c>
      <c r="U205" s="25">
        <f>#REF!-#REF!</f>
        <v>0.11524432304942811</v>
      </c>
      <c r="V205" s="25">
        <f>#REF!-#REF!</f>
        <v>0.1027585729271758</v>
      </c>
      <c r="W205" s="25">
        <f>#REF!-#REF!</f>
        <v>0</v>
      </c>
      <c r="X205" s="25">
        <f>#REF!-#REF!</f>
        <v>0</v>
      </c>
      <c r="Y205" s="25">
        <f>#REF!-#REF!</f>
        <v>0</v>
      </c>
      <c r="Z205" s="25">
        <f>#REF!-#REF!</f>
        <v>0</v>
      </c>
      <c r="AA205" s="12">
        <v>555.32196820367994</v>
      </c>
      <c r="AB205" s="13">
        <v>495.15751802582002</v>
      </c>
      <c r="AC205">
        <f t="shared" si="46"/>
        <v>0.66666666666666663</v>
      </c>
      <c r="AD205">
        <f t="shared" si="47"/>
        <v>0.133333333333335</v>
      </c>
      <c r="AE205">
        <f t="shared" si="48"/>
        <v>0.20000000000000248</v>
      </c>
      <c r="AF205">
        <f t="shared" si="49"/>
        <v>0.53333333333333477</v>
      </c>
      <c r="AG205">
        <f t="shared" si="50"/>
        <v>0.80000000000000215</v>
      </c>
      <c r="AH205">
        <f t="shared" si="51"/>
        <v>0.33333333333333331</v>
      </c>
      <c r="AI205">
        <f t="shared" si="52"/>
        <v>1.0000000000000047</v>
      </c>
      <c r="AJ205">
        <f t="shared" si="53"/>
        <v>0</v>
      </c>
      <c r="AK205">
        <f t="shared" si="54"/>
        <v>3.0827571878152592E-3</v>
      </c>
      <c r="AL205">
        <f t="shared" si="55"/>
        <v>3.4573296914828279E-3</v>
      </c>
    </row>
    <row r="206" spans="1:38" x14ac:dyDescent="0.35">
      <c r="A206" s="15" t="s">
        <v>43</v>
      </c>
      <c r="B206" s="22" t="s">
        <v>71</v>
      </c>
      <c r="C206" s="25">
        <f>#REF!-#REF!</f>
        <v>10.27563253304036</v>
      </c>
      <c r="D206" s="25">
        <f>#REF!-#REF!</f>
        <v>3.6363244687153311</v>
      </c>
      <c r="E206" s="25">
        <f>#REF!-#REF!</f>
        <v>6.6393080643250286</v>
      </c>
      <c r="F206" s="25">
        <f>#REF!-#REF!</f>
        <v>0</v>
      </c>
      <c r="G206" s="25">
        <f>#REF!-#REF!</f>
        <v>0.49977919238267532</v>
      </c>
      <c r="H206" s="25">
        <f>#REF!-#REF!</f>
        <v>0</v>
      </c>
      <c r="I206" s="25">
        <f>#REF!-#REF!</f>
        <v>0.49977919238267532</v>
      </c>
      <c r="J206" s="25">
        <f>#REF!-#REF!</f>
        <v>0</v>
      </c>
      <c r="K206" s="25">
        <f>#REF!-#REF!</f>
        <v>4.7651715685039076</v>
      </c>
      <c r="L206" s="25">
        <f>#REF!-#REF!</f>
        <v>2.5222720885937484</v>
      </c>
      <c r="M206" s="25">
        <f>#REF!-#REF!</f>
        <v>1.6862913223552618</v>
      </c>
      <c r="N206" s="25">
        <f>#REF!-#REF!</f>
        <v>0.89257762799711693</v>
      </c>
      <c r="O206" s="25">
        <f>#REF!-#REF!</f>
        <v>3.0788802461486462</v>
      </c>
      <c r="P206" s="25">
        <f>#REF!-#REF!</f>
        <v>1.6296944605966317</v>
      </c>
      <c r="Q206" s="25">
        <f>#REF!-#REF!</f>
        <v>0</v>
      </c>
      <c r="R206" s="25">
        <f>#REF!-#REF!</f>
        <v>0</v>
      </c>
      <c r="S206" s="25">
        <f>#REF!-#REF!</f>
        <v>0.23176515804882669</v>
      </c>
      <c r="T206" s="25">
        <f>#REF!-#REF!</f>
        <v>0.12267654602804079</v>
      </c>
      <c r="U206" s="25">
        <f>#REF!-#REF!</f>
        <v>0</v>
      </c>
      <c r="V206" s="25">
        <f>#REF!-#REF!</f>
        <v>0</v>
      </c>
      <c r="W206" s="25">
        <f>#REF!-#REF!</f>
        <v>0.23176515804882669</v>
      </c>
      <c r="X206" s="25">
        <f>#REF!-#REF!</f>
        <v>0.12267654602804079</v>
      </c>
      <c r="Y206" s="25">
        <f>#REF!-#REF!</f>
        <v>0</v>
      </c>
      <c r="Z206" s="25">
        <f>#REF!-#REF!</f>
        <v>0</v>
      </c>
      <c r="AA206" s="12">
        <v>407.39587848230002</v>
      </c>
      <c r="AB206" s="13">
        <v>215.64034757863999</v>
      </c>
      <c r="AC206">
        <f t="shared" si="46"/>
        <v>0.95361855257896844</v>
      </c>
      <c r="AD206">
        <f t="shared" si="47"/>
        <v>0.61615353858456612</v>
      </c>
      <c r="AE206">
        <f t="shared" si="48"/>
        <v>0.64612159329140451</v>
      </c>
      <c r="AF206">
        <f t="shared" si="49"/>
        <v>0.33746501399440226</v>
      </c>
      <c r="AG206">
        <f t="shared" si="50"/>
        <v>0.35387840670859544</v>
      </c>
      <c r="AH206">
        <f t="shared" si="51"/>
        <v>4.6381447421031542E-2</v>
      </c>
      <c r="AI206">
        <f t="shared" si="52"/>
        <v>0</v>
      </c>
      <c r="AJ206">
        <f t="shared" si="53"/>
        <v>1</v>
      </c>
      <c r="AK206">
        <f t="shared" si="54"/>
        <v>2.6449486346217885E-2</v>
      </c>
      <c r="AL206">
        <f t="shared" si="55"/>
        <v>4.9969367265527365E-2</v>
      </c>
    </row>
    <row r="207" spans="1:38" x14ac:dyDescent="0.35">
      <c r="A207" s="15" t="s">
        <v>44</v>
      </c>
      <c r="B207" s="22" t="s">
        <v>71</v>
      </c>
      <c r="C207" s="25">
        <v>0</v>
      </c>
      <c r="D207" s="25">
        <f>#REF!-#REF!</f>
        <v>0</v>
      </c>
      <c r="E207" s="25">
        <v>0</v>
      </c>
      <c r="F207" s="25">
        <f>#REF!-#REF!</f>
        <v>0</v>
      </c>
      <c r="G207" s="25">
        <f>#REF!-#REF!</f>
        <v>7.8223493436008482</v>
      </c>
      <c r="H207" s="25">
        <f>#REF!-#REF!</f>
        <v>9.2782922355949466</v>
      </c>
      <c r="I207" s="25">
        <v>0</v>
      </c>
      <c r="J207" s="25">
        <f>#REF!-#REF!</f>
        <v>0</v>
      </c>
      <c r="K207" s="25">
        <f>#REF!-#REF!</f>
        <v>-1.7142044659113753</v>
      </c>
      <c r="L207" s="25">
        <f>#REF!-#REF!</f>
        <v>-1.8329012771360627</v>
      </c>
      <c r="M207" s="25">
        <f>#REF!-#REF!</f>
        <v>0</v>
      </c>
      <c r="N207" s="25">
        <f>#REF!-#REF!</f>
        <v>0</v>
      </c>
      <c r="O207" s="25">
        <f>#REF!-#REF!</f>
        <v>-1.7142044659113749</v>
      </c>
      <c r="P207" s="25">
        <f>#REF!-#REF!</f>
        <v>-1.8329012771360631</v>
      </c>
      <c r="Q207" s="25">
        <f>#REF!-#REF!</f>
        <v>0</v>
      </c>
      <c r="R207" s="25">
        <f>#REF!-#REF!</f>
        <v>0</v>
      </c>
      <c r="S207" s="25">
        <f>#REF!-#REF!</f>
        <v>2.3518609528958354</v>
      </c>
      <c r="T207" s="25">
        <f>#REF!-#REF!</f>
        <v>2.5147110685640222</v>
      </c>
      <c r="U207" s="25">
        <f>#REF!-#REF!</f>
        <v>2.7896035142311106</v>
      </c>
      <c r="V207" s="25">
        <f>#REF!-#REF!</f>
        <v>2.9827642767334837</v>
      </c>
      <c r="W207" s="25">
        <f>#REF!-#REF!</f>
        <v>-0.43774256133527611</v>
      </c>
      <c r="X207" s="25">
        <f>#REF!-#REF!</f>
        <v>-0.46805320816946328</v>
      </c>
      <c r="Y207" s="25">
        <f>#REF!-#REF!</f>
        <v>0</v>
      </c>
      <c r="Z207" s="25">
        <f>#REF!-#REF!</f>
        <v>0</v>
      </c>
      <c r="AA207" s="12">
        <v>311.06354290107998</v>
      </c>
      <c r="AB207" s="13">
        <v>332.60254327404999</v>
      </c>
      <c r="AC207">
        <f t="shared" si="46"/>
        <v>0</v>
      </c>
      <c r="AD207">
        <f t="shared" si="47"/>
        <v>0</v>
      </c>
      <c r="AE207" t="e">
        <f t="shared" si="48"/>
        <v>#DIV/0!</v>
      </c>
      <c r="AF207">
        <f t="shared" si="49"/>
        <v>0</v>
      </c>
      <c r="AG207" t="e">
        <f t="shared" si="50"/>
        <v>#DIV/0!</v>
      </c>
      <c r="AH207">
        <f t="shared" si="51"/>
        <v>1</v>
      </c>
      <c r="AI207">
        <f t="shared" si="52"/>
        <v>1.1861260381045431</v>
      </c>
      <c r="AJ207">
        <f t="shared" si="53"/>
        <v>0</v>
      </c>
      <c r="AK207">
        <f t="shared" si="54"/>
        <v>2.5147110685640205E-2</v>
      </c>
      <c r="AL207">
        <f t="shared" si="55"/>
        <v>2.3518609528958331E-2</v>
      </c>
    </row>
    <row r="208" spans="1:38" x14ac:dyDescent="0.35">
      <c r="A208" s="15" t="s">
        <v>45</v>
      </c>
      <c r="B208" s="22" t="s">
        <v>71</v>
      </c>
      <c r="C208" s="25">
        <f>#REF!-#REF!</f>
        <v>0.6137999999999999</v>
      </c>
      <c r="D208" s="25">
        <f>#REF!-#REF!</f>
        <v>0.21110000000000001</v>
      </c>
      <c r="E208" s="25">
        <f>#REF!-#REF!</f>
        <v>0.40269999999999984</v>
      </c>
      <c r="F208" s="25">
        <f>#REF!-#REF!</f>
        <v>0</v>
      </c>
      <c r="G208" s="25">
        <v>0</v>
      </c>
      <c r="H208" s="25">
        <v>0</v>
      </c>
      <c r="I208" s="25">
        <v>0</v>
      </c>
      <c r="J208" s="25">
        <f>#REF!-#REF!</f>
        <v>0</v>
      </c>
      <c r="K208" s="25">
        <f>#REF!-#REF!</f>
        <v>2.2821526946175101</v>
      </c>
      <c r="L208" s="25">
        <f>#REF!-#REF!</f>
        <v>1.3369178233626702</v>
      </c>
      <c r="M208" s="25">
        <f>#REF!-#REF!</f>
        <v>0.78488503394225573</v>
      </c>
      <c r="N208" s="25">
        <f>#REF!-#REF!</f>
        <v>0.45979692491342422</v>
      </c>
      <c r="O208" s="25">
        <f>#REF!-#REF!</f>
        <v>1.4972676606752544</v>
      </c>
      <c r="P208" s="25">
        <f>#REF!-#REF!</f>
        <v>0.87712089844924601</v>
      </c>
      <c r="Q208" s="25">
        <f>#REF!-#REF!</f>
        <v>0</v>
      </c>
      <c r="R208" s="25">
        <f>#REF!-#REF!</f>
        <v>0</v>
      </c>
      <c r="S208" s="25">
        <f>#REF!-#REF!</f>
        <v>-0.64417912582679371</v>
      </c>
      <c r="T208" s="25">
        <f>#REF!-#REF!</f>
        <v>-0.37736938320876234</v>
      </c>
      <c r="U208" s="25">
        <f>#REF!-#REF!</f>
        <v>-0.44687361435191786</v>
      </c>
      <c r="V208" s="25">
        <f>#REF!-#REF!</f>
        <v>-0.2617849810079016</v>
      </c>
      <c r="W208" s="25">
        <f>#REF!-#REF!</f>
        <v>-0.19730551147487585</v>
      </c>
      <c r="X208" s="25">
        <f>#REF!-#REF!</f>
        <v>-0.11558440220086108</v>
      </c>
      <c r="Y208" s="25">
        <f>#REF!-#REF!</f>
        <v>0</v>
      </c>
      <c r="Z208" s="25">
        <f>#REF!-#REF!</f>
        <v>0</v>
      </c>
      <c r="AA208" s="12">
        <v>45.911572818750003</v>
      </c>
      <c r="AB208" s="13">
        <v>26.895658710639999</v>
      </c>
      <c r="AC208">
        <f t="shared" si="46"/>
        <v>1</v>
      </c>
      <c r="AD208">
        <f t="shared" si="47"/>
        <v>0.65607689801238167</v>
      </c>
      <c r="AE208">
        <f t="shared" si="48"/>
        <v>0.65607689801238167</v>
      </c>
      <c r="AF208">
        <f t="shared" si="49"/>
        <v>0.34392310198761816</v>
      </c>
      <c r="AG208">
        <f t="shared" si="50"/>
        <v>0.34392310198761816</v>
      </c>
      <c r="AH208">
        <f t="shared" si="51"/>
        <v>0</v>
      </c>
      <c r="AI208" t="e">
        <f t="shared" si="52"/>
        <v>#DIV/0!</v>
      </c>
      <c r="AJ208" t="e">
        <f t="shared" si="53"/>
        <v>#DIV/0!</v>
      </c>
      <c r="AK208">
        <f t="shared" si="54"/>
        <v>1.3369178233626704E-2</v>
      </c>
      <c r="AL208">
        <f t="shared" si="55"/>
        <v>2.2821526946175105E-2</v>
      </c>
    </row>
    <row r="209" spans="1:38" x14ac:dyDescent="0.35">
      <c r="A209" s="15" t="s">
        <v>46</v>
      </c>
      <c r="B209" s="22" t="s">
        <v>71</v>
      </c>
      <c r="C209" s="25">
        <f>#REF!-#REF!</f>
        <v>4.7477325349143555</v>
      </c>
      <c r="D209" s="25">
        <f>#REF!-#REF!</f>
        <v>1.9972432538702218</v>
      </c>
      <c r="E209" s="25">
        <f>#REF!-#REF!</f>
        <v>2.7504892810441337</v>
      </c>
      <c r="F209" s="25">
        <f>#REF!-#REF!</f>
        <v>0</v>
      </c>
      <c r="G209" s="25">
        <f>#REF!-#REF!</f>
        <v>0</v>
      </c>
      <c r="H209" s="25">
        <f>#REF!-#REF!</f>
        <v>0</v>
      </c>
      <c r="I209" s="25">
        <f>#REF!-#REF!</f>
        <v>0</v>
      </c>
      <c r="J209" s="25">
        <f>#REF!-#REF!</f>
        <v>0</v>
      </c>
      <c r="K209" s="25">
        <f>#REF!-#REF!</f>
        <v>1.8637257634241733</v>
      </c>
      <c r="L209" s="25">
        <f>#REF!-#REF!</f>
        <v>1.8697578699465263</v>
      </c>
      <c r="M209" s="25">
        <f>#REF!-#REF!</f>
        <v>0.78401925144045759</v>
      </c>
      <c r="N209" s="25">
        <f>#REF!-#REF!</f>
        <v>0.78655679625154373</v>
      </c>
      <c r="O209" s="25">
        <f>#REF!-#REF!</f>
        <v>1.0797065119837161</v>
      </c>
      <c r="P209" s="25">
        <f>#REF!-#REF!</f>
        <v>1.0832010736949831</v>
      </c>
      <c r="Q209" s="25">
        <f>#REF!-#REF!</f>
        <v>0</v>
      </c>
      <c r="R209" s="25">
        <f>#REF!-#REF!</f>
        <v>0</v>
      </c>
      <c r="S209" s="25">
        <f>#REF!-#REF!</f>
        <v>0</v>
      </c>
      <c r="T209" s="25">
        <f>#REF!-#REF!</f>
        <v>0</v>
      </c>
      <c r="U209" s="25">
        <f>#REF!-#REF!</f>
        <v>0</v>
      </c>
      <c r="V209" s="25">
        <f>#REF!-#REF!</f>
        <v>0</v>
      </c>
      <c r="W209" s="25">
        <f>#REF!-#REF!</f>
        <v>0</v>
      </c>
      <c r="X209" s="25">
        <f>#REF!-#REF!</f>
        <v>0</v>
      </c>
      <c r="Y209" s="25">
        <f>#REF!-#REF!</f>
        <v>0</v>
      </c>
      <c r="Z209" s="25">
        <f>#REF!-#REF!</f>
        <v>0</v>
      </c>
      <c r="AA209" s="12">
        <v>253.92231856471</v>
      </c>
      <c r="AB209" s="13">
        <v>254.7441596875</v>
      </c>
      <c r="AC209">
        <f t="shared" si="46"/>
        <v>1</v>
      </c>
      <c r="AD209">
        <f t="shared" si="47"/>
        <v>0.57932692307692302</v>
      </c>
      <c r="AE209">
        <f t="shared" si="48"/>
        <v>0.57932692307692302</v>
      </c>
      <c r="AF209">
        <f t="shared" si="49"/>
        <v>0.42067307692307698</v>
      </c>
      <c r="AG209">
        <f t="shared" si="50"/>
        <v>0.42067307692307698</v>
      </c>
      <c r="AH209">
        <f t="shared" si="51"/>
        <v>0</v>
      </c>
      <c r="AI209" t="e">
        <f t="shared" si="52"/>
        <v>#DIV/0!</v>
      </c>
      <c r="AJ209" t="e">
        <f t="shared" si="53"/>
        <v>#DIV/0!</v>
      </c>
      <c r="AK209">
        <f t="shared" si="54"/>
        <v>1.8697578699465266E-2</v>
      </c>
      <c r="AL209">
        <f t="shared" si="55"/>
        <v>1.8637257634241736E-2</v>
      </c>
    </row>
    <row r="210" spans="1:38" x14ac:dyDescent="0.35">
      <c r="A210" s="15" t="s">
        <v>47</v>
      </c>
      <c r="B210" s="22" t="s">
        <v>71</v>
      </c>
      <c r="C210" s="25">
        <f>#REF!-#REF!</f>
        <v>13.558428489130424</v>
      </c>
      <c r="D210" s="25">
        <f>#REF!-#REF!</f>
        <v>4.5651274374176376E-2</v>
      </c>
      <c r="E210" s="25">
        <f>#REF!-#REF!</f>
        <v>13.512777214756245</v>
      </c>
      <c r="F210" s="25">
        <f>#REF!-#REF!</f>
        <v>0.94726394326416252</v>
      </c>
      <c r="G210" s="25">
        <f>#REF!-#REF!</f>
        <v>5.6949964781785178</v>
      </c>
      <c r="H210" s="25">
        <f>#REF!-#REF!</f>
        <v>2.5907098207345163</v>
      </c>
      <c r="I210" s="25">
        <f>#REF!-#REF!</f>
        <v>3.1042866574440016</v>
      </c>
      <c r="J210" s="25">
        <f>#REF!-#REF!</f>
        <v>0</v>
      </c>
      <c r="K210" s="25">
        <f>#REF!-#REF!</f>
        <v>6.6494499562066292</v>
      </c>
      <c r="L210" s="25">
        <f>#REF!-#REF!</f>
        <v>4.4963238828922023</v>
      </c>
      <c r="M210" s="25">
        <f>#REF!-#REF!</f>
        <v>2.2388720391268047E-2</v>
      </c>
      <c r="N210" s="25">
        <f>#REF!-#REF!</f>
        <v>1.5139137652835699E-2</v>
      </c>
      <c r="O210" s="25">
        <f>#REF!-#REF!</f>
        <v>6.6270612358153631</v>
      </c>
      <c r="P210" s="25">
        <f>#REF!-#REF!</f>
        <v>4.4811847452393661</v>
      </c>
      <c r="Q210" s="25">
        <f>#REF!-#REF!</f>
        <v>0.46456594811881363</v>
      </c>
      <c r="R210" s="25">
        <f>#REF!-#REF!</f>
        <v>0.31413710629634078</v>
      </c>
      <c r="S210" s="25">
        <f>#REF!-#REF!</f>
        <v>2.7929928688106971</v>
      </c>
      <c r="T210" s="25">
        <f>#REF!-#REF!</f>
        <v>1.888607422191253</v>
      </c>
      <c r="U210" s="25">
        <f>#REF!-#REF!</f>
        <v>1.2705598822044655</v>
      </c>
      <c r="V210" s="25">
        <f>#REF!-#REF!</f>
        <v>0.85914606179842568</v>
      </c>
      <c r="W210" s="25">
        <f>#REF!-#REF!</f>
        <v>1.5224329866062316</v>
      </c>
      <c r="X210" s="25">
        <f>#REF!-#REF!</f>
        <v>1.0294613603928271</v>
      </c>
      <c r="Y210" s="25">
        <f>#REF!-#REF!</f>
        <v>0</v>
      </c>
      <c r="Z210" s="25">
        <f>#REF!-#REF!</f>
        <v>0</v>
      </c>
      <c r="AA210" s="12">
        <v>301.54474727050001</v>
      </c>
      <c r="AB210" s="13">
        <v>203.90300819506001</v>
      </c>
      <c r="AC210">
        <f t="shared" si="46"/>
        <v>0.70420865441612346</v>
      </c>
      <c r="AD210">
        <f t="shared" si="47"/>
        <v>0.70183758150563125</v>
      </c>
      <c r="AE210">
        <f t="shared" si="48"/>
        <v>0.99663299663299643</v>
      </c>
      <c r="AF210">
        <f t="shared" si="49"/>
        <v>2.3710729104919909E-3</v>
      </c>
      <c r="AG210">
        <f t="shared" si="50"/>
        <v>3.3670033670033569E-3</v>
      </c>
      <c r="AH210">
        <f t="shared" si="51"/>
        <v>0.29579134558387665</v>
      </c>
      <c r="AI210">
        <f t="shared" si="52"/>
        <v>0.45490981963927857</v>
      </c>
      <c r="AJ210">
        <f t="shared" si="53"/>
        <v>0.54509018036072143</v>
      </c>
      <c r="AK210">
        <f t="shared" si="54"/>
        <v>6.384931305083455E-2</v>
      </c>
      <c r="AL210">
        <f t="shared" si="55"/>
        <v>9.442442825017329E-2</v>
      </c>
    </row>
    <row r="211" spans="1:38" x14ac:dyDescent="0.35">
      <c r="A211" s="15" t="s">
        <v>48</v>
      </c>
      <c r="B211" s="22" t="s">
        <v>71</v>
      </c>
      <c r="C211" s="25">
        <f>#REF!-#REF!</f>
        <v>0</v>
      </c>
      <c r="D211" s="25">
        <f>#REF!-#REF!</f>
        <v>0</v>
      </c>
      <c r="E211" s="25">
        <f>#REF!-#REF!</f>
        <v>0</v>
      </c>
      <c r="F211" s="25">
        <f>#REF!-#REF!</f>
        <v>0</v>
      </c>
      <c r="G211" s="25">
        <v>0</v>
      </c>
      <c r="H211" s="25">
        <v>0</v>
      </c>
      <c r="I211" s="25">
        <f>#REF!-#REF!</f>
        <v>0</v>
      </c>
      <c r="J211" s="25">
        <f>#REF!-#REF!</f>
        <v>0</v>
      </c>
      <c r="K211" s="25">
        <f>#REF!-#REF!</f>
        <v>0</v>
      </c>
      <c r="L211" s="25">
        <f>#REF!-#REF!</f>
        <v>0</v>
      </c>
      <c r="M211" s="25">
        <f>#REF!-#REF!</f>
        <v>0</v>
      </c>
      <c r="N211" s="25">
        <f>#REF!-#REF!</f>
        <v>0</v>
      </c>
      <c r="O211" s="25">
        <f>#REF!-#REF!</f>
        <v>0</v>
      </c>
      <c r="P211" s="25">
        <f>#REF!-#REF!</f>
        <v>0</v>
      </c>
      <c r="Q211" s="25">
        <f>#REF!-#REF!</f>
        <v>0</v>
      </c>
      <c r="R211" s="25">
        <f>#REF!-#REF!</f>
        <v>0</v>
      </c>
      <c r="S211" s="25">
        <f>#REF!-#REF!</f>
        <v>-5.4865931635281306E-2</v>
      </c>
      <c r="T211" s="25">
        <f>#REF!-#REF!</f>
        <v>-5.9644566302236246E-2</v>
      </c>
      <c r="U211" s="25">
        <f>#REF!-#REF!</f>
        <v>-5.4865931635281251E-2</v>
      </c>
      <c r="V211" s="25">
        <f>#REF!-#REF!</f>
        <v>-5.9644566302236024E-2</v>
      </c>
      <c r="W211" s="25">
        <f>#REF!-#REF!</f>
        <v>0</v>
      </c>
      <c r="X211" s="25">
        <f>#REF!-#REF!</f>
        <v>0</v>
      </c>
      <c r="Y211" s="25">
        <f>#REF!-#REF!</f>
        <v>0</v>
      </c>
      <c r="Z211" s="25">
        <f>#REF!-#REF!</f>
        <v>0</v>
      </c>
      <c r="AA211" s="12">
        <v>19.06914282116</v>
      </c>
      <c r="AB211" s="13">
        <v>20.729999827290001</v>
      </c>
      <c r="AC211" t="e">
        <f t="shared" si="46"/>
        <v>#DIV/0!</v>
      </c>
      <c r="AD211" t="e">
        <f t="shared" si="47"/>
        <v>#DIV/0!</v>
      </c>
      <c r="AE211" t="e">
        <f t="shared" si="48"/>
        <v>#DIV/0!</v>
      </c>
      <c r="AF211" t="e">
        <f t="shared" si="49"/>
        <v>#DIV/0!</v>
      </c>
      <c r="AG211" t="e">
        <f t="shared" si="50"/>
        <v>#DIV/0!</v>
      </c>
      <c r="AH211" t="e">
        <f t="shared" si="51"/>
        <v>#DIV/0!</v>
      </c>
      <c r="AI211" t="e">
        <f t="shared" si="52"/>
        <v>#DIV/0!</v>
      </c>
      <c r="AJ211" t="e">
        <f t="shared" si="53"/>
        <v>#DIV/0!</v>
      </c>
      <c r="AK211">
        <f t="shared" si="54"/>
        <v>0</v>
      </c>
      <c r="AL211">
        <f t="shared" si="55"/>
        <v>0</v>
      </c>
    </row>
    <row r="212" spans="1:38" x14ac:dyDescent="0.35">
      <c r="A212" s="15" t="s">
        <v>49</v>
      </c>
      <c r="B212" s="22" t="s">
        <v>71</v>
      </c>
      <c r="C212" s="25">
        <f>#REF!-#REF!</f>
        <v>6.5953424585950131</v>
      </c>
      <c r="D212" s="25">
        <v>0</v>
      </c>
      <c r="E212" s="25">
        <f>#REF!-#REF!</f>
        <v>7.5063503009748516</v>
      </c>
      <c r="F212" s="25">
        <f>#REF!-#REF!</f>
        <v>0.48014543897033191</v>
      </c>
      <c r="G212" s="25">
        <f>#REF!-#REF!</f>
        <v>5.864286921181141</v>
      </c>
      <c r="H212" s="25">
        <f>#REF!-#REF!</f>
        <v>2.5309368338247786</v>
      </c>
      <c r="I212" s="25">
        <f>#REF!-#REF!</f>
        <v>3.3333500873563633</v>
      </c>
      <c r="J212" s="25">
        <f>#REF!-#REF!</f>
        <v>0</v>
      </c>
      <c r="K212" s="25">
        <f>#REF!-#REF!</f>
        <v>1.7754873566843994</v>
      </c>
      <c r="L212" s="25">
        <f>#REF!-#REF!</f>
        <v>1.5782455877581274</v>
      </c>
      <c r="M212" s="25">
        <f>#REF!-#REF!</f>
        <v>-0.24524623492110487</v>
      </c>
      <c r="N212" s="25">
        <f>#REF!-#REF!</f>
        <v>-0.21800143308332642</v>
      </c>
      <c r="O212" s="25">
        <f>#REF!-#REF!</f>
        <v>2.020733591605504</v>
      </c>
      <c r="P212" s="25">
        <f>#REF!-#REF!</f>
        <v>1.7962470208414532</v>
      </c>
      <c r="Q212" s="25">
        <f>#REF!-#REF!</f>
        <v>0.12925669313055033</v>
      </c>
      <c r="R212" s="25">
        <f>#REF!-#REF!</f>
        <v>0.11489735753593366</v>
      </c>
      <c r="S212" s="25">
        <f>#REF!-#REF!</f>
        <v>1.5786848597919252</v>
      </c>
      <c r="T212" s="25">
        <f>#REF!-#REF!</f>
        <v>1.4033061993074192</v>
      </c>
      <c r="U212" s="25">
        <f>#REF!-#REF!</f>
        <v>0.68133631835396868</v>
      </c>
      <c r="V212" s="25">
        <f>#REF!-#REF!</f>
        <v>0.6056455621455934</v>
      </c>
      <c r="W212" s="25">
        <f>#REF!-#REF!</f>
        <v>0.89734854143795628</v>
      </c>
      <c r="X212" s="25">
        <f>#REF!-#REF!</f>
        <v>0.79766063716182589</v>
      </c>
      <c r="Y212" s="25">
        <f>#REF!-#REF!</f>
        <v>0</v>
      </c>
      <c r="Z212" s="25">
        <f>#REF!-#REF!</f>
        <v>0</v>
      </c>
      <c r="AA212" s="12">
        <v>417.89075855828003</v>
      </c>
      <c r="AB212" s="13">
        <v>371.46659669328</v>
      </c>
      <c r="AC212">
        <f t="shared" si="46"/>
        <v>0.52933696962930876</v>
      </c>
      <c r="AD212">
        <f t="shared" si="47"/>
        <v>0.6024537385645502</v>
      </c>
      <c r="AE212">
        <f t="shared" si="48"/>
        <v>1.1381289672369657</v>
      </c>
      <c r="AF212">
        <f t="shared" si="49"/>
        <v>0</v>
      </c>
      <c r="AG212">
        <f t="shared" si="50"/>
        <v>0</v>
      </c>
      <c r="AH212">
        <f t="shared" si="51"/>
        <v>0.47066303037069129</v>
      </c>
      <c r="AI212">
        <f t="shared" si="52"/>
        <v>0.43158475494835036</v>
      </c>
      <c r="AJ212">
        <f t="shared" si="53"/>
        <v>0.56841524505164986</v>
      </c>
      <c r="AK212">
        <f t="shared" si="54"/>
        <v>2.9815517870655433E-2</v>
      </c>
      <c r="AL212">
        <f t="shared" si="55"/>
        <v>3.3541722164763227E-2</v>
      </c>
    </row>
    <row r="213" spans="1:38" x14ac:dyDescent="0.35">
      <c r="A213" s="15" t="s">
        <v>50</v>
      </c>
      <c r="B213" s="22" t="s">
        <v>71</v>
      </c>
      <c r="C213" s="25">
        <f>#REF!-#REF!</f>
        <v>1.166510413053409</v>
      </c>
      <c r="D213" s="25">
        <f>#REF!-#REF!</f>
        <v>1.4889697084849915</v>
      </c>
      <c r="E213" s="25">
        <v>0</v>
      </c>
      <c r="F213" s="25">
        <v>0</v>
      </c>
      <c r="G213" s="25">
        <v>0</v>
      </c>
      <c r="H213" s="25">
        <f>#REF!-#REF!</f>
        <v>0.15596698223286376</v>
      </c>
      <c r="I213" s="25">
        <v>0</v>
      </c>
      <c r="J213" s="25">
        <f>#REF!-#REF!</f>
        <v>0</v>
      </c>
      <c r="K213" s="25">
        <f>#REF!-#REF!</f>
        <v>0.32542252708848274</v>
      </c>
      <c r="L213" s="25">
        <f>#REF!-#REF!</f>
        <v>0.34068972667221864</v>
      </c>
      <c r="M213" s="25">
        <f>#REF!-#REF!</f>
        <v>0.4153793055520727</v>
      </c>
      <c r="N213" s="25">
        <f>#REF!-#REF!</f>
        <v>0.43486682787437791</v>
      </c>
      <c r="O213" s="25">
        <f>#REF!-#REF!</f>
        <v>-8.9956778463591291E-2</v>
      </c>
      <c r="P213" s="25">
        <f>#REF!-#REF!</f>
        <v>-9.4177101202159719E-2</v>
      </c>
      <c r="Q213" s="25">
        <f>#REF!-#REF!</f>
        <v>-7.6802041344636862E-5</v>
      </c>
      <c r="R213" s="25">
        <f>#REF!-#REF!</f>
        <v>-8.0405209521350329E-5</v>
      </c>
      <c r="S213" s="25">
        <f>#REF!-#REF!</f>
        <v>-0.33056839502962188</v>
      </c>
      <c r="T213" s="25">
        <f>#REF!-#REF!</f>
        <v>-0.34607701303509941</v>
      </c>
      <c r="U213" s="25">
        <f>#REF!-#REF!</f>
        <v>4.351025840200462E-2</v>
      </c>
      <c r="V213" s="25">
        <f>#REF!-#REF!</f>
        <v>4.5551542405624534E-2</v>
      </c>
      <c r="W213" s="25">
        <f>#REF!-#REF!</f>
        <v>-0.37407865343162605</v>
      </c>
      <c r="X213" s="25">
        <f>#REF!-#REF!</f>
        <v>-0.39162855544072439</v>
      </c>
      <c r="Y213" s="25">
        <f>#REF!-#REF!</f>
        <v>0</v>
      </c>
      <c r="Z213" s="25">
        <f>#REF!-#REF!</f>
        <v>0</v>
      </c>
      <c r="AA213" s="12">
        <v>342.39670930134002</v>
      </c>
      <c r="AB213" s="13">
        <v>358.46025273358998</v>
      </c>
      <c r="AC213">
        <f t="shared" si="46"/>
        <v>1</v>
      </c>
      <c r="AD213">
        <f t="shared" si="47"/>
        <v>0</v>
      </c>
      <c r="AE213">
        <f t="shared" si="48"/>
        <v>0</v>
      </c>
      <c r="AF213">
        <f t="shared" si="49"/>
        <v>1.276430704623996</v>
      </c>
      <c r="AG213">
        <f t="shared" si="50"/>
        <v>1.276430704623996</v>
      </c>
      <c r="AH213">
        <f t="shared" si="51"/>
        <v>0</v>
      </c>
      <c r="AI213" t="e">
        <f t="shared" si="52"/>
        <v>#DIV/0!</v>
      </c>
      <c r="AJ213" t="e">
        <f t="shared" si="53"/>
        <v>#DIV/0!</v>
      </c>
      <c r="AK213">
        <f t="shared" si="54"/>
        <v>3.4068972667221941E-3</v>
      </c>
      <c r="AL213">
        <f t="shared" si="55"/>
        <v>3.2542252708848232E-3</v>
      </c>
    </row>
    <row r="214" spans="1:38" x14ac:dyDescent="0.35">
      <c r="A214" s="19" t="s">
        <v>51</v>
      </c>
      <c r="B214" s="22" t="s">
        <v>71</v>
      </c>
      <c r="C214" s="25">
        <f>#REF!-#REF!</f>
        <v>0</v>
      </c>
      <c r="D214" s="25">
        <f>#REF!-#REF!</f>
        <v>0</v>
      </c>
      <c r="E214" s="25">
        <f>#REF!-#REF!</f>
        <v>0</v>
      </c>
      <c r="F214" s="25">
        <f>#REF!-#REF!</f>
        <v>0</v>
      </c>
      <c r="G214" s="25">
        <f>#REF!-#REF!</f>
        <v>0</v>
      </c>
      <c r="H214" s="25">
        <f>#REF!-#REF!</f>
        <v>0</v>
      </c>
      <c r="I214" s="25">
        <f>#REF!-#REF!</f>
        <v>0</v>
      </c>
      <c r="J214" s="25">
        <f>#REF!-#REF!</f>
        <v>0</v>
      </c>
      <c r="K214" s="25">
        <f>#REF!-#REF!</f>
        <v>0</v>
      </c>
      <c r="L214" s="25">
        <f>#REF!-#REF!</f>
        <v>0</v>
      </c>
      <c r="M214" s="25">
        <f>#REF!-#REF!</f>
        <v>0</v>
      </c>
      <c r="N214" s="25">
        <f>#REF!-#REF!</f>
        <v>0</v>
      </c>
      <c r="O214" s="25">
        <f>#REF!-#REF!</f>
        <v>0</v>
      </c>
      <c r="P214" s="25">
        <f>#REF!-#REF!</f>
        <v>0</v>
      </c>
      <c r="Q214" s="25">
        <f>#REF!-#REF!</f>
        <v>0</v>
      </c>
      <c r="R214" s="25">
        <f>#REF!-#REF!</f>
        <v>0</v>
      </c>
      <c r="S214" s="25">
        <f>#REF!-#REF!</f>
        <v>0</v>
      </c>
      <c r="T214" s="25">
        <f>#REF!-#REF!</f>
        <v>0</v>
      </c>
      <c r="U214" s="25">
        <f>#REF!-#REF!</f>
        <v>0</v>
      </c>
      <c r="V214" s="25">
        <f>#REF!-#REF!</f>
        <v>0</v>
      </c>
      <c r="W214" s="25">
        <f>#REF!-#REF!</f>
        <v>0</v>
      </c>
      <c r="X214" s="25">
        <f>#REF!-#REF!</f>
        <v>0</v>
      </c>
      <c r="Y214" s="25">
        <f>#REF!-#REF!</f>
        <v>0</v>
      </c>
      <c r="Z214" s="25">
        <f>#REF!-#REF!</f>
        <v>0</v>
      </c>
      <c r="AA214" s="20">
        <v>55.422589739999999</v>
      </c>
      <c r="AB214" s="13">
        <v>30.160077523049999</v>
      </c>
      <c r="AC214" t="e">
        <f t="shared" si="46"/>
        <v>#DIV/0!</v>
      </c>
      <c r="AD214" t="e">
        <f t="shared" si="47"/>
        <v>#DIV/0!</v>
      </c>
      <c r="AE214" t="e">
        <f t="shared" si="48"/>
        <v>#DIV/0!</v>
      </c>
      <c r="AF214" t="e">
        <f t="shared" si="49"/>
        <v>#DIV/0!</v>
      </c>
      <c r="AG214" t="e">
        <f t="shared" si="50"/>
        <v>#DIV/0!</v>
      </c>
      <c r="AH214" t="e">
        <f t="shared" si="51"/>
        <v>#DIV/0!</v>
      </c>
      <c r="AI214" t="e">
        <f t="shared" si="52"/>
        <v>#DIV/0!</v>
      </c>
      <c r="AJ214" t="e">
        <f t="shared" si="53"/>
        <v>#DIV/0!</v>
      </c>
      <c r="AK214">
        <f t="shared" si="54"/>
        <v>0</v>
      </c>
      <c r="AL214">
        <f t="shared" si="55"/>
        <v>0</v>
      </c>
    </row>
    <row r="215" spans="1:38" x14ac:dyDescent="0.35">
      <c r="A215" s="15" t="s">
        <v>52</v>
      </c>
      <c r="B215" s="22" t="s">
        <v>71</v>
      </c>
      <c r="C215" s="25">
        <f>#REF!-#REF!</f>
        <v>0.55575232444005618</v>
      </c>
      <c r="D215" s="25">
        <f>#REF!-#REF!</f>
        <v>0.35618561001317595</v>
      </c>
      <c r="E215" s="25">
        <f>#REF!-#REF!</f>
        <v>0.19956671442688068</v>
      </c>
      <c r="F215" s="25">
        <f>#REF!-#REF!</f>
        <v>0.10354076424571956</v>
      </c>
      <c r="G215" s="25">
        <f>#REF!-#REF!</f>
        <v>0</v>
      </c>
      <c r="H215" s="25">
        <f>#REF!-#REF!</f>
        <v>0</v>
      </c>
      <c r="I215" s="25">
        <f>#REF!-#REF!</f>
        <v>0</v>
      </c>
      <c r="J215" s="25">
        <f>#REF!-#REF!</f>
        <v>0</v>
      </c>
      <c r="K215" s="25">
        <f>#REF!-#REF!</f>
        <v>1.1526121340562527</v>
      </c>
      <c r="L215" s="25">
        <f>#REF!-#REF!</f>
        <v>0.57213793525164292</v>
      </c>
      <c r="M215" s="25">
        <f>#REF!-#REF!</f>
        <v>0.73871729909731676</v>
      </c>
      <c r="N215" s="25">
        <f>#REF!-#REF!</f>
        <v>0.36668726430358933</v>
      </c>
      <c r="O215" s="25">
        <f>#REF!-#REF!</f>
        <v>0.41389483495893487</v>
      </c>
      <c r="P215" s="25">
        <f>#REF!-#REF!</f>
        <v>0.20545067094805303</v>
      </c>
      <c r="Q215" s="25">
        <f>#REF!-#REF!</f>
        <v>0.21474015670436719</v>
      </c>
      <c r="R215" s="25">
        <f>#REF!-#REF!</f>
        <v>0.10659352460578431</v>
      </c>
      <c r="S215" s="25">
        <f>#REF!-#REF!</f>
        <v>0</v>
      </c>
      <c r="T215" s="25">
        <f>#REF!-#REF!</f>
        <v>0</v>
      </c>
      <c r="U215" s="25">
        <f>#REF!-#REF!</f>
        <v>0</v>
      </c>
      <c r="V215" s="25">
        <f>#REF!-#REF!</f>
        <v>0</v>
      </c>
      <c r="W215" s="25">
        <f>#REF!-#REF!</f>
        <v>0</v>
      </c>
      <c r="X215" s="25">
        <f>#REF!-#REF!</f>
        <v>0</v>
      </c>
      <c r="Y215" s="25">
        <f>#REF!-#REF!</f>
        <v>0</v>
      </c>
      <c r="Z215" s="25">
        <f>#REF!-#REF!</f>
        <v>0</v>
      </c>
      <c r="AA215" s="12">
        <v>97.136073348400004</v>
      </c>
      <c r="AB215" s="13">
        <v>48.216768505140003</v>
      </c>
      <c r="AC215">
        <f t="shared" si="46"/>
        <v>1</v>
      </c>
      <c r="AD215">
        <f t="shared" si="47"/>
        <v>0.35909290101116992</v>
      </c>
      <c r="AE215">
        <f t="shared" si="48"/>
        <v>0.35909290101116992</v>
      </c>
      <c r="AF215">
        <f t="shared" si="49"/>
        <v>0.64090709898883091</v>
      </c>
      <c r="AG215">
        <f t="shared" si="50"/>
        <v>0.64090709898883091</v>
      </c>
      <c r="AH215">
        <f t="shared" si="51"/>
        <v>0</v>
      </c>
      <c r="AI215" t="e">
        <f t="shared" si="52"/>
        <v>#DIV/0!</v>
      </c>
      <c r="AJ215" t="e">
        <f t="shared" si="53"/>
        <v>#DIV/0!</v>
      </c>
      <c r="AK215">
        <f t="shared" si="54"/>
        <v>5.7213793525164192E-3</v>
      </c>
      <c r="AL215">
        <f t="shared" si="55"/>
        <v>1.1526121340562504E-2</v>
      </c>
    </row>
    <row r="216" spans="1:38" x14ac:dyDescent="0.35">
      <c r="A216" s="15" t="s">
        <v>53</v>
      </c>
      <c r="B216" s="22" t="s">
        <v>71</v>
      </c>
      <c r="C216" s="25">
        <f>#REF!-#REF!</f>
        <v>0</v>
      </c>
      <c r="D216" s="25">
        <f>#REF!-#REF!</f>
        <v>0</v>
      </c>
      <c r="E216" s="25">
        <f>#REF!-#REF!</f>
        <v>0</v>
      </c>
      <c r="F216" s="25">
        <f>#REF!-#REF!</f>
        <v>0</v>
      </c>
      <c r="G216" s="25">
        <f>#REF!-#REF!</f>
        <v>0</v>
      </c>
      <c r="H216" s="25">
        <f>#REF!-#REF!</f>
        <v>0</v>
      </c>
      <c r="I216" s="25">
        <f>#REF!-#REF!</f>
        <v>0</v>
      </c>
      <c r="J216" s="25">
        <f>#REF!-#REF!</f>
        <v>0</v>
      </c>
      <c r="K216" s="25">
        <f>#REF!-#REF!</f>
        <v>0</v>
      </c>
      <c r="L216" s="25">
        <f>#REF!-#REF!</f>
        <v>0</v>
      </c>
      <c r="M216" s="25">
        <f>#REF!-#REF!</f>
        <v>0</v>
      </c>
      <c r="N216" s="25">
        <f>#REF!-#REF!</f>
        <v>0</v>
      </c>
      <c r="O216" s="25">
        <f>#REF!-#REF!</f>
        <v>0</v>
      </c>
      <c r="P216" s="25">
        <f>#REF!-#REF!</f>
        <v>0</v>
      </c>
      <c r="Q216" s="25">
        <f>#REF!-#REF!</f>
        <v>0</v>
      </c>
      <c r="R216" s="25">
        <f>#REF!-#REF!</f>
        <v>0</v>
      </c>
      <c r="S216" s="25">
        <f>#REF!-#REF!</f>
        <v>0</v>
      </c>
      <c r="T216" s="25">
        <f>#REF!-#REF!</f>
        <v>0</v>
      </c>
      <c r="U216" s="25">
        <f>#REF!-#REF!</f>
        <v>0</v>
      </c>
      <c r="V216" s="25">
        <f>#REF!-#REF!</f>
        <v>0</v>
      </c>
      <c r="W216" s="25">
        <f>#REF!-#REF!</f>
        <v>0</v>
      </c>
      <c r="X216" s="25">
        <f>#REF!-#REF!</f>
        <v>0</v>
      </c>
      <c r="Y216" s="25">
        <f>#REF!-#REF!</f>
        <v>0</v>
      </c>
      <c r="Z216" s="25">
        <f>#REF!-#REF!</f>
        <v>0</v>
      </c>
      <c r="AA216" s="12">
        <v>66.343484468840003</v>
      </c>
      <c r="AB216" s="13">
        <v>66.557495896739994</v>
      </c>
      <c r="AC216" t="e">
        <f t="shared" si="46"/>
        <v>#DIV/0!</v>
      </c>
      <c r="AD216" t="e">
        <f t="shared" si="47"/>
        <v>#DIV/0!</v>
      </c>
      <c r="AE216" t="e">
        <f t="shared" si="48"/>
        <v>#DIV/0!</v>
      </c>
      <c r="AF216" t="e">
        <f t="shared" si="49"/>
        <v>#DIV/0!</v>
      </c>
      <c r="AG216" t="e">
        <f t="shared" si="50"/>
        <v>#DIV/0!</v>
      </c>
      <c r="AH216" t="e">
        <f t="shared" si="51"/>
        <v>#DIV/0!</v>
      </c>
      <c r="AI216" t="e">
        <f t="shared" si="52"/>
        <v>#DIV/0!</v>
      </c>
      <c r="AJ216" t="e">
        <f t="shared" si="53"/>
        <v>#DIV/0!</v>
      </c>
      <c r="AK216">
        <f t="shared" si="54"/>
        <v>0</v>
      </c>
      <c r="AL216">
        <f t="shared" si="55"/>
        <v>0</v>
      </c>
    </row>
    <row r="217" spans="1:38" x14ac:dyDescent="0.35">
      <c r="A217" s="15" t="s">
        <v>54</v>
      </c>
      <c r="B217" s="22" t="s">
        <v>71</v>
      </c>
      <c r="C217" s="25">
        <f>#REF!-#REF!</f>
        <v>52.727221902173866</v>
      </c>
      <c r="D217" s="25">
        <f>#REF!-#REF!</f>
        <v>12.143238983530951</v>
      </c>
      <c r="E217" s="25">
        <f>#REF!-#REF!</f>
        <v>40.58398291864291</v>
      </c>
      <c r="F217" s="25">
        <f>#REF!-#REF!</f>
        <v>0</v>
      </c>
      <c r="G217" s="25">
        <f>#REF!-#REF!</f>
        <v>0</v>
      </c>
      <c r="H217" s="25">
        <f>#REF!-#REF!</f>
        <v>0</v>
      </c>
      <c r="I217" s="25">
        <f>#REF!-#REF!</f>
        <v>0</v>
      </c>
      <c r="J217" s="25">
        <f>#REF!-#REF!</f>
        <v>0</v>
      </c>
      <c r="K217" s="25">
        <f>#REF!-#REF!</f>
        <v>6.2751794119408801</v>
      </c>
      <c r="L217" s="25">
        <f>#REF!-#REF!</f>
        <v>5.6547549801443484</v>
      </c>
      <c r="M217" s="25">
        <f>#REF!-#REF!</f>
        <v>1.4451928342651723</v>
      </c>
      <c r="N217" s="25">
        <f>#REF!-#REF!</f>
        <v>1.3023072075483955</v>
      </c>
      <c r="O217" s="25">
        <f>#REF!-#REF!</f>
        <v>4.8299865776757072</v>
      </c>
      <c r="P217" s="25">
        <f>#REF!-#REF!</f>
        <v>4.3524477725959532</v>
      </c>
      <c r="Q217" s="25">
        <f>#REF!-#REF!</f>
        <v>0</v>
      </c>
      <c r="R217" s="25">
        <f>#REF!-#REF!</f>
        <v>0</v>
      </c>
      <c r="S217" s="25">
        <f>#REF!-#REF!</f>
        <v>0</v>
      </c>
      <c r="T217" s="25">
        <f>#REF!-#REF!</f>
        <v>0</v>
      </c>
      <c r="U217" s="25">
        <f>#REF!-#REF!</f>
        <v>0</v>
      </c>
      <c r="V217" s="25">
        <f>#REF!-#REF!</f>
        <v>0</v>
      </c>
      <c r="W217" s="25">
        <f>#REF!-#REF!</f>
        <v>0</v>
      </c>
      <c r="X217" s="25">
        <f>#REF!-#REF!</f>
        <v>0</v>
      </c>
      <c r="Y217" s="25">
        <f>#REF!-#REF!</f>
        <v>0</v>
      </c>
      <c r="Z217" s="25">
        <f>#REF!-#REF!</f>
        <v>0</v>
      </c>
      <c r="AA217" s="12">
        <v>932.44043441874999</v>
      </c>
      <c r="AB217" s="13">
        <v>840.25042856688003</v>
      </c>
      <c r="AC217">
        <f t="shared" si="46"/>
        <v>1</v>
      </c>
      <c r="AD217">
        <f t="shared" si="47"/>
        <v>0.76969696969696955</v>
      </c>
      <c r="AE217">
        <f t="shared" si="48"/>
        <v>0.76969696969696955</v>
      </c>
      <c r="AF217">
        <f t="shared" si="49"/>
        <v>0.23030303030303031</v>
      </c>
      <c r="AG217">
        <f t="shared" si="50"/>
        <v>0.23030303030303031</v>
      </c>
      <c r="AH217">
        <f t="shared" si="51"/>
        <v>0</v>
      </c>
      <c r="AI217" t="e">
        <f t="shared" si="52"/>
        <v>#DIV/0!</v>
      </c>
      <c r="AJ217" t="e">
        <f t="shared" si="53"/>
        <v>#DIV/0!</v>
      </c>
      <c r="AK217">
        <f t="shared" si="54"/>
        <v>5.654754980144349E-2</v>
      </c>
      <c r="AL217">
        <f t="shared" si="55"/>
        <v>6.2751794119408802E-2</v>
      </c>
    </row>
    <row r="218" spans="1:38" x14ac:dyDescent="0.35">
      <c r="A218" s="15" t="s">
        <v>55</v>
      </c>
      <c r="B218" s="22" t="s">
        <v>71</v>
      </c>
      <c r="C218" s="25">
        <f>#REF!-#REF!</f>
        <v>0</v>
      </c>
      <c r="D218" s="25">
        <f>#REF!-#REF!</f>
        <v>0.78002577101263615</v>
      </c>
      <c r="E218" s="25">
        <v>0</v>
      </c>
      <c r="F218" s="25">
        <f>#REF!-#REF!</f>
        <v>0</v>
      </c>
      <c r="G218" s="25">
        <v>0</v>
      </c>
      <c r="H218" s="25">
        <f>#REF!-#REF!</f>
        <v>6.500214758438605E-2</v>
      </c>
      <c r="I218" s="25">
        <v>0</v>
      </c>
      <c r="J218" s="25">
        <f>#REF!-#REF!</f>
        <v>0</v>
      </c>
      <c r="K218" s="25">
        <f>#REF!-#REF!</f>
        <v>0</v>
      </c>
      <c r="L218" s="25">
        <f>#REF!-#REF!</f>
        <v>0</v>
      </c>
      <c r="M218" s="25">
        <f>#REF!-#REF!</f>
        <v>0.38436448129134071</v>
      </c>
      <c r="N218" s="25">
        <f>#REF!-#REF!</f>
        <v>0.4021294374513984</v>
      </c>
      <c r="O218" s="25">
        <f>#REF!-#REF!</f>
        <v>-0.38436448129133538</v>
      </c>
      <c r="P218" s="25">
        <f>#REF!-#REF!</f>
        <v>-0.4021294374513964</v>
      </c>
      <c r="Q218" s="25">
        <f>#REF!-#REF!</f>
        <v>0</v>
      </c>
      <c r="R218" s="25">
        <f>#REF!-#REF!</f>
        <v>0</v>
      </c>
      <c r="S218" s="25">
        <f>#REF!-#REF!</f>
        <v>-1.1691086305944958</v>
      </c>
      <c r="T218" s="25">
        <f>#REF!-#REF!</f>
        <v>-1.2231437055813377</v>
      </c>
      <c r="U218" s="25">
        <f>#REF!-#REF!</f>
        <v>3.2030373440944948E-2</v>
      </c>
      <c r="V218" s="25">
        <f>#REF!-#REF!</f>
        <v>3.351078645428307E-2</v>
      </c>
      <c r="W218" s="25">
        <f>#REF!-#REF!</f>
        <v>-1.2011390040354408</v>
      </c>
      <c r="X218" s="25">
        <f>#REF!-#REF!</f>
        <v>-1.2566544920356209</v>
      </c>
      <c r="Y218" s="25">
        <f>#REF!-#REF!</f>
        <v>0</v>
      </c>
      <c r="Z218" s="25">
        <f>#REF!-#REF!</f>
        <v>0</v>
      </c>
      <c r="AA218" s="12">
        <v>193.97380504054999</v>
      </c>
      <c r="AB218" s="13">
        <v>202.93908750153</v>
      </c>
      <c r="AC218" t="e">
        <f t="shared" si="46"/>
        <v>#DIV/0!</v>
      </c>
      <c r="AD218" t="e">
        <f t="shared" si="47"/>
        <v>#DIV/0!</v>
      </c>
      <c r="AE218" t="e">
        <f t="shared" si="48"/>
        <v>#DIV/0!</v>
      </c>
      <c r="AF218" t="e">
        <f t="shared" si="49"/>
        <v>#DIV/0!</v>
      </c>
      <c r="AG218" t="e">
        <f t="shared" si="50"/>
        <v>#DIV/0!</v>
      </c>
      <c r="AH218" t="e">
        <f t="shared" si="51"/>
        <v>#DIV/0!</v>
      </c>
      <c r="AI218" t="e">
        <f t="shared" si="52"/>
        <v>#DIV/0!</v>
      </c>
      <c r="AJ218" t="e">
        <f t="shared" si="53"/>
        <v>#DIV/0!</v>
      </c>
      <c r="AK218">
        <f t="shared" si="54"/>
        <v>0</v>
      </c>
      <c r="AL218">
        <f t="shared" si="55"/>
        <v>0</v>
      </c>
    </row>
    <row r="219" spans="1:38" x14ac:dyDescent="0.35">
      <c r="A219" s="15" t="s">
        <v>56</v>
      </c>
      <c r="B219" s="22" t="s">
        <v>71</v>
      </c>
      <c r="C219" s="25">
        <f>#REF!-#REF!</f>
        <v>10.503584387998931</v>
      </c>
      <c r="D219" s="25">
        <f>#REF!-#REF!</f>
        <v>1.4762368351181505</v>
      </c>
      <c r="E219" s="25">
        <f>#REF!-#REF!</f>
        <v>9.0273475528807801</v>
      </c>
      <c r="F219" s="25">
        <f>#REF!-#REF!</f>
        <v>0</v>
      </c>
      <c r="G219" s="25">
        <f>#REF!-#REF!</f>
        <v>0.83901230197362509</v>
      </c>
      <c r="H219" s="25">
        <f>#REF!-#REF!</f>
        <v>0.83901230197362509</v>
      </c>
      <c r="I219" s="25">
        <f>#REF!-#REF!</f>
        <v>0</v>
      </c>
      <c r="J219" s="25">
        <f>#REF!-#REF!</f>
        <v>0</v>
      </c>
      <c r="K219" s="25">
        <f>#REF!-#REF!</f>
        <v>2.5602928587666662</v>
      </c>
      <c r="L219" s="25">
        <f>#REF!-#REF!</f>
        <v>3.178528896479957</v>
      </c>
      <c r="M219" s="25">
        <f>#REF!-#REF!</f>
        <v>0.35983893566083569</v>
      </c>
      <c r="N219" s="25">
        <f>#REF!-#REF!</f>
        <v>0.44672954156796146</v>
      </c>
      <c r="O219" s="25">
        <f>#REF!-#REF!</f>
        <v>2.2004539231058304</v>
      </c>
      <c r="P219" s="25">
        <f>#REF!-#REF!</f>
        <v>2.7317993549119954</v>
      </c>
      <c r="Q219" s="25">
        <f>#REF!-#REF!</f>
        <v>0</v>
      </c>
      <c r="R219" s="25">
        <f>#REF!-#REF!</f>
        <v>0</v>
      </c>
      <c r="S219" s="25">
        <f>#REF!-#REF!</f>
        <v>0.20451277638277698</v>
      </c>
      <c r="T219" s="25">
        <f>#REF!-#REF!</f>
        <v>0.25389664592711547</v>
      </c>
      <c r="U219" s="25">
        <f>#REF!-#REF!</f>
        <v>0.20451277638277698</v>
      </c>
      <c r="V219" s="25">
        <f>#REF!-#REF!</f>
        <v>0.25389664592711503</v>
      </c>
      <c r="W219" s="25">
        <f>#REF!-#REF!</f>
        <v>0</v>
      </c>
      <c r="X219" s="25">
        <f>#REF!-#REF!</f>
        <v>0</v>
      </c>
      <c r="Y219" s="25">
        <f>#REF!-#REF!</f>
        <v>0</v>
      </c>
      <c r="Z219" s="25">
        <f>#REF!-#REF!</f>
        <v>0</v>
      </c>
      <c r="AA219" s="12">
        <v>330.45426768437</v>
      </c>
      <c r="AB219" s="13">
        <v>410.24933347112</v>
      </c>
      <c r="AC219">
        <f t="shared" si="46"/>
        <v>0.92602996254681647</v>
      </c>
      <c r="AD219">
        <f t="shared" si="47"/>
        <v>0.79588014981273414</v>
      </c>
      <c r="AE219">
        <f t="shared" si="48"/>
        <v>0.85945399393326594</v>
      </c>
      <c r="AF219">
        <f t="shared" si="49"/>
        <v>0.13014981273408235</v>
      </c>
      <c r="AG219">
        <f t="shared" si="50"/>
        <v>0.14054600606673404</v>
      </c>
      <c r="AH219">
        <f t="shared" si="51"/>
        <v>7.3970037453183493E-2</v>
      </c>
      <c r="AI219">
        <f t="shared" si="52"/>
        <v>1</v>
      </c>
      <c r="AJ219">
        <f t="shared" si="53"/>
        <v>0</v>
      </c>
      <c r="AK219">
        <f t="shared" si="54"/>
        <v>3.4324255424070721E-2</v>
      </c>
      <c r="AL219">
        <f t="shared" si="55"/>
        <v>2.7648056351494431E-2</v>
      </c>
    </row>
    <row r="220" spans="1:38" x14ac:dyDescent="0.35">
      <c r="A220" s="15" t="s">
        <v>57</v>
      </c>
      <c r="B220" s="22" t="s">
        <v>71</v>
      </c>
      <c r="C220" s="25">
        <f>#REF!-#REF!</f>
        <v>0.45651274374176509</v>
      </c>
      <c r="D220" s="25">
        <f>#REF!-#REF!</f>
        <v>0</v>
      </c>
      <c r="E220" s="25">
        <f>#REF!-#REF!</f>
        <v>0.45651274374176509</v>
      </c>
      <c r="F220" s="25">
        <f>#REF!-#REF!</f>
        <v>0</v>
      </c>
      <c r="G220" s="25">
        <f>#REF!-#REF!</f>
        <v>0</v>
      </c>
      <c r="H220" s="25">
        <f>#REF!-#REF!</f>
        <v>0</v>
      </c>
      <c r="I220" s="25">
        <f>#REF!-#REF!</f>
        <v>0</v>
      </c>
      <c r="J220" s="25">
        <f>#REF!-#REF!</f>
        <v>0</v>
      </c>
      <c r="K220" s="25">
        <f>#REF!-#REF!</f>
        <v>0.20530124788873128</v>
      </c>
      <c r="L220" s="25">
        <f>#REF!-#REF!</f>
        <v>0.13378998732291691</v>
      </c>
      <c r="M220" s="25">
        <f>#REF!-#REF!</f>
        <v>0</v>
      </c>
      <c r="N220" s="25">
        <f>#REF!-#REF!</f>
        <v>0</v>
      </c>
      <c r="O220" s="25">
        <f>#REF!-#REF!</f>
        <v>0.20530124788873128</v>
      </c>
      <c r="P220" s="25">
        <f>#REF!-#REF!</f>
        <v>0.13378998732291691</v>
      </c>
      <c r="Q220" s="25">
        <f>#REF!-#REF!</f>
        <v>0</v>
      </c>
      <c r="R220" s="25">
        <f>#REF!-#REF!</f>
        <v>0</v>
      </c>
      <c r="S220" s="25">
        <f>#REF!-#REF!</f>
        <v>0</v>
      </c>
      <c r="T220" s="25">
        <f>#REF!-#REF!</f>
        <v>0</v>
      </c>
      <c r="U220" s="25">
        <f>#REF!-#REF!</f>
        <v>0</v>
      </c>
      <c r="V220" s="25">
        <f>#REF!-#REF!</f>
        <v>0</v>
      </c>
      <c r="W220" s="25">
        <f>#REF!-#REF!</f>
        <v>0</v>
      </c>
      <c r="X220" s="25">
        <f>#REF!-#REF!</f>
        <v>0</v>
      </c>
      <c r="Y220" s="25">
        <f>#REF!-#REF!</f>
        <v>0</v>
      </c>
      <c r="Z220" s="25">
        <f>#REF!-#REF!</f>
        <v>0</v>
      </c>
      <c r="AA220" s="12">
        <v>341.21592570296002</v>
      </c>
      <c r="AB220" s="13">
        <v>222.36238134761999</v>
      </c>
      <c r="AC220">
        <f t="shared" si="46"/>
        <v>1</v>
      </c>
      <c r="AD220">
        <f t="shared" si="47"/>
        <v>1</v>
      </c>
      <c r="AE220">
        <f t="shared" si="48"/>
        <v>1</v>
      </c>
      <c r="AF220">
        <f t="shared" si="49"/>
        <v>0</v>
      </c>
      <c r="AG220">
        <f t="shared" si="50"/>
        <v>0</v>
      </c>
      <c r="AH220">
        <f t="shared" si="51"/>
        <v>0</v>
      </c>
      <c r="AI220" t="e">
        <f t="shared" si="52"/>
        <v>#DIV/0!</v>
      </c>
      <c r="AJ220" t="e">
        <f t="shared" si="53"/>
        <v>#DIV/0!</v>
      </c>
      <c r="AK220">
        <f t="shared" si="54"/>
        <v>1.3378998732291728E-3</v>
      </c>
      <c r="AL220">
        <f t="shared" si="55"/>
        <v>2.0530124788873212E-3</v>
      </c>
    </row>
    <row r="221" spans="1:38" x14ac:dyDescent="0.35">
      <c r="A221" s="15" t="s">
        <v>58</v>
      </c>
      <c r="B221" s="22" t="s">
        <v>71</v>
      </c>
      <c r="C221" s="25">
        <f>#REF!-#REF!</f>
        <v>0</v>
      </c>
      <c r="D221" s="25">
        <f>#REF!-#REF!</f>
        <v>0</v>
      </c>
      <c r="E221" s="25">
        <f>#REF!-#REF!</f>
        <v>0</v>
      </c>
      <c r="F221" s="25">
        <f>#REF!-#REF!</f>
        <v>0</v>
      </c>
      <c r="G221" s="25">
        <f>#REF!-#REF!</f>
        <v>0</v>
      </c>
      <c r="H221" s="25">
        <f>#REF!-#REF!</f>
        <v>0</v>
      </c>
      <c r="I221" s="25">
        <f>#REF!-#REF!</f>
        <v>0</v>
      </c>
      <c r="J221" s="25">
        <f>#REF!-#REF!</f>
        <v>0</v>
      </c>
      <c r="K221" s="25">
        <f>#REF!-#REF!</f>
        <v>0</v>
      </c>
      <c r="L221" s="25">
        <f>#REF!-#REF!</f>
        <v>0</v>
      </c>
      <c r="M221" s="25">
        <f>#REF!-#REF!</f>
        <v>0</v>
      </c>
      <c r="N221" s="25">
        <f>#REF!-#REF!</f>
        <v>0</v>
      </c>
      <c r="O221" s="25">
        <f>#REF!-#REF!</f>
        <v>0</v>
      </c>
      <c r="P221" s="25">
        <f>#REF!-#REF!</f>
        <v>0</v>
      </c>
      <c r="Q221" s="25">
        <f>#REF!-#REF!</f>
        <v>0</v>
      </c>
      <c r="R221" s="25">
        <f>#REF!-#REF!</f>
        <v>0</v>
      </c>
      <c r="S221" s="25">
        <f>#REF!-#REF!</f>
        <v>0</v>
      </c>
      <c r="T221" s="25">
        <f>#REF!-#REF!</f>
        <v>0</v>
      </c>
      <c r="U221" s="25">
        <f>#REF!-#REF!</f>
        <v>0</v>
      </c>
      <c r="V221" s="25">
        <f>#REF!-#REF!</f>
        <v>0</v>
      </c>
      <c r="W221" s="25">
        <f>#REF!-#REF!</f>
        <v>0</v>
      </c>
      <c r="X221" s="25">
        <f>#REF!-#REF!</f>
        <v>0</v>
      </c>
      <c r="Y221" s="25">
        <f>#REF!-#REF!</f>
        <v>0</v>
      </c>
      <c r="Z221" s="25">
        <f>#REF!-#REF!</f>
        <v>0</v>
      </c>
      <c r="AA221" s="12">
        <v>181.71174374815001</v>
      </c>
      <c r="AB221" s="13">
        <v>99.489061173690004</v>
      </c>
      <c r="AC221" t="e">
        <f t="shared" si="46"/>
        <v>#DIV/0!</v>
      </c>
      <c r="AD221" t="e">
        <f t="shared" si="47"/>
        <v>#DIV/0!</v>
      </c>
      <c r="AE221" t="e">
        <f t="shared" si="48"/>
        <v>#DIV/0!</v>
      </c>
      <c r="AF221" t="e">
        <f t="shared" si="49"/>
        <v>#DIV/0!</v>
      </c>
      <c r="AG221" t="e">
        <f t="shared" si="50"/>
        <v>#DIV/0!</v>
      </c>
      <c r="AH221" t="e">
        <f t="shared" si="51"/>
        <v>#DIV/0!</v>
      </c>
      <c r="AI221" t="e">
        <f t="shared" si="52"/>
        <v>#DIV/0!</v>
      </c>
      <c r="AJ221" t="e">
        <f t="shared" si="53"/>
        <v>#DIV/0!</v>
      </c>
      <c r="AK221">
        <f t="shared" si="54"/>
        <v>0</v>
      </c>
      <c r="AL221">
        <f t="shared" si="55"/>
        <v>0</v>
      </c>
    </row>
    <row r="222" spans="1:38" x14ac:dyDescent="0.35">
      <c r="A222" s="15" t="s">
        <v>59</v>
      </c>
      <c r="B222" s="22" t="s">
        <v>71</v>
      </c>
      <c r="C222" s="25">
        <f>#REF!-#REF!</f>
        <v>0.35570577116271807</v>
      </c>
      <c r="D222" s="25">
        <v>0</v>
      </c>
      <c r="E222" s="25">
        <f>#REF!-#REF!</f>
        <v>0.40021851490448324</v>
      </c>
      <c r="F222" s="25">
        <f>#REF!-#REF!</f>
        <v>0.374</v>
      </c>
      <c r="G222" s="25">
        <f>#REF!-#REF!</f>
        <v>0</v>
      </c>
      <c r="H222" s="25">
        <f>#REF!-#REF!</f>
        <v>0</v>
      </c>
      <c r="I222" s="25">
        <f>#REF!-#REF!</f>
        <v>0</v>
      </c>
      <c r="J222" s="25">
        <f>#REF!-#REF!</f>
        <v>0</v>
      </c>
      <c r="K222" s="25">
        <f>#REF!-#REF!</f>
        <v>0.70551376153752976</v>
      </c>
      <c r="L222" s="25">
        <f>#REF!-#REF!</f>
        <v>0.46780390947431361</v>
      </c>
      <c r="M222" s="25">
        <f>#REF!-#REF!</f>
        <v>-8.8287443779602848E-2</v>
      </c>
      <c r="N222" s="25">
        <f>#REF!-#REF!</f>
        <v>-5.8540617645195026E-2</v>
      </c>
      <c r="O222" s="25">
        <f>#REF!-#REF!</f>
        <v>0.79380120531713239</v>
      </c>
      <c r="P222" s="25">
        <f>#REF!-#REF!</f>
        <v>0.52634452711950885</v>
      </c>
      <c r="Q222" s="25">
        <f>#REF!-#REF!</f>
        <v>0.74179889168661206</v>
      </c>
      <c r="R222" s="25">
        <f>#REF!-#REF!</f>
        <v>0.49186343412842204</v>
      </c>
      <c r="S222" s="25">
        <f>#REF!-#REF!</f>
        <v>0</v>
      </c>
      <c r="T222" s="25">
        <f>#REF!-#REF!</f>
        <v>0</v>
      </c>
      <c r="U222" s="25">
        <f>#REF!-#REF!</f>
        <v>0</v>
      </c>
      <c r="V222" s="25">
        <f>#REF!-#REF!</f>
        <v>0</v>
      </c>
      <c r="W222" s="25">
        <f>#REF!-#REF!</f>
        <v>0</v>
      </c>
      <c r="X222" s="25">
        <f>#REF!-#REF!</f>
        <v>0</v>
      </c>
      <c r="Y222" s="25">
        <f>#REF!-#REF!</f>
        <v>0</v>
      </c>
      <c r="Z222" s="25">
        <f>#REF!-#REF!</f>
        <v>0</v>
      </c>
      <c r="AA222" s="12">
        <v>76.037366075549997</v>
      </c>
      <c r="AB222" s="13">
        <v>50.417977728389999</v>
      </c>
      <c r="AC222">
        <f t="shared" si="46"/>
        <v>1</v>
      </c>
      <c r="AD222">
        <f t="shared" si="47"/>
        <v>1.125139222780287</v>
      </c>
      <c r="AE222">
        <f t="shared" si="48"/>
        <v>1.125139222780287</v>
      </c>
      <c r="AF222">
        <f t="shared" si="49"/>
        <v>0</v>
      </c>
      <c r="AG222">
        <f t="shared" si="50"/>
        <v>0</v>
      </c>
      <c r="AH222">
        <f t="shared" si="51"/>
        <v>0</v>
      </c>
      <c r="AI222" t="e">
        <f t="shared" si="52"/>
        <v>#DIV/0!</v>
      </c>
      <c r="AJ222" t="e">
        <f t="shared" si="53"/>
        <v>#DIV/0!</v>
      </c>
      <c r="AK222">
        <f t="shared" si="54"/>
        <v>4.6780390947431319E-3</v>
      </c>
      <c r="AL222">
        <f t="shared" si="55"/>
        <v>7.0551376153752936E-3</v>
      </c>
    </row>
    <row r="223" spans="1:38" x14ac:dyDescent="0.35">
      <c r="A223" s="15" t="s">
        <v>60</v>
      </c>
      <c r="B223" s="22" t="s">
        <v>71</v>
      </c>
      <c r="C223" s="25">
        <f>#REF!-#REF!</f>
        <v>0</v>
      </c>
      <c r="D223" s="25">
        <f>#REF!-#REF!</f>
        <v>0</v>
      </c>
      <c r="E223" s="25">
        <f>#REF!-#REF!</f>
        <v>0</v>
      </c>
      <c r="F223" s="25">
        <f>#REF!-#REF!</f>
        <v>0</v>
      </c>
      <c r="G223" s="25">
        <f>#REF!-#REF!</f>
        <v>0</v>
      </c>
      <c r="H223" s="25">
        <f>#REF!-#REF!</f>
        <v>0</v>
      </c>
      <c r="I223" s="25">
        <f>#REF!-#REF!</f>
        <v>0</v>
      </c>
      <c r="J223" s="25">
        <f>#REF!-#REF!</f>
        <v>0</v>
      </c>
      <c r="K223" s="25">
        <f>#REF!-#REF!</f>
        <v>0</v>
      </c>
      <c r="L223" s="25">
        <f>#REF!-#REF!</f>
        <v>0</v>
      </c>
      <c r="M223" s="25">
        <f>#REF!-#REF!</f>
        <v>0</v>
      </c>
      <c r="N223" s="25">
        <f>#REF!-#REF!</f>
        <v>0</v>
      </c>
      <c r="O223" s="25">
        <f>#REF!-#REF!</f>
        <v>0</v>
      </c>
      <c r="P223" s="25">
        <f>#REF!-#REF!</f>
        <v>0</v>
      </c>
      <c r="Q223" s="25">
        <f>#REF!-#REF!</f>
        <v>0</v>
      </c>
      <c r="R223" s="25">
        <f>#REF!-#REF!</f>
        <v>0</v>
      </c>
      <c r="S223" s="25">
        <f>#REF!-#REF!</f>
        <v>0</v>
      </c>
      <c r="T223" s="25">
        <f>#REF!-#REF!</f>
        <v>0</v>
      </c>
      <c r="U223" s="25">
        <f>#REF!-#REF!</f>
        <v>0</v>
      </c>
      <c r="V223" s="25">
        <f>#REF!-#REF!</f>
        <v>0</v>
      </c>
      <c r="W223" s="25">
        <f>#REF!-#REF!</f>
        <v>0</v>
      </c>
      <c r="X223" s="25">
        <f>#REF!-#REF!</f>
        <v>0</v>
      </c>
      <c r="Y223" s="25">
        <f>#REF!-#REF!</f>
        <v>0</v>
      </c>
      <c r="Z223" s="25">
        <f>#REF!-#REF!</f>
        <v>0</v>
      </c>
      <c r="AA223" s="12">
        <v>521.00449074291998</v>
      </c>
      <c r="AB223" s="13">
        <v>549.82128194673999</v>
      </c>
      <c r="AC223" t="e">
        <f t="shared" si="46"/>
        <v>#DIV/0!</v>
      </c>
      <c r="AD223" t="e">
        <f t="shared" si="47"/>
        <v>#DIV/0!</v>
      </c>
      <c r="AE223" t="e">
        <f t="shared" si="48"/>
        <v>#DIV/0!</v>
      </c>
      <c r="AF223" t="e">
        <f t="shared" si="49"/>
        <v>#DIV/0!</v>
      </c>
      <c r="AG223" t="e">
        <f t="shared" si="50"/>
        <v>#DIV/0!</v>
      </c>
      <c r="AH223" t="e">
        <f t="shared" si="51"/>
        <v>#DIV/0!</v>
      </c>
      <c r="AI223" t="e">
        <f t="shared" si="52"/>
        <v>#DIV/0!</v>
      </c>
      <c r="AJ223" t="e">
        <f t="shared" si="53"/>
        <v>#DIV/0!</v>
      </c>
      <c r="AK223">
        <f t="shared" si="54"/>
        <v>0</v>
      </c>
      <c r="AL223">
        <f t="shared" si="55"/>
        <v>0</v>
      </c>
    </row>
    <row r="224" spans="1:38" x14ac:dyDescent="0.35">
      <c r="A224" s="15" t="s">
        <v>61</v>
      </c>
      <c r="B224" s="22" t="s">
        <v>71</v>
      </c>
      <c r="C224" s="25">
        <f>#REF!-#REF!</f>
        <v>3.8322799069066704</v>
      </c>
      <c r="D224" s="25">
        <f>#REF!-#REF!</f>
        <v>2.2988468883408597</v>
      </c>
      <c r="E224" s="25">
        <f>#REF!-#REF!</f>
        <v>1.5334330185658089</v>
      </c>
      <c r="F224" s="25">
        <f>#REF!-#REF!</f>
        <v>0</v>
      </c>
      <c r="G224" s="25">
        <f>#REF!-#REF!</f>
        <v>2.6534631329298008E-3</v>
      </c>
      <c r="H224" s="25">
        <f>#REF!-#REF!</f>
        <v>6.0615948210829274E-5</v>
      </c>
      <c r="I224" s="25">
        <f>#REF!-#REF!</f>
        <v>2.5928471847223022E-3</v>
      </c>
      <c r="J224" s="25">
        <f>#REF!-#REF!</f>
        <v>0</v>
      </c>
      <c r="K224" s="25">
        <f>#REF!-#REF!</f>
        <v>0.51294735991859142</v>
      </c>
      <c r="L224" s="25">
        <f>#REF!-#REF!</f>
        <v>0.64864381941725213</v>
      </c>
      <c r="M224" s="25">
        <f>#REF!-#REF!</f>
        <v>0.3076986730813529</v>
      </c>
      <c r="N224" s="25">
        <f>#REF!-#REF!</f>
        <v>0.38909809881619184</v>
      </c>
      <c r="O224" s="25">
        <f>#REF!-#REF!</f>
        <v>0.20524868683723874</v>
      </c>
      <c r="P224" s="25">
        <f>#REF!-#REF!</f>
        <v>0.25954572060105896</v>
      </c>
      <c r="Q224" s="25">
        <f>#REF!-#REF!</f>
        <v>0</v>
      </c>
      <c r="R224" s="25">
        <f>#REF!-#REF!</f>
        <v>0</v>
      </c>
      <c r="S224" s="25">
        <f>#REF!-#REF!</f>
        <v>3.5516375153665791E-4</v>
      </c>
      <c r="T224" s="25">
        <f>#REF!-#REF!</f>
        <v>4.4911971542926921E-4</v>
      </c>
      <c r="U224" s="25">
        <f>#REF!-#REF!</f>
        <v>8.1133923823251131E-6</v>
      </c>
      <c r="V224" s="25">
        <f>#REF!-#REF!</f>
        <v>1.025973079216147E-5</v>
      </c>
      <c r="W224" s="25">
        <f>#REF!-#REF!</f>
        <v>3.4705035915472138E-4</v>
      </c>
      <c r="X224" s="25">
        <f>#REF!-#REF!</f>
        <v>4.3885998463633058E-4</v>
      </c>
      <c r="Y224" s="25">
        <f>#REF!-#REF!</f>
        <v>0</v>
      </c>
      <c r="Z224" s="25">
        <f>#REF!-#REF!</f>
        <v>0</v>
      </c>
      <c r="AA224" s="12">
        <v>590.81421763174001</v>
      </c>
      <c r="AB224" s="13">
        <v>747.10978286638999</v>
      </c>
      <c r="AC224">
        <f t="shared" si="46"/>
        <v>0.99930808103377755</v>
      </c>
      <c r="AD224">
        <f t="shared" si="47"/>
        <v>0.39985910330170205</v>
      </c>
      <c r="AE224">
        <f t="shared" si="48"/>
        <v>0.40013596496492904</v>
      </c>
      <c r="AF224">
        <f t="shared" si="49"/>
        <v>0.59944897773207506</v>
      </c>
      <c r="AG224">
        <f t="shared" si="50"/>
        <v>0.59986403503507046</v>
      </c>
      <c r="AH224">
        <f t="shared" si="51"/>
        <v>6.9191896622245634E-4</v>
      </c>
      <c r="AI224">
        <f t="shared" si="52"/>
        <v>2.2844089091941008E-2</v>
      </c>
      <c r="AJ224">
        <f t="shared" si="53"/>
        <v>0.9771559109093142</v>
      </c>
      <c r="AK224">
        <f t="shared" si="54"/>
        <v>6.4909293913267838E-3</v>
      </c>
      <c r="AL224">
        <f t="shared" si="55"/>
        <v>5.133025236701289E-3</v>
      </c>
    </row>
    <row r="225" spans="1:38" x14ac:dyDescent="0.35">
      <c r="A225" s="9" t="s">
        <v>62</v>
      </c>
      <c r="B225" s="22" t="s">
        <v>71</v>
      </c>
      <c r="C225" s="25">
        <f>#REF!-#REF!</f>
        <v>14.902985591190401</v>
      </c>
      <c r="D225" s="25">
        <v>0</v>
      </c>
      <c r="E225" s="25">
        <f>#REF!-#REF!</f>
        <v>15.601897329999304</v>
      </c>
      <c r="F225" s="25">
        <f>#REF!-#REF!</f>
        <v>0.2461605787508705</v>
      </c>
      <c r="G225" s="25">
        <f>#REF!-#REF!</f>
        <v>3.2859281358385646</v>
      </c>
      <c r="H225" s="25">
        <f>#REF!-#REF!</f>
        <v>3.2859281358385646</v>
      </c>
      <c r="I225" s="25">
        <f>#REF!-#REF!</f>
        <v>0</v>
      </c>
      <c r="J225" s="25">
        <v>0</v>
      </c>
      <c r="K225" s="25">
        <f>#REF!-#REF!</f>
        <v>5.6890427775433512</v>
      </c>
      <c r="L225" s="25">
        <f>#REF!-#REF!</f>
        <v>3.3771511402726553</v>
      </c>
      <c r="M225" s="25">
        <f>#REF!-#REF!</f>
        <v>-0.26680149125028052</v>
      </c>
      <c r="N225" s="25">
        <f>#REF!-#REF!</f>
        <v>-0.1583797126572869</v>
      </c>
      <c r="O225" s="25">
        <f>#REF!-#REF!</f>
        <v>5.9558442687936326</v>
      </c>
      <c r="P225" s="25">
        <f>#REF!-#REF!</f>
        <v>3.5355308529299432</v>
      </c>
      <c r="Q225" s="25">
        <f>#REF!-#REF!</f>
        <v>9.3968960386458411E-2</v>
      </c>
      <c r="R225" s="25">
        <f>#REF!-#REF!</f>
        <v>5.5782210492781981E-2</v>
      </c>
      <c r="S225" s="25">
        <f>#REF!-#REF!</f>
        <v>1.2543651481330917</v>
      </c>
      <c r="T225" s="25">
        <f>#REF!-#REF!</f>
        <v>0.74462099442416596</v>
      </c>
      <c r="U225" s="25">
        <f>#REF!-#REF!</f>
        <v>1.2543651481330917</v>
      </c>
      <c r="V225" s="25">
        <f>#REF!-#REF!</f>
        <v>0.74462099442416596</v>
      </c>
      <c r="W225" s="25">
        <f>#REF!-#REF!</f>
        <v>0</v>
      </c>
      <c r="X225" s="25">
        <f>#REF!-#REF!</f>
        <v>0</v>
      </c>
      <c r="Y225" s="25">
        <f>#REF!-#REF!</f>
        <v>-0.56010656635848299</v>
      </c>
      <c r="Z225" s="25">
        <f>#REF!-#REF!</f>
        <v>-0.33249258323709963</v>
      </c>
      <c r="AA225" s="12">
        <v>441.28867711817003</v>
      </c>
      <c r="AB225" s="13">
        <v>261.95945739796002</v>
      </c>
      <c r="AC225">
        <f t="shared" si="46"/>
        <v>0.81934445425646107</v>
      </c>
      <c r="AD225">
        <f t="shared" si="47"/>
        <v>0.85776960428454174</v>
      </c>
      <c r="AE225">
        <f t="shared" si="48"/>
        <v>1.0468974310236232</v>
      </c>
      <c r="AF225">
        <f t="shared" si="49"/>
        <v>0</v>
      </c>
      <c r="AG225">
        <f t="shared" si="50"/>
        <v>0</v>
      </c>
      <c r="AH225">
        <f t="shared" si="51"/>
        <v>0.18065554574353895</v>
      </c>
      <c r="AI225">
        <f t="shared" si="52"/>
        <v>1</v>
      </c>
      <c r="AJ225">
        <f t="shared" si="53"/>
        <v>0</v>
      </c>
      <c r="AK225">
        <f t="shared" si="54"/>
        <v>4.1217721346968224E-2</v>
      </c>
      <c r="AL225">
        <f t="shared" si="55"/>
        <v>6.9434079256764439E-2</v>
      </c>
    </row>
    <row r="226" spans="1:38" x14ac:dyDescent="0.35">
      <c r="A226" s="9" t="s">
        <v>63</v>
      </c>
      <c r="B226" s="22" t="s">
        <v>71</v>
      </c>
      <c r="C226" s="25">
        <f>#REF!-#REF!</f>
        <v>1.6410634551846606</v>
      </c>
      <c r="D226" s="25">
        <f>#REF!-#REF!</f>
        <v>0.95449139438317188</v>
      </c>
      <c r="E226" s="25">
        <f>#REF!-#REF!</f>
        <v>0.68657206080148825</v>
      </c>
      <c r="F226" s="25">
        <f>#REF!-#REF!</f>
        <v>0.37365202662225599</v>
      </c>
      <c r="G226" s="25">
        <f>#REF!-#REF!</f>
        <v>6.5253723489826498E-2</v>
      </c>
      <c r="H226" s="25">
        <f>#REF!-#REF!</f>
        <v>6.3087624784770924E-2</v>
      </c>
      <c r="I226" s="25">
        <f>#REF!-#REF!</f>
        <v>2.1660987050564628E-3</v>
      </c>
      <c r="J226" s="25">
        <f>#REF!-#REF!</f>
        <v>0</v>
      </c>
      <c r="K226" s="25">
        <f>#REF!-#REF!</f>
        <v>0.51058955444495968</v>
      </c>
      <c r="L226" s="25">
        <f>#REF!-#REF!</f>
        <v>0.2376736897654359</v>
      </c>
      <c r="M226" s="25">
        <f>#REF!-#REF!</f>
        <v>0.29697409581569945</v>
      </c>
      <c r="N226" s="25">
        <f>#REF!-#REF!</f>
        <v>0.13823809849380697</v>
      </c>
      <c r="O226" s="25">
        <f>#REF!-#REF!</f>
        <v>0.21361545862926024</v>
      </c>
      <c r="P226" s="25">
        <f>#REF!-#REF!</f>
        <v>9.9435591271628931E-2</v>
      </c>
      <c r="Q226" s="25">
        <f>#REF!-#REF!</f>
        <v>0.11625560315036454</v>
      </c>
      <c r="R226" s="25">
        <f>#REF!-#REF!</f>
        <v>5.4115674549374146E-2</v>
      </c>
      <c r="S226" s="25">
        <f>#REF!-#REF!</f>
        <v>2.0302608955969248E-2</v>
      </c>
      <c r="T226" s="25">
        <f>#REF!-#REF!</f>
        <v>9.4506359176804722E-3</v>
      </c>
      <c r="U226" s="25">
        <f>#REF!-#REF!</f>
        <v>1.9628663430459881E-2</v>
      </c>
      <c r="V226" s="25">
        <f>#REF!-#REF!</f>
        <v>9.1369218623216231E-3</v>
      </c>
      <c r="W226" s="25">
        <f>#REF!-#REF!</f>
        <v>6.7394552550936737E-4</v>
      </c>
      <c r="X226" s="25">
        <f>#REF!-#REF!</f>
        <v>3.1371405535862706E-4</v>
      </c>
      <c r="Y226" s="25">
        <f>#REF!-#REF!</f>
        <v>0</v>
      </c>
      <c r="Z226" s="25">
        <f>#REF!-#REF!</f>
        <v>0</v>
      </c>
      <c r="AA226" s="12">
        <v>690.46912883131995</v>
      </c>
      <c r="AB226" s="13">
        <v>321.40560669490998</v>
      </c>
      <c r="AC226">
        <f t="shared" si="46"/>
        <v>0.96175756517875688</v>
      </c>
      <c r="AD226">
        <f t="shared" si="47"/>
        <v>0.40237071359431303</v>
      </c>
      <c r="AE226">
        <f t="shared" si="48"/>
        <v>0.41837020904486094</v>
      </c>
      <c r="AF226">
        <f t="shared" si="49"/>
        <v>0.55938685158444368</v>
      </c>
      <c r="AG226">
        <f t="shared" si="50"/>
        <v>0.58162979095513878</v>
      </c>
      <c r="AH226">
        <f t="shared" si="51"/>
        <v>3.8242434821243107E-2</v>
      </c>
      <c r="AI226">
        <f t="shared" si="52"/>
        <v>0.96680497925312592</v>
      </c>
      <c r="AJ226">
        <f t="shared" si="53"/>
        <v>3.3195020746887682E-2</v>
      </c>
      <c r="AK226">
        <f t="shared" si="54"/>
        <v>2.4712432568311632E-3</v>
      </c>
      <c r="AL226">
        <f t="shared" si="55"/>
        <v>5.3089216340092846E-3</v>
      </c>
    </row>
    <row r="227" spans="1:38" x14ac:dyDescent="0.35">
      <c r="A227" s="9" t="s">
        <v>64</v>
      </c>
      <c r="B227" s="22" t="s">
        <v>71</v>
      </c>
      <c r="C227" s="25">
        <v>0</v>
      </c>
      <c r="D227" s="25">
        <f>#REF!-#REF!</f>
        <v>0</v>
      </c>
      <c r="E227" s="25">
        <v>0</v>
      </c>
      <c r="F227" s="25">
        <f>#REF!-#REF!</f>
        <v>0</v>
      </c>
      <c r="G227" s="25">
        <f>#REF!-#REF!</f>
        <v>0</v>
      </c>
      <c r="H227" s="25">
        <f>#REF!-#REF!</f>
        <v>0</v>
      </c>
      <c r="I227" s="25">
        <f>#REF!-#REF!</f>
        <v>0</v>
      </c>
      <c r="J227" s="25">
        <f>#REF!-#REF!</f>
        <v>0</v>
      </c>
      <c r="K227" s="25">
        <f>#REF!-#REF!</f>
        <v>-2.1793048881590948E-4</v>
      </c>
      <c r="L227" s="25">
        <f>#REF!-#REF!</f>
        <v>-1.5379120927039303E-4</v>
      </c>
      <c r="M227" s="25">
        <f>#REF!-#REF!</f>
        <v>0</v>
      </c>
      <c r="N227" s="25">
        <f>#REF!-#REF!</f>
        <v>0</v>
      </c>
      <c r="O227" s="25">
        <f>#REF!-#REF!</f>
        <v>-2.1793048881568744E-4</v>
      </c>
      <c r="P227" s="25">
        <f>#REF!-#REF!</f>
        <v>-1.5379120927039303E-4</v>
      </c>
      <c r="Q227" s="25">
        <f>#REF!-#REF!</f>
        <v>0</v>
      </c>
      <c r="R227" s="25">
        <f>#REF!-#REF!</f>
        <v>0</v>
      </c>
      <c r="S227" s="25">
        <f>#REF!-#REF!</f>
        <v>0</v>
      </c>
      <c r="T227" s="25">
        <f>#REF!-#REF!</f>
        <v>0</v>
      </c>
      <c r="U227" s="25">
        <f>#REF!-#REF!</f>
        <v>0</v>
      </c>
      <c r="V227" s="25">
        <f>#REF!-#REF!</f>
        <v>0</v>
      </c>
      <c r="W227" s="25">
        <f>#REF!-#REF!</f>
        <v>0</v>
      </c>
      <c r="X227" s="25">
        <f>#REF!-#REF!</f>
        <v>0</v>
      </c>
      <c r="Y227" s="25">
        <f>#REF!-#REF!</f>
        <v>0</v>
      </c>
      <c r="Z227" s="25">
        <f>#REF!-#REF!</f>
        <v>0</v>
      </c>
      <c r="AA227" s="12">
        <v>91.233487908610002</v>
      </c>
      <c r="AB227" s="13">
        <v>64.38249419652</v>
      </c>
      <c r="AC227" t="e">
        <f t="shared" si="46"/>
        <v>#DIV/0!</v>
      </c>
      <c r="AD227" t="e">
        <f t="shared" si="47"/>
        <v>#DIV/0!</v>
      </c>
      <c r="AE227" t="e">
        <f t="shared" si="48"/>
        <v>#DIV/0!</v>
      </c>
      <c r="AF227" t="e">
        <f t="shared" si="49"/>
        <v>#DIV/0!</v>
      </c>
      <c r="AG227" t="e">
        <f t="shared" si="50"/>
        <v>#DIV/0!</v>
      </c>
      <c r="AH227" t="e">
        <f t="shared" si="51"/>
        <v>#DIV/0!</v>
      </c>
      <c r="AI227" t="e">
        <f t="shared" si="52"/>
        <v>#DIV/0!</v>
      </c>
      <c r="AJ227" t="e">
        <f t="shared" si="53"/>
        <v>#DIV/0!</v>
      </c>
      <c r="AK227">
        <f t="shared" si="54"/>
        <v>0</v>
      </c>
      <c r="AL227">
        <f t="shared" si="55"/>
        <v>0</v>
      </c>
    </row>
    <row r="228" spans="1:38" x14ac:dyDescent="0.35">
      <c r="A228" s="9" t="s">
        <v>65</v>
      </c>
      <c r="B228" s="22" t="s">
        <v>71</v>
      </c>
      <c r="C228" s="25">
        <f>#REF!-#REF!</f>
        <v>2.5891373283260464</v>
      </c>
      <c r="D228" s="25">
        <f>#REF!-#REF!</f>
        <v>2.8357904306323585</v>
      </c>
      <c r="E228" s="25">
        <v>0</v>
      </c>
      <c r="F228" s="25">
        <v>0</v>
      </c>
      <c r="G228" s="25">
        <v>0</v>
      </c>
      <c r="H228" s="25">
        <f>#REF!-#REF!</f>
        <v>0</v>
      </c>
      <c r="I228" s="25">
        <v>0</v>
      </c>
      <c r="J228" s="25">
        <f>#REF!-#REF!</f>
        <v>0</v>
      </c>
      <c r="K228" s="25">
        <f>#REF!-#REF!</f>
        <v>1.7567292106863714</v>
      </c>
      <c r="L228" s="25">
        <f>#REF!-#REF!</f>
        <v>0.83550701246794823</v>
      </c>
      <c r="M228" s="25">
        <f>#REF!-#REF!</f>
        <v>1.9240832961523844</v>
      </c>
      <c r="N228" s="25">
        <f>#REF!-#REF!</f>
        <v>0.9151012442490547</v>
      </c>
      <c r="O228" s="25">
        <f>#REF!-#REF!</f>
        <v>-0.1673540854660116</v>
      </c>
      <c r="P228" s="25">
        <f>#REF!-#REF!</f>
        <v>-7.9594231781106473E-2</v>
      </c>
      <c r="Q228" s="25">
        <f>#REF!-#REF!</f>
        <v>-1.9676494773972615</v>
      </c>
      <c r="R228" s="25">
        <f>#REF!-#REF!</f>
        <v>-0.93582148372314089</v>
      </c>
      <c r="S228" s="25">
        <f>#REF!-#REF!</f>
        <v>-4.3581601862259234E-3</v>
      </c>
      <c r="T228" s="25">
        <f>#REF!-#REF!</f>
        <v>-2.0727573577650205E-3</v>
      </c>
      <c r="U228" s="25">
        <f>#REF!-#REF!</f>
        <v>0</v>
      </c>
      <c r="V228" s="25">
        <f>#REF!-#REF!</f>
        <v>0</v>
      </c>
      <c r="W228" s="25">
        <f>#REF!-#REF!</f>
        <v>-4.3581601862259234E-3</v>
      </c>
      <c r="X228" s="25">
        <f>#REF!-#REF!</f>
        <v>-2.0727573577650205E-3</v>
      </c>
      <c r="Y228" s="25">
        <f>#REF!-#REF!</f>
        <v>0</v>
      </c>
      <c r="Z228" s="25">
        <f>#REF!-#REF!</f>
        <v>0</v>
      </c>
      <c r="AA228" s="12">
        <v>309.88816247970999</v>
      </c>
      <c r="AB228" s="13">
        <v>147.38397429586999</v>
      </c>
      <c r="AC228">
        <f t="shared" si="46"/>
        <v>1</v>
      </c>
      <c r="AD228">
        <f t="shared" si="47"/>
        <v>0</v>
      </c>
      <c r="AE228">
        <f t="shared" si="48"/>
        <v>0</v>
      </c>
      <c r="AF228">
        <f t="shared" si="49"/>
        <v>1.0952645885592251</v>
      </c>
      <c r="AG228">
        <f t="shared" si="50"/>
        <v>1.0952645885592251</v>
      </c>
      <c r="AH228">
        <f t="shared" si="51"/>
        <v>0</v>
      </c>
      <c r="AI228" t="e">
        <f t="shared" si="52"/>
        <v>#DIV/0!</v>
      </c>
      <c r="AJ228" t="e">
        <f t="shared" si="53"/>
        <v>#DIV/0!</v>
      </c>
      <c r="AK228">
        <f t="shared" si="54"/>
        <v>8.3550701246794829E-3</v>
      </c>
      <c r="AL228">
        <f t="shared" si="55"/>
        <v>1.7567292106863749E-2</v>
      </c>
    </row>
    <row r="229" spans="1:38" x14ac:dyDescent="0.35">
      <c r="A229" s="9" t="s">
        <v>66</v>
      </c>
      <c r="B229" s="22" t="s">
        <v>71</v>
      </c>
      <c r="C229" s="25">
        <v>0</v>
      </c>
      <c r="D229" s="25">
        <f>#REF!-#REF!</f>
        <v>1.5898896693499602</v>
      </c>
      <c r="E229" s="25">
        <v>0</v>
      </c>
      <c r="F229" s="25">
        <f>#REF!-#REF!</f>
        <v>0</v>
      </c>
      <c r="G229" s="25">
        <v>0</v>
      </c>
      <c r="H229" s="25">
        <v>0</v>
      </c>
      <c r="I229" s="25">
        <f>#REF!-#REF!</f>
        <v>0</v>
      </c>
      <c r="J229" s="25">
        <f>#REF!-#REF!</f>
        <v>0</v>
      </c>
      <c r="K229" s="25">
        <f>#REF!-#REF!</f>
        <v>-1.3595629562793876</v>
      </c>
      <c r="L229" s="25">
        <f>#REF!-#REF!</f>
        <v>-0.63927912437979018</v>
      </c>
      <c r="M229" s="25">
        <f>#REF!-#REF!</f>
        <v>0.27819440029479181</v>
      </c>
      <c r="N229" s="25">
        <f>#REF!-#REF!</f>
        <v>0.1308095898070856</v>
      </c>
      <c r="O229" s="25">
        <f>#REF!-#REF!</f>
        <v>-1.6377573565741796</v>
      </c>
      <c r="P229" s="25">
        <f>#REF!-#REF!</f>
        <v>-0.77008871418687574</v>
      </c>
      <c r="Q229" s="25">
        <f>#REF!-#REF!</f>
        <v>0</v>
      </c>
      <c r="R229" s="25">
        <f>#REF!-#REF!</f>
        <v>0</v>
      </c>
      <c r="S229" s="25">
        <f>#REF!-#REF!</f>
        <v>-0.53844077476411378</v>
      </c>
      <c r="T229" s="25">
        <f>#REF!-#REF!</f>
        <v>-0.25317985123952091</v>
      </c>
      <c r="U229" s="25">
        <f>#REF!-#REF!</f>
        <v>-0.53844077476411356</v>
      </c>
      <c r="V229" s="25">
        <f>#REF!-#REF!</f>
        <v>-0.25317985123952058</v>
      </c>
      <c r="W229" s="25">
        <f>#REF!-#REF!</f>
        <v>0</v>
      </c>
      <c r="X229" s="25">
        <f>#REF!-#REF!</f>
        <v>0</v>
      </c>
      <c r="Y229" s="25">
        <f>#REF!-#REF!</f>
        <v>0</v>
      </c>
      <c r="Z229" s="25">
        <f>#REF!-#REF!</f>
        <v>0</v>
      </c>
      <c r="AA229" s="12">
        <v>1215.4228689920101</v>
      </c>
      <c r="AB229" s="13">
        <v>571.50311712429004</v>
      </c>
      <c r="AC229" t="e">
        <f t="shared" si="46"/>
        <v>#DIV/0!</v>
      </c>
      <c r="AD229" t="e">
        <f t="shared" si="47"/>
        <v>#DIV/0!</v>
      </c>
      <c r="AE229" t="e">
        <f t="shared" si="48"/>
        <v>#DIV/0!</v>
      </c>
      <c r="AF229" t="e">
        <f t="shared" si="49"/>
        <v>#DIV/0!</v>
      </c>
      <c r="AG229" t="e">
        <f t="shared" si="50"/>
        <v>#DIV/0!</v>
      </c>
      <c r="AH229" t="e">
        <f t="shared" si="51"/>
        <v>#DIV/0!</v>
      </c>
      <c r="AI229" t="e">
        <f t="shared" si="52"/>
        <v>#DIV/0!</v>
      </c>
      <c r="AJ229" t="e">
        <f t="shared" si="53"/>
        <v>#DIV/0!</v>
      </c>
      <c r="AK229">
        <f t="shared" si="54"/>
        <v>0</v>
      </c>
      <c r="AL229">
        <f t="shared" si="55"/>
        <v>0</v>
      </c>
    </row>
    <row r="230" spans="1:38" x14ac:dyDescent="0.35">
      <c r="A230" s="9" t="s">
        <v>28</v>
      </c>
      <c r="B230" s="22" t="s">
        <v>72</v>
      </c>
      <c r="C230" s="10">
        <f>#REF!-#REF!</f>
        <v>0</v>
      </c>
      <c r="D230" s="10">
        <f>#REF!-#REF!</f>
        <v>0</v>
      </c>
      <c r="E230" s="10">
        <f>#REF!-#REF!</f>
        <v>0</v>
      </c>
      <c r="F230" s="10">
        <f>#REF!-#REF!</f>
        <v>0</v>
      </c>
      <c r="G230" s="10">
        <f>#REF!-#REF!</f>
        <v>0</v>
      </c>
      <c r="H230" s="10">
        <f>#REF!-#REF!</f>
        <v>0</v>
      </c>
      <c r="I230" s="10">
        <f>#REF!-#REF!</f>
        <v>0</v>
      </c>
      <c r="J230" s="10">
        <f>#REF!-#REF!</f>
        <v>0</v>
      </c>
      <c r="K230" s="10">
        <f>#REF!-#REF!</f>
        <v>0</v>
      </c>
      <c r="L230" s="10">
        <f>#REF!-#REF!</f>
        <v>0</v>
      </c>
      <c r="M230" s="10">
        <f>#REF!-#REF!</f>
        <v>0</v>
      </c>
      <c r="N230" s="10">
        <f>#REF!-#REF!</f>
        <v>0</v>
      </c>
      <c r="O230" s="10">
        <f>#REF!-#REF!</f>
        <v>0</v>
      </c>
      <c r="P230" s="10">
        <f>#REF!-#REF!</f>
        <v>0</v>
      </c>
      <c r="Q230" s="10">
        <f>#REF!-#REF!</f>
        <v>0</v>
      </c>
      <c r="R230" s="10">
        <f>#REF!-#REF!</f>
        <v>0</v>
      </c>
      <c r="S230" s="10">
        <f>#REF!-#REF!</f>
        <v>0</v>
      </c>
      <c r="T230" s="10">
        <f>#REF!-#REF!</f>
        <v>0</v>
      </c>
      <c r="U230" s="10">
        <f>#REF!-#REF!</f>
        <v>0</v>
      </c>
      <c r="V230" s="10">
        <f>#REF!-#REF!</f>
        <v>0</v>
      </c>
      <c r="W230" s="10">
        <f>#REF!-#REF!</f>
        <v>0</v>
      </c>
      <c r="X230" s="10">
        <f>#REF!-#REF!</f>
        <v>0</v>
      </c>
      <c r="Y230" s="10">
        <f>#REF!-#REF!</f>
        <v>0</v>
      </c>
      <c r="Z230" s="10">
        <f>#REF!-#REF!</f>
        <v>0</v>
      </c>
      <c r="AA230" s="12">
        <v>1226.51571721458</v>
      </c>
      <c r="AB230" s="13">
        <v>1494.77336635199</v>
      </c>
      <c r="AC230" t="e">
        <f t="shared" si="46"/>
        <v>#DIV/0!</v>
      </c>
      <c r="AD230" t="e">
        <f t="shared" si="47"/>
        <v>#DIV/0!</v>
      </c>
      <c r="AE230" t="e">
        <f t="shared" si="48"/>
        <v>#DIV/0!</v>
      </c>
      <c r="AF230" t="e">
        <f t="shared" si="49"/>
        <v>#DIV/0!</v>
      </c>
      <c r="AG230" t="e">
        <f t="shared" si="50"/>
        <v>#DIV/0!</v>
      </c>
      <c r="AH230" t="e">
        <f t="shared" si="51"/>
        <v>#DIV/0!</v>
      </c>
      <c r="AI230" t="e">
        <f t="shared" si="52"/>
        <v>#DIV/0!</v>
      </c>
      <c r="AJ230" t="e">
        <f t="shared" si="53"/>
        <v>#DIV/0!</v>
      </c>
      <c r="AK230">
        <f t="shared" si="54"/>
        <v>0</v>
      </c>
      <c r="AL230">
        <f t="shared" si="55"/>
        <v>0</v>
      </c>
    </row>
    <row r="231" spans="1:38" x14ac:dyDescent="0.35">
      <c r="A231" s="9" t="s">
        <v>30</v>
      </c>
      <c r="B231" s="22" t="s">
        <v>72</v>
      </c>
      <c r="C231" s="10">
        <f>#REF!-#REF!</f>
        <v>0.67106453921286402</v>
      </c>
      <c r="D231" s="10">
        <f>#REF!-#REF!</f>
        <v>0.67106453921286402</v>
      </c>
      <c r="E231" s="10">
        <f>#REF!-#REF!</f>
        <v>0</v>
      </c>
      <c r="F231" s="10">
        <f>#REF!-#REF!</f>
        <v>4.5744234136235065</v>
      </c>
      <c r="G231" s="10">
        <f>#REF!-#REF!</f>
        <v>0</v>
      </c>
      <c r="H231" s="10">
        <f>#REF!-#REF!</f>
        <v>0</v>
      </c>
      <c r="I231" s="10">
        <f>#REF!-#REF!</f>
        <v>0</v>
      </c>
      <c r="J231" s="10">
        <f>#REF!-#REF!</f>
        <v>0</v>
      </c>
      <c r="K231" s="10">
        <f>#REF!-#REF!</f>
        <v>3.9553372979778345E-2</v>
      </c>
      <c r="L231" s="10">
        <f>#REF!-#REF!</f>
        <v>3.8936417301014714E-2</v>
      </c>
      <c r="M231" s="10">
        <f>#REF!-#REF!</f>
        <v>3.9553372979777457E-2</v>
      </c>
      <c r="N231" s="10">
        <f>#REF!-#REF!</f>
        <v>3.8936417301014714E-2</v>
      </c>
      <c r="O231" s="10">
        <f>#REF!-#REF!</f>
        <v>0</v>
      </c>
      <c r="P231" s="10">
        <f>#REF!-#REF!</f>
        <v>0</v>
      </c>
      <c r="Q231" s="10">
        <f>#REF!-#REF!</f>
        <v>0.269622167278734</v>
      </c>
      <c r="R231" s="10">
        <f>#REF!-#REF!</f>
        <v>0.26541658594164197</v>
      </c>
      <c r="S231" s="10">
        <f>#REF!-#REF!</f>
        <v>0</v>
      </c>
      <c r="T231" s="10">
        <f>#REF!-#REF!</f>
        <v>0</v>
      </c>
      <c r="U231" s="10">
        <f>#REF!-#REF!</f>
        <v>0</v>
      </c>
      <c r="V231" s="10">
        <f>#REF!-#REF!</f>
        <v>0</v>
      </c>
      <c r="W231" s="10">
        <f>#REF!-#REF!</f>
        <v>0</v>
      </c>
      <c r="X231" s="10">
        <f>#REF!-#REF!</f>
        <v>0</v>
      </c>
      <c r="Y231" s="10">
        <f>#REF!-#REF!</f>
        <v>0</v>
      </c>
      <c r="Z231" s="10">
        <f>#REF!-#REF!</f>
        <v>0</v>
      </c>
      <c r="AA231" s="12">
        <v>1723.48815255626</v>
      </c>
      <c r="AB231" s="13">
        <v>1696.60508992738</v>
      </c>
      <c r="AC231">
        <f t="shared" si="46"/>
        <v>1</v>
      </c>
      <c r="AD231">
        <f t="shared" si="47"/>
        <v>0</v>
      </c>
      <c r="AE231">
        <f t="shared" si="48"/>
        <v>0</v>
      </c>
      <c r="AF231">
        <f t="shared" si="49"/>
        <v>1</v>
      </c>
      <c r="AG231">
        <f t="shared" si="50"/>
        <v>1</v>
      </c>
      <c r="AH231">
        <f t="shared" si="51"/>
        <v>0</v>
      </c>
      <c r="AI231" t="e">
        <f t="shared" si="52"/>
        <v>#DIV/0!</v>
      </c>
      <c r="AJ231" t="e">
        <f t="shared" si="53"/>
        <v>#DIV/0!</v>
      </c>
      <c r="AK231">
        <f t="shared" si="54"/>
        <v>3.8936417301015265E-4</v>
      </c>
      <c r="AL231">
        <f t="shared" si="55"/>
        <v>3.9553372979777375E-4</v>
      </c>
    </row>
    <row r="232" spans="1:38" x14ac:dyDescent="0.35">
      <c r="A232" s="9" t="s">
        <v>31</v>
      </c>
      <c r="B232" s="22" t="s">
        <v>72</v>
      </c>
      <c r="C232" s="10">
        <f>#REF!-#REF!</f>
        <v>1.0037314865231508</v>
      </c>
      <c r="D232" s="10">
        <f>#REF!-#REF!</f>
        <v>2.9114479823818513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f>#REF!-#REF!</f>
        <v>0</v>
      </c>
      <c r="K232" s="10">
        <f>#REF!-#REF!</f>
        <v>3.8357027566986446E-2</v>
      </c>
      <c r="L232" s="10">
        <f>#REF!-#REF!</f>
        <v>3.4527014996822203E-2</v>
      </c>
      <c r="M232" s="10">
        <f>#REF!-#REF!</f>
        <v>0.11125932783766124</v>
      </c>
      <c r="N232" s="10">
        <f>#REF!-#REF!</f>
        <v>0.10014990014747061</v>
      </c>
      <c r="O232" s="10">
        <f>#REF!-#REF!</f>
        <v>-7.2902300270675013E-2</v>
      </c>
      <c r="P232" s="10">
        <f>#REF!-#REF!</f>
        <v>-6.562288515064818E-2</v>
      </c>
      <c r="Q232" s="10">
        <f>#REF!-#REF!</f>
        <v>-4.3783110064272712E-3</v>
      </c>
      <c r="R232" s="10">
        <f>#REF!-#REF!</f>
        <v>-3.9411294192617241E-3</v>
      </c>
      <c r="S232" s="10">
        <f>#REF!-#REF!</f>
        <v>-2.2067947418010547E-2</v>
      </c>
      <c r="T232" s="10">
        <f>#REF!-#REF!</f>
        <v>-1.9864426411039915E-2</v>
      </c>
      <c r="U232" s="10">
        <f>#REF!-#REF!</f>
        <v>-9.9535703455466695E-4</v>
      </c>
      <c r="V232" s="10">
        <f>#REF!-#REF!</f>
        <v>-8.9596899027821753E-4</v>
      </c>
      <c r="W232" s="10">
        <f>#REF!-#REF!</f>
        <v>-2.1072590383456102E-2</v>
      </c>
      <c r="X232" s="10">
        <f>#REF!-#REF!</f>
        <v>-1.8968457420761808E-2</v>
      </c>
      <c r="Y232" s="10">
        <f>#REF!-#REF!</f>
        <v>0</v>
      </c>
      <c r="Z232" s="10">
        <f>#REF!-#REF!</f>
        <v>0</v>
      </c>
      <c r="AA232" s="12">
        <v>2907.0902498102801</v>
      </c>
      <c r="AB232" s="13">
        <v>2616.8124857180101</v>
      </c>
      <c r="AC232">
        <f t="shared" si="46"/>
        <v>1</v>
      </c>
      <c r="AD232">
        <f t="shared" si="47"/>
        <v>0</v>
      </c>
      <c r="AE232">
        <f t="shared" si="48"/>
        <v>0</v>
      </c>
      <c r="AF232">
        <f t="shared" si="49"/>
        <v>2.900624341741918</v>
      </c>
      <c r="AG232">
        <f t="shared" si="50"/>
        <v>2.900624341741918</v>
      </c>
      <c r="AH232">
        <f t="shared" si="51"/>
        <v>0</v>
      </c>
      <c r="AI232" t="e">
        <f t="shared" si="52"/>
        <v>#DIV/0!</v>
      </c>
      <c r="AJ232" t="e">
        <f t="shared" si="53"/>
        <v>#DIV/0!</v>
      </c>
      <c r="AK232">
        <f t="shared" si="54"/>
        <v>3.4527014996822182E-4</v>
      </c>
      <c r="AL232">
        <f t="shared" si="55"/>
        <v>3.8357027566984553E-4</v>
      </c>
    </row>
    <row r="233" spans="1:38" x14ac:dyDescent="0.35">
      <c r="A233" s="9" t="s">
        <v>32</v>
      </c>
      <c r="B233" s="22" t="s">
        <v>72</v>
      </c>
      <c r="C233" s="10">
        <f>#REF!-#REF!</f>
        <v>69.61819342061915</v>
      </c>
      <c r="D233" s="10">
        <f>#REF!-#REF!</f>
        <v>0</v>
      </c>
      <c r="E233" s="10">
        <f>#REF!-#REF!</f>
        <v>69.618193420619207</v>
      </c>
      <c r="F233" s="10">
        <f>#REF!-#REF!</f>
        <v>0</v>
      </c>
      <c r="G233" s="10">
        <f>#REF!-#REF!</f>
        <v>0</v>
      </c>
      <c r="H233" s="10">
        <f>#REF!-#REF!</f>
        <v>0</v>
      </c>
      <c r="I233" s="10">
        <f>#REF!-#REF!</f>
        <v>0</v>
      </c>
      <c r="J233" s="10">
        <f>#REF!-#REF!</f>
        <v>0</v>
      </c>
      <c r="K233" s="10">
        <f>#REF!-#REF!</f>
        <v>1.9352808465074869</v>
      </c>
      <c r="L233" s="10">
        <f>#REF!-#REF!</f>
        <v>1.6727966047922482</v>
      </c>
      <c r="M233" s="10">
        <f>#REF!-#REF!</f>
        <v>0</v>
      </c>
      <c r="N233" s="10">
        <f>#REF!-#REF!</f>
        <v>0</v>
      </c>
      <c r="O233" s="10">
        <f>#REF!-#REF!</f>
        <v>1.9352808465074887</v>
      </c>
      <c r="P233" s="10">
        <f>#REF!-#REF!</f>
        <v>1.6727966047922482</v>
      </c>
      <c r="Q233" s="10">
        <f>#REF!-#REF!</f>
        <v>0</v>
      </c>
      <c r="R233" s="10">
        <f>#REF!-#REF!</f>
        <v>0</v>
      </c>
      <c r="S233" s="10">
        <f>#REF!-#REF!</f>
        <v>0</v>
      </c>
      <c r="T233" s="10">
        <f>#REF!-#REF!</f>
        <v>0</v>
      </c>
      <c r="U233" s="10">
        <f>#REF!-#REF!</f>
        <v>0</v>
      </c>
      <c r="V233" s="10">
        <f>#REF!-#REF!</f>
        <v>0</v>
      </c>
      <c r="W233" s="10">
        <f>#REF!-#REF!</f>
        <v>0</v>
      </c>
      <c r="X233" s="10">
        <f>#REF!-#REF!</f>
        <v>0</v>
      </c>
      <c r="Y233" s="10">
        <f>#REF!-#REF!</f>
        <v>0</v>
      </c>
      <c r="Z233" s="10">
        <f>#REF!-#REF!</f>
        <v>0</v>
      </c>
      <c r="AA233" s="12">
        <v>4161.7847155581303</v>
      </c>
      <c r="AB233" s="13">
        <v>3597.3173374942398</v>
      </c>
      <c r="AC233">
        <f t="shared" si="46"/>
        <v>1</v>
      </c>
      <c r="AD233">
        <f t="shared" si="47"/>
        <v>1.0000000000000009</v>
      </c>
      <c r="AE233">
        <f t="shared" si="48"/>
        <v>1.0000000000000009</v>
      </c>
      <c r="AF233">
        <f t="shared" si="49"/>
        <v>0</v>
      </c>
      <c r="AG233">
        <f t="shared" si="50"/>
        <v>0</v>
      </c>
      <c r="AH233">
        <f t="shared" si="51"/>
        <v>0</v>
      </c>
      <c r="AI233" t="e">
        <f t="shared" si="52"/>
        <v>#DIV/0!</v>
      </c>
      <c r="AJ233" t="e">
        <f t="shared" si="53"/>
        <v>#DIV/0!</v>
      </c>
      <c r="AK233">
        <f t="shared" si="54"/>
        <v>1.6727966047922486E-2</v>
      </c>
      <c r="AL233">
        <f t="shared" si="55"/>
        <v>1.9352808465074881E-2</v>
      </c>
    </row>
    <row r="234" spans="1:38" x14ac:dyDescent="0.35">
      <c r="A234" s="9" t="s">
        <v>33</v>
      </c>
      <c r="B234" s="22" t="s">
        <v>72</v>
      </c>
      <c r="C234" s="10">
        <f>#REF!-#REF!</f>
        <v>0</v>
      </c>
      <c r="D234" s="10">
        <f>#REF!-#REF!</f>
        <v>0</v>
      </c>
      <c r="E234" s="10">
        <f>#REF!-#REF!</f>
        <v>0</v>
      </c>
      <c r="F234" s="10">
        <f>#REF!-#REF!</f>
        <v>0</v>
      </c>
      <c r="G234" s="10">
        <f>#REF!-#REF!</f>
        <v>0</v>
      </c>
      <c r="H234" s="10">
        <f>#REF!-#REF!</f>
        <v>0</v>
      </c>
      <c r="I234" s="10">
        <f>#REF!-#REF!</f>
        <v>0</v>
      </c>
      <c r="J234" s="10">
        <f>#REF!-#REF!</f>
        <v>0</v>
      </c>
      <c r="K234" s="10">
        <f>#REF!-#REF!</f>
        <v>0</v>
      </c>
      <c r="L234" s="10">
        <f>#REF!-#REF!</f>
        <v>0</v>
      </c>
      <c r="M234" s="10">
        <f>#REF!-#REF!</f>
        <v>0</v>
      </c>
      <c r="N234" s="10">
        <f>#REF!-#REF!</f>
        <v>0</v>
      </c>
      <c r="O234" s="10">
        <f>#REF!-#REF!</f>
        <v>0</v>
      </c>
      <c r="P234" s="10">
        <f>#REF!-#REF!</f>
        <v>0</v>
      </c>
      <c r="Q234" s="10">
        <f>#REF!-#REF!</f>
        <v>0</v>
      </c>
      <c r="R234" s="10">
        <f>#REF!-#REF!</f>
        <v>0</v>
      </c>
      <c r="S234" s="10">
        <f>#REF!-#REF!</f>
        <v>0</v>
      </c>
      <c r="T234" s="10">
        <f>#REF!-#REF!</f>
        <v>0</v>
      </c>
      <c r="U234" s="10">
        <f>#REF!-#REF!</f>
        <v>0</v>
      </c>
      <c r="V234" s="10">
        <f>#REF!-#REF!</f>
        <v>0</v>
      </c>
      <c r="W234" s="10">
        <f>#REF!-#REF!</f>
        <v>0</v>
      </c>
      <c r="X234" s="10">
        <f>#REF!-#REF!</f>
        <v>0</v>
      </c>
      <c r="Y234" s="10">
        <f>#REF!-#REF!</f>
        <v>0</v>
      </c>
      <c r="Z234" s="10">
        <f>#REF!-#REF!</f>
        <v>0</v>
      </c>
      <c r="AA234" s="12">
        <v>2337.6598158571201</v>
      </c>
      <c r="AB234" s="13">
        <v>1918.15761738117</v>
      </c>
      <c r="AC234" t="e">
        <f t="shared" si="46"/>
        <v>#DIV/0!</v>
      </c>
      <c r="AD234" t="e">
        <f t="shared" si="47"/>
        <v>#DIV/0!</v>
      </c>
      <c r="AE234" t="e">
        <f t="shared" si="48"/>
        <v>#DIV/0!</v>
      </c>
      <c r="AF234" t="e">
        <f t="shared" si="49"/>
        <v>#DIV/0!</v>
      </c>
      <c r="AG234" t="e">
        <f t="shared" si="50"/>
        <v>#DIV/0!</v>
      </c>
      <c r="AH234" t="e">
        <f t="shared" si="51"/>
        <v>#DIV/0!</v>
      </c>
      <c r="AI234" t="e">
        <f t="shared" si="52"/>
        <v>#DIV/0!</v>
      </c>
      <c r="AJ234" t="e">
        <f t="shared" si="53"/>
        <v>#DIV/0!</v>
      </c>
      <c r="AK234">
        <f t="shared" si="54"/>
        <v>0</v>
      </c>
      <c r="AL234">
        <f t="shared" si="55"/>
        <v>0</v>
      </c>
    </row>
    <row r="235" spans="1:38" x14ac:dyDescent="0.35">
      <c r="A235" s="9" t="s">
        <v>34</v>
      </c>
      <c r="B235" s="22" t="s">
        <v>72</v>
      </c>
      <c r="C235" s="10">
        <f>#REF!-#REF!</f>
        <v>13.111734743751981</v>
      </c>
      <c r="D235" s="10">
        <f>#REF!-#REF!</f>
        <v>10.302077298662283</v>
      </c>
      <c r="E235" s="10">
        <f>#REF!-#REF!</f>
        <v>2.8096574450896696</v>
      </c>
      <c r="F235" s="10">
        <f>#REF!-#REF!</f>
        <v>0</v>
      </c>
      <c r="G235" s="10">
        <f>#REF!-#REF!</f>
        <v>0</v>
      </c>
      <c r="H235" s="10">
        <f>#REF!-#REF!</f>
        <v>0</v>
      </c>
      <c r="I235" s="10">
        <f>#REF!-#REF!</f>
        <v>0</v>
      </c>
      <c r="J235" s="10">
        <f>#REF!-#REF!</f>
        <v>0</v>
      </c>
      <c r="K235" s="10">
        <f>#REF!-#REF!</f>
        <v>0.28726510612117195</v>
      </c>
      <c r="L235" s="10">
        <f>#REF!-#REF!</f>
        <v>0.24623659365109418</v>
      </c>
      <c r="M235" s="10">
        <f>#REF!-#REF!</f>
        <v>0.22570829766663447</v>
      </c>
      <c r="N235" s="10">
        <f>#REF!-#REF!</f>
        <v>0.19347160929728835</v>
      </c>
      <c r="O235" s="10">
        <f>#REF!-#REF!</f>
        <v>6.1556808454536593E-2</v>
      </c>
      <c r="P235" s="10">
        <f>#REF!-#REF!</f>
        <v>5.2764984353805389E-2</v>
      </c>
      <c r="Q235" s="10">
        <f>#REF!-#REF!</f>
        <v>0</v>
      </c>
      <c r="R235" s="10">
        <f>#REF!-#REF!</f>
        <v>0</v>
      </c>
      <c r="S235" s="10">
        <f>#REF!-#REF!</f>
        <v>0</v>
      </c>
      <c r="T235" s="10">
        <f>#REF!-#REF!</f>
        <v>0</v>
      </c>
      <c r="U235" s="10">
        <f>#REF!-#REF!</f>
        <v>0</v>
      </c>
      <c r="V235" s="10">
        <f>#REF!-#REF!</f>
        <v>0</v>
      </c>
      <c r="W235" s="10">
        <f>#REF!-#REF!</f>
        <v>0</v>
      </c>
      <c r="X235" s="10">
        <f>#REF!-#REF!</f>
        <v>0</v>
      </c>
      <c r="Y235" s="10">
        <f>#REF!-#REF!</f>
        <v>0</v>
      </c>
      <c r="Z235" s="10">
        <f>#REF!-#REF!</f>
        <v>0</v>
      </c>
      <c r="AA235" s="12">
        <v>5324.8522282316499</v>
      </c>
      <c r="AB235" s="13">
        <v>4564.3325500944502</v>
      </c>
      <c r="AC235">
        <f t="shared" si="46"/>
        <v>1</v>
      </c>
      <c r="AD235">
        <f t="shared" si="47"/>
        <v>0.21428571428571119</v>
      </c>
      <c r="AE235">
        <f t="shared" si="48"/>
        <v>0.21428571428571119</v>
      </c>
      <c r="AF235">
        <f t="shared" si="49"/>
        <v>0.7857142857142867</v>
      </c>
      <c r="AG235">
        <f t="shared" si="50"/>
        <v>0.7857142857142867</v>
      </c>
      <c r="AH235">
        <f t="shared" si="51"/>
        <v>0</v>
      </c>
      <c r="AI235" t="e">
        <f t="shared" si="52"/>
        <v>#DIV/0!</v>
      </c>
      <c r="AJ235" t="e">
        <f t="shared" si="53"/>
        <v>#DIV/0!</v>
      </c>
      <c r="AK235">
        <f t="shared" si="54"/>
        <v>2.462365936510938E-3</v>
      </c>
      <c r="AL235">
        <f t="shared" si="55"/>
        <v>2.8726510612117119E-3</v>
      </c>
    </row>
    <row r="236" spans="1:38" x14ac:dyDescent="0.35">
      <c r="A236" s="9" t="s">
        <v>35</v>
      </c>
      <c r="B236" s="22" t="s">
        <v>72</v>
      </c>
      <c r="C236" s="10">
        <f>#REF!-#REF!</f>
        <v>31.3557937785978</v>
      </c>
      <c r="D236" s="10">
        <f>#REF!-#REF!</f>
        <v>3.4745609322229996</v>
      </c>
      <c r="E236" s="10">
        <f>#REF!-#REF!</f>
        <v>27.8812328463748</v>
      </c>
      <c r="F236" s="10">
        <v>0</v>
      </c>
      <c r="G236" s="10">
        <f>#REF!-#REF!</f>
        <v>0</v>
      </c>
      <c r="H236" s="10">
        <f>#REF!-#REF!</f>
        <v>0</v>
      </c>
      <c r="I236" s="10">
        <f>#REF!-#REF!</f>
        <v>0</v>
      </c>
      <c r="J236" s="10">
        <f>#REF!-#REF!</f>
        <v>0</v>
      </c>
      <c r="K236" s="10">
        <f>#REF!-#REF!</f>
        <v>1.9141013926408741</v>
      </c>
      <c r="L236" s="10">
        <f>#REF!-#REF!</f>
        <v>1.4539864788011108</v>
      </c>
      <c r="M236" s="10">
        <f>#REF!-#REF!</f>
        <v>0.21210312729263747</v>
      </c>
      <c r="N236" s="10">
        <f>#REF!-#REF!</f>
        <v>0.16111742062390683</v>
      </c>
      <c r="O236" s="10">
        <f>#REF!-#REF!</f>
        <v>1.7019982653482368</v>
      </c>
      <c r="P236" s="10">
        <f>#REF!-#REF!</f>
        <v>1.292869058177204</v>
      </c>
      <c r="Q236" s="10">
        <f>#REF!-#REF!</f>
        <v>-0.70873483997783726</v>
      </c>
      <c r="R236" s="10">
        <f>#REF!-#REF!</f>
        <v>-0.53836796647500607</v>
      </c>
      <c r="S236" s="10">
        <f>#REF!-#REF!</f>
        <v>0</v>
      </c>
      <c r="T236" s="10">
        <f>#REF!-#REF!</f>
        <v>0</v>
      </c>
      <c r="U236" s="10">
        <f>#REF!-#REF!</f>
        <v>0</v>
      </c>
      <c r="V236" s="10">
        <f>#REF!-#REF!</f>
        <v>0</v>
      </c>
      <c r="W236" s="10">
        <f>#REF!-#REF!</f>
        <v>0</v>
      </c>
      <c r="X236" s="10">
        <f>#REF!-#REF!</f>
        <v>0</v>
      </c>
      <c r="Y236" s="10">
        <f>#REF!-#REF!</f>
        <v>0</v>
      </c>
      <c r="Z236" s="10">
        <f>#REF!-#REF!</f>
        <v>0</v>
      </c>
      <c r="AA236" s="12">
        <v>2156.5395714307001</v>
      </c>
      <c r="AB236" s="13">
        <v>1638.14696019506</v>
      </c>
      <c r="AC236">
        <f t="shared" si="46"/>
        <v>1</v>
      </c>
      <c r="AD236">
        <f t="shared" si="47"/>
        <v>0.88918918918918921</v>
      </c>
      <c r="AE236">
        <f t="shared" si="48"/>
        <v>0.88918918918918921</v>
      </c>
      <c r="AF236">
        <f t="shared" si="49"/>
        <v>0.11081081081081082</v>
      </c>
      <c r="AG236">
        <f t="shared" si="50"/>
        <v>0.11081081081081082</v>
      </c>
      <c r="AH236">
        <f t="shared" si="51"/>
        <v>0</v>
      </c>
      <c r="AI236" t="e">
        <f t="shared" si="52"/>
        <v>#DIV/0!</v>
      </c>
      <c r="AJ236" t="e">
        <f t="shared" si="53"/>
        <v>#DIV/0!</v>
      </c>
      <c r="AK236">
        <f t="shared" si="54"/>
        <v>1.4539864788011107E-2</v>
      </c>
      <c r="AL236">
        <f t="shared" si="55"/>
        <v>1.9141013926408747E-2</v>
      </c>
    </row>
    <row r="237" spans="1:38" x14ac:dyDescent="0.35">
      <c r="A237" s="9" t="s">
        <v>36</v>
      </c>
      <c r="B237" s="22" t="s">
        <v>72</v>
      </c>
      <c r="C237" s="10">
        <f>#REF!-#REF!</f>
        <v>10.431316194499331</v>
      </c>
      <c r="D237" s="10">
        <f>#REF!-#REF!</f>
        <v>5.831950301301049</v>
      </c>
      <c r="E237" s="10">
        <f>#REF!-#REF!</f>
        <v>4.5993658931982822</v>
      </c>
      <c r="F237" s="10">
        <f>#REF!-#REF!</f>
        <v>0</v>
      </c>
      <c r="G237" s="10">
        <f>#REF!-#REF!</f>
        <v>0</v>
      </c>
      <c r="H237" s="10">
        <f>#REF!-#REF!</f>
        <v>0</v>
      </c>
      <c r="I237" s="10">
        <f>#REF!-#REF!</f>
        <v>0</v>
      </c>
      <c r="J237" s="10">
        <f>#REF!-#REF!</f>
        <v>0</v>
      </c>
      <c r="K237" s="10">
        <f>#REF!-#REF!</f>
        <v>0.78791226741857923</v>
      </c>
      <c r="L237" s="10">
        <f>#REF!-#REF!</f>
        <v>0.58063765008396651</v>
      </c>
      <c r="M237" s="10">
        <f>#REF!-#REF!</f>
        <v>0.4405067490710004</v>
      </c>
      <c r="N237" s="10">
        <f>#REF!-#REF!</f>
        <v>0.32462345644738166</v>
      </c>
      <c r="O237" s="10">
        <f>#REF!-#REF!</f>
        <v>0.34740551834757927</v>
      </c>
      <c r="P237" s="10">
        <f>#REF!-#REF!</f>
        <v>0.25601419363658451</v>
      </c>
      <c r="Q237" s="10">
        <f>#REF!-#REF!</f>
        <v>0</v>
      </c>
      <c r="R237" s="10">
        <f>#REF!-#REF!</f>
        <v>0</v>
      </c>
      <c r="S237" s="10">
        <f>#REF!-#REF!</f>
        <v>0</v>
      </c>
      <c r="T237" s="10">
        <f>#REF!-#REF!</f>
        <v>0</v>
      </c>
      <c r="U237" s="10">
        <f>#REF!-#REF!</f>
        <v>0</v>
      </c>
      <c r="V237" s="10">
        <f>#REF!-#REF!</f>
        <v>0</v>
      </c>
      <c r="W237" s="10">
        <f>#REF!-#REF!</f>
        <v>0</v>
      </c>
      <c r="X237" s="10">
        <f>#REF!-#REF!</f>
        <v>0</v>
      </c>
      <c r="Y237" s="10">
        <f>#REF!-#REF!</f>
        <v>0</v>
      </c>
      <c r="Z237" s="10">
        <f>#REF!-#REF!</f>
        <v>0</v>
      </c>
      <c r="AA237" s="12">
        <v>1796.5276955414199</v>
      </c>
      <c r="AB237" s="13">
        <v>1323.9184901480501</v>
      </c>
      <c r="AC237">
        <f t="shared" si="46"/>
        <v>1</v>
      </c>
      <c r="AD237">
        <f t="shared" si="47"/>
        <v>0.44091903719912467</v>
      </c>
      <c r="AE237">
        <f t="shared" si="48"/>
        <v>0.44091903719912467</v>
      </c>
      <c r="AF237">
        <f t="shared" si="49"/>
        <v>0.55908096280087538</v>
      </c>
      <c r="AG237">
        <f t="shared" si="50"/>
        <v>0.55908096280087538</v>
      </c>
      <c r="AH237">
        <f t="shared" si="51"/>
        <v>0</v>
      </c>
      <c r="AI237" t="e">
        <f t="shared" si="52"/>
        <v>#DIV/0!</v>
      </c>
      <c r="AJ237" t="e">
        <f t="shared" si="53"/>
        <v>#DIV/0!</v>
      </c>
      <c r="AK237">
        <f t="shared" si="54"/>
        <v>5.8063765008396617E-3</v>
      </c>
      <c r="AL237">
        <f t="shared" si="55"/>
        <v>7.8791226741857998E-3</v>
      </c>
    </row>
    <row r="238" spans="1:38" x14ac:dyDescent="0.35">
      <c r="A238" s="9" t="s">
        <v>37</v>
      </c>
      <c r="B238" s="22" t="s">
        <v>72</v>
      </c>
      <c r="C238" s="10">
        <f>#REF!-#REF!</f>
        <v>82.109950874512379</v>
      </c>
      <c r="D238" s="10">
        <v>0</v>
      </c>
      <c r="E238" s="10">
        <f>#REF!-#REF!</f>
        <v>155.23912587212499</v>
      </c>
      <c r="F238" s="10">
        <f>#REF!-#REF!</f>
        <v>1.9244519736213839</v>
      </c>
      <c r="G238" s="10">
        <f>#REF!-#REF!</f>
        <v>3.8489039472381137E-2</v>
      </c>
      <c r="H238" s="10">
        <f>#REF!-#REF!</f>
        <v>3.8489039472427766E-2</v>
      </c>
      <c r="I238" s="10">
        <f>#REF!-#REF!</f>
        <v>0</v>
      </c>
      <c r="J238" s="10">
        <f>#REF!-#REF!</f>
        <v>0</v>
      </c>
      <c r="K238" s="10">
        <f>#REF!-#REF!</f>
        <v>2.6005656133710104</v>
      </c>
      <c r="L238" s="10">
        <f>#REF!-#REF!</f>
        <v>2.7909679262838374</v>
      </c>
      <c r="M238" s="10">
        <f>#REF!-#REF!</f>
        <v>-2.3161287494085574</v>
      </c>
      <c r="N238" s="10">
        <f>#REF!-#REF!</f>
        <v>-2.4857058093465447</v>
      </c>
      <c r="O238" s="10">
        <f>#REF!-#REF!</f>
        <v>4.916694362779567</v>
      </c>
      <c r="P238" s="10">
        <f>#REF!-#REF!</f>
        <v>5.2766737356303821</v>
      </c>
      <c r="Q238" s="10">
        <f>#REF!-#REF!</f>
        <v>6.0950756563383113E-2</v>
      </c>
      <c r="R238" s="10">
        <f>#REF!-#REF!</f>
        <v>6.5413310772277522E-2</v>
      </c>
      <c r="S238" s="10">
        <f>#REF!-#REF!</f>
        <v>1.2190151312676534E-3</v>
      </c>
      <c r="T238" s="10">
        <f>#REF!-#REF!</f>
        <v>1.3082662154442204E-3</v>
      </c>
      <c r="U238" s="10">
        <f>#REF!-#REF!</f>
        <v>1.2190151312676603E-3</v>
      </c>
      <c r="V238" s="10">
        <f>#REF!-#REF!</f>
        <v>1.3082662154455527E-3</v>
      </c>
      <c r="W238" s="10">
        <f>#REF!-#REF!</f>
        <v>0</v>
      </c>
      <c r="X238" s="10">
        <f>#REF!-#REF!</f>
        <v>0</v>
      </c>
      <c r="Y238" s="10">
        <f>#REF!-#REF!</f>
        <v>0</v>
      </c>
      <c r="Z238" s="10">
        <f>#REF!-#REF!</f>
        <v>0</v>
      </c>
      <c r="AA238" s="12">
        <v>2941.9883367789698</v>
      </c>
      <c r="AB238" s="13">
        <v>3157.38816403392</v>
      </c>
      <c r="AC238">
        <f t="shared" si="46"/>
        <v>0.9995314696236145</v>
      </c>
      <c r="AD238">
        <f t="shared" si="47"/>
        <v>1.8897391847571465</v>
      </c>
      <c r="AE238">
        <f t="shared" si="48"/>
        <v>1.8906250000000002</v>
      </c>
      <c r="AF238">
        <f t="shared" si="49"/>
        <v>0</v>
      </c>
      <c r="AG238">
        <f t="shared" si="50"/>
        <v>0</v>
      </c>
      <c r="AH238">
        <f t="shared" si="51"/>
        <v>4.6853037638550278E-4</v>
      </c>
      <c r="AI238">
        <f t="shared" si="52"/>
        <v>1.0000000000012115</v>
      </c>
      <c r="AJ238">
        <f t="shared" si="53"/>
        <v>0</v>
      </c>
      <c r="AK238">
        <f t="shared" si="54"/>
        <v>2.7922761924992816E-2</v>
      </c>
      <c r="AL238">
        <f t="shared" si="55"/>
        <v>2.601784628502276E-2</v>
      </c>
    </row>
    <row r="239" spans="1:38" x14ac:dyDescent="0.35">
      <c r="A239" s="9" t="s">
        <v>38</v>
      </c>
      <c r="B239" s="22" t="s">
        <v>72</v>
      </c>
      <c r="C239" s="10">
        <f>#REF!-#REF!</f>
        <v>0</v>
      </c>
      <c r="D239" s="10">
        <f>#REF!-#REF!</f>
        <v>0</v>
      </c>
      <c r="E239" s="10">
        <f>#REF!-#REF!</f>
        <v>0</v>
      </c>
      <c r="F239" s="10">
        <f>#REF!-#REF!</f>
        <v>0</v>
      </c>
      <c r="G239" s="10">
        <f>#REF!-#REF!</f>
        <v>0</v>
      </c>
      <c r="H239" s="10">
        <f>#REF!-#REF!</f>
        <v>0</v>
      </c>
      <c r="I239" s="10">
        <f>#REF!-#REF!</f>
        <v>0</v>
      </c>
      <c r="J239" s="10">
        <f>#REF!-#REF!</f>
        <v>0</v>
      </c>
      <c r="K239" s="10">
        <f>#REF!-#REF!</f>
        <v>0</v>
      </c>
      <c r="L239" s="10">
        <f>#REF!-#REF!</f>
        <v>0</v>
      </c>
      <c r="M239" s="10">
        <f>#REF!-#REF!</f>
        <v>0</v>
      </c>
      <c r="N239" s="10">
        <f>#REF!-#REF!</f>
        <v>0</v>
      </c>
      <c r="O239" s="10">
        <f>#REF!-#REF!</f>
        <v>0</v>
      </c>
      <c r="P239" s="10">
        <f>#REF!-#REF!</f>
        <v>0</v>
      </c>
      <c r="Q239" s="10">
        <f>#REF!-#REF!</f>
        <v>0</v>
      </c>
      <c r="R239" s="10">
        <f>#REF!-#REF!</f>
        <v>0</v>
      </c>
      <c r="S239" s="10">
        <f>#REF!-#REF!</f>
        <v>0</v>
      </c>
      <c r="T239" s="10">
        <f>#REF!-#REF!</f>
        <v>0</v>
      </c>
      <c r="U239" s="10">
        <f>#REF!-#REF!</f>
        <v>0</v>
      </c>
      <c r="V239" s="10">
        <f>#REF!-#REF!</f>
        <v>0</v>
      </c>
      <c r="W239" s="10">
        <f>#REF!-#REF!</f>
        <v>0</v>
      </c>
      <c r="X239" s="10">
        <f>#REF!-#REF!</f>
        <v>0</v>
      </c>
      <c r="Y239" s="10">
        <f>#REF!-#REF!</f>
        <v>0</v>
      </c>
      <c r="Z239" s="10">
        <f>#REF!-#REF!</f>
        <v>0</v>
      </c>
      <c r="AA239" s="12">
        <v>19974.2138871676</v>
      </c>
      <c r="AB239" s="13">
        <v>19928.975197</v>
      </c>
      <c r="AC239" t="e">
        <f t="shared" si="46"/>
        <v>#DIV/0!</v>
      </c>
      <c r="AD239" t="e">
        <f t="shared" si="47"/>
        <v>#DIV/0!</v>
      </c>
      <c r="AE239" t="e">
        <f t="shared" si="48"/>
        <v>#DIV/0!</v>
      </c>
      <c r="AF239" t="e">
        <f t="shared" si="49"/>
        <v>#DIV/0!</v>
      </c>
      <c r="AG239" t="e">
        <f t="shared" si="50"/>
        <v>#DIV/0!</v>
      </c>
      <c r="AH239" t="e">
        <f t="shared" si="51"/>
        <v>#DIV/0!</v>
      </c>
      <c r="AI239" t="e">
        <f t="shared" si="52"/>
        <v>#DIV/0!</v>
      </c>
      <c r="AJ239" t="e">
        <f t="shared" si="53"/>
        <v>#DIV/0!</v>
      </c>
      <c r="AK239">
        <f t="shared" si="54"/>
        <v>0</v>
      </c>
      <c r="AL239">
        <f t="shared" si="55"/>
        <v>0</v>
      </c>
    </row>
    <row r="240" spans="1:38" x14ac:dyDescent="0.35">
      <c r="A240" s="9" t="s">
        <v>39</v>
      </c>
      <c r="B240" s="22" t="s">
        <v>72</v>
      </c>
      <c r="C240" s="10">
        <f>#REF!-#REF!</f>
        <v>0</v>
      </c>
      <c r="D240" s="10">
        <f>#REF!-#REF!</f>
        <v>0</v>
      </c>
      <c r="E240" s="10">
        <f>#REF!-#REF!</f>
        <v>0</v>
      </c>
      <c r="F240" s="10">
        <f>#REF!-#REF!</f>
        <v>0</v>
      </c>
      <c r="G240" s="10">
        <f>#REF!-#REF!</f>
        <v>0.10239412195682918</v>
      </c>
      <c r="H240" s="10">
        <f>#REF!-#REF!</f>
        <v>0</v>
      </c>
      <c r="I240" s="10">
        <f>#REF!-#REF!</f>
        <v>0.10239412195682918</v>
      </c>
      <c r="J240" s="10">
        <f>#REF!-#REF!</f>
        <v>0.45146499226420111</v>
      </c>
      <c r="K240" s="10">
        <f>#REF!-#REF!</f>
        <v>0</v>
      </c>
      <c r="L240" s="10">
        <f>#REF!-#REF!</f>
        <v>0</v>
      </c>
      <c r="M240" s="10">
        <f>#REF!-#REF!</f>
        <v>0</v>
      </c>
      <c r="N240" s="10">
        <f>#REF!-#REF!</f>
        <v>0</v>
      </c>
      <c r="O240" s="10">
        <f>#REF!-#REF!</f>
        <v>0</v>
      </c>
      <c r="P240" s="10">
        <f>#REF!-#REF!</f>
        <v>0</v>
      </c>
      <c r="Q240" s="10">
        <f>#REF!-#REF!</f>
        <v>0</v>
      </c>
      <c r="R240" s="10">
        <f>#REF!-#REF!</f>
        <v>0</v>
      </c>
      <c r="S240" s="10">
        <f>#REF!-#REF!</f>
        <v>8.0048482009581756E-3</v>
      </c>
      <c r="T240" s="10">
        <f>#REF!-#REF!</f>
        <v>4.2992617321149645E-3</v>
      </c>
      <c r="U240" s="10">
        <f>#REF!-#REF!</f>
        <v>0</v>
      </c>
      <c r="V240" s="10">
        <f>#REF!-#REF!</f>
        <v>0</v>
      </c>
      <c r="W240" s="10">
        <f>#REF!-#REF!</f>
        <v>8.0048482009581808E-3</v>
      </c>
      <c r="X240" s="10">
        <f>#REF!-#REF!</f>
        <v>4.2992617321149628E-3</v>
      </c>
      <c r="Y240" s="10">
        <f>#REF!-#REF!</f>
        <v>3.5294103431497525E-2</v>
      </c>
      <c r="Z240" s="10">
        <f>#REF!-#REF!</f>
        <v>1.8955835818870448E-2</v>
      </c>
      <c r="AA240" s="12">
        <v>2381.6675591522499</v>
      </c>
      <c r="AB240" s="13">
        <v>1279.1513266244399</v>
      </c>
      <c r="AC240">
        <f t="shared" si="46"/>
        <v>0</v>
      </c>
      <c r="AD240">
        <f t="shared" si="47"/>
        <v>0</v>
      </c>
      <c r="AE240" t="e">
        <f t="shared" si="48"/>
        <v>#DIV/0!</v>
      </c>
      <c r="AF240">
        <f t="shared" si="49"/>
        <v>0</v>
      </c>
      <c r="AG240" t="e">
        <f t="shared" si="50"/>
        <v>#DIV/0!</v>
      </c>
      <c r="AH240">
        <f t="shared" si="51"/>
        <v>1</v>
      </c>
      <c r="AI240">
        <f t="shared" si="52"/>
        <v>0</v>
      </c>
      <c r="AJ240">
        <f t="shared" si="53"/>
        <v>1</v>
      </c>
      <c r="AK240">
        <f t="shared" si="54"/>
        <v>4.2992617321149627E-5</v>
      </c>
      <c r="AL240">
        <f t="shared" si="55"/>
        <v>8.0048482009581801E-5</v>
      </c>
    </row>
    <row r="241" spans="1:38" x14ac:dyDescent="0.35">
      <c r="A241" s="9" t="s">
        <v>40</v>
      </c>
      <c r="B241" s="22" t="s">
        <v>72</v>
      </c>
      <c r="C241" s="10">
        <f>#REF!-#REF!</f>
        <v>5.234121210982785</v>
      </c>
      <c r="D241" s="10">
        <v>0</v>
      </c>
      <c r="E241" s="10">
        <f>#REF!-#REF!</f>
        <v>5.4667840063865967</v>
      </c>
      <c r="F241" s="10">
        <f>#REF!-#REF!</f>
        <v>1.376658570374012E-2</v>
      </c>
      <c r="G241" s="10">
        <v>0</v>
      </c>
      <c r="H241" s="10">
        <v>0</v>
      </c>
      <c r="I241" s="10">
        <v>0</v>
      </c>
      <c r="J241" s="10">
        <f>#REF!-#REF!</f>
        <v>1.4269426648543515</v>
      </c>
      <c r="K241" s="10">
        <f>#REF!-#REF!</f>
        <v>0.52495888545341129</v>
      </c>
      <c r="L241" s="10">
        <f>#REF!-#REF!</f>
        <v>0.22427622016784388</v>
      </c>
      <c r="M241" s="10">
        <f>#REF!-#REF!</f>
        <v>-2.3335035020850325E-2</v>
      </c>
      <c r="N241" s="10">
        <f>#REF!-#REF!</f>
        <v>-9.9693396892222702E-3</v>
      </c>
      <c r="O241" s="10">
        <f>#REF!-#REF!</f>
        <v>0.54829392047426162</v>
      </c>
      <c r="P241" s="10">
        <f>#REF!-#REF!</f>
        <v>0.23424555985706619</v>
      </c>
      <c r="Q241" s="10">
        <f>#REF!-#REF!</f>
        <v>1.3807268109058413E-3</v>
      </c>
      <c r="R241" s="10">
        <f>#REF!-#REF!</f>
        <v>5.898827485639746E-4</v>
      </c>
      <c r="S241" s="10">
        <f>#REF!-#REF!</f>
        <v>-7.2550820017660556E-3</v>
      </c>
      <c r="T241" s="10">
        <f>#REF!-#REF!</f>
        <v>-3.0995615341544713E-3</v>
      </c>
      <c r="U241" s="10">
        <f>#REF!-#REF!</f>
        <v>-4.4418869398565874E-4</v>
      </c>
      <c r="V241" s="10">
        <f>#REF!-#REF!</f>
        <v>-1.8976907351966887E-4</v>
      </c>
      <c r="W241" s="10">
        <f>#REF!-#REF!</f>
        <v>-6.8108933077803968E-3</v>
      </c>
      <c r="X241" s="10">
        <f>#REF!-#REF!</f>
        <v>-2.9097924606344971E-3</v>
      </c>
      <c r="Y241" s="10">
        <f>#REF!-#REF!</f>
        <v>0.14311595027185242</v>
      </c>
      <c r="Z241" s="10">
        <f>#REF!-#REF!</f>
        <v>6.1142891876146299E-2</v>
      </c>
      <c r="AA241" s="12">
        <v>2333.7834064911899</v>
      </c>
      <c r="AB241" s="13">
        <v>997.05355143423003</v>
      </c>
      <c r="AC241">
        <f t="shared" si="46"/>
        <v>1</v>
      </c>
      <c r="AD241">
        <f t="shared" si="47"/>
        <v>1.0444511668769945</v>
      </c>
      <c r="AE241">
        <f t="shared" si="48"/>
        <v>1.0444511668769945</v>
      </c>
      <c r="AF241">
        <f t="shared" si="49"/>
        <v>0</v>
      </c>
      <c r="AG241">
        <f t="shared" si="50"/>
        <v>0</v>
      </c>
      <c r="AH241">
        <f t="shared" si="51"/>
        <v>0</v>
      </c>
      <c r="AI241" t="e">
        <f t="shared" si="52"/>
        <v>#DIV/0!</v>
      </c>
      <c r="AJ241" t="e">
        <f t="shared" si="53"/>
        <v>#DIV/0!</v>
      </c>
      <c r="AK241">
        <f t="shared" si="54"/>
        <v>2.2427622016784375E-3</v>
      </c>
      <c r="AL241">
        <f t="shared" si="55"/>
        <v>5.2495888545341087E-3</v>
      </c>
    </row>
    <row r="242" spans="1:38" x14ac:dyDescent="0.35">
      <c r="A242" s="15" t="s">
        <v>41</v>
      </c>
      <c r="B242" s="22" t="s">
        <v>72</v>
      </c>
      <c r="C242" s="10">
        <f>#REF!-#REF!</f>
        <v>15.521433287220006</v>
      </c>
      <c r="D242" s="10">
        <f>#REF!-#REF!</f>
        <v>4.7933838092885335</v>
      </c>
      <c r="E242" s="10">
        <f>#REF!-#REF!</f>
        <v>10.728049477931478</v>
      </c>
      <c r="F242" s="10">
        <f>#REF!-#REF!</f>
        <v>0</v>
      </c>
      <c r="G242" s="10">
        <f>#REF!-#REF!</f>
        <v>1.9401791609025008</v>
      </c>
      <c r="H242" s="10">
        <f>#REF!-#REF!</f>
        <v>0</v>
      </c>
      <c r="I242" s="10">
        <f>#REF!-#REF!</f>
        <v>1.9401791609025008</v>
      </c>
      <c r="J242" s="10">
        <f>#REF!-#REF!</f>
        <v>0</v>
      </c>
      <c r="K242" s="10">
        <f>#REF!-#REF!</f>
        <v>3.7495954896454329</v>
      </c>
      <c r="L242" s="10">
        <f>#REF!-#REF!</f>
        <v>3.3123049625002459</v>
      </c>
      <c r="M242" s="10">
        <f>#REF!-#REF!</f>
        <v>1.1579633129787377</v>
      </c>
      <c r="N242" s="10">
        <f>#REF!-#REF!</f>
        <v>1.0229177090074291</v>
      </c>
      <c r="O242" s="10">
        <f>#REF!-#REF!</f>
        <v>2.5916321766666961</v>
      </c>
      <c r="P242" s="10">
        <f>#REF!-#REF!</f>
        <v>2.2893872534928175</v>
      </c>
      <c r="Q242" s="10">
        <f>#REF!-#REF!</f>
        <v>0</v>
      </c>
      <c r="R242" s="10">
        <f>#REF!-#REF!</f>
        <v>0</v>
      </c>
      <c r="S242" s="10">
        <f>#REF!-#REF!</f>
        <v>0.46869943620567911</v>
      </c>
      <c r="T242" s="10">
        <f>#REF!-#REF!</f>
        <v>0.41403812031253073</v>
      </c>
      <c r="U242" s="10">
        <f>#REF!-#REF!</f>
        <v>0</v>
      </c>
      <c r="V242" s="10">
        <f>#REF!-#REF!</f>
        <v>0</v>
      </c>
      <c r="W242" s="10">
        <f>#REF!-#REF!</f>
        <v>0.46869943620567911</v>
      </c>
      <c r="X242" s="10">
        <f>#REF!-#REF!</f>
        <v>0.41403812031253073</v>
      </c>
      <c r="Y242" s="10">
        <f>#REF!-#REF!</f>
        <v>0</v>
      </c>
      <c r="Z242" s="10">
        <f>#REF!-#REF!</f>
        <v>0</v>
      </c>
      <c r="AA242" s="12">
        <v>468.59916169988998</v>
      </c>
      <c r="AB242" s="13">
        <v>413.94954015926999</v>
      </c>
      <c r="AC242">
        <f t="shared" si="46"/>
        <v>0.88888888888888884</v>
      </c>
      <c r="AD242">
        <f t="shared" si="47"/>
        <v>0.61437908496732041</v>
      </c>
      <c r="AE242">
        <f t="shared" si="48"/>
        <v>0.6911764705882355</v>
      </c>
      <c r="AF242">
        <f t="shared" si="49"/>
        <v>0.27450980392156871</v>
      </c>
      <c r="AG242">
        <f t="shared" si="50"/>
        <v>0.30882352941176483</v>
      </c>
      <c r="AH242">
        <f t="shared" si="51"/>
        <v>0.1111111111111111</v>
      </c>
      <c r="AI242">
        <f t="shared" si="52"/>
        <v>0</v>
      </c>
      <c r="AJ242">
        <f t="shared" si="53"/>
        <v>1</v>
      </c>
      <c r="AK242">
        <f t="shared" si="54"/>
        <v>3.7263430828127768E-2</v>
      </c>
      <c r="AL242">
        <f t="shared" si="55"/>
        <v>4.2182949258511147E-2</v>
      </c>
    </row>
    <row r="243" spans="1:38" x14ac:dyDescent="0.35">
      <c r="A243" s="9" t="s">
        <v>42</v>
      </c>
      <c r="B243" s="22" t="s">
        <v>72</v>
      </c>
      <c r="C243" s="10">
        <v>0</v>
      </c>
      <c r="D243" s="10">
        <f>#REF!-#REF!</f>
        <v>0.45651274374176687</v>
      </c>
      <c r="E243" s="10">
        <v>0</v>
      </c>
      <c r="F243" s="10">
        <v>0</v>
      </c>
      <c r="G243" s="10">
        <f>#REF!-#REF!</f>
        <v>0</v>
      </c>
      <c r="H243" s="10">
        <f>#REF!-#REF!</f>
        <v>0</v>
      </c>
      <c r="I243" s="10">
        <f>#REF!-#REF!</f>
        <v>0</v>
      </c>
      <c r="J243" s="10">
        <f>#REF!-#REF!</f>
        <v>0</v>
      </c>
      <c r="K243" s="10">
        <f>#REF!-#REF!</f>
        <v>-4.60977292197704E-2</v>
      </c>
      <c r="L243" s="10">
        <f>#REF!-#REF!</f>
        <v>-4.1103429170870065E-2</v>
      </c>
      <c r="M243" s="10">
        <f>#REF!-#REF!</f>
        <v>9.2195458439542577E-2</v>
      </c>
      <c r="N243" s="10">
        <f>#REF!-#REF!</f>
        <v>8.2206858341741018E-2</v>
      </c>
      <c r="O243" s="10">
        <f>#REF!-#REF!</f>
        <v>-0.13829318765931387</v>
      </c>
      <c r="P243" s="10">
        <f>#REF!-#REF!</f>
        <v>-0.12331028751261108</v>
      </c>
      <c r="Q243" s="10">
        <f>#REF!-#REF!</f>
        <v>-6.9146593829656933E-2</v>
      </c>
      <c r="R243" s="10">
        <f>#REF!-#REF!</f>
        <v>-6.1655143756305542E-2</v>
      </c>
      <c r="S243" s="10">
        <f>#REF!-#REF!</f>
        <v>0</v>
      </c>
      <c r="T243" s="10">
        <f>#REF!-#REF!</f>
        <v>0</v>
      </c>
      <c r="U243" s="10">
        <f>#REF!-#REF!</f>
        <v>0</v>
      </c>
      <c r="V243" s="10">
        <f>#REF!-#REF!</f>
        <v>0</v>
      </c>
      <c r="W243" s="10">
        <f>#REF!-#REF!</f>
        <v>0</v>
      </c>
      <c r="X243" s="10">
        <f>#REF!-#REF!</f>
        <v>0</v>
      </c>
      <c r="Y243" s="10">
        <f>#REF!-#REF!</f>
        <v>0</v>
      </c>
      <c r="Z243" s="10">
        <f>#REF!-#REF!</f>
        <v>0</v>
      </c>
      <c r="AA243" s="12">
        <v>555.32196820367994</v>
      </c>
      <c r="AB243" s="13">
        <v>495.15751802582002</v>
      </c>
      <c r="AC243" t="e">
        <f t="shared" si="46"/>
        <v>#DIV/0!</v>
      </c>
      <c r="AD243" t="e">
        <f t="shared" si="47"/>
        <v>#DIV/0!</v>
      </c>
      <c r="AE243" t="e">
        <f t="shared" si="48"/>
        <v>#DIV/0!</v>
      </c>
      <c r="AF243" t="e">
        <f t="shared" si="49"/>
        <v>#DIV/0!</v>
      </c>
      <c r="AG243" t="e">
        <f t="shared" si="50"/>
        <v>#DIV/0!</v>
      </c>
      <c r="AH243" t="e">
        <f t="shared" si="51"/>
        <v>#DIV/0!</v>
      </c>
      <c r="AI243" t="e">
        <f t="shared" si="52"/>
        <v>#DIV/0!</v>
      </c>
      <c r="AJ243" t="e">
        <f t="shared" si="53"/>
        <v>#DIV/0!</v>
      </c>
      <c r="AK243">
        <f t="shared" si="54"/>
        <v>0</v>
      </c>
      <c r="AL243">
        <f t="shared" si="55"/>
        <v>0</v>
      </c>
    </row>
    <row r="244" spans="1:38" x14ac:dyDescent="0.35">
      <c r="A244" s="15" t="s">
        <v>43</v>
      </c>
      <c r="B244" s="22" t="s">
        <v>72</v>
      </c>
      <c r="C244" s="10">
        <v>0</v>
      </c>
      <c r="D244" s="10">
        <v>0</v>
      </c>
      <c r="E244" s="10">
        <v>0</v>
      </c>
      <c r="F244" s="10">
        <v>0</v>
      </c>
      <c r="G244" s="10">
        <f>#REF!-#REF!</f>
        <v>0.20249674174124976</v>
      </c>
      <c r="H244" s="10">
        <v>0</v>
      </c>
      <c r="I244" s="10">
        <f>#REF!-#REF!</f>
        <v>0.2068051830548967</v>
      </c>
      <c r="J244" s="10">
        <f>#REF!-#REF!</f>
        <v>0</v>
      </c>
      <c r="K244" s="10">
        <f>#REF!-#REF!</f>
        <v>-0.3896052225820803</v>
      </c>
      <c r="L244" s="10">
        <f>#REF!-#REF!</f>
        <v>-0.20622350409885915</v>
      </c>
      <c r="M244" s="10">
        <f>#REF!-#REF!</f>
        <v>-5.1947363010944159E-2</v>
      </c>
      <c r="N244" s="10">
        <f>#REF!-#REF!</f>
        <v>-2.7496467213180997E-2</v>
      </c>
      <c r="O244" s="10">
        <f>#REF!-#REF!</f>
        <v>-0.33765785957113614</v>
      </c>
      <c r="P244" s="10">
        <f>#REF!-#REF!</f>
        <v>-0.17872703688567881</v>
      </c>
      <c r="Q244" s="10">
        <f>#REF!-#REF!</f>
        <v>-0.43955461009260377</v>
      </c>
      <c r="R244" s="10">
        <f>#REF!-#REF!</f>
        <v>-0.23266241488076503</v>
      </c>
      <c r="S244" s="10">
        <f>#REF!-#REF!</f>
        <v>9.3904848519784423E-2</v>
      </c>
      <c r="T244" s="10">
        <f>#REF!-#REF!</f>
        <v>4.9705152269982733E-2</v>
      </c>
      <c r="U244" s="10">
        <f>#REF!-#REF!</f>
        <v>-1.9979755004209294E-3</v>
      </c>
      <c r="V244" s="10">
        <f>#REF!-#REF!</f>
        <v>-1.0575564312762034E-3</v>
      </c>
      <c r="W244" s="10">
        <f>#REF!-#REF!</f>
        <v>9.5902824020203781E-2</v>
      </c>
      <c r="X244" s="10">
        <f>#REF!-#REF!</f>
        <v>5.0762708701258319E-2</v>
      </c>
      <c r="Y244" s="10">
        <f>#REF!-#REF!</f>
        <v>0</v>
      </c>
      <c r="Z244" s="10">
        <f>#REF!-#REF!</f>
        <v>0</v>
      </c>
      <c r="AA244" s="12">
        <v>407.39587848230002</v>
      </c>
      <c r="AB244" s="13">
        <v>215.64034757863999</v>
      </c>
      <c r="AC244">
        <f t="shared" si="46"/>
        <v>0</v>
      </c>
      <c r="AD244">
        <f t="shared" si="47"/>
        <v>0</v>
      </c>
      <c r="AE244" t="e">
        <f t="shared" si="48"/>
        <v>#DIV/0!</v>
      </c>
      <c r="AF244">
        <f t="shared" si="49"/>
        <v>0</v>
      </c>
      <c r="AG244" t="e">
        <f t="shared" si="50"/>
        <v>#DIV/0!</v>
      </c>
      <c r="AH244">
        <f t="shared" si="51"/>
        <v>1</v>
      </c>
      <c r="AI244">
        <f t="shared" si="52"/>
        <v>0</v>
      </c>
      <c r="AJ244">
        <f t="shared" si="53"/>
        <v>1.0212765957446972</v>
      </c>
      <c r="AK244">
        <f t="shared" si="54"/>
        <v>4.9705152269979966E-4</v>
      </c>
      <c r="AL244">
        <f t="shared" si="55"/>
        <v>9.3904848519780375E-4</v>
      </c>
    </row>
    <row r="245" spans="1:38" x14ac:dyDescent="0.35">
      <c r="A245" s="15" t="s">
        <v>44</v>
      </c>
      <c r="B245" s="22" t="s">
        <v>72</v>
      </c>
      <c r="C245" s="10">
        <v>0</v>
      </c>
      <c r="D245" s="10">
        <v>0</v>
      </c>
      <c r="E245" s="10">
        <f>#REF!-#REF!</f>
        <v>0</v>
      </c>
      <c r="F245" s="10">
        <f>#REF!-#REF!</f>
        <v>0</v>
      </c>
      <c r="G245" s="10">
        <f>#REF!-#REF!</f>
        <v>0</v>
      </c>
      <c r="H245" s="10">
        <f>#REF!-#REF!</f>
        <v>0</v>
      </c>
      <c r="I245" s="10">
        <f>#REF!-#REF!</f>
        <v>0</v>
      </c>
      <c r="J245" s="10">
        <f>#REF!-#REF!</f>
        <v>0</v>
      </c>
      <c r="K245" s="10">
        <f>#REF!-#REF!</f>
        <v>-3.6765779429734469E-2</v>
      </c>
      <c r="L245" s="10">
        <f>#REF!-#REF!</f>
        <v>-3.931155554179222E-2</v>
      </c>
      <c r="M245" s="10">
        <f>#REF!-#REF!</f>
        <v>-3.6765779429734573E-2</v>
      </c>
      <c r="N245" s="10">
        <f>#REF!-#REF!</f>
        <v>-3.9311555541792213E-2</v>
      </c>
      <c r="O245" s="10">
        <f>#REF!-#REF!</f>
        <v>0</v>
      </c>
      <c r="P245" s="10">
        <f>#REF!-#REF!</f>
        <v>0</v>
      </c>
      <c r="Q245" s="10">
        <f>#REF!-#REF!</f>
        <v>0</v>
      </c>
      <c r="R245" s="10">
        <f>#REF!-#REF!</f>
        <v>0</v>
      </c>
      <c r="S245" s="10">
        <f>#REF!-#REF!</f>
        <v>0</v>
      </c>
      <c r="T245" s="10">
        <f>#REF!-#REF!</f>
        <v>0</v>
      </c>
      <c r="U245" s="10">
        <f>#REF!-#REF!</f>
        <v>0</v>
      </c>
      <c r="V245" s="10">
        <f>#REF!-#REF!</f>
        <v>0</v>
      </c>
      <c r="W245" s="10">
        <f>#REF!-#REF!</f>
        <v>0</v>
      </c>
      <c r="X245" s="10">
        <f>#REF!-#REF!</f>
        <v>0</v>
      </c>
      <c r="Y245" s="10">
        <f>#REF!-#REF!</f>
        <v>0</v>
      </c>
      <c r="Z245" s="10">
        <f>#REF!-#REF!</f>
        <v>0</v>
      </c>
      <c r="AA245" s="12">
        <v>311.06354290107998</v>
      </c>
      <c r="AB245" s="13">
        <v>332.60254327404999</v>
      </c>
      <c r="AC245" t="e">
        <f t="shared" si="46"/>
        <v>#DIV/0!</v>
      </c>
      <c r="AD245" t="e">
        <f t="shared" si="47"/>
        <v>#DIV/0!</v>
      </c>
      <c r="AE245" t="e">
        <f t="shared" si="48"/>
        <v>#DIV/0!</v>
      </c>
      <c r="AF245" t="e">
        <f t="shared" si="49"/>
        <v>#DIV/0!</v>
      </c>
      <c r="AG245" t="e">
        <f t="shared" si="50"/>
        <v>#DIV/0!</v>
      </c>
      <c r="AH245" t="e">
        <f t="shared" si="51"/>
        <v>#DIV/0!</v>
      </c>
      <c r="AI245" t="e">
        <f t="shared" si="52"/>
        <v>#DIV/0!</v>
      </c>
      <c r="AJ245" t="e">
        <f t="shared" si="53"/>
        <v>#DIV/0!</v>
      </c>
      <c r="AK245">
        <f t="shared" si="54"/>
        <v>0</v>
      </c>
      <c r="AL245">
        <f t="shared" si="55"/>
        <v>0</v>
      </c>
    </row>
    <row r="246" spans="1:38" x14ac:dyDescent="0.35">
      <c r="A246" s="15" t="s">
        <v>45</v>
      </c>
      <c r="B246" s="22" t="s">
        <v>72</v>
      </c>
      <c r="C246" s="10">
        <f>#REF!-#REF!</f>
        <v>0</v>
      </c>
      <c r="D246" s="10">
        <f>#REF!-#REF!</f>
        <v>0</v>
      </c>
      <c r="E246" s="10">
        <f>#REF!-#REF!</f>
        <v>0</v>
      </c>
      <c r="F246" s="10">
        <f>#REF!-#REF!</f>
        <v>0</v>
      </c>
      <c r="G246" s="10">
        <f>#REF!-#REF!</f>
        <v>0</v>
      </c>
      <c r="H246" s="10">
        <f>#REF!-#REF!</f>
        <v>0</v>
      </c>
      <c r="I246" s="10">
        <f>#REF!-#REF!</f>
        <v>0</v>
      </c>
      <c r="J246" s="10">
        <f>#REF!-#REF!</f>
        <v>0</v>
      </c>
      <c r="K246" s="10">
        <f>#REF!-#REF!</f>
        <v>0</v>
      </c>
      <c r="L246" s="10">
        <f>#REF!-#REF!</f>
        <v>0</v>
      </c>
      <c r="M246" s="10">
        <f>#REF!-#REF!</f>
        <v>0</v>
      </c>
      <c r="N246" s="10">
        <f>#REF!-#REF!</f>
        <v>0</v>
      </c>
      <c r="O246" s="10">
        <f>#REF!-#REF!</f>
        <v>0</v>
      </c>
      <c r="P246" s="10">
        <f>#REF!-#REF!</f>
        <v>0</v>
      </c>
      <c r="Q246" s="10">
        <f>#REF!-#REF!</f>
        <v>0</v>
      </c>
      <c r="R246" s="10">
        <f>#REF!-#REF!</f>
        <v>0</v>
      </c>
      <c r="S246" s="10">
        <f>#REF!-#REF!</f>
        <v>0</v>
      </c>
      <c r="T246" s="10">
        <f>#REF!-#REF!</f>
        <v>0</v>
      </c>
      <c r="U246" s="10">
        <f>#REF!-#REF!</f>
        <v>0</v>
      </c>
      <c r="V246" s="10">
        <f>#REF!-#REF!</f>
        <v>0</v>
      </c>
      <c r="W246" s="10">
        <f>#REF!-#REF!</f>
        <v>0</v>
      </c>
      <c r="X246" s="10">
        <f>#REF!-#REF!</f>
        <v>0</v>
      </c>
      <c r="Y246" s="10">
        <f>#REF!-#REF!</f>
        <v>0</v>
      </c>
      <c r="Z246" s="10">
        <f>#REF!-#REF!</f>
        <v>0</v>
      </c>
      <c r="AA246" s="12">
        <v>45.911572818750003</v>
      </c>
      <c r="AB246" s="13">
        <v>26.895658710639999</v>
      </c>
      <c r="AC246" t="e">
        <f t="shared" si="46"/>
        <v>#DIV/0!</v>
      </c>
      <c r="AD246" t="e">
        <f t="shared" si="47"/>
        <v>#DIV/0!</v>
      </c>
      <c r="AE246" t="e">
        <f t="shared" si="48"/>
        <v>#DIV/0!</v>
      </c>
      <c r="AF246" t="e">
        <f t="shared" si="49"/>
        <v>#DIV/0!</v>
      </c>
      <c r="AG246" t="e">
        <f t="shared" si="50"/>
        <v>#DIV/0!</v>
      </c>
      <c r="AH246" t="e">
        <f t="shared" si="51"/>
        <v>#DIV/0!</v>
      </c>
      <c r="AI246" t="e">
        <f t="shared" si="52"/>
        <v>#DIV/0!</v>
      </c>
      <c r="AJ246" t="e">
        <f t="shared" si="53"/>
        <v>#DIV/0!</v>
      </c>
      <c r="AK246">
        <f t="shared" si="54"/>
        <v>0</v>
      </c>
      <c r="AL246">
        <f t="shared" si="55"/>
        <v>0</v>
      </c>
    </row>
    <row r="247" spans="1:38" x14ac:dyDescent="0.35">
      <c r="A247" s="15" t="s">
        <v>46</v>
      </c>
      <c r="B247" s="22" t="s">
        <v>72</v>
      </c>
      <c r="C247" s="10">
        <f>#REF!-#REF!</f>
        <v>1.3124741382575742</v>
      </c>
      <c r="D247" s="10">
        <f>#REF!-#REF!</f>
        <v>0.57064092967720637</v>
      </c>
      <c r="E247" s="10">
        <f>#REF!-#REF!</f>
        <v>0.74183320858036783</v>
      </c>
      <c r="F247" s="10">
        <v>0</v>
      </c>
      <c r="G247" s="10">
        <v>0</v>
      </c>
      <c r="H247" s="10">
        <v>0</v>
      </c>
      <c r="I247" s="10">
        <f>#REF!-#REF!</f>
        <v>0</v>
      </c>
      <c r="J247" s="10">
        <f>#REF!-#REF!</f>
        <v>0</v>
      </c>
      <c r="K247" s="10">
        <f>#REF!-#REF!</f>
        <v>0.51521265094658641</v>
      </c>
      <c r="L247" s="10">
        <f>#REF!-#REF!</f>
        <v>0.51688018039387185</v>
      </c>
      <c r="M247" s="10">
        <f>#REF!-#REF!</f>
        <v>0.22400550041155931</v>
      </c>
      <c r="N247" s="10">
        <f>#REF!-#REF!</f>
        <v>0.22473051321472681</v>
      </c>
      <c r="O247" s="10">
        <f>#REF!-#REF!</f>
        <v>0.29120715053502666</v>
      </c>
      <c r="P247" s="10">
        <f>#REF!-#REF!</f>
        <v>0.29214966717914459</v>
      </c>
      <c r="Q247" s="10">
        <f>#REF!-#REF!</f>
        <v>-0.71681760131699002</v>
      </c>
      <c r="R247" s="10">
        <f>#REF!-#REF!</f>
        <v>-0.71913764228712573</v>
      </c>
      <c r="S247" s="10">
        <f>#REF!-#REF!</f>
        <v>-0.17920440032924745</v>
      </c>
      <c r="T247" s="10">
        <f>#REF!-#REF!</f>
        <v>-0.17978441057178163</v>
      </c>
      <c r="U247" s="10">
        <f>#REF!-#REF!</f>
        <v>-0.17920440032924756</v>
      </c>
      <c r="V247" s="10">
        <f>#REF!-#REF!</f>
        <v>-0.17978441057178152</v>
      </c>
      <c r="W247" s="10">
        <f>#REF!-#REF!</f>
        <v>0</v>
      </c>
      <c r="X247" s="10">
        <f>#REF!-#REF!</f>
        <v>0</v>
      </c>
      <c r="Y247" s="10">
        <f>#REF!-#REF!</f>
        <v>0</v>
      </c>
      <c r="Z247" s="10">
        <f>#REF!-#REF!</f>
        <v>0</v>
      </c>
      <c r="AA247" s="12">
        <v>253.92231856471</v>
      </c>
      <c r="AB247" s="13">
        <v>254.7441596875</v>
      </c>
      <c r="AC247">
        <f t="shared" si="46"/>
        <v>1</v>
      </c>
      <c r="AD247">
        <f t="shared" si="47"/>
        <v>0.56521739130434767</v>
      </c>
      <c r="AE247">
        <f t="shared" si="48"/>
        <v>0.56521739130434767</v>
      </c>
      <c r="AF247">
        <f t="shared" si="49"/>
        <v>0.43478260869565233</v>
      </c>
      <c r="AG247">
        <f t="shared" si="50"/>
        <v>0.43478260869565233</v>
      </c>
      <c r="AH247">
        <f t="shared" si="51"/>
        <v>0</v>
      </c>
      <c r="AI247" t="e">
        <f t="shared" si="52"/>
        <v>#DIV/0!</v>
      </c>
      <c r="AJ247" t="e">
        <f t="shared" si="53"/>
        <v>#DIV/0!</v>
      </c>
      <c r="AK247">
        <f t="shared" si="54"/>
        <v>5.1688018039387157E-3</v>
      </c>
      <c r="AL247">
        <f t="shared" si="55"/>
        <v>5.1521265094658644E-3</v>
      </c>
    </row>
    <row r="248" spans="1:38" x14ac:dyDescent="0.35">
      <c r="A248" s="15" t="s">
        <v>47</v>
      </c>
      <c r="B248" s="22" t="s">
        <v>72</v>
      </c>
      <c r="C248" s="10">
        <v>0</v>
      </c>
      <c r="D248" s="10">
        <f>#REF!-#REF!</f>
        <v>0.44295659642621987</v>
      </c>
      <c r="E248" s="10">
        <v>0</v>
      </c>
      <c r="F248" s="10">
        <f>#REF!-#REF!</f>
        <v>0.14836664171607339</v>
      </c>
      <c r="G248" s="10">
        <v>0</v>
      </c>
      <c r="H248" s="10">
        <v>0</v>
      </c>
      <c r="I248" s="10">
        <v>0</v>
      </c>
      <c r="J248" s="10">
        <f>#REF!-#REF!</f>
        <v>0</v>
      </c>
      <c r="K248" s="10">
        <f>#REF!-#REF!</f>
        <v>-2.843367489691051</v>
      </c>
      <c r="L248" s="10">
        <f>#REF!-#REF!</f>
        <v>-1.9226704819101332</v>
      </c>
      <c r="M248" s="10">
        <f>#REF!-#REF!</f>
        <v>0.21723887271073206</v>
      </c>
      <c r="N248" s="10">
        <f>#REF!-#REF!</f>
        <v>0.14689580914134326</v>
      </c>
      <c r="O248" s="10">
        <f>#REF!-#REF!</f>
        <v>-3.0606063624017832</v>
      </c>
      <c r="P248" s="10">
        <f>#REF!-#REF!</f>
        <v>-2.0695662910514763</v>
      </c>
      <c r="Q248" s="10">
        <f>#REF!-#REF!</f>
        <v>7.2763341271621207E-2</v>
      </c>
      <c r="R248" s="10">
        <f>#REF!-#REF!</f>
        <v>4.9202197371715828E-2</v>
      </c>
      <c r="S248" s="10">
        <f>#REF!-#REF!</f>
        <v>-2.9329223712561232</v>
      </c>
      <c r="T248" s="10">
        <f>#REF!-#REF!</f>
        <v>-1.9832270325214756</v>
      </c>
      <c r="U248" s="10">
        <f>#REF!-#REF!</f>
        <v>-1.3265316831826359</v>
      </c>
      <c r="V248" s="10">
        <f>#REF!-#REF!</f>
        <v>-0.89699390593051476</v>
      </c>
      <c r="W248" s="10">
        <f>#REF!-#REF!</f>
        <v>-1.6063906880734875</v>
      </c>
      <c r="X248" s="10">
        <f>#REF!-#REF!</f>
        <v>-1.0862331265909611</v>
      </c>
      <c r="Y248" s="10">
        <f>#REF!-#REF!</f>
        <v>0</v>
      </c>
      <c r="Z248" s="10">
        <f>#REF!-#REF!</f>
        <v>0</v>
      </c>
      <c r="AA248" s="12">
        <v>301.54474727050001</v>
      </c>
      <c r="AB248" s="13">
        <v>203.90300819506001</v>
      </c>
      <c r="AC248" t="e">
        <f t="shared" si="46"/>
        <v>#DIV/0!</v>
      </c>
      <c r="AD248" t="e">
        <f t="shared" si="47"/>
        <v>#DIV/0!</v>
      </c>
      <c r="AE248" t="e">
        <f t="shared" si="48"/>
        <v>#DIV/0!</v>
      </c>
      <c r="AF248" t="e">
        <f t="shared" si="49"/>
        <v>#DIV/0!</v>
      </c>
      <c r="AG248" t="e">
        <f t="shared" si="50"/>
        <v>#DIV/0!</v>
      </c>
      <c r="AH248" t="e">
        <f t="shared" si="51"/>
        <v>#DIV/0!</v>
      </c>
      <c r="AI248" t="e">
        <f t="shared" si="52"/>
        <v>#DIV/0!</v>
      </c>
      <c r="AJ248" t="e">
        <f t="shared" si="53"/>
        <v>#DIV/0!</v>
      </c>
      <c r="AK248">
        <f t="shared" si="54"/>
        <v>0</v>
      </c>
      <c r="AL248">
        <f t="shared" si="55"/>
        <v>0</v>
      </c>
    </row>
    <row r="249" spans="1:38" x14ac:dyDescent="0.35">
      <c r="A249" s="15" t="s">
        <v>48</v>
      </c>
      <c r="B249" s="22" t="s">
        <v>72</v>
      </c>
      <c r="C249" s="10">
        <f>#REF!-#REF!</f>
        <v>0.19510445104624008</v>
      </c>
      <c r="D249" s="10">
        <f>#REF!-#REF!</f>
        <v>1.9965198850822666E-2</v>
      </c>
      <c r="E249" s="10">
        <f>#REF!-#REF!</f>
        <v>0.17513925219541737</v>
      </c>
      <c r="F249" s="10">
        <f>#REF!-#REF!</f>
        <v>7.5320270858253366E-2</v>
      </c>
      <c r="G249" s="10">
        <v>0</v>
      </c>
      <c r="H249" s="10">
        <v>0</v>
      </c>
      <c r="I249" s="10">
        <f>#REF!-#REF!</f>
        <v>2.178003185766747E-3</v>
      </c>
      <c r="J249" s="10">
        <f>#REF!-#REF!</f>
        <v>0</v>
      </c>
      <c r="K249" s="10">
        <f>#REF!-#REF!</f>
        <v>0.94116957391091915</v>
      </c>
      <c r="L249" s="10">
        <f>#REF!-#REF!</f>
        <v>1.0231422192178616</v>
      </c>
      <c r="M249" s="10">
        <f>#REF!-#REF!</f>
        <v>9.6310656136810335E-2</v>
      </c>
      <c r="N249" s="10">
        <f>#REF!-#REF!</f>
        <v>0.10469898431233282</v>
      </c>
      <c r="O249" s="10">
        <f>#REF!-#REF!</f>
        <v>0.84485891777410949</v>
      </c>
      <c r="P249" s="10">
        <f>#REF!-#REF!</f>
        <v>0.91844323490552959</v>
      </c>
      <c r="Q249" s="10">
        <f>#REF!-#REF!</f>
        <v>0.3633394668874913</v>
      </c>
      <c r="R249" s="10">
        <f>#REF!-#REF!</f>
        <v>0.39498508960074769</v>
      </c>
      <c r="S249" s="10">
        <f>#REF!-#REF!</f>
        <v>-0.41702021225872654</v>
      </c>
      <c r="T249" s="10">
        <f>#REF!-#REF!</f>
        <v>-0.45334124397595565</v>
      </c>
      <c r="U249" s="10">
        <f>#REF!-#REF!</f>
        <v>-0.42752674001517887</v>
      </c>
      <c r="V249" s="10">
        <f>#REF!-#REF!</f>
        <v>-0.46476285430313802</v>
      </c>
      <c r="W249" s="10">
        <f>#REF!-#REF!</f>
        <v>1.0506527756452222E-2</v>
      </c>
      <c r="X249" s="10">
        <f>#REF!-#REF!</f>
        <v>1.1421610327182252E-2</v>
      </c>
      <c r="Y249" s="10">
        <f>#REF!-#REF!</f>
        <v>0</v>
      </c>
      <c r="Z249" s="10">
        <f>#REF!-#REF!</f>
        <v>0</v>
      </c>
      <c r="AA249" s="12">
        <v>19.06914282116</v>
      </c>
      <c r="AB249" s="13">
        <v>20.729999827290001</v>
      </c>
      <c r="AC249">
        <f t="shared" si="46"/>
        <v>1</v>
      </c>
      <c r="AD249">
        <f t="shared" si="47"/>
        <v>0.89766917800306401</v>
      </c>
      <c r="AE249">
        <f t="shared" si="48"/>
        <v>0.89766917800306401</v>
      </c>
      <c r="AF249">
        <f t="shared" si="49"/>
        <v>0.10233082199693579</v>
      </c>
      <c r="AG249">
        <f t="shared" si="50"/>
        <v>0.10233082199693579</v>
      </c>
      <c r="AH249">
        <f t="shared" si="51"/>
        <v>0</v>
      </c>
      <c r="AI249" t="e">
        <f t="shared" si="52"/>
        <v>#DIV/0!</v>
      </c>
      <c r="AJ249" t="e">
        <f t="shared" si="53"/>
        <v>#DIV/0!</v>
      </c>
      <c r="AK249">
        <f t="shared" si="54"/>
        <v>1.0231422192178622E-2</v>
      </c>
      <c r="AL249">
        <f t="shared" si="55"/>
        <v>9.411695739109216E-3</v>
      </c>
    </row>
    <row r="250" spans="1:38" x14ac:dyDescent="0.35">
      <c r="A250" s="15" t="s">
        <v>49</v>
      </c>
      <c r="B250" s="22" t="s">
        <v>72</v>
      </c>
      <c r="C250" s="10">
        <f>#REF!-#REF!</f>
        <v>6.0031425802042193</v>
      </c>
      <c r="D250" s="10">
        <f>#REF!-#REF!</f>
        <v>0.11412818593544127</v>
      </c>
      <c r="E250" s="10">
        <f>#REF!-#REF!</f>
        <v>5.8890143942687772</v>
      </c>
      <c r="F250" s="10">
        <f>#REF!-#REF!</f>
        <v>0.45651274374176465</v>
      </c>
      <c r="G250" s="10">
        <v>0</v>
      </c>
      <c r="H250" s="10">
        <v>0</v>
      </c>
      <c r="I250" s="10">
        <f>#REF!-#REF!</f>
        <v>0</v>
      </c>
      <c r="J250" s="10">
        <f>#REF!-#REF!</f>
        <v>0</v>
      </c>
      <c r="K250" s="10">
        <f>#REF!-#REF!</f>
        <v>1.6160652488387814</v>
      </c>
      <c r="L250" s="10">
        <f>#REF!-#REF!</f>
        <v>1.436533940332879</v>
      </c>
      <c r="M250" s="10">
        <f>#REF!-#REF!</f>
        <v>3.0723673932296469E-2</v>
      </c>
      <c r="N250" s="10">
        <f>#REF!-#REF!</f>
        <v>2.731053118503568E-2</v>
      </c>
      <c r="O250" s="10">
        <f>#REF!-#REF!</f>
        <v>1.5853415749064865</v>
      </c>
      <c r="P250" s="10">
        <f>#REF!-#REF!</f>
        <v>1.4092234091478435</v>
      </c>
      <c r="Q250" s="10">
        <f>#REF!-#REF!</f>
        <v>0.12289469572918466</v>
      </c>
      <c r="R250" s="10">
        <f>#REF!-#REF!</f>
        <v>0.10924212474014272</v>
      </c>
      <c r="S250" s="10">
        <f>#REF!-#REF!</f>
        <v>-0.6144734786459245</v>
      </c>
      <c r="T250" s="10">
        <f>#REF!-#REF!</f>
        <v>-0.5462106237007136</v>
      </c>
      <c r="U250" s="10">
        <f>#REF!-#REF!</f>
        <v>-0.6144734786459245</v>
      </c>
      <c r="V250" s="10">
        <f>#REF!-#REF!</f>
        <v>-0.5462106237007136</v>
      </c>
      <c r="W250" s="10">
        <f>#REF!-#REF!</f>
        <v>0</v>
      </c>
      <c r="X250" s="10">
        <f>#REF!-#REF!</f>
        <v>0</v>
      </c>
      <c r="Y250" s="10">
        <f>#REF!-#REF!</f>
        <v>0</v>
      </c>
      <c r="Z250" s="10">
        <f>#REF!-#REF!</f>
        <v>0</v>
      </c>
      <c r="AA250" s="12">
        <v>417.89075855828003</v>
      </c>
      <c r="AB250" s="13">
        <v>371.46659669328</v>
      </c>
      <c r="AC250">
        <f t="shared" si="46"/>
        <v>1</v>
      </c>
      <c r="AD250">
        <f t="shared" si="47"/>
        <v>0.98098859315589337</v>
      </c>
      <c r="AE250">
        <f t="shared" si="48"/>
        <v>0.98098859315589337</v>
      </c>
      <c r="AF250">
        <f t="shared" si="49"/>
        <v>1.9011406844106439E-2</v>
      </c>
      <c r="AG250">
        <f t="shared" si="50"/>
        <v>1.9011406844106439E-2</v>
      </c>
      <c r="AH250">
        <f t="shared" si="51"/>
        <v>0</v>
      </c>
      <c r="AI250" t="e">
        <f t="shared" si="52"/>
        <v>#DIV/0!</v>
      </c>
      <c r="AJ250" t="e">
        <f t="shared" si="53"/>
        <v>#DIV/0!</v>
      </c>
      <c r="AK250">
        <f t="shared" si="54"/>
        <v>1.4365339403328794E-2</v>
      </c>
      <c r="AL250">
        <f t="shared" si="55"/>
        <v>1.6160652488387845E-2</v>
      </c>
    </row>
    <row r="251" spans="1:38" x14ac:dyDescent="0.35">
      <c r="A251" s="15" t="s">
        <v>50</v>
      </c>
      <c r="B251" s="22" t="s">
        <v>72</v>
      </c>
      <c r="C251" s="10">
        <f>#REF!-#REF!</f>
        <v>1.5</v>
      </c>
      <c r="D251" s="10">
        <f>#REF!-#REF!</f>
        <v>2.9000000000000004</v>
      </c>
      <c r="E251" s="10">
        <v>0</v>
      </c>
      <c r="F251" s="10">
        <f>#REF!-#REF!</f>
        <v>0</v>
      </c>
      <c r="G251" s="10">
        <v>0</v>
      </c>
      <c r="H251" s="10">
        <v>0</v>
      </c>
      <c r="I251" s="10">
        <f>#REF!-#REF!</f>
        <v>0</v>
      </c>
      <c r="J251" s="10">
        <f>#REF!-#REF!</f>
        <v>0</v>
      </c>
      <c r="K251" s="10">
        <f>#REF!-#REF!</f>
        <v>0.4184564365396497</v>
      </c>
      <c r="L251" s="10">
        <f>#REF!-#REF!</f>
        <v>0.43808832247855101</v>
      </c>
      <c r="M251" s="10">
        <f>#REF!-#REF!</f>
        <v>0.80901577730998819</v>
      </c>
      <c r="N251" s="10">
        <f>#REF!-#REF!</f>
        <v>0.84697075679186451</v>
      </c>
      <c r="O251" s="10">
        <f>#REF!-#REF!</f>
        <v>-0.39055934077033783</v>
      </c>
      <c r="P251" s="10">
        <f>#REF!-#REF!</f>
        <v>-0.40888243431331261</v>
      </c>
      <c r="Q251" s="10">
        <f>#REF!-#REF!</f>
        <v>0</v>
      </c>
      <c r="R251" s="10">
        <f>#REF!-#REF!</f>
        <v>0</v>
      </c>
      <c r="S251" s="10">
        <f>#REF!-#REF!</f>
        <v>-0.47425062807826901</v>
      </c>
      <c r="T251" s="10">
        <f>#REF!-#REF!</f>
        <v>-0.49650009880902424</v>
      </c>
      <c r="U251" s="10">
        <f>#REF!-#REF!</f>
        <v>-0.4742506280782689</v>
      </c>
      <c r="V251" s="10">
        <f>#REF!-#REF!</f>
        <v>-0.4965000988090239</v>
      </c>
      <c r="W251" s="10">
        <f>#REF!-#REF!</f>
        <v>0</v>
      </c>
      <c r="X251" s="10">
        <f>#REF!-#REF!</f>
        <v>0</v>
      </c>
      <c r="Y251" s="10">
        <f>#REF!-#REF!</f>
        <v>0</v>
      </c>
      <c r="Z251" s="10">
        <f>#REF!-#REF!</f>
        <v>0</v>
      </c>
      <c r="AA251" s="12">
        <v>342.39670930134002</v>
      </c>
      <c r="AB251" s="13">
        <v>358.46025273358998</v>
      </c>
      <c r="AC251">
        <f t="shared" si="46"/>
        <v>1</v>
      </c>
      <c r="AD251">
        <f t="shared" si="47"/>
        <v>0</v>
      </c>
      <c r="AE251">
        <f t="shared" si="48"/>
        <v>0</v>
      </c>
      <c r="AF251">
        <f t="shared" si="49"/>
        <v>1.9333333333333336</v>
      </c>
      <c r="AG251">
        <f t="shared" si="50"/>
        <v>1.9333333333333336</v>
      </c>
      <c r="AH251">
        <f t="shared" si="51"/>
        <v>0</v>
      </c>
      <c r="AI251" t="e">
        <f t="shared" si="52"/>
        <v>#DIV/0!</v>
      </c>
      <c r="AJ251" t="e">
        <f t="shared" si="53"/>
        <v>#DIV/0!</v>
      </c>
      <c r="AK251">
        <f t="shared" si="54"/>
        <v>4.3808832247855065E-3</v>
      </c>
      <c r="AL251">
        <f t="shared" si="55"/>
        <v>4.1845643653964891E-3</v>
      </c>
    </row>
    <row r="252" spans="1:38" x14ac:dyDescent="0.35">
      <c r="A252" s="19" t="s">
        <v>51</v>
      </c>
      <c r="B252" s="22" t="s">
        <v>72</v>
      </c>
      <c r="C252" s="10">
        <f>#REF!-#REF!</f>
        <v>0.63608896592116526</v>
      </c>
      <c r="D252" s="10">
        <f>#REF!-#REF!</f>
        <v>0</v>
      </c>
      <c r="E252" s="10">
        <f>#REF!-#REF!</f>
        <v>0.63608896592116526</v>
      </c>
      <c r="F252" s="10">
        <f>#REF!-#REF!</f>
        <v>0</v>
      </c>
      <c r="G252" s="10">
        <v>0</v>
      </c>
      <c r="H252" s="10">
        <v>0</v>
      </c>
      <c r="I252" s="10">
        <v>0</v>
      </c>
      <c r="J252" s="10">
        <f>#REF!-#REF!</f>
        <v>0</v>
      </c>
      <c r="K252" s="10">
        <f>#REF!-#REF!</f>
        <v>2.1090428744257412</v>
      </c>
      <c r="L252" s="10">
        <f>#REF!-#REF!</f>
        <v>1.1477070431122103</v>
      </c>
      <c r="M252" s="10">
        <f>#REF!-#REF!</f>
        <v>0</v>
      </c>
      <c r="N252" s="10">
        <f>#REF!-#REF!</f>
        <v>0</v>
      </c>
      <c r="O252" s="10">
        <f>#REF!-#REF!</f>
        <v>2.1090428744257403</v>
      </c>
      <c r="P252" s="10">
        <f>#REF!-#REF!</f>
        <v>1.1477070431122103</v>
      </c>
      <c r="Q252" s="10">
        <f>#REF!-#REF!</f>
        <v>0</v>
      </c>
      <c r="R252" s="10">
        <f>#REF!-#REF!</f>
        <v>0</v>
      </c>
      <c r="S252" s="10">
        <f>#REF!-#REF!</f>
        <v>-1.2466109071657199</v>
      </c>
      <c r="T252" s="10">
        <f>#REF!-#REF!</f>
        <v>-0.6783855062994717</v>
      </c>
      <c r="U252" s="10">
        <f>#REF!-#REF!</f>
        <v>-7.2274478950985488E-2</v>
      </c>
      <c r="V252" s="10">
        <f>#REF!-#REF!</f>
        <v>-3.9330603249067231E-2</v>
      </c>
      <c r="W252" s="10">
        <f>#REF!-#REF!</f>
        <v>-1.1743364282147346</v>
      </c>
      <c r="X252" s="10">
        <f>#REF!-#REF!</f>
        <v>-0.63905490305040458</v>
      </c>
      <c r="Y252" s="10">
        <f>#REF!-#REF!</f>
        <v>0</v>
      </c>
      <c r="Z252" s="10">
        <f>#REF!-#REF!</f>
        <v>0</v>
      </c>
      <c r="AA252" s="20">
        <v>55.422589739999999</v>
      </c>
      <c r="AB252" s="13">
        <v>30.160077523049999</v>
      </c>
      <c r="AC252">
        <f t="shared" si="46"/>
        <v>1</v>
      </c>
      <c r="AD252">
        <f t="shared" si="47"/>
        <v>1</v>
      </c>
      <c r="AE252">
        <f t="shared" si="48"/>
        <v>1</v>
      </c>
      <c r="AF252">
        <f t="shared" si="49"/>
        <v>0</v>
      </c>
      <c r="AG252">
        <f t="shared" si="50"/>
        <v>0</v>
      </c>
      <c r="AH252">
        <f t="shared" si="51"/>
        <v>0</v>
      </c>
      <c r="AI252" t="e">
        <f t="shared" si="52"/>
        <v>#DIV/0!</v>
      </c>
      <c r="AJ252" t="e">
        <f t="shared" si="53"/>
        <v>#DIV/0!</v>
      </c>
      <c r="AK252">
        <f t="shared" si="54"/>
        <v>1.1477070431122104E-2</v>
      </c>
      <c r="AL252">
        <f t="shared" si="55"/>
        <v>2.10904287442574E-2</v>
      </c>
    </row>
    <row r="253" spans="1:38" x14ac:dyDescent="0.35">
      <c r="A253" s="15" t="s">
        <v>52</v>
      </c>
      <c r="B253" s="22" t="s">
        <v>72</v>
      </c>
      <c r="C253" s="10">
        <f>#REF!-#REF!</f>
        <v>0.23779700000000048</v>
      </c>
      <c r="D253" s="10">
        <f>#REF!-#REF!</f>
        <v>1.3394000000000128E-2</v>
      </c>
      <c r="E253" s="10">
        <f>#REF!-#REF!</f>
        <v>0.22440300000000013</v>
      </c>
      <c r="F253" s="10">
        <f>#REF!-#REF!</f>
        <v>1.3800000000001589E-3</v>
      </c>
      <c r="G253" s="10">
        <f>#REF!-#REF!</f>
        <v>1.1412818593544038E-2</v>
      </c>
      <c r="H253" s="10">
        <f>#REF!-#REF!</f>
        <v>1.1412818593544094E-2</v>
      </c>
      <c r="I253" s="10">
        <f>#REF!-#REF!</f>
        <v>0</v>
      </c>
      <c r="J253" s="10">
        <f>#REF!-#REF!</f>
        <v>0</v>
      </c>
      <c r="K253" s="10">
        <f>#REF!-#REF!</f>
        <v>0.4931831961626596</v>
      </c>
      <c r="L253" s="10">
        <f>#REF!-#REF!</f>
        <v>0.24480812514120043</v>
      </c>
      <c r="M253" s="10">
        <f>#REF!-#REF!</f>
        <v>2.7778717685264187E-2</v>
      </c>
      <c r="N253" s="10">
        <f>#REF!-#REF!</f>
        <v>1.3788904099468313E-2</v>
      </c>
      <c r="O253" s="10">
        <f>#REF!-#REF!</f>
        <v>0.46540447847739674</v>
      </c>
      <c r="P253" s="10">
        <f>#REF!-#REF!</f>
        <v>0.23101922104173234</v>
      </c>
      <c r="Q253" s="10">
        <f>#REF!-#REF!</f>
        <v>2.8620748399039719E-3</v>
      </c>
      <c r="R253" s="10">
        <f>#REF!-#REF!</f>
        <v>1.4206874464139929E-3</v>
      </c>
      <c r="S253" s="10">
        <f>#REF!-#REF!</f>
        <v>2.3669812281856828E-2</v>
      </c>
      <c r="T253" s="10">
        <f>#REF!-#REF!</f>
        <v>1.1749310220322995E-2</v>
      </c>
      <c r="U253" s="10">
        <f>#REF!-#REF!</f>
        <v>2.3669812281856828E-2</v>
      </c>
      <c r="V253" s="10">
        <f>#REF!-#REF!</f>
        <v>1.1749310220323106E-2</v>
      </c>
      <c r="W253" s="10">
        <f>#REF!-#REF!</f>
        <v>0</v>
      </c>
      <c r="X253" s="10">
        <f>#REF!-#REF!</f>
        <v>0</v>
      </c>
      <c r="Y253" s="10">
        <f>#REF!-#REF!</f>
        <v>0</v>
      </c>
      <c r="Z253" s="10">
        <f>#REF!-#REF!</f>
        <v>0</v>
      </c>
      <c r="AA253" s="12">
        <v>97.136073348400004</v>
      </c>
      <c r="AB253" s="13">
        <v>48.216768505140003</v>
      </c>
      <c r="AC253">
        <f t="shared" si="46"/>
        <v>0.95420397696224768</v>
      </c>
      <c r="AD253">
        <f t="shared" si="47"/>
        <v>0.90045810099479373</v>
      </c>
      <c r="AE253">
        <f t="shared" si="48"/>
        <v>0.94367464686265878</v>
      </c>
      <c r="AF253">
        <f t="shared" si="49"/>
        <v>5.3745875967453088E-2</v>
      </c>
      <c r="AG253">
        <f t="shared" si="50"/>
        <v>5.6325353137340259E-2</v>
      </c>
      <c r="AH253">
        <f t="shared" si="51"/>
        <v>4.5796023037752306E-2</v>
      </c>
      <c r="AI253">
        <f t="shared" si="52"/>
        <v>1.0000000000000049</v>
      </c>
      <c r="AJ253">
        <f t="shared" si="53"/>
        <v>0</v>
      </c>
      <c r="AK253">
        <f t="shared" si="54"/>
        <v>2.5655743536152466E-3</v>
      </c>
      <c r="AL253">
        <f t="shared" si="55"/>
        <v>5.1685300844451706E-3</v>
      </c>
    </row>
    <row r="254" spans="1:38" x14ac:dyDescent="0.35">
      <c r="A254" s="15" t="s">
        <v>53</v>
      </c>
      <c r="B254" s="22" t="s">
        <v>72</v>
      </c>
      <c r="C254" s="10">
        <f>#REF!-#REF!</f>
        <v>0</v>
      </c>
      <c r="D254" s="10">
        <f>#REF!-#REF!</f>
        <v>0</v>
      </c>
      <c r="E254" s="10">
        <f>#REF!-#REF!</f>
        <v>0</v>
      </c>
      <c r="F254" s="10">
        <f>#REF!-#REF!</f>
        <v>0</v>
      </c>
      <c r="G254" s="10">
        <f>#REF!-#REF!</f>
        <v>0</v>
      </c>
      <c r="H254" s="10">
        <f>#REF!-#REF!</f>
        <v>0</v>
      </c>
      <c r="I254" s="10">
        <f>#REF!-#REF!</f>
        <v>0</v>
      </c>
      <c r="J254" s="10">
        <f>#REF!-#REF!</f>
        <v>0</v>
      </c>
      <c r="K254" s="10">
        <f>#REF!-#REF!</f>
        <v>0</v>
      </c>
      <c r="L254" s="10">
        <f>#REF!-#REF!</f>
        <v>0</v>
      </c>
      <c r="M254" s="10">
        <f>#REF!-#REF!</f>
        <v>0</v>
      </c>
      <c r="N254" s="10">
        <f>#REF!-#REF!</f>
        <v>0</v>
      </c>
      <c r="O254" s="10">
        <f>#REF!-#REF!</f>
        <v>0</v>
      </c>
      <c r="P254" s="10">
        <f>#REF!-#REF!</f>
        <v>0</v>
      </c>
      <c r="Q254" s="10">
        <f>#REF!-#REF!</f>
        <v>0</v>
      </c>
      <c r="R254" s="10">
        <f>#REF!-#REF!</f>
        <v>0</v>
      </c>
      <c r="S254" s="10">
        <f>#REF!-#REF!</f>
        <v>0</v>
      </c>
      <c r="T254" s="10">
        <f>#REF!-#REF!</f>
        <v>0</v>
      </c>
      <c r="U254" s="10">
        <f>#REF!-#REF!</f>
        <v>0</v>
      </c>
      <c r="V254" s="10">
        <f>#REF!-#REF!</f>
        <v>0</v>
      </c>
      <c r="W254" s="10">
        <f>#REF!-#REF!</f>
        <v>0</v>
      </c>
      <c r="X254" s="10">
        <f>#REF!-#REF!</f>
        <v>0</v>
      </c>
      <c r="Y254" s="10">
        <f>#REF!-#REF!</f>
        <v>0</v>
      </c>
      <c r="Z254" s="10">
        <f>#REF!-#REF!</f>
        <v>0</v>
      </c>
      <c r="AA254" s="12">
        <v>66.343484468840003</v>
      </c>
      <c r="AB254" s="13">
        <v>66.557495896739994</v>
      </c>
      <c r="AC254" t="e">
        <f t="shared" si="46"/>
        <v>#DIV/0!</v>
      </c>
      <c r="AD254" t="e">
        <f t="shared" si="47"/>
        <v>#DIV/0!</v>
      </c>
      <c r="AE254" t="e">
        <f t="shared" si="48"/>
        <v>#DIV/0!</v>
      </c>
      <c r="AF254" t="e">
        <f t="shared" si="49"/>
        <v>#DIV/0!</v>
      </c>
      <c r="AG254" t="e">
        <f t="shared" si="50"/>
        <v>#DIV/0!</v>
      </c>
      <c r="AH254" t="e">
        <f t="shared" si="51"/>
        <v>#DIV/0!</v>
      </c>
      <c r="AI254" t="e">
        <f t="shared" si="52"/>
        <v>#DIV/0!</v>
      </c>
      <c r="AJ254" t="e">
        <f t="shared" si="53"/>
        <v>#DIV/0!</v>
      </c>
      <c r="AK254">
        <f t="shared" si="54"/>
        <v>0</v>
      </c>
      <c r="AL254">
        <f t="shared" si="55"/>
        <v>0</v>
      </c>
    </row>
    <row r="255" spans="1:38" x14ac:dyDescent="0.35">
      <c r="A255" s="15" t="s">
        <v>54</v>
      </c>
      <c r="B255" s="22" t="s">
        <v>72</v>
      </c>
      <c r="C255" s="10">
        <f>#REF!-#REF!</f>
        <v>0</v>
      </c>
      <c r="D255" s="10">
        <f>#REF!-#REF!</f>
        <v>0</v>
      </c>
      <c r="E255" s="10">
        <f>#REF!-#REF!</f>
        <v>0</v>
      </c>
      <c r="F255" s="10">
        <v>0</v>
      </c>
      <c r="G255" s="10">
        <v>0</v>
      </c>
      <c r="H255" s="10">
        <f>#REF!-#REF!</f>
        <v>0</v>
      </c>
      <c r="I255" s="10">
        <v>0</v>
      </c>
      <c r="J255" s="10">
        <f>#REF!-#REF!</f>
        <v>0</v>
      </c>
      <c r="K255" s="10">
        <f>#REF!-#REF!</f>
        <v>0</v>
      </c>
      <c r="L255" s="10">
        <f>#REF!-#REF!</f>
        <v>0</v>
      </c>
      <c r="M255" s="10">
        <f>#REF!-#REF!</f>
        <v>0</v>
      </c>
      <c r="N255" s="10">
        <f>#REF!-#REF!</f>
        <v>0</v>
      </c>
      <c r="O255" s="10">
        <f>#REF!-#REF!</f>
        <v>0</v>
      </c>
      <c r="P255" s="10">
        <f>#REF!-#REF!</f>
        <v>0</v>
      </c>
      <c r="Q255" s="10">
        <f>#REF!-#REF!</f>
        <v>-0.14940903361763991</v>
      </c>
      <c r="R255" s="10">
        <f>#REF!-#REF!</f>
        <v>-0.13463702333676997</v>
      </c>
      <c r="S255" s="10">
        <f>#REF!-#REF!</f>
        <v>-4.1019571047752059</v>
      </c>
      <c r="T255" s="10">
        <f>#REF!-#REF!</f>
        <v>-3.6963982770640547</v>
      </c>
      <c r="U255" s="10">
        <f>#REF!-#REF!</f>
        <v>0</v>
      </c>
      <c r="V255" s="10">
        <f>#REF!-#REF!</f>
        <v>0</v>
      </c>
      <c r="W255" s="10">
        <f>#REF!-#REF!</f>
        <v>-4.1019571047752059</v>
      </c>
      <c r="X255" s="10">
        <f>#REF!-#REF!</f>
        <v>-3.6963982770640547</v>
      </c>
      <c r="Y255" s="10">
        <f>#REF!-#REF!</f>
        <v>0</v>
      </c>
      <c r="Z255" s="10">
        <f>#REF!-#REF!</f>
        <v>0</v>
      </c>
      <c r="AA255" s="12">
        <v>932.44043441874999</v>
      </c>
      <c r="AB255" s="13">
        <v>840.25042856688003</v>
      </c>
      <c r="AC255" t="e">
        <f t="shared" si="46"/>
        <v>#DIV/0!</v>
      </c>
      <c r="AD255" t="e">
        <f t="shared" si="47"/>
        <v>#DIV/0!</v>
      </c>
      <c r="AE255" t="e">
        <f t="shared" si="48"/>
        <v>#DIV/0!</v>
      </c>
      <c r="AF255" t="e">
        <f t="shared" si="49"/>
        <v>#DIV/0!</v>
      </c>
      <c r="AG255" t="e">
        <f t="shared" si="50"/>
        <v>#DIV/0!</v>
      </c>
      <c r="AH255" t="e">
        <f t="shared" si="51"/>
        <v>#DIV/0!</v>
      </c>
      <c r="AI255" t="e">
        <f t="shared" si="52"/>
        <v>#DIV/0!</v>
      </c>
      <c r="AJ255" t="e">
        <f t="shared" si="53"/>
        <v>#DIV/0!</v>
      </c>
      <c r="AK255">
        <f t="shared" si="54"/>
        <v>0</v>
      </c>
      <c r="AL255">
        <f t="shared" si="55"/>
        <v>0</v>
      </c>
    </row>
    <row r="256" spans="1:38" x14ac:dyDescent="0.35">
      <c r="A256" s="15" t="s">
        <v>55</v>
      </c>
      <c r="B256" s="22" t="s">
        <v>72</v>
      </c>
      <c r="C256" s="10">
        <f>#REF!-#REF!</f>
        <v>0</v>
      </c>
      <c r="D256" s="10">
        <f>#REF!-#REF!</f>
        <v>0</v>
      </c>
      <c r="E256" s="10">
        <f>#REF!-#REF!</f>
        <v>0</v>
      </c>
      <c r="F256" s="10">
        <f>#REF!-#REF!</f>
        <v>0</v>
      </c>
      <c r="G256" s="10">
        <f>#REF!-#REF!</f>
        <v>0.65002147584386361</v>
      </c>
      <c r="H256" s="10">
        <f>#REF!-#REF!</f>
        <v>0.39001288550631807</v>
      </c>
      <c r="I256" s="10">
        <f>#REF!-#REF!</f>
        <v>0.26000859033754531</v>
      </c>
      <c r="J256" s="10">
        <f>#REF!-#REF!</f>
        <v>0</v>
      </c>
      <c r="K256" s="10">
        <f>#REF!-#REF!</f>
        <v>0</v>
      </c>
      <c r="L256" s="10">
        <f>#REF!-#REF!</f>
        <v>0</v>
      </c>
      <c r="M256" s="10">
        <f>#REF!-#REF!</f>
        <v>0</v>
      </c>
      <c r="N256" s="10">
        <f>#REF!-#REF!</f>
        <v>0</v>
      </c>
      <c r="O256" s="10">
        <f>#REF!-#REF!</f>
        <v>0</v>
      </c>
      <c r="P256" s="10">
        <f>#REF!-#REF!</f>
        <v>0</v>
      </c>
      <c r="Q256" s="10">
        <f>#REF!-#REF!</f>
        <v>0</v>
      </c>
      <c r="R256" s="10">
        <f>#REF!-#REF!</f>
        <v>0</v>
      </c>
      <c r="S256" s="10">
        <f>#REF!-#REF!</f>
        <v>0.32030373440945104</v>
      </c>
      <c r="T256" s="10">
        <f>#REF!-#REF!</f>
        <v>0.33510786454283226</v>
      </c>
      <c r="U256" s="10">
        <f>#REF!-#REF!</f>
        <v>0.19218224064567058</v>
      </c>
      <c r="V256" s="10">
        <f>#REF!-#REF!</f>
        <v>0.20106471872569931</v>
      </c>
      <c r="W256" s="10">
        <f>#REF!-#REF!</f>
        <v>0.12812149376378013</v>
      </c>
      <c r="X256" s="10">
        <f>#REF!-#REF!</f>
        <v>0.13404314581713284</v>
      </c>
      <c r="Y256" s="10">
        <f>#REF!-#REF!</f>
        <v>0</v>
      </c>
      <c r="Z256" s="10">
        <f>#REF!-#REF!</f>
        <v>0</v>
      </c>
      <c r="AA256" s="12">
        <v>193.97380504054999</v>
      </c>
      <c r="AB256" s="13">
        <v>202.93908750153</v>
      </c>
      <c r="AC256">
        <f t="shared" si="46"/>
        <v>0</v>
      </c>
      <c r="AD256">
        <f t="shared" si="47"/>
        <v>0</v>
      </c>
      <c r="AE256" t="e">
        <f t="shared" si="48"/>
        <v>#DIV/0!</v>
      </c>
      <c r="AF256">
        <f t="shared" si="49"/>
        <v>0</v>
      </c>
      <c r="AG256" t="e">
        <f t="shared" si="50"/>
        <v>#DIV/0!</v>
      </c>
      <c r="AH256">
        <f t="shared" si="51"/>
        <v>1</v>
      </c>
      <c r="AI256">
        <f t="shared" si="52"/>
        <v>0.59999999999999987</v>
      </c>
      <c r="AJ256">
        <f t="shared" si="53"/>
        <v>0.3999999999999998</v>
      </c>
      <c r="AK256">
        <f t="shared" si="54"/>
        <v>3.3510786454283214E-3</v>
      </c>
      <c r="AL256">
        <f t="shared" si="55"/>
        <v>3.2030373440945078E-3</v>
      </c>
    </row>
    <row r="257" spans="1:38" x14ac:dyDescent="0.35">
      <c r="A257" s="15" t="s">
        <v>56</v>
      </c>
      <c r="B257" s="22" t="s">
        <v>72</v>
      </c>
      <c r="C257" s="10">
        <f>#REF!-#REF!</f>
        <v>0</v>
      </c>
      <c r="D257" s="10">
        <f>#REF!-#REF!</f>
        <v>0</v>
      </c>
      <c r="E257" s="10">
        <f>#REF!-#REF!</f>
        <v>0</v>
      </c>
      <c r="F257" s="10">
        <f>#REF!-#REF!</f>
        <v>0</v>
      </c>
      <c r="G257" s="10">
        <f>#REF!-#REF!</f>
        <v>0</v>
      </c>
      <c r="H257" s="10">
        <f>#REF!-#REF!</f>
        <v>0</v>
      </c>
      <c r="I257" s="10">
        <f>#REF!-#REF!</f>
        <v>0</v>
      </c>
      <c r="J257" s="10">
        <f>#REF!-#REF!</f>
        <v>0</v>
      </c>
      <c r="K257" s="10">
        <f>#REF!-#REF!</f>
        <v>0</v>
      </c>
      <c r="L257" s="10">
        <f>#REF!-#REF!</f>
        <v>0</v>
      </c>
      <c r="M257" s="10">
        <f>#REF!-#REF!</f>
        <v>0</v>
      </c>
      <c r="N257" s="10">
        <f>#REF!-#REF!</f>
        <v>0</v>
      </c>
      <c r="O257" s="10">
        <f>#REF!-#REF!</f>
        <v>0</v>
      </c>
      <c r="P257" s="10">
        <f>#REF!-#REF!</f>
        <v>0</v>
      </c>
      <c r="Q257" s="10">
        <f>#REF!-#REF!</f>
        <v>0</v>
      </c>
      <c r="R257" s="10">
        <f>#REF!-#REF!</f>
        <v>0</v>
      </c>
      <c r="S257" s="10">
        <f>#REF!-#REF!</f>
        <v>0</v>
      </c>
      <c r="T257" s="10">
        <f>#REF!-#REF!</f>
        <v>0</v>
      </c>
      <c r="U257" s="10">
        <f>#REF!-#REF!</f>
        <v>0</v>
      </c>
      <c r="V257" s="10">
        <f>#REF!-#REF!</f>
        <v>0</v>
      </c>
      <c r="W257" s="10">
        <f>#REF!-#REF!</f>
        <v>0</v>
      </c>
      <c r="X257" s="10">
        <f>#REF!-#REF!</f>
        <v>0</v>
      </c>
      <c r="Y257" s="10">
        <f>#REF!-#REF!</f>
        <v>0</v>
      </c>
      <c r="Z257" s="10">
        <f>#REF!-#REF!</f>
        <v>0</v>
      </c>
      <c r="AA257" s="12">
        <v>330.45426768437</v>
      </c>
      <c r="AB257" s="13">
        <v>410.24933347112</v>
      </c>
      <c r="AC257" t="e">
        <f t="shared" si="46"/>
        <v>#DIV/0!</v>
      </c>
      <c r="AD257" t="e">
        <f t="shared" si="47"/>
        <v>#DIV/0!</v>
      </c>
      <c r="AE257" t="e">
        <f t="shared" si="48"/>
        <v>#DIV/0!</v>
      </c>
      <c r="AF257" t="e">
        <f t="shared" si="49"/>
        <v>#DIV/0!</v>
      </c>
      <c r="AG257" t="e">
        <f t="shared" si="50"/>
        <v>#DIV/0!</v>
      </c>
      <c r="AH257" t="e">
        <f t="shared" si="51"/>
        <v>#DIV/0!</v>
      </c>
      <c r="AI257" t="e">
        <f t="shared" si="52"/>
        <v>#DIV/0!</v>
      </c>
      <c r="AJ257" t="e">
        <f t="shared" si="53"/>
        <v>#DIV/0!</v>
      </c>
      <c r="AK257">
        <f t="shared" si="54"/>
        <v>0</v>
      </c>
      <c r="AL257">
        <f t="shared" si="55"/>
        <v>0</v>
      </c>
    </row>
    <row r="258" spans="1:38" x14ac:dyDescent="0.35">
      <c r="A258" s="15" t="s">
        <v>57</v>
      </c>
      <c r="B258" s="22" t="s">
        <v>72</v>
      </c>
      <c r="C258" s="10">
        <f>#REF!-#REF!</f>
        <v>0.79889730154809158</v>
      </c>
      <c r="D258" s="10">
        <f>#REF!-#REF!</f>
        <v>0.34238455780632382</v>
      </c>
      <c r="E258" s="10">
        <f>#REF!-#REF!</f>
        <v>0.45651274374176687</v>
      </c>
      <c r="F258" s="10">
        <f>#REF!-#REF!</f>
        <v>0</v>
      </c>
      <c r="G258" s="10">
        <f>#REF!-#REF!</f>
        <v>0</v>
      </c>
      <c r="H258" s="10">
        <f>#REF!-#REF!</f>
        <v>0</v>
      </c>
      <c r="I258" s="10">
        <f>#REF!-#REF!</f>
        <v>0</v>
      </c>
      <c r="J258" s="10">
        <f>#REF!-#REF!</f>
        <v>0</v>
      </c>
      <c r="K258" s="10">
        <f>#REF!-#REF!</f>
        <v>0.35927718380528173</v>
      </c>
      <c r="L258" s="10">
        <f>#REF!-#REF!</f>
        <v>0.23413247781510638</v>
      </c>
      <c r="M258" s="10">
        <f>#REF!-#REF!</f>
        <v>0.15397593591654901</v>
      </c>
      <c r="N258" s="10">
        <f>#REF!-#REF!</f>
        <v>0.10034249049218802</v>
      </c>
      <c r="O258" s="10">
        <f>#REF!-#REF!</f>
        <v>0.20530124788873305</v>
      </c>
      <c r="P258" s="10">
        <f>#REF!-#REF!</f>
        <v>0.13378998732291825</v>
      </c>
      <c r="Q258" s="10">
        <f>#REF!-#REF!</f>
        <v>0</v>
      </c>
      <c r="R258" s="10">
        <f>#REF!-#REF!</f>
        <v>0</v>
      </c>
      <c r="S258" s="10">
        <f>#REF!-#REF!</f>
        <v>0</v>
      </c>
      <c r="T258" s="10">
        <f>#REF!-#REF!</f>
        <v>0</v>
      </c>
      <c r="U258" s="10">
        <f>#REF!-#REF!</f>
        <v>0</v>
      </c>
      <c r="V258" s="10">
        <f>#REF!-#REF!</f>
        <v>0</v>
      </c>
      <c r="W258" s="10">
        <f>#REF!-#REF!</f>
        <v>0</v>
      </c>
      <c r="X258" s="10">
        <f>#REF!-#REF!</f>
        <v>0</v>
      </c>
      <c r="Y258" s="10">
        <f>#REF!-#REF!</f>
        <v>0</v>
      </c>
      <c r="Z258" s="10">
        <f>#REF!-#REF!</f>
        <v>0</v>
      </c>
      <c r="AA258" s="12">
        <v>341.21592570296002</v>
      </c>
      <c r="AB258" s="13">
        <v>222.36238134761999</v>
      </c>
      <c r="AC258">
        <f t="shared" si="46"/>
        <v>1</v>
      </c>
      <c r="AD258">
        <f t="shared" si="47"/>
        <v>0.57142857142857173</v>
      </c>
      <c r="AE258">
        <f t="shared" si="48"/>
        <v>0.57142857142857173</v>
      </c>
      <c r="AF258">
        <f t="shared" si="49"/>
        <v>0.42857142857142716</v>
      </c>
      <c r="AG258">
        <f t="shared" si="50"/>
        <v>0.42857142857142716</v>
      </c>
      <c r="AH258">
        <f t="shared" si="51"/>
        <v>0</v>
      </c>
      <c r="AI258" t="e">
        <f t="shared" si="52"/>
        <v>#DIV/0!</v>
      </c>
      <c r="AJ258" t="e">
        <f t="shared" si="53"/>
        <v>#DIV/0!</v>
      </c>
      <c r="AK258">
        <f t="shared" si="54"/>
        <v>2.3413247781510602E-3</v>
      </c>
      <c r="AL258">
        <f t="shared" si="55"/>
        <v>3.5927718380528236E-3</v>
      </c>
    </row>
    <row r="259" spans="1:38" x14ac:dyDescent="0.35">
      <c r="A259" s="15" t="s">
        <v>58</v>
      </c>
      <c r="B259" s="22" t="s">
        <v>72</v>
      </c>
      <c r="C259" s="10">
        <f>#REF!-#REF!</f>
        <v>1.6802751266758573</v>
      </c>
      <c r="D259" s="10">
        <f>#REF!-#REF!</f>
        <v>1.0192067280989021</v>
      </c>
      <c r="E259" s="10">
        <f>#REF!-#REF!</f>
        <v>0.66106839857695565</v>
      </c>
      <c r="F259" s="10">
        <f>#REF!-#REF!</f>
        <v>0</v>
      </c>
      <c r="G259" s="10">
        <v>0</v>
      </c>
      <c r="H259" s="10">
        <f>#REF!-#REF!</f>
        <v>0</v>
      </c>
      <c r="I259" s="10">
        <v>0</v>
      </c>
      <c r="J259" s="10">
        <f>#REF!-#REF!</f>
        <v>0</v>
      </c>
      <c r="K259" s="10">
        <f>#REF!-#REF!</f>
        <v>1.6889043949690112</v>
      </c>
      <c r="L259" s="10">
        <f>#REF!-#REF!</f>
        <v>0.92469264342358404</v>
      </c>
      <c r="M259" s="10">
        <f>#REF!-#REF!</f>
        <v>1.0244409948944544</v>
      </c>
      <c r="N259" s="10">
        <f>#REF!-#REF!</f>
        <v>0.56089205192566349</v>
      </c>
      <c r="O259" s="10">
        <f>#REF!-#REF!</f>
        <v>0.66446340007455706</v>
      </c>
      <c r="P259" s="10">
        <f>#REF!-#REF!</f>
        <v>0.36380059149792032</v>
      </c>
      <c r="Q259" s="10">
        <f>#REF!-#REF!</f>
        <v>0</v>
      </c>
      <c r="R259" s="10">
        <f>#REF!-#REF!</f>
        <v>0</v>
      </c>
      <c r="S259" s="10">
        <f>#REF!-#REF!</f>
        <v>-2.7966572239234044</v>
      </c>
      <c r="T259" s="10">
        <f>#REF!-#REF!</f>
        <v>-1.531198787120716</v>
      </c>
      <c r="U259" s="10">
        <f>#REF!-#REF!</f>
        <v>0</v>
      </c>
      <c r="V259" s="10">
        <f>#REF!-#REF!</f>
        <v>0</v>
      </c>
      <c r="W259" s="10">
        <f>#REF!-#REF!</f>
        <v>-2.7966572239234044</v>
      </c>
      <c r="X259" s="10">
        <f>#REF!-#REF!</f>
        <v>-1.531198787120716</v>
      </c>
      <c r="Y259" s="10">
        <f>#REF!-#REF!</f>
        <v>0</v>
      </c>
      <c r="Z259" s="10">
        <f>#REF!-#REF!</f>
        <v>0</v>
      </c>
      <c r="AA259" s="12">
        <v>181.71174374815001</v>
      </c>
      <c r="AB259" s="13">
        <v>99.489061173690004</v>
      </c>
      <c r="AC259">
        <f t="shared" ref="AC259:AC267" si="56">C259/(C259+G259)</f>
        <v>1</v>
      </c>
      <c r="AD259">
        <f t="shared" ref="AD259:AD267" si="57">(E259/(C259+G259))</f>
        <v>0.39342866420023048</v>
      </c>
      <c r="AE259">
        <f t="shared" ref="AE259:AE267" si="58">(E259/C259)</f>
        <v>0.39342866420023048</v>
      </c>
      <c r="AF259">
        <f t="shared" ref="AF259:AF267" si="59">(D259/(C259+G259))</f>
        <v>0.60657133579976974</v>
      </c>
      <c r="AG259">
        <f t="shared" ref="AG259:AG267" si="60">(D259/(C259))</f>
        <v>0.60657133579976974</v>
      </c>
      <c r="AH259">
        <f t="shared" ref="AH259:AH267" si="61">(G259/(C259+G259))</f>
        <v>0</v>
      </c>
      <c r="AI259" t="e">
        <f t="shared" ref="AI259:AI267" si="62">(H259/G259)</f>
        <v>#DIV/0!</v>
      </c>
      <c r="AJ259" t="e">
        <f t="shared" ref="AJ259:AJ267" si="63">I259/G259</f>
        <v>#DIV/0!</v>
      </c>
      <c r="AK259">
        <f t="shared" ref="AK259:AK267" si="64">(C259+G259)/AA259</f>
        <v>9.2469264342358391E-3</v>
      </c>
      <c r="AL259">
        <f t="shared" ref="AL259:AL267" si="65">(C259+G259)/AB259</f>
        <v>1.68890439496901E-2</v>
      </c>
    </row>
    <row r="260" spans="1:38" x14ac:dyDescent="0.35">
      <c r="A260" s="15" t="s">
        <v>59</v>
      </c>
      <c r="B260" s="22" t="s">
        <v>72</v>
      </c>
      <c r="C260" s="10">
        <f>#REF!-#REF!</f>
        <v>1.0209999999999999</v>
      </c>
      <c r="D260" s="10">
        <v>0</v>
      </c>
      <c r="E260" s="10">
        <f>#REF!-#REF!</f>
        <v>1.0329999999999995</v>
      </c>
      <c r="F260" s="10">
        <f>#REF!-#REF!</f>
        <v>0</v>
      </c>
      <c r="G260" s="10">
        <f>#REF!-#REF!</f>
        <v>0</v>
      </c>
      <c r="H260" s="10">
        <f>#REF!-#REF!</f>
        <v>0</v>
      </c>
      <c r="I260" s="10">
        <f>#REF!-#REF!</f>
        <v>0</v>
      </c>
      <c r="J260" s="10">
        <f>#REF!-#REF!</f>
        <v>0</v>
      </c>
      <c r="K260" s="10">
        <f>#REF!-#REF!</f>
        <v>2.0250713059145209</v>
      </c>
      <c r="L260" s="10">
        <f>#REF!-#REF!</f>
        <v>1.3427608723131517</v>
      </c>
      <c r="M260" s="10">
        <f>#REF!-#REF!</f>
        <v>-2.3801033957859152E-2</v>
      </c>
      <c r="N260" s="10">
        <f>#REF!-#REF!</f>
        <v>-1.5781714464013552E-2</v>
      </c>
      <c r="O260" s="10">
        <f>#REF!-#REF!</f>
        <v>2.0488723398723803</v>
      </c>
      <c r="P260" s="10">
        <f>#REF!-#REF!</f>
        <v>1.3585425867771646</v>
      </c>
      <c r="Q260" s="10">
        <f>#REF!-#REF!</f>
        <v>0</v>
      </c>
      <c r="R260" s="10">
        <f>#REF!-#REF!</f>
        <v>0</v>
      </c>
      <c r="S260" s="10">
        <f>#REF!-#REF!</f>
        <v>0</v>
      </c>
      <c r="T260" s="10">
        <f>#REF!-#REF!</f>
        <v>0</v>
      </c>
      <c r="U260" s="10">
        <f>#REF!-#REF!</f>
        <v>0</v>
      </c>
      <c r="V260" s="10">
        <f>#REF!-#REF!</f>
        <v>0</v>
      </c>
      <c r="W260" s="10">
        <f>#REF!-#REF!</f>
        <v>0</v>
      </c>
      <c r="X260" s="10">
        <f>#REF!-#REF!</f>
        <v>0</v>
      </c>
      <c r="Y260" s="10">
        <f>#REF!-#REF!</f>
        <v>0</v>
      </c>
      <c r="Z260" s="10">
        <f>#REF!-#REF!</f>
        <v>0</v>
      </c>
      <c r="AA260" s="12">
        <v>76.037366075549997</v>
      </c>
      <c r="AB260" s="13">
        <v>50.417977728389999</v>
      </c>
      <c r="AC260">
        <f t="shared" si="56"/>
        <v>1</v>
      </c>
      <c r="AD260">
        <f t="shared" si="57"/>
        <v>1.0117531831537705</v>
      </c>
      <c r="AE260">
        <f t="shared" si="58"/>
        <v>1.0117531831537705</v>
      </c>
      <c r="AF260">
        <f t="shared" si="59"/>
        <v>0</v>
      </c>
      <c r="AG260">
        <f t="shared" si="60"/>
        <v>0</v>
      </c>
      <c r="AH260">
        <f t="shared" si="61"/>
        <v>0</v>
      </c>
      <c r="AI260" t="e">
        <f t="shared" si="62"/>
        <v>#DIV/0!</v>
      </c>
      <c r="AJ260" t="e">
        <f t="shared" si="63"/>
        <v>#DIV/0!</v>
      </c>
      <c r="AK260">
        <f t="shared" si="64"/>
        <v>1.3427608723131521E-2</v>
      </c>
      <c r="AL260">
        <f t="shared" si="65"/>
        <v>2.0250713059145213E-2</v>
      </c>
    </row>
    <row r="261" spans="1:38" x14ac:dyDescent="0.35">
      <c r="A261" s="15" t="s">
        <v>60</v>
      </c>
      <c r="B261" s="22" t="s">
        <v>72</v>
      </c>
      <c r="C261" s="10">
        <f>#REF!-#REF!</f>
        <v>0</v>
      </c>
      <c r="D261" s="10">
        <f>#REF!-#REF!</f>
        <v>0</v>
      </c>
      <c r="E261" s="10">
        <f>#REF!-#REF!</f>
        <v>0</v>
      </c>
      <c r="F261" s="10">
        <f>#REF!-#REF!</f>
        <v>0</v>
      </c>
      <c r="G261" s="10">
        <f>#REF!-#REF!</f>
        <v>0</v>
      </c>
      <c r="H261" s="10">
        <f>#REF!-#REF!</f>
        <v>0</v>
      </c>
      <c r="I261" s="10">
        <f>#REF!-#REF!</f>
        <v>0</v>
      </c>
      <c r="J261" s="10">
        <f>#REF!-#REF!</f>
        <v>0</v>
      </c>
      <c r="K261" s="10">
        <f>#REF!-#REF!</f>
        <v>0</v>
      </c>
      <c r="L261" s="10">
        <f>#REF!-#REF!</f>
        <v>0</v>
      </c>
      <c r="M261" s="10">
        <f>#REF!-#REF!</f>
        <v>0</v>
      </c>
      <c r="N261" s="10">
        <f>#REF!-#REF!</f>
        <v>0</v>
      </c>
      <c r="O261" s="10">
        <f>#REF!-#REF!</f>
        <v>0</v>
      </c>
      <c r="P261" s="10">
        <f>#REF!-#REF!</f>
        <v>0</v>
      </c>
      <c r="Q261" s="10">
        <f>#REF!-#REF!</f>
        <v>0</v>
      </c>
      <c r="R261" s="10">
        <f>#REF!-#REF!</f>
        <v>0</v>
      </c>
      <c r="S261" s="10">
        <f>#REF!-#REF!</f>
        <v>0</v>
      </c>
      <c r="T261" s="10">
        <f>#REF!-#REF!</f>
        <v>0</v>
      </c>
      <c r="U261" s="10">
        <f>#REF!-#REF!</f>
        <v>0</v>
      </c>
      <c r="V261" s="10">
        <f>#REF!-#REF!</f>
        <v>0</v>
      </c>
      <c r="W261" s="10">
        <f>#REF!-#REF!</f>
        <v>0</v>
      </c>
      <c r="X261" s="10">
        <f>#REF!-#REF!</f>
        <v>0</v>
      </c>
      <c r="Y261" s="10">
        <f>#REF!-#REF!</f>
        <v>0</v>
      </c>
      <c r="Z261" s="10">
        <f>#REF!-#REF!</f>
        <v>0</v>
      </c>
      <c r="AA261" s="12">
        <v>521.00449074291998</v>
      </c>
      <c r="AB261" s="13">
        <v>549.82128194673999</v>
      </c>
      <c r="AC261" t="e">
        <f t="shared" si="56"/>
        <v>#DIV/0!</v>
      </c>
      <c r="AD261" t="e">
        <f t="shared" si="57"/>
        <v>#DIV/0!</v>
      </c>
      <c r="AE261" t="e">
        <f t="shared" si="58"/>
        <v>#DIV/0!</v>
      </c>
      <c r="AF261" t="e">
        <f t="shared" si="59"/>
        <v>#DIV/0!</v>
      </c>
      <c r="AG261" t="e">
        <f t="shared" si="60"/>
        <v>#DIV/0!</v>
      </c>
      <c r="AH261" t="e">
        <f t="shared" si="61"/>
        <v>#DIV/0!</v>
      </c>
      <c r="AI261" t="e">
        <f t="shared" si="62"/>
        <v>#DIV/0!</v>
      </c>
      <c r="AJ261" t="e">
        <f t="shared" si="63"/>
        <v>#DIV/0!</v>
      </c>
      <c r="AK261">
        <f t="shared" si="64"/>
        <v>0</v>
      </c>
      <c r="AL261">
        <f t="shared" si="65"/>
        <v>0</v>
      </c>
    </row>
    <row r="262" spans="1:38" x14ac:dyDescent="0.35">
      <c r="A262" s="15" t="s">
        <v>61</v>
      </c>
      <c r="B262" s="22" t="s">
        <v>72</v>
      </c>
      <c r="C262" s="10">
        <f>#REF!-#REF!</f>
        <v>1.2984084998357872</v>
      </c>
      <c r="D262" s="10">
        <f>#REF!-#REF!</f>
        <v>0.65080196341236274</v>
      </c>
      <c r="E262" s="10">
        <f>#REF!-#REF!</f>
        <v>0.64760653642342447</v>
      </c>
      <c r="F262" s="10">
        <f>#REF!-#REF!</f>
        <v>0</v>
      </c>
      <c r="G262" s="10">
        <f>#REF!-#REF!</f>
        <v>0.10651423296437912</v>
      </c>
      <c r="H262" s="10">
        <f>#REF!-#REF!</f>
        <v>0.10651423296438023</v>
      </c>
      <c r="I262" s="10">
        <f>#REF!-#REF!</f>
        <v>0</v>
      </c>
      <c r="J262" s="10">
        <f>#REF!-#REF!</f>
        <v>0</v>
      </c>
      <c r="K262" s="10">
        <f>#REF!-#REF!</f>
        <v>0.17379085773101099</v>
      </c>
      <c r="L262" s="10">
        <f>#REF!-#REF!</f>
        <v>0.21976595367667429</v>
      </c>
      <c r="M262" s="10">
        <f>#REF!-#REF!</f>
        <v>8.7109281438595421E-2</v>
      </c>
      <c r="N262" s="10">
        <f>#REF!-#REF!</f>
        <v>0.11015340254015582</v>
      </c>
      <c r="O262" s="10">
        <f>#REF!-#REF!</f>
        <v>8.668157629241513E-2</v>
      </c>
      <c r="P262" s="10">
        <f>#REF!-#REF!</f>
        <v>0.1096125511365198</v>
      </c>
      <c r="Q262" s="10">
        <f>#REF!-#REF!</f>
        <v>0</v>
      </c>
      <c r="R262" s="10">
        <f>#REF!-#REF!</f>
        <v>0</v>
      </c>
      <c r="S262" s="10">
        <f>#REF!-#REF!</f>
        <v>1.4256838205989553E-2</v>
      </c>
      <c r="T262" s="10">
        <f>#REF!-#REF!</f>
        <v>1.8028380121138277E-2</v>
      </c>
      <c r="U262" s="10">
        <f>#REF!-#REF!</f>
        <v>1.4256838205989442E-2</v>
      </c>
      <c r="V262" s="10">
        <f>#REF!-#REF!</f>
        <v>1.8028380121138443E-2</v>
      </c>
      <c r="W262" s="10">
        <f>#REF!-#REF!</f>
        <v>0</v>
      </c>
      <c r="X262" s="10">
        <f>#REF!-#REF!</f>
        <v>0</v>
      </c>
      <c r="Y262" s="10">
        <f>#REF!-#REF!</f>
        <v>0</v>
      </c>
      <c r="Z262" s="10">
        <f>#REF!-#REF!</f>
        <v>0</v>
      </c>
      <c r="AA262" s="12">
        <v>590.81421763174001</v>
      </c>
      <c r="AB262" s="13">
        <v>747.10978286638999</v>
      </c>
      <c r="AC262">
        <f t="shared" si="56"/>
        <v>0.92418498862774856</v>
      </c>
      <c r="AD262">
        <f t="shared" si="57"/>
        <v>0.4609552691432881</v>
      </c>
      <c r="AE262">
        <f t="shared" si="58"/>
        <v>0.49876948318293418</v>
      </c>
      <c r="AF262">
        <f t="shared" si="59"/>
        <v>0.46322971948446051</v>
      </c>
      <c r="AG262">
        <f t="shared" si="60"/>
        <v>0.50123051681706576</v>
      </c>
      <c r="AH262">
        <f t="shared" si="61"/>
        <v>7.5815011372251398E-2</v>
      </c>
      <c r="AI262">
        <f t="shared" si="62"/>
        <v>1.0000000000000104</v>
      </c>
      <c r="AJ262">
        <f t="shared" si="63"/>
        <v>0</v>
      </c>
      <c r="AK262">
        <f t="shared" si="64"/>
        <v>2.3779433379781455E-3</v>
      </c>
      <c r="AL262">
        <f t="shared" si="65"/>
        <v>1.8804769593699952E-3</v>
      </c>
    </row>
    <row r="263" spans="1:38" x14ac:dyDescent="0.35">
      <c r="A263" s="9" t="s">
        <v>62</v>
      </c>
      <c r="B263" s="22" t="s">
        <v>72</v>
      </c>
      <c r="C263" s="10">
        <v>0</v>
      </c>
      <c r="D263" s="10">
        <f>#REF!-#REF!</f>
        <v>0</v>
      </c>
      <c r="E263" s="10">
        <v>0</v>
      </c>
      <c r="F263" s="10">
        <f>#REF!-#REF!</f>
        <v>0.75867952732961097</v>
      </c>
      <c r="G263" s="10">
        <f>#REF!-#REF!</f>
        <v>0</v>
      </c>
      <c r="H263" s="10">
        <f>#REF!-#REF!</f>
        <v>0</v>
      </c>
      <c r="I263" s="10">
        <f>#REF!-#REF!</f>
        <v>0</v>
      </c>
      <c r="J263" s="10">
        <f>#REF!-#REF!</f>
        <v>0</v>
      </c>
      <c r="K263" s="10">
        <f>#REF!-#REF!</f>
        <v>-1.3645430313480578</v>
      </c>
      <c r="L263" s="10">
        <f>#REF!-#REF!</f>
        <v>-0.81002520713302584</v>
      </c>
      <c r="M263" s="10">
        <f>#REF!-#REF!</f>
        <v>0</v>
      </c>
      <c r="N263" s="10">
        <f>#REF!-#REF!</f>
        <v>0</v>
      </c>
      <c r="O263" s="10">
        <f>#REF!-#REF!</f>
        <v>-1.3645430313480578</v>
      </c>
      <c r="P263" s="10">
        <f>#REF!-#REF!</f>
        <v>-0.81002520713302673</v>
      </c>
      <c r="Q263" s="10">
        <f>#REF!-#REF!</f>
        <v>0.28961715483211226</v>
      </c>
      <c r="R263" s="10">
        <f>#REF!-#REF!</f>
        <v>0.17192363336493433</v>
      </c>
      <c r="S263" s="10">
        <f>#REF!-#REF!</f>
        <v>0</v>
      </c>
      <c r="T263" s="10">
        <f>#REF!-#REF!</f>
        <v>0</v>
      </c>
      <c r="U263" s="10">
        <f>#REF!-#REF!</f>
        <v>0</v>
      </c>
      <c r="V263" s="10">
        <f>#REF!-#REF!</f>
        <v>0</v>
      </c>
      <c r="W263" s="10">
        <f>#REF!-#REF!</f>
        <v>0</v>
      </c>
      <c r="X263" s="10">
        <f>#REF!-#REF!</f>
        <v>0</v>
      </c>
      <c r="Y263" s="10">
        <f>#REF!-#REF!</f>
        <v>0</v>
      </c>
      <c r="Z263" s="10">
        <f>#REF!-#REF!</f>
        <v>0</v>
      </c>
      <c r="AA263" s="12">
        <v>441.28867711817003</v>
      </c>
      <c r="AB263" s="13">
        <v>261.95945739796002</v>
      </c>
      <c r="AC263" t="e">
        <f t="shared" si="56"/>
        <v>#DIV/0!</v>
      </c>
      <c r="AD263" t="e">
        <f t="shared" si="57"/>
        <v>#DIV/0!</v>
      </c>
      <c r="AE263" t="e">
        <f t="shared" si="58"/>
        <v>#DIV/0!</v>
      </c>
      <c r="AF263" t="e">
        <f t="shared" si="59"/>
        <v>#DIV/0!</v>
      </c>
      <c r="AG263" t="e">
        <f t="shared" si="60"/>
        <v>#DIV/0!</v>
      </c>
      <c r="AH263" t="e">
        <f t="shared" si="61"/>
        <v>#DIV/0!</v>
      </c>
      <c r="AI263" t="e">
        <f t="shared" si="62"/>
        <v>#DIV/0!</v>
      </c>
      <c r="AJ263" t="e">
        <f t="shared" si="63"/>
        <v>#DIV/0!</v>
      </c>
      <c r="AK263">
        <f t="shared" si="64"/>
        <v>0</v>
      </c>
      <c r="AL263">
        <f t="shared" si="65"/>
        <v>0</v>
      </c>
    </row>
    <row r="264" spans="1:38" x14ac:dyDescent="0.35">
      <c r="A264" s="9" t="s">
        <v>63</v>
      </c>
      <c r="B264" s="22" t="s">
        <v>72</v>
      </c>
      <c r="C264" s="10">
        <v>0</v>
      </c>
      <c r="D264" s="10">
        <v>0</v>
      </c>
      <c r="E264" s="10">
        <v>0</v>
      </c>
      <c r="F264" s="10">
        <f>#REF!-#REF!</f>
        <v>0</v>
      </c>
      <c r="G264" s="10">
        <v>0</v>
      </c>
      <c r="H264" s="10">
        <v>0</v>
      </c>
      <c r="I264" s="10">
        <f>#REF!-#REF!</f>
        <v>0</v>
      </c>
      <c r="J264" s="10">
        <f>#REF!-#REF!</f>
        <v>0</v>
      </c>
      <c r="K264" s="10">
        <f>#REF!-#REF!</f>
        <v>-7.4723710140849775E-2</v>
      </c>
      <c r="L264" s="10">
        <f>#REF!-#REF!</f>
        <v>-3.4783045887894826E-2</v>
      </c>
      <c r="M264" s="10">
        <f>#REF!-#REF!</f>
        <v>-4.0436731530562042E-3</v>
      </c>
      <c r="N264" s="10">
        <f>#REF!-#REF!</f>
        <v>-1.8822843321520955E-3</v>
      </c>
      <c r="O264" s="10">
        <f>#REF!-#REF!</f>
        <v>-7.0680036987793571E-2</v>
      </c>
      <c r="P264" s="10">
        <f>#REF!-#REF!</f>
        <v>-3.2900761555742619E-2</v>
      </c>
      <c r="Q264" s="10">
        <f>#REF!-#REF!</f>
        <v>0</v>
      </c>
      <c r="R264" s="10">
        <f>#REF!-#REF!</f>
        <v>0</v>
      </c>
      <c r="S264" s="10">
        <f>#REF!-#REF!</f>
        <v>-0.3001584884237305</v>
      </c>
      <c r="T264" s="10">
        <f>#REF!-#REF!</f>
        <v>-0.13972039740537667</v>
      </c>
      <c r="U264" s="10">
        <f>#REF!-#REF!</f>
        <v>-0.30015848842373094</v>
      </c>
      <c r="V264" s="10">
        <f>#REF!-#REF!</f>
        <v>-0.13972039740537667</v>
      </c>
      <c r="W264" s="10">
        <f>#REF!-#REF!</f>
        <v>0</v>
      </c>
      <c r="X264" s="10">
        <f>#REF!-#REF!</f>
        <v>0</v>
      </c>
      <c r="Y264" s="10">
        <f>#REF!-#REF!</f>
        <v>0</v>
      </c>
      <c r="Z264" s="10">
        <f>#REF!-#REF!</f>
        <v>0</v>
      </c>
      <c r="AA264" s="12">
        <v>690.46912883131995</v>
      </c>
      <c r="AB264" s="13">
        <v>321.40560669490998</v>
      </c>
      <c r="AC264" t="e">
        <f t="shared" si="56"/>
        <v>#DIV/0!</v>
      </c>
      <c r="AD264" t="e">
        <f t="shared" si="57"/>
        <v>#DIV/0!</v>
      </c>
      <c r="AE264" t="e">
        <f t="shared" si="58"/>
        <v>#DIV/0!</v>
      </c>
      <c r="AF264" t="e">
        <f t="shared" si="59"/>
        <v>#DIV/0!</v>
      </c>
      <c r="AG264" t="e">
        <f t="shared" si="60"/>
        <v>#DIV/0!</v>
      </c>
      <c r="AH264" t="e">
        <f t="shared" si="61"/>
        <v>#DIV/0!</v>
      </c>
      <c r="AI264" t="e">
        <f t="shared" si="62"/>
        <v>#DIV/0!</v>
      </c>
      <c r="AJ264" t="e">
        <f t="shared" si="63"/>
        <v>#DIV/0!</v>
      </c>
      <c r="AK264">
        <f t="shared" si="64"/>
        <v>0</v>
      </c>
      <c r="AL264">
        <f t="shared" si="65"/>
        <v>0</v>
      </c>
    </row>
    <row r="265" spans="1:38" x14ac:dyDescent="0.35">
      <c r="A265" s="9" t="s">
        <v>64</v>
      </c>
      <c r="B265" s="22" t="s">
        <v>72</v>
      </c>
      <c r="C265" s="10">
        <f>#REF!-#REF!</f>
        <v>0.14534662604214299</v>
      </c>
      <c r="D265" s="10">
        <f>#REF!-#REF!</f>
        <v>0</v>
      </c>
      <c r="E265" s="10">
        <f>#REF!-#REF!</f>
        <v>0.14534662604214299</v>
      </c>
      <c r="F265" s="10">
        <f>#REF!-#REF!</f>
        <v>0</v>
      </c>
      <c r="G265" s="10">
        <f>#REF!-#REF!</f>
        <v>0</v>
      </c>
      <c r="H265" s="10">
        <f>#REF!-#REF!</f>
        <v>0</v>
      </c>
      <c r="I265" s="10">
        <f>#REF!-#REF!</f>
        <v>0</v>
      </c>
      <c r="J265" s="10">
        <f>#REF!-#REF!</f>
        <v>0</v>
      </c>
      <c r="K265" s="10">
        <f>#REF!-#REF!</f>
        <v>0.22575488547941269</v>
      </c>
      <c r="L265" s="10">
        <f>#REF!-#REF!</f>
        <v>0.15931280210150378</v>
      </c>
      <c r="M265" s="10">
        <f>#REF!-#REF!</f>
        <v>0</v>
      </c>
      <c r="N265" s="10">
        <f>#REF!-#REF!</f>
        <v>0</v>
      </c>
      <c r="O265" s="10">
        <f>#REF!-#REF!</f>
        <v>0.22575488547941247</v>
      </c>
      <c r="P265" s="10">
        <f>#REF!-#REF!</f>
        <v>0.15931280210150367</v>
      </c>
      <c r="Q265" s="10">
        <f>#REF!-#REF!</f>
        <v>0</v>
      </c>
      <c r="R265" s="10">
        <f>#REF!-#REF!</f>
        <v>0</v>
      </c>
      <c r="S265" s="10">
        <f>#REF!-#REF!</f>
        <v>0</v>
      </c>
      <c r="T265" s="10">
        <f>#REF!-#REF!</f>
        <v>0</v>
      </c>
      <c r="U265" s="10">
        <f>#REF!-#REF!</f>
        <v>0</v>
      </c>
      <c r="V265" s="10">
        <f>#REF!-#REF!</f>
        <v>0</v>
      </c>
      <c r="W265" s="10">
        <f>#REF!-#REF!</f>
        <v>0</v>
      </c>
      <c r="X265" s="10">
        <f>#REF!-#REF!</f>
        <v>0</v>
      </c>
      <c r="Y265" s="10">
        <f>#REF!-#REF!</f>
        <v>0</v>
      </c>
      <c r="Z265" s="10">
        <f>#REF!-#REF!</f>
        <v>0</v>
      </c>
      <c r="AA265" s="12">
        <v>91.233487908610002</v>
      </c>
      <c r="AB265" s="13">
        <v>64.38249419652</v>
      </c>
      <c r="AC265">
        <f t="shared" si="56"/>
        <v>1</v>
      </c>
      <c r="AD265">
        <f t="shared" si="57"/>
        <v>1</v>
      </c>
      <c r="AE265">
        <f t="shared" si="58"/>
        <v>1</v>
      </c>
      <c r="AF265">
        <f t="shared" si="59"/>
        <v>0</v>
      </c>
      <c r="AG265">
        <f t="shared" si="60"/>
        <v>0</v>
      </c>
      <c r="AH265">
        <f t="shared" si="61"/>
        <v>0</v>
      </c>
      <c r="AI265" t="e">
        <f t="shared" si="62"/>
        <v>#DIV/0!</v>
      </c>
      <c r="AJ265" t="e">
        <f t="shared" si="63"/>
        <v>#DIV/0!</v>
      </c>
      <c r="AK265">
        <f t="shared" si="64"/>
        <v>1.5931280210150351E-3</v>
      </c>
      <c r="AL265">
        <f t="shared" si="65"/>
        <v>2.2575488547941229E-3</v>
      </c>
    </row>
    <row r="266" spans="1:38" x14ac:dyDescent="0.35">
      <c r="A266" s="9" t="s">
        <v>65</v>
      </c>
      <c r="B266" s="22" t="s">
        <v>72</v>
      </c>
      <c r="C266" s="10">
        <f>#REF!-#REF!</f>
        <v>1.510862671673955</v>
      </c>
      <c r="D266" s="10">
        <f>#REF!-#REF!</f>
        <v>0.66420956936764153</v>
      </c>
      <c r="E266" s="10">
        <f>#REF!-#REF!</f>
        <v>0.84665310230631441</v>
      </c>
      <c r="F266" s="10">
        <f>#REF!-#REF!</f>
        <v>0</v>
      </c>
      <c r="G266" s="10">
        <f>#REF!-#REF!</f>
        <v>6.4232296886403972E-3</v>
      </c>
      <c r="H266" s="10">
        <f>#REF!-#REF!</f>
        <v>0</v>
      </c>
      <c r="I266" s="10">
        <f>#REF!-#REF!</f>
        <v>6.4232296886403972E-3</v>
      </c>
      <c r="J266" s="10">
        <f>#REF!-#REF!</f>
        <v>0</v>
      </c>
      <c r="K266" s="10">
        <f>#REF!-#REF!</f>
        <v>1.0251200504614815</v>
      </c>
      <c r="L266" s="10">
        <f>#REF!-#REF!</f>
        <v>0.48755094727856196</v>
      </c>
      <c r="M266" s="10">
        <f>#REF!-#REF!</f>
        <v>0.45066607312017215</v>
      </c>
      <c r="N266" s="10">
        <f>#REF!-#REF!</f>
        <v>0.21433847748577062</v>
      </c>
      <c r="O266" s="10">
        <f>#REF!-#REF!</f>
        <v>0.57445397734130843</v>
      </c>
      <c r="P266" s="10">
        <f>#REF!-#REF!</f>
        <v>0.27321246979279135</v>
      </c>
      <c r="Q266" s="10">
        <f>#REF!-#REF!</f>
        <v>0</v>
      </c>
      <c r="R266" s="10">
        <f>#REF!-#REF!</f>
        <v>0</v>
      </c>
      <c r="S266" s="10">
        <f>#REF!-#REF!</f>
        <v>4.3581601862259234E-3</v>
      </c>
      <c r="T266" s="10">
        <f>#REF!-#REF!</f>
        <v>2.0727573577650205E-3</v>
      </c>
      <c r="U266" s="10">
        <f>#REF!-#REF!</f>
        <v>0</v>
      </c>
      <c r="V266" s="10">
        <f>#REF!-#REF!</f>
        <v>0</v>
      </c>
      <c r="W266" s="10">
        <f>#REF!-#REF!</f>
        <v>4.3581601862259234E-3</v>
      </c>
      <c r="X266" s="10">
        <f>#REF!-#REF!</f>
        <v>2.0727573577650205E-3</v>
      </c>
      <c r="Y266" s="10">
        <f>#REF!-#REF!</f>
        <v>0</v>
      </c>
      <c r="Z266" s="10">
        <f>#REF!-#REF!</f>
        <v>0</v>
      </c>
      <c r="AA266" s="12">
        <v>309.88816247970999</v>
      </c>
      <c r="AB266" s="13">
        <v>147.38397429586999</v>
      </c>
      <c r="AC266">
        <f t="shared" si="56"/>
        <v>0.99576663192950521</v>
      </c>
      <c r="AD266">
        <f t="shared" si="57"/>
        <v>0.55800498874073723</v>
      </c>
      <c r="AE266">
        <f t="shared" si="58"/>
        <v>0.56037727199141674</v>
      </c>
      <c r="AF266">
        <f t="shared" si="59"/>
        <v>0.43776164318876853</v>
      </c>
      <c r="AG266">
        <f t="shared" si="60"/>
        <v>0.43962272800858387</v>
      </c>
      <c r="AH266">
        <f t="shared" si="61"/>
        <v>4.2333680704948412E-3</v>
      </c>
      <c r="AI266">
        <f t="shared" si="62"/>
        <v>0</v>
      </c>
      <c r="AJ266">
        <f t="shared" si="63"/>
        <v>1</v>
      </c>
      <c r="AK266">
        <f t="shared" si="64"/>
        <v>4.8962370463632669E-3</v>
      </c>
      <c r="AL266">
        <f t="shared" si="65"/>
        <v>1.0294782106477047E-2</v>
      </c>
    </row>
    <row r="267" spans="1:38" x14ac:dyDescent="0.35">
      <c r="A267" s="9" t="s">
        <v>66</v>
      </c>
      <c r="B267" s="22" t="s">
        <v>72</v>
      </c>
      <c r="C267" s="10">
        <f>#REF!-#REF!</f>
        <v>0</v>
      </c>
      <c r="D267" s="10">
        <f>#REF!-#REF!</f>
        <v>0</v>
      </c>
      <c r="E267" s="10">
        <f>#REF!-#REF!</f>
        <v>0</v>
      </c>
      <c r="F267" s="10">
        <f>#REF!-#REF!</f>
        <v>0</v>
      </c>
      <c r="G267" s="10">
        <f>#REF!-#REF!</f>
        <v>0</v>
      </c>
      <c r="H267" s="10">
        <f>#REF!-#REF!</f>
        <v>0</v>
      </c>
      <c r="I267" s="10">
        <f>#REF!-#REF!</f>
        <v>0</v>
      </c>
      <c r="J267" s="10">
        <f>#REF!-#REF!</f>
        <v>0</v>
      </c>
      <c r="K267" s="10">
        <f>#REF!-#REF!</f>
        <v>0</v>
      </c>
      <c r="L267" s="10">
        <f>#REF!-#REF!</f>
        <v>0</v>
      </c>
      <c r="M267" s="10">
        <f>#REF!-#REF!</f>
        <v>0</v>
      </c>
      <c r="N267" s="10">
        <f>#REF!-#REF!</f>
        <v>0</v>
      </c>
      <c r="O267" s="10">
        <f>#REF!-#REF!</f>
        <v>0</v>
      </c>
      <c r="P267" s="10">
        <f>#REF!-#REF!</f>
        <v>0</v>
      </c>
      <c r="Q267" s="10">
        <f>#REF!-#REF!</f>
        <v>0</v>
      </c>
      <c r="R267" s="10">
        <f>#REF!-#REF!</f>
        <v>0</v>
      </c>
      <c r="S267" s="10">
        <f>#REF!-#REF!</f>
        <v>0</v>
      </c>
      <c r="T267" s="10">
        <f>#REF!-#REF!</f>
        <v>0</v>
      </c>
      <c r="U267" s="10">
        <f>#REF!-#REF!</f>
        <v>0</v>
      </c>
      <c r="V267" s="10">
        <f>#REF!-#REF!</f>
        <v>0</v>
      </c>
      <c r="W267" s="10">
        <f>#REF!-#REF!</f>
        <v>0</v>
      </c>
      <c r="X267" s="10">
        <f>#REF!-#REF!</f>
        <v>0</v>
      </c>
      <c r="Y267" s="10">
        <f>#REF!-#REF!</f>
        <v>0</v>
      </c>
      <c r="Z267" s="10">
        <f>#REF!-#REF!</f>
        <v>0</v>
      </c>
      <c r="AA267" s="12">
        <v>1215.4228689920101</v>
      </c>
      <c r="AB267" s="13">
        <v>571.50311712429004</v>
      </c>
      <c r="AC267" t="e">
        <f t="shared" si="56"/>
        <v>#DIV/0!</v>
      </c>
      <c r="AD267" t="e">
        <f t="shared" si="57"/>
        <v>#DIV/0!</v>
      </c>
      <c r="AE267" t="e">
        <f t="shared" si="58"/>
        <v>#DIV/0!</v>
      </c>
      <c r="AF267" t="e">
        <f t="shared" si="59"/>
        <v>#DIV/0!</v>
      </c>
      <c r="AG267" t="e">
        <f t="shared" si="60"/>
        <v>#DIV/0!</v>
      </c>
      <c r="AH267" t="e">
        <f t="shared" si="61"/>
        <v>#DIV/0!</v>
      </c>
      <c r="AI267" t="e">
        <f t="shared" si="62"/>
        <v>#DIV/0!</v>
      </c>
      <c r="AJ267" t="e">
        <f t="shared" si="63"/>
        <v>#DIV/0!</v>
      </c>
      <c r="AK267">
        <f t="shared" si="64"/>
        <v>0</v>
      </c>
      <c r="AL267">
        <f t="shared" si="65"/>
        <v>0</v>
      </c>
    </row>
  </sheetData>
  <conditionalFormatting sqref="C2:J267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8413-92C6-4E9E-B08B-4C219E5FC97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2024-05-04T10:36:29Z</dcterms:created>
  <dcterms:modified xsi:type="dcterms:W3CDTF">2024-05-06T16:36:50Z</dcterms:modified>
</cp:coreProperties>
</file>